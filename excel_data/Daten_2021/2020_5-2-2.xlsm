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Hannover\Dez15-Uebergreifende-Analysen\Projekte\Integrationsmonitoring_2021\Daten_2021\"/>
    </mc:Choice>
  </mc:AlternateContent>
  <xr:revisionPtr revIDLastSave="0" documentId="13_ncr:1_{EBB7121C-8051-4046-9F93-328F559CCAC5}" xr6:coauthVersionLast="36" xr6:coauthVersionMax="36" xr10:uidLastSave="{00000000-0000-0000-0000-000000000000}"/>
  <bookViews>
    <workbookView xWindow="0" yWindow="0" windowWidth="28800" windowHeight="13425" firstSheet="1" activeTab="5" xr2:uid="{068B74BD-0297-45DB-BC0A-C4D62A19CD4E}"/>
  </bookViews>
  <sheets>
    <sheet name="2019_C4_Zeitreihe" sheetId="10" r:id="rId1"/>
    <sheet name="2020_5-2-2_Download" sheetId="18" r:id="rId2"/>
    <sheet name="2020_5-2-2_CSV_Vorbereitung" sheetId="21" r:id="rId3"/>
    <sheet name="2020_5-2-2_CSV_Export" sheetId="22" r:id="rId4"/>
    <sheet name="2020_5-2-3_CSV_Vorbereitung" sheetId="23" r:id="rId5"/>
    <sheet name="2020_5-2-3_CSV_Export" sheetId="24" r:id="rId6"/>
    <sheet name="2020_Rohdaten_BA" sheetId="19" r:id="rId7"/>
    <sheet name="2020_5-1-3_LSN_Ergänzung" sheetId="20" r:id="rId8"/>
    <sheet name="2019_C4_Karte" sheetId="17" r:id="rId9"/>
    <sheet name="C4_Berechnung" sheetId="15" r:id="rId10"/>
    <sheet name="2019_C4_Rohdaten_BA" sheetId="14" r:id="rId11"/>
    <sheet name="2019_LSN_Ergänzung" sheetId="16" r:id="rId12"/>
    <sheet name="2018_C4_Karte" sheetId="12" r:id="rId13"/>
    <sheet name="2018_C4_bearbeitet" sheetId="7" r:id="rId14"/>
    <sheet name="2018_C4_Beasrbeitet_2" sheetId="13" r:id="rId15"/>
    <sheet name="2018_C4_Roh" sheetId="6" r:id="rId16"/>
    <sheet name="2017_C4" sheetId="3" r:id="rId17"/>
    <sheet name="2017_C4_bearbeitet" sheetId="2" r:id="rId18"/>
    <sheet name="2017_C4_roh" sheetId="1" r:id="rId19"/>
    <sheet name="2016_roh" sheetId="25" r:id="rId20"/>
    <sheet name="2016_bearbeitet" sheetId="26" r:id="rId21"/>
  </sheets>
  <externalReferences>
    <externalReference r:id="rId22"/>
    <externalReference r:id="rId23"/>
  </externalReferences>
  <definedNames>
    <definedName name="_xlnm._FilterDatabase" localSheetId="20" hidden="1">'2016_bearbeitet'!$B$6:$P$313</definedName>
    <definedName name="_xlnm._FilterDatabase" localSheetId="16" hidden="1">'2017_C4'!$A$5:$I$56</definedName>
    <definedName name="_xlnm._FilterDatabase" localSheetId="17" hidden="1">'2017_C4_bearbeitet'!$A$18:$N$73</definedName>
    <definedName name="_xlnm._FilterDatabase" localSheetId="13" hidden="1">'2018_C4_bearbeitet'!$D$17:$V$324</definedName>
    <definedName name="_xlnm._FilterDatabase" localSheetId="14" hidden="1">'2018_C4_Beasrbeitet_2'!$A$4:$I$55</definedName>
    <definedName name="_xlnm._FilterDatabase" localSheetId="0" hidden="1">'2019_C4_Zeitreihe'!$A$9:$BM$9</definedName>
    <definedName name="_xlnm._FilterDatabase" localSheetId="2" hidden="1">'2020_5-2-2_CSV_Vorbereitung'!$A$1:$J$3277</definedName>
    <definedName name="_xlnm._FilterDatabase" localSheetId="5" hidden="1">'2020_5-2-3_CSV_Export'!$A$1:$H$1873</definedName>
    <definedName name="_xlnm._FilterDatabase" localSheetId="4" hidden="1">'2020_5-2-3_CSV_Vorbereitung'!$A$1:$F$1873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3" l="1"/>
  <c r="B2" i="23"/>
  <c r="D2" i="23"/>
  <c r="G2" i="23"/>
  <c r="A3" i="23"/>
  <c r="B3" i="23"/>
  <c r="D3" i="23"/>
  <c r="G3" i="23"/>
  <c r="A4" i="23"/>
  <c r="B4" i="23"/>
  <c r="D4" i="23"/>
  <c r="G4" i="23"/>
  <c r="A5" i="23"/>
  <c r="B5" i="23"/>
  <c r="D5" i="23"/>
  <c r="G5" i="23"/>
  <c r="A6" i="23"/>
  <c r="B6" i="23"/>
  <c r="D6" i="23"/>
  <c r="G6" i="23"/>
  <c r="A7" i="23"/>
  <c r="B7" i="23"/>
  <c r="D7" i="23"/>
  <c r="G7" i="23"/>
  <c r="A8" i="23"/>
  <c r="B8" i="23"/>
  <c r="D8" i="23"/>
  <c r="G8" i="23"/>
  <c r="A9" i="23"/>
  <c r="B9" i="23"/>
  <c r="D9" i="23"/>
  <c r="G9" i="23"/>
  <c r="A10" i="23"/>
  <c r="B10" i="23"/>
  <c r="D10" i="23"/>
  <c r="G10" i="23"/>
  <c r="A11" i="23"/>
  <c r="B11" i="23"/>
  <c r="D11" i="23"/>
  <c r="G11" i="23"/>
  <c r="A12" i="23"/>
  <c r="B12" i="23"/>
  <c r="D12" i="23"/>
  <c r="G12" i="23"/>
  <c r="A13" i="23"/>
  <c r="B13" i="23"/>
  <c r="D13" i="23"/>
  <c r="G13" i="23"/>
  <c r="A14" i="23"/>
  <c r="B14" i="23"/>
  <c r="D14" i="23"/>
  <c r="G14" i="23"/>
  <c r="A15" i="23"/>
  <c r="B15" i="23"/>
  <c r="D15" i="23"/>
  <c r="G15" i="23"/>
  <c r="A16" i="23"/>
  <c r="B16" i="23"/>
  <c r="D16" i="23"/>
  <c r="G16" i="23"/>
  <c r="A17" i="23"/>
  <c r="B17" i="23"/>
  <c r="D17" i="23"/>
  <c r="G17" i="23"/>
  <c r="A18" i="23"/>
  <c r="B18" i="23"/>
  <c r="D18" i="23"/>
  <c r="G18" i="23"/>
  <c r="A19" i="23"/>
  <c r="B19" i="23"/>
  <c r="D19" i="23"/>
  <c r="G19" i="23"/>
  <c r="A20" i="23"/>
  <c r="B20" i="23"/>
  <c r="D20" i="23"/>
  <c r="G20" i="23"/>
  <c r="A21" i="23"/>
  <c r="B21" i="23"/>
  <c r="D21" i="23"/>
  <c r="G21" i="23"/>
  <c r="A22" i="23"/>
  <c r="B22" i="23"/>
  <c r="D22" i="23"/>
  <c r="G22" i="23"/>
  <c r="A23" i="23"/>
  <c r="B23" i="23"/>
  <c r="D23" i="23"/>
  <c r="G23" i="23"/>
  <c r="A24" i="23"/>
  <c r="B24" i="23"/>
  <c r="D24" i="23"/>
  <c r="G24" i="23"/>
  <c r="A25" i="23"/>
  <c r="B25" i="23"/>
  <c r="D25" i="23"/>
  <c r="G25" i="23"/>
  <c r="A26" i="23"/>
  <c r="B26" i="23"/>
  <c r="D26" i="23"/>
  <c r="G26" i="23"/>
  <c r="A27" i="23"/>
  <c r="B27" i="23"/>
  <c r="D27" i="23"/>
  <c r="G27" i="23"/>
  <c r="A28" i="23"/>
  <c r="B28" i="23"/>
  <c r="D28" i="23"/>
  <c r="G28" i="23"/>
  <c r="A29" i="23"/>
  <c r="B29" i="23"/>
  <c r="D29" i="23"/>
  <c r="G29" i="23"/>
  <c r="A30" i="23"/>
  <c r="B30" i="23"/>
  <c r="D30" i="23"/>
  <c r="G30" i="23"/>
  <c r="A31" i="23"/>
  <c r="B31" i="23"/>
  <c r="D31" i="23"/>
  <c r="G31" i="23"/>
  <c r="A32" i="23"/>
  <c r="B32" i="23"/>
  <c r="D32" i="23"/>
  <c r="G32" i="23"/>
  <c r="A33" i="23"/>
  <c r="B33" i="23"/>
  <c r="D33" i="23"/>
  <c r="G33" i="23"/>
  <c r="A34" i="23"/>
  <c r="B34" i="23"/>
  <c r="D34" i="23"/>
  <c r="G34" i="23"/>
  <c r="A35" i="23"/>
  <c r="B35" i="23"/>
  <c r="D35" i="23"/>
  <c r="G35" i="23"/>
  <c r="A36" i="23"/>
  <c r="B36" i="23"/>
  <c r="D36" i="23"/>
  <c r="G36" i="23"/>
  <c r="A37" i="23"/>
  <c r="B37" i="23"/>
  <c r="D37" i="23"/>
  <c r="G37" i="23"/>
  <c r="A38" i="23"/>
  <c r="B38" i="23"/>
  <c r="D38" i="23"/>
  <c r="G38" i="23"/>
  <c r="A39" i="23"/>
  <c r="B39" i="23"/>
  <c r="D39" i="23"/>
  <c r="G39" i="23"/>
  <c r="A40" i="23"/>
  <c r="B40" i="23"/>
  <c r="D40" i="23"/>
  <c r="G40" i="23"/>
  <c r="A41" i="23"/>
  <c r="B41" i="23"/>
  <c r="D41" i="23"/>
  <c r="G41" i="23"/>
  <c r="A42" i="23"/>
  <c r="B42" i="23"/>
  <c r="D42" i="23"/>
  <c r="G42" i="23"/>
  <c r="A43" i="23"/>
  <c r="B43" i="23"/>
  <c r="D43" i="23"/>
  <c r="G43" i="23"/>
  <c r="A44" i="23"/>
  <c r="B44" i="23"/>
  <c r="D44" i="23"/>
  <c r="G44" i="23"/>
  <c r="A45" i="23"/>
  <c r="B45" i="23"/>
  <c r="D45" i="23"/>
  <c r="G45" i="23"/>
  <c r="A46" i="23"/>
  <c r="B46" i="23"/>
  <c r="D46" i="23"/>
  <c r="G46" i="23"/>
  <c r="A47" i="23"/>
  <c r="B47" i="23"/>
  <c r="D47" i="23"/>
  <c r="G47" i="23"/>
  <c r="A48" i="23"/>
  <c r="B48" i="23"/>
  <c r="D48" i="23"/>
  <c r="G48" i="23"/>
  <c r="A49" i="23"/>
  <c r="B49" i="23"/>
  <c r="D49" i="23"/>
  <c r="G49" i="23"/>
  <c r="A50" i="23"/>
  <c r="B50" i="23"/>
  <c r="D50" i="23"/>
  <c r="G50" i="23"/>
  <c r="A51" i="23"/>
  <c r="B51" i="23"/>
  <c r="D51" i="23"/>
  <c r="G51" i="23"/>
  <c r="A52" i="23"/>
  <c r="B52" i="23"/>
  <c r="D52" i="23"/>
  <c r="G52" i="23"/>
  <c r="A53" i="23"/>
  <c r="B53" i="23"/>
  <c r="D53" i="23"/>
  <c r="G53" i="23"/>
  <c r="A54" i="23"/>
  <c r="B54" i="23"/>
  <c r="D54" i="23"/>
  <c r="G54" i="23"/>
  <c r="A55" i="23"/>
  <c r="B55" i="23"/>
  <c r="D55" i="23"/>
  <c r="G55" i="23"/>
  <c r="A56" i="23"/>
  <c r="B56" i="23"/>
  <c r="D56" i="23"/>
  <c r="G56" i="23"/>
  <c r="A57" i="23"/>
  <c r="B57" i="23"/>
  <c r="D57" i="23"/>
  <c r="G57" i="23"/>
  <c r="A58" i="23"/>
  <c r="B58" i="23"/>
  <c r="D58" i="23"/>
  <c r="G58" i="23"/>
  <c r="A59" i="23"/>
  <c r="B59" i="23"/>
  <c r="D59" i="23"/>
  <c r="G59" i="23"/>
  <c r="A60" i="23"/>
  <c r="B60" i="23"/>
  <c r="D60" i="23"/>
  <c r="G60" i="23"/>
  <c r="A61" i="23"/>
  <c r="B61" i="23"/>
  <c r="D61" i="23"/>
  <c r="G61" i="23"/>
  <c r="A62" i="23"/>
  <c r="B62" i="23"/>
  <c r="D62" i="23"/>
  <c r="G62" i="23"/>
  <c r="A63" i="23"/>
  <c r="B63" i="23"/>
  <c r="D63" i="23"/>
  <c r="G63" i="23"/>
  <c r="A64" i="23"/>
  <c r="B64" i="23"/>
  <c r="D64" i="23"/>
  <c r="G64" i="23"/>
  <c r="A65" i="23"/>
  <c r="B65" i="23"/>
  <c r="D65" i="23"/>
  <c r="G65" i="23"/>
  <c r="A66" i="23"/>
  <c r="B66" i="23"/>
  <c r="D66" i="23"/>
  <c r="G66" i="23"/>
  <c r="A67" i="23"/>
  <c r="B67" i="23"/>
  <c r="D67" i="23"/>
  <c r="G67" i="23"/>
  <c r="A68" i="23"/>
  <c r="B68" i="23"/>
  <c r="D68" i="23"/>
  <c r="G68" i="23"/>
  <c r="A69" i="23"/>
  <c r="B69" i="23"/>
  <c r="D69" i="23"/>
  <c r="G69" i="23"/>
  <c r="A70" i="23"/>
  <c r="B70" i="23"/>
  <c r="D70" i="23"/>
  <c r="G70" i="23"/>
  <c r="A71" i="23"/>
  <c r="B71" i="23"/>
  <c r="D71" i="23"/>
  <c r="G71" i="23"/>
  <c r="A72" i="23"/>
  <c r="B72" i="23"/>
  <c r="D72" i="23"/>
  <c r="G72" i="23"/>
  <c r="A73" i="23"/>
  <c r="B73" i="23"/>
  <c r="D73" i="23"/>
  <c r="G73" i="23"/>
  <c r="A74" i="23"/>
  <c r="B74" i="23"/>
  <c r="D74" i="23"/>
  <c r="G74" i="23"/>
  <c r="A75" i="23"/>
  <c r="B75" i="23"/>
  <c r="D75" i="23"/>
  <c r="G75" i="23"/>
  <c r="A76" i="23"/>
  <c r="B76" i="23"/>
  <c r="D76" i="23"/>
  <c r="G76" i="23"/>
  <c r="A77" i="23"/>
  <c r="B77" i="23"/>
  <c r="D77" i="23"/>
  <c r="G77" i="23"/>
  <c r="A78" i="23"/>
  <c r="B78" i="23"/>
  <c r="D78" i="23"/>
  <c r="G78" i="23"/>
  <c r="A79" i="23"/>
  <c r="B79" i="23"/>
  <c r="D79" i="23"/>
  <c r="G79" i="23"/>
  <c r="A80" i="23"/>
  <c r="B80" i="23"/>
  <c r="D80" i="23"/>
  <c r="G80" i="23"/>
  <c r="A81" i="23"/>
  <c r="B81" i="23"/>
  <c r="D81" i="23"/>
  <c r="G81" i="23"/>
  <c r="A82" i="23"/>
  <c r="B82" i="23"/>
  <c r="D82" i="23"/>
  <c r="G82" i="23"/>
  <c r="A83" i="23"/>
  <c r="B83" i="23"/>
  <c r="D83" i="23"/>
  <c r="G83" i="23"/>
  <c r="A84" i="23"/>
  <c r="B84" i="23"/>
  <c r="D84" i="23"/>
  <c r="G84" i="23"/>
  <c r="A85" i="23"/>
  <c r="B85" i="23"/>
  <c r="D85" i="23"/>
  <c r="G85" i="23"/>
  <c r="A86" i="23"/>
  <c r="B86" i="23"/>
  <c r="D86" i="23"/>
  <c r="G86" i="23"/>
  <c r="A87" i="23"/>
  <c r="B87" i="23"/>
  <c r="D87" i="23"/>
  <c r="G87" i="23"/>
  <c r="A88" i="23"/>
  <c r="B88" i="23"/>
  <c r="D88" i="23"/>
  <c r="G88" i="23"/>
  <c r="A89" i="23"/>
  <c r="B89" i="23"/>
  <c r="D89" i="23"/>
  <c r="G89" i="23"/>
  <c r="A90" i="23"/>
  <c r="B90" i="23"/>
  <c r="D90" i="23"/>
  <c r="G90" i="23"/>
  <c r="A91" i="23"/>
  <c r="B91" i="23"/>
  <c r="D91" i="23"/>
  <c r="G91" i="23"/>
  <c r="A92" i="23"/>
  <c r="B92" i="23"/>
  <c r="D92" i="23"/>
  <c r="G92" i="23"/>
  <c r="A93" i="23"/>
  <c r="B93" i="23"/>
  <c r="D93" i="23"/>
  <c r="G93" i="23"/>
  <c r="A94" i="23"/>
  <c r="B94" i="23"/>
  <c r="D94" i="23"/>
  <c r="G94" i="23"/>
  <c r="A95" i="23"/>
  <c r="B95" i="23"/>
  <c r="D95" i="23"/>
  <c r="G95" i="23"/>
  <c r="A96" i="23"/>
  <c r="B96" i="23"/>
  <c r="D96" i="23"/>
  <c r="G96" i="23"/>
  <c r="A97" i="23"/>
  <c r="B97" i="23"/>
  <c r="D97" i="23"/>
  <c r="G97" i="23"/>
  <c r="A98" i="23"/>
  <c r="B98" i="23"/>
  <c r="D98" i="23"/>
  <c r="G98" i="23"/>
  <c r="A99" i="23"/>
  <c r="B99" i="23"/>
  <c r="D99" i="23"/>
  <c r="G99" i="23"/>
  <c r="A100" i="23"/>
  <c r="B100" i="23"/>
  <c r="D100" i="23"/>
  <c r="G100" i="23"/>
  <c r="A101" i="23"/>
  <c r="B101" i="23"/>
  <c r="D101" i="23"/>
  <c r="G101" i="23"/>
  <c r="A102" i="23"/>
  <c r="B102" i="23"/>
  <c r="D102" i="23"/>
  <c r="G102" i="23"/>
  <c r="A103" i="23"/>
  <c r="B103" i="23"/>
  <c r="D103" i="23"/>
  <c r="G103" i="23"/>
  <c r="A104" i="23"/>
  <c r="B104" i="23"/>
  <c r="D104" i="23"/>
  <c r="G104" i="23"/>
  <c r="A105" i="23"/>
  <c r="B105" i="23"/>
  <c r="D105" i="23"/>
  <c r="G105" i="23"/>
  <c r="A106" i="23"/>
  <c r="B106" i="23"/>
  <c r="D106" i="23"/>
  <c r="G106" i="23"/>
  <c r="A107" i="23"/>
  <c r="B107" i="23"/>
  <c r="D107" i="23"/>
  <c r="G107" i="23"/>
  <c r="A108" i="23"/>
  <c r="B108" i="23"/>
  <c r="D108" i="23"/>
  <c r="G108" i="23"/>
  <c r="A109" i="23"/>
  <c r="B109" i="23"/>
  <c r="D109" i="23"/>
  <c r="G109" i="23"/>
  <c r="A110" i="23"/>
  <c r="B110" i="23"/>
  <c r="D110" i="23"/>
  <c r="G110" i="23"/>
  <c r="A111" i="23"/>
  <c r="B111" i="23"/>
  <c r="D111" i="23"/>
  <c r="G111" i="23"/>
  <c r="A112" i="23"/>
  <c r="B112" i="23"/>
  <c r="D112" i="23"/>
  <c r="G112" i="23"/>
  <c r="A113" i="23"/>
  <c r="B113" i="23"/>
  <c r="D113" i="23"/>
  <c r="G113" i="23"/>
  <c r="A114" i="23"/>
  <c r="B114" i="23"/>
  <c r="D114" i="23"/>
  <c r="G114" i="23"/>
  <c r="A115" i="23"/>
  <c r="B115" i="23"/>
  <c r="D115" i="23"/>
  <c r="G115" i="23"/>
  <c r="A116" i="23"/>
  <c r="B116" i="23"/>
  <c r="D116" i="23"/>
  <c r="G116" i="23"/>
  <c r="A117" i="23"/>
  <c r="B117" i="23"/>
  <c r="D117" i="23"/>
  <c r="G117" i="23"/>
  <c r="A118" i="23"/>
  <c r="B118" i="23"/>
  <c r="D118" i="23"/>
  <c r="G118" i="23"/>
  <c r="A119" i="23"/>
  <c r="B119" i="23"/>
  <c r="D119" i="23"/>
  <c r="G119" i="23"/>
  <c r="A120" i="23"/>
  <c r="B120" i="23"/>
  <c r="D120" i="23"/>
  <c r="G120" i="23"/>
  <c r="A121" i="23"/>
  <c r="B121" i="23"/>
  <c r="D121" i="23"/>
  <c r="G121" i="23"/>
  <c r="A122" i="23"/>
  <c r="B122" i="23"/>
  <c r="D122" i="23"/>
  <c r="G122" i="23"/>
  <c r="A123" i="23"/>
  <c r="B123" i="23"/>
  <c r="D123" i="23"/>
  <c r="G123" i="23"/>
  <c r="A124" i="23"/>
  <c r="B124" i="23"/>
  <c r="D124" i="23"/>
  <c r="G124" i="23"/>
  <c r="A125" i="23"/>
  <c r="B125" i="23"/>
  <c r="D125" i="23"/>
  <c r="G125" i="23"/>
  <c r="A126" i="23"/>
  <c r="B126" i="23"/>
  <c r="D126" i="23"/>
  <c r="G126" i="23"/>
  <c r="A127" i="23"/>
  <c r="B127" i="23"/>
  <c r="D127" i="23"/>
  <c r="G127" i="23"/>
  <c r="A128" i="23"/>
  <c r="B128" i="23"/>
  <c r="D128" i="23"/>
  <c r="G128" i="23"/>
  <c r="A129" i="23"/>
  <c r="B129" i="23"/>
  <c r="D129" i="23"/>
  <c r="G129" i="23"/>
  <c r="A130" i="23"/>
  <c r="B130" i="23"/>
  <c r="D130" i="23"/>
  <c r="G130" i="23"/>
  <c r="A131" i="23"/>
  <c r="B131" i="23"/>
  <c r="D131" i="23"/>
  <c r="G131" i="23"/>
  <c r="A132" i="23"/>
  <c r="B132" i="23"/>
  <c r="D132" i="23"/>
  <c r="G132" i="23"/>
  <c r="A133" i="23"/>
  <c r="B133" i="23"/>
  <c r="D133" i="23"/>
  <c r="G133" i="23"/>
  <c r="A134" i="23"/>
  <c r="B134" i="23"/>
  <c r="D134" i="23"/>
  <c r="G134" i="23"/>
  <c r="A135" i="23"/>
  <c r="B135" i="23"/>
  <c r="D135" i="23"/>
  <c r="G135" i="23"/>
  <c r="A136" i="23"/>
  <c r="B136" i="23"/>
  <c r="D136" i="23"/>
  <c r="G136" i="23"/>
  <c r="A137" i="23"/>
  <c r="B137" i="23"/>
  <c r="D137" i="23"/>
  <c r="G137" i="23"/>
  <c r="A138" i="23"/>
  <c r="B138" i="23"/>
  <c r="D138" i="23"/>
  <c r="G138" i="23"/>
  <c r="A139" i="23"/>
  <c r="B139" i="23"/>
  <c r="D139" i="23"/>
  <c r="G139" i="23"/>
  <c r="A140" i="23"/>
  <c r="B140" i="23"/>
  <c r="D140" i="23"/>
  <c r="G140" i="23"/>
  <c r="A141" i="23"/>
  <c r="B141" i="23"/>
  <c r="D141" i="23"/>
  <c r="G141" i="23"/>
  <c r="A142" i="23"/>
  <c r="B142" i="23"/>
  <c r="D142" i="23"/>
  <c r="G142" i="23"/>
  <c r="A143" i="23"/>
  <c r="B143" i="23"/>
  <c r="D143" i="23"/>
  <c r="G143" i="23"/>
  <c r="A144" i="23"/>
  <c r="B144" i="23"/>
  <c r="D144" i="23"/>
  <c r="G144" i="23"/>
  <c r="A145" i="23"/>
  <c r="B145" i="23"/>
  <c r="D145" i="23"/>
  <c r="G145" i="23"/>
  <c r="A146" i="23"/>
  <c r="B146" i="23"/>
  <c r="D146" i="23"/>
  <c r="G146" i="23"/>
  <c r="A147" i="23"/>
  <c r="B147" i="23"/>
  <c r="D147" i="23"/>
  <c r="G147" i="23"/>
  <c r="A148" i="23"/>
  <c r="B148" i="23"/>
  <c r="D148" i="23"/>
  <c r="G148" i="23"/>
  <c r="A149" i="23"/>
  <c r="B149" i="23"/>
  <c r="D149" i="23"/>
  <c r="G149" i="23"/>
  <c r="A150" i="23"/>
  <c r="B150" i="23"/>
  <c r="D150" i="23"/>
  <c r="G150" i="23"/>
  <c r="A151" i="23"/>
  <c r="B151" i="23"/>
  <c r="D151" i="23"/>
  <c r="G151" i="23"/>
  <c r="A152" i="23"/>
  <c r="B152" i="23"/>
  <c r="D152" i="23"/>
  <c r="G152" i="23"/>
  <c r="A153" i="23"/>
  <c r="B153" i="23"/>
  <c r="D153" i="23"/>
  <c r="G153" i="23"/>
  <c r="A154" i="23"/>
  <c r="B154" i="23"/>
  <c r="D154" i="23"/>
  <c r="G154" i="23"/>
  <c r="A155" i="23"/>
  <c r="B155" i="23"/>
  <c r="D155" i="23"/>
  <c r="G155" i="23"/>
  <c r="A156" i="23"/>
  <c r="B156" i="23"/>
  <c r="D156" i="23"/>
  <c r="G156" i="23"/>
  <c r="A157" i="23"/>
  <c r="B157" i="23"/>
  <c r="D157" i="23"/>
  <c r="G157" i="23"/>
  <c r="A158" i="23"/>
  <c r="B158" i="23"/>
  <c r="D158" i="23"/>
  <c r="G158" i="23"/>
  <c r="A159" i="23"/>
  <c r="B159" i="23"/>
  <c r="D159" i="23"/>
  <c r="G159" i="23"/>
  <c r="A160" i="23"/>
  <c r="B160" i="23"/>
  <c r="D160" i="23"/>
  <c r="G160" i="23"/>
  <c r="A161" i="23"/>
  <c r="B161" i="23"/>
  <c r="D161" i="23"/>
  <c r="G161" i="23"/>
  <c r="A162" i="23"/>
  <c r="B162" i="23"/>
  <c r="D162" i="23"/>
  <c r="G162" i="23"/>
  <c r="A163" i="23"/>
  <c r="B163" i="23"/>
  <c r="D163" i="23"/>
  <c r="G163" i="23"/>
  <c r="A164" i="23"/>
  <c r="B164" i="23"/>
  <c r="D164" i="23"/>
  <c r="G164" i="23"/>
  <c r="A165" i="23"/>
  <c r="B165" i="23"/>
  <c r="D165" i="23"/>
  <c r="G165" i="23"/>
  <c r="A166" i="23"/>
  <c r="B166" i="23"/>
  <c r="D166" i="23"/>
  <c r="G166" i="23"/>
  <c r="A167" i="23"/>
  <c r="B167" i="23"/>
  <c r="D167" i="23"/>
  <c r="G167" i="23"/>
  <c r="A168" i="23"/>
  <c r="B168" i="23"/>
  <c r="D168" i="23"/>
  <c r="G168" i="23"/>
  <c r="A169" i="23"/>
  <c r="B169" i="23"/>
  <c r="D169" i="23"/>
  <c r="G169" i="23"/>
  <c r="A170" i="23"/>
  <c r="B170" i="23"/>
  <c r="D170" i="23"/>
  <c r="G170" i="23"/>
  <c r="A171" i="23"/>
  <c r="B171" i="23"/>
  <c r="D171" i="23"/>
  <c r="G171" i="23"/>
  <c r="A172" i="23"/>
  <c r="B172" i="23"/>
  <c r="D172" i="23"/>
  <c r="G172" i="23"/>
  <c r="A173" i="23"/>
  <c r="B173" i="23"/>
  <c r="D173" i="23"/>
  <c r="G173" i="23"/>
  <c r="A174" i="23"/>
  <c r="B174" i="23"/>
  <c r="D174" i="23"/>
  <c r="G174" i="23"/>
  <c r="A175" i="23"/>
  <c r="B175" i="23"/>
  <c r="D175" i="23"/>
  <c r="G175" i="23"/>
  <c r="A176" i="23"/>
  <c r="B176" i="23"/>
  <c r="D176" i="23"/>
  <c r="G176" i="23"/>
  <c r="A177" i="23"/>
  <c r="B177" i="23"/>
  <c r="D177" i="23"/>
  <c r="G177" i="23"/>
  <c r="A178" i="23"/>
  <c r="B178" i="23"/>
  <c r="D178" i="23"/>
  <c r="G178" i="23"/>
  <c r="A179" i="23"/>
  <c r="B179" i="23"/>
  <c r="D179" i="23"/>
  <c r="G179" i="23"/>
  <c r="A180" i="23"/>
  <c r="B180" i="23"/>
  <c r="D180" i="23"/>
  <c r="G180" i="23"/>
  <c r="A181" i="23"/>
  <c r="B181" i="23"/>
  <c r="D181" i="23"/>
  <c r="G181" i="23"/>
  <c r="A182" i="23"/>
  <c r="B182" i="23"/>
  <c r="D182" i="23"/>
  <c r="G182" i="23"/>
  <c r="A183" i="23"/>
  <c r="B183" i="23"/>
  <c r="D183" i="23"/>
  <c r="G183" i="23"/>
  <c r="A184" i="23"/>
  <c r="B184" i="23"/>
  <c r="D184" i="23"/>
  <c r="G184" i="23"/>
  <c r="A185" i="23"/>
  <c r="B185" i="23"/>
  <c r="D185" i="23"/>
  <c r="G185" i="23"/>
  <c r="A186" i="23"/>
  <c r="B186" i="23"/>
  <c r="D186" i="23"/>
  <c r="G186" i="23"/>
  <c r="A187" i="23"/>
  <c r="B187" i="23"/>
  <c r="D187" i="23"/>
  <c r="G187" i="23"/>
  <c r="A188" i="23"/>
  <c r="B188" i="23"/>
  <c r="D188" i="23"/>
  <c r="G188" i="23"/>
  <c r="A189" i="23"/>
  <c r="B189" i="23"/>
  <c r="D189" i="23"/>
  <c r="G189" i="23"/>
  <c r="A190" i="23"/>
  <c r="B190" i="23"/>
  <c r="D190" i="23"/>
  <c r="G190" i="23"/>
  <c r="A191" i="23"/>
  <c r="B191" i="23"/>
  <c r="D191" i="23"/>
  <c r="G191" i="23"/>
  <c r="A192" i="23"/>
  <c r="B192" i="23"/>
  <c r="D192" i="23"/>
  <c r="G192" i="23"/>
  <c r="A193" i="23"/>
  <c r="B193" i="23"/>
  <c r="D193" i="23"/>
  <c r="G193" i="23"/>
  <c r="A194" i="23"/>
  <c r="B194" i="23"/>
  <c r="D194" i="23"/>
  <c r="G194" i="23"/>
  <c r="A195" i="23"/>
  <c r="B195" i="23"/>
  <c r="D195" i="23"/>
  <c r="G195" i="23"/>
  <c r="A196" i="23"/>
  <c r="B196" i="23"/>
  <c r="D196" i="23"/>
  <c r="G196" i="23"/>
  <c r="A197" i="23"/>
  <c r="B197" i="23"/>
  <c r="D197" i="23"/>
  <c r="G197" i="23"/>
  <c r="A198" i="23"/>
  <c r="B198" i="23"/>
  <c r="D198" i="23"/>
  <c r="G198" i="23"/>
  <c r="A199" i="23"/>
  <c r="B199" i="23"/>
  <c r="D199" i="23"/>
  <c r="G199" i="23"/>
  <c r="A200" i="23"/>
  <c r="B200" i="23"/>
  <c r="D200" i="23"/>
  <c r="G200" i="23"/>
  <c r="A201" i="23"/>
  <c r="B201" i="23"/>
  <c r="D201" i="23"/>
  <c r="G201" i="23"/>
  <c r="A202" i="23"/>
  <c r="B202" i="23"/>
  <c r="D202" i="23"/>
  <c r="G202" i="23"/>
  <c r="A203" i="23"/>
  <c r="B203" i="23"/>
  <c r="D203" i="23"/>
  <c r="G203" i="23"/>
  <c r="A204" i="23"/>
  <c r="B204" i="23"/>
  <c r="D204" i="23"/>
  <c r="G204" i="23"/>
  <c r="A205" i="23"/>
  <c r="B205" i="23"/>
  <c r="D205" i="23"/>
  <c r="G205" i="23"/>
  <c r="A206" i="23"/>
  <c r="B206" i="23"/>
  <c r="D206" i="23"/>
  <c r="G206" i="23"/>
  <c r="A207" i="23"/>
  <c r="B207" i="23"/>
  <c r="D207" i="23"/>
  <c r="G207" i="23"/>
  <c r="A208" i="23"/>
  <c r="B208" i="23"/>
  <c r="D208" i="23"/>
  <c r="G208" i="23"/>
  <c r="A209" i="23"/>
  <c r="B209" i="23"/>
  <c r="D209" i="23"/>
  <c r="G209" i="23"/>
  <c r="A210" i="23"/>
  <c r="B210" i="23"/>
  <c r="D210" i="23"/>
  <c r="G210" i="23"/>
  <c r="A211" i="23"/>
  <c r="B211" i="23"/>
  <c r="D211" i="23"/>
  <c r="G211" i="23"/>
  <c r="A212" i="23"/>
  <c r="B212" i="23"/>
  <c r="D212" i="23"/>
  <c r="G212" i="23"/>
  <c r="A213" i="23"/>
  <c r="B213" i="23"/>
  <c r="D213" i="23"/>
  <c r="G213" i="23"/>
  <c r="A214" i="23"/>
  <c r="B214" i="23"/>
  <c r="D214" i="23"/>
  <c r="G214" i="23"/>
  <c r="A215" i="23"/>
  <c r="B215" i="23"/>
  <c r="D215" i="23"/>
  <c r="G215" i="23"/>
  <c r="A216" i="23"/>
  <c r="B216" i="23"/>
  <c r="D216" i="23"/>
  <c r="G216" i="23"/>
  <c r="A217" i="23"/>
  <c r="B217" i="23"/>
  <c r="D217" i="23"/>
  <c r="G217" i="23"/>
  <c r="A218" i="23"/>
  <c r="B218" i="23"/>
  <c r="D218" i="23"/>
  <c r="G218" i="23"/>
  <c r="A219" i="23"/>
  <c r="B219" i="23"/>
  <c r="D219" i="23"/>
  <c r="G219" i="23"/>
  <c r="A220" i="23"/>
  <c r="B220" i="23"/>
  <c r="D220" i="23"/>
  <c r="G220" i="23"/>
  <c r="A221" i="23"/>
  <c r="B221" i="23"/>
  <c r="D221" i="23"/>
  <c r="G221" i="23"/>
  <c r="A222" i="23"/>
  <c r="B222" i="23"/>
  <c r="D222" i="23"/>
  <c r="G222" i="23"/>
  <c r="A223" i="23"/>
  <c r="B223" i="23"/>
  <c r="D223" i="23"/>
  <c r="G223" i="23"/>
  <c r="A224" i="23"/>
  <c r="B224" i="23"/>
  <c r="D224" i="23"/>
  <c r="G224" i="23"/>
  <c r="A225" i="23"/>
  <c r="B225" i="23"/>
  <c r="D225" i="23"/>
  <c r="G225" i="23"/>
  <c r="A226" i="23"/>
  <c r="B226" i="23"/>
  <c r="D226" i="23"/>
  <c r="G226" i="23"/>
  <c r="A227" i="23"/>
  <c r="B227" i="23"/>
  <c r="D227" i="23"/>
  <c r="G227" i="23"/>
  <c r="A228" i="23"/>
  <c r="B228" i="23"/>
  <c r="D228" i="23"/>
  <c r="G228" i="23"/>
  <c r="A229" i="23"/>
  <c r="B229" i="23"/>
  <c r="D229" i="23"/>
  <c r="G229" i="23"/>
  <c r="A230" i="23"/>
  <c r="B230" i="23"/>
  <c r="D230" i="23"/>
  <c r="G230" i="23"/>
  <c r="A231" i="23"/>
  <c r="B231" i="23"/>
  <c r="D231" i="23"/>
  <c r="G231" i="23"/>
  <c r="A232" i="23"/>
  <c r="B232" i="23"/>
  <c r="D232" i="23"/>
  <c r="G232" i="23"/>
  <c r="A233" i="23"/>
  <c r="B233" i="23"/>
  <c r="D233" i="23"/>
  <c r="G233" i="23"/>
  <c r="A234" i="23"/>
  <c r="B234" i="23"/>
  <c r="D234" i="23"/>
  <c r="G234" i="23"/>
  <c r="A235" i="23"/>
  <c r="B235" i="23"/>
  <c r="D235" i="23"/>
  <c r="G235" i="23"/>
  <c r="A236" i="23"/>
  <c r="B236" i="23"/>
  <c r="D236" i="23"/>
  <c r="G236" i="23"/>
  <c r="A237" i="23"/>
  <c r="B237" i="23"/>
  <c r="D237" i="23"/>
  <c r="G237" i="23"/>
  <c r="A238" i="23"/>
  <c r="B238" i="23"/>
  <c r="D238" i="23"/>
  <c r="G238" i="23"/>
  <c r="A239" i="23"/>
  <c r="B239" i="23"/>
  <c r="D239" i="23"/>
  <c r="G239" i="23"/>
  <c r="A240" i="23"/>
  <c r="B240" i="23"/>
  <c r="D240" i="23"/>
  <c r="G240" i="23"/>
  <c r="A241" i="23"/>
  <c r="B241" i="23"/>
  <c r="D241" i="23"/>
  <c r="G241" i="23"/>
  <c r="A242" i="23"/>
  <c r="B242" i="23"/>
  <c r="D242" i="23"/>
  <c r="G242" i="23"/>
  <c r="A243" i="23"/>
  <c r="B243" i="23"/>
  <c r="D243" i="23"/>
  <c r="G243" i="23"/>
  <c r="A244" i="23"/>
  <c r="B244" i="23"/>
  <c r="D244" i="23"/>
  <c r="G244" i="23"/>
  <c r="A245" i="23"/>
  <c r="B245" i="23"/>
  <c r="D245" i="23"/>
  <c r="G245" i="23"/>
  <c r="A246" i="23"/>
  <c r="B246" i="23"/>
  <c r="D246" i="23"/>
  <c r="G246" i="23"/>
  <c r="A247" i="23"/>
  <c r="B247" i="23"/>
  <c r="D247" i="23"/>
  <c r="G247" i="23"/>
  <c r="A248" i="23"/>
  <c r="B248" i="23"/>
  <c r="D248" i="23"/>
  <c r="G248" i="23"/>
  <c r="A249" i="23"/>
  <c r="B249" i="23"/>
  <c r="D249" i="23"/>
  <c r="G249" i="23"/>
  <c r="A250" i="23"/>
  <c r="B250" i="23"/>
  <c r="D250" i="23"/>
  <c r="G250" i="23"/>
  <c r="A251" i="23"/>
  <c r="B251" i="23"/>
  <c r="D251" i="23"/>
  <c r="G251" i="23"/>
  <c r="A252" i="23"/>
  <c r="B252" i="23"/>
  <c r="D252" i="23"/>
  <c r="G252" i="23"/>
  <c r="A253" i="23"/>
  <c r="B253" i="23"/>
  <c r="D253" i="23"/>
  <c r="G253" i="23"/>
  <c r="A254" i="23"/>
  <c r="B254" i="23"/>
  <c r="D254" i="23"/>
  <c r="G254" i="23"/>
  <c r="A255" i="23"/>
  <c r="B255" i="23"/>
  <c r="D255" i="23"/>
  <c r="G255" i="23"/>
  <c r="A256" i="23"/>
  <c r="B256" i="23"/>
  <c r="D256" i="23"/>
  <c r="G256" i="23"/>
  <c r="A257" i="23"/>
  <c r="B257" i="23"/>
  <c r="D257" i="23"/>
  <c r="G257" i="23"/>
  <c r="A258" i="23"/>
  <c r="B258" i="23"/>
  <c r="D258" i="23"/>
  <c r="G258" i="23"/>
  <c r="A259" i="23"/>
  <c r="B259" i="23"/>
  <c r="D259" i="23"/>
  <c r="G259" i="23"/>
  <c r="A260" i="23"/>
  <c r="B260" i="23"/>
  <c r="D260" i="23"/>
  <c r="G260" i="23"/>
  <c r="A261" i="23"/>
  <c r="B261" i="23"/>
  <c r="D261" i="23"/>
  <c r="G261" i="23"/>
  <c r="A262" i="23"/>
  <c r="B262" i="23"/>
  <c r="D262" i="23"/>
  <c r="G262" i="23"/>
  <c r="A263" i="23"/>
  <c r="B263" i="23"/>
  <c r="D263" i="23"/>
  <c r="G263" i="23"/>
  <c r="A264" i="23"/>
  <c r="B264" i="23"/>
  <c r="D264" i="23"/>
  <c r="G264" i="23"/>
  <c r="A265" i="23"/>
  <c r="B265" i="23"/>
  <c r="D265" i="23"/>
  <c r="G265" i="23"/>
  <c r="A266" i="23"/>
  <c r="B266" i="23"/>
  <c r="D266" i="23"/>
  <c r="G266" i="23"/>
  <c r="A267" i="23"/>
  <c r="B267" i="23"/>
  <c r="D267" i="23"/>
  <c r="G267" i="23"/>
  <c r="A268" i="23"/>
  <c r="B268" i="23"/>
  <c r="D268" i="23"/>
  <c r="G268" i="23"/>
  <c r="A269" i="23"/>
  <c r="B269" i="23"/>
  <c r="D269" i="23"/>
  <c r="G269" i="23"/>
  <c r="A270" i="23"/>
  <c r="B270" i="23"/>
  <c r="D270" i="23"/>
  <c r="G270" i="23"/>
  <c r="A271" i="23"/>
  <c r="B271" i="23"/>
  <c r="D271" i="23"/>
  <c r="G271" i="23"/>
  <c r="A272" i="23"/>
  <c r="B272" i="23"/>
  <c r="D272" i="23"/>
  <c r="G272" i="23"/>
  <c r="A273" i="23"/>
  <c r="B273" i="23"/>
  <c r="D273" i="23"/>
  <c r="G273" i="23"/>
  <c r="A274" i="23"/>
  <c r="B274" i="23"/>
  <c r="D274" i="23"/>
  <c r="G274" i="23"/>
  <c r="A275" i="23"/>
  <c r="B275" i="23"/>
  <c r="D275" i="23"/>
  <c r="G275" i="23"/>
  <c r="A276" i="23"/>
  <c r="B276" i="23"/>
  <c r="D276" i="23"/>
  <c r="G276" i="23"/>
  <c r="A277" i="23"/>
  <c r="B277" i="23"/>
  <c r="D277" i="23"/>
  <c r="G277" i="23"/>
  <c r="A278" i="23"/>
  <c r="B278" i="23"/>
  <c r="D278" i="23"/>
  <c r="G278" i="23"/>
  <c r="A279" i="23"/>
  <c r="B279" i="23"/>
  <c r="D279" i="23"/>
  <c r="G279" i="23"/>
  <c r="A280" i="23"/>
  <c r="B280" i="23"/>
  <c r="D280" i="23"/>
  <c r="G280" i="23"/>
  <c r="A281" i="23"/>
  <c r="B281" i="23"/>
  <c r="D281" i="23"/>
  <c r="G281" i="23"/>
  <c r="A282" i="23"/>
  <c r="B282" i="23"/>
  <c r="D282" i="23"/>
  <c r="G282" i="23"/>
  <c r="A283" i="23"/>
  <c r="B283" i="23"/>
  <c r="D283" i="23"/>
  <c r="G283" i="23"/>
  <c r="A284" i="23"/>
  <c r="B284" i="23"/>
  <c r="D284" i="23"/>
  <c r="G284" i="23"/>
  <c r="A285" i="23"/>
  <c r="B285" i="23"/>
  <c r="D285" i="23"/>
  <c r="G285" i="23"/>
  <c r="A286" i="23"/>
  <c r="B286" i="23"/>
  <c r="D286" i="23"/>
  <c r="G286" i="23"/>
  <c r="A287" i="23"/>
  <c r="B287" i="23"/>
  <c r="D287" i="23"/>
  <c r="G287" i="23"/>
  <c r="A288" i="23"/>
  <c r="B288" i="23"/>
  <c r="D288" i="23"/>
  <c r="G288" i="23"/>
  <c r="A289" i="23"/>
  <c r="B289" i="23"/>
  <c r="D289" i="23"/>
  <c r="G289" i="23"/>
  <c r="A290" i="23"/>
  <c r="B290" i="23"/>
  <c r="D290" i="23"/>
  <c r="G290" i="23"/>
  <c r="A291" i="23"/>
  <c r="B291" i="23"/>
  <c r="D291" i="23"/>
  <c r="G291" i="23"/>
  <c r="A292" i="23"/>
  <c r="B292" i="23"/>
  <c r="D292" i="23"/>
  <c r="G292" i="23"/>
  <c r="A293" i="23"/>
  <c r="B293" i="23"/>
  <c r="D293" i="23"/>
  <c r="G293" i="23"/>
  <c r="A294" i="23"/>
  <c r="B294" i="23"/>
  <c r="D294" i="23"/>
  <c r="G294" i="23"/>
  <c r="A295" i="23"/>
  <c r="B295" i="23"/>
  <c r="D295" i="23"/>
  <c r="G295" i="23"/>
  <c r="A296" i="23"/>
  <c r="B296" i="23"/>
  <c r="D296" i="23"/>
  <c r="G296" i="23"/>
  <c r="A297" i="23"/>
  <c r="B297" i="23"/>
  <c r="D297" i="23"/>
  <c r="G297" i="23"/>
  <c r="A298" i="23"/>
  <c r="B298" i="23"/>
  <c r="D298" i="23"/>
  <c r="G298" i="23"/>
  <c r="A299" i="23"/>
  <c r="B299" i="23"/>
  <c r="D299" i="23"/>
  <c r="G299" i="23"/>
  <c r="A300" i="23"/>
  <c r="B300" i="23"/>
  <c r="D300" i="23"/>
  <c r="G300" i="23"/>
  <c r="A301" i="23"/>
  <c r="B301" i="23"/>
  <c r="D301" i="23"/>
  <c r="G301" i="23"/>
  <c r="A302" i="23"/>
  <c r="B302" i="23"/>
  <c r="D302" i="23"/>
  <c r="G302" i="23"/>
  <c r="A303" i="23"/>
  <c r="B303" i="23"/>
  <c r="D303" i="23"/>
  <c r="G303" i="23"/>
  <c r="A304" i="23"/>
  <c r="B304" i="23"/>
  <c r="D304" i="23"/>
  <c r="G304" i="23"/>
  <c r="A305" i="23"/>
  <c r="B305" i="23"/>
  <c r="D305" i="23"/>
  <c r="G305" i="23"/>
  <c r="A306" i="23"/>
  <c r="B306" i="23"/>
  <c r="D306" i="23"/>
  <c r="G306" i="23"/>
  <c r="A307" i="23"/>
  <c r="B307" i="23"/>
  <c r="D307" i="23"/>
  <c r="G307" i="23"/>
  <c r="A308" i="23"/>
  <c r="B308" i="23"/>
  <c r="D308" i="23"/>
  <c r="G308" i="23"/>
  <c r="A309" i="23"/>
  <c r="B309" i="23"/>
  <c r="D309" i="23"/>
  <c r="G309" i="23"/>
  <c r="A310" i="23"/>
  <c r="B310" i="23"/>
  <c r="D310" i="23"/>
  <c r="G310" i="23"/>
  <c r="A311" i="23"/>
  <c r="B311" i="23"/>
  <c r="D311" i="23"/>
  <c r="G311" i="23"/>
  <c r="A312" i="23"/>
  <c r="B312" i="23"/>
  <c r="D312" i="23"/>
  <c r="G312" i="23"/>
  <c r="A313" i="23"/>
  <c r="B313" i="23"/>
  <c r="D313" i="23"/>
  <c r="G313" i="23"/>
  <c r="A314" i="23"/>
  <c r="B314" i="23"/>
  <c r="D314" i="23"/>
  <c r="G314" i="23"/>
  <c r="A315" i="23"/>
  <c r="B315" i="23"/>
  <c r="D315" i="23"/>
  <c r="G315" i="23"/>
  <c r="A316" i="23"/>
  <c r="B316" i="23"/>
  <c r="D316" i="23"/>
  <c r="G316" i="23"/>
  <c r="A317" i="23"/>
  <c r="B317" i="23"/>
  <c r="D317" i="23"/>
  <c r="G317" i="23"/>
  <c r="A318" i="23"/>
  <c r="B318" i="23"/>
  <c r="D318" i="23"/>
  <c r="G318" i="23"/>
  <c r="A319" i="23"/>
  <c r="B319" i="23"/>
  <c r="D319" i="23"/>
  <c r="G319" i="23"/>
  <c r="A320" i="23"/>
  <c r="B320" i="23"/>
  <c r="D320" i="23"/>
  <c r="G320" i="23"/>
  <c r="A321" i="23"/>
  <c r="B321" i="23"/>
  <c r="D321" i="23"/>
  <c r="G321" i="23"/>
  <c r="A322" i="23"/>
  <c r="B322" i="23"/>
  <c r="D322" i="23"/>
  <c r="G322" i="23"/>
  <c r="A323" i="23"/>
  <c r="B323" i="23"/>
  <c r="D323" i="23"/>
  <c r="G323" i="23"/>
  <c r="A324" i="23"/>
  <c r="B324" i="23"/>
  <c r="D324" i="23"/>
  <c r="G324" i="23"/>
  <c r="A325" i="23"/>
  <c r="B325" i="23"/>
  <c r="D325" i="23"/>
  <c r="G325" i="23"/>
  <c r="A326" i="23"/>
  <c r="B326" i="23"/>
  <c r="D326" i="23"/>
  <c r="G326" i="23"/>
  <c r="A327" i="23"/>
  <c r="B327" i="23"/>
  <c r="D327" i="23"/>
  <c r="G327" i="23"/>
  <c r="A328" i="23"/>
  <c r="B328" i="23"/>
  <c r="D328" i="23"/>
  <c r="G328" i="23"/>
  <c r="A329" i="23"/>
  <c r="B329" i="23"/>
  <c r="D329" i="23"/>
  <c r="G329" i="23"/>
  <c r="A330" i="23"/>
  <c r="B330" i="23"/>
  <c r="D330" i="23"/>
  <c r="G330" i="23"/>
  <c r="A331" i="23"/>
  <c r="B331" i="23"/>
  <c r="D331" i="23"/>
  <c r="G331" i="23"/>
  <c r="A332" i="23"/>
  <c r="B332" i="23"/>
  <c r="D332" i="23"/>
  <c r="G332" i="23"/>
  <c r="A333" i="23"/>
  <c r="B333" i="23"/>
  <c r="D333" i="23"/>
  <c r="G333" i="23"/>
  <c r="A334" i="23"/>
  <c r="B334" i="23"/>
  <c r="D334" i="23"/>
  <c r="G334" i="23"/>
  <c r="A335" i="23"/>
  <c r="B335" i="23"/>
  <c r="D335" i="23"/>
  <c r="G335" i="23"/>
  <c r="A336" i="23"/>
  <c r="B336" i="23"/>
  <c r="D336" i="23"/>
  <c r="G336" i="23"/>
  <c r="A337" i="23"/>
  <c r="B337" i="23"/>
  <c r="D337" i="23"/>
  <c r="G337" i="23"/>
  <c r="A338" i="23"/>
  <c r="B338" i="23"/>
  <c r="D338" i="23"/>
  <c r="G338" i="23"/>
  <c r="A339" i="23"/>
  <c r="B339" i="23"/>
  <c r="D339" i="23"/>
  <c r="G339" i="23"/>
  <c r="A340" i="23"/>
  <c r="B340" i="23"/>
  <c r="D340" i="23"/>
  <c r="G340" i="23"/>
  <c r="A341" i="23"/>
  <c r="B341" i="23"/>
  <c r="D341" i="23"/>
  <c r="G341" i="23"/>
  <c r="A342" i="23"/>
  <c r="B342" i="23"/>
  <c r="D342" i="23"/>
  <c r="G342" i="23"/>
  <c r="A343" i="23"/>
  <c r="B343" i="23"/>
  <c r="D343" i="23"/>
  <c r="G343" i="23"/>
  <c r="A344" i="23"/>
  <c r="B344" i="23"/>
  <c r="D344" i="23"/>
  <c r="G344" i="23"/>
  <c r="A345" i="23"/>
  <c r="B345" i="23"/>
  <c r="D345" i="23"/>
  <c r="G345" i="23"/>
  <c r="A346" i="23"/>
  <c r="B346" i="23"/>
  <c r="D346" i="23"/>
  <c r="G346" i="23"/>
  <c r="A347" i="23"/>
  <c r="B347" i="23"/>
  <c r="D347" i="23"/>
  <c r="G347" i="23"/>
  <c r="A348" i="23"/>
  <c r="B348" i="23"/>
  <c r="D348" i="23"/>
  <c r="G348" i="23"/>
  <c r="A349" i="23"/>
  <c r="B349" i="23"/>
  <c r="D349" i="23"/>
  <c r="G349" i="23"/>
  <c r="A350" i="23"/>
  <c r="B350" i="23"/>
  <c r="D350" i="23"/>
  <c r="G350" i="23"/>
  <c r="A351" i="23"/>
  <c r="B351" i="23"/>
  <c r="D351" i="23"/>
  <c r="G351" i="23"/>
  <c r="A352" i="23"/>
  <c r="B352" i="23"/>
  <c r="D352" i="23"/>
  <c r="G352" i="23"/>
  <c r="A353" i="23"/>
  <c r="B353" i="23"/>
  <c r="D353" i="23"/>
  <c r="G353" i="23"/>
  <c r="A354" i="23"/>
  <c r="B354" i="23"/>
  <c r="D354" i="23"/>
  <c r="G354" i="23"/>
  <c r="A355" i="23"/>
  <c r="B355" i="23"/>
  <c r="D355" i="23"/>
  <c r="G355" i="23"/>
  <c r="A356" i="23"/>
  <c r="B356" i="23"/>
  <c r="D356" i="23"/>
  <c r="G356" i="23"/>
  <c r="A357" i="23"/>
  <c r="B357" i="23"/>
  <c r="D357" i="23"/>
  <c r="G357" i="23"/>
  <c r="A358" i="23"/>
  <c r="B358" i="23"/>
  <c r="D358" i="23"/>
  <c r="G358" i="23"/>
  <c r="A359" i="23"/>
  <c r="B359" i="23"/>
  <c r="D359" i="23"/>
  <c r="G359" i="23"/>
  <c r="A360" i="23"/>
  <c r="B360" i="23"/>
  <c r="D360" i="23"/>
  <c r="G360" i="23"/>
  <c r="A361" i="23"/>
  <c r="B361" i="23"/>
  <c r="D361" i="23"/>
  <c r="G361" i="23"/>
  <c r="A362" i="23"/>
  <c r="B362" i="23"/>
  <c r="D362" i="23"/>
  <c r="G362" i="23"/>
  <c r="A363" i="23"/>
  <c r="B363" i="23"/>
  <c r="D363" i="23"/>
  <c r="G363" i="23"/>
  <c r="A364" i="23"/>
  <c r="B364" i="23"/>
  <c r="D364" i="23"/>
  <c r="G364" i="23"/>
  <c r="A365" i="23"/>
  <c r="B365" i="23"/>
  <c r="D365" i="23"/>
  <c r="G365" i="23"/>
  <c r="A366" i="23"/>
  <c r="B366" i="23"/>
  <c r="D366" i="23"/>
  <c r="G366" i="23"/>
  <c r="A367" i="23"/>
  <c r="B367" i="23"/>
  <c r="D367" i="23"/>
  <c r="G367" i="23"/>
  <c r="A368" i="23"/>
  <c r="B368" i="23"/>
  <c r="D368" i="23"/>
  <c r="G368" i="23"/>
  <c r="A369" i="23"/>
  <c r="B369" i="23"/>
  <c r="D369" i="23"/>
  <c r="G369" i="23"/>
  <c r="A370" i="23"/>
  <c r="B370" i="23"/>
  <c r="D370" i="23"/>
  <c r="G370" i="23"/>
  <c r="A371" i="23"/>
  <c r="B371" i="23"/>
  <c r="D371" i="23"/>
  <c r="G371" i="23"/>
  <c r="A372" i="23"/>
  <c r="B372" i="23"/>
  <c r="D372" i="23"/>
  <c r="G372" i="23"/>
  <c r="A373" i="23"/>
  <c r="B373" i="23"/>
  <c r="D373" i="23"/>
  <c r="G373" i="23"/>
  <c r="A374" i="23"/>
  <c r="B374" i="23"/>
  <c r="D374" i="23"/>
  <c r="G374" i="23"/>
  <c r="A375" i="23"/>
  <c r="B375" i="23"/>
  <c r="D375" i="23"/>
  <c r="G375" i="23"/>
  <c r="A376" i="23"/>
  <c r="B376" i="23"/>
  <c r="D376" i="23"/>
  <c r="G376" i="23"/>
  <c r="A377" i="23"/>
  <c r="B377" i="23"/>
  <c r="D377" i="23"/>
  <c r="G377" i="23"/>
  <c r="A378" i="23"/>
  <c r="B378" i="23"/>
  <c r="D378" i="23"/>
  <c r="G378" i="23"/>
  <c r="A379" i="23"/>
  <c r="B379" i="23"/>
  <c r="D379" i="23"/>
  <c r="G379" i="23"/>
  <c r="A380" i="23"/>
  <c r="B380" i="23"/>
  <c r="D380" i="23"/>
  <c r="G380" i="23"/>
  <c r="A381" i="23"/>
  <c r="B381" i="23"/>
  <c r="D381" i="23"/>
  <c r="G381" i="23"/>
  <c r="A382" i="23"/>
  <c r="B382" i="23"/>
  <c r="D382" i="23"/>
  <c r="G382" i="23"/>
  <c r="A383" i="23"/>
  <c r="B383" i="23"/>
  <c r="D383" i="23"/>
  <c r="G383" i="23"/>
  <c r="A384" i="23"/>
  <c r="B384" i="23"/>
  <c r="D384" i="23"/>
  <c r="G384" i="23"/>
  <c r="A385" i="23"/>
  <c r="B385" i="23"/>
  <c r="D385" i="23"/>
  <c r="G385" i="23"/>
  <c r="A386" i="23"/>
  <c r="B386" i="23"/>
  <c r="D386" i="23"/>
  <c r="G386" i="23"/>
  <c r="A387" i="23"/>
  <c r="B387" i="23"/>
  <c r="D387" i="23"/>
  <c r="G387" i="23"/>
  <c r="A388" i="23"/>
  <c r="B388" i="23"/>
  <c r="D388" i="23"/>
  <c r="G388" i="23"/>
  <c r="A389" i="23"/>
  <c r="B389" i="23"/>
  <c r="D389" i="23"/>
  <c r="G389" i="23"/>
  <c r="A390" i="23"/>
  <c r="B390" i="23"/>
  <c r="D390" i="23"/>
  <c r="G390" i="23"/>
  <c r="A391" i="23"/>
  <c r="B391" i="23"/>
  <c r="D391" i="23"/>
  <c r="G391" i="23"/>
  <c r="A392" i="23"/>
  <c r="B392" i="23"/>
  <c r="D392" i="23"/>
  <c r="G392" i="23"/>
  <c r="A393" i="23"/>
  <c r="B393" i="23"/>
  <c r="D393" i="23"/>
  <c r="G393" i="23"/>
  <c r="A394" i="23"/>
  <c r="B394" i="23"/>
  <c r="D394" i="23"/>
  <c r="G394" i="23"/>
  <c r="A395" i="23"/>
  <c r="B395" i="23"/>
  <c r="D395" i="23"/>
  <c r="G395" i="23"/>
  <c r="A396" i="23"/>
  <c r="B396" i="23"/>
  <c r="D396" i="23"/>
  <c r="G396" i="23"/>
  <c r="A397" i="23"/>
  <c r="B397" i="23"/>
  <c r="D397" i="23"/>
  <c r="G397" i="23"/>
  <c r="A398" i="23"/>
  <c r="B398" i="23"/>
  <c r="D398" i="23"/>
  <c r="G398" i="23"/>
  <c r="A399" i="23"/>
  <c r="B399" i="23"/>
  <c r="D399" i="23"/>
  <c r="G399" i="23"/>
  <c r="A400" i="23"/>
  <c r="B400" i="23"/>
  <c r="D400" i="23"/>
  <c r="G400" i="23"/>
  <c r="A401" i="23"/>
  <c r="B401" i="23"/>
  <c r="D401" i="23"/>
  <c r="G401" i="23"/>
  <c r="A402" i="23"/>
  <c r="B402" i="23"/>
  <c r="D402" i="23"/>
  <c r="G402" i="23"/>
  <c r="A403" i="23"/>
  <c r="B403" i="23"/>
  <c r="D403" i="23"/>
  <c r="G403" i="23"/>
  <c r="A404" i="23"/>
  <c r="B404" i="23"/>
  <c r="D404" i="23"/>
  <c r="G404" i="23"/>
  <c r="A405" i="23"/>
  <c r="B405" i="23"/>
  <c r="D405" i="23"/>
  <c r="G405" i="23"/>
  <c r="A406" i="23"/>
  <c r="B406" i="23"/>
  <c r="D406" i="23"/>
  <c r="G406" i="23"/>
  <c r="A407" i="23"/>
  <c r="B407" i="23"/>
  <c r="D407" i="23"/>
  <c r="G407" i="23"/>
  <c r="A408" i="23"/>
  <c r="B408" i="23"/>
  <c r="D408" i="23"/>
  <c r="G408" i="23"/>
  <c r="A409" i="23"/>
  <c r="B409" i="23"/>
  <c r="D409" i="23"/>
  <c r="G409" i="23"/>
  <c r="A410" i="23"/>
  <c r="B410" i="23"/>
  <c r="D410" i="23"/>
  <c r="G410" i="23"/>
  <c r="A411" i="23"/>
  <c r="B411" i="23"/>
  <c r="D411" i="23"/>
  <c r="G411" i="23"/>
  <c r="A412" i="23"/>
  <c r="B412" i="23"/>
  <c r="D412" i="23"/>
  <c r="G412" i="23"/>
  <c r="A413" i="23"/>
  <c r="B413" i="23"/>
  <c r="D413" i="23"/>
  <c r="G413" i="23"/>
  <c r="A414" i="23"/>
  <c r="B414" i="23"/>
  <c r="D414" i="23"/>
  <c r="G414" i="23"/>
  <c r="A415" i="23"/>
  <c r="B415" i="23"/>
  <c r="D415" i="23"/>
  <c r="G415" i="23"/>
  <c r="A416" i="23"/>
  <c r="B416" i="23"/>
  <c r="D416" i="23"/>
  <c r="G416" i="23"/>
  <c r="A417" i="23"/>
  <c r="B417" i="23"/>
  <c r="D417" i="23"/>
  <c r="G417" i="23"/>
  <c r="A418" i="23"/>
  <c r="B418" i="23"/>
  <c r="D418" i="23"/>
  <c r="G418" i="23"/>
  <c r="A419" i="23"/>
  <c r="B419" i="23"/>
  <c r="D419" i="23"/>
  <c r="G419" i="23"/>
  <c r="A420" i="23"/>
  <c r="B420" i="23"/>
  <c r="D420" i="23"/>
  <c r="G420" i="23"/>
  <c r="A421" i="23"/>
  <c r="B421" i="23"/>
  <c r="D421" i="23"/>
  <c r="G421" i="23"/>
  <c r="A422" i="23"/>
  <c r="B422" i="23"/>
  <c r="D422" i="23"/>
  <c r="G422" i="23"/>
  <c r="A423" i="23"/>
  <c r="B423" i="23"/>
  <c r="D423" i="23"/>
  <c r="G423" i="23"/>
  <c r="A424" i="23"/>
  <c r="B424" i="23"/>
  <c r="D424" i="23"/>
  <c r="G424" i="23"/>
  <c r="A425" i="23"/>
  <c r="B425" i="23"/>
  <c r="D425" i="23"/>
  <c r="G425" i="23"/>
  <c r="A426" i="23"/>
  <c r="B426" i="23"/>
  <c r="D426" i="23"/>
  <c r="G426" i="23"/>
  <c r="A427" i="23"/>
  <c r="B427" i="23"/>
  <c r="D427" i="23"/>
  <c r="G427" i="23"/>
  <c r="A428" i="23"/>
  <c r="B428" i="23"/>
  <c r="D428" i="23"/>
  <c r="G428" i="23"/>
  <c r="A429" i="23"/>
  <c r="B429" i="23"/>
  <c r="D429" i="23"/>
  <c r="G429" i="23"/>
  <c r="A430" i="23"/>
  <c r="B430" i="23"/>
  <c r="D430" i="23"/>
  <c r="G430" i="23"/>
  <c r="A431" i="23"/>
  <c r="B431" i="23"/>
  <c r="D431" i="23"/>
  <c r="G431" i="23"/>
  <c r="A432" i="23"/>
  <c r="B432" i="23"/>
  <c r="D432" i="23"/>
  <c r="G432" i="23"/>
  <c r="A433" i="23"/>
  <c r="B433" i="23"/>
  <c r="D433" i="23"/>
  <c r="G433" i="23"/>
  <c r="A434" i="23"/>
  <c r="B434" i="23"/>
  <c r="D434" i="23"/>
  <c r="G434" i="23"/>
  <c r="A435" i="23"/>
  <c r="B435" i="23"/>
  <c r="D435" i="23"/>
  <c r="G435" i="23"/>
  <c r="A436" i="23"/>
  <c r="B436" i="23"/>
  <c r="D436" i="23"/>
  <c r="G436" i="23"/>
  <c r="A437" i="23"/>
  <c r="B437" i="23"/>
  <c r="D437" i="23"/>
  <c r="G437" i="23"/>
  <c r="A438" i="23"/>
  <c r="B438" i="23"/>
  <c r="D438" i="23"/>
  <c r="G438" i="23"/>
  <c r="A439" i="23"/>
  <c r="B439" i="23"/>
  <c r="D439" i="23"/>
  <c r="G439" i="23"/>
  <c r="A440" i="23"/>
  <c r="B440" i="23"/>
  <c r="D440" i="23"/>
  <c r="G440" i="23"/>
  <c r="A441" i="23"/>
  <c r="B441" i="23"/>
  <c r="D441" i="23"/>
  <c r="G441" i="23"/>
  <c r="A442" i="23"/>
  <c r="B442" i="23"/>
  <c r="D442" i="23"/>
  <c r="G442" i="23"/>
  <c r="A443" i="23"/>
  <c r="B443" i="23"/>
  <c r="D443" i="23"/>
  <c r="G443" i="23"/>
  <c r="A444" i="23"/>
  <c r="B444" i="23"/>
  <c r="D444" i="23"/>
  <c r="G444" i="23"/>
  <c r="A445" i="23"/>
  <c r="B445" i="23"/>
  <c r="D445" i="23"/>
  <c r="G445" i="23"/>
  <c r="A446" i="23"/>
  <c r="B446" i="23"/>
  <c r="D446" i="23"/>
  <c r="G446" i="23"/>
  <c r="A447" i="23"/>
  <c r="B447" i="23"/>
  <c r="D447" i="23"/>
  <c r="G447" i="23"/>
  <c r="A448" i="23"/>
  <c r="B448" i="23"/>
  <c r="D448" i="23"/>
  <c r="G448" i="23"/>
  <c r="A449" i="23"/>
  <c r="B449" i="23"/>
  <c r="D449" i="23"/>
  <c r="G449" i="23"/>
  <c r="A450" i="23"/>
  <c r="B450" i="23"/>
  <c r="D450" i="23"/>
  <c r="G450" i="23"/>
  <c r="A451" i="23"/>
  <c r="B451" i="23"/>
  <c r="D451" i="23"/>
  <c r="G451" i="23"/>
  <c r="A452" i="23"/>
  <c r="B452" i="23"/>
  <c r="D452" i="23"/>
  <c r="G452" i="23"/>
  <c r="A453" i="23"/>
  <c r="B453" i="23"/>
  <c r="D453" i="23"/>
  <c r="G453" i="23"/>
  <c r="A454" i="23"/>
  <c r="B454" i="23"/>
  <c r="D454" i="23"/>
  <c r="G454" i="23"/>
  <c r="A455" i="23"/>
  <c r="B455" i="23"/>
  <c r="D455" i="23"/>
  <c r="G455" i="23"/>
  <c r="A456" i="23"/>
  <c r="B456" i="23"/>
  <c r="D456" i="23"/>
  <c r="G456" i="23"/>
  <c r="A457" i="23"/>
  <c r="B457" i="23"/>
  <c r="D457" i="23"/>
  <c r="G457" i="23"/>
  <c r="A458" i="23"/>
  <c r="B458" i="23"/>
  <c r="D458" i="23"/>
  <c r="G458" i="23"/>
  <c r="A459" i="23"/>
  <c r="B459" i="23"/>
  <c r="D459" i="23"/>
  <c r="G459" i="23"/>
  <c r="A460" i="23"/>
  <c r="B460" i="23"/>
  <c r="D460" i="23"/>
  <c r="G460" i="23"/>
  <c r="A461" i="23"/>
  <c r="B461" i="23"/>
  <c r="D461" i="23"/>
  <c r="G461" i="23"/>
  <c r="A462" i="23"/>
  <c r="B462" i="23"/>
  <c r="D462" i="23"/>
  <c r="G462" i="23"/>
  <c r="A463" i="23"/>
  <c r="B463" i="23"/>
  <c r="D463" i="23"/>
  <c r="G463" i="23"/>
  <c r="A464" i="23"/>
  <c r="B464" i="23"/>
  <c r="D464" i="23"/>
  <c r="G464" i="23"/>
  <c r="A465" i="23"/>
  <c r="B465" i="23"/>
  <c r="D465" i="23"/>
  <c r="G465" i="23"/>
  <c r="A466" i="23"/>
  <c r="B466" i="23"/>
  <c r="D466" i="23"/>
  <c r="G466" i="23"/>
  <c r="A467" i="23"/>
  <c r="B467" i="23"/>
  <c r="D467" i="23"/>
  <c r="G467" i="23"/>
  <c r="A468" i="23"/>
  <c r="B468" i="23"/>
  <c r="D468" i="23"/>
  <c r="G468" i="23"/>
  <c r="A469" i="23"/>
  <c r="B469" i="23"/>
  <c r="D469" i="23"/>
  <c r="G469" i="23"/>
  <c r="A470" i="23"/>
  <c r="B470" i="23"/>
  <c r="C470" i="23"/>
  <c r="D470" i="23"/>
  <c r="F470" i="23"/>
  <c r="G470" i="23"/>
  <c r="A471" i="23"/>
  <c r="B471" i="23"/>
  <c r="C471" i="23"/>
  <c r="D471" i="23"/>
  <c r="F471" i="23"/>
  <c r="G471" i="23"/>
  <c r="A472" i="23"/>
  <c r="B472" i="23"/>
  <c r="C472" i="23"/>
  <c r="D472" i="23"/>
  <c r="F472" i="23"/>
  <c r="G472" i="23"/>
  <c r="A473" i="23"/>
  <c r="B473" i="23"/>
  <c r="C473" i="23"/>
  <c r="D473" i="23"/>
  <c r="F473" i="23"/>
  <c r="G473" i="23"/>
  <c r="A474" i="23"/>
  <c r="B474" i="23"/>
  <c r="C474" i="23"/>
  <c r="D474" i="23"/>
  <c r="F474" i="23"/>
  <c r="G474" i="23"/>
  <c r="A475" i="23"/>
  <c r="B475" i="23"/>
  <c r="C475" i="23"/>
  <c r="D475" i="23"/>
  <c r="F475" i="23"/>
  <c r="G475" i="23"/>
  <c r="A476" i="23"/>
  <c r="B476" i="23"/>
  <c r="C476" i="23"/>
  <c r="D476" i="23"/>
  <c r="F476" i="23"/>
  <c r="G476" i="23"/>
  <c r="A477" i="23"/>
  <c r="B477" i="23"/>
  <c r="C477" i="23"/>
  <c r="D477" i="23"/>
  <c r="F477" i="23"/>
  <c r="G477" i="23"/>
  <c r="A478" i="23"/>
  <c r="B478" i="23"/>
  <c r="C478" i="23"/>
  <c r="D478" i="23"/>
  <c r="F478" i="23"/>
  <c r="G478" i="23"/>
  <c r="A479" i="23"/>
  <c r="B479" i="23"/>
  <c r="C479" i="23"/>
  <c r="D479" i="23"/>
  <c r="F479" i="23"/>
  <c r="G479" i="23"/>
  <c r="A480" i="23"/>
  <c r="B480" i="23"/>
  <c r="C480" i="23"/>
  <c r="D480" i="23"/>
  <c r="F480" i="23"/>
  <c r="G480" i="23"/>
  <c r="A481" i="23"/>
  <c r="B481" i="23"/>
  <c r="C481" i="23"/>
  <c r="D481" i="23"/>
  <c r="F481" i="23"/>
  <c r="G481" i="23"/>
  <c r="A482" i="23"/>
  <c r="B482" i="23"/>
  <c r="C482" i="23"/>
  <c r="D482" i="23"/>
  <c r="F482" i="23"/>
  <c r="G482" i="23"/>
  <c r="A483" i="23"/>
  <c r="B483" i="23"/>
  <c r="C483" i="23"/>
  <c r="D483" i="23"/>
  <c r="F483" i="23"/>
  <c r="G483" i="23"/>
  <c r="A484" i="23"/>
  <c r="B484" i="23"/>
  <c r="C484" i="23"/>
  <c r="D484" i="23"/>
  <c r="F484" i="23"/>
  <c r="G484" i="23"/>
  <c r="A485" i="23"/>
  <c r="B485" i="23"/>
  <c r="C485" i="23"/>
  <c r="D485" i="23"/>
  <c r="F485" i="23"/>
  <c r="G485" i="23"/>
  <c r="A486" i="23"/>
  <c r="B486" i="23"/>
  <c r="C486" i="23"/>
  <c r="D486" i="23"/>
  <c r="F486" i="23"/>
  <c r="G486" i="23"/>
  <c r="A487" i="23"/>
  <c r="B487" i="23"/>
  <c r="C487" i="23"/>
  <c r="D487" i="23"/>
  <c r="F487" i="23"/>
  <c r="G487" i="23"/>
  <c r="A488" i="23"/>
  <c r="B488" i="23"/>
  <c r="C488" i="23"/>
  <c r="D488" i="23"/>
  <c r="F488" i="23"/>
  <c r="G488" i="23"/>
  <c r="A489" i="23"/>
  <c r="B489" i="23"/>
  <c r="C489" i="23"/>
  <c r="D489" i="23"/>
  <c r="F489" i="23"/>
  <c r="G489" i="23"/>
  <c r="A490" i="23"/>
  <c r="B490" i="23"/>
  <c r="C490" i="23"/>
  <c r="D490" i="23"/>
  <c r="F490" i="23"/>
  <c r="G490" i="23"/>
  <c r="A491" i="23"/>
  <c r="B491" i="23"/>
  <c r="C491" i="23"/>
  <c r="D491" i="23"/>
  <c r="F491" i="23"/>
  <c r="G491" i="23"/>
  <c r="A492" i="23"/>
  <c r="B492" i="23"/>
  <c r="C492" i="23"/>
  <c r="D492" i="23"/>
  <c r="F492" i="23"/>
  <c r="G492" i="23"/>
  <c r="A493" i="23"/>
  <c r="B493" i="23"/>
  <c r="C493" i="23"/>
  <c r="D493" i="23"/>
  <c r="F493" i="23"/>
  <c r="G493" i="23"/>
  <c r="A494" i="23"/>
  <c r="B494" i="23"/>
  <c r="C494" i="23"/>
  <c r="D494" i="23"/>
  <c r="F494" i="23"/>
  <c r="G494" i="23"/>
  <c r="A495" i="23"/>
  <c r="B495" i="23"/>
  <c r="C495" i="23"/>
  <c r="D495" i="23"/>
  <c r="F495" i="23"/>
  <c r="G495" i="23"/>
  <c r="A496" i="23"/>
  <c r="B496" i="23"/>
  <c r="C496" i="23"/>
  <c r="D496" i="23"/>
  <c r="F496" i="23"/>
  <c r="G496" i="23"/>
  <c r="A497" i="23"/>
  <c r="B497" i="23"/>
  <c r="C497" i="23"/>
  <c r="D497" i="23"/>
  <c r="F497" i="23"/>
  <c r="G497" i="23"/>
  <c r="A498" i="23"/>
  <c r="B498" i="23"/>
  <c r="C498" i="23"/>
  <c r="D498" i="23"/>
  <c r="F498" i="23"/>
  <c r="G498" i="23"/>
  <c r="A499" i="23"/>
  <c r="B499" i="23"/>
  <c r="C499" i="23"/>
  <c r="D499" i="23"/>
  <c r="F499" i="23"/>
  <c r="G499" i="23"/>
  <c r="A500" i="23"/>
  <c r="B500" i="23"/>
  <c r="C500" i="23"/>
  <c r="D500" i="23"/>
  <c r="F500" i="23"/>
  <c r="G500" i="23"/>
  <c r="A501" i="23"/>
  <c r="B501" i="23"/>
  <c r="C501" i="23"/>
  <c r="D501" i="23"/>
  <c r="F501" i="23"/>
  <c r="G501" i="23"/>
  <c r="A502" i="23"/>
  <c r="B502" i="23"/>
  <c r="C502" i="23"/>
  <c r="D502" i="23"/>
  <c r="F502" i="23"/>
  <c r="G502" i="23"/>
  <c r="A503" i="23"/>
  <c r="B503" i="23"/>
  <c r="C503" i="23"/>
  <c r="D503" i="23"/>
  <c r="F503" i="23"/>
  <c r="G503" i="23"/>
  <c r="A504" i="23"/>
  <c r="B504" i="23"/>
  <c r="C504" i="23"/>
  <c r="D504" i="23"/>
  <c r="F504" i="23"/>
  <c r="G504" i="23"/>
  <c r="A505" i="23"/>
  <c r="B505" i="23"/>
  <c r="C505" i="23"/>
  <c r="D505" i="23"/>
  <c r="F505" i="23"/>
  <c r="G505" i="23"/>
  <c r="A506" i="23"/>
  <c r="B506" i="23"/>
  <c r="C506" i="23"/>
  <c r="D506" i="23"/>
  <c r="F506" i="23"/>
  <c r="G506" i="23"/>
  <c r="A507" i="23"/>
  <c r="B507" i="23"/>
  <c r="C507" i="23"/>
  <c r="D507" i="23"/>
  <c r="F507" i="23"/>
  <c r="G507" i="23"/>
  <c r="A508" i="23"/>
  <c r="B508" i="23"/>
  <c r="C508" i="23"/>
  <c r="D508" i="23"/>
  <c r="F508" i="23"/>
  <c r="G508" i="23"/>
  <c r="A509" i="23"/>
  <c r="B509" i="23"/>
  <c r="C509" i="23"/>
  <c r="D509" i="23"/>
  <c r="F509" i="23"/>
  <c r="G509" i="23"/>
  <c r="A510" i="23"/>
  <c r="B510" i="23"/>
  <c r="C510" i="23"/>
  <c r="D510" i="23"/>
  <c r="F510" i="23"/>
  <c r="G510" i="23"/>
  <c r="A511" i="23"/>
  <c r="B511" i="23"/>
  <c r="C511" i="23"/>
  <c r="D511" i="23"/>
  <c r="F511" i="23"/>
  <c r="G511" i="23"/>
  <c r="A512" i="23"/>
  <c r="B512" i="23"/>
  <c r="C512" i="23"/>
  <c r="D512" i="23"/>
  <c r="F512" i="23"/>
  <c r="G512" i="23"/>
  <c r="A513" i="23"/>
  <c r="B513" i="23"/>
  <c r="C513" i="23"/>
  <c r="D513" i="23"/>
  <c r="F513" i="23"/>
  <c r="G513" i="23"/>
  <c r="A514" i="23"/>
  <c r="B514" i="23"/>
  <c r="C514" i="23"/>
  <c r="D514" i="23"/>
  <c r="F514" i="23"/>
  <c r="G514" i="23"/>
  <c r="A515" i="23"/>
  <c r="B515" i="23"/>
  <c r="C515" i="23"/>
  <c r="D515" i="23"/>
  <c r="F515" i="23"/>
  <c r="G515" i="23"/>
  <c r="A516" i="23"/>
  <c r="B516" i="23"/>
  <c r="C516" i="23"/>
  <c r="D516" i="23"/>
  <c r="F516" i="23"/>
  <c r="G516" i="23"/>
  <c r="A517" i="23"/>
  <c r="B517" i="23"/>
  <c r="C517" i="23"/>
  <c r="D517" i="23"/>
  <c r="F517" i="23"/>
  <c r="G517" i="23"/>
  <c r="A518" i="23"/>
  <c r="B518" i="23"/>
  <c r="C518" i="23"/>
  <c r="D518" i="23"/>
  <c r="F518" i="23"/>
  <c r="G518" i="23"/>
  <c r="A519" i="23"/>
  <c r="B519" i="23"/>
  <c r="C519" i="23"/>
  <c r="D519" i="23"/>
  <c r="F519" i="23"/>
  <c r="G519" i="23"/>
  <c r="A520" i="23"/>
  <c r="B520" i="23"/>
  <c r="C520" i="23"/>
  <c r="D520" i="23"/>
  <c r="F520" i="23"/>
  <c r="G520" i="23"/>
  <c r="A521" i="23"/>
  <c r="B521" i="23"/>
  <c r="C521" i="23"/>
  <c r="D521" i="23"/>
  <c r="F521" i="23"/>
  <c r="G521" i="23"/>
  <c r="A522" i="23"/>
  <c r="B522" i="23"/>
  <c r="C522" i="23"/>
  <c r="D522" i="23"/>
  <c r="F522" i="23"/>
  <c r="G522" i="23"/>
  <c r="A523" i="23"/>
  <c r="B523" i="23"/>
  <c r="C523" i="23"/>
  <c r="D523" i="23"/>
  <c r="F523" i="23"/>
  <c r="G523" i="23"/>
  <c r="A524" i="23"/>
  <c r="B524" i="23"/>
  <c r="C524" i="23"/>
  <c r="D524" i="23"/>
  <c r="F524" i="23"/>
  <c r="G524" i="23"/>
  <c r="A525" i="23"/>
  <c r="B525" i="23"/>
  <c r="C525" i="23"/>
  <c r="D525" i="23"/>
  <c r="F525" i="23"/>
  <c r="G525" i="23"/>
  <c r="A526" i="23"/>
  <c r="B526" i="23"/>
  <c r="C526" i="23"/>
  <c r="D526" i="23"/>
  <c r="F526" i="23"/>
  <c r="G526" i="23"/>
  <c r="A527" i="23"/>
  <c r="B527" i="23"/>
  <c r="C527" i="23"/>
  <c r="D527" i="23"/>
  <c r="F527" i="23"/>
  <c r="G527" i="23"/>
  <c r="A528" i="23"/>
  <c r="B528" i="23"/>
  <c r="C528" i="23"/>
  <c r="D528" i="23"/>
  <c r="F528" i="23"/>
  <c r="G528" i="23"/>
  <c r="A529" i="23"/>
  <c r="B529" i="23"/>
  <c r="C529" i="23"/>
  <c r="D529" i="23"/>
  <c r="F529" i="23"/>
  <c r="G529" i="23"/>
  <c r="A530" i="23"/>
  <c r="B530" i="23"/>
  <c r="C530" i="23"/>
  <c r="D530" i="23"/>
  <c r="F530" i="23"/>
  <c r="G530" i="23"/>
  <c r="A531" i="23"/>
  <c r="B531" i="23"/>
  <c r="C531" i="23"/>
  <c r="D531" i="23"/>
  <c r="F531" i="23"/>
  <c r="G531" i="23"/>
  <c r="A532" i="23"/>
  <c r="B532" i="23"/>
  <c r="C532" i="23"/>
  <c r="D532" i="23"/>
  <c r="F532" i="23"/>
  <c r="G532" i="23"/>
  <c r="A533" i="23"/>
  <c r="B533" i="23"/>
  <c r="C533" i="23"/>
  <c r="D533" i="23"/>
  <c r="F533" i="23"/>
  <c r="G533" i="23"/>
  <c r="A534" i="23"/>
  <c r="B534" i="23"/>
  <c r="C534" i="23"/>
  <c r="D534" i="23"/>
  <c r="F534" i="23"/>
  <c r="G534" i="23"/>
  <c r="A535" i="23"/>
  <c r="B535" i="23"/>
  <c r="C535" i="23"/>
  <c r="D535" i="23"/>
  <c r="F535" i="23"/>
  <c r="G535" i="23"/>
  <c r="A536" i="23"/>
  <c r="B536" i="23"/>
  <c r="C536" i="23"/>
  <c r="D536" i="23"/>
  <c r="F536" i="23"/>
  <c r="G536" i="23"/>
  <c r="A537" i="23"/>
  <c r="B537" i="23"/>
  <c r="C537" i="23"/>
  <c r="D537" i="23"/>
  <c r="F537" i="23"/>
  <c r="G537" i="23"/>
  <c r="A538" i="23"/>
  <c r="B538" i="23"/>
  <c r="C538" i="23"/>
  <c r="D538" i="23"/>
  <c r="F538" i="23"/>
  <c r="G538" i="23"/>
  <c r="A539" i="23"/>
  <c r="B539" i="23"/>
  <c r="C539" i="23"/>
  <c r="D539" i="23"/>
  <c r="F539" i="23"/>
  <c r="G539" i="23"/>
  <c r="A540" i="23"/>
  <c r="B540" i="23"/>
  <c r="C540" i="23"/>
  <c r="D540" i="23"/>
  <c r="F540" i="23"/>
  <c r="G540" i="23"/>
  <c r="A541" i="23"/>
  <c r="B541" i="23"/>
  <c r="C541" i="23"/>
  <c r="D541" i="23"/>
  <c r="F541" i="23"/>
  <c r="G541" i="23"/>
  <c r="A542" i="23"/>
  <c r="B542" i="23"/>
  <c r="C542" i="23"/>
  <c r="D542" i="23"/>
  <c r="F542" i="23"/>
  <c r="G542" i="23"/>
  <c r="A543" i="23"/>
  <c r="B543" i="23"/>
  <c r="C543" i="23"/>
  <c r="D543" i="23"/>
  <c r="F543" i="23"/>
  <c r="G543" i="23"/>
  <c r="A544" i="23"/>
  <c r="B544" i="23"/>
  <c r="C544" i="23"/>
  <c r="D544" i="23"/>
  <c r="F544" i="23"/>
  <c r="G544" i="23"/>
  <c r="A545" i="23"/>
  <c r="B545" i="23"/>
  <c r="C545" i="23"/>
  <c r="D545" i="23"/>
  <c r="F545" i="23"/>
  <c r="G545" i="23"/>
  <c r="A546" i="23"/>
  <c r="B546" i="23"/>
  <c r="C546" i="23"/>
  <c r="D546" i="23"/>
  <c r="F546" i="23"/>
  <c r="G546" i="23"/>
  <c r="A547" i="23"/>
  <c r="B547" i="23"/>
  <c r="C547" i="23"/>
  <c r="D547" i="23"/>
  <c r="F547" i="23"/>
  <c r="G547" i="23"/>
  <c r="A548" i="23"/>
  <c r="B548" i="23"/>
  <c r="C548" i="23"/>
  <c r="D548" i="23"/>
  <c r="F548" i="23"/>
  <c r="G548" i="23"/>
  <c r="A549" i="23"/>
  <c r="B549" i="23"/>
  <c r="C549" i="23"/>
  <c r="D549" i="23"/>
  <c r="F549" i="23"/>
  <c r="G549" i="23"/>
  <c r="A550" i="23"/>
  <c r="B550" i="23"/>
  <c r="C550" i="23"/>
  <c r="D550" i="23"/>
  <c r="F550" i="23"/>
  <c r="G550" i="23"/>
  <c r="A551" i="23"/>
  <c r="B551" i="23"/>
  <c r="C551" i="23"/>
  <c r="D551" i="23"/>
  <c r="F551" i="23"/>
  <c r="G551" i="23"/>
  <c r="A552" i="23"/>
  <c r="B552" i="23"/>
  <c r="C552" i="23"/>
  <c r="D552" i="23"/>
  <c r="F552" i="23"/>
  <c r="G552" i="23"/>
  <c r="A553" i="23"/>
  <c r="B553" i="23"/>
  <c r="C553" i="23"/>
  <c r="D553" i="23"/>
  <c r="F553" i="23"/>
  <c r="G553" i="23"/>
  <c r="A554" i="23"/>
  <c r="B554" i="23"/>
  <c r="C554" i="23"/>
  <c r="D554" i="23"/>
  <c r="F554" i="23"/>
  <c r="G554" i="23"/>
  <c r="A555" i="23"/>
  <c r="B555" i="23"/>
  <c r="C555" i="23"/>
  <c r="D555" i="23"/>
  <c r="F555" i="23"/>
  <c r="G555" i="23"/>
  <c r="A556" i="23"/>
  <c r="B556" i="23"/>
  <c r="C556" i="23"/>
  <c r="D556" i="23"/>
  <c r="F556" i="23"/>
  <c r="G556" i="23"/>
  <c r="A557" i="23"/>
  <c r="B557" i="23"/>
  <c r="C557" i="23"/>
  <c r="D557" i="23"/>
  <c r="F557" i="23"/>
  <c r="G557" i="23"/>
  <c r="A558" i="23"/>
  <c r="B558" i="23"/>
  <c r="C558" i="23"/>
  <c r="D558" i="23"/>
  <c r="F558" i="23"/>
  <c r="G558" i="23"/>
  <c r="A559" i="23"/>
  <c r="B559" i="23"/>
  <c r="C559" i="23"/>
  <c r="D559" i="23"/>
  <c r="F559" i="23"/>
  <c r="G559" i="23"/>
  <c r="A560" i="23"/>
  <c r="B560" i="23"/>
  <c r="C560" i="23"/>
  <c r="D560" i="23"/>
  <c r="F560" i="23"/>
  <c r="G560" i="23"/>
  <c r="A561" i="23"/>
  <c r="B561" i="23"/>
  <c r="C561" i="23"/>
  <c r="D561" i="23"/>
  <c r="F561" i="23"/>
  <c r="G561" i="23"/>
  <c r="A562" i="23"/>
  <c r="B562" i="23"/>
  <c r="C562" i="23"/>
  <c r="D562" i="23"/>
  <c r="F562" i="23"/>
  <c r="G562" i="23"/>
  <c r="A563" i="23"/>
  <c r="B563" i="23"/>
  <c r="C563" i="23"/>
  <c r="D563" i="23"/>
  <c r="F563" i="23"/>
  <c r="G563" i="23"/>
  <c r="A564" i="23"/>
  <c r="B564" i="23"/>
  <c r="C564" i="23"/>
  <c r="D564" i="23"/>
  <c r="F564" i="23"/>
  <c r="G564" i="23"/>
  <c r="A565" i="23"/>
  <c r="B565" i="23"/>
  <c r="C565" i="23"/>
  <c r="D565" i="23"/>
  <c r="F565" i="23"/>
  <c r="G565" i="23"/>
  <c r="A566" i="23"/>
  <c r="B566" i="23"/>
  <c r="C566" i="23"/>
  <c r="D566" i="23"/>
  <c r="F566" i="23"/>
  <c r="G566" i="23"/>
  <c r="A567" i="23"/>
  <c r="B567" i="23"/>
  <c r="C567" i="23"/>
  <c r="D567" i="23"/>
  <c r="F567" i="23"/>
  <c r="G567" i="23"/>
  <c r="A568" i="23"/>
  <c r="B568" i="23"/>
  <c r="C568" i="23"/>
  <c r="D568" i="23"/>
  <c r="F568" i="23"/>
  <c r="G568" i="23"/>
  <c r="A569" i="23"/>
  <c r="B569" i="23"/>
  <c r="C569" i="23"/>
  <c r="D569" i="23"/>
  <c r="F569" i="23"/>
  <c r="G569" i="23"/>
  <c r="A570" i="23"/>
  <c r="B570" i="23"/>
  <c r="C570" i="23"/>
  <c r="D570" i="23"/>
  <c r="F570" i="23"/>
  <c r="G570" i="23"/>
  <c r="A571" i="23"/>
  <c r="B571" i="23"/>
  <c r="C571" i="23"/>
  <c r="D571" i="23"/>
  <c r="F571" i="23"/>
  <c r="G571" i="23"/>
  <c r="A572" i="23"/>
  <c r="B572" i="23"/>
  <c r="C572" i="23"/>
  <c r="D572" i="23"/>
  <c r="F572" i="23"/>
  <c r="G572" i="23"/>
  <c r="A573" i="23"/>
  <c r="B573" i="23"/>
  <c r="C573" i="23"/>
  <c r="D573" i="23"/>
  <c r="F573" i="23"/>
  <c r="G573" i="23"/>
  <c r="A574" i="23"/>
  <c r="B574" i="23"/>
  <c r="C574" i="23"/>
  <c r="D574" i="23"/>
  <c r="F574" i="23"/>
  <c r="G574" i="23"/>
  <c r="A575" i="23"/>
  <c r="B575" i="23"/>
  <c r="C575" i="23"/>
  <c r="D575" i="23"/>
  <c r="F575" i="23"/>
  <c r="G575" i="23"/>
  <c r="A576" i="23"/>
  <c r="B576" i="23"/>
  <c r="C576" i="23"/>
  <c r="D576" i="23"/>
  <c r="F576" i="23"/>
  <c r="G576" i="23"/>
  <c r="A577" i="23"/>
  <c r="B577" i="23"/>
  <c r="C577" i="23"/>
  <c r="D577" i="23"/>
  <c r="F577" i="23"/>
  <c r="G577" i="23"/>
  <c r="A578" i="23"/>
  <c r="B578" i="23"/>
  <c r="C578" i="23"/>
  <c r="D578" i="23"/>
  <c r="F578" i="23"/>
  <c r="G578" i="23"/>
  <c r="A579" i="23"/>
  <c r="B579" i="23"/>
  <c r="C579" i="23"/>
  <c r="D579" i="23"/>
  <c r="F579" i="23"/>
  <c r="G579" i="23"/>
  <c r="A580" i="23"/>
  <c r="B580" i="23"/>
  <c r="C580" i="23"/>
  <c r="D580" i="23"/>
  <c r="F580" i="23"/>
  <c r="G580" i="23"/>
  <c r="A581" i="23"/>
  <c r="B581" i="23"/>
  <c r="C581" i="23"/>
  <c r="D581" i="23"/>
  <c r="F581" i="23"/>
  <c r="G581" i="23"/>
  <c r="A582" i="23"/>
  <c r="B582" i="23"/>
  <c r="C582" i="23"/>
  <c r="D582" i="23"/>
  <c r="F582" i="23"/>
  <c r="G582" i="23"/>
  <c r="A583" i="23"/>
  <c r="B583" i="23"/>
  <c r="C583" i="23"/>
  <c r="D583" i="23"/>
  <c r="F583" i="23"/>
  <c r="G583" i="23"/>
  <c r="A584" i="23"/>
  <c r="B584" i="23"/>
  <c r="C584" i="23"/>
  <c r="D584" i="23"/>
  <c r="F584" i="23"/>
  <c r="G584" i="23"/>
  <c r="A585" i="23"/>
  <c r="B585" i="23"/>
  <c r="C585" i="23"/>
  <c r="D585" i="23"/>
  <c r="F585" i="23"/>
  <c r="G585" i="23"/>
  <c r="A586" i="23"/>
  <c r="B586" i="23"/>
  <c r="C586" i="23"/>
  <c r="D586" i="23"/>
  <c r="F586" i="23"/>
  <c r="G586" i="23"/>
  <c r="A587" i="23"/>
  <c r="B587" i="23"/>
  <c r="C587" i="23"/>
  <c r="D587" i="23"/>
  <c r="F587" i="23"/>
  <c r="G587" i="23"/>
  <c r="A588" i="23"/>
  <c r="B588" i="23"/>
  <c r="C588" i="23"/>
  <c r="D588" i="23"/>
  <c r="F588" i="23"/>
  <c r="G588" i="23"/>
  <c r="A589" i="23"/>
  <c r="B589" i="23"/>
  <c r="C589" i="23"/>
  <c r="D589" i="23"/>
  <c r="F589" i="23"/>
  <c r="G589" i="23"/>
  <c r="A590" i="23"/>
  <c r="B590" i="23"/>
  <c r="C590" i="23"/>
  <c r="D590" i="23"/>
  <c r="F590" i="23"/>
  <c r="G590" i="23"/>
  <c r="A591" i="23"/>
  <c r="B591" i="23"/>
  <c r="C591" i="23"/>
  <c r="D591" i="23"/>
  <c r="F591" i="23"/>
  <c r="G591" i="23"/>
  <c r="A592" i="23"/>
  <c r="B592" i="23"/>
  <c r="C592" i="23"/>
  <c r="D592" i="23"/>
  <c r="F592" i="23"/>
  <c r="G592" i="23"/>
  <c r="A593" i="23"/>
  <c r="B593" i="23"/>
  <c r="C593" i="23"/>
  <c r="D593" i="23"/>
  <c r="F593" i="23"/>
  <c r="G593" i="23"/>
  <c r="A594" i="23"/>
  <c r="B594" i="23"/>
  <c r="C594" i="23"/>
  <c r="D594" i="23"/>
  <c r="F594" i="23"/>
  <c r="G594" i="23"/>
  <c r="A595" i="23"/>
  <c r="B595" i="23"/>
  <c r="C595" i="23"/>
  <c r="D595" i="23"/>
  <c r="F595" i="23"/>
  <c r="G595" i="23"/>
  <c r="A596" i="23"/>
  <c r="B596" i="23"/>
  <c r="C596" i="23"/>
  <c r="D596" i="23"/>
  <c r="F596" i="23"/>
  <c r="G596" i="23"/>
  <c r="A597" i="23"/>
  <c r="B597" i="23"/>
  <c r="C597" i="23"/>
  <c r="D597" i="23"/>
  <c r="F597" i="23"/>
  <c r="G597" i="23"/>
  <c r="A598" i="23"/>
  <c r="B598" i="23"/>
  <c r="C598" i="23"/>
  <c r="D598" i="23"/>
  <c r="F598" i="23"/>
  <c r="G598" i="23"/>
  <c r="A599" i="23"/>
  <c r="B599" i="23"/>
  <c r="C599" i="23"/>
  <c r="D599" i="23"/>
  <c r="F599" i="23"/>
  <c r="G599" i="23"/>
  <c r="A600" i="23"/>
  <c r="B600" i="23"/>
  <c r="C600" i="23"/>
  <c r="D600" i="23"/>
  <c r="F600" i="23"/>
  <c r="G600" i="23"/>
  <c r="A601" i="23"/>
  <c r="B601" i="23"/>
  <c r="C601" i="23"/>
  <c r="D601" i="23"/>
  <c r="F601" i="23"/>
  <c r="G601" i="23"/>
  <c r="A602" i="23"/>
  <c r="B602" i="23"/>
  <c r="C602" i="23"/>
  <c r="D602" i="23"/>
  <c r="F602" i="23"/>
  <c r="G602" i="23"/>
  <c r="A603" i="23"/>
  <c r="B603" i="23"/>
  <c r="C603" i="23"/>
  <c r="D603" i="23"/>
  <c r="F603" i="23"/>
  <c r="G603" i="23"/>
  <c r="A604" i="23"/>
  <c r="B604" i="23"/>
  <c r="C604" i="23"/>
  <c r="D604" i="23"/>
  <c r="F604" i="23"/>
  <c r="G604" i="23"/>
  <c r="A605" i="23"/>
  <c r="B605" i="23"/>
  <c r="C605" i="23"/>
  <c r="D605" i="23"/>
  <c r="F605" i="23"/>
  <c r="G605" i="23"/>
  <c r="A606" i="23"/>
  <c r="B606" i="23"/>
  <c r="C606" i="23"/>
  <c r="D606" i="23"/>
  <c r="F606" i="23"/>
  <c r="G606" i="23"/>
  <c r="A607" i="23"/>
  <c r="B607" i="23"/>
  <c r="C607" i="23"/>
  <c r="D607" i="23"/>
  <c r="F607" i="23"/>
  <c r="G607" i="23"/>
  <c r="A608" i="23"/>
  <c r="B608" i="23"/>
  <c r="C608" i="23"/>
  <c r="D608" i="23"/>
  <c r="F608" i="23"/>
  <c r="G608" i="23"/>
  <c r="A609" i="23"/>
  <c r="B609" i="23"/>
  <c r="C609" i="23"/>
  <c r="D609" i="23"/>
  <c r="F609" i="23"/>
  <c r="G609" i="23"/>
  <c r="A610" i="23"/>
  <c r="B610" i="23"/>
  <c r="C610" i="23"/>
  <c r="D610" i="23"/>
  <c r="F610" i="23"/>
  <c r="G610" i="23"/>
  <c r="A611" i="23"/>
  <c r="B611" i="23"/>
  <c r="C611" i="23"/>
  <c r="D611" i="23"/>
  <c r="F611" i="23"/>
  <c r="G611" i="23"/>
  <c r="A612" i="23"/>
  <c r="B612" i="23"/>
  <c r="C612" i="23"/>
  <c r="D612" i="23"/>
  <c r="F612" i="23"/>
  <c r="G612" i="23"/>
  <c r="A613" i="23"/>
  <c r="B613" i="23"/>
  <c r="C613" i="23"/>
  <c r="D613" i="23"/>
  <c r="F613" i="23"/>
  <c r="G613" i="23"/>
  <c r="A614" i="23"/>
  <c r="B614" i="23"/>
  <c r="C614" i="23"/>
  <c r="D614" i="23"/>
  <c r="F614" i="23"/>
  <c r="G614" i="23"/>
  <c r="A615" i="23"/>
  <c r="B615" i="23"/>
  <c r="C615" i="23"/>
  <c r="D615" i="23"/>
  <c r="F615" i="23"/>
  <c r="G615" i="23"/>
  <c r="A616" i="23"/>
  <c r="B616" i="23"/>
  <c r="C616" i="23"/>
  <c r="D616" i="23"/>
  <c r="F616" i="23"/>
  <c r="G616" i="23"/>
  <c r="A617" i="23"/>
  <c r="B617" i="23"/>
  <c r="C617" i="23"/>
  <c r="D617" i="23"/>
  <c r="F617" i="23"/>
  <c r="G617" i="23"/>
  <c r="A618" i="23"/>
  <c r="B618" i="23"/>
  <c r="C618" i="23"/>
  <c r="D618" i="23"/>
  <c r="F618" i="23"/>
  <c r="G618" i="23"/>
  <c r="A619" i="23"/>
  <c r="B619" i="23"/>
  <c r="C619" i="23"/>
  <c r="D619" i="23"/>
  <c r="F619" i="23"/>
  <c r="G619" i="23"/>
  <c r="A620" i="23"/>
  <c r="B620" i="23"/>
  <c r="C620" i="23"/>
  <c r="D620" i="23"/>
  <c r="F620" i="23"/>
  <c r="G620" i="23"/>
  <c r="A621" i="23"/>
  <c r="B621" i="23"/>
  <c r="C621" i="23"/>
  <c r="D621" i="23"/>
  <c r="F621" i="23"/>
  <c r="G621" i="23"/>
  <c r="A622" i="23"/>
  <c r="B622" i="23"/>
  <c r="C622" i="23"/>
  <c r="D622" i="23"/>
  <c r="F622" i="23"/>
  <c r="G622" i="23"/>
  <c r="A623" i="23"/>
  <c r="B623" i="23"/>
  <c r="C623" i="23"/>
  <c r="D623" i="23"/>
  <c r="F623" i="23"/>
  <c r="G623" i="23"/>
  <c r="A624" i="23"/>
  <c r="B624" i="23"/>
  <c r="C624" i="23"/>
  <c r="D624" i="23"/>
  <c r="F624" i="23"/>
  <c r="G624" i="23"/>
  <c r="A625" i="23"/>
  <c r="B625" i="23"/>
  <c r="C625" i="23"/>
  <c r="D625" i="23"/>
  <c r="F625" i="23"/>
  <c r="G625" i="23"/>
  <c r="A626" i="23"/>
  <c r="B626" i="23"/>
  <c r="C626" i="23"/>
  <c r="D626" i="23"/>
  <c r="F626" i="23"/>
  <c r="G626" i="23"/>
  <c r="A627" i="23"/>
  <c r="B627" i="23"/>
  <c r="C627" i="23"/>
  <c r="D627" i="23"/>
  <c r="F627" i="23"/>
  <c r="G627" i="23"/>
  <c r="A628" i="23"/>
  <c r="B628" i="23"/>
  <c r="C628" i="23"/>
  <c r="D628" i="23"/>
  <c r="F628" i="23"/>
  <c r="G628" i="23"/>
  <c r="A629" i="23"/>
  <c r="B629" i="23"/>
  <c r="C629" i="23"/>
  <c r="D629" i="23"/>
  <c r="F629" i="23"/>
  <c r="G629" i="23"/>
  <c r="A630" i="23"/>
  <c r="B630" i="23"/>
  <c r="C630" i="23"/>
  <c r="D630" i="23"/>
  <c r="F630" i="23"/>
  <c r="G630" i="23"/>
  <c r="A631" i="23"/>
  <c r="B631" i="23"/>
  <c r="C631" i="23"/>
  <c r="D631" i="23"/>
  <c r="F631" i="23"/>
  <c r="G631" i="23"/>
  <c r="A632" i="23"/>
  <c r="B632" i="23"/>
  <c r="C632" i="23"/>
  <c r="D632" i="23"/>
  <c r="F632" i="23"/>
  <c r="G632" i="23"/>
  <c r="A633" i="23"/>
  <c r="B633" i="23"/>
  <c r="C633" i="23"/>
  <c r="D633" i="23"/>
  <c r="F633" i="23"/>
  <c r="G633" i="23"/>
  <c r="A634" i="23"/>
  <c r="B634" i="23"/>
  <c r="C634" i="23"/>
  <c r="D634" i="23"/>
  <c r="F634" i="23"/>
  <c r="G634" i="23"/>
  <c r="A635" i="23"/>
  <c r="B635" i="23"/>
  <c r="C635" i="23"/>
  <c r="D635" i="23"/>
  <c r="F635" i="23"/>
  <c r="G635" i="23"/>
  <c r="A636" i="23"/>
  <c r="B636" i="23"/>
  <c r="C636" i="23"/>
  <c r="D636" i="23"/>
  <c r="F636" i="23"/>
  <c r="G636" i="23"/>
  <c r="A637" i="23"/>
  <c r="B637" i="23"/>
  <c r="C637" i="23"/>
  <c r="D637" i="23"/>
  <c r="F637" i="23"/>
  <c r="G637" i="23"/>
  <c r="A638" i="23"/>
  <c r="B638" i="23"/>
  <c r="C638" i="23"/>
  <c r="D638" i="23"/>
  <c r="F638" i="23"/>
  <c r="G638" i="23"/>
  <c r="A639" i="23"/>
  <c r="B639" i="23"/>
  <c r="C639" i="23"/>
  <c r="D639" i="23"/>
  <c r="F639" i="23"/>
  <c r="G639" i="23"/>
  <c r="A640" i="23"/>
  <c r="B640" i="23"/>
  <c r="C640" i="23"/>
  <c r="D640" i="23"/>
  <c r="F640" i="23"/>
  <c r="G640" i="23"/>
  <c r="A641" i="23"/>
  <c r="B641" i="23"/>
  <c r="C641" i="23"/>
  <c r="D641" i="23"/>
  <c r="F641" i="23"/>
  <c r="G641" i="23"/>
  <c r="A642" i="23"/>
  <c r="B642" i="23"/>
  <c r="C642" i="23"/>
  <c r="D642" i="23"/>
  <c r="F642" i="23"/>
  <c r="G642" i="23"/>
  <c r="A643" i="23"/>
  <c r="B643" i="23"/>
  <c r="C643" i="23"/>
  <c r="D643" i="23"/>
  <c r="F643" i="23"/>
  <c r="G643" i="23"/>
  <c r="A644" i="23"/>
  <c r="B644" i="23"/>
  <c r="C644" i="23"/>
  <c r="D644" i="23"/>
  <c r="F644" i="23"/>
  <c r="G644" i="23"/>
  <c r="A645" i="23"/>
  <c r="B645" i="23"/>
  <c r="C645" i="23"/>
  <c r="D645" i="23"/>
  <c r="F645" i="23"/>
  <c r="G645" i="23"/>
  <c r="A646" i="23"/>
  <c r="B646" i="23"/>
  <c r="C646" i="23"/>
  <c r="D646" i="23"/>
  <c r="F646" i="23"/>
  <c r="G646" i="23"/>
  <c r="A647" i="23"/>
  <c r="B647" i="23"/>
  <c r="C647" i="23"/>
  <c r="D647" i="23"/>
  <c r="F647" i="23"/>
  <c r="G647" i="23"/>
  <c r="A648" i="23"/>
  <c r="B648" i="23"/>
  <c r="C648" i="23"/>
  <c r="D648" i="23"/>
  <c r="F648" i="23"/>
  <c r="G648" i="23"/>
  <c r="A649" i="23"/>
  <c r="B649" i="23"/>
  <c r="C649" i="23"/>
  <c r="D649" i="23"/>
  <c r="F649" i="23"/>
  <c r="G649" i="23"/>
  <c r="A650" i="23"/>
  <c r="B650" i="23"/>
  <c r="C650" i="23"/>
  <c r="D650" i="23"/>
  <c r="F650" i="23"/>
  <c r="G650" i="23"/>
  <c r="A651" i="23"/>
  <c r="B651" i="23"/>
  <c r="C651" i="23"/>
  <c r="D651" i="23"/>
  <c r="F651" i="23"/>
  <c r="G651" i="23"/>
  <c r="A652" i="23"/>
  <c r="B652" i="23"/>
  <c r="C652" i="23"/>
  <c r="D652" i="23"/>
  <c r="F652" i="23"/>
  <c r="G652" i="23"/>
  <c r="A653" i="23"/>
  <c r="B653" i="23"/>
  <c r="C653" i="23"/>
  <c r="D653" i="23"/>
  <c r="F653" i="23"/>
  <c r="G653" i="23"/>
  <c r="A654" i="23"/>
  <c r="B654" i="23"/>
  <c r="C654" i="23"/>
  <c r="D654" i="23"/>
  <c r="F654" i="23"/>
  <c r="G654" i="23"/>
  <c r="A655" i="23"/>
  <c r="B655" i="23"/>
  <c r="C655" i="23"/>
  <c r="D655" i="23"/>
  <c r="F655" i="23"/>
  <c r="G655" i="23"/>
  <c r="A656" i="23"/>
  <c r="B656" i="23"/>
  <c r="C656" i="23"/>
  <c r="D656" i="23"/>
  <c r="F656" i="23"/>
  <c r="G656" i="23"/>
  <c r="A657" i="23"/>
  <c r="B657" i="23"/>
  <c r="C657" i="23"/>
  <c r="D657" i="23"/>
  <c r="F657" i="23"/>
  <c r="G657" i="23"/>
  <c r="A658" i="23"/>
  <c r="B658" i="23"/>
  <c r="C658" i="23"/>
  <c r="D658" i="23"/>
  <c r="F658" i="23"/>
  <c r="G658" i="23"/>
  <c r="A659" i="23"/>
  <c r="B659" i="23"/>
  <c r="C659" i="23"/>
  <c r="D659" i="23"/>
  <c r="F659" i="23"/>
  <c r="G659" i="23"/>
  <c r="A660" i="23"/>
  <c r="B660" i="23"/>
  <c r="C660" i="23"/>
  <c r="D660" i="23"/>
  <c r="F660" i="23"/>
  <c r="G660" i="23"/>
  <c r="A661" i="23"/>
  <c r="B661" i="23"/>
  <c r="C661" i="23"/>
  <c r="D661" i="23"/>
  <c r="F661" i="23"/>
  <c r="G661" i="23"/>
  <c r="A662" i="23"/>
  <c r="B662" i="23"/>
  <c r="C662" i="23"/>
  <c r="D662" i="23"/>
  <c r="F662" i="23"/>
  <c r="G662" i="23"/>
  <c r="A663" i="23"/>
  <c r="B663" i="23"/>
  <c r="C663" i="23"/>
  <c r="D663" i="23"/>
  <c r="F663" i="23"/>
  <c r="G663" i="23"/>
  <c r="A664" i="23"/>
  <c r="B664" i="23"/>
  <c r="C664" i="23"/>
  <c r="D664" i="23"/>
  <c r="F664" i="23"/>
  <c r="G664" i="23"/>
  <c r="A665" i="23"/>
  <c r="B665" i="23"/>
  <c r="C665" i="23"/>
  <c r="D665" i="23"/>
  <c r="F665" i="23"/>
  <c r="G665" i="23"/>
  <c r="A666" i="23"/>
  <c r="B666" i="23"/>
  <c r="C666" i="23"/>
  <c r="D666" i="23"/>
  <c r="F666" i="23"/>
  <c r="G666" i="23"/>
  <c r="A667" i="23"/>
  <c r="B667" i="23"/>
  <c r="C667" i="23"/>
  <c r="D667" i="23"/>
  <c r="F667" i="23"/>
  <c r="G667" i="23"/>
  <c r="A668" i="23"/>
  <c r="B668" i="23"/>
  <c r="C668" i="23"/>
  <c r="D668" i="23"/>
  <c r="F668" i="23"/>
  <c r="G668" i="23"/>
  <c r="A669" i="23"/>
  <c r="B669" i="23"/>
  <c r="C669" i="23"/>
  <c r="D669" i="23"/>
  <c r="F669" i="23"/>
  <c r="G669" i="23"/>
  <c r="A670" i="23"/>
  <c r="B670" i="23"/>
  <c r="C670" i="23"/>
  <c r="D670" i="23"/>
  <c r="F670" i="23"/>
  <c r="G670" i="23"/>
  <c r="A671" i="23"/>
  <c r="B671" i="23"/>
  <c r="C671" i="23"/>
  <c r="D671" i="23"/>
  <c r="F671" i="23"/>
  <c r="G671" i="23"/>
  <c r="A672" i="23"/>
  <c r="B672" i="23"/>
  <c r="C672" i="23"/>
  <c r="D672" i="23"/>
  <c r="F672" i="23"/>
  <c r="G672" i="23"/>
  <c r="A673" i="23"/>
  <c r="B673" i="23"/>
  <c r="C673" i="23"/>
  <c r="D673" i="23"/>
  <c r="F673" i="23"/>
  <c r="G673" i="23"/>
  <c r="A674" i="23"/>
  <c r="B674" i="23"/>
  <c r="C674" i="23"/>
  <c r="D674" i="23"/>
  <c r="F674" i="23"/>
  <c r="G674" i="23"/>
  <c r="A675" i="23"/>
  <c r="B675" i="23"/>
  <c r="C675" i="23"/>
  <c r="D675" i="23"/>
  <c r="F675" i="23"/>
  <c r="G675" i="23"/>
  <c r="A676" i="23"/>
  <c r="B676" i="23"/>
  <c r="C676" i="23"/>
  <c r="D676" i="23"/>
  <c r="F676" i="23"/>
  <c r="G676" i="23"/>
  <c r="A677" i="23"/>
  <c r="B677" i="23"/>
  <c r="C677" i="23"/>
  <c r="D677" i="23"/>
  <c r="F677" i="23"/>
  <c r="G677" i="23"/>
  <c r="A678" i="23"/>
  <c r="B678" i="23"/>
  <c r="C678" i="23"/>
  <c r="D678" i="23"/>
  <c r="F678" i="23"/>
  <c r="G678" i="23"/>
  <c r="A679" i="23"/>
  <c r="B679" i="23"/>
  <c r="C679" i="23"/>
  <c r="D679" i="23"/>
  <c r="F679" i="23"/>
  <c r="G679" i="23"/>
  <c r="A680" i="23"/>
  <c r="B680" i="23"/>
  <c r="C680" i="23"/>
  <c r="D680" i="23"/>
  <c r="F680" i="23"/>
  <c r="G680" i="23"/>
  <c r="A681" i="23"/>
  <c r="B681" i="23"/>
  <c r="C681" i="23"/>
  <c r="D681" i="23"/>
  <c r="F681" i="23"/>
  <c r="G681" i="23"/>
  <c r="A682" i="23"/>
  <c r="B682" i="23"/>
  <c r="C682" i="23"/>
  <c r="D682" i="23"/>
  <c r="F682" i="23"/>
  <c r="G682" i="23"/>
  <c r="A683" i="23"/>
  <c r="B683" i="23"/>
  <c r="C683" i="23"/>
  <c r="D683" i="23"/>
  <c r="F683" i="23"/>
  <c r="G683" i="23"/>
  <c r="A684" i="23"/>
  <c r="B684" i="23"/>
  <c r="C684" i="23"/>
  <c r="D684" i="23"/>
  <c r="F684" i="23"/>
  <c r="G684" i="23"/>
  <c r="A685" i="23"/>
  <c r="B685" i="23"/>
  <c r="C685" i="23"/>
  <c r="D685" i="23"/>
  <c r="F685" i="23"/>
  <c r="G685" i="23"/>
  <c r="A686" i="23"/>
  <c r="B686" i="23"/>
  <c r="C686" i="23"/>
  <c r="D686" i="23"/>
  <c r="F686" i="23"/>
  <c r="G686" i="23"/>
  <c r="A687" i="23"/>
  <c r="B687" i="23"/>
  <c r="C687" i="23"/>
  <c r="D687" i="23"/>
  <c r="F687" i="23"/>
  <c r="G687" i="23"/>
  <c r="A688" i="23"/>
  <c r="B688" i="23"/>
  <c r="C688" i="23"/>
  <c r="D688" i="23"/>
  <c r="F688" i="23"/>
  <c r="G688" i="23"/>
  <c r="A689" i="23"/>
  <c r="B689" i="23"/>
  <c r="C689" i="23"/>
  <c r="D689" i="23"/>
  <c r="F689" i="23"/>
  <c r="G689" i="23"/>
  <c r="A690" i="23"/>
  <c r="B690" i="23"/>
  <c r="C690" i="23"/>
  <c r="D690" i="23"/>
  <c r="F690" i="23"/>
  <c r="G690" i="23"/>
  <c r="A691" i="23"/>
  <c r="B691" i="23"/>
  <c r="C691" i="23"/>
  <c r="D691" i="23"/>
  <c r="F691" i="23"/>
  <c r="G691" i="23"/>
  <c r="A692" i="23"/>
  <c r="B692" i="23"/>
  <c r="C692" i="23"/>
  <c r="D692" i="23"/>
  <c r="F692" i="23"/>
  <c r="G692" i="23"/>
  <c r="A693" i="23"/>
  <c r="B693" i="23"/>
  <c r="C693" i="23"/>
  <c r="D693" i="23"/>
  <c r="F693" i="23"/>
  <c r="G693" i="23"/>
  <c r="A694" i="23"/>
  <c r="B694" i="23"/>
  <c r="C694" i="23"/>
  <c r="D694" i="23"/>
  <c r="F694" i="23"/>
  <c r="G694" i="23"/>
  <c r="A695" i="23"/>
  <c r="B695" i="23"/>
  <c r="C695" i="23"/>
  <c r="D695" i="23"/>
  <c r="F695" i="23"/>
  <c r="G695" i="23"/>
  <c r="A696" i="23"/>
  <c r="B696" i="23"/>
  <c r="C696" i="23"/>
  <c r="D696" i="23"/>
  <c r="F696" i="23"/>
  <c r="G696" i="23"/>
  <c r="A697" i="23"/>
  <c r="B697" i="23"/>
  <c r="C697" i="23"/>
  <c r="D697" i="23"/>
  <c r="F697" i="23"/>
  <c r="G697" i="23"/>
  <c r="A698" i="23"/>
  <c r="B698" i="23"/>
  <c r="C698" i="23"/>
  <c r="D698" i="23"/>
  <c r="F698" i="23"/>
  <c r="G698" i="23"/>
  <c r="A699" i="23"/>
  <c r="B699" i="23"/>
  <c r="C699" i="23"/>
  <c r="D699" i="23"/>
  <c r="F699" i="23"/>
  <c r="G699" i="23"/>
  <c r="A700" i="23"/>
  <c r="B700" i="23"/>
  <c r="C700" i="23"/>
  <c r="D700" i="23"/>
  <c r="F700" i="23"/>
  <c r="G700" i="23"/>
  <c r="A701" i="23"/>
  <c r="B701" i="23"/>
  <c r="C701" i="23"/>
  <c r="D701" i="23"/>
  <c r="F701" i="23"/>
  <c r="G701" i="23"/>
  <c r="A702" i="23"/>
  <c r="B702" i="23"/>
  <c r="C702" i="23"/>
  <c r="D702" i="23"/>
  <c r="F702" i="23"/>
  <c r="G702" i="23"/>
  <c r="A703" i="23"/>
  <c r="B703" i="23"/>
  <c r="C703" i="23"/>
  <c r="D703" i="23"/>
  <c r="F703" i="23"/>
  <c r="G703" i="23"/>
  <c r="A704" i="23"/>
  <c r="B704" i="23"/>
  <c r="C704" i="23"/>
  <c r="D704" i="23"/>
  <c r="F704" i="23"/>
  <c r="G704" i="23"/>
  <c r="A705" i="23"/>
  <c r="B705" i="23"/>
  <c r="C705" i="23"/>
  <c r="D705" i="23"/>
  <c r="F705" i="23"/>
  <c r="G705" i="23"/>
  <c r="A706" i="23"/>
  <c r="B706" i="23"/>
  <c r="C706" i="23"/>
  <c r="D706" i="23"/>
  <c r="F706" i="23"/>
  <c r="G706" i="23"/>
  <c r="A707" i="23"/>
  <c r="B707" i="23"/>
  <c r="C707" i="23"/>
  <c r="D707" i="23"/>
  <c r="F707" i="23"/>
  <c r="G707" i="23"/>
  <c r="A708" i="23"/>
  <c r="B708" i="23"/>
  <c r="C708" i="23"/>
  <c r="D708" i="23"/>
  <c r="F708" i="23"/>
  <c r="G708" i="23"/>
  <c r="A709" i="23"/>
  <c r="B709" i="23"/>
  <c r="C709" i="23"/>
  <c r="D709" i="23"/>
  <c r="F709" i="23"/>
  <c r="G709" i="23"/>
  <c r="A710" i="23"/>
  <c r="B710" i="23"/>
  <c r="C710" i="23"/>
  <c r="D710" i="23"/>
  <c r="F710" i="23"/>
  <c r="G710" i="23"/>
  <c r="A711" i="23"/>
  <c r="B711" i="23"/>
  <c r="C711" i="23"/>
  <c r="D711" i="23"/>
  <c r="F711" i="23"/>
  <c r="G711" i="23"/>
  <c r="A712" i="23"/>
  <c r="B712" i="23"/>
  <c r="C712" i="23"/>
  <c r="D712" i="23"/>
  <c r="F712" i="23"/>
  <c r="G712" i="23"/>
  <c r="A713" i="23"/>
  <c r="B713" i="23"/>
  <c r="C713" i="23"/>
  <c r="D713" i="23"/>
  <c r="F713" i="23"/>
  <c r="G713" i="23"/>
  <c r="A714" i="23"/>
  <c r="B714" i="23"/>
  <c r="C714" i="23"/>
  <c r="D714" i="23"/>
  <c r="F714" i="23"/>
  <c r="G714" i="23"/>
  <c r="A715" i="23"/>
  <c r="B715" i="23"/>
  <c r="C715" i="23"/>
  <c r="D715" i="23"/>
  <c r="F715" i="23"/>
  <c r="G715" i="23"/>
  <c r="A716" i="23"/>
  <c r="B716" i="23"/>
  <c r="C716" i="23"/>
  <c r="D716" i="23"/>
  <c r="F716" i="23"/>
  <c r="G716" i="23"/>
  <c r="A717" i="23"/>
  <c r="B717" i="23"/>
  <c r="C717" i="23"/>
  <c r="D717" i="23"/>
  <c r="F717" i="23"/>
  <c r="G717" i="23"/>
  <c r="A718" i="23"/>
  <c r="B718" i="23"/>
  <c r="C718" i="23"/>
  <c r="D718" i="23"/>
  <c r="F718" i="23"/>
  <c r="G718" i="23"/>
  <c r="A719" i="23"/>
  <c r="B719" i="23"/>
  <c r="C719" i="23"/>
  <c r="D719" i="23"/>
  <c r="F719" i="23"/>
  <c r="G719" i="23"/>
  <c r="A720" i="23"/>
  <c r="B720" i="23"/>
  <c r="C720" i="23"/>
  <c r="D720" i="23"/>
  <c r="F720" i="23"/>
  <c r="G720" i="23"/>
  <c r="A721" i="23"/>
  <c r="B721" i="23"/>
  <c r="C721" i="23"/>
  <c r="D721" i="23"/>
  <c r="F721" i="23"/>
  <c r="G721" i="23"/>
  <c r="A722" i="23"/>
  <c r="B722" i="23"/>
  <c r="C722" i="23"/>
  <c r="D722" i="23"/>
  <c r="F722" i="23"/>
  <c r="G722" i="23"/>
  <c r="A723" i="23"/>
  <c r="B723" i="23"/>
  <c r="C723" i="23"/>
  <c r="D723" i="23"/>
  <c r="F723" i="23"/>
  <c r="G723" i="23"/>
  <c r="A724" i="23"/>
  <c r="B724" i="23"/>
  <c r="C724" i="23"/>
  <c r="D724" i="23"/>
  <c r="F724" i="23"/>
  <c r="G724" i="23"/>
  <c r="A725" i="23"/>
  <c r="B725" i="23"/>
  <c r="C725" i="23"/>
  <c r="D725" i="23"/>
  <c r="F725" i="23"/>
  <c r="G725" i="23"/>
  <c r="A726" i="23"/>
  <c r="B726" i="23"/>
  <c r="C726" i="23"/>
  <c r="D726" i="23"/>
  <c r="F726" i="23"/>
  <c r="G726" i="23"/>
  <c r="A727" i="23"/>
  <c r="B727" i="23"/>
  <c r="C727" i="23"/>
  <c r="D727" i="23"/>
  <c r="F727" i="23"/>
  <c r="G727" i="23"/>
  <c r="A728" i="23"/>
  <c r="B728" i="23"/>
  <c r="C728" i="23"/>
  <c r="D728" i="23"/>
  <c r="F728" i="23"/>
  <c r="G728" i="23"/>
  <c r="A729" i="23"/>
  <c r="B729" i="23"/>
  <c r="C729" i="23"/>
  <c r="D729" i="23"/>
  <c r="F729" i="23"/>
  <c r="G729" i="23"/>
  <c r="A730" i="23"/>
  <c r="B730" i="23"/>
  <c r="C730" i="23"/>
  <c r="D730" i="23"/>
  <c r="F730" i="23"/>
  <c r="G730" i="23"/>
  <c r="A731" i="23"/>
  <c r="B731" i="23"/>
  <c r="C731" i="23"/>
  <c r="D731" i="23"/>
  <c r="F731" i="23"/>
  <c r="G731" i="23"/>
  <c r="A732" i="23"/>
  <c r="B732" i="23"/>
  <c r="C732" i="23"/>
  <c r="D732" i="23"/>
  <c r="F732" i="23"/>
  <c r="G732" i="23"/>
  <c r="A733" i="23"/>
  <c r="B733" i="23"/>
  <c r="C733" i="23"/>
  <c r="D733" i="23"/>
  <c r="F733" i="23"/>
  <c r="G733" i="23"/>
  <c r="A734" i="23"/>
  <c r="B734" i="23"/>
  <c r="C734" i="23"/>
  <c r="D734" i="23"/>
  <c r="F734" i="23"/>
  <c r="G734" i="23"/>
  <c r="A735" i="23"/>
  <c r="B735" i="23"/>
  <c r="C735" i="23"/>
  <c r="D735" i="23"/>
  <c r="F735" i="23"/>
  <c r="G735" i="23"/>
  <c r="A736" i="23"/>
  <c r="B736" i="23"/>
  <c r="C736" i="23"/>
  <c r="D736" i="23"/>
  <c r="F736" i="23"/>
  <c r="G736" i="23"/>
  <c r="A737" i="23"/>
  <c r="B737" i="23"/>
  <c r="C737" i="23"/>
  <c r="D737" i="23"/>
  <c r="F737" i="23"/>
  <c r="G737" i="23"/>
  <c r="A738" i="23"/>
  <c r="B738" i="23"/>
  <c r="C738" i="23"/>
  <c r="D738" i="23"/>
  <c r="F738" i="23"/>
  <c r="G738" i="23"/>
  <c r="A739" i="23"/>
  <c r="B739" i="23"/>
  <c r="C739" i="23"/>
  <c r="D739" i="23"/>
  <c r="F739" i="23"/>
  <c r="G739" i="23"/>
  <c r="A740" i="23"/>
  <c r="B740" i="23"/>
  <c r="C740" i="23"/>
  <c r="D740" i="23"/>
  <c r="F740" i="23"/>
  <c r="G740" i="23"/>
  <c r="A741" i="23"/>
  <c r="B741" i="23"/>
  <c r="C741" i="23"/>
  <c r="D741" i="23"/>
  <c r="F741" i="23"/>
  <c r="G741" i="23"/>
  <c r="A742" i="23"/>
  <c r="B742" i="23"/>
  <c r="C742" i="23"/>
  <c r="D742" i="23"/>
  <c r="F742" i="23"/>
  <c r="G742" i="23"/>
  <c r="A743" i="23"/>
  <c r="B743" i="23"/>
  <c r="C743" i="23"/>
  <c r="D743" i="23"/>
  <c r="F743" i="23"/>
  <c r="G743" i="23"/>
  <c r="A744" i="23"/>
  <c r="B744" i="23"/>
  <c r="C744" i="23"/>
  <c r="D744" i="23"/>
  <c r="F744" i="23"/>
  <c r="G744" i="23"/>
  <c r="A745" i="23"/>
  <c r="B745" i="23"/>
  <c r="C745" i="23"/>
  <c r="D745" i="23"/>
  <c r="F745" i="23"/>
  <c r="G745" i="23"/>
  <c r="A746" i="23"/>
  <c r="B746" i="23"/>
  <c r="C746" i="23"/>
  <c r="D746" i="23"/>
  <c r="F746" i="23"/>
  <c r="G746" i="23"/>
  <c r="A747" i="23"/>
  <c r="B747" i="23"/>
  <c r="C747" i="23"/>
  <c r="D747" i="23"/>
  <c r="F747" i="23"/>
  <c r="G747" i="23"/>
  <c r="A748" i="23"/>
  <c r="B748" i="23"/>
  <c r="C748" i="23"/>
  <c r="D748" i="23"/>
  <c r="F748" i="23"/>
  <c r="G748" i="23"/>
  <c r="A749" i="23"/>
  <c r="B749" i="23"/>
  <c r="C749" i="23"/>
  <c r="D749" i="23"/>
  <c r="F749" i="23"/>
  <c r="G749" i="23"/>
  <c r="A750" i="23"/>
  <c r="B750" i="23"/>
  <c r="C750" i="23"/>
  <c r="D750" i="23"/>
  <c r="F750" i="23"/>
  <c r="G750" i="23"/>
  <c r="A751" i="23"/>
  <c r="B751" i="23"/>
  <c r="C751" i="23"/>
  <c r="D751" i="23"/>
  <c r="F751" i="23"/>
  <c r="G751" i="23"/>
  <c r="A752" i="23"/>
  <c r="B752" i="23"/>
  <c r="C752" i="23"/>
  <c r="D752" i="23"/>
  <c r="F752" i="23"/>
  <c r="G752" i="23"/>
  <c r="A753" i="23"/>
  <c r="B753" i="23"/>
  <c r="C753" i="23"/>
  <c r="D753" i="23"/>
  <c r="F753" i="23"/>
  <c r="G753" i="23"/>
  <c r="A754" i="23"/>
  <c r="B754" i="23"/>
  <c r="C754" i="23"/>
  <c r="D754" i="23"/>
  <c r="F754" i="23"/>
  <c r="G754" i="23"/>
  <c r="A755" i="23"/>
  <c r="B755" i="23"/>
  <c r="C755" i="23"/>
  <c r="D755" i="23"/>
  <c r="F755" i="23"/>
  <c r="G755" i="23"/>
  <c r="A756" i="23"/>
  <c r="B756" i="23"/>
  <c r="C756" i="23"/>
  <c r="D756" i="23"/>
  <c r="F756" i="23"/>
  <c r="G756" i="23"/>
  <c r="A757" i="23"/>
  <c r="B757" i="23"/>
  <c r="C757" i="23"/>
  <c r="D757" i="23"/>
  <c r="F757" i="23"/>
  <c r="G757" i="23"/>
  <c r="A758" i="23"/>
  <c r="B758" i="23"/>
  <c r="C758" i="23"/>
  <c r="D758" i="23"/>
  <c r="F758" i="23"/>
  <c r="G758" i="23"/>
  <c r="A759" i="23"/>
  <c r="B759" i="23"/>
  <c r="C759" i="23"/>
  <c r="D759" i="23"/>
  <c r="F759" i="23"/>
  <c r="G759" i="23"/>
  <c r="A760" i="23"/>
  <c r="B760" i="23"/>
  <c r="C760" i="23"/>
  <c r="D760" i="23"/>
  <c r="F760" i="23"/>
  <c r="G760" i="23"/>
  <c r="A761" i="23"/>
  <c r="B761" i="23"/>
  <c r="C761" i="23"/>
  <c r="D761" i="23"/>
  <c r="F761" i="23"/>
  <c r="G761" i="23"/>
  <c r="A762" i="23"/>
  <c r="B762" i="23"/>
  <c r="C762" i="23"/>
  <c r="D762" i="23"/>
  <c r="F762" i="23"/>
  <c r="G762" i="23"/>
  <c r="A763" i="23"/>
  <c r="B763" i="23"/>
  <c r="C763" i="23"/>
  <c r="D763" i="23"/>
  <c r="F763" i="23"/>
  <c r="G763" i="23"/>
  <c r="A764" i="23"/>
  <c r="B764" i="23"/>
  <c r="C764" i="23"/>
  <c r="D764" i="23"/>
  <c r="F764" i="23"/>
  <c r="G764" i="23"/>
  <c r="A765" i="23"/>
  <c r="B765" i="23"/>
  <c r="C765" i="23"/>
  <c r="D765" i="23"/>
  <c r="F765" i="23"/>
  <c r="G765" i="23"/>
  <c r="A766" i="23"/>
  <c r="B766" i="23"/>
  <c r="C766" i="23"/>
  <c r="D766" i="23"/>
  <c r="F766" i="23"/>
  <c r="G766" i="23"/>
  <c r="A767" i="23"/>
  <c r="B767" i="23"/>
  <c r="C767" i="23"/>
  <c r="D767" i="23"/>
  <c r="F767" i="23"/>
  <c r="G767" i="23"/>
  <c r="A768" i="23"/>
  <c r="B768" i="23"/>
  <c r="C768" i="23"/>
  <c r="D768" i="23"/>
  <c r="F768" i="23"/>
  <c r="G768" i="23"/>
  <c r="A769" i="23"/>
  <c r="B769" i="23"/>
  <c r="C769" i="23"/>
  <c r="D769" i="23"/>
  <c r="F769" i="23"/>
  <c r="G769" i="23"/>
  <c r="A770" i="23"/>
  <c r="B770" i="23"/>
  <c r="C770" i="23"/>
  <c r="D770" i="23"/>
  <c r="F770" i="23"/>
  <c r="G770" i="23"/>
  <c r="A771" i="23"/>
  <c r="B771" i="23"/>
  <c r="C771" i="23"/>
  <c r="D771" i="23"/>
  <c r="F771" i="23"/>
  <c r="G771" i="23"/>
  <c r="A772" i="23"/>
  <c r="B772" i="23"/>
  <c r="C772" i="23"/>
  <c r="D772" i="23"/>
  <c r="F772" i="23"/>
  <c r="G772" i="23"/>
  <c r="A773" i="23"/>
  <c r="B773" i="23"/>
  <c r="C773" i="23"/>
  <c r="D773" i="23"/>
  <c r="F773" i="23"/>
  <c r="G773" i="23"/>
  <c r="A774" i="23"/>
  <c r="B774" i="23"/>
  <c r="C774" i="23"/>
  <c r="D774" i="23"/>
  <c r="F774" i="23"/>
  <c r="G774" i="23"/>
  <c r="A775" i="23"/>
  <c r="B775" i="23"/>
  <c r="C775" i="23"/>
  <c r="D775" i="23"/>
  <c r="F775" i="23"/>
  <c r="G775" i="23"/>
  <c r="A776" i="23"/>
  <c r="B776" i="23"/>
  <c r="C776" i="23"/>
  <c r="D776" i="23"/>
  <c r="F776" i="23"/>
  <c r="G776" i="23"/>
  <c r="A777" i="23"/>
  <c r="B777" i="23"/>
  <c r="C777" i="23"/>
  <c r="D777" i="23"/>
  <c r="F777" i="23"/>
  <c r="G777" i="23"/>
  <c r="A778" i="23"/>
  <c r="B778" i="23"/>
  <c r="C778" i="23"/>
  <c r="D778" i="23"/>
  <c r="F778" i="23"/>
  <c r="G778" i="23"/>
  <c r="A779" i="23"/>
  <c r="B779" i="23"/>
  <c r="C779" i="23"/>
  <c r="D779" i="23"/>
  <c r="F779" i="23"/>
  <c r="G779" i="23"/>
  <c r="A780" i="23"/>
  <c r="B780" i="23"/>
  <c r="C780" i="23"/>
  <c r="D780" i="23"/>
  <c r="F780" i="23"/>
  <c r="G780" i="23"/>
  <c r="A781" i="23"/>
  <c r="B781" i="23"/>
  <c r="C781" i="23"/>
  <c r="D781" i="23"/>
  <c r="F781" i="23"/>
  <c r="G781" i="23"/>
  <c r="A782" i="23"/>
  <c r="B782" i="23"/>
  <c r="C782" i="23"/>
  <c r="D782" i="23"/>
  <c r="F782" i="23"/>
  <c r="G782" i="23"/>
  <c r="A783" i="23"/>
  <c r="B783" i="23"/>
  <c r="C783" i="23"/>
  <c r="D783" i="23"/>
  <c r="F783" i="23"/>
  <c r="G783" i="23"/>
  <c r="A784" i="23"/>
  <c r="B784" i="23"/>
  <c r="C784" i="23"/>
  <c r="D784" i="23"/>
  <c r="F784" i="23"/>
  <c r="G784" i="23"/>
  <c r="A785" i="23"/>
  <c r="B785" i="23"/>
  <c r="C785" i="23"/>
  <c r="D785" i="23"/>
  <c r="F785" i="23"/>
  <c r="G785" i="23"/>
  <c r="A786" i="23"/>
  <c r="B786" i="23"/>
  <c r="C786" i="23"/>
  <c r="D786" i="23"/>
  <c r="F786" i="23"/>
  <c r="G786" i="23"/>
  <c r="A787" i="23"/>
  <c r="B787" i="23"/>
  <c r="C787" i="23"/>
  <c r="D787" i="23"/>
  <c r="F787" i="23"/>
  <c r="G787" i="23"/>
  <c r="A788" i="23"/>
  <c r="B788" i="23"/>
  <c r="C788" i="23"/>
  <c r="D788" i="23"/>
  <c r="F788" i="23"/>
  <c r="G788" i="23"/>
  <c r="A789" i="23"/>
  <c r="B789" i="23"/>
  <c r="C789" i="23"/>
  <c r="D789" i="23"/>
  <c r="F789" i="23"/>
  <c r="G789" i="23"/>
  <c r="A790" i="23"/>
  <c r="B790" i="23"/>
  <c r="C790" i="23"/>
  <c r="D790" i="23"/>
  <c r="F790" i="23"/>
  <c r="G790" i="23"/>
  <c r="A791" i="23"/>
  <c r="B791" i="23"/>
  <c r="C791" i="23"/>
  <c r="D791" i="23"/>
  <c r="F791" i="23"/>
  <c r="G791" i="23"/>
  <c r="A792" i="23"/>
  <c r="B792" i="23"/>
  <c r="C792" i="23"/>
  <c r="D792" i="23"/>
  <c r="F792" i="23"/>
  <c r="G792" i="23"/>
  <c r="A793" i="23"/>
  <c r="B793" i="23"/>
  <c r="C793" i="23"/>
  <c r="D793" i="23"/>
  <c r="F793" i="23"/>
  <c r="G793" i="23"/>
  <c r="A794" i="23"/>
  <c r="B794" i="23"/>
  <c r="C794" i="23"/>
  <c r="D794" i="23"/>
  <c r="F794" i="23"/>
  <c r="G794" i="23"/>
  <c r="A795" i="23"/>
  <c r="B795" i="23"/>
  <c r="C795" i="23"/>
  <c r="D795" i="23"/>
  <c r="F795" i="23"/>
  <c r="G795" i="23"/>
  <c r="A796" i="23"/>
  <c r="B796" i="23"/>
  <c r="C796" i="23"/>
  <c r="D796" i="23"/>
  <c r="F796" i="23"/>
  <c r="G796" i="23"/>
  <c r="A797" i="23"/>
  <c r="B797" i="23"/>
  <c r="C797" i="23"/>
  <c r="D797" i="23"/>
  <c r="F797" i="23"/>
  <c r="G797" i="23"/>
  <c r="A798" i="23"/>
  <c r="B798" i="23"/>
  <c r="C798" i="23"/>
  <c r="D798" i="23"/>
  <c r="F798" i="23"/>
  <c r="G798" i="23"/>
  <c r="A799" i="23"/>
  <c r="B799" i="23"/>
  <c r="C799" i="23"/>
  <c r="D799" i="23"/>
  <c r="F799" i="23"/>
  <c r="G799" i="23"/>
  <c r="A800" i="23"/>
  <c r="B800" i="23"/>
  <c r="C800" i="23"/>
  <c r="D800" i="23"/>
  <c r="F800" i="23"/>
  <c r="G800" i="23"/>
  <c r="A801" i="23"/>
  <c r="B801" i="23"/>
  <c r="C801" i="23"/>
  <c r="D801" i="23"/>
  <c r="F801" i="23"/>
  <c r="G801" i="23"/>
  <c r="A802" i="23"/>
  <c r="B802" i="23"/>
  <c r="C802" i="23"/>
  <c r="D802" i="23"/>
  <c r="F802" i="23"/>
  <c r="G802" i="23"/>
  <c r="A803" i="23"/>
  <c r="B803" i="23"/>
  <c r="C803" i="23"/>
  <c r="D803" i="23"/>
  <c r="F803" i="23"/>
  <c r="G803" i="23"/>
  <c r="A804" i="23"/>
  <c r="B804" i="23"/>
  <c r="C804" i="23"/>
  <c r="D804" i="23"/>
  <c r="F804" i="23"/>
  <c r="G804" i="23"/>
  <c r="A805" i="23"/>
  <c r="B805" i="23"/>
  <c r="C805" i="23"/>
  <c r="D805" i="23"/>
  <c r="F805" i="23"/>
  <c r="G805" i="23"/>
  <c r="A806" i="23"/>
  <c r="B806" i="23"/>
  <c r="C806" i="23"/>
  <c r="D806" i="23"/>
  <c r="F806" i="23"/>
  <c r="G806" i="23"/>
  <c r="A807" i="23"/>
  <c r="B807" i="23"/>
  <c r="C807" i="23"/>
  <c r="D807" i="23"/>
  <c r="F807" i="23"/>
  <c r="G807" i="23"/>
  <c r="A808" i="23"/>
  <c r="B808" i="23"/>
  <c r="C808" i="23"/>
  <c r="D808" i="23"/>
  <c r="F808" i="23"/>
  <c r="G808" i="23"/>
  <c r="A809" i="23"/>
  <c r="B809" i="23"/>
  <c r="C809" i="23"/>
  <c r="D809" i="23"/>
  <c r="F809" i="23"/>
  <c r="G809" i="23"/>
  <c r="A810" i="23"/>
  <c r="B810" i="23"/>
  <c r="C810" i="23"/>
  <c r="D810" i="23"/>
  <c r="F810" i="23"/>
  <c r="G810" i="23"/>
  <c r="A811" i="23"/>
  <c r="B811" i="23"/>
  <c r="C811" i="23"/>
  <c r="D811" i="23"/>
  <c r="F811" i="23"/>
  <c r="G811" i="23"/>
  <c r="A812" i="23"/>
  <c r="B812" i="23"/>
  <c r="C812" i="23"/>
  <c r="D812" i="23"/>
  <c r="F812" i="23"/>
  <c r="G812" i="23"/>
  <c r="A813" i="23"/>
  <c r="B813" i="23"/>
  <c r="C813" i="23"/>
  <c r="D813" i="23"/>
  <c r="F813" i="23"/>
  <c r="G813" i="23"/>
  <c r="A814" i="23"/>
  <c r="B814" i="23"/>
  <c r="C814" i="23"/>
  <c r="D814" i="23"/>
  <c r="F814" i="23"/>
  <c r="G814" i="23"/>
  <c r="A815" i="23"/>
  <c r="B815" i="23"/>
  <c r="C815" i="23"/>
  <c r="D815" i="23"/>
  <c r="F815" i="23"/>
  <c r="G815" i="23"/>
  <c r="A816" i="23"/>
  <c r="B816" i="23"/>
  <c r="C816" i="23"/>
  <c r="D816" i="23"/>
  <c r="F816" i="23"/>
  <c r="G816" i="23"/>
  <c r="A817" i="23"/>
  <c r="B817" i="23"/>
  <c r="C817" i="23"/>
  <c r="D817" i="23"/>
  <c r="F817" i="23"/>
  <c r="G817" i="23"/>
  <c r="A818" i="23"/>
  <c r="B818" i="23"/>
  <c r="C818" i="23"/>
  <c r="D818" i="23"/>
  <c r="F818" i="23"/>
  <c r="G818" i="23"/>
  <c r="A819" i="23"/>
  <c r="B819" i="23"/>
  <c r="C819" i="23"/>
  <c r="D819" i="23"/>
  <c r="F819" i="23"/>
  <c r="G819" i="23"/>
  <c r="A820" i="23"/>
  <c r="B820" i="23"/>
  <c r="C820" i="23"/>
  <c r="D820" i="23"/>
  <c r="F820" i="23"/>
  <c r="G820" i="23"/>
  <c r="A821" i="23"/>
  <c r="B821" i="23"/>
  <c r="C821" i="23"/>
  <c r="D821" i="23"/>
  <c r="F821" i="23"/>
  <c r="G821" i="23"/>
  <c r="A822" i="23"/>
  <c r="B822" i="23"/>
  <c r="C822" i="23"/>
  <c r="D822" i="23"/>
  <c r="F822" i="23"/>
  <c r="G822" i="23"/>
  <c r="A823" i="23"/>
  <c r="B823" i="23"/>
  <c r="C823" i="23"/>
  <c r="D823" i="23"/>
  <c r="F823" i="23"/>
  <c r="G823" i="23"/>
  <c r="A824" i="23"/>
  <c r="B824" i="23"/>
  <c r="C824" i="23"/>
  <c r="D824" i="23"/>
  <c r="F824" i="23"/>
  <c r="G824" i="23"/>
  <c r="A825" i="23"/>
  <c r="B825" i="23"/>
  <c r="C825" i="23"/>
  <c r="D825" i="23"/>
  <c r="F825" i="23"/>
  <c r="G825" i="23"/>
  <c r="A826" i="23"/>
  <c r="B826" i="23"/>
  <c r="C826" i="23"/>
  <c r="D826" i="23"/>
  <c r="F826" i="23"/>
  <c r="G826" i="23"/>
  <c r="A827" i="23"/>
  <c r="B827" i="23"/>
  <c r="C827" i="23"/>
  <c r="D827" i="23"/>
  <c r="F827" i="23"/>
  <c r="G827" i="23"/>
  <c r="A828" i="23"/>
  <c r="B828" i="23"/>
  <c r="C828" i="23"/>
  <c r="D828" i="23"/>
  <c r="F828" i="23"/>
  <c r="G828" i="23"/>
  <c r="A829" i="23"/>
  <c r="B829" i="23"/>
  <c r="C829" i="23"/>
  <c r="D829" i="23"/>
  <c r="F829" i="23"/>
  <c r="G829" i="23"/>
  <c r="A830" i="23"/>
  <c r="B830" i="23"/>
  <c r="C830" i="23"/>
  <c r="D830" i="23"/>
  <c r="F830" i="23"/>
  <c r="G830" i="23"/>
  <c r="A831" i="23"/>
  <c r="B831" i="23"/>
  <c r="C831" i="23"/>
  <c r="D831" i="23"/>
  <c r="F831" i="23"/>
  <c r="G831" i="23"/>
  <c r="A832" i="23"/>
  <c r="B832" i="23"/>
  <c r="C832" i="23"/>
  <c r="D832" i="23"/>
  <c r="F832" i="23"/>
  <c r="G832" i="23"/>
  <c r="A833" i="23"/>
  <c r="B833" i="23"/>
  <c r="C833" i="23"/>
  <c r="D833" i="23"/>
  <c r="F833" i="23"/>
  <c r="G833" i="23"/>
  <c r="A834" i="23"/>
  <c r="B834" i="23"/>
  <c r="C834" i="23"/>
  <c r="D834" i="23"/>
  <c r="F834" i="23"/>
  <c r="G834" i="23"/>
  <c r="A835" i="23"/>
  <c r="B835" i="23"/>
  <c r="C835" i="23"/>
  <c r="D835" i="23"/>
  <c r="F835" i="23"/>
  <c r="G835" i="23"/>
  <c r="A836" i="23"/>
  <c r="B836" i="23"/>
  <c r="C836" i="23"/>
  <c r="D836" i="23"/>
  <c r="F836" i="23"/>
  <c r="G836" i="23"/>
  <c r="A837" i="23"/>
  <c r="B837" i="23"/>
  <c r="C837" i="23"/>
  <c r="D837" i="23"/>
  <c r="F837" i="23"/>
  <c r="G837" i="23"/>
  <c r="A838" i="23"/>
  <c r="B838" i="23"/>
  <c r="C838" i="23"/>
  <c r="D838" i="23"/>
  <c r="F838" i="23"/>
  <c r="G838" i="23"/>
  <c r="A839" i="23"/>
  <c r="B839" i="23"/>
  <c r="C839" i="23"/>
  <c r="D839" i="23"/>
  <c r="F839" i="23"/>
  <c r="G839" i="23"/>
  <c r="A840" i="23"/>
  <c r="B840" i="23"/>
  <c r="C840" i="23"/>
  <c r="D840" i="23"/>
  <c r="F840" i="23"/>
  <c r="G840" i="23"/>
  <c r="A841" i="23"/>
  <c r="B841" i="23"/>
  <c r="C841" i="23"/>
  <c r="D841" i="23"/>
  <c r="F841" i="23"/>
  <c r="G841" i="23"/>
  <c r="A842" i="23"/>
  <c r="B842" i="23"/>
  <c r="C842" i="23"/>
  <c r="D842" i="23"/>
  <c r="F842" i="23"/>
  <c r="G842" i="23"/>
  <c r="A843" i="23"/>
  <c r="B843" i="23"/>
  <c r="C843" i="23"/>
  <c r="D843" i="23"/>
  <c r="F843" i="23"/>
  <c r="G843" i="23"/>
  <c r="A844" i="23"/>
  <c r="B844" i="23"/>
  <c r="C844" i="23"/>
  <c r="D844" i="23"/>
  <c r="F844" i="23"/>
  <c r="G844" i="23"/>
  <c r="A845" i="23"/>
  <c r="B845" i="23"/>
  <c r="C845" i="23"/>
  <c r="D845" i="23"/>
  <c r="F845" i="23"/>
  <c r="G845" i="23"/>
  <c r="A846" i="23"/>
  <c r="B846" i="23"/>
  <c r="C846" i="23"/>
  <c r="D846" i="23"/>
  <c r="F846" i="23"/>
  <c r="G846" i="23"/>
  <c r="A847" i="23"/>
  <c r="B847" i="23"/>
  <c r="C847" i="23"/>
  <c r="D847" i="23"/>
  <c r="F847" i="23"/>
  <c r="G847" i="23"/>
  <c r="A848" i="23"/>
  <c r="B848" i="23"/>
  <c r="C848" i="23"/>
  <c r="D848" i="23"/>
  <c r="F848" i="23"/>
  <c r="G848" i="23"/>
  <c r="A849" i="23"/>
  <c r="B849" i="23"/>
  <c r="C849" i="23"/>
  <c r="D849" i="23"/>
  <c r="F849" i="23"/>
  <c r="G849" i="23"/>
  <c r="A850" i="23"/>
  <c r="B850" i="23"/>
  <c r="C850" i="23"/>
  <c r="D850" i="23"/>
  <c r="F850" i="23"/>
  <c r="G850" i="23"/>
  <c r="A851" i="23"/>
  <c r="B851" i="23"/>
  <c r="C851" i="23"/>
  <c r="D851" i="23"/>
  <c r="F851" i="23"/>
  <c r="G851" i="23"/>
  <c r="A852" i="23"/>
  <c r="B852" i="23"/>
  <c r="C852" i="23"/>
  <c r="D852" i="23"/>
  <c r="F852" i="23"/>
  <c r="G852" i="23"/>
  <c r="A853" i="23"/>
  <c r="B853" i="23"/>
  <c r="C853" i="23"/>
  <c r="D853" i="23"/>
  <c r="F853" i="23"/>
  <c r="G853" i="23"/>
  <c r="A854" i="23"/>
  <c r="B854" i="23"/>
  <c r="C854" i="23"/>
  <c r="D854" i="23"/>
  <c r="F854" i="23"/>
  <c r="G854" i="23"/>
  <c r="A855" i="23"/>
  <c r="B855" i="23"/>
  <c r="C855" i="23"/>
  <c r="D855" i="23"/>
  <c r="F855" i="23"/>
  <c r="G855" i="23"/>
  <c r="A856" i="23"/>
  <c r="B856" i="23"/>
  <c r="C856" i="23"/>
  <c r="D856" i="23"/>
  <c r="F856" i="23"/>
  <c r="G856" i="23"/>
  <c r="A857" i="23"/>
  <c r="B857" i="23"/>
  <c r="C857" i="23"/>
  <c r="D857" i="23"/>
  <c r="F857" i="23"/>
  <c r="G857" i="23"/>
  <c r="A858" i="23"/>
  <c r="B858" i="23"/>
  <c r="C858" i="23"/>
  <c r="D858" i="23"/>
  <c r="F858" i="23"/>
  <c r="G858" i="23"/>
  <c r="A859" i="23"/>
  <c r="B859" i="23"/>
  <c r="C859" i="23"/>
  <c r="D859" i="23"/>
  <c r="F859" i="23"/>
  <c r="G859" i="23"/>
  <c r="A860" i="23"/>
  <c r="B860" i="23"/>
  <c r="C860" i="23"/>
  <c r="D860" i="23"/>
  <c r="F860" i="23"/>
  <c r="G860" i="23"/>
  <c r="A861" i="23"/>
  <c r="B861" i="23"/>
  <c r="C861" i="23"/>
  <c r="D861" i="23"/>
  <c r="F861" i="23"/>
  <c r="G861" i="23"/>
  <c r="A862" i="23"/>
  <c r="B862" i="23"/>
  <c r="C862" i="23"/>
  <c r="D862" i="23"/>
  <c r="F862" i="23"/>
  <c r="G862" i="23"/>
  <c r="A863" i="23"/>
  <c r="B863" i="23"/>
  <c r="C863" i="23"/>
  <c r="D863" i="23"/>
  <c r="F863" i="23"/>
  <c r="G863" i="23"/>
  <c r="A864" i="23"/>
  <c r="B864" i="23"/>
  <c r="C864" i="23"/>
  <c r="D864" i="23"/>
  <c r="F864" i="23"/>
  <c r="G864" i="23"/>
  <c r="A865" i="23"/>
  <c r="B865" i="23"/>
  <c r="C865" i="23"/>
  <c r="D865" i="23"/>
  <c r="F865" i="23"/>
  <c r="G865" i="23"/>
  <c r="A866" i="23"/>
  <c r="B866" i="23"/>
  <c r="C866" i="23"/>
  <c r="D866" i="23"/>
  <c r="F866" i="23"/>
  <c r="G866" i="23"/>
  <c r="A867" i="23"/>
  <c r="B867" i="23"/>
  <c r="C867" i="23"/>
  <c r="D867" i="23"/>
  <c r="F867" i="23"/>
  <c r="G867" i="23"/>
  <c r="A868" i="23"/>
  <c r="B868" i="23"/>
  <c r="C868" i="23"/>
  <c r="D868" i="23"/>
  <c r="F868" i="23"/>
  <c r="G868" i="23"/>
  <c r="A869" i="23"/>
  <c r="B869" i="23"/>
  <c r="C869" i="23"/>
  <c r="D869" i="23"/>
  <c r="F869" i="23"/>
  <c r="G869" i="23"/>
  <c r="A870" i="23"/>
  <c r="B870" i="23"/>
  <c r="C870" i="23"/>
  <c r="D870" i="23"/>
  <c r="F870" i="23"/>
  <c r="G870" i="23"/>
  <c r="A871" i="23"/>
  <c r="B871" i="23"/>
  <c r="C871" i="23"/>
  <c r="D871" i="23"/>
  <c r="F871" i="23"/>
  <c r="G871" i="23"/>
  <c r="A872" i="23"/>
  <c r="B872" i="23"/>
  <c r="C872" i="23"/>
  <c r="D872" i="23"/>
  <c r="F872" i="23"/>
  <c r="G872" i="23"/>
  <c r="A873" i="23"/>
  <c r="B873" i="23"/>
  <c r="C873" i="23"/>
  <c r="D873" i="23"/>
  <c r="F873" i="23"/>
  <c r="G873" i="23"/>
  <c r="A874" i="23"/>
  <c r="B874" i="23"/>
  <c r="C874" i="23"/>
  <c r="D874" i="23"/>
  <c r="F874" i="23"/>
  <c r="G874" i="23"/>
  <c r="A875" i="23"/>
  <c r="B875" i="23"/>
  <c r="C875" i="23"/>
  <c r="D875" i="23"/>
  <c r="F875" i="23"/>
  <c r="G875" i="23"/>
  <c r="A876" i="23"/>
  <c r="B876" i="23"/>
  <c r="C876" i="23"/>
  <c r="D876" i="23"/>
  <c r="F876" i="23"/>
  <c r="G876" i="23"/>
  <c r="A877" i="23"/>
  <c r="B877" i="23"/>
  <c r="C877" i="23"/>
  <c r="D877" i="23"/>
  <c r="F877" i="23"/>
  <c r="G877" i="23"/>
  <c r="A878" i="23"/>
  <c r="B878" i="23"/>
  <c r="C878" i="23"/>
  <c r="D878" i="23"/>
  <c r="F878" i="23"/>
  <c r="G878" i="23"/>
  <c r="A879" i="23"/>
  <c r="B879" i="23"/>
  <c r="C879" i="23"/>
  <c r="D879" i="23"/>
  <c r="F879" i="23"/>
  <c r="G879" i="23"/>
  <c r="A880" i="23"/>
  <c r="B880" i="23"/>
  <c r="C880" i="23"/>
  <c r="D880" i="23"/>
  <c r="F880" i="23"/>
  <c r="G880" i="23"/>
  <c r="A881" i="23"/>
  <c r="B881" i="23"/>
  <c r="C881" i="23"/>
  <c r="D881" i="23"/>
  <c r="F881" i="23"/>
  <c r="G881" i="23"/>
  <c r="A882" i="23"/>
  <c r="B882" i="23"/>
  <c r="C882" i="23"/>
  <c r="D882" i="23"/>
  <c r="F882" i="23"/>
  <c r="G882" i="23"/>
  <c r="A883" i="23"/>
  <c r="B883" i="23"/>
  <c r="C883" i="23"/>
  <c r="D883" i="23"/>
  <c r="F883" i="23"/>
  <c r="G883" i="23"/>
  <c r="A884" i="23"/>
  <c r="B884" i="23"/>
  <c r="C884" i="23"/>
  <c r="D884" i="23"/>
  <c r="F884" i="23"/>
  <c r="G884" i="23"/>
  <c r="A885" i="23"/>
  <c r="B885" i="23"/>
  <c r="C885" i="23"/>
  <c r="D885" i="23"/>
  <c r="F885" i="23"/>
  <c r="G885" i="23"/>
  <c r="A886" i="23"/>
  <c r="B886" i="23"/>
  <c r="C886" i="23"/>
  <c r="D886" i="23"/>
  <c r="F886" i="23"/>
  <c r="G886" i="23"/>
  <c r="A887" i="23"/>
  <c r="B887" i="23"/>
  <c r="C887" i="23"/>
  <c r="D887" i="23"/>
  <c r="F887" i="23"/>
  <c r="G887" i="23"/>
  <c r="A888" i="23"/>
  <c r="B888" i="23"/>
  <c r="C888" i="23"/>
  <c r="D888" i="23"/>
  <c r="F888" i="23"/>
  <c r="G888" i="23"/>
  <c r="A889" i="23"/>
  <c r="B889" i="23"/>
  <c r="C889" i="23"/>
  <c r="D889" i="23"/>
  <c r="F889" i="23"/>
  <c r="G889" i="23"/>
  <c r="A890" i="23"/>
  <c r="B890" i="23"/>
  <c r="C890" i="23"/>
  <c r="D890" i="23"/>
  <c r="F890" i="23"/>
  <c r="G890" i="23"/>
  <c r="A891" i="23"/>
  <c r="B891" i="23"/>
  <c r="C891" i="23"/>
  <c r="D891" i="23"/>
  <c r="F891" i="23"/>
  <c r="G891" i="23"/>
  <c r="A892" i="23"/>
  <c r="B892" i="23"/>
  <c r="C892" i="23"/>
  <c r="D892" i="23"/>
  <c r="F892" i="23"/>
  <c r="G892" i="23"/>
  <c r="A893" i="23"/>
  <c r="B893" i="23"/>
  <c r="C893" i="23"/>
  <c r="D893" i="23"/>
  <c r="F893" i="23"/>
  <c r="G893" i="23"/>
  <c r="A894" i="23"/>
  <c r="B894" i="23"/>
  <c r="C894" i="23"/>
  <c r="D894" i="23"/>
  <c r="F894" i="23"/>
  <c r="G894" i="23"/>
  <c r="A895" i="23"/>
  <c r="B895" i="23"/>
  <c r="C895" i="23"/>
  <c r="D895" i="23"/>
  <c r="F895" i="23"/>
  <c r="G895" i="23"/>
  <c r="A896" i="23"/>
  <c r="B896" i="23"/>
  <c r="C896" i="23"/>
  <c r="D896" i="23"/>
  <c r="F896" i="23"/>
  <c r="G896" i="23"/>
  <c r="A897" i="23"/>
  <c r="B897" i="23"/>
  <c r="C897" i="23"/>
  <c r="D897" i="23"/>
  <c r="F897" i="23"/>
  <c r="G897" i="23"/>
  <c r="A898" i="23"/>
  <c r="B898" i="23"/>
  <c r="C898" i="23"/>
  <c r="D898" i="23"/>
  <c r="F898" i="23"/>
  <c r="G898" i="23"/>
  <c r="A899" i="23"/>
  <c r="B899" i="23"/>
  <c r="C899" i="23"/>
  <c r="D899" i="23"/>
  <c r="F899" i="23"/>
  <c r="G899" i="23"/>
  <c r="A900" i="23"/>
  <c r="B900" i="23"/>
  <c r="C900" i="23"/>
  <c r="D900" i="23"/>
  <c r="F900" i="23"/>
  <c r="G900" i="23"/>
  <c r="A901" i="23"/>
  <c r="B901" i="23"/>
  <c r="C901" i="23"/>
  <c r="D901" i="23"/>
  <c r="F901" i="23"/>
  <c r="G901" i="23"/>
  <c r="A902" i="23"/>
  <c r="B902" i="23"/>
  <c r="C902" i="23"/>
  <c r="D902" i="23"/>
  <c r="F902" i="23"/>
  <c r="G902" i="23"/>
  <c r="A903" i="23"/>
  <c r="B903" i="23"/>
  <c r="C903" i="23"/>
  <c r="D903" i="23"/>
  <c r="F903" i="23"/>
  <c r="G903" i="23"/>
  <c r="A904" i="23"/>
  <c r="B904" i="23"/>
  <c r="C904" i="23"/>
  <c r="D904" i="23"/>
  <c r="F904" i="23"/>
  <c r="G904" i="23"/>
  <c r="A905" i="23"/>
  <c r="B905" i="23"/>
  <c r="C905" i="23"/>
  <c r="D905" i="23"/>
  <c r="F905" i="23"/>
  <c r="G905" i="23"/>
  <c r="A906" i="23"/>
  <c r="B906" i="23"/>
  <c r="C906" i="23"/>
  <c r="D906" i="23"/>
  <c r="F906" i="23"/>
  <c r="G906" i="23"/>
  <c r="A907" i="23"/>
  <c r="B907" i="23"/>
  <c r="C907" i="23"/>
  <c r="D907" i="23"/>
  <c r="F907" i="23"/>
  <c r="G907" i="23"/>
  <c r="A908" i="23"/>
  <c r="B908" i="23"/>
  <c r="C908" i="23"/>
  <c r="D908" i="23"/>
  <c r="F908" i="23"/>
  <c r="G908" i="23"/>
  <c r="A909" i="23"/>
  <c r="B909" i="23"/>
  <c r="C909" i="23"/>
  <c r="D909" i="23"/>
  <c r="F909" i="23"/>
  <c r="G909" i="23"/>
  <c r="A910" i="23"/>
  <c r="B910" i="23"/>
  <c r="C910" i="23"/>
  <c r="D910" i="23"/>
  <c r="F910" i="23"/>
  <c r="G910" i="23"/>
  <c r="A911" i="23"/>
  <c r="B911" i="23"/>
  <c r="C911" i="23"/>
  <c r="D911" i="23"/>
  <c r="F911" i="23"/>
  <c r="G911" i="23"/>
  <c r="A912" i="23"/>
  <c r="B912" i="23"/>
  <c r="C912" i="23"/>
  <c r="D912" i="23"/>
  <c r="F912" i="23"/>
  <c r="G912" i="23"/>
  <c r="A913" i="23"/>
  <c r="B913" i="23"/>
  <c r="C913" i="23"/>
  <c r="D913" i="23"/>
  <c r="F913" i="23"/>
  <c r="G913" i="23"/>
  <c r="A914" i="23"/>
  <c r="B914" i="23"/>
  <c r="C914" i="23"/>
  <c r="D914" i="23"/>
  <c r="F914" i="23"/>
  <c r="G914" i="23"/>
  <c r="A915" i="23"/>
  <c r="B915" i="23"/>
  <c r="C915" i="23"/>
  <c r="D915" i="23"/>
  <c r="F915" i="23"/>
  <c r="G915" i="23"/>
  <c r="A916" i="23"/>
  <c r="B916" i="23"/>
  <c r="C916" i="23"/>
  <c r="D916" i="23"/>
  <c r="F916" i="23"/>
  <c r="G916" i="23"/>
  <c r="A917" i="23"/>
  <c r="B917" i="23"/>
  <c r="C917" i="23"/>
  <c r="D917" i="23"/>
  <c r="F917" i="23"/>
  <c r="G917" i="23"/>
  <c r="A918" i="23"/>
  <c r="B918" i="23"/>
  <c r="C918" i="23"/>
  <c r="D918" i="23"/>
  <c r="F918" i="23"/>
  <c r="G918" i="23"/>
  <c r="A919" i="23"/>
  <c r="B919" i="23"/>
  <c r="C919" i="23"/>
  <c r="D919" i="23"/>
  <c r="F919" i="23"/>
  <c r="G919" i="23"/>
  <c r="A920" i="23"/>
  <c r="B920" i="23"/>
  <c r="C920" i="23"/>
  <c r="D920" i="23"/>
  <c r="F920" i="23"/>
  <c r="G920" i="23"/>
  <c r="A921" i="23"/>
  <c r="B921" i="23"/>
  <c r="C921" i="23"/>
  <c r="D921" i="23"/>
  <c r="F921" i="23"/>
  <c r="G921" i="23"/>
  <c r="A922" i="23"/>
  <c r="B922" i="23"/>
  <c r="C922" i="23"/>
  <c r="D922" i="23"/>
  <c r="F922" i="23"/>
  <c r="G922" i="23"/>
  <c r="A923" i="23"/>
  <c r="B923" i="23"/>
  <c r="C923" i="23"/>
  <c r="D923" i="23"/>
  <c r="F923" i="23"/>
  <c r="G923" i="23"/>
  <c r="A924" i="23"/>
  <c r="B924" i="23"/>
  <c r="C924" i="23"/>
  <c r="D924" i="23"/>
  <c r="F924" i="23"/>
  <c r="G924" i="23"/>
  <c r="A925" i="23"/>
  <c r="B925" i="23"/>
  <c r="C925" i="23"/>
  <c r="D925" i="23"/>
  <c r="F925" i="23"/>
  <c r="G925" i="23"/>
  <c r="A926" i="23"/>
  <c r="B926" i="23"/>
  <c r="C926" i="23"/>
  <c r="D926" i="23"/>
  <c r="F926" i="23"/>
  <c r="G926" i="23"/>
  <c r="A927" i="23"/>
  <c r="B927" i="23"/>
  <c r="C927" i="23"/>
  <c r="D927" i="23"/>
  <c r="F927" i="23"/>
  <c r="G927" i="23"/>
  <c r="A928" i="23"/>
  <c r="B928" i="23"/>
  <c r="C928" i="23"/>
  <c r="D928" i="23"/>
  <c r="F928" i="23"/>
  <c r="G928" i="23"/>
  <c r="A929" i="23"/>
  <c r="B929" i="23"/>
  <c r="C929" i="23"/>
  <c r="D929" i="23"/>
  <c r="F929" i="23"/>
  <c r="G929" i="23"/>
  <c r="A930" i="23"/>
  <c r="B930" i="23"/>
  <c r="C930" i="23"/>
  <c r="D930" i="23"/>
  <c r="F930" i="23"/>
  <c r="G930" i="23"/>
  <c r="A931" i="23"/>
  <c r="B931" i="23"/>
  <c r="C931" i="23"/>
  <c r="D931" i="23"/>
  <c r="F931" i="23"/>
  <c r="G931" i="23"/>
  <c r="A932" i="23"/>
  <c r="B932" i="23"/>
  <c r="C932" i="23"/>
  <c r="D932" i="23"/>
  <c r="F932" i="23"/>
  <c r="G932" i="23"/>
  <c r="A933" i="23"/>
  <c r="B933" i="23"/>
  <c r="C933" i="23"/>
  <c r="D933" i="23"/>
  <c r="F933" i="23"/>
  <c r="G933" i="23"/>
  <c r="A934" i="23"/>
  <c r="B934" i="23"/>
  <c r="C934" i="23"/>
  <c r="D934" i="23"/>
  <c r="F934" i="23"/>
  <c r="G934" i="23"/>
  <c r="A935" i="23"/>
  <c r="B935" i="23"/>
  <c r="C935" i="23"/>
  <c r="D935" i="23"/>
  <c r="F935" i="23"/>
  <c r="G935" i="23"/>
  <c r="A936" i="23"/>
  <c r="B936" i="23"/>
  <c r="C936" i="23"/>
  <c r="D936" i="23"/>
  <c r="F936" i="23"/>
  <c r="G936" i="23"/>
  <c r="A937" i="23"/>
  <c r="B937" i="23"/>
  <c r="C937" i="23"/>
  <c r="D937" i="23"/>
  <c r="F937" i="23"/>
  <c r="G937" i="23"/>
  <c r="A938" i="23"/>
  <c r="B938" i="23"/>
  <c r="C938" i="23"/>
  <c r="D938" i="23"/>
  <c r="F938" i="23"/>
  <c r="G938" i="23"/>
  <c r="A939" i="23"/>
  <c r="B939" i="23"/>
  <c r="C939" i="23"/>
  <c r="D939" i="23"/>
  <c r="F939" i="23"/>
  <c r="G939" i="23"/>
  <c r="A940" i="23"/>
  <c r="B940" i="23"/>
  <c r="C940" i="23"/>
  <c r="D940" i="23"/>
  <c r="F940" i="23"/>
  <c r="G940" i="23"/>
  <c r="A941" i="23"/>
  <c r="B941" i="23"/>
  <c r="C941" i="23"/>
  <c r="D941" i="23"/>
  <c r="F941" i="23"/>
  <c r="G941" i="23"/>
  <c r="A942" i="23"/>
  <c r="B942" i="23"/>
  <c r="C942" i="23"/>
  <c r="D942" i="23"/>
  <c r="F942" i="23"/>
  <c r="G942" i="23"/>
  <c r="A943" i="23"/>
  <c r="B943" i="23"/>
  <c r="C943" i="23"/>
  <c r="D943" i="23"/>
  <c r="F943" i="23"/>
  <c r="G943" i="23"/>
  <c r="A944" i="23"/>
  <c r="B944" i="23"/>
  <c r="C944" i="23"/>
  <c r="D944" i="23"/>
  <c r="F944" i="23"/>
  <c r="G944" i="23"/>
  <c r="A945" i="23"/>
  <c r="B945" i="23"/>
  <c r="C945" i="23"/>
  <c r="D945" i="23"/>
  <c r="F945" i="23"/>
  <c r="G945" i="23"/>
  <c r="A946" i="23"/>
  <c r="B946" i="23"/>
  <c r="C946" i="23"/>
  <c r="D946" i="23"/>
  <c r="F946" i="23"/>
  <c r="G946" i="23"/>
  <c r="A947" i="23"/>
  <c r="B947" i="23"/>
  <c r="C947" i="23"/>
  <c r="D947" i="23"/>
  <c r="F947" i="23"/>
  <c r="G947" i="23"/>
  <c r="A948" i="23"/>
  <c r="B948" i="23"/>
  <c r="C948" i="23"/>
  <c r="D948" i="23"/>
  <c r="F948" i="23"/>
  <c r="G948" i="23"/>
  <c r="A949" i="23"/>
  <c r="B949" i="23"/>
  <c r="C949" i="23"/>
  <c r="D949" i="23"/>
  <c r="F949" i="23"/>
  <c r="G949" i="23"/>
  <c r="A950" i="23"/>
  <c r="B950" i="23"/>
  <c r="C950" i="23"/>
  <c r="D950" i="23"/>
  <c r="F950" i="23"/>
  <c r="G950" i="23"/>
  <c r="A951" i="23"/>
  <c r="B951" i="23"/>
  <c r="C951" i="23"/>
  <c r="D951" i="23"/>
  <c r="F951" i="23"/>
  <c r="G951" i="23"/>
  <c r="A952" i="23"/>
  <c r="B952" i="23"/>
  <c r="C952" i="23"/>
  <c r="D952" i="23"/>
  <c r="F952" i="23"/>
  <c r="G952" i="23"/>
  <c r="A953" i="23"/>
  <c r="B953" i="23"/>
  <c r="C953" i="23"/>
  <c r="D953" i="23"/>
  <c r="F953" i="23"/>
  <c r="G953" i="23"/>
  <c r="A954" i="23"/>
  <c r="B954" i="23"/>
  <c r="C954" i="23"/>
  <c r="D954" i="23"/>
  <c r="F954" i="23"/>
  <c r="G954" i="23"/>
  <c r="A955" i="23"/>
  <c r="B955" i="23"/>
  <c r="C955" i="23"/>
  <c r="D955" i="23"/>
  <c r="F955" i="23"/>
  <c r="G955" i="23"/>
  <c r="A956" i="23"/>
  <c r="B956" i="23"/>
  <c r="C956" i="23"/>
  <c r="D956" i="23"/>
  <c r="F956" i="23"/>
  <c r="G956" i="23"/>
  <c r="A957" i="23"/>
  <c r="B957" i="23"/>
  <c r="C957" i="23"/>
  <c r="D957" i="23"/>
  <c r="F957" i="23"/>
  <c r="G957" i="23"/>
  <c r="A958" i="23"/>
  <c r="B958" i="23"/>
  <c r="C958" i="23"/>
  <c r="D958" i="23"/>
  <c r="F958" i="23"/>
  <c r="G958" i="23"/>
  <c r="A959" i="23"/>
  <c r="B959" i="23"/>
  <c r="C959" i="23"/>
  <c r="D959" i="23"/>
  <c r="F959" i="23"/>
  <c r="G959" i="23"/>
  <c r="A960" i="23"/>
  <c r="B960" i="23"/>
  <c r="C960" i="23"/>
  <c r="D960" i="23"/>
  <c r="F960" i="23"/>
  <c r="G960" i="23"/>
  <c r="A961" i="23"/>
  <c r="B961" i="23"/>
  <c r="C961" i="23"/>
  <c r="D961" i="23"/>
  <c r="F961" i="23"/>
  <c r="G961" i="23"/>
  <c r="A962" i="23"/>
  <c r="B962" i="23"/>
  <c r="C962" i="23"/>
  <c r="D962" i="23"/>
  <c r="F962" i="23"/>
  <c r="G962" i="23"/>
  <c r="A963" i="23"/>
  <c r="B963" i="23"/>
  <c r="C963" i="23"/>
  <c r="D963" i="23"/>
  <c r="F963" i="23"/>
  <c r="G963" i="23"/>
  <c r="A964" i="23"/>
  <c r="B964" i="23"/>
  <c r="C964" i="23"/>
  <c r="D964" i="23"/>
  <c r="F964" i="23"/>
  <c r="G964" i="23"/>
  <c r="A965" i="23"/>
  <c r="B965" i="23"/>
  <c r="C965" i="23"/>
  <c r="D965" i="23"/>
  <c r="F965" i="23"/>
  <c r="G965" i="23"/>
  <c r="A966" i="23"/>
  <c r="B966" i="23"/>
  <c r="C966" i="23"/>
  <c r="D966" i="23"/>
  <c r="F966" i="23"/>
  <c r="G966" i="23"/>
  <c r="A967" i="23"/>
  <c r="B967" i="23"/>
  <c r="C967" i="23"/>
  <c r="D967" i="23"/>
  <c r="F967" i="23"/>
  <c r="G967" i="23"/>
  <c r="A968" i="23"/>
  <c r="B968" i="23"/>
  <c r="C968" i="23"/>
  <c r="D968" i="23"/>
  <c r="F968" i="23"/>
  <c r="G968" i="23"/>
  <c r="A969" i="23"/>
  <c r="B969" i="23"/>
  <c r="C969" i="23"/>
  <c r="D969" i="23"/>
  <c r="F969" i="23"/>
  <c r="G969" i="23"/>
  <c r="A970" i="23"/>
  <c r="B970" i="23"/>
  <c r="C970" i="23"/>
  <c r="D970" i="23"/>
  <c r="F970" i="23"/>
  <c r="G970" i="23"/>
  <c r="A971" i="23"/>
  <c r="B971" i="23"/>
  <c r="C971" i="23"/>
  <c r="D971" i="23"/>
  <c r="F971" i="23"/>
  <c r="G971" i="23"/>
  <c r="A972" i="23"/>
  <c r="B972" i="23"/>
  <c r="C972" i="23"/>
  <c r="D972" i="23"/>
  <c r="F972" i="23"/>
  <c r="G972" i="23"/>
  <c r="A973" i="23"/>
  <c r="B973" i="23"/>
  <c r="C973" i="23"/>
  <c r="D973" i="23"/>
  <c r="F973" i="23"/>
  <c r="G973" i="23"/>
  <c r="A974" i="23"/>
  <c r="B974" i="23"/>
  <c r="C974" i="23"/>
  <c r="D974" i="23"/>
  <c r="F974" i="23"/>
  <c r="G974" i="23"/>
  <c r="A975" i="23"/>
  <c r="B975" i="23"/>
  <c r="C975" i="23"/>
  <c r="D975" i="23"/>
  <c r="F975" i="23"/>
  <c r="G975" i="23"/>
  <c r="A976" i="23"/>
  <c r="B976" i="23"/>
  <c r="C976" i="23"/>
  <c r="D976" i="23"/>
  <c r="F976" i="23"/>
  <c r="G976" i="23"/>
  <c r="A977" i="23"/>
  <c r="B977" i="23"/>
  <c r="C977" i="23"/>
  <c r="D977" i="23"/>
  <c r="F977" i="23"/>
  <c r="G977" i="23"/>
  <c r="A978" i="23"/>
  <c r="B978" i="23"/>
  <c r="C978" i="23"/>
  <c r="D978" i="23"/>
  <c r="F978" i="23"/>
  <c r="G978" i="23"/>
  <c r="A979" i="23"/>
  <c r="B979" i="23"/>
  <c r="C979" i="23"/>
  <c r="D979" i="23"/>
  <c r="F979" i="23"/>
  <c r="G979" i="23"/>
  <c r="A980" i="23"/>
  <c r="B980" i="23"/>
  <c r="C980" i="23"/>
  <c r="D980" i="23"/>
  <c r="F980" i="23"/>
  <c r="G980" i="23"/>
  <c r="A981" i="23"/>
  <c r="B981" i="23"/>
  <c r="C981" i="23"/>
  <c r="D981" i="23"/>
  <c r="F981" i="23"/>
  <c r="G981" i="23"/>
  <c r="A982" i="23"/>
  <c r="B982" i="23"/>
  <c r="C982" i="23"/>
  <c r="D982" i="23"/>
  <c r="F982" i="23"/>
  <c r="G982" i="23"/>
  <c r="A983" i="23"/>
  <c r="B983" i="23"/>
  <c r="C983" i="23"/>
  <c r="D983" i="23"/>
  <c r="F983" i="23"/>
  <c r="G983" i="23"/>
  <c r="A984" i="23"/>
  <c r="B984" i="23"/>
  <c r="C984" i="23"/>
  <c r="D984" i="23"/>
  <c r="F984" i="23"/>
  <c r="G984" i="23"/>
  <c r="A985" i="23"/>
  <c r="B985" i="23"/>
  <c r="C985" i="23"/>
  <c r="D985" i="23"/>
  <c r="F985" i="23"/>
  <c r="G985" i="23"/>
  <c r="A986" i="23"/>
  <c r="B986" i="23"/>
  <c r="C986" i="23"/>
  <c r="D986" i="23"/>
  <c r="F986" i="23"/>
  <c r="G986" i="23"/>
  <c r="A987" i="23"/>
  <c r="B987" i="23"/>
  <c r="C987" i="23"/>
  <c r="D987" i="23"/>
  <c r="F987" i="23"/>
  <c r="G987" i="23"/>
  <c r="A988" i="23"/>
  <c r="B988" i="23"/>
  <c r="C988" i="23"/>
  <c r="D988" i="23"/>
  <c r="F988" i="23"/>
  <c r="G988" i="23"/>
  <c r="A989" i="23"/>
  <c r="B989" i="23"/>
  <c r="C989" i="23"/>
  <c r="D989" i="23"/>
  <c r="F989" i="23"/>
  <c r="G989" i="23"/>
  <c r="A990" i="23"/>
  <c r="B990" i="23"/>
  <c r="C990" i="23"/>
  <c r="D990" i="23"/>
  <c r="F990" i="23"/>
  <c r="G990" i="23"/>
  <c r="A991" i="23"/>
  <c r="B991" i="23"/>
  <c r="C991" i="23"/>
  <c r="D991" i="23"/>
  <c r="F991" i="23"/>
  <c r="G991" i="23"/>
  <c r="A992" i="23"/>
  <c r="B992" i="23"/>
  <c r="C992" i="23"/>
  <c r="D992" i="23"/>
  <c r="F992" i="23"/>
  <c r="G992" i="23"/>
  <c r="A993" i="23"/>
  <c r="B993" i="23"/>
  <c r="C993" i="23"/>
  <c r="D993" i="23"/>
  <c r="F993" i="23"/>
  <c r="G993" i="23"/>
  <c r="A994" i="23"/>
  <c r="B994" i="23"/>
  <c r="C994" i="23"/>
  <c r="D994" i="23"/>
  <c r="F994" i="23"/>
  <c r="G994" i="23"/>
  <c r="A995" i="23"/>
  <c r="B995" i="23"/>
  <c r="C995" i="23"/>
  <c r="D995" i="23"/>
  <c r="F995" i="23"/>
  <c r="G995" i="23"/>
  <c r="A996" i="23"/>
  <c r="B996" i="23"/>
  <c r="C996" i="23"/>
  <c r="D996" i="23"/>
  <c r="F996" i="23"/>
  <c r="G996" i="23"/>
  <c r="A997" i="23"/>
  <c r="B997" i="23"/>
  <c r="C997" i="23"/>
  <c r="D997" i="23"/>
  <c r="F997" i="23"/>
  <c r="G997" i="23"/>
  <c r="A998" i="23"/>
  <c r="B998" i="23"/>
  <c r="C998" i="23"/>
  <c r="D998" i="23"/>
  <c r="F998" i="23"/>
  <c r="G998" i="23"/>
  <c r="A999" i="23"/>
  <c r="B999" i="23"/>
  <c r="C999" i="23"/>
  <c r="D999" i="23"/>
  <c r="F999" i="23"/>
  <c r="G999" i="23"/>
  <c r="A1000" i="23"/>
  <c r="B1000" i="23"/>
  <c r="C1000" i="23"/>
  <c r="D1000" i="23"/>
  <c r="F1000" i="23"/>
  <c r="G1000" i="23"/>
  <c r="A1001" i="23"/>
  <c r="B1001" i="23"/>
  <c r="C1001" i="23"/>
  <c r="D1001" i="23"/>
  <c r="F1001" i="23"/>
  <c r="G1001" i="23"/>
  <c r="A1002" i="23"/>
  <c r="B1002" i="23"/>
  <c r="C1002" i="23"/>
  <c r="D1002" i="23"/>
  <c r="F1002" i="23"/>
  <c r="G1002" i="23"/>
  <c r="A1003" i="23"/>
  <c r="B1003" i="23"/>
  <c r="C1003" i="23"/>
  <c r="D1003" i="23"/>
  <c r="F1003" i="23"/>
  <c r="G1003" i="23"/>
  <c r="A1004" i="23"/>
  <c r="B1004" i="23"/>
  <c r="C1004" i="23"/>
  <c r="D1004" i="23"/>
  <c r="F1004" i="23"/>
  <c r="G1004" i="23"/>
  <c r="A1005" i="23"/>
  <c r="B1005" i="23"/>
  <c r="C1005" i="23"/>
  <c r="D1005" i="23"/>
  <c r="F1005" i="23"/>
  <c r="G1005" i="23"/>
  <c r="A1006" i="23"/>
  <c r="B1006" i="23"/>
  <c r="C1006" i="23"/>
  <c r="D1006" i="23"/>
  <c r="F1006" i="23"/>
  <c r="G1006" i="23"/>
  <c r="A1007" i="23"/>
  <c r="B1007" i="23"/>
  <c r="C1007" i="23"/>
  <c r="D1007" i="23"/>
  <c r="F1007" i="23"/>
  <c r="G1007" i="23"/>
  <c r="A1008" i="23"/>
  <c r="B1008" i="23"/>
  <c r="C1008" i="23"/>
  <c r="D1008" i="23"/>
  <c r="F1008" i="23"/>
  <c r="G1008" i="23"/>
  <c r="A1009" i="23"/>
  <c r="B1009" i="23"/>
  <c r="C1009" i="23"/>
  <c r="D1009" i="23"/>
  <c r="F1009" i="23"/>
  <c r="G1009" i="23"/>
  <c r="A1010" i="23"/>
  <c r="B1010" i="23"/>
  <c r="C1010" i="23"/>
  <c r="D1010" i="23"/>
  <c r="F1010" i="23"/>
  <c r="G1010" i="23"/>
  <c r="A1011" i="23"/>
  <c r="B1011" i="23"/>
  <c r="C1011" i="23"/>
  <c r="D1011" i="23"/>
  <c r="F1011" i="23"/>
  <c r="G1011" i="23"/>
  <c r="A1012" i="23"/>
  <c r="B1012" i="23"/>
  <c r="C1012" i="23"/>
  <c r="D1012" i="23"/>
  <c r="F1012" i="23"/>
  <c r="G1012" i="23"/>
  <c r="A1013" i="23"/>
  <c r="B1013" i="23"/>
  <c r="C1013" i="23"/>
  <c r="D1013" i="23"/>
  <c r="F1013" i="23"/>
  <c r="G1013" i="23"/>
  <c r="A1014" i="23"/>
  <c r="B1014" i="23"/>
  <c r="C1014" i="23"/>
  <c r="D1014" i="23"/>
  <c r="F1014" i="23"/>
  <c r="G1014" i="23"/>
  <c r="A1015" i="23"/>
  <c r="B1015" i="23"/>
  <c r="C1015" i="23"/>
  <c r="D1015" i="23"/>
  <c r="F1015" i="23"/>
  <c r="G1015" i="23"/>
  <c r="A1016" i="23"/>
  <c r="B1016" i="23"/>
  <c r="C1016" i="23"/>
  <c r="D1016" i="23"/>
  <c r="F1016" i="23"/>
  <c r="G1016" i="23"/>
  <c r="A1017" i="23"/>
  <c r="B1017" i="23"/>
  <c r="C1017" i="23"/>
  <c r="D1017" i="23"/>
  <c r="F1017" i="23"/>
  <c r="G1017" i="23"/>
  <c r="A1018" i="23"/>
  <c r="B1018" i="23"/>
  <c r="C1018" i="23"/>
  <c r="D1018" i="23"/>
  <c r="F1018" i="23"/>
  <c r="G1018" i="23"/>
  <c r="A1019" i="23"/>
  <c r="B1019" i="23"/>
  <c r="C1019" i="23"/>
  <c r="D1019" i="23"/>
  <c r="F1019" i="23"/>
  <c r="G1019" i="23"/>
  <c r="A1020" i="23"/>
  <c r="B1020" i="23"/>
  <c r="C1020" i="23"/>
  <c r="D1020" i="23"/>
  <c r="F1020" i="23"/>
  <c r="G1020" i="23"/>
  <c r="A1021" i="23"/>
  <c r="B1021" i="23"/>
  <c r="C1021" i="23"/>
  <c r="D1021" i="23"/>
  <c r="F1021" i="23"/>
  <c r="G1021" i="23"/>
  <c r="A1022" i="23"/>
  <c r="B1022" i="23"/>
  <c r="C1022" i="23"/>
  <c r="D1022" i="23"/>
  <c r="F1022" i="23"/>
  <c r="G1022" i="23"/>
  <c r="A1023" i="23"/>
  <c r="B1023" i="23"/>
  <c r="C1023" i="23"/>
  <c r="D1023" i="23"/>
  <c r="F1023" i="23"/>
  <c r="G1023" i="23"/>
  <c r="A1024" i="23"/>
  <c r="B1024" i="23"/>
  <c r="C1024" i="23"/>
  <c r="D1024" i="23"/>
  <c r="F1024" i="23"/>
  <c r="G1024" i="23"/>
  <c r="A1025" i="23"/>
  <c r="B1025" i="23"/>
  <c r="C1025" i="23"/>
  <c r="D1025" i="23"/>
  <c r="F1025" i="23"/>
  <c r="G1025" i="23"/>
  <c r="A1026" i="23"/>
  <c r="B1026" i="23"/>
  <c r="C1026" i="23"/>
  <c r="D1026" i="23"/>
  <c r="F1026" i="23"/>
  <c r="G1026" i="23"/>
  <c r="A1027" i="23"/>
  <c r="B1027" i="23"/>
  <c r="C1027" i="23"/>
  <c r="D1027" i="23"/>
  <c r="F1027" i="23"/>
  <c r="G1027" i="23"/>
  <c r="A1028" i="23"/>
  <c r="B1028" i="23"/>
  <c r="C1028" i="23"/>
  <c r="D1028" i="23"/>
  <c r="F1028" i="23"/>
  <c r="G1028" i="23"/>
  <c r="A1029" i="23"/>
  <c r="B1029" i="23"/>
  <c r="C1029" i="23"/>
  <c r="D1029" i="23"/>
  <c r="F1029" i="23"/>
  <c r="G1029" i="23"/>
  <c r="A1030" i="23"/>
  <c r="B1030" i="23"/>
  <c r="C1030" i="23"/>
  <c r="D1030" i="23"/>
  <c r="F1030" i="23"/>
  <c r="G1030" i="23"/>
  <c r="A1031" i="23"/>
  <c r="B1031" i="23"/>
  <c r="C1031" i="23"/>
  <c r="D1031" i="23"/>
  <c r="F1031" i="23"/>
  <c r="G1031" i="23"/>
  <c r="A1032" i="23"/>
  <c r="B1032" i="23"/>
  <c r="C1032" i="23"/>
  <c r="D1032" i="23"/>
  <c r="F1032" i="23"/>
  <c r="G1032" i="23"/>
  <c r="A1033" i="23"/>
  <c r="B1033" i="23"/>
  <c r="C1033" i="23"/>
  <c r="D1033" i="23"/>
  <c r="F1033" i="23"/>
  <c r="G1033" i="23"/>
  <c r="A1034" i="23"/>
  <c r="B1034" i="23"/>
  <c r="C1034" i="23"/>
  <c r="D1034" i="23"/>
  <c r="F1034" i="23"/>
  <c r="G1034" i="23"/>
  <c r="A1035" i="23"/>
  <c r="B1035" i="23"/>
  <c r="C1035" i="23"/>
  <c r="D1035" i="23"/>
  <c r="F1035" i="23"/>
  <c r="G1035" i="23"/>
  <c r="A1036" i="23"/>
  <c r="B1036" i="23"/>
  <c r="C1036" i="23"/>
  <c r="D1036" i="23"/>
  <c r="F1036" i="23"/>
  <c r="G1036" i="23"/>
  <c r="A1037" i="23"/>
  <c r="B1037" i="23"/>
  <c r="C1037" i="23"/>
  <c r="D1037" i="23"/>
  <c r="F1037" i="23"/>
  <c r="G1037" i="23"/>
  <c r="A1038" i="23"/>
  <c r="B1038" i="23"/>
  <c r="C1038" i="23"/>
  <c r="D1038" i="23"/>
  <c r="F1038" i="23"/>
  <c r="G1038" i="23"/>
  <c r="A1039" i="23"/>
  <c r="B1039" i="23"/>
  <c r="C1039" i="23"/>
  <c r="D1039" i="23"/>
  <c r="F1039" i="23"/>
  <c r="G1039" i="23"/>
  <c r="A1040" i="23"/>
  <c r="B1040" i="23"/>
  <c r="C1040" i="23"/>
  <c r="D1040" i="23"/>
  <c r="F1040" i="23"/>
  <c r="G1040" i="23"/>
  <c r="A1041" i="23"/>
  <c r="B1041" i="23"/>
  <c r="C1041" i="23"/>
  <c r="D1041" i="23"/>
  <c r="F1041" i="23"/>
  <c r="G1041" i="23"/>
  <c r="A1042" i="23"/>
  <c r="B1042" i="23"/>
  <c r="C1042" i="23"/>
  <c r="D1042" i="23"/>
  <c r="F1042" i="23"/>
  <c r="G1042" i="23"/>
  <c r="A1043" i="23"/>
  <c r="B1043" i="23"/>
  <c r="C1043" i="23"/>
  <c r="D1043" i="23"/>
  <c r="F1043" i="23"/>
  <c r="G1043" i="23"/>
  <c r="A1044" i="23"/>
  <c r="B1044" i="23"/>
  <c r="C1044" i="23"/>
  <c r="D1044" i="23"/>
  <c r="F1044" i="23"/>
  <c r="G1044" i="23"/>
  <c r="A1045" i="23"/>
  <c r="B1045" i="23"/>
  <c r="C1045" i="23"/>
  <c r="D1045" i="23"/>
  <c r="F1045" i="23"/>
  <c r="G1045" i="23"/>
  <c r="A1046" i="23"/>
  <c r="B1046" i="23"/>
  <c r="C1046" i="23"/>
  <c r="D1046" i="23"/>
  <c r="F1046" i="23"/>
  <c r="G1046" i="23"/>
  <c r="A1047" i="23"/>
  <c r="B1047" i="23"/>
  <c r="C1047" i="23"/>
  <c r="D1047" i="23"/>
  <c r="F1047" i="23"/>
  <c r="G1047" i="23"/>
  <c r="A1048" i="23"/>
  <c r="B1048" i="23"/>
  <c r="C1048" i="23"/>
  <c r="D1048" i="23"/>
  <c r="F1048" i="23"/>
  <c r="G1048" i="23"/>
  <c r="A1049" i="23"/>
  <c r="B1049" i="23"/>
  <c r="C1049" i="23"/>
  <c r="D1049" i="23"/>
  <c r="F1049" i="23"/>
  <c r="G1049" i="23"/>
  <c r="A1050" i="23"/>
  <c r="B1050" i="23"/>
  <c r="C1050" i="23"/>
  <c r="D1050" i="23"/>
  <c r="F1050" i="23"/>
  <c r="G1050" i="23"/>
  <c r="A1051" i="23"/>
  <c r="B1051" i="23"/>
  <c r="C1051" i="23"/>
  <c r="D1051" i="23"/>
  <c r="F1051" i="23"/>
  <c r="G1051" i="23"/>
  <c r="A1052" i="23"/>
  <c r="B1052" i="23"/>
  <c r="C1052" i="23"/>
  <c r="D1052" i="23"/>
  <c r="F1052" i="23"/>
  <c r="G1052" i="23"/>
  <c r="A1053" i="23"/>
  <c r="B1053" i="23"/>
  <c r="C1053" i="23"/>
  <c r="D1053" i="23"/>
  <c r="F1053" i="23"/>
  <c r="G1053" i="23"/>
  <c r="A1054" i="23"/>
  <c r="B1054" i="23"/>
  <c r="C1054" i="23"/>
  <c r="D1054" i="23"/>
  <c r="F1054" i="23"/>
  <c r="G1054" i="23"/>
  <c r="A1055" i="23"/>
  <c r="B1055" i="23"/>
  <c r="C1055" i="23"/>
  <c r="D1055" i="23"/>
  <c r="F1055" i="23"/>
  <c r="G1055" i="23"/>
  <c r="A1056" i="23"/>
  <c r="B1056" i="23"/>
  <c r="C1056" i="23"/>
  <c r="D1056" i="23"/>
  <c r="F1056" i="23"/>
  <c r="G1056" i="23"/>
  <c r="A1057" i="23"/>
  <c r="B1057" i="23"/>
  <c r="C1057" i="23"/>
  <c r="D1057" i="23"/>
  <c r="F1057" i="23"/>
  <c r="G1057" i="23"/>
  <c r="A1058" i="23"/>
  <c r="B1058" i="23"/>
  <c r="C1058" i="23"/>
  <c r="D1058" i="23"/>
  <c r="F1058" i="23"/>
  <c r="G1058" i="23"/>
  <c r="A1059" i="23"/>
  <c r="B1059" i="23"/>
  <c r="C1059" i="23"/>
  <c r="D1059" i="23"/>
  <c r="F1059" i="23"/>
  <c r="G1059" i="23"/>
  <c r="A1060" i="23"/>
  <c r="B1060" i="23"/>
  <c r="C1060" i="23"/>
  <c r="D1060" i="23"/>
  <c r="F1060" i="23"/>
  <c r="G1060" i="23"/>
  <c r="A1061" i="23"/>
  <c r="B1061" i="23"/>
  <c r="C1061" i="23"/>
  <c r="D1061" i="23"/>
  <c r="F1061" i="23"/>
  <c r="G1061" i="23"/>
  <c r="A1062" i="23"/>
  <c r="B1062" i="23"/>
  <c r="C1062" i="23"/>
  <c r="D1062" i="23"/>
  <c r="F1062" i="23"/>
  <c r="G1062" i="23"/>
  <c r="A1063" i="23"/>
  <c r="B1063" i="23"/>
  <c r="C1063" i="23"/>
  <c r="D1063" i="23"/>
  <c r="F1063" i="23"/>
  <c r="G1063" i="23"/>
  <c r="A1064" i="23"/>
  <c r="B1064" i="23"/>
  <c r="C1064" i="23"/>
  <c r="D1064" i="23"/>
  <c r="F1064" i="23"/>
  <c r="G1064" i="23"/>
  <c r="A1065" i="23"/>
  <c r="B1065" i="23"/>
  <c r="C1065" i="23"/>
  <c r="D1065" i="23"/>
  <c r="F1065" i="23"/>
  <c r="G1065" i="23"/>
  <c r="A1066" i="23"/>
  <c r="B1066" i="23"/>
  <c r="C1066" i="23"/>
  <c r="D1066" i="23"/>
  <c r="F1066" i="23"/>
  <c r="G1066" i="23"/>
  <c r="A1067" i="23"/>
  <c r="B1067" i="23"/>
  <c r="C1067" i="23"/>
  <c r="D1067" i="23"/>
  <c r="F1067" i="23"/>
  <c r="G1067" i="23"/>
  <c r="A1068" i="23"/>
  <c r="B1068" i="23"/>
  <c r="C1068" i="23"/>
  <c r="D1068" i="23"/>
  <c r="F1068" i="23"/>
  <c r="G1068" i="23"/>
  <c r="A1069" i="23"/>
  <c r="B1069" i="23"/>
  <c r="C1069" i="23"/>
  <c r="D1069" i="23"/>
  <c r="F1069" i="23"/>
  <c r="G1069" i="23"/>
  <c r="A1070" i="23"/>
  <c r="B1070" i="23"/>
  <c r="C1070" i="23"/>
  <c r="D1070" i="23"/>
  <c r="F1070" i="23"/>
  <c r="G1070" i="23"/>
  <c r="A1071" i="23"/>
  <c r="B1071" i="23"/>
  <c r="C1071" i="23"/>
  <c r="D1071" i="23"/>
  <c r="F1071" i="23"/>
  <c r="G1071" i="23"/>
  <c r="A1072" i="23"/>
  <c r="B1072" i="23"/>
  <c r="C1072" i="23"/>
  <c r="D1072" i="23"/>
  <c r="F1072" i="23"/>
  <c r="G1072" i="23"/>
  <c r="A1073" i="23"/>
  <c r="B1073" i="23"/>
  <c r="C1073" i="23"/>
  <c r="D1073" i="23"/>
  <c r="F1073" i="23"/>
  <c r="G1073" i="23"/>
  <c r="A1074" i="23"/>
  <c r="B1074" i="23"/>
  <c r="C1074" i="23"/>
  <c r="D1074" i="23"/>
  <c r="F1074" i="23"/>
  <c r="G1074" i="23"/>
  <c r="A1075" i="23"/>
  <c r="B1075" i="23"/>
  <c r="C1075" i="23"/>
  <c r="D1075" i="23"/>
  <c r="F1075" i="23"/>
  <c r="G1075" i="23"/>
  <c r="A1076" i="23"/>
  <c r="B1076" i="23"/>
  <c r="C1076" i="23"/>
  <c r="D1076" i="23"/>
  <c r="F1076" i="23"/>
  <c r="G1076" i="23"/>
  <c r="A1077" i="23"/>
  <c r="B1077" i="23"/>
  <c r="C1077" i="23"/>
  <c r="D1077" i="23"/>
  <c r="F1077" i="23"/>
  <c r="G1077" i="23"/>
  <c r="A1078" i="23"/>
  <c r="B1078" i="23"/>
  <c r="C1078" i="23"/>
  <c r="D1078" i="23"/>
  <c r="F1078" i="23"/>
  <c r="G1078" i="23"/>
  <c r="A1079" i="23"/>
  <c r="B1079" i="23"/>
  <c r="C1079" i="23"/>
  <c r="D1079" i="23"/>
  <c r="F1079" i="23"/>
  <c r="G1079" i="23"/>
  <c r="A1080" i="23"/>
  <c r="B1080" i="23"/>
  <c r="C1080" i="23"/>
  <c r="D1080" i="23"/>
  <c r="F1080" i="23"/>
  <c r="G1080" i="23"/>
  <c r="A1081" i="23"/>
  <c r="B1081" i="23"/>
  <c r="C1081" i="23"/>
  <c r="D1081" i="23"/>
  <c r="F1081" i="23"/>
  <c r="G1081" i="23"/>
  <c r="A1082" i="23"/>
  <c r="B1082" i="23"/>
  <c r="C1082" i="23"/>
  <c r="D1082" i="23"/>
  <c r="F1082" i="23"/>
  <c r="G1082" i="23"/>
  <c r="A1083" i="23"/>
  <c r="B1083" i="23"/>
  <c r="C1083" i="23"/>
  <c r="D1083" i="23"/>
  <c r="F1083" i="23"/>
  <c r="G1083" i="23"/>
  <c r="A1084" i="23"/>
  <c r="B1084" i="23"/>
  <c r="C1084" i="23"/>
  <c r="D1084" i="23"/>
  <c r="F1084" i="23"/>
  <c r="G1084" i="23"/>
  <c r="A1085" i="23"/>
  <c r="B1085" i="23"/>
  <c r="C1085" i="23"/>
  <c r="D1085" i="23"/>
  <c r="F1085" i="23"/>
  <c r="G1085" i="23"/>
  <c r="A1086" i="23"/>
  <c r="B1086" i="23"/>
  <c r="C1086" i="23"/>
  <c r="D1086" i="23"/>
  <c r="F1086" i="23"/>
  <c r="G1086" i="23"/>
  <c r="A1087" i="23"/>
  <c r="B1087" i="23"/>
  <c r="C1087" i="23"/>
  <c r="D1087" i="23"/>
  <c r="F1087" i="23"/>
  <c r="G1087" i="23"/>
  <c r="A1088" i="23"/>
  <c r="B1088" i="23"/>
  <c r="C1088" i="23"/>
  <c r="D1088" i="23"/>
  <c r="F1088" i="23"/>
  <c r="G1088" i="23"/>
  <c r="A1089" i="23"/>
  <c r="B1089" i="23"/>
  <c r="C1089" i="23"/>
  <c r="D1089" i="23"/>
  <c r="F1089" i="23"/>
  <c r="G1089" i="23"/>
  <c r="A1090" i="23"/>
  <c r="B1090" i="23"/>
  <c r="C1090" i="23"/>
  <c r="D1090" i="23"/>
  <c r="F1090" i="23"/>
  <c r="G1090" i="23"/>
  <c r="A1091" i="23"/>
  <c r="B1091" i="23"/>
  <c r="C1091" i="23"/>
  <c r="D1091" i="23"/>
  <c r="F1091" i="23"/>
  <c r="G1091" i="23"/>
  <c r="A1092" i="23"/>
  <c r="B1092" i="23"/>
  <c r="C1092" i="23"/>
  <c r="D1092" i="23"/>
  <c r="F1092" i="23"/>
  <c r="G1092" i="23"/>
  <c r="A1093" i="23"/>
  <c r="B1093" i="23"/>
  <c r="C1093" i="23"/>
  <c r="D1093" i="23"/>
  <c r="F1093" i="23"/>
  <c r="G1093" i="23"/>
  <c r="A1094" i="23"/>
  <c r="B1094" i="23"/>
  <c r="C1094" i="23"/>
  <c r="D1094" i="23"/>
  <c r="F1094" i="23"/>
  <c r="G1094" i="23"/>
  <c r="A1095" i="23"/>
  <c r="B1095" i="23"/>
  <c r="C1095" i="23"/>
  <c r="D1095" i="23"/>
  <c r="F1095" i="23"/>
  <c r="G1095" i="23"/>
  <c r="A1096" i="23"/>
  <c r="B1096" i="23"/>
  <c r="C1096" i="23"/>
  <c r="D1096" i="23"/>
  <c r="F1096" i="23"/>
  <c r="G1096" i="23"/>
  <c r="A1097" i="23"/>
  <c r="B1097" i="23"/>
  <c r="C1097" i="23"/>
  <c r="D1097" i="23"/>
  <c r="F1097" i="23"/>
  <c r="G1097" i="23"/>
  <c r="A1098" i="23"/>
  <c r="B1098" i="23"/>
  <c r="C1098" i="23"/>
  <c r="D1098" i="23"/>
  <c r="F1098" i="23"/>
  <c r="G1098" i="23"/>
  <c r="A1099" i="23"/>
  <c r="B1099" i="23"/>
  <c r="C1099" i="23"/>
  <c r="D1099" i="23"/>
  <c r="F1099" i="23"/>
  <c r="G1099" i="23"/>
  <c r="A1100" i="23"/>
  <c r="B1100" i="23"/>
  <c r="C1100" i="23"/>
  <c r="D1100" i="23"/>
  <c r="F1100" i="23"/>
  <c r="G1100" i="23"/>
  <c r="A1101" i="23"/>
  <c r="B1101" i="23"/>
  <c r="C1101" i="23"/>
  <c r="D1101" i="23"/>
  <c r="F1101" i="23"/>
  <c r="G1101" i="23"/>
  <c r="A1102" i="23"/>
  <c r="B1102" i="23"/>
  <c r="C1102" i="23"/>
  <c r="D1102" i="23"/>
  <c r="F1102" i="23"/>
  <c r="G1102" i="23"/>
  <c r="A1103" i="23"/>
  <c r="B1103" i="23"/>
  <c r="C1103" i="23"/>
  <c r="D1103" i="23"/>
  <c r="F1103" i="23"/>
  <c r="G1103" i="23"/>
  <c r="A1104" i="23"/>
  <c r="B1104" i="23"/>
  <c r="C1104" i="23"/>
  <c r="D1104" i="23"/>
  <c r="F1104" i="23"/>
  <c r="G1104" i="23"/>
  <c r="A1105" i="23"/>
  <c r="B1105" i="23"/>
  <c r="C1105" i="23"/>
  <c r="D1105" i="23"/>
  <c r="F1105" i="23"/>
  <c r="G1105" i="23"/>
  <c r="A1106" i="23"/>
  <c r="B1106" i="23"/>
  <c r="C1106" i="23"/>
  <c r="D1106" i="23"/>
  <c r="F1106" i="23"/>
  <c r="G1106" i="23"/>
  <c r="A1107" i="23"/>
  <c r="B1107" i="23"/>
  <c r="C1107" i="23"/>
  <c r="D1107" i="23"/>
  <c r="F1107" i="23"/>
  <c r="G1107" i="23"/>
  <c r="A1108" i="23"/>
  <c r="B1108" i="23"/>
  <c r="C1108" i="23"/>
  <c r="D1108" i="23"/>
  <c r="F1108" i="23"/>
  <c r="G1108" i="23"/>
  <c r="A1109" i="23"/>
  <c r="B1109" i="23"/>
  <c r="C1109" i="23"/>
  <c r="D1109" i="23"/>
  <c r="F1109" i="23"/>
  <c r="G1109" i="23"/>
  <c r="A1110" i="23"/>
  <c r="B1110" i="23"/>
  <c r="C1110" i="23"/>
  <c r="D1110" i="23"/>
  <c r="F1110" i="23"/>
  <c r="G1110" i="23"/>
  <c r="A1111" i="23"/>
  <c r="B1111" i="23"/>
  <c r="C1111" i="23"/>
  <c r="D1111" i="23"/>
  <c r="F1111" i="23"/>
  <c r="G1111" i="23"/>
  <c r="A1112" i="23"/>
  <c r="B1112" i="23"/>
  <c r="C1112" i="23"/>
  <c r="D1112" i="23"/>
  <c r="F1112" i="23"/>
  <c r="G1112" i="23"/>
  <c r="A1113" i="23"/>
  <c r="B1113" i="23"/>
  <c r="C1113" i="23"/>
  <c r="D1113" i="23"/>
  <c r="F1113" i="23"/>
  <c r="G1113" i="23"/>
  <c r="A1114" i="23"/>
  <c r="B1114" i="23"/>
  <c r="C1114" i="23"/>
  <c r="D1114" i="23"/>
  <c r="F1114" i="23"/>
  <c r="G1114" i="23"/>
  <c r="A1115" i="23"/>
  <c r="B1115" i="23"/>
  <c r="C1115" i="23"/>
  <c r="D1115" i="23"/>
  <c r="F1115" i="23"/>
  <c r="G1115" i="23"/>
  <c r="A1116" i="23"/>
  <c r="B1116" i="23"/>
  <c r="C1116" i="23"/>
  <c r="D1116" i="23"/>
  <c r="F1116" i="23"/>
  <c r="G1116" i="23"/>
  <c r="A1117" i="23"/>
  <c r="B1117" i="23"/>
  <c r="C1117" i="23"/>
  <c r="D1117" i="23"/>
  <c r="F1117" i="23"/>
  <c r="G1117" i="23"/>
  <c r="A1118" i="23"/>
  <c r="B1118" i="23"/>
  <c r="C1118" i="23"/>
  <c r="D1118" i="23"/>
  <c r="F1118" i="23"/>
  <c r="G1118" i="23"/>
  <c r="A1119" i="23"/>
  <c r="B1119" i="23"/>
  <c r="C1119" i="23"/>
  <c r="D1119" i="23"/>
  <c r="F1119" i="23"/>
  <c r="G1119" i="23"/>
  <c r="A1120" i="23"/>
  <c r="B1120" i="23"/>
  <c r="C1120" i="23"/>
  <c r="D1120" i="23"/>
  <c r="F1120" i="23"/>
  <c r="G1120" i="23"/>
  <c r="A1121" i="23"/>
  <c r="B1121" i="23"/>
  <c r="C1121" i="23"/>
  <c r="D1121" i="23"/>
  <c r="F1121" i="23"/>
  <c r="G1121" i="23"/>
  <c r="A1122" i="23"/>
  <c r="B1122" i="23"/>
  <c r="C1122" i="23"/>
  <c r="D1122" i="23"/>
  <c r="F1122" i="23"/>
  <c r="G1122" i="23"/>
  <c r="A1123" i="23"/>
  <c r="B1123" i="23"/>
  <c r="C1123" i="23"/>
  <c r="D1123" i="23"/>
  <c r="F1123" i="23"/>
  <c r="G1123" i="23"/>
  <c r="A1124" i="23"/>
  <c r="B1124" i="23"/>
  <c r="C1124" i="23"/>
  <c r="D1124" i="23"/>
  <c r="F1124" i="23"/>
  <c r="G1124" i="23"/>
  <c r="A1125" i="23"/>
  <c r="B1125" i="23"/>
  <c r="C1125" i="23"/>
  <c r="D1125" i="23"/>
  <c r="F1125" i="23"/>
  <c r="G1125" i="23"/>
  <c r="A1126" i="23"/>
  <c r="B1126" i="23"/>
  <c r="C1126" i="23"/>
  <c r="D1126" i="23"/>
  <c r="F1126" i="23"/>
  <c r="G1126" i="23"/>
  <c r="A1127" i="23"/>
  <c r="B1127" i="23"/>
  <c r="C1127" i="23"/>
  <c r="D1127" i="23"/>
  <c r="F1127" i="23"/>
  <c r="G1127" i="23"/>
  <c r="A1128" i="23"/>
  <c r="B1128" i="23"/>
  <c r="C1128" i="23"/>
  <c r="D1128" i="23"/>
  <c r="F1128" i="23"/>
  <c r="G1128" i="23"/>
  <c r="A1129" i="23"/>
  <c r="B1129" i="23"/>
  <c r="C1129" i="23"/>
  <c r="D1129" i="23"/>
  <c r="F1129" i="23"/>
  <c r="G1129" i="23"/>
  <c r="A1130" i="23"/>
  <c r="B1130" i="23"/>
  <c r="C1130" i="23"/>
  <c r="D1130" i="23"/>
  <c r="F1130" i="23"/>
  <c r="G1130" i="23"/>
  <c r="A1131" i="23"/>
  <c r="B1131" i="23"/>
  <c r="C1131" i="23"/>
  <c r="D1131" i="23"/>
  <c r="F1131" i="23"/>
  <c r="G1131" i="23"/>
  <c r="A1132" i="23"/>
  <c r="B1132" i="23"/>
  <c r="C1132" i="23"/>
  <c r="D1132" i="23"/>
  <c r="F1132" i="23"/>
  <c r="G1132" i="23"/>
  <c r="A1133" i="23"/>
  <c r="B1133" i="23"/>
  <c r="C1133" i="23"/>
  <c r="D1133" i="23"/>
  <c r="F1133" i="23"/>
  <c r="G1133" i="23"/>
  <c r="A1134" i="23"/>
  <c r="B1134" i="23"/>
  <c r="C1134" i="23"/>
  <c r="D1134" i="23"/>
  <c r="F1134" i="23"/>
  <c r="G1134" i="23"/>
  <c r="A1135" i="23"/>
  <c r="B1135" i="23"/>
  <c r="C1135" i="23"/>
  <c r="D1135" i="23"/>
  <c r="F1135" i="23"/>
  <c r="G1135" i="23"/>
  <c r="A1136" i="23"/>
  <c r="B1136" i="23"/>
  <c r="C1136" i="23"/>
  <c r="D1136" i="23"/>
  <c r="F1136" i="23"/>
  <c r="G1136" i="23"/>
  <c r="A1137" i="23"/>
  <c r="B1137" i="23"/>
  <c r="C1137" i="23"/>
  <c r="D1137" i="23"/>
  <c r="F1137" i="23"/>
  <c r="G1137" i="23"/>
  <c r="A1138" i="23"/>
  <c r="B1138" i="23"/>
  <c r="C1138" i="23"/>
  <c r="D1138" i="23"/>
  <c r="F1138" i="23"/>
  <c r="G1138" i="23"/>
  <c r="A1139" i="23"/>
  <c r="B1139" i="23"/>
  <c r="C1139" i="23"/>
  <c r="D1139" i="23"/>
  <c r="F1139" i="23"/>
  <c r="G1139" i="23"/>
  <c r="A1140" i="23"/>
  <c r="B1140" i="23"/>
  <c r="C1140" i="23"/>
  <c r="D1140" i="23"/>
  <c r="F1140" i="23"/>
  <c r="G1140" i="23"/>
  <c r="A1141" i="23"/>
  <c r="B1141" i="23"/>
  <c r="C1141" i="23"/>
  <c r="D1141" i="23"/>
  <c r="F1141" i="23"/>
  <c r="G1141" i="23"/>
  <c r="A1142" i="23"/>
  <c r="B1142" i="23"/>
  <c r="C1142" i="23"/>
  <c r="D1142" i="23"/>
  <c r="F1142" i="23"/>
  <c r="G1142" i="23"/>
  <c r="A1143" i="23"/>
  <c r="B1143" i="23"/>
  <c r="C1143" i="23"/>
  <c r="D1143" i="23"/>
  <c r="F1143" i="23"/>
  <c r="G1143" i="23"/>
  <c r="A1144" i="23"/>
  <c r="B1144" i="23"/>
  <c r="C1144" i="23"/>
  <c r="D1144" i="23"/>
  <c r="F1144" i="23"/>
  <c r="G1144" i="23"/>
  <c r="A1145" i="23"/>
  <c r="B1145" i="23"/>
  <c r="C1145" i="23"/>
  <c r="D1145" i="23"/>
  <c r="F1145" i="23"/>
  <c r="G1145" i="23"/>
  <c r="A1146" i="23"/>
  <c r="B1146" i="23"/>
  <c r="C1146" i="23"/>
  <c r="D1146" i="23"/>
  <c r="F1146" i="23"/>
  <c r="G1146" i="23"/>
  <c r="A1147" i="23"/>
  <c r="B1147" i="23"/>
  <c r="C1147" i="23"/>
  <c r="D1147" i="23"/>
  <c r="F1147" i="23"/>
  <c r="G1147" i="23"/>
  <c r="A1148" i="23"/>
  <c r="B1148" i="23"/>
  <c r="C1148" i="23"/>
  <c r="D1148" i="23"/>
  <c r="F1148" i="23"/>
  <c r="G1148" i="23"/>
  <c r="A1149" i="23"/>
  <c r="B1149" i="23"/>
  <c r="C1149" i="23"/>
  <c r="D1149" i="23"/>
  <c r="F1149" i="23"/>
  <c r="G1149" i="23"/>
  <c r="A1150" i="23"/>
  <c r="B1150" i="23"/>
  <c r="C1150" i="23"/>
  <c r="D1150" i="23"/>
  <c r="F1150" i="23"/>
  <c r="G1150" i="23"/>
  <c r="A1151" i="23"/>
  <c r="B1151" i="23"/>
  <c r="C1151" i="23"/>
  <c r="D1151" i="23"/>
  <c r="F1151" i="23"/>
  <c r="G1151" i="23"/>
  <c r="A1152" i="23"/>
  <c r="B1152" i="23"/>
  <c r="C1152" i="23"/>
  <c r="D1152" i="23"/>
  <c r="F1152" i="23"/>
  <c r="G1152" i="23"/>
  <c r="A1153" i="23"/>
  <c r="B1153" i="23"/>
  <c r="C1153" i="23"/>
  <c r="D1153" i="23"/>
  <c r="F1153" i="23"/>
  <c r="G1153" i="23"/>
  <c r="A1154" i="23"/>
  <c r="B1154" i="23"/>
  <c r="C1154" i="23"/>
  <c r="D1154" i="23"/>
  <c r="F1154" i="23"/>
  <c r="G1154" i="23"/>
  <c r="A1155" i="23"/>
  <c r="B1155" i="23"/>
  <c r="C1155" i="23"/>
  <c r="D1155" i="23"/>
  <c r="F1155" i="23"/>
  <c r="G1155" i="23"/>
  <c r="A1156" i="23"/>
  <c r="B1156" i="23"/>
  <c r="C1156" i="23"/>
  <c r="D1156" i="23"/>
  <c r="F1156" i="23"/>
  <c r="G1156" i="23"/>
  <c r="A1157" i="23"/>
  <c r="B1157" i="23"/>
  <c r="C1157" i="23"/>
  <c r="D1157" i="23"/>
  <c r="F1157" i="23"/>
  <c r="G1157" i="23"/>
  <c r="A1158" i="23"/>
  <c r="B1158" i="23"/>
  <c r="C1158" i="23"/>
  <c r="D1158" i="23"/>
  <c r="F1158" i="23"/>
  <c r="G1158" i="23"/>
  <c r="A1159" i="23"/>
  <c r="B1159" i="23"/>
  <c r="C1159" i="23"/>
  <c r="D1159" i="23"/>
  <c r="F1159" i="23"/>
  <c r="G1159" i="23"/>
  <c r="A1160" i="23"/>
  <c r="B1160" i="23"/>
  <c r="C1160" i="23"/>
  <c r="D1160" i="23"/>
  <c r="F1160" i="23"/>
  <c r="G1160" i="23"/>
  <c r="A1161" i="23"/>
  <c r="B1161" i="23"/>
  <c r="C1161" i="23"/>
  <c r="D1161" i="23"/>
  <c r="F1161" i="23"/>
  <c r="G1161" i="23"/>
  <c r="A1162" i="23"/>
  <c r="B1162" i="23"/>
  <c r="C1162" i="23"/>
  <c r="D1162" i="23"/>
  <c r="F1162" i="23"/>
  <c r="G1162" i="23"/>
  <c r="A1163" i="23"/>
  <c r="B1163" i="23"/>
  <c r="C1163" i="23"/>
  <c r="D1163" i="23"/>
  <c r="F1163" i="23"/>
  <c r="G1163" i="23"/>
  <c r="A1164" i="23"/>
  <c r="B1164" i="23"/>
  <c r="C1164" i="23"/>
  <c r="D1164" i="23"/>
  <c r="F1164" i="23"/>
  <c r="G1164" i="23"/>
  <c r="A1165" i="23"/>
  <c r="B1165" i="23"/>
  <c r="C1165" i="23"/>
  <c r="D1165" i="23"/>
  <c r="F1165" i="23"/>
  <c r="G1165" i="23"/>
  <c r="A1166" i="23"/>
  <c r="B1166" i="23"/>
  <c r="C1166" i="23"/>
  <c r="D1166" i="23"/>
  <c r="F1166" i="23"/>
  <c r="G1166" i="23"/>
  <c r="A1167" i="23"/>
  <c r="B1167" i="23"/>
  <c r="C1167" i="23"/>
  <c r="D1167" i="23"/>
  <c r="F1167" i="23"/>
  <c r="G1167" i="23"/>
  <c r="A1168" i="23"/>
  <c r="B1168" i="23"/>
  <c r="C1168" i="23"/>
  <c r="D1168" i="23"/>
  <c r="F1168" i="23"/>
  <c r="G1168" i="23"/>
  <c r="A1169" i="23"/>
  <c r="B1169" i="23"/>
  <c r="C1169" i="23"/>
  <c r="D1169" i="23"/>
  <c r="F1169" i="23"/>
  <c r="G1169" i="23"/>
  <c r="A1170" i="23"/>
  <c r="B1170" i="23"/>
  <c r="C1170" i="23"/>
  <c r="D1170" i="23"/>
  <c r="F1170" i="23"/>
  <c r="G1170" i="23"/>
  <c r="A1171" i="23"/>
  <c r="B1171" i="23"/>
  <c r="C1171" i="23"/>
  <c r="D1171" i="23"/>
  <c r="F1171" i="23"/>
  <c r="G1171" i="23"/>
  <c r="A1172" i="23"/>
  <c r="B1172" i="23"/>
  <c r="C1172" i="23"/>
  <c r="D1172" i="23"/>
  <c r="F1172" i="23"/>
  <c r="G1172" i="23"/>
  <c r="A1173" i="23"/>
  <c r="B1173" i="23"/>
  <c r="C1173" i="23"/>
  <c r="D1173" i="23"/>
  <c r="F1173" i="23"/>
  <c r="G1173" i="23"/>
  <c r="A1174" i="23"/>
  <c r="B1174" i="23"/>
  <c r="C1174" i="23"/>
  <c r="D1174" i="23"/>
  <c r="F1174" i="23"/>
  <c r="G1174" i="23"/>
  <c r="A1175" i="23"/>
  <c r="B1175" i="23"/>
  <c r="C1175" i="23"/>
  <c r="D1175" i="23"/>
  <c r="F1175" i="23"/>
  <c r="G1175" i="23"/>
  <c r="A1176" i="23"/>
  <c r="B1176" i="23"/>
  <c r="C1176" i="23"/>
  <c r="D1176" i="23"/>
  <c r="F1176" i="23"/>
  <c r="G1176" i="23"/>
  <c r="A1177" i="23"/>
  <c r="B1177" i="23"/>
  <c r="C1177" i="23"/>
  <c r="D1177" i="23"/>
  <c r="F1177" i="23"/>
  <c r="G1177" i="23"/>
  <c r="A1178" i="23"/>
  <c r="B1178" i="23"/>
  <c r="C1178" i="23"/>
  <c r="D1178" i="23"/>
  <c r="F1178" i="23"/>
  <c r="G1178" i="23"/>
  <c r="A1179" i="23"/>
  <c r="B1179" i="23"/>
  <c r="C1179" i="23"/>
  <c r="D1179" i="23"/>
  <c r="F1179" i="23"/>
  <c r="G1179" i="23"/>
  <c r="A1180" i="23"/>
  <c r="B1180" i="23"/>
  <c r="C1180" i="23"/>
  <c r="D1180" i="23"/>
  <c r="F1180" i="23"/>
  <c r="G1180" i="23"/>
  <c r="A1181" i="23"/>
  <c r="B1181" i="23"/>
  <c r="C1181" i="23"/>
  <c r="D1181" i="23"/>
  <c r="F1181" i="23"/>
  <c r="G1181" i="23"/>
  <c r="A1182" i="23"/>
  <c r="B1182" i="23"/>
  <c r="C1182" i="23"/>
  <c r="D1182" i="23"/>
  <c r="F1182" i="23"/>
  <c r="G1182" i="23"/>
  <c r="A1183" i="23"/>
  <c r="B1183" i="23"/>
  <c r="C1183" i="23"/>
  <c r="D1183" i="23"/>
  <c r="F1183" i="23"/>
  <c r="G1183" i="23"/>
  <c r="A1184" i="23"/>
  <c r="B1184" i="23"/>
  <c r="C1184" i="23"/>
  <c r="D1184" i="23"/>
  <c r="F1184" i="23"/>
  <c r="G1184" i="23"/>
  <c r="A1185" i="23"/>
  <c r="B1185" i="23"/>
  <c r="C1185" i="23"/>
  <c r="D1185" i="23"/>
  <c r="F1185" i="23"/>
  <c r="G1185" i="23"/>
  <c r="A1186" i="23"/>
  <c r="B1186" i="23"/>
  <c r="C1186" i="23"/>
  <c r="D1186" i="23"/>
  <c r="F1186" i="23"/>
  <c r="G1186" i="23"/>
  <c r="A1187" i="23"/>
  <c r="B1187" i="23"/>
  <c r="C1187" i="23"/>
  <c r="D1187" i="23"/>
  <c r="F1187" i="23"/>
  <c r="G1187" i="23"/>
  <c r="A1188" i="23"/>
  <c r="B1188" i="23"/>
  <c r="C1188" i="23"/>
  <c r="D1188" i="23"/>
  <c r="F1188" i="23"/>
  <c r="G1188" i="23"/>
  <c r="A1189" i="23"/>
  <c r="B1189" i="23"/>
  <c r="C1189" i="23"/>
  <c r="D1189" i="23"/>
  <c r="F1189" i="23"/>
  <c r="G1189" i="23"/>
  <c r="A1190" i="23"/>
  <c r="B1190" i="23"/>
  <c r="C1190" i="23"/>
  <c r="D1190" i="23"/>
  <c r="F1190" i="23"/>
  <c r="G1190" i="23"/>
  <c r="A1191" i="23"/>
  <c r="B1191" i="23"/>
  <c r="C1191" i="23"/>
  <c r="D1191" i="23"/>
  <c r="F1191" i="23"/>
  <c r="G1191" i="23"/>
  <c r="A1192" i="23"/>
  <c r="B1192" i="23"/>
  <c r="C1192" i="23"/>
  <c r="D1192" i="23"/>
  <c r="F1192" i="23"/>
  <c r="G1192" i="23"/>
  <c r="A1193" i="23"/>
  <c r="B1193" i="23"/>
  <c r="C1193" i="23"/>
  <c r="D1193" i="23"/>
  <c r="F1193" i="23"/>
  <c r="G1193" i="23"/>
  <c r="A1194" i="23"/>
  <c r="B1194" i="23"/>
  <c r="C1194" i="23"/>
  <c r="D1194" i="23"/>
  <c r="F1194" i="23"/>
  <c r="G1194" i="23"/>
  <c r="A1195" i="23"/>
  <c r="B1195" i="23"/>
  <c r="C1195" i="23"/>
  <c r="D1195" i="23"/>
  <c r="F1195" i="23"/>
  <c r="G1195" i="23"/>
  <c r="A1196" i="23"/>
  <c r="B1196" i="23"/>
  <c r="C1196" i="23"/>
  <c r="D1196" i="23"/>
  <c r="F1196" i="23"/>
  <c r="G1196" i="23"/>
  <c r="A1197" i="23"/>
  <c r="B1197" i="23"/>
  <c r="C1197" i="23"/>
  <c r="D1197" i="23"/>
  <c r="F1197" i="23"/>
  <c r="G1197" i="23"/>
  <c r="A1198" i="23"/>
  <c r="B1198" i="23"/>
  <c r="C1198" i="23"/>
  <c r="D1198" i="23"/>
  <c r="F1198" i="23"/>
  <c r="G1198" i="23"/>
  <c r="A1199" i="23"/>
  <c r="B1199" i="23"/>
  <c r="C1199" i="23"/>
  <c r="D1199" i="23"/>
  <c r="F1199" i="23"/>
  <c r="G1199" i="23"/>
  <c r="A1200" i="23"/>
  <c r="B1200" i="23"/>
  <c r="C1200" i="23"/>
  <c r="D1200" i="23"/>
  <c r="F1200" i="23"/>
  <c r="G1200" i="23"/>
  <c r="A1201" i="23"/>
  <c r="B1201" i="23"/>
  <c r="C1201" i="23"/>
  <c r="D1201" i="23"/>
  <c r="F1201" i="23"/>
  <c r="G1201" i="23"/>
  <c r="A1202" i="23"/>
  <c r="B1202" i="23"/>
  <c r="C1202" i="23"/>
  <c r="D1202" i="23"/>
  <c r="F1202" i="23"/>
  <c r="G1202" i="23"/>
  <c r="A1203" i="23"/>
  <c r="B1203" i="23"/>
  <c r="C1203" i="23"/>
  <c r="D1203" i="23"/>
  <c r="F1203" i="23"/>
  <c r="G1203" i="23"/>
  <c r="A1204" i="23"/>
  <c r="B1204" i="23"/>
  <c r="C1204" i="23"/>
  <c r="D1204" i="23"/>
  <c r="F1204" i="23"/>
  <c r="G1204" i="23"/>
  <c r="A1205" i="23"/>
  <c r="B1205" i="23"/>
  <c r="C1205" i="23"/>
  <c r="D1205" i="23"/>
  <c r="F1205" i="23"/>
  <c r="G1205" i="23"/>
  <c r="A1206" i="23"/>
  <c r="B1206" i="23"/>
  <c r="C1206" i="23"/>
  <c r="D1206" i="23"/>
  <c r="F1206" i="23"/>
  <c r="G1206" i="23"/>
  <c r="A1207" i="23"/>
  <c r="B1207" i="23"/>
  <c r="C1207" i="23"/>
  <c r="D1207" i="23"/>
  <c r="F1207" i="23"/>
  <c r="G1207" i="23"/>
  <c r="A1208" i="23"/>
  <c r="B1208" i="23"/>
  <c r="C1208" i="23"/>
  <c r="D1208" i="23"/>
  <c r="F1208" i="23"/>
  <c r="G1208" i="23"/>
  <c r="A1209" i="23"/>
  <c r="B1209" i="23"/>
  <c r="C1209" i="23"/>
  <c r="D1209" i="23"/>
  <c r="F1209" i="23"/>
  <c r="G1209" i="23"/>
  <c r="A1210" i="23"/>
  <c r="B1210" i="23"/>
  <c r="C1210" i="23"/>
  <c r="D1210" i="23"/>
  <c r="F1210" i="23"/>
  <c r="G1210" i="23"/>
  <c r="A1211" i="23"/>
  <c r="B1211" i="23"/>
  <c r="C1211" i="23"/>
  <c r="D1211" i="23"/>
  <c r="F1211" i="23"/>
  <c r="G1211" i="23"/>
  <c r="A1212" i="23"/>
  <c r="B1212" i="23"/>
  <c r="C1212" i="23"/>
  <c r="D1212" i="23"/>
  <c r="F1212" i="23"/>
  <c r="G1212" i="23"/>
  <c r="A1213" i="23"/>
  <c r="B1213" i="23"/>
  <c r="C1213" i="23"/>
  <c r="D1213" i="23"/>
  <c r="F1213" i="23"/>
  <c r="G1213" i="23"/>
  <c r="A1214" i="23"/>
  <c r="B1214" i="23"/>
  <c r="C1214" i="23"/>
  <c r="D1214" i="23"/>
  <c r="F1214" i="23"/>
  <c r="G1214" i="23"/>
  <c r="A1215" i="23"/>
  <c r="B1215" i="23"/>
  <c r="C1215" i="23"/>
  <c r="D1215" i="23"/>
  <c r="F1215" i="23"/>
  <c r="G1215" i="23"/>
  <c r="A1216" i="23"/>
  <c r="B1216" i="23"/>
  <c r="C1216" i="23"/>
  <c r="D1216" i="23"/>
  <c r="F1216" i="23"/>
  <c r="G1216" i="23"/>
  <c r="A1217" i="23"/>
  <c r="B1217" i="23"/>
  <c r="C1217" i="23"/>
  <c r="D1217" i="23"/>
  <c r="F1217" i="23"/>
  <c r="G1217" i="23"/>
  <c r="A1218" i="23"/>
  <c r="B1218" i="23"/>
  <c r="C1218" i="23"/>
  <c r="D1218" i="23"/>
  <c r="F1218" i="23"/>
  <c r="G1218" i="23"/>
  <c r="A1219" i="23"/>
  <c r="B1219" i="23"/>
  <c r="C1219" i="23"/>
  <c r="D1219" i="23"/>
  <c r="F1219" i="23"/>
  <c r="G1219" i="23"/>
  <c r="A1220" i="23"/>
  <c r="B1220" i="23"/>
  <c r="C1220" i="23"/>
  <c r="D1220" i="23"/>
  <c r="F1220" i="23"/>
  <c r="G1220" i="23"/>
  <c r="A1221" i="23"/>
  <c r="B1221" i="23"/>
  <c r="C1221" i="23"/>
  <c r="D1221" i="23"/>
  <c r="F1221" i="23"/>
  <c r="G1221" i="23"/>
  <c r="A1222" i="23"/>
  <c r="B1222" i="23"/>
  <c r="C1222" i="23"/>
  <c r="D1222" i="23"/>
  <c r="F1222" i="23"/>
  <c r="G1222" i="23"/>
  <c r="A1223" i="23"/>
  <c r="B1223" i="23"/>
  <c r="C1223" i="23"/>
  <c r="D1223" i="23"/>
  <c r="F1223" i="23"/>
  <c r="G1223" i="23"/>
  <c r="A1224" i="23"/>
  <c r="B1224" i="23"/>
  <c r="C1224" i="23"/>
  <c r="D1224" i="23"/>
  <c r="F1224" i="23"/>
  <c r="G1224" i="23"/>
  <c r="A1225" i="23"/>
  <c r="B1225" i="23"/>
  <c r="C1225" i="23"/>
  <c r="D1225" i="23"/>
  <c r="F1225" i="23"/>
  <c r="G1225" i="23"/>
  <c r="A1226" i="23"/>
  <c r="B1226" i="23"/>
  <c r="C1226" i="23"/>
  <c r="D1226" i="23"/>
  <c r="F1226" i="23"/>
  <c r="G1226" i="23"/>
  <c r="A1227" i="23"/>
  <c r="B1227" i="23"/>
  <c r="C1227" i="23"/>
  <c r="D1227" i="23"/>
  <c r="F1227" i="23"/>
  <c r="G1227" i="23"/>
  <c r="A1228" i="23"/>
  <c r="B1228" i="23"/>
  <c r="C1228" i="23"/>
  <c r="D1228" i="23"/>
  <c r="F1228" i="23"/>
  <c r="G1228" i="23"/>
  <c r="A1229" i="23"/>
  <c r="B1229" i="23"/>
  <c r="C1229" i="23"/>
  <c r="D1229" i="23"/>
  <c r="F1229" i="23"/>
  <c r="G1229" i="23"/>
  <c r="A1230" i="23"/>
  <c r="B1230" i="23"/>
  <c r="C1230" i="23"/>
  <c r="D1230" i="23"/>
  <c r="F1230" i="23"/>
  <c r="G1230" i="23"/>
  <c r="A1231" i="23"/>
  <c r="B1231" i="23"/>
  <c r="C1231" i="23"/>
  <c r="D1231" i="23"/>
  <c r="F1231" i="23"/>
  <c r="G1231" i="23"/>
  <c r="A1232" i="23"/>
  <c r="B1232" i="23"/>
  <c r="C1232" i="23"/>
  <c r="D1232" i="23"/>
  <c r="F1232" i="23"/>
  <c r="G1232" i="23"/>
  <c r="A1233" i="23"/>
  <c r="B1233" i="23"/>
  <c r="C1233" i="23"/>
  <c r="D1233" i="23"/>
  <c r="F1233" i="23"/>
  <c r="G1233" i="23"/>
  <c r="A1234" i="23"/>
  <c r="B1234" i="23"/>
  <c r="C1234" i="23"/>
  <c r="D1234" i="23"/>
  <c r="F1234" i="23"/>
  <c r="G1234" i="23"/>
  <c r="A1235" i="23"/>
  <c r="B1235" i="23"/>
  <c r="C1235" i="23"/>
  <c r="D1235" i="23"/>
  <c r="F1235" i="23"/>
  <c r="G1235" i="23"/>
  <c r="A1236" i="23"/>
  <c r="B1236" i="23"/>
  <c r="C1236" i="23"/>
  <c r="D1236" i="23"/>
  <c r="F1236" i="23"/>
  <c r="G1236" i="23"/>
  <c r="A1237" i="23"/>
  <c r="B1237" i="23"/>
  <c r="C1237" i="23"/>
  <c r="D1237" i="23"/>
  <c r="F1237" i="23"/>
  <c r="G1237" i="23"/>
  <c r="A1238" i="23"/>
  <c r="B1238" i="23"/>
  <c r="C1238" i="23"/>
  <c r="D1238" i="23"/>
  <c r="F1238" i="23"/>
  <c r="G1238" i="23"/>
  <c r="A1239" i="23"/>
  <c r="B1239" i="23"/>
  <c r="C1239" i="23"/>
  <c r="D1239" i="23"/>
  <c r="F1239" i="23"/>
  <c r="G1239" i="23"/>
  <c r="A1240" i="23"/>
  <c r="B1240" i="23"/>
  <c r="C1240" i="23"/>
  <c r="D1240" i="23"/>
  <c r="F1240" i="23"/>
  <c r="G1240" i="23"/>
  <c r="A1241" i="23"/>
  <c r="B1241" i="23"/>
  <c r="C1241" i="23"/>
  <c r="D1241" i="23"/>
  <c r="F1241" i="23"/>
  <c r="G1241" i="23"/>
  <c r="A1242" i="23"/>
  <c r="B1242" i="23"/>
  <c r="C1242" i="23"/>
  <c r="D1242" i="23"/>
  <c r="F1242" i="23"/>
  <c r="G1242" i="23"/>
  <c r="A1243" i="23"/>
  <c r="B1243" i="23"/>
  <c r="C1243" i="23"/>
  <c r="D1243" i="23"/>
  <c r="F1243" i="23"/>
  <c r="G1243" i="23"/>
  <c r="A1244" i="23"/>
  <c r="B1244" i="23"/>
  <c r="C1244" i="23"/>
  <c r="D1244" i="23"/>
  <c r="F1244" i="23"/>
  <c r="G1244" i="23"/>
  <c r="A1245" i="23"/>
  <c r="B1245" i="23"/>
  <c r="C1245" i="23"/>
  <c r="D1245" i="23"/>
  <c r="F1245" i="23"/>
  <c r="G1245" i="23"/>
  <c r="A1246" i="23"/>
  <c r="B1246" i="23"/>
  <c r="C1246" i="23"/>
  <c r="D1246" i="23"/>
  <c r="F1246" i="23"/>
  <c r="G1246" i="23"/>
  <c r="A1247" i="23"/>
  <c r="B1247" i="23"/>
  <c r="C1247" i="23"/>
  <c r="D1247" i="23"/>
  <c r="F1247" i="23"/>
  <c r="G1247" i="23"/>
  <c r="A1248" i="23"/>
  <c r="B1248" i="23"/>
  <c r="C1248" i="23"/>
  <c r="D1248" i="23"/>
  <c r="F1248" i="23"/>
  <c r="G1248" i="23"/>
  <c r="A1249" i="23"/>
  <c r="B1249" i="23"/>
  <c r="C1249" i="23"/>
  <c r="D1249" i="23"/>
  <c r="F1249" i="23"/>
  <c r="G1249" i="23"/>
  <c r="A1250" i="23"/>
  <c r="B1250" i="23"/>
  <c r="C1250" i="23"/>
  <c r="D1250" i="23"/>
  <c r="F1250" i="23"/>
  <c r="G1250" i="23"/>
  <c r="A1251" i="23"/>
  <c r="B1251" i="23"/>
  <c r="C1251" i="23"/>
  <c r="D1251" i="23"/>
  <c r="F1251" i="23"/>
  <c r="G1251" i="23"/>
  <c r="A1252" i="23"/>
  <c r="B1252" i="23"/>
  <c r="C1252" i="23"/>
  <c r="D1252" i="23"/>
  <c r="F1252" i="23"/>
  <c r="G1252" i="23"/>
  <c r="A1253" i="23"/>
  <c r="B1253" i="23"/>
  <c r="C1253" i="23"/>
  <c r="D1253" i="23"/>
  <c r="F1253" i="23"/>
  <c r="G1253" i="23"/>
  <c r="A1254" i="23"/>
  <c r="B1254" i="23"/>
  <c r="C1254" i="23"/>
  <c r="D1254" i="23"/>
  <c r="F1254" i="23"/>
  <c r="G1254" i="23"/>
  <c r="A1255" i="23"/>
  <c r="B1255" i="23"/>
  <c r="C1255" i="23"/>
  <c r="D1255" i="23"/>
  <c r="F1255" i="23"/>
  <c r="G1255" i="23"/>
  <c r="A1256" i="23"/>
  <c r="B1256" i="23"/>
  <c r="C1256" i="23"/>
  <c r="D1256" i="23"/>
  <c r="F1256" i="23"/>
  <c r="G1256" i="23"/>
  <c r="A1257" i="23"/>
  <c r="B1257" i="23"/>
  <c r="C1257" i="23"/>
  <c r="D1257" i="23"/>
  <c r="F1257" i="23"/>
  <c r="G1257" i="23"/>
  <c r="A1258" i="23"/>
  <c r="B1258" i="23"/>
  <c r="C1258" i="23"/>
  <c r="D1258" i="23"/>
  <c r="F1258" i="23"/>
  <c r="G1258" i="23"/>
  <c r="A1259" i="23"/>
  <c r="B1259" i="23"/>
  <c r="C1259" i="23"/>
  <c r="D1259" i="23"/>
  <c r="F1259" i="23"/>
  <c r="G1259" i="23"/>
  <c r="A1260" i="23"/>
  <c r="B1260" i="23"/>
  <c r="C1260" i="23"/>
  <c r="D1260" i="23"/>
  <c r="F1260" i="23"/>
  <c r="G1260" i="23"/>
  <c r="A1261" i="23"/>
  <c r="B1261" i="23"/>
  <c r="C1261" i="23"/>
  <c r="D1261" i="23"/>
  <c r="F1261" i="23"/>
  <c r="G1261" i="23"/>
  <c r="A1262" i="23"/>
  <c r="B1262" i="23"/>
  <c r="C1262" i="23"/>
  <c r="D1262" i="23"/>
  <c r="F1262" i="23"/>
  <c r="G1262" i="23"/>
  <c r="A1263" i="23"/>
  <c r="B1263" i="23"/>
  <c r="C1263" i="23"/>
  <c r="D1263" i="23"/>
  <c r="F1263" i="23"/>
  <c r="G1263" i="23"/>
  <c r="A1264" i="23"/>
  <c r="B1264" i="23"/>
  <c r="C1264" i="23"/>
  <c r="D1264" i="23"/>
  <c r="F1264" i="23"/>
  <c r="G1264" i="23"/>
  <c r="A1265" i="23"/>
  <c r="B1265" i="23"/>
  <c r="C1265" i="23"/>
  <c r="D1265" i="23"/>
  <c r="F1265" i="23"/>
  <c r="G1265" i="23"/>
  <c r="A1266" i="23"/>
  <c r="B1266" i="23"/>
  <c r="C1266" i="23"/>
  <c r="D1266" i="23"/>
  <c r="F1266" i="23"/>
  <c r="G1266" i="23"/>
  <c r="A1267" i="23"/>
  <c r="B1267" i="23"/>
  <c r="C1267" i="23"/>
  <c r="D1267" i="23"/>
  <c r="F1267" i="23"/>
  <c r="G1267" i="23"/>
  <c r="A1268" i="23"/>
  <c r="B1268" i="23"/>
  <c r="C1268" i="23"/>
  <c r="D1268" i="23"/>
  <c r="F1268" i="23"/>
  <c r="G1268" i="23"/>
  <c r="A1269" i="23"/>
  <c r="B1269" i="23"/>
  <c r="C1269" i="23"/>
  <c r="D1269" i="23"/>
  <c r="F1269" i="23"/>
  <c r="G1269" i="23"/>
  <c r="A1270" i="23"/>
  <c r="B1270" i="23"/>
  <c r="C1270" i="23"/>
  <c r="D1270" i="23"/>
  <c r="F1270" i="23"/>
  <c r="G1270" i="23"/>
  <c r="A1271" i="23"/>
  <c r="B1271" i="23"/>
  <c r="C1271" i="23"/>
  <c r="D1271" i="23"/>
  <c r="F1271" i="23"/>
  <c r="G1271" i="23"/>
  <c r="A1272" i="23"/>
  <c r="B1272" i="23"/>
  <c r="C1272" i="23"/>
  <c r="D1272" i="23"/>
  <c r="F1272" i="23"/>
  <c r="G1272" i="23"/>
  <c r="A1273" i="23"/>
  <c r="B1273" i="23"/>
  <c r="C1273" i="23"/>
  <c r="D1273" i="23"/>
  <c r="F1273" i="23"/>
  <c r="G1273" i="23"/>
  <c r="A1274" i="23"/>
  <c r="B1274" i="23"/>
  <c r="C1274" i="23"/>
  <c r="D1274" i="23"/>
  <c r="F1274" i="23"/>
  <c r="G1274" i="23"/>
  <c r="A1275" i="23"/>
  <c r="B1275" i="23"/>
  <c r="C1275" i="23"/>
  <c r="D1275" i="23"/>
  <c r="F1275" i="23"/>
  <c r="G1275" i="23"/>
  <c r="A1276" i="23"/>
  <c r="B1276" i="23"/>
  <c r="C1276" i="23"/>
  <c r="D1276" i="23"/>
  <c r="F1276" i="23"/>
  <c r="G1276" i="23"/>
  <c r="A1277" i="23"/>
  <c r="B1277" i="23"/>
  <c r="C1277" i="23"/>
  <c r="D1277" i="23"/>
  <c r="F1277" i="23"/>
  <c r="G1277" i="23"/>
  <c r="A1278" i="23"/>
  <c r="B1278" i="23"/>
  <c r="C1278" i="23"/>
  <c r="D1278" i="23"/>
  <c r="F1278" i="23"/>
  <c r="G1278" i="23"/>
  <c r="A1279" i="23"/>
  <c r="B1279" i="23"/>
  <c r="C1279" i="23"/>
  <c r="D1279" i="23"/>
  <c r="F1279" i="23"/>
  <c r="G1279" i="23"/>
  <c r="A1280" i="23"/>
  <c r="B1280" i="23"/>
  <c r="C1280" i="23"/>
  <c r="D1280" i="23"/>
  <c r="F1280" i="23"/>
  <c r="G1280" i="23"/>
  <c r="A1281" i="23"/>
  <c r="B1281" i="23"/>
  <c r="C1281" i="23"/>
  <c r="D1281" i="23"/>
  <c r="F1281" i="23"/>
  <c r="G1281" i="23"/>
  <c r="A1282" i="23"/>
  <c r="B1282" i="23"/>
  <c r="C1282" i="23"/>
  <c r="D1282" i="23"/>
  <c r="F1282" i="23"/>
  <c r="G1282" i="23"/>
  <c r="A1283" i="23"/>
  <c r="B1283" i="23"/>
  <c r="C1283" i="23"/>
  <c r="D1283" i="23"/>
  <c r="F1283" i="23"/>
  <c r="G1283" i="23"/>
  <c r="A1284" i="23"/>
  <c r="B1284" i="23"/>
  <c r="C1284" i="23"/>
  <c r="D1284" i="23"/>
  <c r="F1284" i="23"/>
  <c r="G1284" i="23"/>
  <c r="A1285" i="23"/>
  <c r="B1285" i="23"/>
  <c r="C1285" i="23"/>
  <c r="D1285" i="23"/>
  <c r="F1285" i="23"/>
  <c r="G1285" i="23"/>
  <c r="A1286" i="23"/>
  <c r="B1286" i="23"/>
  <c r="C1286" i="23"/>
  <c r="D1286" i="23"/>
  <c r="F1286" i="23"/>
  <c r="G1286" i="23"/>
  <c r="A1287" i="23"/>
  <c r="B1287" i="23"/>
  <c r="C1287" i="23"/>
  <c r="D1287" i="23"/>
  <c r="F1287" i="23"/>
  <c r="G1287" i="23"/>
  <c r="A1288" i="23"/>
  <c r="B1288" i="23"/>
  <c r="C1288" i="23"/>
  <c r="D1288" i="23"/>
  <c r="F1288" i="23"/>
  <c r="G1288" i="23"/>
  <c r="A1289" i="23"/>
  <c r="B1289" i="23"/>
  <c r="C1289" i="23"/>
  <c r="D1289" i="23"/>
  <c r="F1289" i="23"/>
  <c r="G1289" i="23"/>
  <c r="A1290" i="23"/>
  <c r="B1290" i="23"/>
  <c r="C1290" i="23"/>
  <c r="D1290" i="23"/>
  <c r="F1290" i="23"/>
  <c r="G1290" i="23"/>
  <c r="A1291" i="23"/>
  <c r="B1291" i="23"/>
  <c r="C1291" i="23"/>
  <c r="D1291" i="23"/>
  <c r="F1291" i="23"/>
  <c r="G1291" i="23"/>
  <c r="A1292" i="23"/>
  <c r="B1292" i="23"/>
  <c r="C1292" i="23"/>
  <c r="D1292" i="23"/>
  <c r="F1292" i="23"/>
  <c r="G1292" i="23"/>
  <c r="A1293" i="23"/>
  <c r="B1293" i="23"/>
  <c r="C1293" i="23"/>
  <c r="D1293" i="23"/>
  <c r="F1293" i="23"/>
  <c r="G1293" i="23"/>
  <c r="A1294" i="23"/>
  <c r="B1294" i="23"/>
  <c r="C1294" i="23"/>
  <c r="D1294" i="23"/>
  <c r="F1294" i="23"/>
  <c r="G1294" i="23"/>
  <c r="A1295" i="23"/>
  <c r="B1295" i="23"/>
  <c r="C1295" i="23"/>
  <c r="D1295" i="23"/>
  <c r="F1295" i="23"/>
  <c r="G1295" i="23"/>
  <c r="A1296" i="23"/>
  <c r="B1296" i="23"/>
  <c r="C1296" i="23"/>
  <c r="D1296" i="23"/>
  <c r="F1296" i="23"/>
  <c r="G1296" i="23"/>
  <c r="A1297" i="23"/>
  <c r="B1297" i="23"/>
  <c r="C1297" i="23"/>
  <c r="D1297" i="23"/>
  <c r="F1297" i="23"/>
  <c r="G1297" i="23"/>
  <c r="A1298" i="23"/>
  <c r="B1298" i="23"/>
  <c r="C1298" i="23"/>
  <c r="D1298" i="23"/>
  <c r="F1298" i="23"/>
  <c r="G1298" i="23"/>
  <c r="A1299" i="23"/>
  <c r="B1299" i="23"/>
  <c r="C1299" i="23"/>
  <c r="D1299" i="23"/>
  <c r="F1299" i="23"/>
  <c r="G1299" i="23"/>
  <c r="A1300" i="23"/>
  <c r="B1300" i="23"/>
  <c r="C1300" i="23"/>
  <c r="D1300" i="23"/>
  <c r="F1300" i="23"/>
  <c r="G1300" i="23"/>
  <c r="A1301" i="23"/>
  <c r="B1301" i="23"/>
  <c r="C1301" i="23"/>
  <c r="D1301" i="23"/>
  <c r="F1301" i="23"/>
  <c r="G1301" i="23"/>
  <c r="A1302" i="23"/>
  <c r="B1302" i="23"/>
  <c r="C1302" i="23"/>
  <c r="D1302" i="23"/>
  <c r="F1302" i="23"/>
  <c r="G1302" i="23"/>
  <c r="A1303" i="23"/>
  <c r="B1303" i="23"/>
  <c r="C1303" i="23"/>
  <c r="D1303" i="23"/>
  <c r="F1303" i="23"/>
  <c r="G1303" i="23"/>
  <c r="A1304" i="23"/>
  <c r="B1304" i="23"/>
  <c r="C1304" i="23"/>
  <c r="D1304" i="23"/>
  <c r="F1304" i="23"/>
  <c r="G1304" i="23"/>
  <c r="A1305" i="23"/>
  <c r="B1305" i="23"/>
  <c r="C1305" i="23"/>
  <c r="D1305" i="23"/>
  <c r="F1305" i="23"/>
  <c r="G1305" i="23"/>
  <c r="A1306" i="23"/>
  <c r="B1306" i="23"/>
  <c r="C1306" i="23"/>
  <c r="D1306" i="23"/>
  <c r="F1306" i="23"/>
  <c r="G1306" i="23"/>
  <c r="A1307" i="23"/>
  <c r="B1307" i="23"/>
  <c r="C1307" i="23"/>
  <c r="D1307" i="23"/>
  <c r="F1307" i="23"/>
  <c r="G1307" i="23"/>
  <c r="A1308" i="23"/>
  <c r="B1308" i="23"/>
  <c r="C1308" i="23"/>
  <c r="D1308" i="23"/>
  <c r="F1308" i="23"/>
  <c r="G1308" i="23"/>
  <c r="A1309" i="23"/>
  <c r="B1309" i="23"/>
  <c r="C1309" i="23"/>
  <c r="D1309" i="23"/>
  <c r="F1309" i="23"/>
  <c r="G1309" i="23"/>
  <c r="A1310" i="23"/>
  <c r="B1310" i="23"/>
  <c r="C1310" i="23"/>
  <c r="D1310" i="23"/>
  <c r="F1310" i="23"/>
  <c r="G1310" i="23"/>
  <c r="A1311" i="23"/>
  <c r="B1311" i="23"/>
  <c r="C1311" i="23"/>
  <c r="D1311" i="23"/>
  <c r="F1311" i="23"/>
  <c r="G1311" i="23"/>
  <c r="A1312" i="23"/>
  <c r="B1312" i="23"/>
  <c r="C1312" i="23"/>
  <c r="D1312" i="23"/>
  <c r="F1312" i="23"/>
  <c r="G1312" i="23"/>
  <c r="A1313" i="23"/>
  <c r="B1313" i="23"/>
  <c r="C1313" i="23"/>
  <c r="D1313" i="23"/>
  <c r="F1313" i="23"/>
  <c r="G1313" i="23"/>
  <c r="A1314" i="23"/>
  <c r="B1314" i="23"/>
  <c r="C1314" i="23"/>
  <c r="D1314" i="23"/>
  <c r="F1314" i="23"/>
  <c r="G1314" i="23"/>
  <c r="A1315" i="23"/>
  <c r="B1315" i="23"/>
  <c r="C1315" i="23"/>
  <c r="D1315" i="23"/>
  <c r="F1315" i="23"/>
  <c r="G1315" i="23"/>
  <c r="A1316" i="23"/>
  <c r="B1316" i="23"/>
  <c r="C1316" i="23"/>
  <c r="D1316" i="23"/>
  <c r="F1316" i="23"/>
  <c r="G1316" i="23"/>
  <c r="A1317" i="23"/>
  <c r="B1317" i="23"/>
  <c r="C1317" i="23"/>
  <c r="D1317" i="23"/>
  <c r="F1317" i="23"/>
  <c r="G1317" i="23"/>
  <c r="A1318" i="23"/>
  <c r="B1318" i="23"/>
  <c r="C1318" i="23"/>
  <c r="D1318" i="23"/>
  <c r="F1318" i="23"/>
  <c r="G1318" i="23"/>
  <c r="A1319" i="23"/>
  <c r="B1319" i="23"/>
  <c r="C1319" i="23"/>
  <c r="D1319" i="23"/>
  <c r="F1319" i="23"/>
  <c r="G1319" i="23"/>
  <c r="A1320" i="23"/>
  <c r="B1320" i="23"/>
  <c r="C1320" i="23"/>
  <c r="D1320" i="23"/>
  <c r="F1320" i="23"/>
  <c r="G1320" i="23"/>
  <c r="A1321" i="23"/>
  <c r="B1321" i="23"/>
  <c r="C1321" i="23"/>
  <c r="D1321" i="23"/>
  <c r="F1321" i="23"/>
  <c r="G1321" i="23"/>
  <c r="A1322" i="23"/>
  <c r="B1322" i="23"/>
  <c r="C1322" i="23"/>
  <c r="D1322" i="23"/>
  <c r="F1322" i="23"/>
  <c r="G1322" i="23"/>
  <c r="A1323" i="23"/>
  <c r="B1323" i="23"/>
  <c r="C1323" i="23"/>
  <c r="D1323" i="23"/>
  <c r="F1323" i="23"/>
  <c r="G1323" i="23"/>
  <c r="A1324" i="23"/>
  <c r="B1324" i="23"/>
  <c r="C1324" i="23"/>
  <c r="D1324" i="23"/>
  <c r="F1324" i="23"/>
  <c r="G1324" i="23"/>
  <c r="A1325" i="23"/>
  <c r="B1325" i="23"/>
  <c r="C1325" i="23"/>
  <c r="D1325" i="23"/>
  <c r="F1325" i="23"/>
  <c r="G1325" i="23"/>
  <c r="A1326" i="23"/>
  <c r="B1326" i="23"/>
  <c r="C1326" i="23"/>
  <c r="D1326" i="23"/>
  <c r="F1326" i="23"/>
  <c r="G1326" i="23"/>
  <c r="A1327" i="23"/>
  <c r="B1327" i="23"/>
  <c r="C1327" i="23"/>
  <c r="D1327" i="23"/>
  <c r="F1327" i="23"/>
  <c r="G1327" i="23"/>
  <c r="A1328" i="23"/>
  <c r="B1328" i="23"/>
  <c r="C1328" i="23"/>
  <c r="D1328" i="23"/>
  <c r="F1328" i="23"/>
  <c r="G1328" i="23"/>
  <c r="A1329" i="23"/>
  <c r="B1329" i="23"/>
  <c r="C1329" i="23"/>
  <c r="D1329" i="23"/>
  <c r="F1329" i="23"/>
  <c r="G1329" i="23"/>
  <c r="A1330" i="23"/>
  <c r="B1330" i="23"/>
  <c r="C1330" i="23"/>
  <c r="D1330" i="23"/>
  <c r="F1330" i="23"/>
  <c r="G1330" i="23"/>
  <c r="A1331" i="23"/>
  <c r="B1331" i="23"/>
  <c r="C1331" i="23"/>
  <c r="D1331" i="23"/>
  <c r="F1331" i="23"/>
  <c r="G1331" i="23"/>
  <c r="A1332" i="23"/>
  <c r="B1332" i="23"/>
  <c r="C1332" i="23"/>
  <c r="D1332" i="23"/>
  <c r="F1332" i="23"/>
  <c r="G1332" i="23"/>
  <c r="A1333" i="23"/>
  <c r="B1333" i="23"/>
  <c r="C1333" i="23"/>
  <c r="D1333" i="23"/>
  <c r="F1333" i="23"/>
  <c r="G1333" i="23"/>
  <c r="A1334" i="23"/>
  <c r="B1334" i="23"/>
  <c r="C1334" i="23"/>
  <c r="D1334" i="23"/>
  <c r="F1334" i="23"/>
  <c r="G1334" i="23"/>
  <c r="A1335" i="23"/>
  <c r="B1335" i="23"/>
  <c r="C1335" i="23"/>
  <c r="D1335" i="23"/>
  <c r="F1335" i="23"/>
  <c r="G1335" i="23"/>
  <c r="A1336" i="23"/>
  <c r="B1336" i="23"/>
  <c r="C1336" i="23"/>
  <c r="D1336" i="23"/>
  <c r="F1336" i="23"/>
  <c r="G1336" i="23"/>
  <c r="A1337" i="23"/>
  <c r="B1337" i="23"/>
  <c r="C1337" i="23"/>
  <c r="D1337" i="23"/>
  <c r="F1337" i="23"/>
  <c r="G1337" i="23"/>
  <c r="A1338" i="23"/>
  <c r="B1338" i="23"/>
  <c r="C1338" i="23"/>
  <c r="D1338" i="23"/>
  <c r="F1338" i="23"/>
  <c r="G1338" i="23"/>
  <c r="A1339" i="23"/>
  <c r="B1339" i="23"/>
  <c r="C1339" i="23"/>
  <c r="D1339" i="23"/>
  <c r="F1339" i="23"/>
  <c r="G1339" i="23"/>
  <c r="A1340" i="23"/>
  <c r="B1340" i="23"/>
  <c r="C1340" i="23"/>
  <c r="D1340" i="23"/>
  <c r="F1340" i="23"/>
  <c r="G1340" i="23"/>
  <c r="A1341" i="23"/>
  <c r="B1341" i="23"/>
  <c r="C1341" i="23"/>
  <c r="D1341" i="23"/>
  <c r="F1341" i="23"/>
  <c r="G1341" i="23"/>
  <c r="A1342" i="23"/>
  <c r="B1342" i="23"/>
  <c r="C1342" i="23"/>
  <c r="D1342" i="23"/>
  <c r="F1342" i="23"/>
  <c r="G1342" i="23"/>
  <c r="A1343" i="23"/>
  <c r="B1343" i="23"/>
  <c r="C1343" i="23"/>
  <c r="D1343" i="23"/>
  <c r="F1343" i="23"/>
  <c r="G1343" i="23"/>
  <c r="A1344" i="23"/>
  <c r="B1344" i="23"/>
  <c r="C1344" i="23"/>
  <c r="D1344" i="23"/>
  <c r="F1344" i="23"/>
  <c r="G1344" i="23"/>
  <c r="A1345" i="23"/>
  <c r="B1345" i="23"/>
  <c r="C1345" i="23"/>
  <c r="D1345" i="23"/>
  <c r="F1345" i="23"/>
  <c r="G1345" i="23"/>
  <c r="A1346" i="23"/>
  <c r="B1346" i="23"/>
  <c r="C1346" i="23"/>
  <c r="D1346" i="23"/>
  <c r="F1346" i="23"/>
  <c r="G1346" i="23"/>
  <c r="A1347" i="23"/>
  <c r="B1347" i="23"/>
  <c r="C1347" i="23"/>
  <c r="D1347" i="23"/>
  <c r="F1347" i="23"/>
  <c r="G1347" i="23"/>
  <c r="A1348" i="23"/>
  <c r="B1348" i="23"/>
  <c r="C1348" i="23"/>
  <c r="D1348" i="23"/>
  <c r="F1348" i="23"/>
  <c r="G1348" i="23"/>
  <c r="A1349" i="23"/>
  <c r="B1349" i="23"/>
  <c r="C1349" i="23"/>
  <c r="D1349" i="23"/>
  <c r="F1349" i="23"/>
  <c r="G1349" i="23"/>
  <c r="A1350" i="23"/>
  <c r="B1350" i="23"/>
  <c r="C1350" i="23"/>
  <c r="D1350" i="23"/>
  <c r="F1350" i="23"/>
  <c r="G1350" i="23"/>
  <c r="A1351" i="23"/>
  <c r="B1351" i="23"/>
  <c r="C1351" i="23"/>
  <c r="D1351" i="23"/>
  <c r="F1351" i="23"/>
  <c r="G1351" i="23"/>
  <c r="A1352" i="23"/>
  <c r="B1352" i="23"/>
  <c r="C1352" i="23"/>
  <c r="D1352" i="23"/>
  <c r="F1352" i="23"/>
  <c r="G1352" i="23"/>
  <c r="A1353" i="23"/>
  <c r="B1353" i="23"/>
  <c r="C1353" i="23"/>
  <c r="D1353" i="23"/>
  <c r="F1353" i="23"/>
  <c r="G1353" i="23"/>
  <c r="A1354" i="23"/>
  <c r="B1354" i="23"/>
  <c r="C1354" i="23"/>
  <c r="D1354" i="23"/>
  <c r="F1354" i="23"/>
  <c r="G1354" i="23"/>
  <c r="A1355" i="23"/>
  <c r="B1355" i="23"/>
  <c r="C1355" i="23"/>
  <c r="D1355" i="23"/>
  <c r="F1355" i="23"/>
  <c r="G1355" i="23"/>
  <c r="A1356" i="23"/>
  <c r="B1356" i="23"/>
  <c r="C1356" i="23"/>
  <c r="D1356" i="23"/>
  <c r="F1356" i="23"/>
  <c r="G1356" i="23"/>
  <c r="A1357" i="23"/>
  <c r="B1357" i="23"/>
  <c r="C1357" i="23"/>
  <c r="D1357" i="23"/>
  <c r="F1357" i="23"/>
  <c r="G1357" i="23"/>
  <c r="A1358" i="23"/>
  <c r="B1358" i="23"/>
  <c r="C1358" i="23"/>
  <c r="D1358" i="23"/>
  <c r="F1358" i="23"/>
  <c r="G1358" i="23"/>
  <c r="A1359" i="23"/>
  <c r="B1359" i="23"/>
  <c r="C1359" i="23"/>
  <c r="D1359" i="23"/>
  <c r="F1359" i="23"/>
  <c r="G1359" i="23"/>
  <c r="A1360" i="23"/>
  <c r="B1360" i="23"/>
  <c r="C1360" i="23"/>
  <c r="D1360" i="23"/>
  <c r="F1360" i="23"/>
  <c r="G1360" i="23"/>
  <c r="A1361" i="23"/>
  <c r="B1361" i="23"/>
  <c r="C1361" i="23"/>
  <c r="D1361" i="23"/>
  <c r="F1361" i="23"/>
  <c r="G1361" i="23"/>
  <c r="A1362" i="23"/>
  <c r="B1362" i="23"/>
  <c r="C1362" i="23"/>
  <c r="D1362" i="23"/>
  <c r="F1362" i="23"/>
  <c r="G1362" i="23"/>
  <c r="A1363" i="23"/>
  <c r="B1363" i="23"/>
  <c r="C1363" i="23"/>
  <c r="D1363" i="23"/>
  <c r="F1363" i="23"/>
  <c r="G1363" i="23"/>
  <c r="A1364" i="23"/>
  <c r="B1364" i="23"/>
  <c r="C1364" i="23"/>
  <c r="D1364" i="23"/>
  <c r="F1364" i="23"/>
  <c r="G1364" i="23"/>
  <c r="A1365" i="23"/>
  <c r="B1365" i="23"/>
  <c r="C1365" i="23"/>
  <c r="D1365" i="23"/>
  <c r="F1365" i="23"/>
  <c r="G1365" i="23"/>
  <c r="A1366" i="23"/>
  <c r="B1366" i="23"/>
  <c r="C1366" i="23"/>
  <c r="D1366" i="23"/>
  <c r="F1366" i="23"/>
  <c r="G1366" i="23"/>
  <c r="A1367" i="23"/>
  <c r="B1367" i="23"/>
  <c r="C1367" i="23"/>
  <c r="D1367" i="23"/>
  <c r="F1367" i="23"/>
  <c r="G1367" i="23"/>
  <c r="A1368" i="23"/>
  <c r="B1368" i="23"/>
  <c r="C1368" i="23"/>
  <c r="D1368" i="23"/>
  <c r="F1368" i="23"/>
  <c r="G1368" i="23"/>
  <c r="A1369" i="23"/>
  <c r="B1369" i="23"/>
  <c r="C1369" i="23"/>
  <c r="D1369" i="23"/>
  <c r="F1369" i="23"/>
  <c r="G1369" i="23"/>
  <c r="A1370" i="23"/>
  <c r="B1370" i="23"/>
  <c r="C1370" i="23"/>
  <c r="D1370" i="23"/>
  <c r="F1370" i="23"/>
  <c r="G1370" i="23"/>
  <c r="A1371" i="23"/>
  <c r="B1371" i="23"/>
  <c r="C1371" i="23"/>
  <c r="D1371" i="23"/>
  <c r="F1371" i="23"/>
  <c r="G1371" i="23"/>
  <c r="A1372" i="23"/>
  <c r="B1372" i="23"/>
  <c r="C1372" i="23"/>
  <c r="D1372" i="23"/>
  <c r="F1372" i="23"/>
  <c r="G1372" i="23"/>
  <c r="A1373" i="23"/>
  <c r="B1373" i="23"/>
  <c r="C1373" i="23"/>
  <c r="D1373" i="23"/>
  <c r="F1373" i="23"/>
  <c r="G1373" i="23"/>
  <c r="A1374" i="23"/>
  <c r="B1374" i="23"/>
  <c r="C1374" i="23"/>
  <c r="D1374" i="23"/>
  <c r="F1374" i="23"/>
  <c r="G1374" i="23"/>
  <c r="A1375" i="23"/>
  <c r="B1375" i="23"/>
  <c r="C1375" i="23"/>
  <c r="D1375" i="23"/>
  <c r="F1375" i="23"/>
  <c r="G1375" i="23"/>
  <c r="A1376" i="23"/>
  <c r="B1376" i="23"/>
  <c r="C1376" i="23"/>
  <c r="D1376" i="23"/>
  <c r="F1376" i="23"/>
  <c r="G1376" i="23"/>
  <c r="A1377" i="23"/>
  <c r="B1377" i="23"/>
  <c r="C1377" i="23"/>
  <c r="D1377" i="23"/>
  <c r="F1377" i="23"/>
  <c r="G1377" i="23"/>
  <c r="A1378" i="23"/>
  <c r="B1378" i="23"/>
  <c r="C1378" i="23"/>
  <c r="D1378" i="23"/>
  <c r="F1378" i="23"/>
  <c r="G1378" i="23"/>
  <c r="A1379" i="23"/>
  <c r="B1379" i="23"/>
  <c r="C1379" i="23"/>
  <c r="D1379" i="23"/>
  <c r="F1379" i="23"/>
  <c r="G1379" i="23"/>
  <c r="A1380" i="23"/>
  <c r="B1380" i="23"/>
  <c r="C1380" i="23"/>
  <c r="D1380" i="23"/>
  <c r="F1380" i="23"/>
  <c r="G1380" i="23"/>
  <c r="A1381" i="23"/>
  <c r="B1381" i="23"/>
  <c r="C1381" i="23"/>
  <c r="D1381" i="23"/>
  <c r="F1381" i="23"/>
  <c r="G1381" i="23"/>
  <c r="A1382" i="23"/>
  <c r="B1382" i="23"/>
  <c r="C1382" i="23"/>
  <c r="D1382" i="23"/>
  <c r="F1382" i="23"/>
  <c r="G1382" i="23"/>
  <c r="A1383" i="23"/>
  <c r="B1383" i="23"/>
  <c r="C1383" i="23"/>
  <c r="D1383" i="23"/>
  <c r="F1383" i="23"/>
  <c r="G1383" i="23"/>
  <c r="A1384" i="23"/>
  <c r="B1384" i="23"/>
  <c r="C1384" i="23"/>
  <c r="D1384" i="23"/>
  <c r="F1384" i="23"/>
  <c r="G1384" i="23"/>
  <c r="A1385" i="23"/>
  <c r="B1385" i="23"/>
  <c r="C1385" i="23"/>
  <c r="D1385" i="23"/>
  <c r="F1385" i="23"/>
  <c r="G1385" i="23"/>
  <c r="A1386" i="23"/>
  <c r="B1386" i="23"/>
  <c r="C1386" i="23"/>
  <c r="D1386" i="23"/>
  <c r="F1386" i="23"/>
  <c r="G1386" i="23"/>
  <c r="A1387" i="23"/>
  <c r="B1387" i="23"/>
  <c r="C1387" i="23"/>
  <c r="D1387" i="23"/>
  <c r="F1387" i="23"/>
  <c r="G1387" i="23"/>
  <c r="A1388" i="23"/>
  <c r="B1388" i="23"/>
  <c r="C1388" i="23"/>
  <c r="D1388" i="23"/>
  <c r="F1388" i="23"/>
  <c r="G1388" i="23"/>
  <c r="A1389" i="23"/>
  <c r="B1389" i="23"/>
  <c r="C1389" i="23"/>
  <c r="D1389" i="23"/>
  <c r="F1389" i="23"/>
  <c r="G1389" i="23"/>
  <c r="A1390" i="23"/>
  <c r="B1390" i="23"/>
  <c r="C1390" i="23"/>
  <c r="D1390" i="23"/>
  <c r="F1390" i="23"/>
  <c r="G1390" i="23"/>
  <c r="A1391" i="23"/>
  <c r="B1391" i="23"/>
  <c r="C1391" i="23"/>
  <c r="D1391" i="23"/>
  <c r="F1391" i="23"/>
  <c r="G1391" i="23"/>
  <c r="A1392" i="23"/>
  <c r="B1392" i="23"/>
  <c r="C1392" i="23"/>
  <c r="D1392" i="23"/>
  <c r="F1392" i="23"/>
  <c r="G1392" i="23"/>
  <c r="A1393" i="23"/>
  <c r="B1393" i="23"/>
  <c r="C1393" i="23"/>
  <c r="D1393" i="23"/>
  <c r="F1393" i="23"/>
  <c r="G1393" i="23"/>
  <c r="A1394" i="23"/>
  <c r="B1394" i="23"/>
  <c r="C1394" i="23"/>
  <c r="D1394" i="23"/>
  <c r="F1394" i="23"/>
  <c r="G1394" i="23"/>
  <c r="A1395" i="23"/>
  <c r="B1395" i="23"/>
  <c r="C1395" i="23"/>
  <c r="D1395" i="23"/>
  <c r="F1395" i="23"/>
  <c r="G1395" i="23"/>
  <c r="A1396" i="23"/>
  <c r="B1396" i="23"/>
  <c r="C1396" i="23"/>
  <c r="D1396" i="23"/>
  <c r="F1396" i="23"/>
  <c r="G1396" i="23"/>
  <c r="A1397" i="23"/>
  <c r="B1397" i="23"/>
  <c r="C1397" i="23"/>
  <c r="D1397" i="23"/>
  <c r="F1397" i="23"/>
  <c r="G1397" i="23"/>
  <c r="A1398" i="23"/>
  <c r="B1398" i="23"/>
  <c r="C1398" i="23"/>
  <c r="D1398" i="23"/>
  <c r="F1398" i="23"/>
  <c r="G1398" i="23"/>
  <c r="A1399" i="23"/>
  <c r="B1399" i="23"/>
  <c r="C1399" i="23"/>
  <c r="D1399" i="23"/>
  <c r="F1399" i="23"/>
  <c r="G1399" i="23"/>
  <c r="A1400" i="23"/>
  <c r="B1400" i="23"/>
  <c r="C1400" i="23"/>
  <c r="D1400" i="23"/>
  <c r="F1400" i="23"/>
  <c r="G1400" i="23"/>
  <c r="A1401" i="23"/>
  <c r="B1401" i="23"/>
  <c r="C1401" i="23"/>
  <c r="D1401" i="23"/>
  <c r="F1401" i="23"/>
  <c r="G1401" i="23"/>
  <c r="A1402" i="23"/>
  <c r="B1402" i="23"/>
  <c r="C1402" i="23"/>
  <c r="D1402" i="23"/>
  <c r="F1402" i="23"/>
  <c r="G1402" i="23"/>
  <c r="A1403" i="23"/>
  <c r="B1403" i="23"/>
  <c r="C1403" i="23"/>
  <c r="D1403" i="23"/>
  <c r="F1403" i="23"/>
  <c r="G1403" i="23"/>
  <c r="A1404" i="23"/>
  <c r="B1404" i="23"/>
  <c r="C1404" i="23"/>
  <c r="D1404" i="23"/>
  <c r="F1404" i="23"/>
  <c r="G1404" i="23"/>
  <c r="A1405" i="23"/>
  <c r="B1405" i="23"/>
  <c r="C1405" i="23"/>
  <c r="D1405" i="23"/>
  <c r="F1405" i="23"/>
  <c r="G1405" i="23"/>
  <c r="A1406" i="23"/>
  <c r="B1406" i="23"/>
  <c r="C1406" i="23"/>
  <c r="D1406" i="23"/>
  <c r="F1406" i="23"/>
  <c r="G1406" i="23"/>
  <c r="A1407" i="23"/>
  <c r="B1407" i="23"/>
  <c r="C1407" i="23"/>
  <c r="D1407" i="23"/>
  <c r="F1407" i="23"/>
  <c r="G1407" i="23"/>
  <c r="A1408" i="23"/>
  <c r="B1408" i="23"/>
  <c r="C1408" i="23"/>
  <c r="D1408" i="23"/>
  <c r="F1408" i="23"/>
  <c r="G1408" i="23"/>
  <c r="A1409" i="23"/>
  <c r="B1409" i="23"/>
  <c r="C1409" i="23"/>
  <c r="D1409" i="23"/>
  <c r="F1409" i="23"/>
  <c r="G1409" i="23"/>
  <c r="A1410" i="23"/>
  <c r="B1410" i="23"/>
  <c r="C1410" i="23"/>
  <c r="D1410" i="23"/>
  <c r="F1410" i="23"/>
  <c r="G1410" i="23"/>
  <c r="A1411" i="23"/>
  <c r="B1411" i="23"/>
  <c r="C1411" i="23"/>
  <c r="D1411" i="23"/>
  <c r="F1411" i="23"/>
  <c r="G1411" i="23"/>
  <c r="A1412" i="23"/>
  <c r="B1412" i="23"/>
  <c r="C1412" i="23"/>
  <c r="D1412" i="23"/>
  <c r="F1412" i="23"/>
  <c r="G1412" i="23"/>
  <c r="A1413" i="23"/>
  <c r="B1413" i="23"/>
  <c r="C1413" i="23"/>
  <c r="D1413" i="23"/>
  <c r="F1413" i="23"/>
  <c r="G1413" i="23"/>
  <c r="A1414" i="23"/>
  <c r="B1414" i="23"/>
  <c r="C1414" i="23"/>
  <c r="D1414" i="23"/>
  <c r="F1414" i="23"/>
  <c r="G1414" i="23"/>
  <c r="A1415" i="23"/>
  <c r="B1415" i="23"/>
  <c r="C1415" i="23"/>
  <c r="D1415" i="23"/>
  <c r="F1415" i="23"/>
  <c r="G1415" i="23"/>
  <c r="A1416" i="23"/>
  <c r="B1416" i="23"/>
  <c r="C1416" i="23"/>
  <c r="D1416" i="23"/>
  <c r="F1416" i="23"/>
  <c r="G1416" i="23"/>
  <c r="A1417" i="23"/>
  <c r="B1417" i="23"/>
  <c r="C1417" i="23"/>
  <c r="D1417" i="23"/>
  <c r="F1417" i="23"/>
  <c r="G1417" i="23"/>
  <c r="A1418" i="23"/>
  <c r="B1418" i="23"/>
  <c r="C1418" i="23"/>
  <c r="D1418" i="23"/>
  <c r="F1418" i="23"/>
  <c r="G1418" i="23"/>
  <c r="A1419" i="23"/>
  <c r="B1419" i="23"/>
  <c r="C1419" i="23"/>
  <c r="D1419" i="23"/>
  <c r="F1419" i="23"/>
  <c r="G1419" i="23"/>
  <c r="A1420" i="23"/>
  <c r="B1420" i="23"/>
  <c r="C1420" i="23"/>
  <c r="D1420" i="23"/>
  <c r="F1420" i="23"/>
  <c r="G1420" i="23"/>
  <c r="A1421" i="23"/>
  <c r="B1421" i="23"/>
  <c r="C1421" i="23"/>
  <c r="D1421" i="23"/>
  <c r="F1421" i="23"/>
  <c r="G1421" i="23"/>
  <c r="A1422" i="23"/>
  <c r="B1422" i="23"/>
  <c r="C1422" i="23"/>
  <c r="D1422" i="23"/>
  <c r="F1422" i="23"/>
  <c r="G1422" i="23"/>
  <c r="A1423" i="23"/>
  <c r="B1423" i="23"/>
  <c r="C1423" i="23"/>
  <c r="D1423" i="23"/>
  <c r="F1423" i="23"/>
  <c r="G1423" i="23"/>
  <c r="A1424" i="23"/>
  <c r="B1424" i="23"/>
  <c r="C1424" i="23"/>
  <c r="D1424" i="23"/>
  <c r="F1424" i="23"/>
  <c r="G1424" i="23"/>
  <c r="A1425" i="23"/>
  <c r="B1425" i="23"/>
  <c r="C1425" i="23"/>
  <c r="D1425" i="23"/>
  <c r="F1425" i="23"/>
  <c r="G1425" i="23"/>
  <c r="A1426" i="23"/>
  <c r="B1426" i="23"/>
  <c r="C1426" i="23"/>
  <c r="D1426" i="23"/>
  <c r="F1426" i="23"/>
  <c r="G1426" i="23"/>
  <c r="A1427" i="23"/>
  <c r="B1427" i="23"/>
  <c r="C1427" i="23"/>
  <c r="D1427" i="23"/>
  <c r="F1427" i="23"/>
  <c r="G1427" i="23"/>
  <c r="A1428" i="23"/>
  <c r="B1428" i="23"/>
  <c r="C1428" i="23"/>
  <c r="D1428" i="23"/>
  <c r="F1428" i="23"/>
  <c r="G1428" i="23"/>
  <c r="A1429" i="23"/>
  <c r="B1429" i="23"/>
  <c r="C1429" i="23"/>
  <c r="D1429" i="23"/>
  <c r="F1429" i="23"/>
  <c r="G1429" i="23"/>
  <c r="A1430" i="23"/>
  <c r="B1430" i="23"/>
  <c r="C1430" i="23"/>
  <c r="D1430" i="23"/>
  <c r="F1430" i="23"/>
  <c r="G1430" i="23"/>
  <c r="A1431" i="23"/>
  <c r="B1431" i="23"/>
  <c r="C1431" i="23"/>
  <c r="D1431" i="23"/>
  <c r="F1431" i="23"/>
  <c r="G1431" i="23"/>
  <c r="A1432" i="23"/>
  <c r="B1432" i="23"/>
  <c r="C1432" i="23"/>
  <c r="D1432" i="23"/>
  <c r="F1432" i="23"/>
  <c r="G1432" i="23"/>
  <c r="A1433" i="23"/>
  <c r="B1433" i="23"/>
  <c r="C1433" i="23"/>
  <c r="D1433" i="23"/>
  <c r="F1433" i="23"/>
  <c r="G1433" i="23"/>
  <c r="A1434" i="23"/>
  <c r="B1434" i="23"/>
  <c r="C1434" i="23"/>
  <c r="D1434" i="23"/>
  <c r="F1434" i="23"/>
  <c r="G1434" i="23"/>
  <c r="A1435" i="23"/>
  <c r="B1435" i="23"/>
  <c r="C1435" i="23"/>
  <c r="D1435" i="23"/>
  <c r="F1435" i="23"/>
  <c r="G1435" i="23"/>
  <c r="A1436" i="23"/>
  <c r="B1436" i="23"/>
  <c r="C1436" i="23"/>
  <c r="D1436" i="23"/>
  <c r="F1436" i="23"/>
  <c r="G1436" i="23"/>
  <c r="A1437" i="23"/>
  <c r="B1437" i="23"/>
  <c r="C1437" i="23"/>
  <c r="D1437" i="23"/>
  <c r="F1437" i="23"/>
  <c r="G1437" i="23"/>
  <c r="A1438" i="23"/>
  <c r="B1438" i="23"/>
  <c r="C1438" i="23"/>
  <c r="D1438" i="23"/>
  <c r="F1438" i="23"/>
  <c r="G1438" i="23"/>
  <c r="A1439" i="23"/>
  <c r="B1439" i="23"/>
  <c r="C1439" i="23"/>
  <c r="D1439" i="23"/>
  <c r="F1439" i="23"/>
  <c r="G1439" i="23"/>
  <c r="A1440" i="23"/>
  <c r="B1440" i="23"/>
  <c r="C1440" i="23"/>
  <c r="D1440" i="23"/>
  <c r="F1440" i="23"/>
  <c r="G1440" i="23"/>
  <c r="A1441" i="23"/>
  <c r="B1441" i="23"/>
  <c r="C1441" i="23"/>
  <c r="D1441" i="23"/>
  <c r="F1441" i="23"/>
  <c r="G1441" i="23"/>
  <c r="A1442" i="23"/>
  <c r="B1442" i="23"/>
  <c r="C1442" i="23"/>
  <c r="D1442" i="23"/>
  <c r="F1442" i="23"/>
  <c r="G1442" i="23"/>
  <c r="A1443" i="23"/>
  <c r="B1443" i="23"/>
  <c r="C1443" i="23"/>
  <c r="D1443" i="23"/>
  <c r="F1443" i="23"/>
  <c r="G1443" i="23"/>
  <c r="A1444" i="23"/>
  <c r="B1444" i="23"/>
  <c r="C1444" i="23"/>
  <c r="D1444" i="23"/>
  <c r="F1444" i="23"/>
  <c r="G1444" i="23"/>
  <c r="A1445" i="23"/>
  <c r="B1445" i="23"/>
  <c r="C1445" i="23"/>
  <c r="D1445" i="23"/>
  <c r="F1445" i="23"/>
  <c r="G1445" i="23"/>
  <c r="A1446" i="23"/>
  <c r="B1446" i="23"/>
  <c r="C1446" i="23"/>
  <c r="D1446" i="23"/>
  <c r="F1446" i="23"/>
  <c r="G1446" i="23"/>
  <c r="A1447" i="23"/>
  <c r="B1447" i="23"/>
  <c r="C1447" i="23"/>
  <c r="D1447" i="23"/>
  <c r="F1447" i="23"/>
  <c r="G1447" i="23"/>
  <c r="A1448" i="23"/>
  <c r="B1448" i="23"/>
  <c r="C1448" i="23"/>
  <c r="D1448" i="23"/>
  <c r="F1448" i="23"/>
  <c r="G1448" i="23"/>
  <c r="A1449" i="23"/>
  <c r="B1449" i="23"/>
  <c r="C1449" i="23"/>
  <c r="D1449" i="23"/>
  <c r="F1449" i="23"/>
  <c r="G1449" i="23"/>
  <c r="A1450" i="23"/>
  <c r="B1450" i="23"/>
  <c r="C1450" i="23"/>
  <c r="D1450" i="23"/>
  <c r="F1450" i="23"/>
  <c r="G1450" i="23"/>
  <c r="A1451" i="23"/>
  <c r="B1451" i="23"/>
  <c r="C1451" i="23"/>
  <c r="D1451" i="23"/>
  <c r="F1451" i="23"/>
  <c r="G1451" i="23"/>
  <c r="A1452" i="23"/>
  <c r="B1452" i="23"/>
  <c r="C1452" i="23"/>
  <c r="D1452" i="23"/>
  <c r="F1452" i="23"/>
  <c r="G1452" i="23"/>
  <c r="A1453" i="23"/>
  <c r="B1453" i="23"/>
  <c r="C1453" i="23"/>
  <c r="D1453" i="23"/>
  <c r="F1453" i="23"/>
  <c r="G1453" i="23"/>
  <c r="A1454" i="23"/>
  <c r="B1454" i="23"/>
  <c r="C1454" i="23"/>
  <c r="D1454" i="23"/>
  <c r="F1454" i="23"/>
  <c r="G1454" i="23"/>
  <c r="A1455" i="23"/>
  <c r="B1455" i="23"/>
  <c r="C1455" i="23"/>
  <c r="D1455" i="23"/>
  <c r="F1455" i="23"/>
  <c r="G1455" i="23"/>
  <c r="A1456" i="23"/>
  <c r="B1456" i="23"/>
  <c r="C1456" i="23"/>
  <c r="D1456" i="23"/>
  <c r="F1456" i="23"/>
  <c r="G1456" i="23"/>
  <c r="A1457" i="23"/>
  <c r="B1457" i="23"/>
  <c r="C1457" i="23"/>
  <c r="D1457" i="23"/>
  <c r="F1457" i="23"/>
  <c r="G1457" i="23"/>
  <c r="A1458" i="23"/>
  <c r="B1458" i="23"/>
  <c r="C1458" i="23"/>
  <c r="D1458" i="23"/>
  <c r="F1458" i="23"/>
  <c r="G1458" i="23"/>
  <c r="A1459" i="23"/>
  <c r="B1459" i="23"/>
  <c r="C1459" i="23"/>
  <c r="D1459" i="23"/>
  <c r="F1459" i="23"/>
  <c r="G1459" i="23"/>
  <c r="A1460" i="23"/>
  <c r="B1460" i="23"/>
  <c r="C1460" i="23"/>
  <c r="D1460" i="23"/>
  <c r="F1460" i="23"/>
  <c r="G1460" i="23"/>
  <c r="A1461" i="23"/>
  <c r="B1461" i="23"/>
  <c r="C1461" i="23"/>
  <c r="D1461" i="23"/>
  <c r="F1461" i="23"/>
  <c r="G1461" i="23"/>
  <c r="A1462" i="23"/>
  <c r="B1462" i="23"/>
  <c r="C1462" i="23"/>
  <c r="D1462" i="23"/>
  <c r="F1462" i="23"/>
  <c r="G1462" i="23"/>
  <c r="A1463" i="23"/>
  <c r="B1463" i="23"/>
  <c r="C1463" i="23"/>
  <c r="D1463" i="23"/>
  <c r="F1463" i="23"/>
  <c r="G1463" i="23"/>
  <c r="A1464" i="23"/>
  <c r="B1464" i="23"/>
  <c r="C1464" i="23"/>
  <c r="D1464" i="23"/>
  <c r="F1464" i="23"/>
  <c r="G1464" i="23"/>
  <c r="A1465" i="23"/>
  <c r="B1465" i="23"/>
  <c r="C1465" i="23"/>
  <c r="D1465" i="23"/>
  <c r="F1465" i="23"/>
  <c r="G1465" i="23"/>
  <c r="A1466" i="23"/>
  <c r="B1466" i="23"/>
  <c r="C1466" i="23"/>
  <c r="D1466" i="23"/>
  <c r="F1466" i="23"/>
  <c r="G1466" i="23"/>
  <c r="A1467" i="23"/>
  <c r="B1467" i="23"/>
  <c r="C1467" i="23"/>
  <c r="D1467" i="23"/>
  <c r="F1467" i="23"/>
  <c r="G1467" i="23"/>
  <c r="A1468" i="23"/>
  <c r="B1468" i="23"/>
  <c r="C1468" i="23"/>
  <c r="D1468" i="23"/>
  <c r="F1468" i="23"/>
  <c r="G1468" i="23"/>
  <c r="A1469" i="23"/>
  <c r="B1469" i="23"/>
  <c r="C1469" i="23"/>
  <c r="D1469" i="23"/>
  <c r="F1469" i="23"/>
  <c r="G1469" i="23"/>
  <c r="A1470" i="23"/>
  <c r="B1470" i="23"/>
  <c r="C1470" i="23"/>
  <c r="D1470" i="23"/>
  <c r="F1470" i="23"/>
  <c r="G1470" i="23"/>
  <c r="A1471" i="23"/>
  <c r="B1471" i="23"/>
  <c r="C1471" i="23"/>
  <c r="D1471" i="23"/>
  <c r="F1471" i="23"/>
  <c r="G1471" i="23"/>
  <c r="A1472" i="23"/>
  <c r="B1472" i="23"/>
  <c r="C1472" i="23"/>
  <c r="D1472" i="23"/>
  <c r="F1472" i="23"/>
  <c r="G1472" i="23"/>
  <c r="A1473" i="23"/>
  <c r="B1473" i="23"/>
  <c r="C1473" i="23"/>
  <c r="D1473" i="23"/>
  <c r="F1473" i="23"/>
  <c r="G1473" i="23"/>
  <c r="A1474" i="23"/>
  <c r="B1474" i="23"/>
  <c r="C1474" i="23"/>
  <c r="D1474" i="23"/>
  <c r="F1474" i="23"/>
  <c r="G1474" i="23"/>
  <c r="A1475" i="23"/>
  <c r="B1475" i="23"/>
  <c r="C1475" i="23"/>
  <c r="D1475" i="23"/>
  <c r="F1475" i="23"/>
  <c r="G1475" i="23"/>
  <c r="A1476" i="23"/>
  <c r="B1476" i="23"/>
  <c r="C1476" i="23"/>
  <c r="D1476" i="23"/>
  <c r="F1476" i="23"/>
  <c r="G1476" i="23"/>
  <c r="A1477" i="23"/>
  <c r="B1477" i="23"/>
  <c r="C1477" i="23"/>
  <c r="D1477" i="23"/>
  <c r="F1477" i="23"/>
  <c r="G1477" i="23"/>
  <c r="A1478" i="23"/>
  <c r="B1478" i="23"/>
  <c r="C1478" i="23"/>
  <c r="D1478" i="23"/>
  <c r="F1478" i="23"/>
  <c r="G1478" i="23"/>
  <c r="A1479" i="23"/>
  <c r="B1479" i="23"/>
  <c r="C1479" i="23"/>
  <c r="D1479" i="23"/>
  <c r="F1479" i="23"/>
  <c r="G1479" i="23"/>
  <c r="A1480" i="23"/>
  <c r="B1480" i="23"/>
  <c r="C1480" i="23"/>
  <c r="D1480" i="23"/>
  <c r="F1480" i="23"/>
  <c r="G1480" i="23"/>
  <c r="A1481" i="23"/>
  <c r="B1481" i="23"/>
  <c r="C1481" i="23"/>
  <c r="D1481" i="23"/>
  <c r="F1481" i="23"/>
  <c r="G1481" i="23"/>
  <c r="A1482" i="23"/>
  <c r="B1482" i="23"/>
  <c r="C1482" i="23"/>
  <c r="D1482" i="23"/>
  <c r="F1482" i="23"/>
  <c r="G1482" i="23"/>
  <c r="A1483" i="23"/>
  <c r="B1483" i="23"/>
  <c r="C1483" i="23"/>
  <c r="D1483" i="23"/>
  <c r="F1483" i="23"/>
  <c r="G1483" i="23"/>
  <c r="A1484" i="23"/>
  <c r="B1484" i="23"/>
  <c r="C1484" i="23"/>
  <c r="D1484" i="23"/>
  <c r="F1484" i="23"/>
  <c r="G1484" i="23"/>
  <c r="A1485" i="23"/>
  <c r="B1485" i="23"/>
  <c r="C1485" i="23"/>
  <c r="D1485" i="23"/>
  <c r="F1485" i="23"/>
  <c r="G1485" i="23"/>
  <c r="A1486" i="23"/>
  <c r="B1486" i="23"/>
  <c r="C1486" i="23"/>
  <c r="D1486" i="23"/>
  <c r="F1486" i="23"/>
  <c r="G1486" i="23"/>
  <c r="A1487" i="23"/>
  <c r="B1487" i="23"/>
  <c r="C1487" i="23"/>
  <c r="D1487" i="23"/>
  <c r="F1487" i="23"/>
  <c r="G1487" i="23"/>
  <c r="A1488" i="23"/>
  <c r="B1488" i="23"/>
  <c r="C1488" i="23"/>
  <c r="D1488" i="23"/>
  <c r="F1488" i="23"/>
  <c r="G1488" i="23"/>
  <c r="A1489" i="23"/>
  <c r="B1489" i="23"/>
  <c r="C1489" i="23"/>
  <c r="D1489" i="23"/>
  <c r="F1489" i="23"/>
  <c r="G1489" i="23"/>
  <c r="A1490" i="23"/>
  <c r="B1490" i="23"/>
  <c r="C1490" i="23"/>
  <c r="D1490" i="23"/>
  <c r="F1490" i="23"/>
  <c r="G1490" i="23"/>
  <c r="A1491" i="23"/>
  <c r="B1491" i="23"/>
  <c r="C1491" i="23"/>
  <c r="D1491" i="23"/>
  <c r="F1491" i="23"/>
  <c r="G1491" i="23"/>
  <c r="A1492" i="23"/>
  <c r="B1492" i="23"/>
  <c r="C1492" i="23"/>
  <c r="D1492" i="23"/>
  <c r="F1492" i="23"/>
  <c r="G1492" i="23"/>
  <c r="A1493" i="23"/>
  <c r="B1493" i="23"/>
  <c r="C1493" i="23"/>
  <c r="D1493" i="23"/>
  <c r="F1493" i="23"/>
  <c r="G1493" i="23"/>
  <c r="A1494" i="23"/>
  <c r="B1494" i="23"/>
  <c r="C1494" i="23"/>
  <c r="D1494" i="23"/>
  <c r="F1494" i="23"/>
  <c r="G1494" i="23"/>
  <c r="A1495" i="23"/>
  <c r="B1495" i="23"/>
  <c r="C1495" i="23"/>
  <c r="D1495" i="23"/>
  <c r="F1495" i="23"/>
  <c r="G1495" i="23"/>
  <c r="A1496" i="23"/>
  <c r="B1496" i="23"/>
  <c r="C1496" i="23"/>
  <c r="D1496" i="23"/>
  <c r="F1496" i="23"/>
  <c r="G1496" i="23"/>
  <c r="A1497" i="23"/>
  <c r="B1497" i="23"/>
  <c r="C1497" i="23"/>
  <c r="D1497" i="23"/>
  <c r="F1497" i="23"/>
  <c r="G1497" i="23"/>
  <c r="A1498" i="23"/>
  <c r="B1498" i="23"/>
  <c r="C1498" i="23"/>
  <c r="D1498" i="23"/>
  <c r="F1498" i="23"/>
  <c r="G1498" i="23"/>
  <c r="A1499" i="23"/>
  <c r="B1499" i="23"/>
  <c r="C1499" i="23"/>
  <c r="D1499" i="23"/>
  <c r="F1499" i="23"/>
  <c r="G1499" i="23"/>
  <c r="A1500" i="23"/>
  <c r="B1500" i="23"/>
  <c r="C1500" i="23"/>
  <c r="D1500" i="23"/>
  <c r="F1500" i="23"/>
  <c r="G1500" i="23"/>
  <c r="A1501" i="23"/>
  <c r="B1501" i="23"/>
  <c r="C1501" i="23"/>
  <c r="D1501" i="23"/>
  <c r="F1501" i="23"/>
  <c r="G1501" i="23"/>
  <c r="A1502" i="23"/>
  <c r="B1502" i="23"/>
  <c r="C1502" i="23"/>
  <c r="D1502" i="23"/>
  <c r="F1502" i="23"/>
  <c r="G1502" i="23"/>
  <c r="A1503" i="23"/>
  <c r="B1503" i="23"/>
  <c r="C1503" i="23"/>
  <c r="D1503" i="23"/>
  <c r="F1503" i="23"/>
  <c r="G1503" i="23"/>
  <c r="A1504" i="23"/>
  <c r="B1504" i="23"/>
  <c r="C1504" i="23"/>
  <c r="D1504" i="23"/>
  <c r="F1504" i="23"/>
  <c r="G1504" i="23"/>
  <c r="A1505" i="23"/>
  <c r="B1505" i="23"/>
  <c r="C1505" i="23"/>
  <c r="D1505" i="23"/>
  <c r="F1505" i="23"/>
  <c r="G1505" i="23"/>
  <c r="A1506" i="23"/>
  <c r="B1506" i="23"/>
  <c r="C1506" i="23"/>
  <c r="D1506" i="23"/>
  <c r="F1506" i="23"/>
  <c r="G1506" i="23"/>
  <c r="A1507" i="23"/>
  <c r="B1507" i="23"/>
  <c r="C1507" i="23"/>
  <c r="D1507" i="23"/>
  <c r="F1507" i="23"/>
  <c r="G1507" i="23"/>
  <c r="A1508" i="23"/>
  <c r="B1508" i="23"/>
  <c r="C1508" i="23"/>
  <c r="D1508" i="23"/>
  <c r="F1508" i="23"/>
  <c r="G1508" i="23"/>
  <c r="A1509" i="23"/>
  <c r="B1509" i="23"/>
  <c r="C1509" i="23"/>
  <c r="D1509" i="23"/>
  <c r="F1509" i="23"/>
  <c r="G1509" i="23"/>
  <c r="A1510" i="23"/>
  <c r="B1510" i="23"/>
  <c r="C1510" i="23"/>
  <c r="D1510" i="23"/>
  <c r="F1510" i="23"/>
  <c r="G1510" i="23"/>
  <c r="A1511" i="23"/>
  <c r="B1511" i="23"/>
  <c r="C1511" i="23"/>
  <c r="D1511" i="23"/>
  <c r="F1511" i="23"/>
  <c r="G1511" i="23"/>
  <c r="A1512" i="23"/>
  <c r="B1512" i="23"/>
  <c r="C1512" i="23"/>
  <c r="D1512" i="23"/>
  <c r="F1512" i="23"/>
  <c r="G1512" i="23"/>
  <c r="A1513" i="23"/>
  <c r="B1513" i="23"/>
  <c r="C1513" i="23"/>
  <c r="D1513" i="23"/>
  <c r="F1513" i="23"/>
  <c r="G1513" i="23"/>
  <c r="A1514" i="23"/>
  <c r="B1514" i="23"/>
  <c r="C1514" i="23"/>
  <c r="D1514" i="23"/>
  <c r="F1514" i="23"/>
  <c r="G1514" i="23"/>
  <c r="A1515" i="23"/>
  <c r="B1515" i="23"/>
  <c r="C1515" i="23"/>
  <c r="D1515" i="23"/>
  <c r="F1515" i="23"/>
  <c r="G1515" i="23"/>
  <c r="A1516" i="23"/>
  <c r="B1516" i="23"/>
  <c r="C1516" i="23"/>
  <c r="D1516" i="23"/>
  <c r="F1516" i="23"/>
  <c r="G1516" i="23"/>
  <c r="A1517" i="23"/>
  <c r="B1517" i="23"/>
  <c r="C1517" i="23"/>
  <c r="D1517" i="23"/>
  <c r="F1517" i="23"/>
  <c r="G1517" i="23"/>
  <c r="A1518" i="23"/>
  <c r="B1518" i="23"/>
  <c r="C1518" i="23"/>
  <c r="D1518" i="23"/>
  <c r="F1518" i="23"/>
  <c r="G1518" i="23"/>
  <c r="A1519" i="23"/>
  <c r="B1519" i="23"/>
  <c r="C1519" i="23"/>
  <c r="D1519" i="23"/>
  <c r="F1519" i="23"/>
  <c r="G1519" i="23"/>
  <c r="A1520" i="23"/>
  <c r="B1520" i="23"/>
  <c r="C1520" i="23"/>
  <c r="D1520" i="23"/>
  <c r="F1520" i="23"/>
  <c r="G1520" i="23"/>
  <c r="A1521" i="23"/>
  <c r="B1521" i="23"/>
  <c r="C1521" i="23"/>
  <c r="D1521" i="23"/>
  <c r="F1521" i="23"/>
  <c r="G1521" i="23"/>
  <c r="A1522" i="23"/>
  <c r="B1522" i="23"/>
  <c r="C1522" i="23"/>
  <c r="D1522" i="23"/>
  <c r="F1522" i="23"/>
  <c r="G1522" i="23"/>
  <c r="A1523" i="23"/>
  <c r="B1523" i="23"/>
  <c r="C1523" i="23"/>
  <c r="D1523" i="23"/>
  <c r="F1523" i="23"/>
  <c r="G1523" i="23"/>
  <c r="A1524" i="23"/>
  <c r="B1524" i="23"/>
  <c r="C1524" i="23"/>
  <c r="D1524" i="23"/>
  <c r="F1524" i="23"/>
  <c r="G1524" i="23"/>
  <c r="A1525" i="23"/>
  <c r="B1525" i="23"/>
  <c r="C1525" i="23"/>
  <c r="D1525" i="23"/>
  <c r="F1525" i="23"/>
  <c r="G1525" i="23"/>
  <c r="A1526" i="23"/>
  <c r="B1526" i="23"/>
  <c r="C1526" i="23"/>
  <c r="D1526" i="23"/>
  <c r="F1526" i="23"/>
  <c r="G1526" i="23"/>
  <c r="A1527" i="23"/>
  <c r="B1527" i="23"/>
  <c r="C1527" i="23"/>
  <c r="D1527" i="23"/>
  <c r="F1527" i="23"/>
  <c r="G1527" i="23"/>
  <c r="A1528" i="23"/>
  <c r="B1528" i="23"/>
  <c r="C1528" i="23"/>
  <c r="D1528" i="23"/>
  <c r="F1528" i="23"/>
  <c r="G1528" i="23"/>
  <c r="A1529" i="23"/>
  <c r="B1529" i="23"/>
  <c r="C1529" i="23"/>
  <c r="D1529" i="23"/>
  <c r="F1529" i="23"/>
  <c r="G1529" i="23"/>
  <c r="A1530" i="23"/>
  <c r="B1530" i="23"/>
  <c r="C1530" i="23"/>
  <c r="D1530" i="23"/>
  <c r="F1530" i="23"/>
  <c r="G1530" i="23"/>
  <c r="A1531" i="23"/>
  <c r="B1531" i="23"/>
  <c r="C1531" i="23"/>
  <c r="D1531" i="23"/>
  <c r="F1531" i="23"/>
  <c r="G1531" i="23"/>
  <c r="A1532" i="23"/>
  <c r="B1532" i="23"/>
  <c r="C1532" i="23"/>
  <c r="D1532" i="23"/>
  <c r="F1532" i="23"/>
  <c r="G1532" i="23"/>
  <c r="A1533" i="23"/>
  <c r="B1533" i="23"/>
  <c r="C1533" i="23"/>
  <c r="D1533" i="23"/>
  <c r="F1533" i="23"/>
  <c r="G1533" i="23"/>
  <c r="A1534" i="23"/>
  <c r="B1534" i="23"/>
  <c r="C1534" i="23"/>
  <c r="D1534" i="23"/>
  <c r="F1534" i="23"/>
  <c r="G1534" i="23"/>
  <c r="A1535" i="23"/>
  <c r="B1535" i="23"/>
  <c r="C1535" i="23"/>
  <c r="D1535" i="23"/>
  <c r="F1535" i="23"/>
  <c r="G1535" i="23"/>
  <c r="A1536" i="23"/>
  <c r="B1536" i="23"/>
  <c r="C1536" i="23"/>
  <c r="D1536" i="23"/>
  <c r="F1536" i="23"/>
  <c r="G1536" i="23"/>
  <c r="A1537" i="23"/>
  <c r="B1537" i="23"/>
  <c r="C1537" i="23"/>
  <c r="D1537" i="23"/>
  <c r="F1537" i="23"/>
  <c r="G1537" i="23"/>
  <c r="A1538" i="23"/>
  <c r="B1538" i="23"/>
  <c r="C1538" i="23"/>
  <c r="D1538" i="23"/>
  <c r="F1538" i="23"/>
  <c r="G1538" i="23"/>
  <c r="A1539" i="23"/>
  <c r="B1539" i="23"/>
  <c r="C1539" i="23"/>
  <c r="D1539" i="23"/>
  <c r="F1539" i="23"/>
  <c r="G1539" i="23"/>
  <c r="A1540" i="23"/>
  <c r="B1540" i="23"/>
  <c r="C1540" i="23"/>
  <c r="D1540" i="23"/>
  <c r="F1540" i="23"/>
  <c r="G1540" i="23"/>
  <c r="A1541" i="23"/>
  <c r="B1541" i="23"/>
  <c r="C1541" i="23"/>
  <c r="D1541" i="23"/>
  <c r="F1541" i="23"/>
  <c r="G1541" i="23"/>
  <c r="A1542" i="23"/>
  <c r="B1542" i="23"/>
  <c r="C1542" i="23"/>
  <c r="D1542" i="23"/>
  <c r="F1542" i="23"/>
  <c r="G1542" i="23"/>
  <c r="A1543" i="23"/>
  <c r="B1543" i="23"/>
  <c r="C1543" i="23"/>
  <c r="D1543" i="23"/>
  <c r="F1543" i="23"/>
  <c r="G1543" i="23"/>
  <c r="A1544" i="23"/>
  <c r="B1544" i="23"/>
  <c r="C1544" i="23"/>
  <c r="D1544" i="23"/>
  <c r="F1544" i="23"/>
  <c r="G1544" i="23"/>
  <c r="A1545" i="23"/>
  <c r="B1545" i="23"/>
  <c r="C1545" i="23"/>
  <c r="D1545" i="23"/>
  <c r="F1545" i="23"/>
  <c r="G1545" i="23"/>
  <c r="A1546" i="23"/>
  <c r="B1546" i="23"/>
  <c r="C1546" i="23"/>
  <c r="D1546" i="23"/>
  <c r="F1546" i="23"/>
  <c r="G1546" i="23"/>
  <c r="A1547" i="23"/>
  <c r="B1547" i="23"/>
  <c r="C1547" i="23"/>
  <c r="D1547" i="23"/>
  <c r="F1547" i="23"/>
  <c r="G1547" i="23"/>
  <c r="A1548" i="23"/>
  <c r="B1548" i="23"/>
  <c r="C1548" i="23"/>
  <c r="D1548" i="23"/>
  <c r="F1548" i="23"/>
  <c r="G1548" i="23"/>
  <c r="A1549" i="23"/>
  <c r="B1549" i="23"/>
  <c r="C1549" i="23"/>
  <c r="D1549" i="23"/>
  <c r="F1549" i="23"/>
  <c r="G1549" i="23"/>
  <c r="A1550" i="23"/>
  <c r="B1550" i="23"/>
  <c r="C1550" i="23"/>
  <c r="D1550" i="23"/>
  <c r="F1550" i="23"/>
  <c r="G1550" i="23"/>
  <c r="A1551" i="23"/>
  <c r="B1551" i="23"/>
  <c r="C1551" i="23"/>
  <c r="D1551" i="23"/>
  <c r="F1551" i="23"/>
  <c r="G1551" i="23"/>
  <c r="A1552" i="23"/>
  <c r="B1552" i="23"/>
  <c r="C1552" i="23"/>
  <c r="D1552" i="23"/>
  <c r="F1552" i="23"/>
  <c r="G1552" i="23"/>
  <c r="A1553" i="23"/>
  <c r="B1553" i="23"/>
  <c r="C1553" i="23"/>
  <c r="D1553" i="23"/>
  <c r="F1553" i="23"/>
  <c r="G1553" i="23"/>
  <c r="A1554" i="23"/>
  <c r="B1554" i="23"/>
  <c r="C1554" i="23"/>
  <c r="D1554" i="23"/>
  <c r="F1554" i="23"/>
  <c r="G1554" i="23"/>
  <c r="A1555" i="23"/>
  <c r="B1555" i="23"/>
  <c r="C1555" i="23"/>
  <c r="D1555" i="23"/>
  <c r="F1555" i="23"/>
  <c r="G1555" i="23"/>
  <c r="A1556" i="23"/>
  <c r="B1556" i="23"/>
  <c r="C1556" i="23"/>
  <c r="D1556" i="23"/>
  <c r="F1556" i="23"/>
  <c r="G1556" i="23"/>
  <c r="A1557" i="23"/>
  <c r="B1557" i="23"/>
  <c r="C1557" i="23"/>
  <c r="D1557" i="23"/>
  <c r="F1557" i="23"/>
  <c r="G1557" i="23"/>
  <c r="A1558" i="23"/>
  <c r="B1558" i="23"/>
  <c r="C1558" i="23"/>
  <c r="D1558" i="23"/>
  <c r="F1558" i="23"/>
  <c r="G1558" i="23"/>
  <c r="A1559" i="23"/>
  <c r="B1559" i="23"/>
  <c r="C1559" i="23"/>
  <c r="D1559" i="23"/>
  <c r="F1559" i="23"/>
  <c r="G1559" i="23"/>
  <c r="A1560" i="23"/>
  <c r="B1560" i="23"/>
  <c r="C1560" i="23"/>
  <c r="D1560" i="23"/>
  <c r="F1560" i="23"/>
  <c r="G1560" i="23"/>
  <c r="A1561" i="23"/>
  <c r="B1561" i="23"/>
  <c r="C1561" i="23"/>
  <c r="D1561" i="23"/>
  <c r="F1561" i="23"/>
  <c r="G1561" i="23"/>
  <c r="A1562" i="23"/>
  <c r="B1562" i="23"/>
  <c r="C1562" i="23"/>
  <c r="D1562" i="23"/>
  <c r="F1562" i="23"/>
  <c r="G1562" i="23"/>
  <c r="A1563" i="23"/>
  <c r="B1563" i="23"/>
  <c r="C1563" i="23"/>
  <c r="D1563" i="23"/>
  <c r="F1563" i="23"/>
  <c r="G1563" i="23"/>
  <c r="A1564" i="23"/>
  <c r="B1564" i="23"/>
  <c r="C1564" i="23"/>
  <c r="D1564" i="23"/>
  <c r="F1564" i="23"/>
  <c r="G1564" i="23"/>
  <c r="A1565" i="23"/>
  <c r="B1565" i="23"/>
  <c r="C1565" i="23"/>
  <c r="D1565" i="23"/>
  <c r="F1565" i="23"/>
  <c r="G1565" i="23"/>
  <c r="A1566" i="23"/>
  <c r="B1566" i="23"/>
  <c r="C1566" i="23"/>
  <c r="D1566" i="23"/>
  <c r="F1566" i="23"/>
  <c r="G1566" i="23"/>
  <c r="A1567" i="23"/>
  <c r="B1567" i="23"/>
  <c r="C1567" i="23"/>
  <c r="D1567" i="23"/>
  <c r="F1567" i="23"/>
  <c r="G1567" i="23"/>
  <c r="A1568" i="23"/>
  <c r="B1568" i="23"/>
  <c r="C1568" i="23"/>
  <c r="D1568" i="23"/>
  <c r="F1568" i="23"/>
  <c r="G1568" i="23"/>
  <c r="A1569" i="23"/>
  <c r="B1569" i="23"/>
  <c r="C1569" i="23"/>
  <c r="D1569" i="23"/>
  <c r="F1569" i="23"/>
  <c r="G1569" i="23"/>
  <c r="A1570" i="23"/>
  <c r="B1570" i="23"/>
  <c r="C1570" i="23"/>
  <c r="D1570" i="23"/>
  <c r="F1570" i="23"/>
  <c r="G1570" i="23"/>
  <c r="A1571" i="23"/>
  <c r="B1571" i="23"/>
  <c r="C1571" i="23"/>
  <c r="D1571" i="23"/>
  <c r="F1571" i="23"/>
  <c r="G1571" i="23"/>
  <c r="A1572" i="23"/>
  <c r="B1572" i="23"/>
  <c r="C1572" i="23"/>
  <c r="D1572" i="23"/>
  <c r="F1572" i="23"/>
  <c r="G1572" i="23"/>
  <c r="A1573" i="23"/>
  <c r="B1573" i="23"/>
  <c r="C1573" i="23"/>
  <c r="D1573" i="23"/>
  <c r="F1573" i="23"/>
  <c r="G1573" i="23"/>
  <c r="A1574" i="23"/>
  <c r="B1574" i="23"/>
  <c r="C1574" i="23"/>
  <c r="D1574" i="23"/>
  <c r="F1574" i="23"/>
  <c r="G1574" i="23"/>
  <c r="A1575" i="23"/>
  <c r="B1575" i="23"/>
  <c r="C1575" i="23"/>
  <c r="D1575" i="23"/>
  <c r="F1575" i="23"/>
  <c r="G1575" i="23"/>
  <c r="A1576" i="23"/>
  <c r="B1576" i="23"/>
  <c r="C1576" i="23"/>
  <c r="D1576" i="23"/>
  <c r="F1576" i="23"/>
  <c r="G1576" i="23"/>
  <c r="A1577" i="23"/>
  <c r="B1577" i="23"/>
  <c r="C1577" i="23"/>
  <c r="D1577" i="23"/>
  <c r="F1577" i="23"/>
  <c r="G1577" i="23"/>
  <c r="A1578" i="23"/>
  <c r="B1578" i="23"/>
  <c r="C1578" i="23"/>
  <c r="D1578" i="23"/>
  <c r="F1578" i="23"/>
  <c r="G1578" i="23"/>
  <c r="A1579" i="23"/>
  <c r="B1579" i="23"/>
  <c r="C1579" i="23"/>
  <c r="D1579" i="23"/>
  <c r="F1579" i="23"/>
  <c r="G1579" i="23"/>
  <c r="A1580" i="23"/>
  <c r="B1580" i="23"/>
  <c r="C1580" i="23"/>
  <c r="D1580" i="23"/>
  <c r="F1580" i="23"/>
  <c r="G1580" i="23"/>
  <c r="A1581" i="23"/>
  <c r="B1581" i="23"/>
  <c r="C1581" i="23"/>
  <c r="D1581" i="23"/>
  <c r="F1581" i="23"/>
  <c r="G1581" i="23"/>
  <c r="A1582" i="23"/>
  <c r="B1582" i="23"/>
  <c r="C1582" i="23"/>
  <c r="D1582" i="23"/>
  <c r="F1582" i="23"/>
  <c r="G1582" i="23"/>
  <c r="A1583" i="23"/>
  <c r="B1583" i="23"/>
  <c r="C1583" i="23"/>
  <c r="D1583" i="23"/>
  <c r="F1583" i="23"/>
  <c r="G1583" i="23"/>
  <c r="A1584" i="23"/>
  <c r="B1584" i="23"/>
  <c r="C1584" i="23"/>
  <c r="D1584" i="23"/>
  <c r="F1584" i="23"/>
  <c r="G1584" i="23"/>
  <c r="A1585" i="23"/>
  <c r="B1585" i="23"/>
  <c r="C1585" i="23"/>
  <c r="D1585" i="23"/>
  <c r="F1585" i="23"/>
  <c r="G1585" i="23"/>
  <c r="A1586" i="23"/>
  <c r="B1586" i="23"/>
  <c r="C1586" i="23"/>
  <c r="D1586" i="23"/>
  <c r="F1586" i="23"/>
  <c r="G1586" i="23"/>
  <c r="A1587" i="23"/>
  <c r="B1587" i="23"/>
  <c r="C1587" i="23"/>
  <c r="D1587" i="23"/>
  <c r="F1587" i="23"/>
  <c r="G1587" i="23"/>
  <c r="A1588" i="23"/>
  <c r="B1588" i="23"/>
  <c r="C1588" i="23"/>
  <c r="D1588" i="23"/>
  <c r="F1588" i="23"/>
  <c r="G1588" i="23"/>
  <c r="A1589" i="23"/>
  <c r="B1589" i="23"/>
  <c r="C1589" i="23"/>
  <c r="D1589" i="23"/>
  <c r="F1589" i="23"/>
  <c r="G1589" i="23"/>
  <c r="A1590" i="23"/>
  <c r="B1590" i="23"/>
  <c r="C1590" i="23"/>
  <c r="D1590" i="23"/>
  <c r="F1590" i="23"/>
  <c r="G1590" i="23"/>
  <c r="A1591" i="23"/>
  <c r="B1591" i="23"/>
  <c r="C1591" i="23"/>
  <c r="D1591" i="23"/>
  <c r="F1591" i="23"/>
  <c r="G1591" i="23"/>
  <c r="A1592" i="23"/>
  <c r="B1592" i="23"/>
  <c r="C1592" i="23"/>
  <c r="D1592" i="23"/>
  <c r="F1592" i="23"/>
  <c r="G1592" i="23"/>
  <c r="A1593" i="23"/>
  <c r="B1593" i="23"/>
  <c r="C1593" i="23"/>
  <c r="D1593" i="23"/>
  <c r="F1593" i="23"/>
  <c r="G1593" i="23"/>
  <c r="A1594" i="23"/>
  <c r="B1594" i="23"/>
  <c r="C1594" i="23"/>
  <c r="D1594" i="23"/>
  <c r="F1594" i="23"/>
  <c r="G1594" i="23"/>
  <c r="A1595" i="23"/>
  <c r="B1595" i="23"/>
  <c r="C1595" i="23"/>
  <c r="D1595" i="23"/>
  <c r="F1595" i="23"/>
  <c r="G1595" i="23"/>
  <c r="A1596" i="23"/>
  <c r="B1596" i="23"/>
  <c r="C1596" i="23"/>
  <c r="D1596" i="23"/>
  <c r="F1596" i="23"/>
  <c r="G1596" i="23"/>
  <c r="A1597" i="23"/>
  <c r="B1597" i="23"/>
  <c r="C1597" i="23"/>
  <c r="D1597" i="23"/>
  <c r="F1597" i="23"/>
  <c r="G1597" i="23"/>
  <c r="A1598" i="23"/>
  <c r="B1598" i="23"/>
  <c r="C1598" i="23"/>
  <c r="D1598" i="23"/>
  <c r="F1598" i="23"/>
  <c r="G1598" i="23"/>
  <c r="A1599" i="23"/>
  <c r="B1599" i="23"/>
  <c r="C1599" i="23"/>
  <c r="D1599" i="23"/>
  <c r="F1599" i="23"/>
  <c r="G1599" i="23"/>
  <c r="A1600" i="23"/>
  <c r="B1600" i="23"/>
  <c r="C1600" i="23"/>
  <c r="D1600" i="23"/>
  <c r="F1600" i="23"/>
  <c r="G1600" i="23"/>
  <c r="A1601" i="23"/>
  <c r="B1601" i="23"/>
  <c r="C1601" i="23"/>
  <c r="D1601" i="23"/>
  <c r="F1601" i="23"/>
  <c r="G1601" i="23"/>
  <c r="A1602" i="23"/>
  <c r="B1602" i="23"/>
  <c r="C1602" i="23"/>
  <c r="D1602" i="23"/>
  <c r="F1602" i="23"/>
  <c r="G1602" i="23"/>
  <c r="A1603" i="23"/>
  <c r="B1603" i="23"/>
  <c r="C1603" i="23"/>
  <c r="D1603" i="23"/>
  <c r="F1603" i="23"/>
  <c r="G1603" i="23"/>
  <c r="A1604" i="23"/>
  <c r="B1604" i="23"/>
  <c r="C1604" i="23"/>
  <c r="D1604" i="23"/>
  <c r="F1604" i="23"/>
  <c r="G1604" i="23"/>
  <c r="A1605" i="23"/>
  <c r="B1605" i="23"/>
  <c r="C1605" i="23"/>
  <c r="D1605" i="23"/>
  <c r="F1605" i="23"/>
  <c r="G1605" i="23"/>
  <c r="A1606" i="23"/>
  <c r="B1606" i="23"/>
  <c r="C1606" i="23"/>
  <c r="D1606" i="23"/>
  <c r="F1606" i="23"/>
  <c r="G1606" i="23"/>
  <c r="A1607" i="23"/>
  <c r="B1607" i="23"/>
  <c r="C1607" i="23"/>
  <c r="D1607" i="23"/>
  <c r="F1607" i="23"/>
  <c r="G1607" i="23"/>
  <c r="A1608" i="23"/>
  <c r="B1608" i="23"/>
  <c r="C1608" i="23"/>
  <c r="D1608" i="23"/>
  <c r="F1608" i="23"/>
  <c r="G1608" i="23"/>
  <c r="A1609" i="23"/>
  <c r="B1609" i="23"/>
  <c r="C1609" i="23"/>
  <c r="D1609" i="23"/>
  <c r="F1609" i="23"/>
  <c r="G1609" i="23"/>
  <c r="A1610" i="23"/>
  <c r="B1610" i="23"/>
  <c r="C1610" i="23"/>
  <c r="D1610" i="23"/>
  <c r="F1610" i="23"/>
  <c r="G1610" i="23"/>
  <c r="A1611" i="23"/>
  <c r="B1611" i="23"/>
  <c r="C1611" i="23"/>
  <c r="D1611" i="23"/>
  <c r="F1611" i="23"/>
  <c r="G1611" i="23"/>
  <c r="A1612" i="23"/>
  <c r="B1612" i="23"/>
  <c r="C1612" i="23"/>
  <c r="D1612" i="23"/>
  <c r="F1612" i="23"/>
  <c r="G1612" i="23"/>
  <c r="A1613" i="23"/>
  <c r="B1613" i="23"/>
  <c r="C1613" i="23"/>
  <c r="D1613" i="23"/>
  <c r="F1613" i="23"/>
  <c r="G1613" i="23"/>
  <c r="A1614" i="23"/>
  <c r="B1614" i="23"/>
  <c r="C1614" i="23"/>
  <c r="D1614" i="23"/>
  <c r="F1614" i="23"/>
  <c r="G1614" i="23"/>
  <c r="A1615" i="23"/>
  <c r="B1615" i="23"/>
  <c r="C1615" i="23"/>
  <c r="D1615" i="23"/>
  <c r="F1615" i="23"/>
  <c r="G1615" i="23"/>
  <c r="A1616" i="23"/>
  <c r="B1616" i="23"/>
  <c r="C1616" i="23"/>
  <c r="D1616" i="23"/>
  <c r="F1616" i="23"/>
  <c r="G1616" i="23"/>
  <c r="A1617" i="23"/>
  <c r="B1617" i="23"/>
  <c r="C1617" i="23"/>
  <c r="D1617" i="23"/>
  <c r="F1617" i="23"/>
  <c r="G1617" i="23"/>
  <c r="A1618" i="23"/>
  <c r="B1618" i="23"/>
  <c r="C1618" i="23"/>
  <c r="D1618" i="23"/>
  <c r="F1618" i="23"/>
  <c r="G1618" i="23"/>
  <c r="A1619" i="23"/>
  <c r="B1619" i="23"/>
  <c r="C1619" i="23"/>
  <c r="D1619" i="23"/>
  <c r="F1619" i="23"/>
  <c r="G1619" i="23"/>
  <c r="A1620" i="23"/>
  <c r="B1620" i="23"/>
  <c r="C1620" i="23"/>
  <c r="D1620" i="23"/>
  <c r="F1620" i="23"/>
  <c r="G1620" i="23"/>
  <c r="A1621" i="23"/>
  <c r="B1621" i="23"/>
  <c r="C1621" i="23"/>
  <c r="D1621" i="23"/>
  <c r="F1621" i="23"/>
  <c r="G1621" i="23"/>
  <c r="A1622" i="23"/>
  <c r="B1622" i="23"/>
  <c r="C1622" i="23"/>
  <c r="D1622" i="23"/>
  <c r="F1622" i="23"/>
  <c r="G1622" i="23"/>
  <c r="A1623" i="23"/>
  <c r="B1623" i="23"/>
  <c r="C1623" i="23"/>
  <c r="D1623" i="23"/>
  <c r="F1623" i="23"/>
  <c r="G1623" i="23"/>
  <c r="A1624" i="23"/>
  <c r="B1624" i="23"/>
  <c r="C1624" i="23"/>
  <c r="D1624" i="23"/>
  <c r="F1624" i="23"/>
  <c r="G1624" i="23"/>
  <c r="A1625" i="23"/>
  <c r="B1625" i="23"/>
  <c r="C1625" i="23"/>
  <c r="D1625" i="23"/>
  <c r="F1625" i="23"/>
  <c r="G1625" i="23"/>
  <c r="A1626" i="23"/>
  <c r="B1626" i="23"/>
  <c r="C1626" i="23"/>
  <c r="D1626" i="23"/>
  <c r="F1626" i="23"/>
  <c r="G1626" i="23"/>
  <c r="A1627" i="23"/>
  <c r="B1627" i="23"/>
  <c r="C1627" i="23"/>
  <c r="D1627" i="23"/>
  <c r="F1627" i="23"/>
  <c r="G1627" i="23"/>
  <c r="A1628" i="23"/>
  <c r="B1628" i="23"/>
  <c r="C1628" i="23"/>
  <c r="D1628" i="23"/>
  <c r="F1628" i="23"/>
  <c r="G1628" i="23"/>
  <c r="A1629" i="23"/>
  <c r="B1629" i="23"/>
  <c r="C1629" i="23"/>
  <c r="D1629" i="23"/>
  <c r="F1629" i="23"/>
  <c r="G1629" i="23"/>
  <c r="A1630" i="23"/>
  <c r="B1630" i="23"/>
  <c r="C1630" i="23"/>
  <c r="D1630" i="23"/>
  <c r="F1630" i="23"/>
  <c r="G1630" i="23"/>
  <c r="A1631" i="23"/>
  <c r="B1631" i="23"/>
  <c r="C1631" i="23"/>
  <c r="D1631" i="23"/>
  <c r="F1631" i="23"/>
  <c r="G1631" i="23"/>
  <c r="A1632" i="23"/>
  <c r="B1632" i="23"/>
  <c r="C1632" i="23"/>
  <c r="D1632" i="23"/>
  <c r="F1632" i="23"/>
  <c r="G1632" i="23"/>
  <c r="A1633" i="23"/>
  <c r="B1633" i="23"/>
  <c r="C1633" i="23"/>
  <c r="D1633" i="23"/>
  <c r="F1633" i="23"/>
  <c r="G1633" i="23"/>
  <c r="A1634" i="23"/>
  <c r="B1634" i="23"/>
  <c r="C1634" i="23"/>
  <c r="D1634" i="23"/>
  <c r="F1634" i="23"/>
  <c r="G1634" i="23"/>
  <c r="A1635" i="23"/>
  <c r="B1635" i="23"/>
  <c r="C1635" i="23"/>
  <c r="D1635" i="23"/>
  <c r="F1635" i="23"/>
  <c r="G1635" i="23"/>
  <c r="A1636" i="23"/>
  <c r="B1636" i="23"/>
  <c r="C1636" i="23"/>
  <c r="D1636" i="23"/>
  <c r="F1636" i="23"/>
  <c r="G1636" i="23"/>
  <c r="A1637" i="23"/>
  <c r="B1637" i="23"/>
  <c r="C1637" i="23"/>
  <c r="D1637" i="23"/>
  <c r="F1637" i="23"/>
  <c r="G1637" i="23"/>
  <c r="A1638" i="23"/>
  <c r="B1638" i="23"/>
  <c r="C1638" i="23"/>
  <c r="D1638" i="23"/>
  <c r="F1638" i="23"/>
  <c r="G1638" i="23"/>
  <c r="A1639" i="23"/>
  <c r="B1639" i="23"/>
  <c r="C1639" i="23"/>
  <c r="D1639" i="23"/>
  <c r="F1639" i="23"/>
  <c r="G1639" i="23"/>
  <c r="A1640" i="23"/>
  <c r="B1640" i="23"/>
  <c r="C1640" i="23"/>
  <c r="D1640" i="23"/>
  <c r="F1640" i="23"/>
  <c r="G1640" i="23"/>
  <c r="A1641" i="23"/>
  <c r="B1641" i="23"/>
  <c r="C1641" i="23"/>
  <c r="D1641" i="23"/>
  <c r="F1641" i="23"/>
  <c r="G1641" i="23"/>
  <c r="A1642" i="23"/>
  <c r="B1642" i="23"/>
  <c r="C1642" i="23"/>
  <c r="D1642" i="23"/>
  <c r="F1642" i="23"/>
  <c r="G1642" i="23"/>
  <c r="A1643" i="23"/>
  <c r="B1643" i="23"/>
  <c r="C1643" i="23"/>
  <c r="D1643" i="23"/>
  <c r="F1643" i="23"/>
  <c r="G1643" i="23"/>
  <c r="A1644" i="23"/>
  <c r="B1644" i="23"/>
  <c r="C1644" i="23"/>
  <c r="D1644" i="23"/>
  <c r="F1644" i="23"/>
  <c r="G1644" i="23"/>
  <c r="A1645" i="23"/>
  <c r="B1645" i="23"/>
  <c r="C1645" i="23"/>
  <c r="D1645" i="23"/>
  <c r="F1645" i="23"/>
  <c r="G1645" i="23"/>
  <c r="A1646" i="23"/>
  <c r="B1646" i="23"/>
  <c r="C1646" i="23"/>
  <c r="D1646" i="23"/>
  <c r="F1646" i="23"/>
  <c r="G1646" i="23"/>
  <c r="A1647" i="23"/>
  <c r="B1647" i="23"/>
  <c r="C1647" i="23"/>
  <c r="D1647" i="23"/>
  <c r="F1647" i="23"/>
  <c r="G1647" i="23"/>
  <c r="A1648" i="23"/>
  <c r="B1648" i="23"/>
  <c r="C1648" i="23"/>
  <c r="D1648" i="23"/>
  <c r="F1648" i="23"/>
  <c r="G1648" i="23"/>
  <c r="A1649" i="23"/>
  <c r="B1649" i="23"/>
  <c r="C1649" i="23"/>
  <c r="D1649" i="23"/>
  <c r="F1649" i="23"/>
  <c r="G1649" i="23"/>
  <c r="A1650" i="23"/>
  <c r="B1650" i="23"/>
  <c r="C1650" i="23"/>
  <c r="D1650" i="23"/>
  <c r="F1650" i="23"/>
  <c r="G1650" i="23"/>
  <c r="A1651" i="23"/>
  <c r="B1651" i="23"/>
  <c r="C1651" i="23"/>
  <c r="D1651" i="23"/>
  <c r="F1651" i="23"/>
  <c r="G1651" i="23"/>
  <c r="A1652" i="23"/>
  <c r="B1652" i="23"/>
  <c r="C1652" i="23"/>
  <c r="D1652" i="23"/>
  <c r="F1652" i="23"/>
  <c r="G1652" i="23"/>
  <c r="A1653" i="23"/>
  <c r="B1653" i="23"/>
  <c r="C1653" i="23"/>
  <c r="D1653" i="23"/>
  <c r="F1653" i="23"/>
  <c r="G1653" i="23"/>
  <c r="A1654" i="23"/>
  <c r="B1654" i="23"/>
  <c r="C1654" i="23"/>
  <c r="D1654" i="23"/>
  <c r="F1654" i="23"/>
  <c r="G1654" i="23"/>
  <c r="A1655" i="23"/>
  <c r="B1655" i="23"/>
  <c r="C1655" i="23"/>
  <c r="D1655" i="23"/>
  <c r="F1655" i="23"/>
  <c r="G1655" i="23"/>
  <c r="A1656" i="23"/>
  <c r="B1656" i="23"/>
  <c r="C1656" i="23"/>
  <c r="D1656" i="23"/>
  <c r="F1656" i="23"/>
  <c r="G1656" i="23"/>
  <c r="A1657" i="23"/>
  <c r="B1657" i="23"/>
  <c r="C1657" i="23"/>
  <c r="D1657" i="23"/>
  <c r="F1657" i="23"/>
  <c r="G1657" i="23"/>
  <c r="A1658" i="23"/>
  <c r="B1658" i="23"/>
  <c r="C1658" i="23"/>
  <c r="D1658" i="23"/>
  <c r="F1658" i="23"/>
  <c r="G1658" i="23"/>
  <c r="A1659" i="23"/>
  <c r="B1659" i="23"/>
  <c r="C1659" i="23"/>
  <c r="D1659" i="23"/>
  <c r="F1659" i="23"/>
  <c r="G1659" i="23"/>
  <c r="A1660" i="23"/>
  <c r="B1660" i="23"/>
  <c r="C1660" i="23"/>
  <c r="D1660" i="23"/>
  <c r="F1660" i="23"/>
  <c r="G1660" i="23"/>
  <c r="A1661" i="23"/>
  <c r="B1661" i="23"/>
  <c r="C1661" i="23"/>
  <c r="D1661" i="23"/>
  <c r="F1661" i="23"/>
  <c r="G1661" i="23"/>
  <c r="A1662" i="23"/>
  <c r="B1662" i="23"/>
  <c r="C1662" i="23"/>
  <c r="D1662" i="23"/>
  <c r="F1662" i="23"/>
  <c r="G1662" i="23"/>
  <c r="A1663" i="23"/>
  <c r="B1663" i="23"/>
  <c r="C1663" i="23"/>
  <c r="D1663" i="23"/>
  <c r="F1663" i="23"/>
  <c r="G1663" i="23"/>
  <c r="A1664" i="23"/>
  <c r="B1664" i="23"/>
  <c r="C1664" i="23"/>
  <c r="D1664" i="23"/>
  <c r="F1664" i="23"/>
  <c r="G1664" i="23"/>
  <c r="A1665" i="23"/>
  <c r="B1665" i="23"/>
  <c r="C1665" i="23"/>
  <c r="D1665" i="23"/>
  <c r="F1665" i="23"/>
  <c r="G1665" i="23"/>
  <c r="A1666" i="23"/>
  <c r="B1666" i="23"/>
  <c r="C1666" i="23"/>
  <c r="D1666" i="23"/>
  <c r="F1666" i="23"/>
  <c r="G1666" i="23"/>
  <c r="A1667" i="23"/>
  <c r="B1667" i="23"/>
  <c r="C1667" i="23"/>
  <c r="D1667" i="23"/>
  <c r="F1667" i="23"/>
  <c r="G1667" i="23"/>
  <c r="A1668" i="23"/>
  <c r="B1668" i="23"/>
  <c r="C1668" i="23"/>
  <c r="D1668" i="23"/>
  <c r="F1668" i="23"/>
  <c r="G1668" i="23"/>
  <c r="A1669" i="23"/>
  <c r="B1669" i="23"/>
  <c r="C1669" i="23"/>
  <c r="D1669" i="23"/>
  <c r="F1669" i="23"/>
  <c r="G1669" i="23"/>
  <c r="A1670" i="23"/>
  <c r="B1670" i="23"/>
  <c r="C1670" i="23"/>
  <c r="D1670" i="23"/>
  <c r="F1670" i="23"/>
  <c r="G1670" i="23"/>
  <c r="A1671" i="23"/>
  <c r="B1671" i="23"/>
  <c r="C1671" i="23"/>
  <c r="D1671" i="23"/>
  <c r="F1671" i="23"/>
  <c r="G1671" i="23"/>
  <c r="A1672" i="23"/>
  <c r="B1672" i="23"/>
  <c r="C1672" i="23"/>
  <c r="D1672" i="23"/>
  <c r="F1672" i="23"/>
  <c r="G1672" i="23"/>
  <c r="A1673" i="23"/>
  <c r="B1673" i="23"/>
  <c r="C1673" i="23"/>
  <c r="D1673" i="23"/>
  <c r="F1673" i="23"/>
  <c r="G1673" i="23"/>
  <c r="A1674" i="23"/>
  <c r="B1674" i="23"/>
  <c r="C1674" i="23"/>
  <c r="D1674" i="23"/>
  <c r="F1674" i="23"/>
  <c r="G1674" i="23"/>
  <c r="A1675" i="23"/>
  <c r="B1675" i="23"/>
  <c r="C1675" i="23"/>
  <c r="D1675" i="23"/>
  <c r="F1675" i="23"/>
  <c r="G1675" i="23"/>
  <c r="A1676" i="23"/>
  <c r="B1676" i="23"/>
  <c r="C1676" i="23"/>
  <c r="D1676" i="23"/>
  <c r="F1676" i="23"/>
  <c r="G1676" i="23"/>
  <c r="A1677" i="23"/>
  <c r="B1677" i="23"/>
  <c r="C1677" i="23"/>
  <c r="D1677" i="23"/>
  <c r="F1677" i="23"/>
  <c r="G1677" i="23"/>
  <c r="A1678" i="23"/>
  <c r="B1678" i="23"/>
  <c r="C1678" i="23"/>
  <c r="D1678" i="23"/>
  <c r="F1678" i="23"/>
  <c r="G1678" i="23"/>
  <c r="A1679" i="23"/>
  <c r="B1679" i="23"/>
  <c r="C1679" i="23"/>
  <c r="D1679" i="23"/>
  <c r="F1679" i="23"/>
  <c r="G1679" i="23"/>
  <c r="A1680" i="23"/>
  <c r="B1680" i="23"/>
  <c r="C1680" i="23"/>
  <c r="D1680" i="23"/>
  <c r="F1680" i="23"/>
  <c r="G1680" i="23"/>
  <c r="A1681" i="23"/>
  <c r="B1681" i="23"/>
  <c r="C1681" i="23"/>
  <c r="D1681" i="23"/>
  <c r="F1681" i="23"/>
  <c r="G1681" i="23"/>
  <c r="A1682" i="23"/>
  <c r="B1682" i="23"/>
  <c r="C1682" i="23"/>
  <c r="D1682" i="23"/>
  <c r="F1682" i="23"/>
  <c r="G1682" i="23"/>
  <c r="A1683" i="23"/>
  <c r="B1683" i="23"/>
  <c r="C1683" i="23"/>
  <c r="D1683" i="23"/>
  <c r="F1683" i="23"/>
  <c r="G1683" i="23"/>
  <c r="A1684" i="23"/>
  <c r="B1684" i="23"/>
  <c r="C1684" i="23"/>
  <c r="D1684" i="23"/>
  <c r="F1684" i="23"/>
  <c r="G1684" i="23"/>
  <c r="A1685" i="23"/>
  <c r="B1685" i="23"/>
  <c r="C1685" i="23"/>
  <c r="D1685" i="23"/>
  <c r="F1685" i="23"/>
  <c r="G1685" i="23"/>
  <c r="A1686" i="23"/>
  <c r="B1686" i="23"/>
  <c r="C1686" i="23"/>
  <c r="D1686" i="23"/>
  <c r="F1686" i="23"/>
  <c r="G1686" i="23"/>
  <c r="A1687" i="23"/>
  <c r="B1687" i="23"/>
  <c r="C1687" i="23"/>
  <c r="D1687" i="23"/>
  <c r="F1687" i="23"/>
  <c r="G1687" i="23"/>
  <c r="A1688" i="23"/>
  <c r="B1688" i="23"/>
  <c r="C1688" i="23"/>
  <c r="D1688" i="23"/>
  <c r="F1688" i="23"/>
  <c r="G1688" i="23"/>
  <c r="A1689" i="23"/>
  <c r="B1689" i="23"/>
  <c r="C1689" i="23"/>
  <c r="D1689" i="23"/>
  <c r="F1689" i="23"/>
  <c r="G1689" i="23"/>
  <c r="A1690" i="23"/>
  <c r="B1690" i="23"/>
  <c r="C1690" i="23"/>
  <c r="D1690" i="23"/>
  <c r="F1690" i="23"/>
  <c r="G1690" i="23"/>
  <c r="A1691" i="23"/>
  <c r="B1691" i="23"/>
  <c r="C1691" i="23"/>
  <c r="D1691" i="23"/>
  <c r="F1691" i="23"/>
  <c r="G1691" i="23"/>
  <c r="A1692" i="23"/>
  <c r="B1692" i="23"/>
  <c r="C1692" i="23"/>
  <c r="D1692" i="23"/>
  <c r="F1692" i="23"/>
  <c r="G1692" i="23"/>
  <c r="A1693" i="23"/>
  <c r="B1693" i="23"/>
  <c r="C1693" i="23"/>
  <c r="D1693" i="23"/>
  <c r="F1693" i="23"/>
  <c r="G1693" i="23"/>
  <c r="A1694" i="23"/>
  <c r="B1694" i="23"/>
  <c r="C1694" i="23"/>
  <c r="D1694" i="23"/>
  <c r="F1694" i="23"/>
  <c r="G1694" i="23"/>
  <c r="A1695" i="23"/>
  <c r="B1695" i="23"/>
  <c r="C1695" i="23"/>
  <c r="D1695" i="23"/>
  <c r="F1695" i="23"/>
  <c r="G1695" i="23"/>
  <c r="A1696" i="23"/>
  <c r="B1696" i="23"/>
  <c r="C1696" i="23"/>
  <c r="D1696" i="23"/>
  <c r="F1696" i="23"/>
  <c r="G1696" i="23"/>
  <c r="A1697" i="23"/>
  <c r="B1697" i="23"/>
  <c r="C1697" i="23"/>
  <c r="D1697" i="23"/>
  <c r="F1697" i="23"/>
  <c r="G1697" i="23"/>
  <c r="A1698" i="23"/>
  <c r="B1698" i="23"/>
  <c r="C1698" i="23"/>
  <c r="D1698" i="23"/>
  <c r="F1698" i="23"/>
  <c r="G1698" i="23"/>
  <c r="A1699" i="23"/>
  <c r="B1699" i="23"/>
  <c r="C1699" i="23"/>
  <c r="D1699" i="23"/>
  <c r="F1699" i="23"/>
  <c r="G1699" i="23"/>
  <c r="A1700" i="23"/>
  <c r="B1700" i="23"/>
  <c r="C1700" i="23"/>
  <c r="D1700" i="23"/>
  <c r="F1700" i="23"/>
  <c r="G1700" i="23"/>
  <c r="A1701" i="23"/>
  <c r="B1701" i="23"/>
  <c r="C1701" i="23"/>
  <c r="D1701" i="23"/>
  <c r="F1701" i="23"/>
  <c r="G1701" i="23"/>
  <c r="A1702" i="23"/>
  <c r="B1702" i="23"/>
  <c r="C1702" i="23"/>
  <c r="D1702" i="23"/>
  <c r="F1702" i="23"/>
  <c r="G1702" i="23"/>
  <c r="A1703" i="23"/>
  <c r="B1703" i="23"/>
  <c r="C1703" i="23"/>
  <c r="D1703" i="23"/>
  <c r="F1703" i="23"/>
  <c r="G1703" i="23"/>
  <c r="A1704" i="23"/>
  <c r="B1704" i="23"/>
  <c r="C1704" i="23"/>
  <c r="D1704" i="23"/>
  <c r="F1704" i="23"/>
  <c r="G1704" i="23"/>
  <c r="A1705" i="23"/>
  <c r="B1705" i="23"/>
  <c r="C1705" i="23"/>
  <c r="D1705" i="23"/>
  <c r="F1705" i="23"/>
  <c r="G1705" i="23"/>
  <c r="A1706" i="23"/>
  <c r="B1706" i="23"/>
  <c r="C1706" i="23"/>
  <c r="D1706" i="23"/>
  <c r="F1706" i="23"/>
  <c r="G1706" i="23"/>
  <c r="A1707" i="23"/>
  <c r="B1707" i="23"/>
  <c r="C1707" i="23"/>
  <c r="D1707" i="23"/>
  <c r="F1707" i="23"/>
  <c r="G1707" i="23"/>
  <c r="A1708" i="23"/>
  <c r="B1708" i="23"/>
  <c r="C1708" i="23"/>
  <c r="D1708" i="23"/>
  <c r="F1708" i="23"/>
  <c r="G1708" i="23"/>
  <c r="A1709" i="23"/>
  <c r="B1709" i="23"/>
  <c r="C1709" i="23"/>
  <c r="D1709" i="23"/>
  <c r="F1709" i="23"/>
  <c r="G1709" i="23"/>
  <c r="A1710" i="23"/>
  <c r="B1710" i="23"/>
  <c r="C1710" i="23"/>
  <c r="D1710" i="23"/>
  <c r="F1710" i="23"/>
  <c r="G1710" i="23"/>
  <c r="A1711" i="23"/>
  <c r="B1711" i="23"/>
  <c r="C1711" i="23"/>
  <c r="D1711" i="23"/>
  <c r="F1711" i="23"/>
  <c r="G1711" i="23"/>
  <c r="A1712" i="23"/>
  <c r="B1712" i="23"/>
  <c r="C1712" i="23"/>
  <c r="D1712" i="23"/>
  <c r="F1712" i="23"/>
  <c r="G1712" i="23"/>
  <c r="A1713" i="23"/>
  <c r="B1713" i="23"/>
  <c r="C1713" i="23"/>
  <c r="D1713" i="23"/>
  <c r="F1713" i="23"/>
  <c r="G1713" i="23"/>
  <c r="A1714" i="23"/>
  <c r="B1714" i="23"/>
  <c r="C1714" i="23"/>
  <c r="D1714" i="23"/>
  <c r="F1714" i="23"/>
  <c r="G1714" i="23"/>
  <c r="A1715" i="23"/>
  <c r="B1715" i="23"/>
  <c r="C1715" i="23"/>
  <c r="D1715" i="23"/>
  <c r="F1715" i="23"/>
  <c r="G1715" i="23"/>
  <c r="A1716" i="23"/>
  <c r="B1716" i="23"/>
  <c r="C1716" i="23"/>
  <c r="D1716" i="23"/>
  <c r="F1716" i="23"/>
  <c r="G1716" i="23"/>
  <c r="A1717" i="23"/>
  <c r="B1717" i="23"/>
  <c r="C1717" i="23"/>
  <c r="D1717" i="23"/>
  <c r="F1717" i="23"/>
  <c r="G1717" i="23"/>
  <c r="A1718" i="23"/>
  <c r="B1718" i="23"/>
  <c r="C1718" i="23"/>
  <c r="D1718" i="23"/>
  <c r="F1718" i="23"/>
  <c r="G1718" i="23"/>
  <c r="A1719" i="23"/>
  <c r="B1719" i="23"/>
  <c r="C1719" i="23"/>
  <c r="D1719" i="23"/>
  <c r="F1719" i="23"/>
  <c r="G1719" i="23"/>
  <c r="A1720" i="23"/>
  <c r="B1720" i="23"/>
  <c r="C1720" i="23"/>
  <c r="D1720" i="23"/>
  <c r="F1720" i="23"/>
  <c r="G1720" i="23"/>
  <c r="A1721" i="23"/>
  <c r="B1721" i="23"/>
  <c r="C1721" i="23"/>
  <c r="D1721" i="23"/>
  <c r="F1721" i="23"/>
  <c r="G1721" i="23"/>
  <c r="A1722" i="23"/>
  <c r="B1722" i="23"/>
  <c r="C1722" i="23"/>
  <c r="D1722" i="23"/>
  <c r="F1722" i="23"/>
  <c r="G1722" i="23"/>
  <c r="A1723" i="23"/>
  <c r="B1723" i="23"/>
  <c r="C1723" i="23"/>
  <c r="D1723" i="23"/>
  <c r="F1723" i="23"/>
  <c r="G1723" i="23"/>
  <c r="A1724" i="23"/>
  <c r="B1724" i="23"/>
  <c r="C1724" i="23"/>
  <c r="D1724" i="23"/>
  <c r="F1724" i="23"/>
  <c r="G1724" i="23"/>
  <c r="A1725" i="23"/>
  <c r="B1725" i="23"/>
  <c r="C1725" i="23"/>
  <c r="D1725" i="23"/>
  <c r="F1725" i="23"/>
  <c r="G1725" i="23"/>
  <c r="A1726" i="23"/>
  <c r="B1726" i="23"/>
  <c r="C1726" i="23"/>
  <c r="D1726" i="23"/>
  <c r="F1726" i="23"/>
  <c r="G1726" i="23"/>
  <c r="A1727" i="23"/>
  <c r="B1727" i="23"/>
  <c r="C1727" i="23"/>
  <c r="D1727" i="23"/>
  <c r="F1727" i="23"/>
  <c r="G1727" i="23"/>
  <c r="A1728" i="23"/>
  <c r="B1728" i="23"/>
  <c r="C1728" i="23"/>
  <c r="D1728" i="23"/>
  <c r="F1728" i="23"/>
  <c r="G1728" i="23"/>
  <c r="A1729" i="23"/>
  <c r="B1729" i="23"/>
  <c r="C1729" i="23"/>
  <c r="D1729" i="23"/>
  <c r="F1729" i="23"/>
  <c r="G1729" i="23"/>
  <c r="A1730" i="23"/>
  <c r="B1730" i="23"/>
  <c r="C1730" i="23"/>
  <c r="D1730" i="23"/>
  <c r="F1730" i="23"/>
  <c r="G1730" i="23"/>
  <c r="A1731" i="23"/>
  <c r="B1731" i="23"/>
  <c r="C1731" i="23"/>
  <c r="D1731" i="23"/>
  <c r="F1731" i="23"/>
  <c r="G1731" i="23"/>
  <c r="A1732" i="23"/>
  <c r="B1732" i="23"/>
  <c r="C1732" i="23"/>
  <c r="D1732" i="23"/>
  <c r="F1732" i="23"/>
  <c r="G1732" i="23"/>
  <c r="A1733" i="23"/>
  <c r="B1733" i="23"/>
  <c r="C1733" i="23"/>
  <c r="D1733" i="23"/>
  <c r="F1733" i="23"/>
  <c r="G1733" i="23"/>
  <c r="A1734" i="23"/>
  <c r="B1734" i="23"/>
  <c r="C1734" i="23"/>
  <c r="D1734" i="23"/>
  <c r="F1734" i="23"/>
  <c r="G1734" i="23"/>
  <c r="A1735" i="23"/>
  <c r="B1735" i="23"/>
  <c r="C1735" i="23"/>
  <c r="D1735" i="23"/>
  <c r="F1735" i="23"/>
  <c r="G1735" i="23"/>
  <c r="A1736" i="23"/>
  <c r="B1736" i="23"/>
  <c r="C1736" i="23"/>
  <c r="D1736" i="23"/>
  <c r="F1736" i="23"/>
  <c r="G1736" i="23"/>
  <c r="A1737" i="23"/>
  <c r="B1737" i="23"/>
  <c r="C1737" i="23"/>
  <c r="D1737" i="23"/>
  <c r="F1737" i="23"/>
  <c r="G1737" i="23"/>
  <c r="A1738" i="23"/>
  <c r="B1738" i="23"/>
  <c r="C1738" i="23"/>
  <c r="D1738" i="23"/>
  <c r="F1738" i="23"/>
  <c r="G1738" i="23"/>
  <c r="A1739" i="23"/>
  <c r="B1739" i="23"/>
  <c r="C1739" i="23"/>
  <c r="D1739" i="23"/>
  <c r="F1739" i="23"/>
  <c r="G1739" i="23"/>
  <c r="A1740" i="23"/>
  <c r="B1740" i="23"/>
  <c r="C1740" i="23"/>
  <c r="D1740" i="23"/>
  <c r="F1740" i="23"/>
  <c r="G1740" i="23"/>
  <c r="A1741" i="23"/>
  <c r="B1741" i="23"/>
  <c r="C1741" i="23"/>
  <c r="D1741" i="23"/>
  <c r="F1741" i="23"/>
  <c r="G1741" i="23"/>
  <c r="A1742" i="23"/>
  <c r="B1742" i="23"/>
  <c r="C1742" i="23"/>
  <c r="D1742" i="23"/>
  <c r="F1742" i="23"/>
  <c r="G1742" i="23"/>
  <c r="A1743" i="23"/>
  <c r="B1743" i="23"/>
  <c r="C1743" i="23"/>
  <c r="D1743" i="23"/>
  <c r="F1743" i="23"/>
  <c r="G1743" i="23"/>
  <c r="A1744" i="23"/>
  <c r="B1744" i="23"/>
  <c r="C1744" i="23"/>
  <c r="D1744" i="23"/>
  <c r="F1744" i="23"/>
  <c r="G1744" i="23"/>
  <c r="A1745" i="23"/>
  <c r="B1745" i="23"/>
  <c r="C1745" i="23"/>
  <c r="D1745" i="23"/>
  <c r="F1745" i="23"/>
  <c r="G1745" i="23"/>
  <c r="A1746" i="23"/>
  <c r="B1746" i="23"/>
  <c r="C1746" i="23"/>
  <c r="D1746" i="23"/>
  <c r="F1746" i="23"/>
  <c r="G1746" i="23"/>
  <c r="A1747" i="23"/>
  <c r="B1747" i="23"/>
  <c r="C1747" i="23"/>
  <c r="D1747" i="23"/>
  <c r="F1747" i="23"/>
  <c r="G1747" i="23"/>
  <c r="A1748" i="23"/>
  <c r="B1748" i="23"/>
  <c r="C1748" i="23"/>
  <c r="D1748" i="23"/>
  <c r="F1748" i="23"/>
  <c r="G1748" i="23"/>
  <c r="A1749" i="23"/>
  <c r="B1749" i="23"/>
  <c r="C1749" i="23"/>
  <c r="D1749" i="23"/>
  <c r="F1749" i="23"/>
  <c r="G1749" i="23"/>
  <c r="A1750" i="23"/>
  <c r="B1750" i="23"/>
  <c r="C1750" i="23"/>
  <c r="D1750" i="23"/>
  <c r="F1750" i="23"/>
  <c r="G1750" i="23"/>
  <c r="A1751" i="23"/>
  <c r="B1751" i="23"/>
  <c r="C1751" i="23"/>
  <c r="D1751" i="23"/>
  <c r="F1751" i="23"/>
  <c r="G1751" i="23"/>
  <c r="A1752" i="23"/>
  <c r="B1752" i="23"/>
  <c r="C1752" i="23"/>
  <c r="D1752" i="23"/>
  <c r="F1752" i="23"/>
  <c r="G1752" i="23"/>
  <c r="A1753" i="23"/>
  <c r="B1753" i="23"/>
  <c r="C1753" i="23"/>
  <c r="D1753" i="23"/>
  <c r="F1753" i="23"/>
  <c r="G1753" i="23"/>
  <c r="A1754" i="23"/>
  <c r="B1754" i="23"/>
  <c r="C1754" i="23"/>
  <c r="D1754" i="23"/>
  <c r="F1754" i="23"/>
  <c r="G1754" i="23"/>
  <c r="A1755" i="23"/>
  <c r="B1755" i="23"/>
  <c r="C1755" i="23"/>
  <c r="D1755" i="23"/>
  <c r="F1755" i="23"/>
  <c r="G1755" i="23"/>
  <c r="A1756" i="23"/>
  <c r="B1756" i="23"/>
  <c r="C1756" i="23"/>
  <c r="D1756" i="23"/>
  <c r="F1756" i="23"/>
  <c r="G1756" i="23"/>
  <c r="A1757" i="23"/>
  <c r="B1757" i="23"/>
  <c r="C1757" i="23"/>
  <c r="D1757" i="23"/>
  <c r="F1757" i="23"/>
  <c r="G1757" i="23"/>
  <c r="A1758" i="23"/>
  <c r="B1758" i="23"/>
  <c r="C1758" i="23"/>
  <c r="D1758" i="23"/>
  <c r="F1758" i="23"/>
  <c r="G1758" i="23"/>
  <c r="A1759" i="23"/>
  <c r="B1759" i="23"/>
  <c r="C1759" i="23"/>
  <c r="D1759" i="23"/>
  <c r="F1759" i="23"/>
  <c r="G1759" i="23"/>
  <c r="A1760" i="23"/>
  <c r="B1760" i="23"/>
  <c r="C1760" i="23"/>
  <c r="D1760" i="23"/>
  <c r="F1760" i="23"/>
  <c r="G1760" i="23"/>
  <c r="A1761" i="23"/>
  <c r="B1761" i="23"/>
  <c r="C1761" i="23"/>
  <c r="D1761" i="23"/>
  <c r="F1761" i="23"/>
  <c r="G1761" i="23"/>
  <c r="A1762" i="23"/>
  <c r="B1762" i="23"/>
  <c r="C1762" i="23"/>
  <c r="D1762" i="23"/>
  <c r="F1762" i="23"/>
  <c r="G1762" i="23"/>
  <c r="A1763" i="23"/>
  <c r="B1763" i="23"/>
  <c r="C1763" i="23"/>
  <c r="D1763" i="23"/>
  <c r="F1763" i="23"/>
  <c r="G1763" i="23"/>
  <c r="A1764" i="23"/>
  <c r="B1764" i="23"/>
  <c r="C1764" i="23"/>
  <c r="D1764" i="23"/>
  <c r="F1764" i="23"/>
  <c r="G1764" i="23"/>
  <c r="A1765" i="23"/>
  <c r="B1765" i="23"/>
  <c r="C1765" i="23"/>
  <c r="D1765" i="23"/>
  <c r="F1765" i="23"/>
  <c r="G1765" i="23"/>
  <c r="A1766" i="23"/>
  <c r="B1766" i="23"/>
  <c r="C1766" i="23"/>
  <c r="D1766" i="23"/>
  <c r="F1766" i="23"/>
  <c r="G1766" i="23"/>
  <c r="A1767" i="23"/>
  <c r="B1767" i="23"/>
  <c r="C1767" i="23"/>
  <c r="D1767" i="23"/>
  <c r="F1767" i="23"/>
  <c r="G1767" i="23"/>
  <c r="A1768" i="23"/>
  <c r="B1768" i="23"/>
  <c r="C1768" i="23"/>
  <c r="D1768" i="23"/>
  <c r="F1768" i="23"/>
  <c r="G1768" i="23"/>
  <c r="A1769" i="23"/>
  <c r="B1769" i="23"/>
  <c r="C1769" i="23"/>
  <c r="D1769" i="23"/>
  <c r="F1769" i="23"/>
  <c r="G1769" i="23"/>
  <c r="A1770" i="23"/>
  <c r="B1770" i="23"/>
  <c r="C1770" i="23"/>
  <c r="D1770" i="23"/>
  <c r="F1770" i="23"/>
  <c r="G1770" i="23"/>
  <c r="A1771" i="23"/>
  <c r="B1771" i="23"/>
  <c r="C1771" i="23"/>
  <c r="D1771" i="23"/>
  <c r="F1771" i="23"/>
  <c r="G1771" i="23"/>
  <c r="A1772" i="23"/>
  <c r="B1772" i="23"/>
  <c r="C1772" i="23"/>
  <c r="D1772" i="23"/>
  <c r="F1772" i="23"/>
  <c r="G1772" i="23"/>
  <c r="A1773" i="23"/>
  <c r="B1773" i="23"/>
  <c r="C1773" i="23"/>
  <c r="D1773" i="23"/>
  <c r="F1773" i="23"/>
  <c r="G1773" i="23"/>
  <c r="A1774" i="23"/>
  <c r="B1774" i="23"/>
  <c r="C1774" i="23"/>
  <c r="D1774" i="23"/>
  <c r="F1774" i="23"/>
  <c r="G1774" i="23"/>
  <c r="A1775" i="23"/>
  <c r="B1775" i="23"/>
  <c r="C1775" i="23"/>
  <c r="D1775" i="23"/>
  <c r="F1775" i="23"/>
  <c r="G1775" i="23"/>
  <c r="A1776" i="23"/>
  <c r="B1776" i="23"/>
  <c r="C1776" i="23"/>
  <c r="D1776" i="23"/>
  <c r="F1776" i="23"/>
  <c r="G1776" i="23"/>
  <c r="A1777" i="23"/>
  <c r="B1777" i="23"/>
  <c r="C1777" i="23"/>
  <c r="D1777" i="23"/>
  <c r="F1777" i="23"/>
  <c r="G1777" i="23"/>
  <c r="A1778" i="23"/>
  <c r="B1778" i="23"/>
  <c r="C1778" i="23"/>
  <c r="D1778" i="23"/>
  <c r="F1778" i="23"/>
  <c r="G1778" i="23"/>
  <c r="A1779" i="23"/>
  <c r="B1779" i="23"/>
  <c r="C1779" i="23"/>
  <c r="D1779" i="23"/>
  <c r="F1779" i="23"/>
  <c r="G1779" i="23"/>
  <c r="A1780" i="23"/>
  <c r="B1780" i="23"/>
  <c r="C1780" i="23"/>
  <c r="D1780" i="23"/>
  <c r="F1780" i="23"/>
  <c r="G1780" i="23"/>
  <c r="A1781" i="23"/>
  <c r="B1781" i="23"/>
  <c r="C1781" i="23"/>
  <c r="D1781" i="23"/>
  <c r="F1781" i="23"/>
  <c r="G1781" i="23"/>
  <c r="A1782" i="23"/>
  <c r="B1782" i="23"/>
  <c r="C1782" i="23"/>
  <c r="D1782" i="23"/>
  <c r="F1782" i="23"/>
  <c r="G1782" i="23"/>
  <c r="A1783" i="23"/>
  <c r="C379" i="23" s="1"/>
  <c r="B1783" i="23"/>
  <c r="C1783" i="23"/>
  <c r="D1783" i="23"/>
  <c r="F1783" i="23"/>
  <c r="G1783" i="23"/>
  <c r="A1784" i="23"/>
  <c r="B1784" i="23"/>
  <c r="C1784" i="23"/>
  <c r="D1784" i="23"/>
  <c r="F1784" i="23"/>
  <c r="G1784" i="23"/>
  <c r="A1785" i="23"/>
  <c r="B1785" i="23"/>
  <c r="C1785" i="23"/>
  <c r="D1785" i="23"/>
  <c r="F1785" i="23"/>
  <c r="G1785" i="23"/>
  <c r="A1786" i="23"/>
  <c r="F382" i="23" s="1"/>
  <c r="B1786" i="23"/>
  <c r="C1786" i="23"/>
  <c r="D1786" i="23"/>
  <c r="F1786" i="23"/>
  <c r="G1786" i="23"/>
  <c r="A1787" i="23"/>
  <c r="C383" i="23" s="1"/>
  <c r="B1787" i="23"/>
  <c r="C1787" i="23"/>
  <c r="D1787" i="23"/>
  <c r="F1787" i="23"/>
  <c r="G1787" i="23"/>
  <c r="A1788" i="23"/>
  <c r="B1788" i="23"/>
  <c r="C1788" i="23"/>
  <c r="D1788" i="23"/>
  <c r="F1788" i="23"/>
  <c r="G1788" i="23"/>
  <c r="A1789" i="23"/>
  <c r="B1789" i="23"/>
  <c r="C1789" i="23"/>
  <c r="D1789" i="23"/>
  <c r="F1789" i="23"/>
  <c r="G1789" i="23"/>
  <c r="A1790" i="23"/>
  <c r="F386" i="23" s="1"/>
  <c r="B1790" i="23"/>
  <c r="C1790" i="23"/>
  <c r="D1790" i="23"/>
  <c r="F1790" i="23"/>
  <c r="G1790" i="23"/>
  <c r="A1791" i="23"/>
  <c r="C387" i="23" s="1"/>
  <c r="B1791" i="23"/>
  <c r="C1791" i="23"/>
  <c r="D1791" i="23"/>
  <c r="F1791" i="23"/>
  <c r="G1791" i="23"/>
  <c r="A1792" i="23"/>
  <c r="B1792" i="23"/>
  <c r="C1792" i="23"/>
  <c r="D1792" i="23"/>
  <c r="F1792" i="23"/>
  <c r="G1792" i="23"/>
  <c r="A1793" i="23"/>
  <c r="B1793" i="23"/>
  <c r="C1793" i="23"/>
  <c r="D1793" i="23"/>
  <c r="F1793" i="23"/>
  <c r="G1793" i="23"/>
  <c r="A1794" i="23"/>
  <c r="F390" i="23" s="1"/>
  <c r="B1794" i="23"/>
  <c r="C1794" i="23"/>
  <c r="D1794" i="23"/>
  <c r="F1794" i="23"/>
  <c r="G1794" i="23"/>
  <c r="A1795" i="23"/>
  <c r="C391" i="23" s="1"/>
  <c r="B1795" i="23"/>
  <c r="C1795" i="23"/>
  <c r="D1795" i="23"/>
  <c r="F1795" i="23"/>
  <c r="G1795" i="23"/>
  <c r="A1796" i="23"/>
  <c r="B1796" i="23"/>
  <c r="C1796" i="23"/>
  <c r="D1796" i="23"/>
  <c r="F1796" i="23"/>
  <c r="G1796" i="23"/>
  <c r="A1797" i="23"/>
  <c r="B1797" i="23"/>
  <c r="C1797" i="23"/>
  <c r="D1797" i="23"/>
  <c r="F1797" i="23"/>
  <c r="G1797" i="23"/>
  <c r="A1798" i="23"/>
  <c r="F394" i="23" s="1"/>
  <c r="B1798" i="23"/>
  <c r="C1798" i="23"/>
  <c r="D1798" i="23"/>
  <c r="F1798" i="23"/>
  <c r="G1798" i="23"/>
  <c r="A1799" i="23"/>
  <c r="C395" i="23" s="1"/>
  <c r="B1799" i="23"/>
  <c r="C1799" i="23"/>
  <c r="D1799" i="23"/>
  <c r="F1799" i="23"/>
  <c r="G1799" i="23"/>
  <c r="A1800" i="23"/>
  <c r="B1800" i="23"/>
  <c r="C1800" i="23"/>
  <c r="D1800" i="23"/>
  <c r="F1800" i="23"/>
  <c r="G1800" i="23"/>
  <c r="A1801" i="23"/>
  <c r="B1801" i="23"/>
  <c r="C1801" i="23"/>
  <c r="D1801" i="23"/>
  <c r="F1801" i="23"/>
  <c r="G1801" i="23"/>
  <c r="A1802" i="23"/>
  <c r="F398" i="23" s="1"/>
  <c r="B1802" i="23"/>
  <c r="C1802" i="23"/>
  <c r="D1802" i="23"/>
  <c r="F1802" i="23"/>
  <c r="G1802" i="23"/>
  <c r="A1803" i="23"/>
  <c r="C399" i="23" s="1"/>
  <c r="B1803" i="23"/>
  <c r="C1803" i="23"/>
  <c r="D1803" i="23"/>
  <c r="F1803" i="23"/>
  <c r="G1803" i="23"/>
  <c r="A1804" i="23"/>
  <c r="B1804" i="23"/>
  <c r="C1804" i="23"/>
  <c r="D1804" i="23"/>
  <c r="F1804" i="23"/>
  <c r="G1804" i="23"/>
  <c r="A1805" i="23"/>
  <c r="B1805" i="23"/>
  <c r="C1805" i="23"/>
  <c r="D1805" i="23"/>
  <c r="F1805" i="23"/>
  <c r="G1805" i="23"/>
  <c r="A1806" i="23"/>
  <c r="F402" i="23" s="1"/>
  <c r="B1806" i="23"/>
  <c r="C1806" i="23"/>
  <c r="D1806" i="23"/>
  <c r="F1806" i="23"/>
  <c r="G1806" i="23"/>
  <c r="A1807" i="23"/>
  <c r="C403" i="23" s="1"/>
  <c r="B1807" i="23"/>
  <c r="C1807" i="23"/>
  <c r="D1807" i="23"/>
  <c r="F1807" i="23"/>
  <c r="G1807" i="23"/>
  <c r="A1808" i="23"/>
  <c r="B1808" i="23"/>
  <c r="C1808" i="23"/>
  <c r="D1808" i="23"/>
  <c r="F1808" i="23"/>
  <c r="G1808" i="23"/>
  <c r="A1809" i="23"/>
  <c r="B1809" i="23"/>
  <c r="C1809" i="23"/>
  <c r="D1809" i="23"/>
  <c r="F1809" i="23"/>
  <c r="G1809" i="23"/>
  <c r="A1810" i="23"/>
  <c r="F406" i="23" s="1"/>
  <c r="B1810" i="23"/>
  <c r="C1810" i="23"/>
  <c r="D1810" i="23"/>
  <c r="F1810" i="23"/>
  <c r="G1810" i="23"/>
  <c r="A1811" i="23"/>
  <c r="C407" i="23" s="1"/>
  <c r="B1811" i="23"/>
  <c r="C1811" i="23"/>
  <c r="D1811" i="23"/>
  <c r="F1811" i="23"/>
  <c r="G1811" i="23"/>
  <c r="A1812" i="23"/>
  <c r="B1812" i="23"/>
  <c r="C1812" i="23"/>
  <c r="D1812" i="23"/>
  <c r="F1812" i="23"/>
  <c r="G1812" i="23"/>
  <c r="A1813" i="23"/>
  <c r="B1813" i="23"/>
  <c r="C1813" i="23"/>
  <c r="D1813" i="23"/>
  <c r="F1813" i="23"/>
  <c r="G1813" i="23"/>
  <c r="A1814" i="23"/>
  <c r="F410" i="23" s="1"/>
  <c r="B1814" i="23"/>
  <c r="C1814" i="23"/>
  <c r="D1814" i="23"/>
  <c r="F1814" i="23"/>
  <c r="G1814" i="23"/>
  <c r="A1815" i="23"/>
  <c r="C411" i="23" s="1"/>
  <c r="B1815" i="23"/>
  <c r="C1815" i="23"/>
  <c r="D1815" i="23"/>
  <c r="F1815" i="23"/>
  <c r="G1815" i="23"/>
  <c r="A1816" i="23"/>
  <c r="B1816" i="23"/>
  <c r="C1816" i="23"/>
  <c r="D1816" i="23"/>
  <c r="F1816" i="23"/>
  <c r="G1816" i="23"/>
  <c r="A1817" i="23"/>
  <c r="B1817" i="23"/>
  <c r="C1817" i="23"/>
  <c r="D1817" i="23"/>
  <c r="F1817" i="23"/>
  <c r="G1817" i="23"/>
  <c r="A1818" i="23"/>
  <c r="F414" i="23" s="1"/>
  <c r="B1818" i="23"/>
  <c r="C1818" i="23"/>
  <c r="D1818" i="23"/>
  <c r="F1818" i="23"/>
  <c r="G1818" i="23"/>
  <c r="A1819" i="23"/>
  <c r="C415" i="23" s="1"/>
  <c r="B1819" i="23"/>
  <c r="C1819" i="23"/>
  <c r="D1819" i="23"/>
  <c r="F1819" i="23"/>
  <c r="G1819" i="23"/>
  <c r="A1820" i="23"/>
  <c r="B1820" i="23"/>
  <c r="C1820" i="23"/>
  <c r="D1820" i="23"/>
  <c r="F1820" i="23"/>
  <c r="G1820" i="23"/>
  <c r="A1821" i="23"/>
  <c r="B1821" i="23"/>
  <c r="C1821" i="23"/>
  <c r="D1821" i="23"/>
  <c r="F1821" i="23"/>
  <c r="G1821" i="23"/>
  <c r="A1822" i="23"/>
  <c r="F418" i="23" s="1"/>
  <c r="B1822" i="23"/>
  <c r="C1822" i="23"/>
  <c r="D1822" i="23"/>
  <c r="F1822" i="23"/>
  <c r="G1822" i="23"/>
  <c r="A1823" i="23"/>
  <c r="C419" i="23" s="1"/>
  <c r="B1823" i="23"/>
  <c r="C1823" i="23"/>
  <c r="D1823" i="23"/>
  <c r="F1823" i="23"/>
  <c r="G1823" i="23"/>
  <c r="A1824" i="23"/>
  <c r="B1824" i="23"/>
  <c r="C1824" i="23"/>
  <c r="D1824" i="23"/>
  <c r="F1824" i="23"/>
  <c r="G1824" i="23"/>
  <c r="A1825" i="23"/>
  <c r="B1825" i="23"/>
  <c r="C1825" i="23"/>
  <c r="D1825" i="23"/>
  <c r="F1825" i="23"/>
  <c r="G1825" i="23"/>
  <c r="A1826" i="23"/>
  <c r="F422" i="23" s="1"/>
  <c r="B1826" i="23"/>
  <c r="C1826" i="23"/>
  <c r="D1826" i="23"/>
  <c r="F1826" i="23"/>
  <c r="G1826" i="23"/>
  <c r="A1827" i="23"/>
  <c r="C423" i="23" s="1"/>
  <c r="B1827" i="23"/>
  <c r="C1827" i="23"/>
  <c r="D1827" i="23"/>
  <c r="F1827" i="23"/>
  <c r="G1827" i="23"/>
  <c r="A1828" i="23"/>
  <c r="B1828" i="23"/>
  <c r="C1828" i="23"/>
  <c r="D1828" i="23"/>
  <c r="F1828" i="23"/>
  <c r="G1828" i="23"/>
  <c r="A1829" i="23"/>
  <c r="B1829" i="23"/>
  <c r="C1829" i="23"/>
  <c r="D1829" i="23"/>
  <c r="F1829" i="23"/>
  <c r="G1829" i="23"/>
  <c r="A1830" i="23"/>
  <c r="F426" i="23" s="1"/>
  <c r="B1830" i="23"/>
  <c r="C1830" i="23"/>
  <c r="D1830" i="23"/>
  <c r="F1830" i="23"/>
  <c r="G1830" i="23"/>
  <c r="A1831" i="23"/>
  <c r="C427" i="23" s="1"/>
  <c r="B1831" i="23"/>
  <c r="C1831" i="23"/>
  <c r="D1831" i="23"/>
  <c r="F1831" i="23"/>
  <c r="G1831" i="23"/>
  <c r="A1832" i="23"/>
  <c r="B1832" i="23"/>
  <c r="C1832" i="23"/>
  <c r="D1832" i="23"/>
  <c r="F1832" i="23"/>
  <c r="G1832" i="23"/>
  <c r="A1833" i="23"/>
  <c r="B1833" i="23"/>
  <c r="C1833" i="23"/>
  <c r="D1833" i="23"/>
  <c r="F1833" i="23"/>
  <c r="G1833" i="23"/>
  <c r="A1834" i="23"/>
  <c r="F430" i="23" s="1"/>
  <c r="B1834" i="23"/>
  <c r="C1834" i="23"/>
  <c r="D1834" i="23"/>
  <c r="F1834" i="23"/>
  <c r="G1834" i="23"/>
  <c r="A1835" i="23"/>
  <c r="C431" i="23" s="1"/>
  <c r="B1835" i="23"/>
  <c r="C1835" i="23"/>
  <c r="D1835" i="23"/>
  <c r="F1835" i="23"/>
  <c r="G1835" i="23"/>
  <c r="A1836" i="23"/>
  <c r="B1836" i="23"/>
  <c r="C1836" i="23"/>
  <c r="D1836" i="23"/>
  <c r="F1836" i="23"/>
  <c r="G1836" i="23"/>
  <c r="A1837" i="23"/>
  <c r="B1837" i="23"/>
  <c r="C1837" i="23"/>
  <c r="D1837" i="23"/>
  <c r="F1837" i="23"/>
  <c r="G1837" i="23"/>
  <c r="A1838" i="23"/>
  <c r="F434" i="23" s="1"/>
  <c r="B1838" i="23"/>
  <c r="C1838" i="23"/>
  <c r="D1838" i="23"/>
  <c r="F1838" i="23"/>
  <c r="G1838" i="23"/>
  <c r="A1839" i="23"/>
  <c r="C435" i="23" s="1"/>
  <c r="B1839" i="23"/>
  <c r="C1839" i="23"/>
  <c r="D1839" i="23"/>
  <c r="F1839" i="23"/>
  <c r="G1839" i="23"/>
  <c r="A1840" i="23"/>
  <c r="B1840" i="23"/>
  <c r="C1840" i="23"/>
  <c r="D1840" i="23"/>
  <c r="F1840" i="23"/>
  <c r="G1840" i="23"/>
  <c r="A1841" i="23"/>
  <c r="B1841" i="23"/>
  <c r="C1841" i="23"/>
  <c r="D1841" i="23"/>
  <c r="F1841" i="23"/>
  <c r="G1841" i="23"/>
  <c r="A1842" i="23"/>
  <c r="F438" i="23" s="1"/>
  <c r="B1842" i="23"/>
  <c r="C1842" i="23"/>
  <c r="D1842" i="23"/>
  <c r="F1842" i="23"/>
  <c r="G1842" i="23"/>
  <c r="A1843" i="23"/>
  <c r="C439" i="23" s="1"/>
  <c r="B1843" i="23"/>
  <c r="C1843" i="23"/>
  <c r="D1843" i="23"/>
  <c r="F1843" i="23"/>
  <c r="G1843" i="23"/>
  <c r="A1844" i="23"/>
  <c r="B1844" i="23"/>
  <c r="C1844" i="23"/>
  <c r="D1844" i="23"/>
  <c r="F1844" i="23"/>
  <c r="G1844" i="23"/>
  <c r="A1845" i="23"/>
  <c r="B1845" i="23"/>
  <c r="C1845" i="23"/>
  <c r="D1845" i="23"/>
  <c r="F1845" i="23"/>
  <c r="G1845" i="23"/>
  <c r="A1846" i="23"/>
  <c r="F442" i="23" s="1"/>
  <c r="B1846" i="23"/>
  <c r="C1846" i="23"/>
  <c r="D1846" i="23"/>
  <c r="F1846" i="23"/>
  <c r="G1846" i="23"/>
  <c r="A1847" i="23"/>
  <c r="C443" i="23" s="1"/>
  <c r="B1847" i="23"/>
  <c r="C1847" i="23"/>
  <c r="D1847" i="23"/>
  <c r="F1847" i="23"/>
  <c r="G1847" i="23"/>
  <c r="A1848" i="23"/>
  <c r="B1848" i="23"/>
  <c r="C1848" i="23"/>
  <c r="D1848" i="23"/>
  <c r="F1848" i="23"/>
  <c r="G1848" i="23"/>
  <c r="A1849" i="23"/>
  <c r="B1849" i="23"/>
  <c r="C1849" i="23"/>
  <c r="D1849" i="23"/>
  <c r="F1849" i="23"/>
  <c r="G1849" i="23"/>
  <c r="A1850" i="23"/>
  <c r="F446" i="23" s="1"/>
  <c r="B1850" i="23"/>
  <c r="C1850" i="23"/>
  <c r="D1850" i="23"/>
  <c r="F1850" i="23"/>
  <c r="G1850" i="23"/>
  <c r="A1851" i="23"/>
  <c r="C447" i="23" s="1"/>
  <c r="B1851" i="23"/>
  <c r="C1851" i="23"/>
  <c r="D1851" i="23"/>
  <c r="F1851" i="23"/>
  <c r="G1851" i="23"/>
  <c r="A1852" i="23"/>
  <c r="B1852" i="23"/>
  <c r="C1852" i="23"/>
  <c r="D1852" i="23"/>
  <c r="F1852" i="23"/>
  <c r="G1852" i="23"/>
  <c r="A1853" i="23"/>
  <c r="B1853" i="23"/>
  <c r="C1853" i="23"/>
  <c r="D1853" i="23"/>
  <c r="F1853" i="23"/>
  <c r="G1853" i="23"/>
  <c r="A1854" i="23"/>
  <c r="F450" i="23" s="1"/>
  <c r="B1854" i="23"/>
  <c r="C1854" i="23"/>
  <c r="D1854" i="23"/>
  <c r="F1854" i="23"/>
  <c r="G1854" i="23"/>
  <c r="A1855" i="23"/>
  <c r="C451" i="23" s="1"/>
  <c r="B1855" i="23"/>
  <c r="C1855" i="23"/>
  <c r="D1855" i="23"/>
  <c r="F1855" i="23"/>
  <c r="G1855" i="23"/>
  <c r="A1856" i="23"/>
  <c r="B1856" i="23"/>
  <c r="C1856" i="23"/>
  <c r="D1856" i="23"/>
  <c r="F1856" i="23"/>
  <c r="G1856" i="23"/>
  <c r="A1857" i="23"/>
  <c r="B1857" i="23"/>
  <c r="C1857" i="23"/>
  <c r="D1857" i="23"/>
  <c r="F1857" i="23"/>
  <c r="G1857" i="23"/>
  <c r="A1858" i="23"/>
  <c r="F454" i="23" s="1"/>
  <c r="B1858" i="23"/>
  <c r="C1858" i="23"/>
  <c r="D1858" i="23"/>
  <c r="F1858" i="23"/>
  <c r="G1858" i="23"/>
  <c r="A1859" i="23"/>
  <c r="C455" i="23" s="1"/>
  <c r="B1859" i="23"/>
  <c r="C1859" i="23"/>
  <c r="D1859" i="23"/>
  <c r="F1859" i="23"/>
  <c r="G1859" i="23"/>
  <c r="A1860" i="23"/>
  <c r="B1860" i="23"/>
  <c r="C1860" i="23"/>
  <c r="D1860" i="23"/>
  <c r="F1860" i="23"/>
  <c r="G1860" i="23"/>
  <c r="A1861" i="23"/>
  <c r="B1861" i="23"/>
  <c r="C1861" i="23"/>
  <c r="D1861" i="23"/>
  <c r="F1861" i="23"/>
  <c r="G1861" i="23"/>
  <c r="A1862" i="23"/>
  <c r="F458" i="23" s="1"/>
  <c r="B1862" i="23"/>
  <c r="C1862" i="23"/>
  <c r="D1862" i="23"/>
  <c r="F1862" i="23"/>
  <c r="G1862" i="23"/>
  <c r="A1863" i="23"/>
  <c r="C459" i="23" s="1"/>
  <c r="B1863" i="23"/>
  <c r="C1863" i="23"/>
  <c r="D1863" i="23"/>
  <c r="F1863" i="23"/>
  <c r="G1863" i="23"/>
  <c r="A1864" i="23"/>
  <c r="B1864" i="23"/>
  <c r="C1864" i="23"/>
  <c r="D1864" i="23"/>
  <c r="F1864" i="23"/>
  <c r="G1864" i="23"/>
  <c r="A1865" i="23"/>
  <c r="B1865" i="23"/>
  <c r="C1865" i="23"/>
  <c r="D1865" i="23"/>
  <c r="F1865" i="23"/>
  <c r="G1865" i="23"/>
  <c r="A1866" i="23"/>
  <c r="F462" i="23" s="1"/>
  <c r="B1866" i="23"/>
  <c r="C1866" i="23"/>
  <c r="D1866" i="23"/>
  <c r="F1866" i="23"/>
  <c r="G1866" i="23"/>
  <c r="A1867" i="23"/>
  <c r="C463" i="23" s="1"/>
  <c r="B1867" i="23"/>
  <c r="C1867" i="23"/>
  <c r="D1867" i="23"/>
  <c r="F1867" i="23"/>
  <c r="G1867" i="23"/>
  <c r="A1868" i="23"/>
  <c r="B1868" i="23"/>
  <c r="C1868" i="23"/>
  <c r="D1868" i="23"/>
  <c r="F1868" i="23"/>
  <c r="G1868" i="23"/>
  <c r="A1869" i="23"/>
  <c r="B1869" i="23"/>
  <c r="C1869" i="23"/>
  <c r="D1869" i="23"/>
  <c r="F1869" i="23"/>
  <c r="G1869" i="23"/>
  <c r="A1870" i="23"/>
  <c r="F466" i="23" s="1"/>
  <c r="B1870" i="23"/>
  <c r="C1870" i="23"/>
  <c r="D1870" i="23"/>
  <c r="F1870" i="23"/>
  <c r="G1870" i="23"/>
  <c r="A1871" i="23"/>
  <c r="C467" i="23" s="1"/>
  <c r="B1871" i="23"/>
  <c r="C1871" i="23"/>
  <c r="D1871" i="23"/>
  <c r="F1871" i="23"/>
  <c r="G1871" i="23"/>
  <c r="A1872" i="23"/>
  <c r="B1872" i="23"/>
  <c r="C1872" i="23"/>
  <c r="D1872" i="23"/>
  <c r="F1872" i="23"/>
  <c r="G1872" i="23"/>
  <c r="A1873" i="23"/>
  <c r="B1873" i="23"/>
  <c r="C1873" i="23"/>
  <c r="D1873" i="23"/>
  <c r="F1873" i="23"/>
  <c r="G1873" i="23"/>
  <c r="C465" i="23" l="1"/>
  <c r="F465" i="23"/>
  <c r="C437" i="23"/>
  <c r="F437" i="23"/>
  <c r="C377" i="23"/>
  <c r="F377" i="23"/>
  <c r="C361" i="23"/>
  <c r="F361" i="23"/>
  <c r="F333" i="23"/>
  <c r="C333" i="23"/>
  <c r="C321" i="23"/>
  <c r="F321" i="23"/>
  <c r="C309" i="23"/>
  <c r="F309" i="23"/>
  <c r="C265" i="23"/>
  <c r="F265" i="23"/>
  <c r="F173" i="23"/>
  <c r="C173" i="23"/>
  <c r="F137" i="23"/>
  <c r="C137" i="23"/>
  <c r="F109" i="23"/>
  <c r="C109" i="23"/>
  <c r="C57" i="23"/>
  <c r="F57" i="23"/>
  <c r="C41" i="23"/>
  <c r="F41" i="23"/>
  <c r="F459" i="23"/>
  <c r="C454" i="23"/>
  <c r="F443" i="23"/>
  <c r="C438" i="23"/>
  <c r="F427" i="23"/>
  <c r="C422" i="23"/>
  <c r="F411" i="23"/>
  <c r="C406" i="23"/>
  <c r="F395" i="23"/>
  <c r="C390" i="23"/>
  <c r="F379" i="23"/>
  <c r="C433" i="23"/>
  <c r="F433" i="23"/>
  <c r="C421" i="23"/>
  <c r="F421" i="23"/>
  <c r="C409" i="23"/>
  <c r="F409" i="23"/>
  <c r="C385" i="23"/>
  <c r="F385" i="23"/>
  <c r="C373" i="23"/>
  <c r="F373" i="23"/>
  <c r="C357" i="23"/>
  <c r="F357" i="23"/>
  <c r="C341" i="23"/>
  <c r="F341" i="23"/>
  <c r="C313" i="23"/>
  <c r="F313" i="23"/>
  <c r="C229" i="23"/>
  <c r="F229" i="23"/>
  <c r="C201" i="23"/>
  <c r="F201" i="23"/>
  <c r="F185" i="23"/>
  <c r="C185" i="23"/>
  <c r="F141" i="23"/>
  <c r="C141" i="23"/>
  <c r="F113" i="23"/>
  <c r="C113" i="23"/>
  <c r="F97" i="23"/>
  <c r="C97" i="23"/>
  <c r="C81" i="23"/>
  <c r="F81" i="23"/>
  <c r="C53" i="23"/>
  <c r="F53" i="23"/>
  <c r="C9" i="23"/>
  <c r="F9" i="23"/>
  <c r="F378" i="23"/>
  <c r="C378" i="23"/>
  <c r="F370" i="23"/>
  <c r="C370" i="23"/>
  <c r="F362" i="23"/>
  <c r="C362" i="23"/>
  <c r="F354" i="23"/>
  <c r="C354" i="23"/>
  <c r="F346" i="23"/>
  <c r="C346" i="23"/>
  <c r="C338" i="23"/>
  <c r="F338" i="23"/>
  <c r="C330" i="23"/>
  <c r="F330" i="23"/>
  <c r="C322" i="23"/>
  <c r="F322" i="23"/>
  <c r="C314" i="23"/>
  <c r="F314" i="23"/>
  <c r="C306" i="23"/>
  <c r="F306" i="23"/>
  <c r="C298" i="23"/>
  <c r="F298" i="23"/>
  <c r="C294" i="23"/>
  <c r="F294" i="23"/>
  <c r="C278" i="23"/>
  <c r="F278" i="23"/>
  <c r="C274" i="23"/>
  <c r="F274" i="23"/>
  <c r="C266" i="23"/>
  <c r="F266" i="23"/>
  <c r="C254" i="23"/>
  <c r="F254" i="23"/>
  <c r="C246" i="23"/>
  <c r="F246" i="23"/>
  <c r="C238" i="23"/>
  <c r="F238" i="23"/>
  <c r="C234" i="23"/>
  <c r="F234" i="23"/>
  <c r="C226" i="23"/>
  <c r="F226" i="23"/>
  <c r="C218" i="23"/>
  <c r="F218" i="23"/>
  <c r="C210" i="23"/>
  <c r="F210" i="23"/>
  <c r="C198" i="23"/>
  <c r="F198" i="23"/>
  <c r="C190" i="23"/>
  <c r="F190" i="23"/>
  <c r="C182" i="23"/>
  <c r="F182" i="23"/>
  <c r="C178" i="23"/>
  <c r="F178" i="23"/>
  <c r="C170" i="23"/>
  <c r="F170" i="23"/>
  <c r="C162" i="23"/>
  <c r="F162" i="23"/>
  <c r="C154" i="23"/>
  <c r="F154" i="23"/>
  <c r="C142" i="23"/>
  <c r="F142" i="23"/>
  <c r="C134" i="23"/>
  <c r="F134" i="23"/>
  <c r="C126" i="23"/>
  <c r="F126" i="23"/>
  <c r="C122" i="23"/>
  <c r="F122" i="23"/>
  <c r="C110" i="23"/>
  <c r="F110" i="23"/>
  <c r="C102" i="23"/>
  <c r="F102" i="23"/>
  <c r="C94" i="23"/>
  <c r="F94" i="23"/>
  <c r="C86" i="23"/>
  <c r="F86" i="23"/>
  <c r="C78" i="23"/>
  <c r="F78" i="23"/>
  <c r="C62" i="23"/>
  <c r="F62" i="23"/>
  <c r="C58" i="23"/>
  <c r="F58" i="23"/>
  <c r="C54" i="23"/>
  <c r="F54" i="23"/>
  <c r="C42" i="23"/>
  <c r="F42" i="23"/>
  <c r="C34" i="23"/>
  <c r="F34" i="23"/>
  <c r="C22" i="23"/>
  <c r="F22" i="23"/>
  <c r="C14" i="23"/>
  <c r="F14" i="23"/>
  <c r="C6" i="23"/>
  <c r="F6" i="23"/>
  <c r="C2" i="23"/>
  <c r="F2" i="23"/>
  <c r="C466" i="23"/>
  <c r="F455" i="23"/>
  <c r="C450" i="23"/>
  <c r="F439" i="23"/>
  <c r="C434" i="23"/>
  <c r="F423" i="23"/>
  <c r="C418" i="23"/>
  <c r="F407" i="23"/>
  <c r="C402" i="23"/>
  <c r="F391" i="23"/>
  <c r="C386" i="23"/>
  <c r="C461" i="23"/>
  <c r="F461" i="23"/>
  <c r="C445" i="23"/>
  <c r="F445" i="23"/>
  <c r="C429" i="23"/>
  <c r="F429" i="23"/>
  <c r="C413" i="23"/>
  <c r="F413" i="23"/>
  <c r="C397" i="23"/>
  <c r="F397" i="23"/>
  <c r="C381" i="23"/>
  <c r="F381" i="23"/>
  <c r="C365" i="23"/>
  <c r="F365" i="23"/>
  <c r="C349" i="23"/>
  <c r="F349" i="23"/>
  <c r="C337" i="23"/>
  <c r="F337" i="23"/>
  <c r="C305" i="23"/>
  <c r="F305" i="23"/>
  <c r="C277" i="23"/>
  <c r="F277" i="23"/>
  <c r="C249" i="23"/>
  <c r="F249" i="23"/>
  <c r="F221" i="23"/>
  <c r="C221" i="23"/>
  <c r="F149" i="23"/>
  <c r="C149" i="23"/>
  <c r="F117" i="23"/>
  <c r="C117" i="23"/>
  <c r="F89" i="23"/>
  <c r="C89" i="23"/>
  <c r="C77" i="23"/>
  <c r="F77" i="23"/>
  <c r="C37" i="23"/>
  <c r="F37" i="23"/>
  <c r="C25" i="23"/>
  <c r="F25" i="23"/>
  <c r="C13" i="23"/>
  <c r="F13" i="23"/>
  <c r="F374" i="23"/>
  <c r="C374" i="23"/>
  <c r="F366" i="23"/>
  <c r="C366" i="23"/>
  <c r="F358" i="23"/>
  <c r="C358" i="23"/>
  <c r="F350" i="23"/>
  <c r="C350" i="23"/>
  <c r="C342" i="23"/>
  <c r="F342" i="23"/>
  <c r="C334" i="23"/>
  <c r="F334" i="23"/>
  <c r="C326" i="23"/>
  <c r="F326" i="23"/>
  <c r="C318" i="23"/>
  <c r="F318" i="23"/>
  <c r="C310" i="23"/>
  <c r="F310" i="23"/>
  <c r="C302" i="23"/>
  <c r="F302" i="23"/>
  <c r="C290" i="23"/>
  <c r="F290" i="23"/>
  <c r="C286" i="23"/>
  <c r="F286" i="23"/>
  <c r="C282" i="23"/>
  <c r="F282" i="23"/>
  <c r="C270" i="23"/>
  <c r="F270" i="23"/>
  <c r="C262" i="23"/>
  <c r="F262" i="23"/>
  <c r="C258" i="23"/>
  <c r="F258" i="23"/>
  <c r="C250" i="23"/>
  <c r="F250" i="23"/>
  <c r="C242" i="23"/>
  <c r="F242" i="23"/>
  <c r="C230" i="23"/>
  <c r="F230" i="23"/>
  <c r="C222" i="23"/>
  <c r="F222" i="23"/>
  <c r="C214" i="23"/>
  <c r="F214" i="23"/>
  <c r="C206" i="23"/>
  <c r="F206" i="23"/>
  <c r="C202" i="23"/>
  <c r="F202" i="23"/>
  <c r="C194" i="23"/>
  <c r="F194" i="23"/>
  <c r="C186" i="23"/>
  <c r="F186" i="23"/>
  <c r="C174" i="23"/>
  <c r="F174" i="23"/>
  <c r="C166" i="23"/>
  <c r="F166" i="23"/>
  <c r="C158" i="23"/>
  <c r="F158" i="23"/>
  <c r="C150" i="23"/>
  <c r="F150" i="23"/>
  <c r="C146" i="23"/>
  <c r="F146" i="23"/>
  <c r="C138" i="23"/>
  <c r="F138" i="23"/>
  <c r="C130" i="23"/>
  <c r="F130" i="23"/>
  <c r="C118" i="23"/>
  <c r="F118" i="23"/>
  <c r="C114" i="23"/>
  <c r="F114" i="23"/>
  <c r="C106" i="23"/>
  <c r="F106" i="23"/>
  <c r="C98" i="23"/>
  <c r="F98" i="23"/>
  <c r="C90" i="23"/>
  <c r="F90" i="23"/>
  <c r="C82" i="23"/>
  <c r="F82" i="23"/>
  <c r="C74" i="23"/>
  <c r="F74" i="23"/>
  <c r="C70" i="23"/>
  <c r="F70" i="23"/>
  <c r="C66" i="23"/>
  <c r="F66" i="23"/>
  <c r="C50" i="23"/>
  <c r="F50" i="23"/>
  <c r="C46" i="23"/>
  <c r="F46" i="23"/>
  <c r="C38" i="23"/>
  <c r="F38" i="23"/>
  <c r="C30" i="23"/>
  <c r="F30" i="23"/>
  <c r="C26" i="23"/>
  <c r="F26" i="23"/>
  <c r="C18" i="23"/>
  <c r="F18" i="23"/>
  <c r="C10" i="23"/>
  <c r="F10" i="23"/>
  <c r="C469" i="23"/>
  <c r="F469" i="23"/>
  <c r="C441" i="23"/>
  <c r="F441" i="23"/>
  <c r="C401" i="23"/>
  <c r="F401" i="23"/>
  <c r="C345" i="23"/>
  <c r="F345" i="23"/>
  <c r="C329" i="23"/>
  <c r="F329" i="23"/>
  <c r="F301" i="23"/>
  <c r="C301" i="23"/>
  <c r="C257" i="23"/>
  <c r="F257" i="23"/>
  <c r="C241" i="23"/>
  <c r="F241" i="23"/>
  <c r="C209" i="23"/>
  <c r="F209" i="23"/>
  <c r="F133" i="23"/>
  <c r="C133" i="23"/>
  <c r="F105" i="23"/>
  <c r="C105" i="23"/>
  <c r="C61" i="23"/>
  <c r="F61" i="23"/>
  <c r="C45" i="23"/>
  <c r="F45" i="23"/>
  <c r="C29" i="23"/>
  <c r="F29" i="23"/>
  <c r="C371" i="23"/>
  <c r="F371" i="23"/>
  <c r="C367" i="23"/>
  <c r="F367" i="23"/>
  <c r="C359" i="23"/>
  <c r="F359" i="23"/>
  <c r="C343" i="23"/>
  <c r="F343" i="23"/>
  <c r="F339" i="23"/>
  <c r="C339" i="23"/>
  <c r="F331" i="23"/>
  <c r="C331" i="23"/>
  <c r="F323" i="23"/>
  <c r="C323" i="23"/>
  <c r="F315" i="23"/>
  <c r="C315" i="23"/>
  <c r="F307" i="23"/>
  <c r="C307" i="23"/>
  <c r="F299" i="23"/>
  <c r="C299" i="23"/>
  <c r="F295" i="23"/>
  <c r="C295" i="23"/>
  <c r="F291" i="23"/>
  <c r="C291" i="23"/>
  <c r="F275" i="23"/>
  <c r="C275" i="23"/>
  <c r="F263" i="23"/>
  <c r="C263" i="23"/>
  <c r="F243" i="23"/>
  <c r="C243" i="23"/>
  <c r="F239" i="23"/>
  <c r="C239" i="23"/>
  <c r="F223" i="23"/>
  <c r="C223" i="23"/>
  <c r="F215" i="23"/>
  <c r="C215" i="23"/>
  <c r="F207" i="23"/>
  <c r="C207" i="23"/>
  <c r="F203" i="23"/>
  <c r="C203" i="23"/>
  <c r="F199" i="23"/>
  <c r="C199" i="23"/>
  <c r="F195" i="23"/>
  <c r="C195" i="23"/>
  <c r="F187" i="23"/>
  <c r="C187" i="23"/>
  <c r="F179" i="23"/>
  <c r="C179" i="23"/>
  <c r="F175" i="23"/>
  <c r="C175" i="23"/>
  <c r="F167" i="23"/>
  <c r="C167" i="23"/>
  <c r="F151" i="23"/>
  <c r="C151" i="23"/>
  <c r="F139" i="23"/>
  <c r="C139" i="23"/>
  <c r="F131" i="23"/>
  <c r="C131" i="23"/>
  <c r="F127" i="23"/>
  <c r="C127" i="23"/>
  <c r="F123" i="23"/>
  <c r="C123" i="23"/>
  <c r="F119" i="23"/>
  <c r="C119" i="23"/>
  <c r="F111" i="23"/>
  <c r="C111" i="23"/>
  <c r="F103" i="23"/>
  <c r="C103" i="23"/>
  <c r="F95" i="23"/>
  <c r="C95" i="23"/>
  <c r="C79" i="23"/>
  <c r="F79" i="23"/>
  <c r="C75" i="23"/>
  <c r="F75" i="23"/>
  <c r="C71" i="23"/>
  <c r="F71" i="23"/>
  <c r="C63" i="23"/>
  <c r="F63" i="23"/>
  <c r="C59" i="23"/>
  <c r="F59" i="23"/>
  <c r="C51" i="23"/>
  <c r="F51" i="23"/>
  <c r="C43" i="23"/>
  <c r="F43" i="23"/>
  <c r="C35" i="23"/>
  <c r="F35" i="23"/>
  <c r="C27" i="23"/>
  <c r="F27" i="23"/>
  <c r="C23" i="23"/>
  <c r="F23" i="23"/>
  <c r="C19" i="23"/>
  <c r="F19" i="23"/>
  <c r="C15" i="23"/>
  <c r="F15" i="23"/>
  <c r="C7" i="23"/>
  <c r="F7" i="23"/>
  <c r="F467" i="23"/>
  <c r="C462" i="23"/>
  <c r="F451" i="23"/>
  <c r="C446" i="23"/>
  <c r="F435" i="23"/>
  <c r="C430" i="23"/>
  <c r="F419" i="23"/>
  <c r="C414" i="23"/>
  <c r="F403" i="23"/>
  <c r="C398" i="23"/>
  <c r="F387" i="23"/>
  <c r="C382" i="23"/>
  <c r="C449" i="23"/>
  <c r="F449" i="23"/>
  <c r="C389" i="23"/>
  <c r="F389" i="23"/>
  <c r="F317" i="23"/>
  <c r="C317" i="23"/>
  <c r="C289" i="23"/>
  <c r="F289" i="23"/>
  <c r="C261" i="23"/>
  <c r="F261" i="23"/>
  <c r="C217" i="23"/>
  <c r="F217" i="23"/>
  <c r="F189" i="23"/>
  <c r="C189" i="23"/>
  <c r="F177" i="23"/>
  <c r="C177" i="23"/>
  <c r="F165" i="23"/>
  <c r="C165" i="23"/>
  <c r="F161" i="23"/>
  <c r="C161" i="23"/>
  <c r="F125" i="23"/>
  <c r="C125" i="23"/>
  <c r="C73" i="23"/>
  <c r="F73" i="23"/>
  <c r="C21" i="23"/>
  <c r="F21" i="23"/>
  <c r="C5" i="23"/>
  <c r="F5" i="23"/>
  <c r="C375" i="23"/>
  <c r="F375" i="23"/>
  <c r="C363" i="23"/>
  <c r="F363" i="23"/>
  <c r="C355" i="23"/>
  <c r="F355" i="23"/>
  <c r="C351" i="23"/>
  <c r="F351" i="23"/>
  <c r="C347" i="23"/>
  <c r="F347" i="23"/>
  <c r="F335" i="23"/>
  <c r="C335" i="23"/>
  <c r="F327" i="23"/>
  <c r="C327" i="23"/>
  <c r="F319" i="23"/>
  <c r="C319" i="23"/>
  <c r="F311" i="23"/>
  <c r="C311" i="23"/>
  <c r="F303" i="23"/>
  <c r="C303" i="23"/>
  <c r="F287" i="23"/>
  <c r="C287" i="23"/>
  <c r="F283" i="23"/>
  <c r="C283" i="23"/>
  <c r="F279" i="23"/>
  <c r="C279" i="23"/>
  <c r="F271" i="23"/>
  <c r="C271" i="23"/>
  <c r="F267" i="23"/>
  <c r="C267" i="23"/>
  <c r="F259" i="23"/>
  <c r="C259" i="23"/>
  <c r="F255" i="23"/>
  <c r="C255" i="23"/>
  <c r="F251" i="23"/>
  <c r="C251" i="23"/>
  <c r="F247" i="23"/>
  <c r="C247" i="23"/>
  <c r="F235" i="23"/>
  <c r="C235" i="23"/>
  <c r="F231" i="23"/>
  <c r="C231" i="23"/>
  <c r="F227" i="23"/>
  <c r="C227" i="23"/>
  <c r="F219" i="23"/>
  <c r="C219" i="23"/>
  <c r="F211" i="23"/>
  <c r="C211" i="23"/>
  <c r="F191" i="23"/>
  <c r="C191" i="23"/>
  <c r="F183" i="23"/>
  <c r="C183" i="23"/>
  <c r="C171" i="23"/>
  <c r="F171" i="23"/>
  <c r="F163" i="23"/>
  <c r="C163" i="23"/>
  <c r="F159" i="23"/>
  <c r="C159" i="23"/>
  <c r="F155" i="23"/>
  <c r="C155" i="23"/>
  <c r="F147" i="23"/>
  <c r="C147" i="23"/>
  <c r="F143" i="23"/>
  <c r="C143" i="23"/>
  <c r="F135" i="23"/>
  <c r="C135" i="23"/>
  <c r="F115" i="23"/>
  <c r="C115" i="23"/>
  <c r="F107" i="23"/>
  <c r="C107" i="23"/>
  <c r="F99" i="23"/>
  <c r="C99" i="23"/>
  <c r="F91" i="23"/>
  <c r="C91" i="23"/>
  <c r="F87" i="23"/>
  <c r="C87" i="23"/>
  <c r="C83" i="23"/>
  <c r="F83" i="23"/>
  <c r="C67" i="23"/>
  <c r="F67" i="23"/>
  <c r="C55" i="23"/>
  <c r="F55" i="23"/>
  <c r="C47" i="23"/>
  <c r="F47" i="23"/>
  <c r="C39" i="23"/>
  <c r="F39" i="23"/>
  <c r="C31" i="23"/>
  <c r="F31" i="23"/>
  <c r="C11" i="23"/>
  <c r="F11" i="23"/>
  <c r="C3" i="23"/>
  <c r="F3" i="23"/>
  <c r="C453" i="23"/>
  <c r="F453" i="23"/>
  <c r="C425" i="23"/>
  <c r="F425" i="23"/>
  <c r="C369" i="23"/>
  <c r="F369" i="23"/>
  <c r="C293" i="23"/>
  <c r="F293" i="23"/>
  <c r="C281" i="23"/>
  <c r="F281" i="23"/>
  <c r="F269" i="23"/>
  <c r="C269" i="23"/>
  <c r="F253" i="23"/>
  <c r="C253" i="23"/>
  <c r="F237" i="23"/>
  <c r="C237" i="23"/>
  <c r="C225" i="23"/>
  <c r="F225" i="23"/>
  <c r="C213" i="23"/>
  <c r="F213" i="23"/>
  <c r="F197" i="23"/>
  <c r="C197" i="23"/>
  <c r="F181" i="23"/>
  <c r="C181" i="23"/>
  <c r="F153" i="23"/>
  <c r="C153" i="23"/>
  <c r="F121" i="23"/>
  <c r="C121" i="23"/>
  <c r="F93" i="23"/>
  <c r="C93" i="23"/>
  <c r="C65" i="23"/>
  <c r="F65" i="23"/>
  <c r="C49" i="23"/>
  <c r="F49" i="23"/>
  <c r="C33" i="23"/>
  <c r="F33" i="23"/>
  <c r="C468" i="23"/>
  <c r="F468" i="23"/>
  <c r="C456" i="23"/>
  <c r="F456" i="23"/>
  <c r="C448" i="23"/>
  <c r="F448" i="23"/>
  <c r="C440" i="23"/>
  <c r="F440" i="23"/>
  <c r="C436" i="23"/>
  <c r="F436" i="23"/>
  <c r="C428" i="23"/>
  <c r="F428" i="23"/>
  <c r="C420" i="23"/>
  <c r="F420" i="23"/>
  <c r="C416" i="23"/>
  <c r="F416" i="23"/>
  <c r="C408" i="23"/>
  <c r="F408" i="23"/>
  <c r="C400" i="23"/>
  <c r="F400" i="23"/>
  <c r="C388" i="23"/>
  <c r="F388" i="23"/>
  <c r="C380" i="23"/>
  <c r="F380" i="23"/>
  <c r="C372" i="23"/>
  <c r="F372" i="23"/>
  <c r="C364" i="23"/>
  <c r="F364" i="23"/>
  <c r="C356" i="23"/>
  <c r="F356" i="23"/>
  <c r="C348" i="23"/>
  <c r="F348" i="23"/>
  <c r="C344" i="23"/>
  <c r="F344" i="23"/>
  <c r="C340" i="23"/>
  <c r="F340" i="23"/>
  <c r="F336" i="23"/>
  <c r="C336" i="23"/>
  <c r="C328" i="23"/>
  <c r="F328" i="23"/>
  <c r="F320" i="23"/>
  <c r="C320" i="23"/>
  <c r="C316" i="23"/>
  <c r="F316" i="23"/>
  <c r="C312" i="23"/>
  <c r="F312" i="23"/>
  <c r="C308" i="23"/>
  <c r="F308" i="23"/>
  <c r="C300" i="23"/>
  <c r="F300" i="23"/>
  <c r="C292" i="23"/>
  <c r="F292" i="23"/>
  <c r="C284" i="23"/>
  <c r="F284" i="23"/>
  <c r="C260" i="23"/>
  <c r="F260" i="23"/>
  <c r="F256" i="23"/>
  <c r="C256" i="23"/>
  <c r="C252" i="23"/>
  <c r="F252" i="23"/>
  <c r="C244" i="23"/>
  <c r="F244" i="23"/>
  <c r="C236" i="23"/>
  <c r="F236" i="23"/>
  <c r="C232" i="23"/>
  <c r="F232" i="23"/>
  <c r="C228" i="23"/>
  <c r="F228" i="23"/>
  <c r="F224" i="23"/>
  <c r="C224" i="23"/>
  <c r="C216" i="23"/>
  <c r="F216" i="23"/>
  <c r="C204" i="23"/>
  <c r="F204" i="23"/>
  <c r="C200" i="23"/>
  <c r="F200" i="23"/>
  <c r="C192" i="23"/>
  <c r="F192" i="23"/>
  <c r="C184" i="23"/>
  <c r="F184" i="23"/>
  <c r="C180" i="23"/>
  <c r="F180" i="23"/>
  <c r="C176" i="23"/>
  <c r="F176" i="23"/>
  <c r="C168" i="23"/>
  <c r="F168" i="23"/>
  <c r="C156" i="23"/>
  <c r="F156" i="23"/>
  <c r="C148" i="23"/>
  <c r="F148" i="23"/>
  <c r="C140" i="23"/>
  <c r="F140" i="23"/>
  <c r="C128" i="23"/>
  <c r="F128" i="23"/>
  <c r="C120" i="23"/>
  <c r="F120" i="23"/>
  <c r="C116" i="23"/>
  <c r="F116" i="23"/>
  <c r="C108" i="23"/>
  <c r="F108" i="23"/>
  <c r="C100" i="23"/>
  <c r="F100" i="23"/>
  <c r="C88" i="23"/>
  <c r="F88" i="23"/>
  <c r="F72" i="23"/>
  <c r="C72" i="23"/>
  <c r="F64" i="23"/>
  <c r="C64" i="23"/>
  <c r="F52" i="23"/>
  <c r="C52" i="23"/>
  <c r="F44" i="23"/>
  <c r="C44" i="23"/>
  <c r="F32" i="23"/>
  <c r="C32" i="23"/>
  <c r="F28" i="23"/>
  <c r="C28" i="23"/>
  <c r="F24" i="23"/>
  <c r="C24" i="23"/>
  <c r="F20" i="23"/>
  <c r="C20" i="23"/>
  <c r="F16" i="23"/>
  <c r="C16" i="23"/>
  <c r="F8" i="23"/>
  <c r="C8" i="23"/>
  <c r="F4" i="23"/>
  <c r="C4" i="23"/>
  <c r="F463" i="23"/>
  <c r="C458" i="23"/>
  <c r="F447" i="23"/>
  <c r="C442" i="23"/>
  <c r="F431" i="23"/>
  <c r="C426" i="23"/>
  <c r="F415" i="23"/>
  <c r="C410" i="23"/>
  <c r="F399" i="23"/>
  <c r="C394" i="23"/>
  <c r="F383" i="23"/>
  <c r="C457" i="23"/>
  <c r="F457" i="23"/>
  <c r="C417" i="23"/>
  <c r="F417" i="23"/>
  <c r="C405" i="23"/>
  <c r="F405" i="23"/>
  <c r="C393" i="23"/>
  <c r="F393" i="23"/>
  <c r="C353" i="23"/>
  <c r="F353" i="23"/>
  <c r="C325" i="23"/>
  <c r="F325" i="23"/>
  <c r="C297" i="23"/>
  <c r="F297" i="23"/>
  <c r="F285" i="23"/>
  <c r="C285" i="23"/>
  <c r="C273" i="23"/>
  <c r="F273" i="23"/>
  <c r="C245" i="23"/>
  <c r="F245" i="23"/>
  <c r="C233" i="23"/>
  <c r="F233" i="23"/>
  <c r="F205" i="23"/>
  <c r="C205" i="23"/>
  <c r="F193" i="23"/>
  <c r="C193" i="23"/>
  <c r="F169" i="23"/>
  <c r="C169" i="23"/>
  <c r="F157" i="23"/>
  <c r="C157" i="23"/>
  <c r="F145" i="23"/>
  <c r="C145" i="23"/>
  <c r="F129" i="23"/>
  <c r="C129" i="23"/>
  <c r="F101" i="23"/>
  <c r="C101" i="23"/>
  <c r="C85" i="23"/>
  <c r="F85" i="23"/>
  <c r="C69" i="23"/>
  <c r="F69" i="23"/>
  <c r="C17" i="23"/>
  <c r="F17" i="23"/>
  <c r="C464" i="23"/>
  <c r="F464" i="23"/>
  <c r="C460" i="23"/>
  <c r="F460" i="23"/>
  <c r="C452" i="23"/>
  <c r="F452" i="23"/>
  <c r="C444" i="23"/>
  <c r="F444" i="23"/>
  <c r="C432" i="23"/>
  <c r="F432" i="23"/>
  <c r="C424" i="23"/>
  <c r="F424" i="23"/>
  <c r="C412" i="23"/>
  <c r="F412" i="23"/>
  <c r="C404" i="23"/>
  <c r="F404" i="23"/>
  <c r="C396" i="23"/>
  <c r="F396" i="23"/>
  <c r="C392" i="23"/>
  <c r="F392" i="23"/>
  <c r="C384" i="23"/>
  <c r="F384" i="23"/>
  <c r="C376" i="23"/>
  <c r="F376" i="23"/>
  <c r="C368" i="23"/>
  <c r="F368" i="23"/>
  <c r="C360" i="23"/>
  <c r="F360" i="23"/>
  <c r="C352" i="23"/>
  <c r="F352" i="23"/>
  <c r="C332" i="23"/>
  <c r="F332" i="23"/>
  <c r="C324" i="23"/>
  <c r="F324" i="23"/>
  <c r="F304" i="23"/>
  <c r="C304" i="23"/>
  <c r="C296" i="23"/>
  <c r="F296" i="23"/>
  <c r="F288" i="23"/>
  <c r="C288" i="23"/>
  <c r="C280" i="23"/>
  <c r="F280" i="23"/>
  <c r="C276" i="23"/>
  <c r="F276" i="23"/>
  <c r="F272" i="23"/>
  <c r="C272" i="23"/>
  <c r="C268" i="23"/>
  <c r="F268" i="23"/>
  <c r="C264" i="23"/>
  <c r="F264" i="23"/>
  <c r="C248" i="23"/>
  <c r="F248" i="23"/>
  <c r="F240" i="23"/>
  <c r="C240" i="23"/>
  <c r="C220" i="23"/>
  <c r="F220" i="23"/>
  <c r="C212" i="23"/>
  <c r="F212" i="23"/>
  <c r="F208" i="23"/>
  <c r="C208" i="23"/>
  <c r="C196" i="23"/>
  <c r="F196" i="23"/>
  <c r="C188" i="23"/>
  <c r="F188" i="23"/>
  <c r="C172" i="23"/>
  <c r="F172" i="23"/>
  <c r="C164" i="23"/>
  <c r="F164" i="23"/>
  <c r="C160" i="23"/>
  <c r="F160" i="23"/>
  <c r="C152" i="23"/>
  <c r="F152" i="23"/>
  <c r="C144" i="23"/>
  <c r="F144" i="23"/>
  <c r="C136" i="23"/>
  <c r="F136" i="23"/>
  <c r="C132" i="23"/>
  <c r="F132" i="23"/>
  <c r="C124" i="23"/>
  <c r="F124" i="23"/>
  <c r="C112" i="23"/>
  <c r="F112" i="23"/>
  <c r="C104" i="23"/>
  <c r="F104" i="23"/>
  <c r="C96" i="23"/>
  <c r="F96" i="23"/>
  <c r="C92" i="23"/>
  <c r="F92" i="23"/>
  <c r="F84" i="23"/>
  <c r="C84" i="23"/>
  <c r="F80" i="23"/>
  <c r="C80" i="23"/>
  <c r="F76" i="23"/>
  <c r="C76" i="23"/>
  <c r="F68" i="23"/>
  <c r="C68" i="23"/>
  <c r="F60" i="23"/>
  <c r="C60" i="23"/>
  <c r="F56" i="23"/>
  <c r="C56" i="23"/>
  <c r="F48" i="23"/>
  <c r="C48" i="23"/>
  <c r="F40" i="23"/>
  <c r="C40" i="23"/>
  <c r="F36" i="23"/>
  <c r="C36" i="23"/>
  <c r="F12" i="23"/>
  <c r="C12" i="23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U10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U11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U12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U13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U14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BA15" i="18"/>
  <c r="BB15" i="18"/>
  <c r="BC15" i="18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U15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U16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U17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U18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U19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U20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U21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U22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U23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U24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U25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U26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U28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U29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U30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U31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U32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U33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U34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U35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U36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U37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U38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U39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U40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U41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U42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U43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U44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U45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U46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U47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U48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U49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U50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U51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U52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U53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U54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U55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U56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U57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U58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U59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U60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U61" i="18"/>
  <c r="D10" i="18"/>
  <c r="E10" i="18"/>
  <c r="F10" i="18"/>
  <c r="G10" i="18"/>
  <c r="H10" i="18"/>
  <c r="I10" i="18"/>
  <c r="J10" i="18"/>
  <c r="D11" i="18"/>
  <c r="E11" i="18"/>
  <c r="F11" i="18"/>
  <c r="G11" i="18"/>
  <c r="H11" i="18"/>
  <c r="I11" i="18"/>
  <c r="J11" i="18"/>
  <c r="D12" i="18"/>
  <c r="E12" i="18"/>
  <c r="F12" i="18"/>
  <c r="G12" i="18"/>
  <c r="H12" i="18"/>
  <c r="I12" i="18"/>
  <c r="J12" i="18"/>
  <c r="D13" i="18"/>
  <c r="E13" i="18"/>
  <c r="F13" i="18"/>
  <c r="G13" i="18"/>
  <c r="H13" i="18"/>
  <c r="I13" i="18"/>
  <c r="J13" i="18"/>
  <c r="D14" i="18"/>
  <c r="E14" i="18"/>
  <c r="F14" i="18"/>
  <c r="G14" i="18"/>
  <c r="H14" i="18"/>
  <c r="I14" i="18"/>
  <c r="J14" i="18"/>
  <c r="D15" i="18"/>
  <c r="E15" i="18"/>
  <c r="F15" i="18"/>
  <c r="G15" i="18"/>
  <c r="H15" i="18"/>
  <c r="I15" i="18"/>
  <c r="J15" i="18"/>
  <c r="D16" i="18"/>
  <c r="E16" i="18"/>
  <c r="F16" i="18"/>
  <c r="G16" i="18"/>
  <c r="H16" i="18"/>
  <c r="I16" i="18"/>
  <c r="J16" i="18"/>
  <c r="D17" i="18"/>
  <c r="E17" i="18"/>
  <c r="F17" i="18"/>
  <c r="G17" i="18"/>
  <c r="H17" i="18"/>
  <c r="I17" i="18"/>
  <c r="J17" i="18"/>
  <c r="D18" i="18"/>
  <c r="E18" i="18"/>
  <c r="F18" i="18"/>
  <c r="G18" i="18"/>
  <c r="H18" i="18"/>
  <c r="I18" i="18"/>
  <c r="J18" i="18"/>
  <c r="D19" i="18"/>
  <c r="E19" i="18"/>
  <c r="F19" i="18"/>
  <c r="G19" i="18"/>
  <c r="H19" i="18"/>
  <c r="I19" i="18"/>
  <c r="J19" i="18"/>
  <c r="D20" i="18"/>
  <c r="E20" i="18"/>
  <c r="F20" i="18"/>
  <c r="G20" i="18"/>
  <c r="H20" i="18"/>
  <c r="I20" i="18"/>
  <c r="J20" i="18"/>
  <c r="D21" i="18"/>
  <c r="E21" i="18"/>
  <c r="F21" i="18"/>
  <c r="G21" i="18"/>
  <c r="H21" i="18"/>
  <c r="I21" i="18"/>
  <c r="J21" i="18"/>
  <c r="D22" i="18"/>
  <c r="E22" i="18"/>
  <c r="F22" i="18"/>
  <c r="G22" i="18"/>
  <c r="H22" i="18"/>
  <c r="I22" i="18"/>
  <c r="J22" i="18"/>
  <c r="D23" i="18"/>
  <c r="E23" i="18"/>
  <c r="F23" i="18"/>
  <c r="G23" i="18"/>
  <c r="H23" i="18"/>
  <c r="I23" i="18"/>
  <c r="J23" i="18"/>
  <c r="D24" i="18"/>
  <c r="E24" i="18"/>
  <c r="F24" i="18"/>
  <c r="G24" i="18"/>
  <c r="H24" i="18"/>
  <c r="I24" i="18"/>
  <c r="J24" i="18"/>
  <c r="D25" i="18"/>
  <c r="E25" i="18"/>
  <c r="F25" i="18"/>
  <c r="G25" i="18"/>
  <c r="H25" i="18"/>
  <c r="I25" i="18"/>
  <c r="J25" i="18"/>
  <c r="D26" i="18"/>
  <c r="E26" i="18"/>
  <c r="F26" i="18"/>
  <c r="G26" i="18"/>
  <c r="H26" i="18"/>
  <c r="I26" i="18"/>
  <c r="J26" i="18"/>
  <c r="D27" i="18"/>
  <c r="E27" i="18"/>
  <c r="F27" i="18"/>
  <c r="G27" i="18"/>
  <c r="H27" i="18"/>
  <c r="I27" i="18"/>
  <c r="J27" i="18"/>
  <c r="D28" i="18"/>
  <c r="E28" i="18"/>
  <c r="F28" i="18"/>
  <c r="G28" i="18"/>
  <c r="H28" i="18"/>
  <c r="I28" i="18"/>
  <c r="J28" i="18"/>
  <c r="D29" i="18"/>
  <c r="E29" i="18"/>
  <c r="F29" i="18"/>
  <c r="G29" i="18"/>
  <c r="H29" i="18"/>
  <c r="I29" i="18"/>
  <c r="J29" i="18"/>
  <c r="D30" i="18"/>
  <c r="E30" i="18"/>
  <c r="F30" i="18"/>
  <c r="G30" i="18"/>
  <c r="H30" i="18"/>
  <c r="I30" i="18"/>
  <c r="J30" i="18"/>
  <c r="D31" i="18"/>
  <c r="E31" i="18"/>
  <c r="F31" i="18"/>
  <c r="G31" i="18"/>
  <c r="H31" i="18"/>
  <c r="I31" i="18"/>
  <c r="J31" i="18"/>
  <c r="D32" i="18"/>
  <c r="E32" i="18"/>
  <c r="F32" i="18"/>
  <c r="G32" i="18"/>
  <c r="H32" i="18"/>
  <c r="I32" i="18"/>
  <c r="J32" i="18"/>
  <c r="D33" i="18"/>
  <c r="E33" i="18"/>
  <c r="F33" i="18"/>
  <c r="G33" i="18"/>
  <c r="H33" i="18"/>
  <c r="I33" i="18"/>
  <c r="J33" i="18"/>
  <c r="D34" i="18"/>
  <c r="E34" i="18"/>
  <c r="F34" i="18"/>
  <c r="G34" i="18"/>
  <c r="H34" i="18"/>
  <c r="I34" i="18"/>
  <c r="J34" i="18"/>
  <c r="D35" i="18"/>
  <c r="E35" i="18"/>
  <c r="F35" i="18"/>
  <c r="G35" i="18"/>
  <c r="H35" i="18"/>
  <c r="I35" i="18"/>
  <c r="J35" i="18"/>
  <c r="D36" i="18"/>
  <c r="E36" i="18"/>
  <c r="F36" i="18"/>
  <c r="G36" i="18"/>
  <c r="H36" i="18"/>
  <c r="I36" i="18"/>
  <c r="J36" i="18"/>
  <c r="D37" i="18"/>
  <c r="E37" i="18"/>
  <c r="F37" i="18"/>
  <c r="G37" i="18"/>
  <c r="H37" i="18"/>
  <c r="I37" i="18"/>
  <c r="J37" i="18"/>
  <c r="D38" i="18"/>
  <c r="E38" i="18"/>
  <c r="F38" i="18"/>
  <c r="G38" i="18"/>
  <c r="H38" i="18"/>
  <c r="I38" i="18"/>
  <c r="J38" i="18"/>
  <c r="D39" i="18"/>
  <c r="E39" i="18"/>
  <c r="F39" i="18"/>
  <c r="G39" i="18"/>
  <c r="H39" i="18"/>
  <c r="I39" i="18"/>
  <c r="J39" i="18"/>
  <c r="D40" i="18"/>
  <c r="E40" i="18"/>
  <c r="F40" i="18"/>
  <c r="G40" i="18"/>
  <c r="H40" i="18"/>
  <c r="I40" i="18"/>
  <c r="J40" i="18"/>
  <c r="D41" i="18"/>
  <c r="E41" i="18"/>
  <c r="F41" i="18"/>
  <c r="G41" i="18"/>
  <c r="H41" i="18"/>
  <c r="I41" i="18"/>
  <c r="J41" i="18"/>
  <c r="D42" i="18"/>
  <c r="E42" i="18"/>
  <c r="F42" i="18"/>
  <c r="G42" i="18"/>
  <c r="H42" i="18"/>
  <c r="I42" i="18"/>
  <c r="J42" i="18"/>
  <c r="D43" i="18"/>
  <c r="E43" i="18"/>
  <c r="F43" i="18"/>
  <c r="G43" i="18"/>
  <c r="H43" i="18"/>
  <c r="I43" i="18"/>
  <c r="J43" i="18"/>
  <c r="D44" i="18"/>
  <c r="E44" i="18"/>
  <c r="F44" i="18"/>
  <c r="G44" i="18"/>
  <c r="H44" i="18"/>
  <c r="I44" i="18"/>
  <c r="J44" i="18"/>
  <c r="D45" i="18"/>
  <c r="E45" i="18"/>
  <c r="F45" i="18"/>
  <c r="G45" i="18"/>
  <c r="H45" i="18"/>
  <c r="I45" i="18"/>
  <c r="J45" i="18"/>
  <c r="D46" i="18"/>
  <c r="E46" i="18"/>
  <c r="F46" i="18"/>
  <c r="G46" i="18"/>
  <c r="H46" i="18"/>
  <c r="I46" i="18"/>
  <c r="J46" i="18"/>
  <c r="D47" i="18"/>
  <c r="E47" i="18"/>
  <c r="F47" i="18"/>
  <c r="G47" i="18"/>
  <c r="H47" i="18"/>
  <c r="I47" i="18"/>
  <c r="J47" i="18"/>
  <c r="D48" i="18"/>
  <c r="E48" i="18"/>
  <c r="F48" i="18"/>
  <c r="G48" i="18"/>
  <c r="H48" i="18"/>
  <c r="I48" i="18"/>
  <c r="J48" i="18"/>
  <c r="D49" i="18"/>
  <c r="E49" i="18"/>
  <c r="F49" i="18"/>
  <c r="G49" i="18"/>
  <c r="H49" i="18"/>
  <c r="I49" i="18"/>
  <c r="J49" i="18"/>
  <c r="D50" i="18"/>
  <c r="E50" i="18"/>
  <c r="F50" i="18"/>
  <c r="G50" i="18"/>
  <c r="H50" i="18"/>
  <c r="I50" i="18"/>
  <c r="J50" i="18"/>
  <c r="D51" i="18"/>
  <c r="E51" i="18"/>
  <c r="F51" i="18"/>
  <c r="G51" i="18"/>
  <c r="H51" i="18"/>
  <c r="I51" i="18"/>
  <c r="J51" i="18"/>
  <c r="D52" i="18"/>
  <c r="E52" i="18"/>
  <c r="F52" i="18"/>
  <c r="G52" i="18"/>
  <c r="H52" i="18"/>
  <c r="I52" i="18"/>
  <c r="J52" i="18"/>
  <c r="D53" i="18"/>
  <c r="E53" i="18"/>
  <c r="F53" i="18"/>
  <c r="G53" i="18"/>
  <c r="H53" i="18"/>
  <c r="I53" i="18"/>
  <c r="J53" i="18"/>
  <c r="D54" i="18"/>
  <c r="E54" i="18"/>
  <c r="F54" i="18"/>
  <c r="G54" i="18"/>
  <c r="H54" i="18"/>
  <c r="I54" i="18"/>
  <c r="J54" i="18"/>
  <c r="D55" i="18"/>
  <c r="E55" i="18"/>
  <c r="F55" i="18"/>
  <c r="G55" i="18"/>
  <c r="H55" i="18"/>
  <c r="I55" i="18"/>
  <c r="J55" i="18"/>
  <c r="D56" i="18"/>
  <c r="E56" i="18"/>
  <c r="F56" i="18"/>
  <c r="G56" i="18"/>
  <c r="H56" i="18"/>
  <c r="I56" i="18"/>
  <c r="J56" i="18"/>
  <c r="D57" i="18"/>
  <c r="E57" i="18"/>
  <c r="F57" i="18"/>
  <c r="G57" i="18"/>
  <c r="H57" i="18"/>
  <c r="I57" i="18"/>
  <c r="J57" i="18"/>
  <c r="D58" i="18"/>
  <c r="E58" i="18"/>
  <c r="F58" i="18"/>
  <c r="G58" i="18"/>
  <c r="H58" i="18"/>
  <c r="I58" i="18"/>
  <c r="J58" i="18"/>
  <c r="D59" i="18"/>
  <c r="E59" i="18"/>
  <c r="F59" i="18"/>
  <c r="G59" i="18"/>
  <c r="H59" i="18"/>
  <c r="I59" i="18"/>
  <c r="J59" i="18"/>
  <c r="D60" i="18"/>
  <c r="E60" i="18"/>
  <c r="F60" i="18"/>
  <c r="G60" i="18"/>
  <c r="H60" i="18"/>
  <c r="I60" i="18"/>
  <c r="J60" i="18"/>
  <c r="D61" i="18"/>
  <c r="E61" i="18"/>
  <c r="F61" i="18"/>
  <c r="G61" i="18"/>
  <c r="H61" i="18"/>
  <c r="I61" i="18"/>
  <c r="J61" i="18"/>
  <c r="AA11" i="10"/>
  <c r="AB11" i="10"/>
  <c r="AC11" i="10"/>
  <c r="AD11" i="10"/>
  <c r="AA12" i="10"/>
  <c r="AB12" i="10"/>
  <c r="AC12" i="10"/>
  <c r="AD12" i="10"/>
  <c r="AA13" i="10"/>
  <c r="AB13" i="10"/>
  <c r="AC13" i="10"/>
  <c r="AD13" i="10"/>
  <c r="AA14" i="10"/>
  <c r="AB14" i="10"/>
  <c r="AC14" i="10"/>
  <c r="AD14" i="10"/>
  <c r="AA15" i="10"/>
  <c r="AB15" i="10"/>
  <c r="AC15" i="10"/>
  <c r="AD15" i="10"/>
  <c r="AA16" i="10"/>
  <c r="AB16" i="10"/>
  <c r="AC16" i="10"/>
  <c r="AD16" i="10"/>
  <c r="AA17" i="10"/>
  <c r="AB17" i="10"/>
  <c r="AC17" i="10"/>
  <c r="AD17" i="10"/>
  <c r="AA18" i="10"/>
  <c r="AB18" i="10"/>
  <c r="AC18" i="10"/>
  <c r="AD18" i="10"/>
  <c r="AA19" i="10"/>
  <c r="AB19" i="10"/>
  <c r="AC19" i="10"/>
  <c r="AD19" i="10"/>
  <c r="AA20" i="10"/>
  <c r="AB20" i="10"/>
  <c r="AC20" i="10"/>
  <c r="AD20" i="10"/>
  <c r="AA21" i="10"/>
  <c r="AB21" i="10"/>
  <c r="AC21" i="10"/>
  <c r="AD21" i="10"/>
  <c r="AA22" i="10"/>
  <c r="AB22" i="10"/>
  <c r="AC22" i="10"/>
  <c r="AD22" i="10"/>
  <c r="AA23" i="10"/>
  <c r="AB23" i="10"/>
  <c r="AC23" i="10"/>
  <c r="AD23" i="10"/>
  <c r="AA24" i="10"/>
  <c r="AB24" i="10"/>
  <c r="AC24" i="10"/>
  <c r="AD24" i="10"/>
  <c r="AA25" i="10"/>
  <c r="AB25" i="10"/>
  <c r="AC25" i="10"/>
  <c r="AD25" i="10"/>
  <c r="AA26" i="10"/>
  <c r="AB26" i="10"/>
  <c r="AC26" i="10"/>
  <c r="AD26" i="10"/>
  <c r="AA27" i="10"/>
  <c r="AB27" i="10"/>
  <c r="AC27" i="10"/>
  <c r="AD27" i="10"/>
  <c r="AA28" i="10"/>
  <c r="AB28" i="10"/>
  <c r="AC28" i="10"/>
  <c r="AD28" i="10"/>
  <c r="AA29" i="10"/>
  <c r="AB29" i="10"/>
  <c r="AC29" i="10"/>
  <c r="AD29" i="10"/>
  <c r="AA30" i="10"/>
  <c r="AB30" i="10"/>
  <c r="AC30" i="10"/>
  <c r="AD30" i="10"/>
  <c r="AA31" i="10"/>
  <c r="AB31" i="10"/>
  <c r="AC31" i="10"/>
  <c r="AD31" i="10"/>
  <c r="AA32" i="10"/>
  <c r="AB32" i="10"/>
  <c r="AC32" i="10"/>
  <c r="AD32" i="10"/>
  <c r="AA33" i="10"/>
  <c r="AB33" i="10"/>
  <c r="AC33" i="10"/>
  <c r="AD33" i="10"/>
  <c r="AA34" i="10"/>
  <c r="AB34" i="10"/>
  <c r="AC34" i="10"/>
  <c r="AD34" i="10"/>
  <c r="AA35" i="10"/>
  <c r="AB35" i="10"/>
  <c r="AC35" i="10"/>
  <c r="AD35" i="10"/>
  <c r="AA36" i="10"/>
  <c r="AB36" i="10"/>
  <c r="AC36" i="10"/>
  <c r="AD36" i="10"/>
  <c r="AA37" i="10"/>
  <c r="AB37" i="10"/>
  <c r="AC37" i="10"/>
  <c r="AD37" i="10"/>
  <c r="AA38" i="10"/>
  <c r="AB38" i="10"/>
  <c r="AC38" i="10"/>
  <c r="AD38" i="10"/>
  <c r="AA39" i="10"/>
  <c r="AB39" i="10"/>
  <c r="AC39" i="10"/>
  <c r="AD39" i="10"/>
  <c r="AA40" i="10"/>
  <c r="AB40" i="10"/>
  <c r="AC40" i="10"/>
  <c r="AD40" i="10"/>
  <c r="AA41" i="10"/>
  <c r="AB41" i="10"/>
  <c r="AC41" i="10"/>
  <c r="AD41" i="10"/>
  <c r="AA42" i="10"/>
  <c r="AB42" i="10"/>
  <c r="AC42" i="10"/>
  <c r="AD42" i="10"/>
  <c r="AA43" i="10"/>
  <c r="AB43" i="10"/>
  <c r="AC43" i="10"/>
  <c r="AD43" i="10"/>
  <c r="AA44" i="10"/>
  <c r="AB44" i="10"/>
  <c r="AC44" i="10"/>
  <c r="AD44" i="10"/>
  <c r="AA45" i="10"/>
  <c r="AB45" i="10"/>
  <c r="AC45" i="10"/>
  <c r="AD45" i="10"/>
  <c r="AA46" i="10"/>
  <c r="AB46" i="10"/>
  <c r="AC46" i="10"/>
  <c r="AD46" i="10"/>
  <c r="AA47" i="10"/>
  <c r="AB47" i="10"/>
  <c r="AC47" i="10"/>
  <c r="AD47" i="10"/>
  <c r="AA48" i="10"/>
  <c r="AB48" i="10"/>
  <c r="AC48" i="10"/>
  <c r="AD48" i="10"/>
  <c r="AA49" i="10"/>
  <c r="AB49" i="10"/>
  <c r="AC49" i="10"/>
  <c r="AD49" i="10"/>
  <c r="AA50" i="10"/>
  <c r="AB50" i="10"/>
  <c r="AC50" i="10"/>
  <c r="AD50" i="10"/>
  <c r="AA51" i="10"/>
  <c r="AB51" i="10"/>
  <c r="AC51" i="10"/>
  <c r="AD51" i="10"/>
  <c r="AA52" i="10"/>
  <c r="AB52" i="10"/>
  <c r="AC52" i="10"/>
  <c r="AD52" i="10"/>
  <c r="AA53" i="10"/>
  <c r="AB53" i="10"/>
  <c r="AC53" i="10"/>
  <c r="AD53" i="10"/>
  <c r="AA54" i="10"/>
  <c r="AB54" i="10"/>
  <c r="AC54" i="10"/>
  <c r="AD54" i="10"/>
  <c r="AA55" i="10"/>
  <c r="AB55" i="10"/>
  <c r="AC55" i="10"/>
  <c r="AD55" i="10"/>
  <c r="AA56" i="10"/>
  <c r="AB56" i="10"/>
  <c r="AC56" i="10"/>
  <c r="AD56" i="10"/>
  <c r="AA57" i="10"/>
  <c r="AB57" i="10"/>
  <c r="AC57" i="10"/>
  <c r="AD57" i="10"/>
  <c r="AA58" i="10"/>
  <c r="AB58" i="10"/>
  <c r="AC58" i="10"/>
  <c r="AD58" i="10"/>
  <c r="AA59" i="10"/>
  <c r="AB59" i="10"/>
  <c r="AC59" i="10"/>
  <c r="AD59" i="10"/>
  <c r="AA60" i="10"/>
  <c r="AB60" i="10"/>
  <c r="AC60" i="10"/>
  <c r="AD60" i="10"/>
  <c r="AA61" i="10"/>
  <c r="AB61" i="10"/>
  <c r="AC61" i="10"/>
  <c r="AD61" i="10"/>
  <c r="AD10" i="10"/>
  <c r="AC10" i="10"/>
  <c r="AB10" i="10"/>
  <c r="AA10" i="10"/>
  <c r="T308" i="26"/>
  <c r="S308" i="26"/>
  <c r="R308" i="26"/>
  <c r="Q308" i="26"/>
  <c r="T302" i="26"/>
  <c r="S302" i="26"/>
  <c r="R302" i="26"/>
  <c r="Q302" i="26"/>
  <c r="T296" i="26"/>
  <c r="S296" i="26"/>
  <c r="R296" i="26"/>
  <c r="Q296" i="26"/>
  <c r="T290" i="26"/>
  <c r="S290" i="26"/>
  <c r="R290" i="26"/>
  <c r="Q290" i="26"/>
  <c r="T284" i="26"/>
  <c r="S284" i="26"/>
  <c r="R284" i="26"/>
  <c r="Q284" i="26"/>
  <c r="T278" i="26"/>
  <c r="S278" i="26"/>
  <c r="R278" i="26"/>
  <c r="Q278" i="26"/>
  <c r="T272" i="26"/>
  <c r="S272" i="26"/>
  <c r="R272" i="26"/>
  <c r="Q272" i="26"/>
  <c r="T266" i="26"/>
  <c r="S266" i="26"/>
  <c r="R266" i="26"/>
  <c r="Q266" i="26"/>
  <c r="T260" i="26"/>
  <c r="S260" i="26"/>
  <c r="R260" i="26"/>
  <c r="Q260" i="26"/>
  <c r="T254" i="26"/>
  <c r="S254" i="26"/>
  <c r="R254" i="26"/>
  <c r="Q254" i="26"/>
  <c r="T248" i="26"/>
  <c r="S248" i="26"/>
  <c r="R248" i="26"/>
  <c r="Q248" i="26"/>
  <c r="T242" i="26"/>
  <c r="S242" i="26"/>
  <c r="R242" i="26"/>
  <c r="Q242" i="26"/>
  <c r="T236" i="26"/>
  <c r="S236" i="26"/>
  <c r="R236" i="26"/>
  <c r="Q236" i="26"/>
  <c r="T230" i="26"/>
  <c r="S230" i="26"/>
  <c r="R230" i="26"/>
  <c r="Q230" i="26"/>
  <c r="T224" i="26"/>
  <c r="S224" i="26"/>
  <c r="R224" i="26"/>
  <c r="Q224" i="26"/>
  <c r="T218" i="26"/>
  <c r="S218" i="26"/>
  <c r="R218" i="26"/>
  <c r="Q218" i="26"/>
  <c r="T212" i="26"/>
  <c r="S212" i="26"/>
  <c r="R212" i="26"/>
  <c r="Q212" i="26"/>
  <c r="T206" i="26"/>
  <c r="S206" i="26"/>
  <c r="R206" i="26"/>
  <c r="Q206" i="26"/>
  <c r="T200" i="26"/>
  <c r="S200" i="26"/>
  <c r="R200" i="26"/>
  <c r="Q200" i="26"/>
  <c r="T194" i="26"/>
  <c r="S194" i="26"/>
  <c r="R194" i="26"/>
  <c r="Q194" i="26"/>
  <c r="T188" i="26"/>
  <c r="S188" i="26"/>
  <c r="R188" i="26"/>
  <c r="Q188" i="26"/>
  <c r="T182" i="26"/>
  <c r="S182" i="26"/>
  <c r="R182" i="26"/>
  <c r="Q182" i="26"/>
  <c r="T176" i="26"/>
  <c r="S176" i="26"/>
  <c r="R176" i="26"/>
  <c r="Q176" i="26"/>
  <c r="T170" i="26"/>
  <c r="S170" i="26"/>
  <c r="R170" i="26"/>
  <c r="Q170" i="26"/>
  <c r="T164" i="26"/>
  <c r="S164" i="26"/>
  <c r="R164" i="26"/>
  <c r="Q164" i="26"/>
  <c r="T158" i="26"/>
  <c r="S158" i="26"/>
  <c r="R158" i="26"/>
  <c r="Q158" i="26"/>
  <c r="T152" i="26"/>
  <c r="S152" i="26"/>
  <c r="R152" i="26"/>
  <c r="Q152" i="26"/>
  <c r="T146" i="26"/>
  <c r="S146" i="26"/>
  <c r="R146" i="26"/>
  <c r="Q146" i="26"/>
  <c r="T140" i="26"/>
  <c r="S140" i="26"/>
  <c r="R140" i="26"/>
  <c r="Q140" i="26"/>
  <c r="T134" i="26"/>
  <c r="S134" i="26"/>
  <c r="R134" i="26"/>
  <c r="Q134" i="26"/>
  <c r="T128" i="26"/>
  <c r="S128" i="26"/>
  <c r="R128" i="26"/>
  <c r="Q128" i="26"/>
  <c r="T122" i="26"/>
  <c r="S122" i="26"/>
  <c r="R122" i="26"/>
  <c r="Q122" i="26"/>
  <c r="T116" i="26"/>
  <c r="S116" i="26"/>
  <c r="R116" i="26"/>
  <c r="Q116" i="26"/>
  <c r="T110" i="26"/>
  <c r="S110" i="26"/>
  <c r="R110" i="26"/>
  <c r="Q110" i="26"/>
  <c r="T104" i="26"/>
  <c r="S104" i="26"/>
  <c r="R104" i="26"/>
  <c r="Q104" i="26"/>
  <c r="T98" i="26"/>
  <c r="S98" i="26"/>
  <c r="R98" i="26"/>
  <c r="Q98" i="26"/>
  <c r="T97" i="26"/>
  <c r="S97" i="26"/>
  <c r="R97" i="26"/>
  <c r="Q97" i="26"/>
  <c r="T91" i="26"/>
  <c r="S91" i="26"/>
  <c r="R91" i="26"/>
  <c r="Q91" i="26"/>
  <c r="T85" i="26"/>
  <c r="S85" i="26"/>
  <c r="R85" i="26"/>
  <c r="Q85" i="26"/>
  <c r="T79" i="26"/>
  <c r="S79" i="26"/>
  <c r="R79" i="26"/>
  <c r="Q79" i="26"/>
  <c r="T73" i="26"/>
  <c r="S73" i="26"/>
  <c r="R73" i="26"/>
  <c r="Q73" i="26"/>
  <c r="T67" i="26"/>
  <c r="S67" i="26"/>
  <c r="R67" i="26"/>
  <c r="Q67" i="26"/>
  <c r="T61" i="26"/>
  <c r="S61" i="26"/>
  <c r="R61" i="26"/>
  <c r="Q61" i="26"/>
  <c r="T55" i="26"/>
  <c r="S55" i="26"/>
  <c r="R55" i="26"/>
  <c r="Q55" i="26"/>
  <c r="T49" i="26"/>
  <c r="S49" i="26"/>
  <c r="R49" i="26"/>
  <c r="Q49" i="26"/>
  <c r="T43" i="26"/>
  <c r="S43" i="26"/>
  <c r="R43" i="26"/>
  <c r="Q43" i="26"/>
  <c r="T37" i="26"/>
  <c r="S37" i="26"/>
  <c r="R37" i="26"/>
  <c r="Q37" i="26"/>
  <c r="T31" i="26"/>
  <c r="S31" i="26"/>
  <c r="R31" i="26"/>
  <c r="Q31" i="26"/>
  <c r="T25" i="26"/>
  <c r="S25" i="26"/>
  <c r="R25" i="26"/>
  <c r="Q25" i="26"/>
  <c r="T19" i="26"/>
  <c r="S19" i="26"/>
  <c r="R19" i="26"/>
  <c r="Q19" i="26"/>
  <c r="T13" i="26"/>
  <c r="S13" i="26"/>
  <c r="R13" i="26"/>
  <c r="Q13" i="26"/>
  <c r="Q7" i="26"/>
  <c r="R7" i="26"/>
  <c r="S7" i="26"/>
  <c r="T7" i="26"/>
  <c r="M97" i="26"/>
  <c r="N97" i="26"/>
  <c r="O97" i="26"/>
  <c r="P97" i="26"/>
  <c r="L97" i="26"/>
  <c r="T11" i="10"/>
  <c r="U11" i="10"/>
  <c r="V11" i="10"/>
  <c r="W11" i="10"/>
  <c r="T12" i="10"/>
  <c r="U12" i="10"/>
  <c r="V12" i="10"/>
  <c r="W12" i="10"/>
  <c r="T13" i="10"/>
  <c r="U13" i="10"/>
  <c r="V13" i="10"/>
  <c r="W13" i="10"/>
  <c r="T14" i="10"/>
  <c r="U14" i="10"/>
  <c r="V14" i="10"/>
  <c r="W14" i="10"/>
  <c r="T15" i="10"/>
  <c r="U15" i="10"/>
  <c r="V15" i="10"/>
  <c r="W15" i="10"/>
  <c r="T16" i="10"/>
  <c r="U16" i="10"/>
  <c r="V16" i="10"/>
  <c r="W16" i="10"/>
  <c r="T17" i="10"/>
  <c r="U17" i="10"/>
  <c r="V17" i="10"/>
  <c r="W17" i="10"/>
  <c r="T18" i="10"/>
  <c r="U18" i="10"/>
  <c r="V18" i="10"/>
  <c r="W18" i="10"/>
  <c r="T19" i="10"/>
  <c r="U19" i="10"/>
  <c r="V19" i="10"/>
  <c r="W19" i="10"/>
  <c r="T20" i="10"/>
  <c r="U20" i="10"/>
  <c r="V20" i="10"/>
  <c r="W20" i="10"/>
  <c r="T21" i="10"/>
  <c r="U21" i="10"/>
  <c r="V21" i="10"/>
  <c r="W21" i="10"/>
  <c r="T22" i="10"/>
  <c r="U22" i="10"/>
  <c r="V22" i="10"/>
  <c r="W22" i="10"/>
  <c r="T23" i="10"/>
  <c r="U23" i="10"/>
  <c r="V23" i="10"/>
  <c r="W23" i="10"/>
  <c r="T24" i="10"/>
  <c r="U24" i="10"/>
  <c r="V24" i="10"/>
  <c r="W24" i="10"/>
  <c r="T25" i="10"/>
  <c r="U25" i="10"/>
  <c r="V25" i="10"/>
  <c r="W25" i="10"/>
  <c r="T26" i="10"/>
  <c r="U26" i="10"/>
  <c r="V26" i="10"/>
  <c r="W26" i="10"/>
  <c r="T27" i="10"/>
  <c r="U27" i="10"/>
  <c r="V27" i="10"/>
  <c r="W27" i="10"/>
  <c r="T28" i="10"/>
  <c r="U28" i="10"/>
  <c r="V28" i="10"/>
  <c r="W28" i="10"/>
  <c r="T29" i="10"/>
  <c r="U29" i="10"/>
  <c r="V29" i="10"/>
  <c r="W29" i="10"/>
  <c r="T30" i="10"/>
  <c r="U30" i="10"/>
  <c r="V30" i="10"/>
  <c r="W30" i="10"/>
  <c r="T31" i="10"/>
  <c r="U31" i="10"/>
  <c r="V31" i="10"/>
  <c r="W31" i="10"/>
  <c r="T32" i="10"/>
  <c r="U32" i="10"/>
  <c r="V32" i="10"/>
  <c r="W32" i="10"/>
  <c r="T33" i="10"/>
  <c r="U33" i="10"/>
  <c r="V33" i="10"/>
  <c r="W33" i="10"/>
  <c r="T34" i="10"/>
  <c r="U34" i="10"/>
  <c r="V34" i="10"/>
  <c r="W34" i="10"/>
  <c r="T35" i="10"/>
  <c r="U35" i="10"/>
  <c r="V35" i="10"/>
  <c r="W35" i="10"/>
  <c r="T36" i="10"/>
  <c r="U36" i="10"/>
  <c r="V36" i="10"/>
  <c r="W36" i="10"/>
  <c r="T37" i="10"/>
  <c r="U37" i="10"/>
  <c r="V37" i="10"/>
  <c r="W37" i="10"/>
  <c r="T38" i="10"/>
  <c r="U38" i="10"/>
  <c r="V38" i="10"/>
  <c r="W38" i="10"/>
  <c r="T39" i="10"/>
  <c r="U39" i="10"/>
  <c r="V39" i="10"/>
  <c r="W39" i="10"/>
  <c r="T40" i="10"/>
  <c r="U40" i="10"/>
  <c r="V40" i="10"/>
  <c r="W40" i="10"/>
  <c r="T41" i="10"/>
  <c r="U41" i="10"/>
  <c r="V41" i="10"/>
  <c r="W41" i="10"/>
  <c r="T42" i="10"/>
  <c r="U42" i="10"/>
  <c r="V42" i="10"/>
  <c r="W42" i="10"/>
  <c r="T43" i="10"/>
  <c r="U43" i="10"/>
  <c r="V43" i="10"/>
  <c r="W43" i="10"/>
  <c r="T44" i="10"/>
  <c r="U44" i="10"/>
  <c r="V44" i="10"/>
  <c r="W44" i="10"/>
  <c r="T45" i="10"/>
  <c r="U45" i="10"/>
  <c r="V45" i="10"/>
  <c r="W45" i="10"/>
  <c r="T46" i="10"/>
  <c r="U46" i="10"/>
  <c r="V46" i="10"/>
  <c r="W46" i="10"/>
  <c r="T47" i="10"/>
  <c r="U47" i="10"/>
  <c r="V47" i="10"/>
  <c r="W47" i="10"/>
  <c r="T48" i="10"/>
  <c r="U48" i="10"/>
  <c r="V48" i="10"/>
  <c r="W48" i="10"/>
  <c r="T49" i="10"/>
  <c r="U49" i="10"/>
  <c r="V49" i="10"/>
  <c r="W49" i="10"/>
  <c r="T50" i="10"/>
  <c r="U50" i="10"/>
  <c r="V50" i="10"/>
  <c r="W50" i="10"/>
  <c r="T51" i="10"/>
  <c r="U51" i="10"/>
  <c r="V51" i="10"/>
  <c r="W51" i="10"/>
  <c r="T52" i="10"/>
  <c r="U52" i="10"/>
  <c r="V52" i="10"/>
  <c r="W52" i="10"/>
  <c r="T53" i="10"/>
  <c r="U53" i="10"/>
  <c r="V53" i="10"/>
  <c r="W53" i="10"/>
  <c r="T54" i="10"/>
  <c r="U54" i="10"/>
  <c r="V54" i="10"/>
  <c r="W54" i="10"/>
  <c r="T55" i="10"/>
  <c r="U55" i="10"/>
  <c r="V55" i="10"/>
  <c r="W55" i="10"/>
  <c r="T56" i="10"/>
  <c r="U56" i="10"/>
  <c r="V56" i="10"/>
  <c r="W56" i="10"/>
  <c r="T57" i="10"/>
  <c r="U57" i="10"/>
  <c r="V57" i="10"/>
  <c r="W57" i="10"/>
  <c r="T58" i="10"/>
  <c r="U58" i="10"/>
  <c r="V58" i="10"/>
  <c r="W58" i="10"/>
  <c r="T59" i="10"/>
  <c r="U59" i="10"/>
  <c r="V59" i="10"/>
  <c r="W59" i="10"/>
  <c r="T60" i="10"/>
  <c r="U60" i="10"/>
  <c r="V60" i="10"/>
  <c r="W60" i="10"/>
  <c r="T61" i="10"/>
  <c r="U61" i="10"/>
  <c r="V61" i="10"/>
  <c r="W61" i="10"/>
  <c r="W10" i="10"/>
  <c r="V10" i="10"/>
  <c r="U10" i="10"/>
  <c r="T10" i="10"/>
  <c r="O21" i="2"/>
  <c r="O72" i="2"/>
  <c r="I420" i="21" l="1"/>
  <c r="I421" i="21"/>
  <c r="I422" i="21"/>
  <c r="I423" i="21"/>
  <c r="I424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3" i="21"/>
  <c r="I454" i="21"/>
  <c r="I455" i="21"/>
  <c r="I456" i="21"/>
  <c r="I457" i="21"/>
  <c r="I458" i="21"/>
  <c r="I459" i="21"/>
  <c r="I460" i="21"/>
  <c r="I461" i="21"/>
  <c r="I462" i="21"/>
  <c r="I463" i="21"/>
  <c r="I464" i="21"/>
  <c r="I465" i="21"/>
  <c r="I466" i="21"/>
  <c r="I467" i="21"/>
  <c r="I468" i="21"/>
  <c r="I469" i="21"/>
  <c r="I419" i="21"/>
  <c r="B3227" i="21"/>
  <c r="D3227" i="21" s="1"/>
  <c r="C3227" i="21"/>
  <c r="F3227" i="21"/>
  <c r="I3227" i="21"/>
  <c r="B3228" i="21"/>
  <c r="D3228" i="21" s="1"/>
  <c r="C3228" i="21"/>
  <c r="F3228" i="21"/>
  <c r="I3228" i="21"/>
  <c r="B3229" i="21"/>
  <c r="H3229" i="21" s="1"/>
  <c r="C3229" i="21"/>
  <c r="F3229" i="21"/>
  <c r="I3229" i="21"/>
  <c r="B3230" i="21"/>
  <c r="C3230" i="21"/>
  <c r="F3230" i="21"/>
  <c r="I3230" i="21"/>
  <c r="B3231" i="21"/>
  <c r="D3231" i="21" s="1"/>
  <c r="C3231" i="21"/>
  <c r="F3231" i="21"/>
  <c r="H3231" i="21"/>
  <c r="I3231" i="21"/>
  <c r="B3232" i="21"/>
  <c r="D3232" i="21" s="1"/>
  <c r="C3232" i="21"/>
  <c r="F3232" i="21"/>
  <c r="I3232" i="21"/>
  <c r="B3233" i="21"/>
  <c r="H3233" i="21" s="1"/>
  <c r="C3233" i="21"/>
  <c r="F3233" i="21"/>
  <c r="I3233" i="21"/>
  <c r="B3234" i="21"/>
  <c r="H3234" i="21" s="1"/>
  <c r="C3234" i="21"/>
  <c r="F3234" i="21"/>
  <c r="I3234" i="21"/>
  <c r="B3235" i="21"/>
  <c r="D3235" i="21" s="1"/>
  <c r="C3235" i="21"/>
  <c r="F3235" i="21"/>
  <c r="I3235" i="21"/>
  <c r="B3236" i="21"/>
  <c r="D3236" i="21" s="1"/>
  <c r="C3236" i="21"/>
  <c r="F3236" i="21"/>
  <c r="I3236" i="21"/>
  <c r="B3237" i="21"/>
  <c r="H3237" i="21" s="1"/>
  <c r="C3237" i="21"/>
  <c r="F3237" i="21"/>
  <c r="I3237" i="21"/>
  <c r="B3238" i="21"/>
  <c r="C3238" i="21"/>
  <c r="F3238" i="21"/>
  <c r="I3238" i="21"/>
  <c r="B3239" i="21"/>
  <c r="D3239" i="21" s="1"/>
  <c r="C3239" i="21"/>
  <c r="F3239" i="21"/>
  <c r="I3239" i="21"/>
  <c r="B3240" i="21"/>
  <c r="D3240" i="21" s="1"/>
  <c r="C3240" i="21"/>
  <c r="F3240" i="21"/>
  <c r="I3240" i="21"/>
  <c r="B3241" i="21"/>
  <c r="H3241" i="21" s="1"/>
  <c r="C3241" i="21"/>
  <c r="F3241" i="21"/>
  <c r="I3241" i="21"/>
  <c r="B3242" i="21"/>
  <c r="C3242" i="21"/>
  <c r="D3242" i="21"/>
  <c r="F3242" i="21"/>
  <c r="H3242" i="21"/>
  <c r="I3242" i="21"/>
  <c r="B3243" i="21"/>
  <c r="D3243" i="21" s="1"/>
  <c r="C3243" i="21"/>
  <c r="F3243" i="21"/>
  <c r="I3243" i="21"/>
  <c r="B3244" i="21"/>
  <c r="D3244" i="21" s="1"/>
  <c r="C3244" i="21"/>
  <c r="F3244" i="21"/>
  <c r="I3244" i="21"/>
  <c r="B3245" i="21"/>
  <c r="H3245" i="21" s="1"/>
  <c r="C3245" i="21"/>
  <c r="F3245" i="21"/>
  <c r="I3245" i="21"/>
  <c r="B3246" i="21"/>
  <c r="C3246" i="21"/>
  <c r="F3246" i="21"/>
  <c r="I3246" i="21"/>
  <c r="B3247" i="21"/>
  <c r="H3247" i="21" s="1"/>
  <c r="C3247" i="21"/>
  <c r="F3247" i="21"/>
  <c r="I3247" i="21"/>
  <c r="B3248" i="21"/>
  <c r="D3248" i="21" s="1"/>
  <c r="C3248" i="21"/>
  <c r="F3248" i="21"/>
  <c r="I3248" i="21"/>
  <c r="B3249" i="21"/>
  <c r="H3249" i="21" s="1"/>
  <c r="C3249" i="21"/>
  <c r="F3249" i="21"/>
  <c r="I3249" i="21"/>
  <c r="B3250" i="21"/>
  <c r="D3250" i="21" s="1"/>
  <c r="C3250" i="21"/>
  <c r="F3250" i="21"/>
  <c r="I3250" i="21"/>
  <c r="B3251" i="21"/>
  <c r="D3251" i="21" s="1"/>
  <c r="C3251" i="21"/>
  <c r="F3251" i="21"/>
  <c r="I3251" i="21"/>
  <c r="B3252" i="21"/>
  <c r="D3252" i="21" s="1"/>
  <c r="C3252" i="21"/>
  <c r="F3252" i="21"/>
  <c r="I3252" i="21"/>
  <c r="B3253" i="21"/>
  <c r="H3253" i="21" s="1"/>
  <c r="C3253" i="21"/>
  <c r="F3253" i="21"/>
  <c r="I3253" i="21"/>
  <c r="B3254" i="21"/>
  <c r="C3254" i="21"/>
  <c r="F3254" i="21"/>
  <c r="I3254" i="21"/>
  <c r="B3255" i="21"/>
  <c r="H3255" i="21" s="1"/>
  <c r="C3255" i="21"/>
  <c r="F3255" i="21"/>
  <c r="I3255" i="21"/>
  <c r="B3256" i="21"/>
  <c r="D3256" i="21" s="1"/>
  <c r="C3256" i="21"/>
  <c r="F3256" i="21"/>
  <c r="I3256" i="21"/>
  <c r="B3257" i="21"/>
  <c r="H3257" i="21" s="1"/>
  <c r="C3257" i="21"/>
  <c r="F3257" i="21"/>
  <c r="I3257" i="21"/>
  <c r="B3258" i="21"/>
  <c r="D3258" i="21" s="1"/>
  <c r="C3258" i="21"/>
  <c r="F3258" i="21"/>
  <c r="H3258" i="21"/>
  <c r="I3258" i="21"/>
  <c r="B3259" i="21"/>
  <c r="D3259" i="21" s="1"/>
  <c r="C3259" i="21"/>
  <c r="F3259" i="21"/>
  <c r="H3259" i="21"/>
  <c r="I3259" i="21"/>
  <c r="B3260" i="21"/>
  <c r="D3260" i="21" s="1"/>
  <c r="C3260" i="21"/>
  <c r="F3260" i="21"/>
  <c r="I3260" i="21"/>
  <c r="B3261" i="21"/>
  <c r="H3261" i="21" s="1"/>
  <c r="C3261" i="21"/>
  <c r="F3261" i="21"/>
  <c r="I3261" i="21"/>
  <c r="B3262" i="21"/>
  <c r="C3262" i="21"/>
  <c r="F3262" i="21"/>
  <c r="I3262" i="21"/>
  <c r="B3263" i="21"/>
  <c r="H3263" i="21" s="1"/>
  <c r="C3263" i="21"/>
  <c r="D3263" i="21"/>
  <c r="F3263" i="21"/>
  <c r="I3263" i="21"/>
  <c r="B3264" i="21"/>
  <c r="D3264" i="21" s="1"/>
  <c r="C3264" i="21"/>
  <c r="F3264" i="21"/>
  <c r="I3264" i="21"/>
  <c r="B3265" i="21"/>
  <c r="H3265" i="21" s="1"/>
  <c r="C3265" i="21"/>
  <c r="F3265" i="21"/>
  <c r="I3265" i="21"/>
  <c r="B3266" i="21"/>
  <c r="D3266" i="21" s="1"/>
  <c r="C3266" i="21"/>
  <c r="F3266" i="21"/>
  <c r="I3266" i="21"/>
  <c r="B3267" i="21"/>
  <c r="H3267" i="21" s="1"/>
  <c r="C3267" i="21"/>
  <c r="F3267" i="21"/>
  <c r="I3267" i="21"/>
  <c r="B3268" i="21"/>
  <c r="C3268" i="21"/>
  <c r="F3268" i="21"/>
  <c r="I3268" i="21"/>
  <c r="B3269" i="21"/>
  <c r="H3269" i="21" s="1"/>
  <c r="C3269" i="21"/>
  <c r="F3269" i="21"/>
  <c r="I3269" i="21"/>
  <c r="B3270" i="21"/>
  <c r="H3270" i="21" s="1"/>
  <c r="C3270" i="21"/>
  <c r="F3270" i="21"/>
  <c r="I3270" i="21"/>
  <c r="B3271" i="21"/>
  <c r="H3271" i="21" s="1"/>
  <c r="C3271" i="21"/>
  <c r="F3271" i="21"/>
  <c r="I3271" i="21"/>
  <c r="B3272" i="21"/>
  <c r="D3272" i="21" s="1"/>
  <c r="C3272" i="21"/>
  <c r="F3272" i="21"/>
  <c r="I3272" i="21"/>
  <c r="B3273" i="21"/>
  <c r="H3273" i="21" s="1"/>
  <c r="C3273" i="21"/>
  <c r="F3273" i="21"/>
  <c r="I3273" i="21"/>
  <c r="B3274" i="21"/>
  <c r="D3274" i="21" s="1"/>
  <c r="C3274" i="21"/>
  <c r="F3274" i="21"/>
  <c r="I3274" i="21"/>
  <c r="B3275" i="21"/>
  <c r="H3275" i="21" s="1"/>
  <c r="C3275" i="21"/>
  <c r="F3275" i="21"/>
  <c r="I3275" i="21"/>
  <c r="B3276" i="21"/>
  <c r="D3276" i="21" s="1"/>
  <c r="C3276" i="21"/>
  <c r="F3276" i="21"/>
  <c r="I3276" i="21"/>
  <c r="B3277" i="21"/>
  <c r="H3277" i="21" s="1"/>
  <c r="C3277" i="21"/>
  <c r="F3277" i="21"/>
  <c r="I3277" i="21"/>
  <c r="I3226" i="21"/>
  <c r="F3226" i="21"/>
  <c r="B3226" i="21"/>
  <c r="D3226" i="21" s="1"/>
  <c r="B3175" i="21"/>
  <c r="D3175" i="21" s="1"/>
  <c r="C3175" i="21"/>
  <c r="F3175" i="21"/>
  <c r="I3175" i="21"/>
  <c r="B3176" i="21"/>
  <c r="D3176" i="21" s="1"/>
  <c r="C3176" i="21"/>
  <c r="F3176" i="21"/>
  <c r="I3176" i="21"/>
  <c r="B3177" i="21"/>
  <c r="H3177" i="21" s="1"/>
  <c r="C3177" i="21"/>
  <c r="F3177" i="21"/>
  <c r="I3177" i="21"/>
  <c r="B3178" i="21"/>
  <c r="D3178" i="21" s="1"/>
  <c r="C3178" i="21"/>
  <c r="F3178" i="21"/>
  <c r="H3178" i="21"/>
  <c r="I3178" i="21"/>
  <c r="B3179" i="21"/>
  <c r="D3179" i="21" s="1"/>
  <c r="C3179" i="21"/>
  <c r="F3179" i="21"/>
  <c r="H3179" i="21"/>
  <c r="I3179" i="21"/>
  <c r="B3180" i="21"/>
  <c r="D3180" i="21" s="1"/>
  <c r="C3180" i="21"/>
  <c r="F3180" i="21"/>
  <c r="I3180" i="21"/>
  <c r="B3181" i="21"/>
  <c r="H3181" i="21" s="1"/>
  <c r="C3181" i="21"/>
  <c r="F3181" i="21"/>
  <c r="I3181" i="21"/>
  <c r="B3182" i="21"/>
  <c r="H3182" i="21" s="1"/>
  <c r="C3182" i="21"/>
  <c r="F3182" i="21"/>
  <c r="I3182" i="21"/>
  <c r="B3183" i="21"/>
  <c r="D3183" i="21" s="1"/>
  <c r="C3183" i="21"/>
  <c r="F3183" i="21"/>
  <c r="I3183" i="21"/>
  <c r="B3184" i="21"/>
  <c r="D3184" i="21" s="1"/>
  <c r="C3184" i="21"/>
  <c r="F3184" i="21"/>
  <c r="I3184" i="21"/>
  <c r="B3185" i="21"/>
  <c r="H3185" i="21" s="1"/>
  <c r="C3185" i="21"/>
  <c r="F3185" i="21"/>
  <c r="I3185" i="21"/>
  <c r="B3186" i="21"/>
  <c r="H3186" i="21" s="1"/>
  <c r="C3186" i="21"/>
  <c r="D3186" i="21"/>
  <c r="F3186" i="21"/>
  <c r="I3186" i="21"/>
  <c r="B3187" i="21"/>
  <c r="D3187" i="21" s="1"/>
  <c r="C3187" i="21"/>
  <c r="F3187" i="21"/>
  <c r="I3187" i="21"/>
  <c r="B3188" i="21"/>
  <c r="D3188" i="21" s="1"/>
  <c r="C3188" i="21"/>
  <c r="F3188" i="21"/>
  <c r="I3188" i="21"/>
  <c r="B3189" i="21"/>
  <c r="H3189" i="21" s="1"/>
  <c r="C3189" i="21"/>
  <c r="F3189" i="21"/>
  <c r="I3189" i="21"/>
  <c r="B3190" i="21"/>
  <c r="C3190" i="21"/>
  <c r="F3190" i="21"/>
  <c r="I3190" i="21"/>
  <c r="B3191" i="21"/>
  <c r="H3191" i="21" s="1"/>
  <c r="C3191" i="21"/>
  <c r="F3191" i="21"/>
  <c r="I3191" i="21"/>
  <c r="B3192" i="21"/>
  <c r="D3192" i="21" s="1"/>
  <c r="C3192" i="21"/>
  <c r="F3192" i="21"/>
  <c r="I3192" i="21"/>
  <c r="B3193" i="21"/>
  <c r="H3193" i="21" s="1"/>
  <c r="C3193" i="21"/>
  <c r="F3193" i="21"/>
  <c r="I3193" i="21"/>
  <c r="B3194" i="21"/>
  <c r="D3194" i="21" s="1"/>
  <c r="C3194" i="21"/>
  <c r="F3194" i="21"/>
  <c r="I3194" i="21"/>
  <c r="B3195" i="21"/>
  <c r="H3195" i="21" s="1"/>
  <c r="C3195" i="21"/>
  <c r="D3195" i="21"/>
  <c r="F3195" i="21"/>
  <c r="I3195" i="21"/>
  <c r="B3196" i="21"/>
  <c r="D3196" i="21" s="1"/>
  <c r="C3196" i="21"/>
  <c r="F3196" i="21"/>
  <c r="I3196" i="21"/>
  <c r="B3197" i="21"/>
  <c r="H3197" i="21" s="1"/>
  <c r="C3197" i="21"/>
  <c r="F3197" i="21"/>
  <c r="I3197" i="21"/>
  <c r="B3198" i="21"/>
  <c r="D3198" i="21" s="1"/>
  <c r="C3198" i="21"/>
  <c r="F3198" i="21"/>
  <c r="I3198" i="21"/>
  <c r="B3199" i="21"/>
  <c r="D3199" i="21" s="1"/>
  <c r="C3199" i="21"/>
  <c r="F3199" i="21"/>
  <c r="I3199" i="21"/>
  <c r="B3200" i="21"/>
  <c r="D3200" i="21" s="1"/>
  <c r="C3200" i="21"/>
  <c r="F3200" i="21"/>
  <c r="I3200" i="21"/>
  <c r="B3201" i="21"/>
  <c r="H3201" i="21" s="1"/>
  <c r="C3201" i="21"/>
  <c r="F3201" i="21"/>
  <c r="I3201" i="21"/>
  <c r="B3202" i="21"/>
  <c r="H3202" i="21" s="1"/>
  <c r="C3202" i="21"/>
  <c r="F3202" i="21"/>
  <c r="I3202" i="21"/>
  <c r="B3203" i="21"/>
  <c r="D3203" i="21" s="1"/>
  <c r="C3203" i="21"/>
  <c r="F3203" i="21"/>
  <c r="I3203" i="21"/>
  <c r="B3204" i="21"/>
  <c r="D3204" i="21" s="1"/>
  <c r="C3204" i="21"/>
  <c r="F3204" i="21"/>
  <c r="I3204" i="21"/>
  <c r="B3205" i="21"/>
  <c r="H3205" i="21" s="1"/>
  <c r="C3205" i="21"/>
  <c r="F3205" i="21"/>
  <c r="I3205" i="21"/>
  <c r="B3206" i="21"/>
  <c r="H3206" i="21" s="1"/>
  <c r="C3206" i="21"/>
  <c r="F3206" i="21"/>
  <c r="I3206" i="21"/>
  <c r="B3207" i="21"/>
  <c r="D3207" i="21" s="1"/>
  <c r="C3207" i="21"/>
  <c r="F3207" i="21"/>
  <c r="I3207" i="21"/>
  <c r="B3208" i="21"/>
  <c r="D3208" i="21" s="1"/>
  <c r="C3208" i="21"/>
  <c r="F3208" i="21"/>
  <c r="I3208" i="21"/>
  <c r="B3209" i="21"/>
  <c r="H3209" i="21" s="1"/>
  <c r="C3209" i="21"/>
  <c r="D3209" i="21"/>
  <c r="F3209" i="21"/>
  <c r="I3209" i="21"/>
  <c r="B3210" i="21"/>
  <c r="C3210" i="21"/>
  <c r="F3210" i="21"/>
  <c r="I3210" i="21"/>
  <c r="B3211" i="21"/>
  <c r="H3211" i="21" s="1"/>
  <c r="C3211" i="21"/>
  <c r="F3211" i="21"/>
  <c r="I3211" i="21"/>
  <c r="B3212" i="21"/>
  <c r="D3212" i="21" s="1"/>
  <c r="C3212" i="21"/>
  <c r="F3212" i="21"/>
  <c r="I3212" i="21"/>
  <c r="B3213" i="21"/>
  <c r="C3213" i="21"/>
  <c r="F3213" i="21"/>
  <c r="I3213" i="21"/>
  <c r="B3214" i="21"/>
  <c r="H3214" i="21" s="1"/>
  <c r="C3214" i="21"/>
  <c r="F3214" i="21"/>
  <c r="I3214" i="21"/>
  <c r="B3215" i="21"/>
  <c r="H3215" i="21" s="1"/>
  <c r="C3215" i="21"/>
  <c r="D3215" i="21"/>
  <c r="F3215" i="21"/>
  <c r="I3215" i="21"/>
  <c r="B3216" i="21"/>
  <c r="D3216" i="21" s="1"/>
  <c r="C3216" i="21"/>
  <c r="F3216" i="21"/>
  <c r="I3216" i="21"/>
  <c r="B3217" i="21"/>
  <c r="H3217" i="21" s="1"/>
  <c r="C3217" i="21"/>
  <c r="F3217" i="21"/>
  <c r="I3217" i="21"/>
  <c r="B3218" i="21"/>
  <c r="H3218" i="21" s="1"/>
  <c r="C3218" i="21"/>
  <c r="F3218" i="21"/>
  <c r="I3218" i="21"/>
  <c r="B3219" i="21"/>
  <c r="C3219" i="21"/>
  <c r="F3219" i="21"/>
  <c r="I3219" i="21"/>
  <c r="B3220" i="21"/>
  <c r="D3220" i="21" s="1"/>
  <c r="C3220" i="21"/>
  <c r="F3220" i="21"/>
  <c r="I3220" i="21"/>
  <c r="B3221" i="21"/>
  <c r="H3221" i="21" s="1"/>
  <c r="C3221" i="21"/>
  <c r="F3221" i="21"/>
  <c r="I3221" i="21"/>
  <c r="B3222" i="21"/>
  <c r="C3222" i="21"/>
  <c r="D3222" i="21"/>
  <c r="F3222" i="21"/>
  <c r="H3222" i="21"/>
  <c r="I3222" i="21"/>
  <c r="B3223" i="21"/>
  <c r="H3223" i="21" s="1"/>
  <c r="C3223" i="21"/>
  <c r="F3223" i="21"/>
  <c r="I3223" i="21"/>
  <c r="B3224" i="21"/>
  <c r="D3224" i="21" s="1"/>
  <c r="C3224" i="21"/>
  <c r="F3224" i="21"/>
  <c r="I3224" i="21"/>
  <c r="B3225" i="21"/>
  <c r="H3225" i="21" s="1"/>
  <c r="C3225" i="21"/>
  <c r="F3225" i="21"/>
  <c r="I3225" i="21"/>
  <c r="C3226" i="21"/>
  <c r="H3226" i="21"/>
  <c r="I3174" i="21"/>
  <c r="F3174" i="21"/>
  <c r="B3174" i="21"/>
  <c r="D3174" i="21" s="1"/>
  <c r="B3167" i="21"/>
  <c r="D3167" i="21" s="1"/>
  <c r="C3167" i="21"/>
  <c r="F3167" i="21"/>
  <c r="I3167" i="21"/>
  <c r="B3168" i="21"/>
  <c r="D3168" i="21" s="1"/>
  <c r="C3168" i="21"/>
  <c r="F3168" i="21"/>
  <c r="I3168" i="21"/>
  <c r="B3169" i="21"/>
  <c r="D3169" i="21" s="1"/>
  <c r="C3169" i="21"/>
  <c r="F3169" i="21"/>
  <c r="I3169" i="21"/>
  <c r="B3170" i="21"/>
  <c r="H3170" i="21" s="1"/>
  <c r="C3170" i="21"/>
  <c r="F3170" i="21"/>
  <c r="I3170" i="21"/>
  <c r="B3171" i="21"/>
  <c r="D3171" i="21" s="1"/>
  <c r="C3171" i="21"/>
  <c r="F3171" i="21"/>
  <c r="I3171" i="21"/>
  <c r="B3172" i="21"/>
  <c r="D3172" i="21" s="1"/>
  <c r="C3172" i="21"/>
  <c r="F3172" i="21"/>
  <c r="I3172" i="21"/>
  <c r="B3173" i="21"/>
  <c r="H3173" i="21" s="1"/>
  <c r="C3173" i="21"/>
  <c r="F3173" i="21"/>
  <c r="I3173" i="21"/>
  <c r="C3174" i="21"/>
  <c r="B3123" i="21"/>
  <c r="D3123" i="21" s="1"/>
  <c r="C3123" i="21"/>
  <c r="F3123" i="21"/>
  <c r="H3123" i="21"/>
  <c r="I3123" i="21"/>
  <c r="B3124" i="21"/>
  <c r="D3124" i="21" s="1"/>
  <c r="C3124" i="21"/>
  <c r="F3124" i="21"/>
  <c r="I3124" i="21"/>
  <c r="B3125" i="21"/>
  <c r="H3125" i="21" s="1"/>
  <c r="C3125" i="21"/>
  <c r="D3125" i="21"/>
  <c r="F3125" i="21"/>
  <c r="I3125" i="21"/>
  <c r="B3126" i="21"/>
  <c r="H3126" i="21" s="1"/>
  <c r="C3126" i="21"/>
  <c r="F3126" i="21"/>
  <c r="I3126" i="21"/>
  <c r="B3127" i="21"/>
  <c r="D3127" i="21" s="1"/>
  <c r="C3127" i="21"/>
  <c r="F3127" i="21"/>
  <c r="I3127" i="21"/>
  <c r="B3128" i="21"/>
  <c r="D3128" i="21" s="1"/>
  <c r="C3128" i="21"/>
  <c r="F3128" i="21"/>
  <c r="I3128" i="21"/>
  <c r="B3129" i="21"/>
  <c r="H3129" i="21" s="1"/>
  <c r="C3129" i="21"/>
  <c r="D3129" i="21"/>
  <c r="F3129" i="21"/>
  <c r="I3129" i="21"/>
  <c r="B3130" i="21"/>
  <c r="C3130" i="21"/>
  <c r="F3130" i="21"/>
  <c r="I3130" i="21"/>
  <c r="B3131" i="21"/>
  <c r="H3131" i="21" s="1"/>
  <c r="C3131" i="21"/>
  <c r="D3131" i="21"/>
  <c r="F3131" i="21"/>
  <c r="I3131" i="21"/>
  <c r="B3132" i="21"/>
  <c r="D3132" i="21" s="1"/>
  <c r="C3132" i="21"/>
  <c r="F3132" i="21"/>
  <c r="I3132" i="21"/>
  <c r="B3133" i="21"/>
  <c r="C3133" i="21"/>
  <c r="F3133" i="21"/>
  <c r="I3133" i="21"/>
  <c r="B3134" i="21"/>
  <c r="H3134" i="21" s="1"/>
  <c r="C3134" i="21"/>
  <c r="F3134" i="21"/>
  <c r="I3134" i="21"/>
  <c r="B3135" i="21"/>
  <c r="H3135" i="21" s="1"/>
  <c r="C3135" i="21"/>
  <c r="F3135" i="21"/>
  <c r="I3135" i="21"/>
  <c r="B3136" i="21"/>
  <c r="D3136" i="21" s="1"/>
  <c r="C3136" i="21"/>
  <c r="F3136" i="21"/>
  <c r="I3136" i="21"/>
  <c r="B3137" i="21"/>
  <c r="H3137" i="21" s="1"/>
  <c r="C3137" i="21"/>
  <c r="F3137" i="21"/>
  <c r="I3137" i="21"/>
  <c r="B3138" i="21"/>
  <c r="D3138" i="21" s="1"/>
  <c r="C3138" i="21"/>
  <c r="F3138" i="21"/>
  <c r="I3138" i="21"/>
  <c r="B3139" i="21"/>
  <c r="C3139" i="21"/>
  <c r="F3139" i="21"/>
  <c r="I3139" i="21"/>
  <c r="B3140" i="21"/>
  <c r="D3140" i="21" s="1"/>
  <c r="C3140" i="21"/>
  <c r="F3140" i="21"/>
  <c r="I3140" i="21"/>
  <c r="B3141" i="21"/>
  <c r="H3141" i="21" s="1"/>
  <c r="C3141" i="21"/>
  <c r="F3141" i="21"/>
  <c r="I3141" i="21"/>
  <c r="B3142" i="21"/>
  <c r="D3142" i="21" s="1"/>
  <c r="C3142" i="21"/>
  <c r="F3142" i="21"/>
  <c r="I3142" i="21"/>
  <c r="B3143" i="21"/>
  <c r="H3143" i="21" s="1"/>
  <c r="C3143" i="21"/>
  <c r="F3143" i="21"/>
  <c r="I3143" i="21"/>
  <c r="B3144" i="21"/>
  <c r="D3144" i="21" s="1"/>
  <c r="C3144" i="21"/>
  <c r="F3144" i="21"/>
  <c r="I3144" i="21"/>
  <c r="B3145" i="21"/>
  <c r="H3145" i="21" s="1"/>
  <c r="C3145" i="21"/>
  <c r="F3145" i="21"/>
  <c r="I3145" i="21"/>
  <c r="B3146" i="21"/>
  <c r="H3146" i="21" s="1"/>
  <c r="C3146" i="21"/>
  <c r="D3146" i="21"/>
  <c r="F3146" i="21"/>
  <c r="I3146" i="21"/>
  <c r="B3147" i="21"/>
  <c r="D3147" i="21" s="1"/>
  <c r="C3147" i="21"/>
  <c r="F3147" i="21"/>
  <c r="H3147" i="21"/>
  <c r="I3147" i="21"/>
  <c r="B3148" i="21"/>
  <c r="D3148" i="21" s="1"/>
  <c r="C3148" i="21"/>
  <c r="F3148" i="21"/>
  <c r="I3148" i="21"/>
  <c r="B3149" i="21"/>
  <c r="H3149" i="21" s="1"/>
  <c r="C3149" i="21"/>
  <c r="D3149" i="21"/>
  <c r="F3149" i="21"/>
  <c r="I3149" i="21"/>
  <c r="B3150" i="21"/>
  <c r="D3150" i="21" s="1"/>
  <c r="C3150" i="21"/>
  <c r="F3150" i="21"/>
  <c r="I3150" i="21"/>
  <c r="B3151" i="21"/>
  <c r="D3151" i="21" s="1"/>
  <c r="C3151" i="21"/>
  <c r="F3151" i="21"/>
  <c r="I3151" i="21"/>
  <c r="B3152" i="21"/>
  <c r="D3152" i="21" s="1"/>
  <c r="C3152" i="21"/>
  <c r="F3152" i="21"/>
  <c r="I3152" i="21"/>
  <c r="B3153" i="21"/>
  <c r="H3153" i="21" s="1"/>
  <c r="C3153" i="21"/>
  <c r="F3153" i="21"/>
  <c r="I3153" i="21"/>
  <c r="B3154" i="21"/>
  <c r="H3154" i="21" s="1"/>
  <c r="C3154" i="21"/>
  <c r="D3154" i="21"/>
  <c r="F3154" i="21"/>
  <c r="I3154" i="21"/>
  <c r="B3155" i="21"/>
  <c r="D3155" i="21" s="1"/>
  <c r="C3155" i="21"/>
  <c r="F3155" i="21"/>
  <c r="I3155" i="21"/>
  <c r="B3156" i="21"/>
  <c r="D3156" i="21" s="1"/>
  <c r="C3156" i="21"/>
  <c r="F3156" i="21"/>
  <c r="I3156" i="21"/>
  <c r="B3157" i="21"/>
  <c r="H3157" i="21" s="1"/>
  <c r="C3157" i="21"/>
  <c r="F3157" i="21"/>
  <c r="I3157" i="21"/>
  <c r="B3158" i="21"/>
  <c r="H3158" i="21" s="1"/>
  <c r="C3158" i="21"/>
  <c r="F3158" i="21"/>
  <c r="I3158" i="21"/>
  <c r="B3159" i="21"/>
  <c r="D3159" i="21" s="1"/>
  <c r="C3159" i="21"/>
  <c r="F3159" i="21"/>
  <c r="I3159" i="21"/>
  <c r="B3160" i="21"/>
  <c r="D3160" i="21" s="1"/>
  <c r="C3160" i="21"/>
  <c r="F3160" i="21"/>
  <c r="I3160" i="21"/>
  <c r="B3161" i="21"/>
  <c r="H3161" i="21" s="1"/>
  <c r="C3161" i="21"/>
  <c r="F3161" i="21"/>
  <c r="I3161" i="21"/>
  <c r="B3162" i="21"/>
  <c r="C3162" i="21"/>
  <c r="F3162" i="21"/>
  <c r="I3162" i="21"/>
  <c r="B3163" i="21"/>
  <c r="H3163" i="21" s="1"/>
  <c r="C3163" i="21"/>
  <c r="F3163" i="21"/>
  <c r="I3163" i="21"/>
  <c r="B3164" i="21"/>
  <c r="D3164" i="21" s="1"/>
  <c r="C3164" i="21"/>
  <c r="F3164" i="21"/>
  <c r="I3164" i="21"/>
  <c r="B3165" i="21"/>
  <c r="C3165" i="21"/>
  <c r="F3165" i="21"/>
  <c r="I3165" i="21"/>
  <c r="B3166" i="21"/>
  <c r="H3166" i="21" s="1"/>
  <c r="C3166" i="21"/>
  <c r="F3166" i="21"/>
  <c r="I3166" i="21"/>
  <c r="I3122" i="21"/>
  <c r="F3122" i="21"/>
  <c r="B3122" i="21"/>
  <c r="H3122" i="21" s="1"/>
  <c r="B3119" i="21"/>
  <c r="D3119" i="21" s="1"/>
  <c r="C3119" i="21"/>
  <c r="F3119" i="21"/>
  <c r="I3119" i="21"/>
  <c r="B3120" i="21"/>
  <c r="D3120" i="21" s="1"/>
  <c r="C3120" i="21"/>
  <c r="F3120" i="21"/>
  <c r="I3120" i="21"/>
  <c r="B3121" i="21"/>
  <c r="H3121" i="21" s="1"/>
  <c r="C3121" i="21"/>
  <c r="F3121" i="21"/>
  <c r="I3121" i="21"/>
  <c r="C3122" i="21"/>
  <c r="B3109" i="21"/>
  <c r="D3109" i="21" s="1"/>
  <c r="C3109" i="21"/>
  <c r="F3109" i="21"/>
  <c r="I3109" i="21"/>
  <c r="B3110" i="21"/>
  <c r="D3110" i="21" s="1"/>
  <c r="C3110" i="21"/>
  <c r="F3110" i="21"/>
  <c r="I3110" i="21"/>
  <c r="B3111" i="21"/>
  <c r="H3111" i="21" s="1"/>
  <c r="C3111" i="21"/>
  <c r="D3111" i="21"/>
  <c r="F3111" i="21"/>
  <c r="I3111" i="21"/>
  <c r="B3112" i="21"/>
  <c r="H3112" i="21" s="1"/>
  <c r="C3112" i="21"/>
  <c r="F3112" i="21"/>
  <c r="I3112" i="21"/>
  <c r="B3113" i="21"/>
  <c r="D3113" i="21" s="1"/>
  <c r="C3113" i="21"/>
  <c r="F3113" i="21"/>
  <c r="I3113" i="21"/>
  <c r="B3114" i="21"/>
  <c r="D3114" i="21" s="1"/>
  <c r="C3114" i="21"/>
  <c r="F3114" i="21"/>
  <c r="I3114" i="21"/>
  <c r="B3115" i="21"/>
  <c r="D3115" i="21" s="1"/>
  <c r="C3115" i="21"/>
  <c r="F3115" i="21"/>
  <c r="H3115" i="21"/>
  <c r="I3115" i="21"/>
  <c r="B3116" i="21"/>
  <c r="C3116" i="21"/>
  <c r="F3116" i="21"/>
  <c r="I3116" i="21"/>
  <c r="B3117" i="21"/>
  <c r="D3117" i="21" s="1"/>
  <c r="C3117" i="21"/>
  <c r="F3117" i="21"/>
  <c r="I3117" i="21"/>
  <c r="B3118" i="21"/>
  <c r="D3118" i="21" s="1"/>
  <c r="C3118" i="21"/>
  <c r="F3118" i="21"/>
  <c r="I3118" i="21"/>
  <c r="B3071" i="21"/>
  <c r="D3071" i="21" s="1"/>
  <c r="C3071" i="21"/>
  <c r="F3071" i="21"/>
  <c r="I3071" i="21"/>
  <c r="B3072" i="21"/>
  <c r="D3072" i="21" s="1"/>
  <c r="C3072" i="21"/>
  <c r="F3072" i="21"/>
  <c r="I3072" i="21"/>
  <c r="B3073" i="21"/>
  <c r="H3073" i="21" s="1"/>
  <c r="C3073" i="21"/>
  <c r="F3073" i="21"/>
  <c r="I3073" i="21"/>
  <c r="B3074" i="21"/>
  <c r="H3074" i="21" s="1"/>
  <c r="C3074" i="21"/>
  <c r="F3074" i="21"/>
  <c r="I3074" i="21"/>
  <c r="B3075" i="21"/>
  <c r="D3075" i="21" s="1"/>
  <c r="C3075" i="21"/>
  <c r="F3075" i="21"/>
  <c r="I3075" i="21"/>
  <c r="B3076" i="21"/>
  <c r="D3076" i="21" s="1"/>
  <c r="C3076" i="21"/>
  <c r="F3076" i="21"/>
  <c r="I3076" i="21"/>
  <c r="B3077" i="21"/>
  <c r="H3077" i="21" s="1"/>
  <c r="C3077" i="21"/>
  <c r="F3077" i="21"/>
  <c r="I3077" i="21"/>
  <c r="B3078" i="21"/>
  <c r="D3078" i="21" s="1"/>
  <c r="C3078" i="21"/>
  <c r="F3078" i="21"/>
  <c r="I3078" i="21"/>
  <c r="B3079" i="21"/>
  <c r="H3079" i="21" s="1"/>
  <c r="C3079" i="21"/>
  <c r="F3079" i="21"/>
  <c r="I3079" i="21"/>
  <c r="B3080" i="21"/>
  <c r="D3080" i="21" s="1"/>
  <c r="C3080" i="21"/>
  <c r="F3080" i="21"/>
  <c r="I3080" i="21"/>
  <c r="B3081" i="21"/>
  <c r="H3081" i="21" s="1"/>
  <c r="C3081" i="21"/>
  <c r="F3081" i="21"/>
  <c r="I3081" i="21"/>
  <c r="B3082" i="21"/>
  <c r="H3082" i="21" s="1"/>
  <c r="C3082" i="21"/>
  <c r="D3082" i="21"/>
  <c r="F3082" i="21"/>
  <c r="I3082" i="21"/>
  <c r="B3083" i="21"/>
  <c r="D3083" i="21" s="1"/>
  <c r="C3083" i="21"/>
  <c r="F3083" i="21"/>
  <c r="I3083" i="21"/>
  <c r="B3084" i="21"/>
  <c r="D3084" i="21" s="1"/>
  <c r="C3084" i="21"/>
  <c r="F3084" i="21"/>
  <c r="I3084" i="21"/>
  <c r="B3085" i="21"/>
  <c r="H3085" i="21" s="1"/>
  <c r="C3085" i="21"/>
  <c r="F3085" i="21"/>
  <c r="I3085" i="21"/>
  <c r="B3086" i="21"/>
  <c r="D3086" i="21" s="1"/>
  <c r="C3086" i="21"/>
  <c r="F3086" i="21"/>
  <c r="I3086" i="21"/>
  <c r="B3087" i="21"/>
  <c r="H3087" i="21" s="1"/>
  <c r="C3087" i="21"/>
  <c r="F3087" i="21"/>
  <c r="I3087" i="21"/>
  <c r="B3088" i="21"/>
  <c r="D3088" i="21" s="1"/>
  <c r="C3088" i="21"/>
  <c r="F3088" i="21"/>
  <c r="I3088" i="21"/>
  <c r="B3089" i="21"/>
  <c r="H3089" i="21" s="1"/>
  <c r="C3089" i="21"/>
  <c r="F3089" i="21"/>
  <c r="I3089" i="21"/>
  <c r="B3090" i="21"/>
  <c r="H3090" i="21" s="1"/>
  <c r="C3090" i="21"/>
  <c r="F3090" i="21"/>
  <c r="I3090" i="21"/>
  <c r="B3091" i="21"/>
  <c r="D3091" i="21" s="1"/>
  <c r="C3091" i="21"/>
  <c r="F3091" i="21"/>
  <c r="I3091" i="21"/>
  <c r="B3092" i="21"/>
  <c r="D3092" i="21" s="1"/>
  <c r="C3092" i="21"/>
  <c r="F3092" i="21"/>
  <c r="I3092" i="21"/>
  <c r="B3093" i="21"/>
  <c r="H3093" i="21" s="1"/>
  <c r="C3093" i="21"/>
  <c r="F3093" i="21"/>
  <c r="I3093" i="21"/>
  <c r="B3094" i="21"/>
  <c r="D3094" i="21" s="1"/>
  <c r="C3094" i="21"/>
  <c r="F3094" i="21"/>
  <c r="H3094" i="21"/>
  <c r="I3094" i="21"/>
  <c r="B3095" i="21"/>
  <c r="H3095" i="21" s="1"/>
  <c r="C3095" i="21"/>
  <c r="F3095" i="21"/>
  <c r="I3095" i="21"/>
  <c r="B3096" i="21"/>
  <c r="D3096" i="21" s="1"/>
  <c r="C3096" i="21"/>
  <c r="F3096" i="21"/>
  <c r="I3096" i="21"/>
  <c r="B3097" i="21"/>
  <c r="H3097" i="21" s="1"/>
  <c r="C3097" i="21"/>
  <c r="F3097" i="21"/>
  <c r="I3097" i="21"/>
  <c r="B3098" i="21"/>
  <c r="H3098" i="21" s="1"/>
  <c r="C3098" i="21"/>
  <c r="D3098" i="21"/>
  <c r="F3098" i="21"/>
  <c r="I3098" i="21"/>
  <c r="B3099" i="21"/>
  <c r="D3099" i="21" s="1"/>
  <c r="C3099" i="21"/>
  <c r="F3099" i="21"/>
  <c r="I3099" i="21"/>
  <c r="B3100" i="21"/>
  <c r="D3100" i="21" s="1"/>
  <c r="C3100" i="21"/>
  <c r="F3100" i="21"/>
  <c r="I3100" i="21"/>
  <c r="B3101" i="21"/>
  <c r="H3101" i="21" s="1"/>
  <c r="C3101" i="21"/>
  <c r="F3101" i="21"/>
  <c r="I3101" i="21"/>
  <c r="B3102" i="21"/>
  <c r="D3102" i="21" s="1"/>
  <c r="C3102" i="21"/>
  <c r="F3102" i="21"/>
  <c r="I3102" i="21"/>
  <c r="B3103" i="21"/>
  <c r="H3103" i="21" s="1"/>
  <c r="C3103" i="21"/>
  <c r="F3103" i="21"/>
  <c r="I3103" i="21"/>
  <c r="B3104" i="21"/>
  <c r="D3104" i="21" s="1"/>
  <c r="C3104" i="21"/>
  <c r="F3104" i="21"/>
  <c r="I3104" i="21"/>
  <c r="B3105" i="21"/>
  <c r="H3105" i="21" s="1"/>
  <c r="C3105" i="21"/>
  <c r="F3105" i="21"/>
  <c r="I3105" i="21"/>
  <c r="B3106" i="21"/>
  <c r="H3106" i="21" s="1"/>
  <c r="C3106" i="21"/>
  <c r="F3106" i="21"/>
  <c r="I3106" i="21"/>
  <c r="B3107" i="21"/>
  <c r="D3107" i="21" s="1"/>
  <c r="C3107" i="21"/>
  <c r="F3107" i="21"/>
  <c r="I3107" i="21"/>
  <c r="B3108" i="21"/>
  <c r="D3108" i="21" s="1"/>
  <c r="C3108" i="21"/>
  <c r="F3108" i="21"/>
  <c r="I3108" i="21"/>
  <c r="I3070" i="21"/>
  <c r="F3070" i="21"/>
  <c r="C3070" i="21"/>
  <c r="B3070" i="21"/>
  <c r="H3070" i="21" s="1"/>
  <c r="B3064" i="21"/>
  <c r="D3064" i="21" s="1"/>
  <c r="C3064" i="21"/>
  <c r="F3064" i="21"/>
  <c r="I3064" i="21"/>
  <c r="B3065" i="21"/>
  <c r="D3065" i="21" s="1"/>
  <c r="C3065" i="21"/>
  <c r="F3065" i="21"/>
  <c r="I3065" i="21"/>
  <c r="B3066" i="21"/>
  <c r="D3066" i="21" s="1"/>
  <c r="C3066" i="21"/>
  <c r="F3066" i="21"/>
  <c r="I3066" i="21"/>
  <c r="B3067" i="21"/>
  <c r="H3067" i="21" s="1"/>
  <c r="C3067" i="21"/>
  <c r="F3067" i="21"/>
  <c r="I3067" i="21"/>
  <c r="B3068" i="21"/>
  <c r="D3068" i="21" s="1"/>
  <c r="C3068" i="21"/>
  <c r="F3068" i="21"/>
  <c r="I3068" i="21"/>
  <c r="B3069" i="21"/>
  <c r="D3069" i="21" s="1"/>
  <c r="C3069" i="21"/>
  <c r="F3069" i="21"/>
  <c r="I3069" i="21"/>
  <c r="B3019" i="21"/>
  <c r="D3019" i="21" s="1"/>
  <c r="C3019" i="21"/>
  <c r="F3019" i="21"/>
  <c r="I3019" i="21"/>
  <c r="B3020" i="21"/>
  <c r="D3020" i="21" s="1"/>
  <c r="C3020" i="21"/>
  <c r="F3020" i="21"/>
  <c r="I3020" i="21"/>
  <c r="B3021" i="21"/>
  <c r="H3021" i="21" s="1"/>
  <c r="C3021" i="21"/>
  <c r="F3021" i="21"/>
  <c r="I3021" i="21"/>
  <c r="B3022" i="21"/>
  <c r="H3022" i="21" s="1"/>
  <c r="C3022" i="21"/>
  <c r="F3022" i="21"/>
  <c r="I3022" i="21"/>
  <c r="B3023" i="21"/>
  <c r="D3023" i="21" s="1"/>
  <c r="C3023" i="21"/>
  <c r="F3023" i="21"/>
  <c r="I3023" i="21"/>
  <c r="B3024" i="21"/>
  <c r="D3024" i="21" s="1"/>
  <c r="C3024" i="21"/>
  <c r="F3024" i="21"/>
  <c r="I3024" i="21"/>
  <c r="B3025" i="21"/>
  <c r="D3025" i="21" s="1"/>
  <c r="C3025" i="21"/>
  <c r="F3025" i="21"/>
  <c r="H3025" i="21"/>
  <c r="I3025" i="21"/>
  <c r="B3026" i="21"/>
  <c r="D3026" i="21" s="1"/>
  <c r="C3026" i="21"/>
  <c r="F3026" i="21"/>
  <c r="H3026" i="21"/>
  <c r="I3026" i="21"/>
  <c r="B3027" i="21"/>
  <c r="D3027" i="21" s="1"/>
  <c r="C3027" i="21"/>
  <c r="F3027" i="21"/>
  <c r="I3027" i="21"/>
  <c r="B3028" i="21"/>
  <c r="D3028" i="21" s="1"/>
  <c r="C3028" i="21"/>
  <c r="F3028" i="21"/>
  <c r="I3028" i="21"/>
  <c r="B3029" i="21"/>
  <c r="H3029" i="21" s="1"/>
  <c r="C3029" i="21"/>
  <c r="F3029" i="21"/>
  <c r="I3029" i="21"/>
  <c r="B3030" i="21"/>
  <c r="H3030" i="21" s="1"/>
  <c r="C3030" i="21"/>
  <c r="D3030" i="21"/>
  <c r="F3030" i="21"/>
  <c r="I3030" i="21"/>
  <c r="B3031" i="21"/>
  <c r="D3031" i="21" s="1"/>
  <c r="C3031" i="21"/>
  <c r="F3031" i="21"/>
  <c r="I3031" i="21"/>
  <c r="B3032" i="21"/>
  <c r="D3032" i="21" s="1"/>
  <c r="C3032" i="21"/>
  <c r="F3032" i="21"/>
  <c r="I3032" i="21"/>
  <c r="B3033" i="21"/>
  <c r="D3033" i="21" s="1"/>
  <c r="C3033" i="21"/>
  <c r="F3033" i="21"/>
  <c r="I3033" i="21"/>
  <c r="B3034" i="21"/>
  <c r="D3034" i="21" s="1"/>
  <c r="C3034" i="21"/>
  <c r="F3034" i="21"/>
  <c r="I3034" i="21"/>
  <c r="B3035" i="21"/>
  <c r="D3035" i="21" s="1"/>
  <c r="C3035" i="21"/>
  <c r="F3035" i="21"/>
  <c r="I3035" i="21"/>
  <c r="B3036" i="21"/>
  <c r="D3036" i="21" s="1"/>
  <c r="C3036" i="21"/>
  <c r="F3036" i="21"/>
  <c r="I3036" i="21"/>
  <c r="B3037" i="21"/>
  <c r="H3037" i="21" s="1"/>
  <c r="C3037" i="21"/>
  <c r="F3037" i="21"/>
  <c r="I3037" i="21"/>
  <c r="B3038" i="21"/>
  <c r="H3038" i="21" s="1"/>
  <c r="C3038" i="21"/>
  <c r="F3038" i="21"/>
  <c r="I3038" i="21"/>
  <c r="B3039" i="21"/>
  <c r="D3039" i="21" s="1"/>
  <c r="C3039" i="21"/>
  <c r="F3039" i="21"/>
  <c r="I3039" i="21"/>
  <c r="B3040" i="21"/>
  <c r="D3040" i="21" s="1"/>
  <c r="C3040" i="21"/>
  <c r="F3040" i="21"/>
  <c r="I3040" i="21"/>
  <c r="B3041" i="21"/>
  <c r="D3041" i="21" s="1"/>
  <c r="C3041" i="21"/>
  <c r="F3041" i="21"/>
  <c r="I3041" i="21"/>
  <c r="B3042" i="21"/>
  <c r="H3042" i="21" s="1"/>
  <c r="C3042" i="21"/>
  <c r="D3042" i="21"/>
  <c r="F3042" i="21"/>
  <c r="I3042" i="21"/>
  <c r="B3043" i="21"/>
  <c r="D3043" i="21" s="1"/>
  <c r="C3043" i="21"/>
  <c r="F3043" i="21"/>
  <c r="I3043" i="21"/>
  <c r="B3044" i="21"/>
  <c r="D3044" i="21" s="1"/>
  <c r="C3044" i="21"/>
  <c r="F3044" i="21"/>
  <c r="I3044" i="21"/>
  <c r="B3045" i="21"/>
  <c r="H3045" i="21" s="1"/>
  <c r="C3045" i="21"/>
  <c r="F3045" i="21"/>
  <c r="I3045" i="21"/>
  <c r="B3046" i="21"/>
  <c r="H3046" i="21" s="1"/>
  <c r="C3046" i="21"/>
  <c r="F3046" i="21"/>
  <c r="I3046" i="21"/>
  <c r="B3047" i="21"/>
  <c r="D3047" i="21" s="1"/>
  <c r="C3047" i="21"/>
  <c r="F3047" i="21"/>
  <c r="I3047" i="21"/>
  <c r="B3048" i="21"/>
  <c r="D3048" i="21" s="1"/>
  <c r="C3048" i="21"/>
  <c r="F3048" i="21"/>
  <c r="I3048" i="21"/>
  <c r="B3049" i="21"/>
  <c r="D3049" i="21" s="1"/>
  <c r="C3049" i="21"/>
  <c r="F3049" i="21"/>
  <c r="I3049" i="21"/>
  <c r="B3050" i="21"/>
  <c r="D3050" i="21" s="1"/>
  <c r="C3050" i="21"/>
  <c r="F3050" i="21"/>
  <c r="I3050" i="21"/>
  <c r="B3051" i="21"/>
  <c r="D3051" i="21" s="1"/>
  <c r="C3051" i="21"/>
  <c r="F3051" i="21"/>
  <c r="I3051" i="21"/>
  <c r="B3052" i="21"/>
  <c r="D3052" i="21" s="1"/>
  <c r="C3052" i="21"/>
  <c r="F3052" i="21"/>
  <c r="I3052" i="21"/>
  <c r="B3053" i="21"/>
  <c r="H3053" i="21" s="1"/>
  <c r="C3053" i="21"/>
  <c r="F3053" i="21"/>
  <c r="I3053" i="21"/>
  <c r="B3054" i="21"/>
  <c r="H3054" i="21" s="1"/>
  <c r="C3054" i="21"/>
  <c r="F3054" i="21"/>
  <c r="I3054" i="21"/>
  <c r="B3055" i="21"/>
  <c r="D3055" i="21" s="1"/>
  <c r="C3055" i="21"/>
  <c r="F3055" i="21"/>
  <c r="I3055" i="21"/>
  <c r="B3056" i="21"/>
  <c r="D3056" i="21" s="1"/>
  <c r="C3056" i="21"/>
  <c r="F3056" i="21"/>
  <c r="I3056" i="21"/>
  <c r="B3057" i="21"/>
  <c r="D3057" i="21" s="1"/>
  <c r="C3057" i="21"/>
  <c r="F3057" i="21"/>
  <c r="H3057" i="21"/>
  <c r="I3057" i="21"/>
  <c r="B3058" i="21"/>
  <c r="D3058" i="21" s="1"/>
  <c r="C3058" i="21"/>
  <c r="F3058" i="21"/>
  <c r="H3058" i="21"/>
  <c r="I3058" i="21"/>
  <c r="B3059" i="21"/>
  <c r="D3059" i="21" s="1"/>
  <c r="C3059" i="21"/>
  <c r="F3059" i="21"/>
  <c r="I3059" i="21"/>
  <c r="B3060" i="21"/>
  <c r="D3060" i="21" s="1"/>
  <c r="C3060" i="21"/>
  <c r="F3060" i="21"/>
  <c r="I3060" i="21"/>
  <c r="B3061" i="21"/>
  <c r="H3061" i="21" s="1"/>
  <c r="C3061" i="21"/>
  <c r="F3061" i="21"/>
  <c r="I3061" i="21"/>
  <c r="B3062" i="21"/>
  <c r="H3062" i="21" s="1"/>
  <c r="C3062" i="21"/>
  <c r="D3062" i="21"/>
  <c r="F3062" i="21"/>
  <c r="I3062" i="21"/>
  <c r="B3063" i="21"/>
  <c r="D3063" i="21" s="1"/>
  <c r="C3063" i="21"/>
  <c r="F3063" i="21"/>
  <c r="I3063" i="21"/>
  <c r="I3018" i="21"/>
  <c r="F3018" i="21"/>
  <c r="B3018" i="21"/>
  <c r="H3018" i="21" s="1"/>
  <c r="B2967" i="21"/>
  <c r="C2967" i="21"/>
  <c r="F2967" i="21"/>
  <c r="I2967" i="21"/>
  <c r="B2968" i="21"/>
  <c r="D2968" i="21" s="1"/>
  <c r="C2968" i="21"/>
  <c r="F2968" i="21"/>
  <c r="I2968" i="21"/>
  <c r="B2969" i="21"/>
  <c r="H2969" i="21" s="1"/>
  <c r="C2969" i="21"/>
  <c r="F2969" i="21"/>
  <c r="I2969" i="21"/>
  <c r="B2970" i="21"/>
  <c r="H2970" i="21" s="1"/>
  <c r="C2970" i="21"/>
  <c r="D2970" i="21"/>
  <c r="F2970" i="21"/>
  <c r="I2970" i="21"/>
  <c r="B2971" i="21"/>
  <c r="H2971" i="21" s="1"/>
  <c r="C2971" i="21"/>
  <c r="F2971" i="21"/>
  <c r="I2971" i="21"/>
  <c r="B2972" i="21"/>
  <c r="D2972" i="21" s="1"/>
  <c r="C2972" i="21"/>
  <c r="F2972" i="21"/>
  <c r="I2972" i="21"/>
  <c r="B2973" i="21"/>
  <c r="H2973" i="21" s="1"/>
  <c r="C2973" i="21"/>
  <c r="F2973" i="21"/>
  <c r="I2973" i="21"/>
  <c r="B2974" i="21"/>
  <c r="H2974" i="21" s="1"/>
  <c r="C2974" i="21"/>
  <c r="D2974" i="21"/>
  <c r="F2974" i="21"/>
  <c r="I2974" i="21"/>
  <c r="B2975" i="21"/>
  <c r="C2975" i="21"/>
  <c r="F2975" i="21"/>
  <c r="I2975" i="21"/>
  <c r="B2976" i="21"/>
  <c r="D2976" i="21" s="1"/>
  <c r="C2976" i="21"/>
  <c r="F2976" i="21"/>
  <c r="I2976" i="21"/>
  <c r="B2977" i="21"/>
  <c r="H2977" i="21" s="1"/>
  <c r="C2977" i="21"/>
  <c r="F2977" i="21"/>
  <c r="I2977" i="21"/>
  <c r="B2978" i="21"/>
  <c r="H2978" i="21" s="1"/>
  <c r="C2978" i="21"/>
  <c r="F2978" i="21"/>
  <c r="I2978" i="21"/>
  <c r="B2979" i="21"/>
  <c r="D2979" i="21" s="1"/>
  <c r="C2979" i="21"/>
  <c r="F2979" i="21"/>
  <c r="I2979" i="21"/>
  <c r="B2980" i="21"/>
  <c r="D2980" i="21" s="1"/>
  <c r="C2980" i="21"/>
  <c r="F2980" i="21"/>
  <c r="I2980" i="21"/>
  <c r="B2981" i="21"/>
  <c r="H2981" i="21" s="1"/>
  <c r="C2981" i="21"/>
  <c r="F2981" i="21"/>
  <c r="I2981" i="21"/>
  <c r="B2982" i="21"/>
  <c r="H2982" i="21" s="1"/>
  <c r="C2982" i="21"/>
  <c r="F2982" i="21"/>
  <c r="I2982" i="21"/>
  <c r="B2983" i="21"/>
  <c r="C2983" i="21"/>
  <c r="F2983" i="21"/>
  <c r="I2983" i="21"/>
  <c r="B2984" i="21"/>
  <c r="D2984" i="21" s="1"/>
  <c r="C2984" i="21"/>
  <c r="F2984" i="21"/>
  <c r="I2984" i="21"/>
  <c r="B2985" i="21"/>
  <c r="H2985" i="21" s="1"/>
  <c r="C2985" i="21"/>
  <c r="F2985" i="21"/>
  <c r="I2985" i="21"/>
  <c r="B2986" i="21"/>
  <c r="H2986" i="21" s="1"/>
  <c r="C2986" i="21"/>
  <c r="F2986" i="21"/>
  <c r="I2986" i="21"/>
  <c r="B2987" i="21"/>
  <c r="D2987" i="21" s="1"/>
  <c r="C2987" i="21"/>
  <c r="F2987" i="21"/>
  <c r="I2987" i="21"/>
  <c r="B2988" i="21"/>
  <c r="D2988" i="21" s="1"/>
  <c r="C2988" i="21"/>
  <c r="F2988" i="21"/>
  <c r="I2988" i="21"/>
  <c r="B2989" i="21"/>
  <c r="H2989" i="21" s="1"/>
  <c r="C2989" i="21"/>
  <c r="F2989" i="21"/>
  <c r="I2989" i="21"/>
  <c r="B2990" i="21"/>
  <c r="H2990" i="21" s="1"/>
  <c r="C2990" i="21"/>
  <c r="F2990" i="21"/>
  <c r="I2990" i="21"/>
  <c r="B2991" i="21"/>
  <c r="C2991" i="21"/>
  <c r="F2991" i="21"/>
  <c r="I2991" i="21"/>
  <c r="B2992" i="21"/>
  <c r="D2992" i="21" s="1"/>
  <c r="C2992" i="21"/>
  <c r="F2992" i="21"/>
  <c r="I2992" i="21"/>
  <c r="B2993" i="21"/>
  <c r="H2993" i="21" s="1"/>
  <c r="C2993" i="21"/>
  <c r="F2993" i="21"/>
  <c r="I2993" i="21"/>
  <c r="B2994" i="21"/>
  <c r="H2994" i="21" s="1"/>
  <c r="C2994" i="21"/>
  <c r="F2994" i="21"/>
  <c r="I2994" i="21"/>
  <c r="B2995" i="21"/>
  <c r="D2995" i="21" s="1"/>
  <c r="C2995" i="21"/>
  <c r="F2995" i="21"/>
  <c r="H2995" i="21"/>
  <c r="I2995" i="21"/>
  <c r="B2996" i="21"/>
  <c r="D2996" i="21" s="1"/>
  <c r="C2996" i="21"/>
  <c r="F2996" i="21"/>
  <c r="I2996" i="21"/>
  <c r="B2997" i="21"/>
  <c r="H2997" i="21" s="1"/>
  <c r="C2997" i="21"/>
  <c r="F2997" i="21"/>
  <c r="I2997" i="21"/>
  <c r="B2998" i="21"/>
  <c r="D2998" i="21" s="1"/>
  <c r="C2998" i="21"/>
  <c r="F2998" i="21"/>
  <c r="I2998" i="21"/>
  <c r="B2999" i="21"/>
  <c r="C2999" i="21"/>
  <c r="F2999" i="21"/>
  <c r="I2999" i="21"/>
  <c r="B3000" i="21"/>
  <c r="D3000" i="21" s="1"/>
  <c r="C3000" i="21"/>
  <c r="F3000" i="21"/>
  <c r="I3000" i="21"/>
  <c r="B3001" i="21"/>
  <c r="H3001" i="21" s="1"/>
  <c r="C3001" i="21"/>
  <c r="F3001" i="21"/>
  <c r="I3001" i="21"/>
  <c r="B3002" i="21"/>
  <c r="H3002" i="21" s="1"/>
  <c r="C3002" i="21"/>
  <c r="F3002" i="21"/>
  <c r="I3002" i="21"/>
  <c r="B3003" i="21"/>
  <c r="D3003" i="21" s="1"/>
  <c r="C3003" i="21"/>
  <c r="F3003" i="21"/>
  <c r="I3003" i="21"/>
  <c r="B3004" i="21"/>
  <c r="D3004" i="21" s="1"/>
  <c r="C3004" i="21"/>
  <c r="F3004" i="21"/>
  <c r="I3004" i="21"/>
  <c r="B3005" i="21"/>
  <c r="H3005" i="21" s="1"/>
  <c r="C3005" i="21"/>
  <c r="F3005" i="21"/>
  <c r="I3005" i="21"/>
  <c r="B3006" i="21"/>
  <c r="D3006" i="21" s="1"/>
  <c r="C3006" i="21"/>
  <c r="F3006" i="21"/>
  <c r="I3006" i="21"/>
  <c r="B3007" i="21"/>
  <c r="C3007" i="21"/>
  <c r="F3007" i="21"/>
  <c r="I3007" i="21"/>
  <c r="B3008" i="21"/>
  <c r="D3008" i="21" s="1"/>
  <c r="C3008" i="21"/>
  <c r="F3008" i="21"/>
  <c r="I3008" i="21"/>
  <c r="B3009" i="21"/>
  <c r="H3009" i="21" s="1"/>
  <c r="C3009" i="21"/>
  <c r="F3009" i="21"/>
  <c r="I3009" i="21"/>
  <c r="B3010" i="21"/>
  <c r="H3010" i="21" s="1"/>
  <c r="C3010" i="21"/>
  <c r="D3010" i="21"/>
  <c r="F3010" i="21"/>
  <c r="I3010" i="21"/>
  <c r="B3011" i="21"/>
  <c r="H3011" i="21" s="1"/>
  <c r="C3011" i="21"/>
  <c r="D3011" i="21"/>
  <c r="F3011" i="21"/>
  <c r="I3011" i="21"/>
  <c r="B3012" i="21"/>
  <c r="D3012" i="21" s="1"/>
  <c r="C3012" i="21"/>
  <c r="F3012" i="21"/>
  <c r="I3012" i="21"/>
  <c r="B3013" i="21"/>
  <c r="H3013" i="21" s="1"/>
  <c r="C3013" i="21"/>
  <c r="F3013" i="21"/>
  <c r="I3013" i="21"/>
  <c r="B3014" i="21"/>
  <c r="D3014" i="21" s="1"/>
  <c r="C3014" i="21"/>
  <c r="F3014" i="21"/>
  <c r="I3014" i="21"/>
  <c r="B3015" i="21"/>
  <c r="C3015" i="21"/>
  <c r="F3015" i="21"/>
  <c r="I3015" i="21"/>
  <c r="B3016" i="21"/>
  <c r="D3016" i="21" s="1"/>
  <c r="C3016" i="21"/>
  <c r="F3016" i="21"/>
  <c r="I3016" i="21"/>
  <c r="B3017" i="21"/>
  <c r="H3017" i="21" s="1"/>
  <c r="C3017" i="21"/>
  <c r="F3017" i="21"/>
  <c r="I3017" i="21"/>
  <c r="C3018" i="21"/>
  <c r="D3018" i="21"/>
  <c r="I2966" i="21"/>
  <c r="F2966" i="21"/>
  <c r="B2966" i="21"/>
  <c r="D2966" i="21" s="1"/>
  <c r="B2965" i="21"/>
  <c r="D2965" i="21" s="1"/>
  <c r="C2965" i="21"/>
  <c r="F2965" i="21"/>
  <c r="I2965" i="21"/>
  <c r="C2966" i="21"/>
  <c r="B2915" i="21"/>
  <c r="D2915" i="21" s="1"/>
  <c r="C2915" i="21"/>
  <c r="F2915" i="21"/>
  <c r="I2915" i="21"/>
  <c r="B2916" i="21"/>
  <c r="D2916" i="21" s="1"/>
  <c r="C2916" i="21"/>
  <c r="F2916" i="21"/>
  <c r="I2916" i="21"/>
  <c r="B2917" i="21"/>
  <c r="C2917" i="21"/>
  <c r="F2917" i="21"/>
  <c r="I2917" i="21"/>
  <c r="B2918" i="21"/>
  <c r="D2918" i="21" s="1"/>
  <c r="C2918" i="21"/>
  <c r="F2918" i="21"/>
  <c r="I2918" i="21"/>
  <c r="B2919" i="21"/>
  <c r="D2919" i="21" s="1"/>
  <c r="C2919" i="21"/>
  <c r="F2919" i="21"/>
  <c r="I2919" i="21"/>
  <c r="B2920" i="21"/>
  <c r="H2920" i="21" s="1"/>
  <c r="C2920" i="21"/>
  <c r="F2920" i="21"/>
  <c r="I2920" i="21"/>
  <c r="B2921" i="21"/>
  <c r="C2921" i="21"/>
  <c r="D2921" i="21"/>
  <c r="F2921" i="21"/>
  <c r="H2921" i="21"/>
  <c r="I2921" i="21"/>
  <c r="B2922" i="21"/>
  <c r="D2922" i="21" s="1"/>
  <c r="C2922" i="21"/>
  <c r="F2922" i="21"/>
  <c r="I2922" i="21"/>
  <c r="B2923" i="21"/>
  <c r="D2923" i="21" s="1"/>
  <c r="C2923" i="21"/>
  <c r="F2923" i="21"/>
  <c r="I2923" i="21"/>
  <c r="B2924" i="21"/>
  <c r="H2924" i="21" s="1"/>
  <c r="C2924" i="21"/>
  <c r="F2924" i="21"/>
  <c r="I2924" i="21"/>
  <c r="B2925" i="21"/>
  <c r="C2925" i="21"/>
  <c r="F2925" i="21"/>
  <c r="I2925" i="21"/>
  <c r="B2926" i="21"/>
  <c r="D2926" i="21" s="1"/>
  <c r="C2926" i="21"/>
  <c r="F2926" i="21"/>
  <c r="I2926" i="21"/>
  <c r="B2927" i="21"/>
  <c r="D2927" i="21" s="1"/>
  <c r="C2927" i="21"/>
  <c r="F2927" i="21"/>
  <c r="I2927" i="21"/>
  <c r="B2928" i="21"/>
  <c r="H2928" i="21" s="1"/>
  <c r="C2928" i="21"/>
  <c r="D2928" i="21"/>
  <c r="F2928" i="21"/>
  <c r="I2928" i="21"/>
  <c r="B2929" i="21"/>
  <c r="D2929" i="21" s="1"/>
  <c r="C2929" i="21"/>
  <c r="F2929" i="21"/>
  <c r="I2929" i="21"/>
  <c r="B2930" i="21"/>
  <c r="D2930" i="21" s="1"/>
  <c r="C2930" i="21"/>
  <c r="F2930" i="21"/>
  <c r="I2930" i="21"/>
  <c r="B2931" i="21"/>
  <c r="D2931" i="21" s="1"/>
  <c r="C2931" i="21"/>
  <c r="F2931" i="21"/>
  <c r="I2931" i="21"/>
  <c r="B2932" i="21"/>
  <c r="H2932" i="21" s="1"/>
  <c r="C2932" i="21"/>
  <c r="D2932" i="21"/>
  <c r="F2932" i="21"/>
  <c r="I2932" i="21"/>
  <c r="B2933" i="21"/>
  <c r="C2933" i="21"/>
  <c r="F2933" i="21"/>
  <c r="I2933" i="21"/>
  <c r="B2934" i="21"/>
  <c r="D2934" i="21" s="1"/>
  <c r="C2934" i="21"/>
  <c r="F2934" i="21"/>
  <c r="I2934" i="21"/>
  <c r="B2935" i="21"/>
  <c r="D2935" i="21" s="1"/>
  <c r="C2935" i="21"/>
  <c r="F2935" i="21"/>
  <c r="I2935" i="21"/>
  <c r="B2936" i="21"/>
  <c r="H2936" i="21" s="1"/>
  <c r="C2936" i="21"/>
  <c r="F2936" i="21"/>
  <c r="I2936" i="21"/>
  <c r="B2937" i="21"/>
  <c r="D2937" i="21" s="1"/>
  <c r="C2937" i="21"/>
  <c r="F2937" i="21"/>
  <c r="H2937" i="21"/>
  <c r="I2937" i="21"/>
  <c r="B2938" i="21"/>
  <c r="D2938" i="21" s="1"/>
  <c r="C2938" i="21"/>
  <c r="F2938" i="21"/>
  <c r="H2938" i="21"/>
  <c r="I2938" i="21"/>
  <c r="B2939" i="21"/>
  <c r="D2939" i="21" s="1"/>
  <c r="C2939" i="21"/>
  <c r="F2939" i="21"/>
  <c r="I2939" i="21"/>
  <c r="B2940" i="21"/>
  <c r="H2940" i="21" s="1"/>
  <c r="C2940" i="21"/>
  <c r="F2940" i="21"/>
  <c r="I2940" i="21"/>
  <c r="B2941" i="21"/>
  <c r="C2941" i="21"/>
  <c r="F2941" i="21"/>
  <c r="I2941" i="21"/>
  <c r="B2942" i="21"/>
  <c r="D2942" i="21" s="1"/>
  <c r="C2942" i="21"/>
  <c r="F2942" i="21"/>
  <c r="I2942" i="21"/>
  <c r="B2943" i="21"/>
  <c r="D2943" i="21" s="1"/>
  <c r="C2943" i="21"/>
  <c r="F2943" i="21"/>
  <c r="I2943" i="21"/>
  <c r="B2944" i="21"/>
  <c r="H2944" i="21" s="1"/>
  <c r="C2944" i="21"/>
  <c r="D2944" i="21"/>
  <c r="F2944" i="21"/>
  <c r="I2944" i="21"/>
  <c r="B2945" i="21"/>
  <c r="H2945" i="21" s="1"/>
  <c r="C2945" i="21"/>
  <c r="F2945" i="21"/>
  <c r="I2945" i="21"/>
  <c r="B2946" i="21"/>
  <c r="D2946" i="21" s="1"/>
  <c r="C2946" i="21"/>
  <c r="F2946" i="21"/>
  <c r="I2946" i="21"/>
  <c r="B2947" i="21"/>
  <c r="D2947" i="21" s="1"/>
  <c r="C2947" i="21"/>
  <c r="F2947" i="21"/>
  <c r="I2947" i="21"/>
  <c r="B2948" i="21"/>
  <c r="H2948" i="21" s="1"/>
  <c r="C2948" i="21"/>
  <c r="F2948" i="21"/>
  <c r="I2948" i="21"/>
  <c r="B2949" i="21"/>
  <c r="C2949" i="21"/>
  <c r="F2949" i="21"/>
  <c r="I2949" i="21"/>
  <c r="B2950" i="21"/>
  <c r="D2950" i="21" s="1"/>
  <c r="C2950" i="21"/>
  <c r="F2950" i="21"/>
  <c r="I2950" i="21"/>
  <c r="B2951" i="21"/>
  <c r="D2951" i="21" s="1"/>
  <c r="C2951" i="21"/>
  <c r="F2951" i="21"/>
  <c r="I2951" i="21"/>
  <c r="B2952" i="21"/>
  <c r="H2952" i="21" s="1"/>
  <c r="C2952" i="21"/>
  <c r="D2952" i="21"/>
  <c r="F2952" i="21"/>
  <c r="I2952" i="21"/>
  <c r="B2953" i="21"/>
  <c r="H2953" i="21" s="1"/>
  <c r="C2953" i="21"/>
  <c r="D2953" i="21"/>
  <c r="F2953" i="21"/>
  <c r="I2953" i="21"/>
  <c r="B2954" i="21"/>
  <c r="D2954" i="21" s="1"/>
  <c r="C2954" i="21"/>
  <c r="F2954" i="21"/>
  <c r="I2954" i="21"/>
  <c r="B2955" i="21"/>
  <c r="D2955" i="21" s="1"/>
  <c r="C2955" i="21"/>
  <c r="F2955" i="21"/>
  <c r="I2955" i="21"/>
  <c r="B2956" i="21"/>
  <c r="H2956" i="21" s="1"/>
  <c r="C2956" i="21"/>
  <c r="F2956" i="21"/>
  <c r="I2956" i="21"/>
  <c r="B2957" i="21"/>
  <c r="C2957" i="21"/>
  <c r="F2957" i="21"/>
  <c r="I2957" i="21"/>
  <c r="B2958" i="21"/>
  <c r="C2958" i="21"/>
  <c r="F2958" i="21"/>
  <c r="I2958" i="21"/>
  <c r="B2959" i="21"/>
  <c r="D2959" i="21" s="1"/>
  <c r="C2959" i="21"/>
  <c r="F2959" i="21"/>
  <c r="I2959" i="21"/>
  <c r="B2960" i="21"/>
  <c r="H2960" i="21" s="1"/>
  <c r="C2960" i="21"/>
  <c r="F2960" i="21"/>
  <c r="I2960" i="21"/>
  <c r="B2961" i="21"/>
  <c r="D2961" i="21" s="1"/>
  <c r="C2961" i="21"/>
  <c r="F2961" i="21"/>
  <c r="I2961" i="21"/>
  <c r="B2962" i="21"/>
  <c r="D2962" i="21" s="1"/>
  <c r="C2962" i="21"/>
  <c r="F2962" i="21"/>
  <c r="I2962" i="21"/>
  <c r="B2963" i="21"/>
  <c r="D2963" i="21" s="1"/>
  <c r="C2963" i="21"/>
  <c r="F2963" i="21"/>
  <c r="I2963" i="21"/>
  <c r="B2964" i="21"/>
  <c r="H2964" i="21" s="1"/>
  <c r="C2964" i="21"/>
  <c r="F2964" i="21"/>
  <c r="I2964" i="21"/>
  <c r="I2914" i="21"/>
  <c r="F2914" i="21"/>
  <c r="B2914" i="21"/>
  <c r="D2914" i="21" s="1"/>
  <c r="B2906" i="21"/>
  <c r="D2906" i="21" s="1"/>
  <c r="C2906" i="21"/>
  <c r="F2906" i="21"/>
  <c r="I2906" i="21"/>
  <c r="B2907" i="21"/>
  <c r="D2907" i="21" s="1"/>
  <c r="C2907" i="21"/>
  <c r="F2907" i="21"/>
  <c r="I2907" i="21"/>
  <c r="B2908" i="21"/>
  <c r="H2908" i="21" s="1"/>
  <c r="C2908" i="21"/>
  <c r="F2908" i="21"/>
  <c r="I2908" i="21"/>
  <c r="B2909" i="21"/>
  <c r="D2909" i="21" s="1"/>
  <c r="C2909" i="21"/>
  <c r="F2909" i="21"/>
  <c r="H2909" i="21"/>
  <c r="I2909" i="21"/>
  <c r="B2910" i="21"/>
  <c r="D2910" i="21" s="1"/>
  <c r="C2910" i="21"/>
  <c r="F2910" i="21"/>
  <c r="I2910" i="21"/>
  <c r="B2911" i="21"/>
  <c r="D2911" i="21" s="1"/>
  <c r="C2911" i="21"/>
  <c r="F2911" i="21"/>
  <c r="I2911" i="21"/>
  <c r="B2912" i="21"/>
  <c r="C2912" i="21"/>
  <c r="D2912" i="21"/>
  <c r="F2912" i="21"/>
  <c r="H2912" i="21"/>
  <c r="I2912" i="21"/>
  <c r="B2913" i="21"/>
  <c r="C2913" i="21"/>
  <c r="F2913" i="21"/>
  <c r="I2913" i="21"/>
  <c r="C2914" i="21"/>
  <c r="B2863" i="21"/>
  <c r="D2863" i="21" s="1"/>
  <c r="C2863" i="21"/>
  <c r="F2863" i="21"/>
  <c r="I2863" i="21"/>
  <c r="B2864" i="21"/>
  <c r="D2864" i="21" s="1"/>
  <c r="C2864" i="21"/>
  <c r="F2864" i="21"/>
  <c r="I2864" i="21"/>
  <c r="B2865" i="21"/>
  <c r="C2865" i="21"/>
  <c r="F2865" i="21"/>
  <c r="I2865" i="21"/>
  <c r="B2866" i="21"/>
  <c r="D2866" i="21" s="1"/>
  <c r="C2866" i="21"/>
  <c r="F2866" i="21"/>
  <c r="H2866" i="21"/>
  <c r="I2866" i="21"/>
  <c r="B2867" i="21"/>
  <c r="C2867" i="21"/>
  <c r="F2867" i="21"/>
  <c r="I2867" i="21"/>
  <c r="B2868" i="21"/>
  <c r="D2868" i="21" s="1"/>
  <c r="C2868" i="21"/>
  <c r="F2868" i="21"/>
  <c r="I2868" i="21"/>
  <c r="B2869" i="21"/>
  <c r="H2869" i="21" s="1"/>
  <c r="C2869" i="21"/>
  <c r="F2869" i="21"/>
  <c r="I2869" i="21"/>
  <c r="B2870" i="21"/>
  <c r="H2870" i="21" s="1"/>
  <c r="C2870" i="21"/>
  <c r="F2870" i="21"/>
  <c r="I2870" i="21"/>
  <c r="B2871" i="21"/>
  <c r="D2871" i="21" s="1"/>
  <c r="C2871" i="21"/>
  <c r="F2871" i="21"/>
  <c r="I2871" i="21"/>
  <c r="B2872" i="21"/>
  <c r="D2872" i="21" s="1"/>
  <c r="C2872" i="21"/>
  <c r="F2872" i="21"/>
  <c r="I2872" i="21"/>
  <c r="B2873" i="21"/>
  <c r="H2873" i="21" s="1"/>
  <c r="C2873" i="21"/>
  <c r="F2873" i="21"/>
  <c r="I2873" i="21"/>
  <c r="B2874" i="21"/>
  <c r="H2874" i="21" s="1"/>
  <c r="C2874" i="21"/>
  <c r="D2874" i="21"/>
  <c r="F2874" i="21"/>
  <c r="I2874" i="21"/>
  <c r="B2875" i="21"/>
  <c r="D2875" i="21" s="1"/>
  <c r="C2875" i="21"/>
  <c r="F2875" i="21"/>
  <c r="I2875" i="21"/>
  <c r="B2876" i="21"/>
  <c r="D2876" i="21" s="1"/>
  <c r="C2876" i="21"/>
  <c r="F2876" i="21"/>
  <c r="I2876" i="21"/>
  <c r="B2877" i="21"/>
  <c r="H2877" i="21" s="1"/>
  <c r="C2877" i="21"/>
  <c r="F2877" i="21"/>
  <c r="I2877" i="21"/>
  <c r="B2878" i="21"/>
  <c r="C2878" i="21"/>
  <c r="F2878" i="21"/>
  <c r="I2878" i="21"/>
  <c r="B2879" i="21"/>
  <c r="H2879" i="21" s="1"/>
  <c r="C2879" i="21"/>
  <c r="F2879" i="21"/>
  <c r="I2879" i="21"/>
  <c r="B2880" i="21"/>
  <c r="D2880" i="21" s="1"/>
  <c r="C2880" i="21"/>
  <c r="F2880" i="21"/>
  <c r="I2880" i="21"/>
  <c r="B2881" i="21"/>
  <c r="C2881" i="21"/>
  <c r="F2881" i="21"/>
  <c r="I2881" i="21"/>
  <c r="B2882" i="21"/>
  <c r="C2882" i="21"/>
  <c r="F2882" i="21"/>
  <c r="I2882" i="21"/>
  <c r="B2883" i="21"/>
  <c r="H2883" i="21" s="1"/>
  <c r="C2883" i="21"/>
  <c r="D2883" i="21"/>
  <c r="F2883" i="21"/>
  <c r="I2883" i="21"/>
  <c r="B2884" i="21"/>
  <c r="D2884" i="21" s="1"/>
  <c r="C2884" i="21"/>
  <c r="F2884" i="21"/>
  <c r="I2884" i="21"/>
  <c r="B2885" i="21"/>
  <c r="C2885" i="21"/>
  <c r="F2885" i="21"/>
  <c r="I2885" i="21"/>
  <c r="B2886" i="21"/>
  <c r="D2886" i="21" s="1"/>
  <c r="C2886" i="21"/>
  <c r="F2886" i="21"/>
  <c r="I2886" i="21"/>
  <c r="B2887" i="21"/>
  <c r="C2887" i="21"/>
  <c r="F2887" i="21"/>
  <c r="I2887" i="21"/>
  <c r="B2888" i="21"/>
  <c r="D2888" i="21" s="1"/>
  <c r="C2888" i="21"/>
  <c r="F2888" i="21"/>
  <c r="I2888" i="21"/>
  <c r="B2889" i="21"/>
  <c r="H2889" i="21" s="1"/>
  <c r="C2889" i="21"/>
  <c r="D2889" i="21"/>
  <c r="F2889" i="21"/>
  <c r="I2889" i="21"/>
  <c r="B2890" i="21"/>
  <c r="H2890" i="21" s="1"/>
  <c r="C2890" i="21"/>
  <c r="F2890" i="21"/>
  <c r="I2890" i="21"/>
  <c r="B2891" i="21"/>
  <c r="C2891" i="21"/>
  <c r="F2891" i="21"/>
  <c r="I2891" i="21"/>
  <c r="B2892" i="21"/>
  <c r="D2892" i="21" s="1"/>
  <c r="C2892" i="21"/>
  <c r="F2892" i="21"/>
  <c r="I2892" i="21"/>
  <c r="B2893" i="21"/>
  <c r="H2893" i="21" s="1"/>
  <c r="C2893" i="21"/>
  <c r="D2893" i="21"/>
  <c r="F2893" i="21"/>
  <c r="I2893" i="21"/>
  <c r="B2894" i="21"/>
  <c r="H2894" i="21" s="1"/>
  <c r="C2894" i="21"/>
  <c r="D2894" i="21"/>
  <c r="F2894" i="21"/>
  <c r="I2894" i="21"/>
  <c r="B2895" i="21"/>
  <c r="D2895" i="21" s="1"/>
  <c r="C2895" i="21"/>
  <c r="F2895" i="21"/>
  <c r="I2895" i="21"/>
  <c r="B2896" i="21"/>
  <c r="D2896" i="21" s="1"/>
  <c r="C2896" i="21"/>
  <c r="F2896" i="21"/>
  <c r="I2896" i="21"/>
  <c r="B2897" i="21"/>
  <c r="H2897" i="21" s="1"/>
  <c r="C2897" i="21"/>
  <c r="F2897" i="21"/>
  <c r="I2897" i="21"/>
  <c r="B2898" i="21"/>
  <c r="D2898" i="21" s="1"/>
  <c r="C2898" i="21"/>
  <c r="F2898" i="21"/>
  <c r="I2898" i="21"/>
  <c r="B2899" i="21"/>
  <c r="D2899" i="21" s="1"/>
  <c r="C2899" i="21"/>
  <c r="F2899" i="21"/>
  <c r="I2899" i="21"/>
  <c r="B2900" i="21"/>
  <c r="D2900" i="21" s="1"/>
  <c r="C2900" i="21"/>
  <c r="F2900" i="21"/>
  <c r="I2900" i="21"/>
  <c r="B2901" i="21"/>
  <c r="H2901" i="21" s="1"/>
  <c r="C2901" i="21"/>
  <c r="F2901" i="21"/>
  <c r="I2901" i="21"/>
  <c r="B2902" i="21"/>
  <c r="H2902" i="21" s="1"/>
  <c r="C2902" i="21"/>
  <c r="F2902" i="21"/>
  <c r="I2902" i="21"/>
  <c r="B2903" i="21"/>
  <c r="D2903" i="21" s="1"/>
  <c r="C2903" i="21"/>
  <c r="F2903" i="21"/>
  <c r="H2903" i="21"/>
  <c r="I2903" i="21"/>
  <c r="B2904" i="21"/>
  <c r="D2904" i="21" s="1"/>
  <c r="C2904" i="21"/>
  <c r="F2904" i="21"/>
  <c r="I2904" i="21"/>
  <c r="B2905" i="21"/>
  <c r="H2905" i="21" s="1"/>
  <c r="C2905" i="21"/>
  <c r="D2905" i="21"/>
  <c r="F2905" i="21"/>
  <c r="I2905" i="21"/>
  <c r="I2862" i="21"/>
  <c r="F2862" i="21"/>
  <c r="C2862" i="21"/>
  <c r="B2862" i="21"/>
  <c r="B2847" i="21"/>
  <c r="D2847" i="21" s="1"/>
  <c r="C2847" i="21"/>
  <c r="F2847" i="21"/>
  <c r="I2847" i="21"/>
  <c r="B2848" i="21"/>
  <c r="D2848" i="21" s="1"/>
  <c r="C2848" i="21"/>
  <c r="F2848" i="21"/>
  <c r="I2848" i="21"/>
  <c r="B2849" i="21"/>
  <c r="C2849" i="21"/>
  <c r="F2849" i="21"/>
  <c r="I2849" i="21"/>
  <c r="B2850" i="21"/>
  <c r="H2850" i="21" s="1"/>
  <c r="C2850" i="21"/>
  <c r="F2850" i="21"/>
  <c r="I2850" i="21"/>
  <c r="B2851" i="21"/>
  <c r="D2851" i="21" s="1"/>
  <c r="C2851" i="21"/>
  <c r="F2851" i="21"/>
  <c r="I2851" i="21"/>
  <c r="B2852" i="21"/>
  <c r="D2852" i="21" s="1"/>
  <c r="C2852" i="21"/>
  <c r="F2852" i="21"/>
  <c r="I2852" i="21"/>
  <c r="B2853" i="21"/>
  <c r="H2853" i="21" s="1"/>
  <c r="C2853" i="21"/>
  <c r="D2853" i="21"/>
  <c r="F2853" i="21"/>
  <c r="I2853" i="21"/>
  <c r="B2854" i="21"/>
  <c r="H2854" i="21" s="1"/>
  <c r="C2854" i="21"/>
  <c r="D2854" i="21"/>
  <c r="F2854" i="21"/>
  <c r="I2854" i="21"/>
  <c r="B2855" i="21"/>
  <c r="D2855" i="21" s="1"/>
  <c r="C2855" i="21"/>
  <c r="F2855" i="21"/>
  <c r="I2855" i="21"/>
  <c r="B2856" i="21"/>
  <c r="D2856" i="21" s="1"/>
  <c r="C2856" i="21"/>
  <c r="F2856" i="21"/>
  <c r="I2856" i="21"/>
  <c r="B2857" i="21"/>
  <c r="C2857" i="21"/>
  <c r="F2857" i="21"/>
  <c r="I2857" i="21"/>
  <c r="B2858" i="21"/>
  <c r="H2858" i="21" s="1"/>
  <c r="C2858" i="21"/>
  <c r="F2858" i="21"/>
  <c r="I2858" i="21"/>
  <c r="B2859" i="21"/>
  <c r="D2859" i="21" s="1"/>
  <c r="C2859" i="21"/>
  <c r="F2859" i="21"/>
  <c r="I2859" i="21"/>
  <c r="B2860" i="21"/>
  <c r="D2860" i="21" s="1"/>
  <c r="C2860" i="21"/>
  <c r="F2860" i="21"/>
  <c r="I2860" i="21"/>
  <c r="B2861" i="21"/>
  <c r="D2861" i="21" s="1"/>
  <c r="C2861" i="21"/>
  <c r="F2861" i="21"/>
  <c r="I2861" i="21"/>
  <c r="B2811" i="21"/>
  <c r="D2811" i="21" s="1"/>
  <c r="C2811" i="21"/>
  <c r="F2811" i="21"/>
  <c r="I2811" i="21"/>
  <c r="B2812" i="21"/>
  <c r="D2812" i="21" s="1"/>
  <c r="C2812" i="21"/>
  <c r="F2812" i="21"/>
  <c r="I2812" i="21"/>
  <c r="B2813" i="21"/>
  <c r="H2813" i="21" s="1"/>
  <c r="C2813" i="21"/>
  <c r="F2813" i="21"/>
  <c r="I2813" i="21"/>
  <c r="B2814" i="21"/>
  <c r="D2814" i="21" s="1"/>
  <c r="C2814" i="21"/>
  <c r="F2814" i="21"/>
  <c r="I2814" i="21"/>
  <c r="B2815" i="21"/>
  <c r="D2815" i="21" s="1"/>
  <c r="C2815" i="21"/>
  <c r="F2815" i="21"/>
  <c r="I2815" i="21"/>
  <c r="B2816" i="21"/>
  <c r="D2816" i="21" s="1"/>
  <c r="C2816" i="21"/>
  <c r="F2816" i="21"/>
  <c r="I2816" i="21"/>
  <c r="B2817" i="21"/>
  <c r="H2817" i="21" s="1"/>
  <c r="C2817" i="21"/>
  <c r="F2817" i="21"/>
  <c r="I2817" i="21"/>
  <c r="B2818" i="21"/>
  <c r="H2818" i="21" s="1"/>
  <c r="C2818" i="21"/>
  <c r="F2818" i="21"/>
  <c r="I2818" i="21"/>
  <c r="B2819" i="21"/>
  <c r="D2819" i="21" s="1"/>
  <c r="C2819" i="21"/>
  <c r="F2819" i="21"/>
  <c r="I2819" i="21"/>
  <c r="B2820" i="21"/>
  <c r="D2820" i="21" s="1"/>
  <c r="C2820" i="21"/>
  <c r="F2820" i="21"/>
  <c r="I2820" i="21"/>
  <c r="B2821" i="21"/>
  <c r="H2821" i="21" s="1"/>
  <c r="C2821" i="21"/>
  <c r="F2821" i="21"/>
  <c r="I2821" i="21"/>
  <c r="B2822" i="21"/>
  <c r="D2822" i="21" s="1"/>
  <c r="C2822" i="21"/>
  <c r="F2822" i="21"/>
  <c r="H2822" i="21"/>
  <c r="I2822" i="21"/>
  <c r="B2823" i="21"/>
  <c r="D2823" i="21" s="1"/>
  <c r="C2823" i="21"/>
  <c r="F2823" i="21"/>
  <c r="I2823" i="21"/>
  <c r="B2824" i="21"/>
  <c r="D2824" i="21" s="1"/>
  <c r="C2824" i="21"/>
  <c r="F2824" i="21"/>
  <c r="I2824" i="21"/>
  <c r="B2825" i="21"/>
  <c r="H2825" i="21" s="1"/>
  <c r="C2825" i="21"/>
  <c r="F2825" i="21"/>
  <c r="I2825" i="21"/>
  <c r="B2826" i="21"/>
  <c r="H2826" i="21" s="1"/>
  <c r="C2826" i="21"/>
  <c r="F2826" i="21"/>
  <c r="I2826" i="21"/>
  <c r="B2827" i="21"/>
  <c r="C2827" i="21"/>
  <c r="F2827" i="21"/>
  <c r="I2827" i="21"/>
  <c r="B2828" i="21"/>
  <c r="D2828" i="21" s="1"/>
  <c r="C2828" i="21"/>
  <c r="F2828" i="21"/>
  <c r="I2828" i="21"/>
  <c r="B2829" i="21"/>
  <c r="H2829" i="21" s="1"/>
  <c r="C2829" i="21"/>
  <c r="F2829" i="21"/>
  <c r="I2829" i="21"/>
  <c r="B2830" i="21"/>
  <c r="D2830" i="21" s="1"/>
  <c r="C2830" i="21"/>
  <c r="F2830" i="21"/>
  <c r="I2830" i="21"/>
  <c r="B2831" i="21"/>
  <c r="D2831" i="21" s="1"/>
  <c r="C2831" i="21"/>
  <c r="F2831" i="21"/>
  <c r="I2831" i="21"/>
  <c r="B2832" i="21"/>
  <c r="D2832" i="21" s="1"/>
  <c r="C2832" i="21"/>
  <c r="F2832" i="21"/>
  <c r="I2832" i="21"/>
  <c r="B2833" i="21"/>
  <c r="H2833" i="21" s="1"/>
  <c r="C2833" i="21"/>
  <c r="D2833" i="21"/>
  <c r="F2833" i="21"/>
  <c r="I2833" i="21"/>
  <c r="B2834" i="21"/>
  <c r="H2834" i="21" s="1"/>
  <c r="C2834" i="21"/>
  <c r="F2834" i="21"/>
  <c r="I2834" i="21"/>
  <c r="B2835" i="21"/>
  <c r="C2835" i="21"/>
  <c r="F2835" i="21"/>
  <c r="I2835" i="21"/>
  <c r="B2836" i="21"/>
  <c r="D2836" i="21" s="1"/>
  <c r="C2836" i="21"/>
  <c r="F2836" i="21"/>
  <c r="I2836" i="21"/>
  <c r="B2837" i="21"/>
  <c r="H2837" i="21" s="1"/>
  <c r="C2837" i="21"/>
  <c r="F2837" i="21"/>
  <c r="I2837" i="21"/>
  <c r="B2838" i="21"/>
  <c r="H2838" i="21" s="1"/>
  <c r="C2838" i="21"/>
  <c r="F2838" i="21"/>
  <c r="I2838" i="21"/>
  <c r="B2839" i="21"/>
  <c r="D2839" i="21" s="1"/>
  <c r="C2839" i="21"/>
  <c r="F2839" i="21"/>
  <c r="I2839" i="21"/>
  <c r="B2840" i="21"/>
  <c r="D2840" i="21" s="1"/>
  <c r="C2840" i="21"/>
  <c r="F2840" i="21"/>
  <c r="I2840" i="21"/>
  <c r="B2841" i="21"/>
  <c r="H2841" i="21" s="1"/>
  <c r="C2841" i="21"/>
  <c r="F2841" i="21"/>
  <c r="I2841" i="21"/>
  <c r="B2842" i="21"/>
  <c r="H2842" i="21" s="1"/>
  <c r="C2842" i="21"/>
  <c r="F2842" i="21"/>
  <c r="I2842" i="21"/>
  <c r="B2843" i="21"/>
  <c r="C2843" i="21"/>
  <c r="F2843" i="21"/>
  <c r="I2843" i="21"/>
  <c r="B2844" i="21"/>
  <c r="D2844" i="21" s="1"/>
  <c r="C2844" i="21"/>
  <c r="F2844" i="21"/>
  <c r="I2844" i="21"/>
  <c r="B2845" i="21"/>
  <c r="H2845" i="21" s="1"/>
  <c r="C2845" i="21"/>
  <c r="F2845" i="21"/>
  <c r="I2845" i="21"/>
  <c r="B2846" i="21"/>
  <c r="D2846" i="21" s="1"/>
  <c r="C2846" i="21"/>
  <c r="F2846" i="21"/>
  <c r="H2846" i="21"/>
  <c r="I2846" i="21"/>
  <c r="I2810" i="21"/>
  <c r="F2810" i="21"/>
  <c r="B2810" i="21"/>
  <c r="D2810" i="21" s="1"/>
  <c r="B2759" i="21"/>
  <c r="C2759" i="21"/>
  <c r="F2759" i="21"/>
  <c r="I2759" i="21"/>
  <c r="B2760" i="21"/>
  <c r="D2760" i="21" s="1"/>
  <c r="C2760" i="21"/>
  <c r="F2760" i="21"/>
  <c r="I2760" i="21"/>
  <c r="B2761" i="21"/>
  <c r="C2761" i="21"/>
  <c r="F2761" i="21"/>
  <c r="I2761" i="21"/>
  <c r="B2762" i="21"/>
  <c r="H2762" i="21" s="1"/>
  <c r="C2762" i="21"/>
  <c r="D2762" i="21"/>
  <c r="F2762" i="21"/>
  <c r="I2762" i="21"/>
  <c r="B2763" i="21"/>
  <c r="C2763" i="21"/>
  <c r="D2763" i="21"/>
  <c r="F2763" i="21"/>
  <c r="H2763" i="21"/>
  <c r="I2763" i="21"/>
  <c r="B2764" i="21"/>
  <c r="D2764" i="21" s="1"/>
  <c r="C2764" i="21"/>
  <c r="F2764" i="21"/>
  <c r="I2764" i="21"/>
  <c r="B2765" i="21"/>
  <c r="H2765" i="21" s="1"/>
  <c r="C2765" i="21"/>
  <c r="F2765" i="21"/>
  <c r="I2765" i="21"/>
  <c r="B2766" i="21"/>
  <c r="H2766" i="21" s="1"/>
  <c r="C2766" i="21"/>
  <c r="F2766" i="21"/>
  <c r="I2766" i="21"/>
  <c r="B2767" i="21"/>
  <c r="D2767" i="21" s="1"/>
  <c r="C2767" i="21"/>
  <c r="F2767" i="21"/>
  <c r="I2767" i="21"/>
  <c r="B2768" i="21"/>
  <c r="D2768" i="21" s="1"/>
  <c r="C2768" i="21"/>
  <c r="F2768" i="21"/>
  <c r="I2768" i="21"/>
  <c r="B2769" i="21"/>
  <c r="H2769" i="21" s="1"/>
  <c r="C2769" i="21"/>
  <c r="F2769" i="21"/>
  <c r="I2769" i="21"/>
  <c r="B2770" i="21"/>
  <c r="C2770" i="21"/>
  <c r="F2770" i="21"/>
  <c r="I2770" i="21"/>
  <c r="B2771" i="21"/>
  <c r="H2771" i="21" s="1"/>
  <c r="C2771" i="21"/>
  <c r="F2771" i="21"/>
  <c r="I2771" i="21"/>
  <c r="B2772" i="21"/>
  <c r="D2772" i="21" s="1"/>
  <c r="C2772" i="21"/>
  <c r="F2772" i="21"/>
  <c r="I2772" i="21"/>
  <c r="B2773" i="21"/>
  <c r="C2773" i="21"/>
  <c r="F2773" i="21"/>
  <c r="I2773" i="21"/>
  <c r="B2774" i="21"/>
  <c r="D2774" i="21" s="1"/>
  <c r="C2774" i="21"/>
  <c r="F2774" i="21"/>
  <c r="I2774" i="21"/>
  <c r="B2775" i="21"/>
  <c r="H2775" i="21" s="1"/>
  <c r="C2775" i="21"/>
  <c r="D2775" i="21"/>
  <c r="F2775" i="21"/>
  <c r="I2775" i="21"/>
  <c r="B2776" i="21"/>
  <c r="D2776" i="21" s="1"/>
  <c r="C2776" i="21"/>
  <c r="F2776" i="21"/>
  <c r="I2776" i="21"/>
  <c r="B2777" i="21"/>
  <c r="C2777" i="21"/>
  <c r="F2777" i="21"/>
  <c r="I2777" i="21"/>
  <c r="B2778" i="21"/>
  <c r="H2778" i="21" s="1"/>
  <c r="C2778" i="21"/>
  <c r="D2778" i="21"/>
  <c r="F2778" i="21"/>
  <c r="I2778" i="21"/>
  <c r="B2779" i="21"/>
  <c r="D2779" i="21" s="1"/>
  <c r="C2779" i="21"/>
  <c r="F2779" i="21"/>
  <c r="I2779" i="21"/>
  <c r="B2780" i="21"/>
  <c r="D2780" i="21" s="1"/>
  <c r="C2780" i="21"/>
  <c r="F2780" i="21"/>
  <c r="I2780" i="21"/>
  <c r="B2781" i="21"/>
  <c r="H2781" i="21" s="1"/>
  <c r="C2781" i="21"/>
  <c r="F2781" i="21"/>
  <c r="I2781" i="21"/>
  <c r="B2782" i="21"/>
  <c r="H2782" i="21" s="1"/>
  <c r="C2782" i="21"/>
  <c r="D2782" i="21"/>
  <c r="F2782" i="21"/>
  <c r="I2782" i="21"/>
  <c r="B2783" i="21"/>
  <c r="D2783" i="21" s="1"/>
  <c r="C2783" i="21"/>
  <c r="F2783" i="21"/>
  <c r="I2783" i="21"/>
  <c r="B2784" i="21"/>
  <c r="D2784" i="21" s="1"/>
  <c r="C2784" i="21"/>
  <c r="F2784" i="21"/>
  <c r="I2784" i="21"/>
  <c r="B2785" i="21"/>
  <c r="H2785" i="21" s="1"/>
  <c r="C2785" i="21"/>
  <c r="D2785" i="21"/>
  <c r="F2785" i="21"/>
  <c r="I2785" i="21"/>
  <c r="B2786" i="21"/>
  <c r="D2786" i="21" s="1"/>
  <c r="C2786" i="21"/>
  <c r="F2786" i="21"/>
  <c r="I2786" i="21"/>
  <c r="B2787" i="21"/>
  <c r="D2787" i="21" s="1"/>
  <c r="C2787" i="21"/>
  <c r="F2787" i="21"/>
  <c r="I2787" i="21"/>
  <c r="B2788" i="21"/>
  <c r="D2788" i="21" s="1"/>
  <c r="C2788" i="21"/>
  <c r="F2788" i="21"/>
  <c r="I2788" i="21"/>
  <c r="B2789" i="21"/>
  <c r="H2789" i="21" s="1"/>
  <c r="C2789" i="21"/>
  <c r="F2789" i="21"/>
  <c r="I2789" i="21"/>
  <c r="B2790" i="21"/>
  <c r="D2790" i="21" s="1"/>
  <c r="C2790" i="21"/>
  <c r="F2790" i="21"/>
  <c r="I2790" i="21"/>
  <c r="B2791" i="21"/>
  <c r="H2791" i="21" s="1"/>
  <c r="C2791" i="21"/>
  <c r="F2791" i="21"/>
  <c r="I2791" i="21"/>
  <c r="B2792" i="21"/>
  <c r="D2792" i="21" s="1"/>
  <c r="C2792" i="21"/>
  <c r="F2792" i="21"/>
  <c r="I2792" i="21"/>
  <c r="B2793" i="21"/>
  <c r="C2793" i="21"/>
  <c r="F2793" i="21"/>
  <c r="I2793" i="21"/>
  <c r="B2794" i="21"/>
  <c r="H2794" i="21" s="1"/>
  <c r="C2794" i="21"/>
  <c r="F2794" i="21"/>
  <c r="I2794" i="21"/>
  <c r="B2795" i="21"/>
  <c r="H2795" i="21" s="1"/>
  <c r="C2795" i="21"/>
  <c r="F2795" i="21"/>
  <c r="I2795" i="21"/>
  <c r="B2796" i="21"/>
  <c r="D2796" i="21" s="1"/>
  <c r="C2796" i="21"/>
  <c r="F2796" i="21"/>
  <c r="I2796" i="21"/>
  <c r="B2797" i="21"/>
  <c r="H2797" i="21" s="1"/>
  <c r="C2797" i="21"/>
  <c r="F2797" i="21"/>
  <c r="I2797" i="21"/>
  <c r="B2798" i="21"/>
  <c r="H2798" i="21" s="1"/>
  <c r="C2798" i="21"/>
  <c r="F2798" i="21"/>
  <c r="I2798" i="21"/>
  <c r="B2799" i="21"/>
  <c r="D2799" i="21" s="1"/>
  <c r="C2799" i="21"/>
  <c r="F2799" i="21"/>
  <c r="I2799" i="21"/>
  <c r="B2800" i="21"/>
  <c r="D2800" i="21" s="1"/>
  <c r="C2800" i="21"/>
  <c r="F2800" i="21"/>
  <c r="I2800" i="21"/>
  <c r="B2801" i="21"/>
  <c r="H2801" i="21" s="1"/>
  <c r="C2801" i="21"/>
  <c r="F2801" i="21"/>
  <c r="I2801" i="21"/>
  <c r="B2802" i="21"/>
  <c r="D2802" i="21" s="1"/>
  <c r="C2802" i="21"/>
  <c r="F2802" i="21"/>
  <c r="H2802" i="21"/>
  <c r="I2802" i="21"/>
  <c r="B2803" i="21"/>
  <c r="H2803" i="21" s="1"/>
  <c r="C2803" i="21"/>
  <c r="F2803" i="21"/>
  <c r="I2803" i="21"/>
  <c r="B2804" i="21"/>
  <c r="D2804" i="21" s="1"/>
  <c r="C2804" i="21"/>
  <c r="F2804" i="21"/>
  <c r="I2804" i="21"/>
  <c r="B2805" i="21"/>
  <c r="C2805" i="21"/>
  <c r="F2805" i="21"/>
  <c r="I2805" i="21"/>
  <c r="B2806" i="21"/>
  <c r="D2806" i="21" s="1"/>
  <c r="C2806" i="21"/>
  <c r="F2806" i="21"/>
  <c r="I2806" i="21"/>
  <c r="B2807" i="21"/>
  <c r="H2807" i="21" s="1"/>
  <c r="C2807" i="21"/>
  <c r="F2807" i="21"/>
  <c r="I2807" i="21"/>
  <c r="B2808" i="21"/>
  <c r="D2808" i="21" s="1"/>
  <c r="C2808" i="21"/>
  <c r="F2808" i="21"/>
  <c r="I2808" i="21"/>
  <c r="B2809" i="21"/>
  <c r="C2809" i="21"/>
  <c r="F2809" i="21"/>
  <c r="I2809" i="21"/>
  <c r="C2810" i="21"/>
  <c r="H2810" i="21"/>
  <c r="I2758" i="21"/>
  <c r="F2758" i="21"/>
  <c r="B2758" i="21"/>
  <c r="D2758" i="21" s="1"/>
  <c r="B2707" i="21"/>
  <c r="D2707" i="21" s="1"/>
  <c r="C2707" i="21"/>
  <c r="F2707" i="21"/>
  <c r="I2707" i="21"/>
  <c r="B2708" i="21"/>
  <c r="D2708" i="21" s="1"/>
  <c r="C2708" i="21"/>
  <c r="F2708" i="21"/>
  <c r="I2708" i="21"/>
  <c r="B2709" i="21"/>
  <c r="C2709" i="21"/>
  <c r="F2709" i="21"/>
  <c r="I2709" i="21"/>
  <c r="B2710" i="21"/>
  <c r="D2710" i="21" s="1"/>
  <c r="C2710" i="21"/>
  <c r="F2710" i="21"/>
  <c r="I2710" i="21"/>
  <c r="B2711" i="21"/>
  <c r="D2711" i="21" s="1"/>
  <c r="C2711" i="21"/>
  <c r="F2711" i="21"/>
  <c r="I2711" i="21"/>
  <c r="B2712" i="21"/>
  <c r="D2712" i="21" s="1"/>
  <c r="C2712" i="21"/>
  <c r="F2712" i="21"/>
  <c r="I2712" i="21"/>
  <c r="B2713" i="21"/>
  <c r="H2713" i="21" s="1"/>
  <c r="C2713" i="21"/>
  <c r="D2713" i="21"/>
  <c r="F2713" i="21"/>
  <c r="I2713" i="21"/>
  <c r="B2714" i="21"/>
  <c r="D2714" i="21" s="1"/>
  <c r="C2714" i="21"/>
  <c r="F2714" i="21"/>
  <c r="I2714" i="21"/>
  <c r="B2715" i="21"/>
  <c r="D2715" i="21" s="1"/>
  <c r="C2715" i="21"/>
  <c r="F2715" i="21"/>
  <c r="I2715" i="21"/>
  <c r="B2716" i="21"/>
  <c r="D2716" i="21" s="1"/>
  <c r="C2716" i="21"/>
  <c r="F2716" i="21"/>
  <c r="I2716" i="21"/>
  <c r="B2717" i="21"/>
  <c r="C2717" i="21"/>
  <c r="F2717" i="21"/>
  <c r="I2717" i="21"/>
  <c r="B2718" i="21"/>
  <c r="D2718" i="21" s="1"/>
  <c r="C2718" i="21"/>
  <c r="F2718" i="21"/>
  <c r="I2718" i="21"/>
  <c r="B2719" i="21"/>
  <c r="D2719" i="21" s="1"/>
  <c r="C2719" i="21"/>
  <c r="F2719" i="21"/>
  <c r="I2719" i="21"/>
  <c r="B2720" i="21"/>
  <c r="D2720" i="21" s="1"/>
  <c r="C2720" i="21"/>
  <c r="F2720" i="21"/>
  <c r="I2720" i="21"/>
  <c r="B2721" i="21"/>
  <c r="H2721" i="21" s="1"/>
  <c r="C2721" i="21"/>
  <c r="F2721" i="21"/>
  <c r="I2721" i="21"/>
  <c r="B2722" i="21"/>
  <c r="D2722" i="21" s="1"/>
  <c r="C2722" i="21"/>
  <c r="F2722" i="21"/>
  <c r="I2722" i="21"/>
  <c r="B2723" i="21"/>
  <c r="D2723" i="21" s="1"/>
  <c r="C2723" i="21"/>
  <c r="F2723" i="21"/>
  <c r="H2723" i="21"/>
  <c r="I2723" i="21"/>
  <c r="B2724" i="21"/>
  <c r="D2724" i="21" s="1"/>
  <c r="C2724" i="21"/>
  <c r="F2724" i="21"/>
  <c r="I2724" i="21"/>
  <c r="B2725" i="21"/>
  <c r="H2725" i="21" s="1"/>
  <c r="C2725" i="21"/>
  <c r="F2725" i="21"/>
  <c r="I2725" i="21"/>
  <c r="B2726" i="21"/>
  <c r="D2726" i="21" s="1"/>
  <c r="C2726" i="21"/>
  <c r="F2726" i="21"/>
  <c r="I2726" i="21"/>
  <c r="B2727" i="21"/>
  <c r="D2727" i="21" s="1"/>
  <c r="C2727" i="21"/>
  <c r="F2727" i="21"/>
  <c r="I2727" i="21"/>
  <c r="B2728" i="21"/>
  <c r="D2728" i="21" s="1"/>
  <c r="C2728" i="21"/>
  <c r="F2728" i="21"/>
  <c r="I2728" i="21"/>
  <c r="B2729" i="21"/>
  <c r="H2729" i="21" s="1"/>
  <c r="C2729" i="21"/>
  <c r="F2729" i="21"/>
  <c r="I2729" i="21"/>
  <c r="B2730" i="21"/>
  <c r="D2730" i="21" s="1"/>
  <c r="C2730" i="21"/>
  <c r="F2730" i="21"/>
  <c r="I2730" i="21"/>
  <c r="B2731" i="21"/>
  <c r="D2731" i="21" s="1"/>
  <c r="C2731" i="21"/>
  <c r="F2731" i="21"/>
  <c r="I2731" i="21"/>
  <c r="B2732" i="21"/>
  <c r="D2732" i="21" s="1"/>
  <c r="C2732" i="21"/>
  <c r="F2732" i="21"/>
  <c r="I2732" i="21"/>
  <c r="B2733" i="21"/>
  <c r="C2733" i="21"/>
  <c r="F2733" i="21"/>
  <c r="I2733" i="21"/>
  <c r="B2734" i="21"/>
  <c r="D2734" i="21" s="1"/>
  <c r="C2734" i="21"/>
  <c r="F2734" i="21"/>
  <c r="I2734" i="21"/>
  <c r="B2735" i="21"/>
  <c r="C2735" i="21"/>
  <c r="D2735" i="21"/>
  <c r="F2735" i="21"/>
  <c r="H2735" i="21"/>
  <c r="I2735" i="21"/>
  <c r="B2736" i="21"/>
  <c r="D2736" i="21" s="1"/>
  <c r="C2736" i="21"/>
  <c r="F2736" i="21"/>
  <c r="I2736" i="21"/>
  <c r="B2737" i="21"/>
  <c r="H2737" i="21" s="1"/>
  <c r="C2737" i="21"/>
  <c r="F2737" i="21"/>
  <c r="I2737" i="21"/>
  <c r="B2738" i="21"/>
  <c r="H2738" i="21" s="1"/>
  <c r="C2738" i="21"/>
  <c r="F2738" i="21"/>
  <c r="I2738" i="21"/>
  <c r="B2739" i="21"/>
  <c r="D2739" i="21" s="1"/>
  <c r="C2739" i="21"/>
  <c r="F2739" i="21"/>
  <c r="I2739" i="21"/>
  <c r="B2740" i="21"/>
  <c r="D2740" i="21" s="1"/>
  <c r="C2740" i="21"/>
  <c r="F2740" i="21"/>
  <c r="I2740" i="21"/>
  <c r="B2741" i="21"/>
  <c r="H2741" i="21" s="1"/>
  <c r="C2741" i="21"/>
  <c r="F2741" i="21"/>
  <c r="I2741" i="21"/>
  <c r="B2742" i="21"/>
  <c r="D2742" i="21" s="1"/>
  <c r="C2742" i="21"/>
  <c r="F2742" i="21"/>
  <c r="I2742" i="21"/>
  <c r="B2743" i="21"/>
  <c r="H2743" i="21" s="1"/>
  <c r="C2743" i="21"/>
  <c r="F2743" i="21"/>
  <c r="I2743" i="21"/>
  <c r="B2744" i="21"/>
  <c r="D2744" i="21" s="1"/>
  <c r="C2744" i="21"/>
  <c r="F2744" i="21"/>
  <c r="I2744" i="21"/>
  <c r="B2745" i="21"/>
  <c r="H2745" i="21" s="1"/>
  <c r="C2745" i="21"/>
  <c r="F2745" i="21"/>
  <c r="I2745" i="21"/>
  <c r="B2746" i="21"/>
  <c r="D2746" i="21" s="1"/>
  <c r="C2746" i="21"/>
  <c r="F2746" i="21"/>
  <c r="H2746" i="21"/>
  <c r="I2746" i="21"/>
  <c r="B2747" i="21"/>
  <c r="H2747" i="21" s="1"/>
  <c r="C2747" i="21"/>
  <c r="F2747" i="21"/>
  <c r="I2747" i="21"/>
  <c r="B2748" i="21"/>
  <c r="D2748" i="21" s="1"/>
  <c r="C2748" i="21"/>
  <c r="F2748" i="21"/>
  <c r="I2748" i="21"/>
  <c r="B2749" i="21"/>
  <c r="C2749" i="21"/>
  <c r="F2749" i="21"/>
  <c r="I2749" i="21"/>
  <c r="B2750" i="21"/>
  <c r="H2750" i="21" s="1"/>
  <c r="C2750" i="21"/>
  <c r="F2750" i="21"/>
  <c r="I2750" i="21"/>
  <c r="B2751" i="21"/>
  <c r="C2751" i="21"/>
  <c r="D2751" i="21"/>
  <c r="F2751" i="21"/>
  <c r="H2751" i="21"/>
  <c r="I2751" i="21"/>
  <c r="B2752" i="21"/>
  <c r="D2752" i="21" s="1"/>
  <c r="C2752" i="21"/>
  <c r="F2752" i="21"/>
  <c r="I2752" i="21"/>
  <c r="B2753" i="21"/>
  <c r="H2753" i="21" s="1"/>
  <c r="C2753" i="21"/>
  <c r="F2753" i="21"/>
  <c r="I2753" i="21"/>
  <c r="B2754" i="21"/>
  <c r="D2754" i="21" s="1"/>
  <c r="C2754" i="21"/>
  <c r="F2754" i="21"/>
  <c r="I2754" i="21"/>
  <c r="B2755" i="21"/>
  <c r="D2755" i="21" s="1"/>
  <c r="C2755" i="21"/>
  <c r="F2755" i="21"/>
  <c r="I2755" i="21"/>
  <c r="B2756" i="21"/>
  <c r="D2756" i="21" s="1"/>
  <c r="C2756" i="21"/>
  <c r="F2756" i="21"/>
  <c r="I2756" i="21"/>
  <c r="B2757" i="21"/>
  <c r="H2757" i="21" s="1"/>
  <c r="C2757" i="21"/>
  <c r="F2757" i="21"/>
  <c r="I2757" i="21"/>
  <c r="C2758" i="21"/>
  <c r="I2706" i="21"/>
  <c r="F2706" i="21"/>
  <c r="B2706" i="21"/>
  <c r="B2655" i="21"/>
  <c r="D2655" i="21" s="1"/>
  <c r="C2655" i="21"/>
  <c r="F2655" i="21"/>
  <c r="I2655" i="21"/>
  <c r="B2656" i="21"/>
  <c r="D2656" i="21" s="1"/>
  <c r="C2656" i="21"/>
  <c r="F2656" i="21"/>
  <c r="I2656" i="21"/>
  <c r="B2657" i="21"/>
  <c r="H2657" i="21" s="1"/>
  <c r="C2657" i="21"/>
  <c r="F2657" i="21"/>
  <c r="I2657" i="21"/>
  <c r="B2658" i="21"/>
  <c r="D2658" i="21" s="1"/>
  <c r="C2658" i="21"/>
  <c r="F2658" i="21"/>
  <c r="I2658" i="21"/>
  <c r="B2659" i="21"/>
  <c r="C2659" i="21"/>
  <c r="F2659" i="21"/>
  <c r="I2659" i="21"/>
  <c r="B2660" i="21"/>
  <c r="D2660" i="21" s="1"/>
  <c r="C2660" i="21"/>
  <c r="F2660" i="21"/>
  <c r="I2660" i="21"/>
  <c r="B2661" i="21"/>
  <c r="C2661" i="21"/>
  <c r="F2661" i="21"/>
  <c r="I2661" i="21"/>
  <c r="B2662" i="21"/>
  <c r="D2662" i="21" s="1"/>
  <c r="C2662" i="21"/>
  <c r="F2662" i="21"/>
  <c r="I2662" i="21"/>
  <c r="B2663" i="21"/>
  <c r="D2663" i="21" s="1"/>
  <c r="C2663" i="21"/>
  <c r="F2663" i="21"/>
  <c r="I2663" i="21"/>
  <c r="B2664" i="21"/>
  <c r="D2664" i="21" s="1"/>
  <c r="C2664" i="21"/>
  <c r="F2664" i="21"/>
  <c r="I2664" i="21"/>
  <c r="B2665" i="21"/>
  <c r="H2665" i="21" s="1"/>
  <c r="C2665" i="21"/>
  <c r="F2665" i="21"/>
  <c r="I2665" i="21"/>
  <c r="B2666" i="21"/>
  <c r="D2666" i="21" s="1"/>
  <c r="C2666" i="21"/>
  <c r="F2666" i="21"/>
  <c r="H2666" i="21"/>
  <c r="I2666" i="21"/>
  <c r="B2667" i="21"/>
  <c r="C2667" i="21"/>
  <c r="F2667" i="21"/>
  <c r="I2667" i="21"/>
  <c r="B2668" i="21"/>
  <c r="D2668" i="21" s="1"/>
  <c r="C2668" i="21"/>
  <c r="F2668" i="21"/>
  <c r="I2668" i="21"/>
  <c r="B2669" i="21"/>
  <c r="C2669" i="21"/>
  <c r="F2669" i="21"/>
  <c r="I2669" i="21"/>
  <c r="B2670" i="21"/>
  <c r="D2670" i="21" s="1"/>
  <c r="C2670" i="21"/>
  <c r="F2670" i="21"/>
  <c r="I2670" i="21"/>
  <c r="B2671" i="21"/>
  <c r="D2671" i="21" s="1"/>
  <c r="C2671" i="21"/>
  <c r="F2671" i="21"/>
  <c r="I2671" i="21"/>
  <c r="B2672" i="21"/>
  <c r="D2672" i="21" s="1"/>
  <c r="C2672" i="21"/>
  <c r="F2672" i="21"/>
  <c r="I2672" i="21"/>
  <c r="B2673" i="21"/>
  <c r="H2673" i="21" s="1"/>
  <c r="C2673" i="21"/>
  <c r="F2673" i="21"/>
  <c r="I2673" i="21"/>
  <c r="B2674" i="21"/>
  <c r="D2674" i="21" s="1"/>
  <c r="C2674" i="21"/>
  <c r="F2674" i="21"/>
  <c r="I2674" i="21"/>
  <c r="B2675" i="21"/>
  <c r="C2675" i="21"/>
  <c r="F2675" i="21"/>
  <c r="I2675" i="21"/>
  <c r="B2676" i="21"/>
  <c r="D2676" i="21" s="1"/>
  <c r="C2676" i="21"/>
  <c r="F2676" i="21"/>
  <c r="I2676" i="21"/>
  <c r="B2677" i="21"/>
  <c r="C2677" i="21"/>
  <c r="F2677" i="21"/>
  <c r="I2677" i="21"/>
  <c r="B2678" i="21"/>
  <c r="C2678" i="21"/>
  <c r="D2678" i="21"/>
  <c r="F2678" i="21"/>
  <c r="H2678" i="21"/>
  <c r="I2678" i="21"/>
  <c r="B2679" i="21"/>
  <c r="D2679" i="21" s="1"/>
  <c r="C2679" i="21"/>
  <c r="F2679" i="21"/>
  <c r="I2679" i="21"/>
  <c r="B2680" i="21"/>
  <c r="D2680" i="21" s="1"/>
  <c r="C2680" i="21"/>
  <c r="F2680" i="21"/>
  <c r="I2680" i="21"/>
  <c r="B2681" i="21"/>
  <c r="H2681" i="21" s="1"/>
  <c r="C2681" i="21"/>
  <c r="F2681" i="21"/>
  <c r="I2681" i="21"/>
  <c r="B2682" i="21"/>
  <c r="D2682" i="21" s="1"/>
  <c r="C2682" i="21"/>
  <c r="F2682" i="21"/>
  <c r="I2682" i="21"/>
  <c r="B2683" i="21"/>
  <c r="C2683" i="21"/>
  <c r="F2683" i="21"/>
  <c r="I2683" i="21"/>
  <c r="B2684" i="21"/>
  <c r="D2684" i="21" s="1"/>
  <c r="C2684" i="21"/>
  <c r="F2684" i="21"/>
  <c r="I2684" i="21"/>
  <c r="B2685" i="21"/>
  <c r="C2685" i="21"/>
  <c r="F2685" i="21"/>
  <c r="I2685" i="21"/>
  <c r="B2686" i="21"/>
  <c r="H2686" i="21" s="1"/>
  <c r="C2686" i="21"/>
  <c r="F2686" i="21"/>
  <c r="I2686" i="21"/>
  <c r="B2687" i="21"/>
  <c r="D2687" i="21" s="1"/>
  <c r="C2687" i="21"/>
  <c r="F2687" i="21"/>
  <c r="I2687" i="21"/>
  <c r="B2688" i="21"/>
  <c r="D2688" i="21" s="1"/>
  <c r="C2688" i="21"/>
  <c r="F2688" i="21"/>
  <c r="I2688" i="21"/>
  <c r="B2689" i="21"/>
  <c r="H2689" i="21" s="1"/>
  <c r="C2689" i="21"/>
  <c r="D2689" i="21"/>
  <c r="F2689" i="21"/>
  <c r="I2689" i="21"/>
  <c r="B2690" i="21"/>
  <c r="D2690" i="21" s="1"/>
  <c r="C2690" i="21"/>
  <c r="F2690" i="21"/>
  <c r="I2690" i="21"/>
  <c r="B2691" i="21"/>
  <c r="C2691" i="21"/>
  <c r="F2691" i="21"/>
  <c r="I2691" i="21"/>
  <c r="B2692" i="21"/>
  <c r="D2692" i="21" s="1"/>
  <c r="C2692" i="21"/>
  <c r="F2692" i="21"/>
  <c r="I2692" i="21"/>
  <c r="B2693" i="21"/>
  <c r="C2693" i="21"/>
  <c r="F2693" i="21"/>
  <c r="I2693" i="21"/>
  <c r="B2694" i="21"/>
  <c r="D2694" i="21" s="1"/>
  <c r="C2694" i="21"/>
  <c r="F2694" i="21"/>
  <c r="I2694" i="21"/>
  <c r="B2695" i="21"/>
  <c r="D2695" i="21" s="1"/>
  <c r="C2695" i="21"/>
  <c r="F2695" i="21"/>
  <c r="I2695" i="21"/>
  <c r="B2696" i="21"/>
  <c r="D2696" i="21" s="1"/>
  <c r="C2696" i="21"/>
  <c r="F2696" i="21"/>
  <c r="I2696" i="21"/>
  <c r="B2697" i="21"/>
  <c r="H2697" i="21" s="1"/>
  <c r="C2697" i="21"/>
  <c r="F2697" i="21"/>
  <c r="I2697" i="21"/>
  <c r="B2698" i="21"/>
  <c r="D2698" i="21" s="1"/>
  <c r="C2698" i="21"/>
  <c r="F2698" i="21"/>
  <c r="I2698" i="21"/>
  <c r="B2699" i="21"/>
  <c r="C2699" i="21"/>
  <c r="F2699" i="21"/>
  <c r="I2699" i="21"/>
  <c r="B2700" i="21"/>
  <c r="D2700" i="21" s="1"/>
  <c r="C2700" i="21"/>
  <c r="F2700" i="21"/>
  <c r="I2700" i="21"/>
  <c r="B2701" i="21"/>
  <c r="C2701" i="21"/>
  <c r="F2701" i="21"/>
  <c r="I2701" i="21"/>
  <c r="B2702" i="21"/>
  <c r="D2702" i="21" s="1"/>
  <c r="C2702" i="21"/>
  <c r="F2702" i="21"/>
  <c r="I2702" i="21"/>
  <c r="B2703" i="21"/>
  <c r="D2703" i="21" s="1"/>
  <c r="C2703" i="21"/>
  <c r="F2703" i="21"/>
  <c r="I2703" i="21"/>
  <c r="B2704" i="21"/>
  <c r="D2704" i="21" s="1"/>
  <c r="C2704" i="21"/>
  <c r="F2704" i="21"/>
  <c r="I2704" i="21"/>
  <c r="B2705" i="21"/>
  <c r="H2705" i="21" s="1"/>
  <c r="C2705" i="21"/>
  <c r="F2705" i="21"/>
  <c r="I2705" i="21"/>
  <c r="C2706" i="21"/>
  <c r="I2654" i="21"/>
  <c r="F2654" i="21"/>
  <c r="C2654" i="21"/>
  <c r="B2654" i="21"/>
  <c r="D2654" i="21" s="1"/>
  <c r="B2652" i="21"/>
  <c r="H2652" i="21" s="1"/>
  <c r="C2652" i="21"/>
  <c r="F2652" i="21"/>
  <c r="I2652" i="21"/>
  <c r="B2653" i="21"/>
  <c r="D2653" i="21" s="1"/>
  <c r="C2653" i="21"/>
  <c r="F2653" i="21"/>
  <c r="I2653" i="21"/>
  <c r="B2603" i="21"/>
  <c r="D2603" i="21" s="1"/>
  <c r="C2603" i="21"/>
  <c r="F2603" i="21"/>
  <c r="I2603" i="21"/>
  <c r="B2604" i="21"/>
  <c r="D2604" i="21" s="1"/>
  <c r="C2604" i="21"/>
  <c r="F2604" i="21"/>
  <c r="I2604" i="21"/>
  <c r="B2605" i="21"/>
  <c r="H2605" i="21" s="1"/>
  <c r="C2605" i="21"/>
  <c r="F2605" i="21"/>
  <c r="I2605" i="21"/>
  <c r="B2606" i="21"/>
  <c r="D2606" i="21" s="1"/>
  <c r="C2606" i="21"/>
  <c r="F2606" i="21"/>
  <c r="I2606" i="21"/>
  <c r="B2607" i="21"/>
  <c r="D2607" i="21" s="1"/>
  <c r="C2607" i="21"/>
  <c r="F2607" i="21"/>
  <c r="I2607" i="21"/>
  <c r="B2608" i="21"/>
  <c r="D2608" i="21" s="1"/>
  <c r="C2608" i="21"/>
  <c r="F2608" i="21"/>
  <c r="I2608" i="21"/>
  <c r="B2609" i="21"/>
  <c r="C2609" i="21"/>
  <c r="F2609" i="21"/>
  <c r="I2609" i="21"/>
  <c r="B2610" i="21"/>
  <c r="H2610" i="21" s="1"/>
  <c r="C2610" i="21"/>
  <c r="F2610" i="21"/>
  <c r="I2610" i="21"/>
  <c r="B2611" i="21"/>
  <c r="D2611" i="21" s="1"/>
  <c r="C2611" i="21"/>
  <c r="F2611" i="21"/>
  <c r="I2611" i="21"/>
  <c r="B2612" i="21"/>
  <c r="D2612" i="21" s="1"/>
  <c r="C2612" i="21"/>
  <c r="F2612" i="21"/>
  <c r="I2612" i="21"/>
  <c r="B2613" i="21"/>
  <c r="H2613" i="21" s="1"/>
  <c r="C2613" i="21"/>
  <c r="F2613" i="21"/>
  <c r="I2613" i="21"/>
  <c r="B2614" i="21"/>
  <c r="D2614" i="21" s="1"/>
  <c r="C2614" i="21"/>
  <c r="F2614" i="21"/>
  <c r="I2614" i="21"/>
  <c r="B2615" i="21"/>
  <c r="H2615" i="21" s="1"/>
  <c r="C2615" i="21"/>
  <c r="F2615" i="21"/>
  <c r="I2615" i="21"/>
  <c r="B2616" i="21"/>
  <c r="D2616" i="21" s="1"/>
  <c r="C2616" i="21"/>
  <c r="F2616" i="21"/>
  <c r="I2616" i="21"/>
  <c r="B2617" i="21"/>
  <c r="C2617" i="21"/>
  <c r="F2617" i="21"/>
  <c r="I2617" i="21"/>
  <c r="B2618" i="21"/>
  <c r="D2618" i="21" s="1"/>
  <c r="C2618" i="21"/>
  <c r="F2618" i="21"/>
  <c r="I2618" i="21"/>
  <c r="B2619" i="21"/>
  <c r="D2619" i="21" s="1"/>
  <c r="C2619" i="21"/>
  <c r="F2619" i="21"/>
  <c r="H2619" i="21"/>
  <c r="I2619" i="21"/>
  <c r="B2620" i="21"/>
  <c r="D2620" i="21" s="1"/>
  <c r="C2620" i="21"/>
  <c r="F2620" i="21"/>
  <c r="I2620" i="21"/>
  <c r="B2621" i="21"/>
  <c r="H2621" i="21" s="1"/>
  <c r="C2621" i="21"/>
  <c r="F2621" i="21"/>
  <c r="I2621" i="21"/>
  <c r="B2622" i="21"/>
  <c r="C2622" i="21"/>
  <c r="F2622" i="21"/>
  <c r="I2622" i="21"/>
  <c r="B2623" i="21"/>
  <c r="H2623" i="21" s="1"/>
  <c r="C2623" i="21"/>
  <c r="F2623" i="21"/>
  <c r="I2623" i="21"/>
  <c r="B2624" i="21"/>
  <c r="D2624" i="21" s="1"/>
  <c r="C2624" i="21"/>
  <c r="F2624" i="21"/>
  <c r="I2624" i="21"/>
  <c r="B2625" i="21"/>
  <c r="C2625" i="21"/>
  <c r="F2625" i="21"/>
  <c r="I2625" i="21"/>
  <c r="B2626" i="21"/>
  <c r="D2626" i="21" s="1"/>
  <c r="C2626" i="21"/>
  <c r="F2626" i="21"/>
  <c r="I2626" i="21"/>
  <c r="B2627" i="21"/>
  <c r="H2627" i="21" s="1"/>
  <c r="C2627" i="21"/>
  <c r="F2627" i="21"/>
  <c r="I2627" i="21"/>
  <c r="B2628" i="21"/>
  <c r="D2628" i="21" s="1"/>
  <c r="C2628" i="21"/>
  <c r="F2628" i="21"/>
  <c r="I2628" i="21"/>
  <c r="B2629" i="21"/>
  <c r="H2629" i="21" s="1"/>
  <c r="C2629" i="21"/>
  <c r="F2629" i="21"/>
  <c r="I2629" i="21"/>
  <c r="B2630" i="21"/>
  <c r="D2630" i="21" s="1"/>
  <c r="C2630" i="21"/>
  <c r="F2630" i="21"/>
  <c r="I2630" i="21"/>
  <c r="B2631" i="21"/>
  <c r="D2631" i="21" s="1"/>
  <c r="C2631" i="21"/>
  <c r="F2631" i="21"/>
  <c r="I2631" i="21"/>
  <c r="B2632" i="21"/>
  <c r="D2632" i="21" s="1"/>
  <c r="C2632" i="21"/>
  <c r="F2632" i="21"/>
  <c r="I2632" i="21"/>
  <c r="B2633" i="21"/>
  <c r="H2633" i="21" s="1"/>
  <c r="C2633" i="21"/>
  <c r="F2633" i="21"/>
  <c r="I2633" i="21"/>
  <c r="B2634" i="21"/>
  <c r="D2634" i="21" s="1"/>
  <c r="C2634" i="21"/>
  <c r="F2634" i="21"/>
  <c r="I2634" i="21"/>
  <c r="B2635" i="21"/>
  <c r="H2635" i="21" s="1"/>
  <c r="C2635" i="21"/>
  <c r="F2635" i="21"/>
  <c r="I2635" i="21"/>
  <c r="B2636" i="21"/>
  <c r="D2636" i="21" s="1"/>
  <c r="C2636" i="21"/>
  <c r="F2636" i="21"/>
  <c r="I2636" i="21"/>
  <c r="B2637" i="21"/>
  <c r="H2637" i="21" s="1"/>
  <c r="C2637" i="21"/>
  <c r="F2637" i="21"/>
  <c r="I2637" i="21"/>
  <c r="B2638" i="21"/>
  <c r="D2638" i="21" s="1"/>
  <c r="C2638" i="21"/>
  <c r="F2638" i="21"/>
  <c r="I2638" i="21"/>
  <c r="B2639" i="21"/>
  <c r="H2639" i="21" s="1"/>
  <c r="C2639" i="21"/>
  <c r="F2639" i="21"/>
  <c r="I2639" i="21"/>
  <c r="B2640" i="21"/>
  <c r="D2640" i="21" s="1"/>
  <c r="C2640" i="21"/>
  <c r="F2640" i="21"/>
  <c r="I2640" i="21"/>
  <c r="B2641" i="21"/>
  <c r="H2641" i="21" s="1"/>
  <c r="C2641" i="21"/>
  <c r="F2641" i="21"/>
  <c r="I2641" i="21"/>
  <c r="B2642" i="21"/>
  <c r="D2642" i="21" s="1"/>
  <c r="C2642" i="21"/>
  <c r="F2642" i="21"/>
  <c r="I2642" i="21"/>
  <c r="B2643" i="21"/>
  <c r="H2643" i="21" s="1"/>
  <c r="C2643" i="21"/>
  <c r="F2643" i="21"/>
  <c r="I2643" i="21"/>
  <c r="B2644" i="21"/>
  <c r="D2644" i="21" s="1"/>
  <c r="C2644" i="21"/>
  <c r="F2644" i="21"/>
  <c r="I2644" i="21"/>
  <c r="B2645" i="21"/>
  <c r="H2645" i="21" s="1"/>
  <c r="C2645" i="21"/>
  <c r="F2645" i="21"/>
  <c r="I2645" i="21"/>
  <c r="B2646" i="21"/>
  <c r="D2646" i="21" s="1"/>
  <c r="C2646" i="21"/>
  <c r="F2646" i="21"/>
  <c r="I2646" i="21"/>
  <c r="B2647" i="21"/>
  <c r="D2647" i="21" s="1"/>
  <c r="C2647" i="21"/>
  <c r="F2647" i="21"/>
  <c r="I2647" i="21"/>
  <c r="B2648" i="21"/>
  <c r="D2648" i="21" s="1"/>
  <c r="C2648" i="21"/>
  <c r="F2648" i="21"/>
  <c r="I2648" i="21"/>
  <c r="B2649" i="21"/>
  <c r="H2649" i="21" s="1"/>
  <c r="C2649" i="21"/>
  <c r="F2649" i="21"/>
  <c r="I2649" i="21"/>
  <c r="B2650" i="21"/>
  <c r="D2650" i="21" s="1"/>
  <c r="C2650" i="21"/>
  <c r="F2650" i="21"/>
  <c r="I2650" i="21"/>
  <c r="B2651" i="21"/>
  <c r="H2651" i="21" s="1"/>
  <c r="C2651" i="21"/>
  <c r="F2651" i="21"/>
  <c r="I2651" i="21"/>
  <c r="I2602" i="21"/>
  <c r="F2602" i="21"/>
  <c r="B2602" i="21"/>
  <c r="D2602" i="21" s="1"/>
  <c r="B2598" i="21"/>
  <c r="C2598" i="21"/>
  <c r="F2598" i="21"/>
  <c r="I2598" i="21"/>
  <c r="B2599" i="21"/>
  <c r="D2599" i="21" s="1"/>
  <c r="C2599" i="21"/>
  <c r="F2599" i="21"/>
  <c r="I2599" i="21"/>
  <c r="B2600" i="21"/>
  <c r="H2600" i="21" s="1"/>
  <c r="C2600" i="21"/>
  <c r="F2600" i="21"/>
  <c r="I2600" i="21"/>
  <c r="B2601" i="21"/>
  <c r="D2601" i="21" s="1"/>
  <c r="C2601" i="21"/>
  <c r="F2601" i="21"/>
  <c r="I2601" i="21"/>
  <c r="C2602" i="21"/>
  <c r="B2551" i="21"/>
  <c r="D2551" i="21" s="1"/>
  <c r="C2551" i="21"/>
  <c r="F2551" i="21"/>
  <c r="I2551" i="21"/>
  <c r="B2552" i="21"/>
  <c r="D2552" i="21" s="1"/>
  <c r="C2552" i="21"/>
  <c r="F2552" i="21"/>
  <c r="I2552" i="21"/>
  <c r="B2553" i="21"/>
  <c r="H2553" i="21" s="1"/>
  <c r="C2553" i="21"/>
  <c r="F2553" i="21"/>
  <c r="I2553" i="21"/>
  <c r="B2554" i="21"/>
  <c r="D2554" i="21" s="1"/>
  <c r="C2554" i="21"/>
  <c r="F2554" i="21"/>
  <c r="I2554" i="21"/>
  <c r="B2555" i="21"/>
  <c r="D2555" i="21" s="1"/>
  <c r="C2555" i="21"/>
  <c r="F2555" i="21"/>
  <c r="I2555" i="21"/>
  <c r="B2556" i="21"/>
  <c r="D2556" i="21" s="1"/>
  <c r="C2556" i="21"/>
  <c r="F2556" i="21"/>
  <c r="I2556" i="21"/>
  <c r="B2557" i="21"/>
  <c r="H2557" i="21" s="1"/>
  <c r="C2557" i="21"/>
  <c r="F2557" i="21"/>
  <c r="I2557" i="21"/>
  <c r="B2558" i="21"/>
  <c r="D2558" i="21" s="1"/>
  <c r="C2558" i="21"/>
  <c r="F2558" i="21"/>
  <c r="I2558" i="21"/>
  <c r="B2559" i="21"/>
  <c r="D2559" i="21" s="1"/>
  <c r="C2559" i="21"/>
  <c r="F2559" i="21"/>
  <c r="I2559" i="21"/>
  <c r="B2560" i="21"/>
  <c r="D2560" i="21" s="1"/>
  <c r="C2560" i="21"/>
  <c r="F2560" i="21"/>
  <c r="I2560" i="21"/>
  <c r="B2561" i="21"/>
  <c r="H2561" i="21" s="1"/>
  <c r="C2561" i="21"/>
  <c r="F2561" i="21"/>
  <c r="I2561" i="21"/>
  <c r="B2562" i="21"/>
  <c r="D2562" i="21" s="1"/>
  <c r="C2562" i="21"/>
  <c r="F2562" i="21"/>
  <c r="I2562" i="21"/>
  <c r="B2563" i="21"/>
  <c r="D2563" i="21" s="1"/>
  <c r="C2563" i="21"/>
  <c r="F2563" i="21"/>
  <c r="H2563" i="21"/>
  <c r="I2563" i="21"/>
  <c r="B2564" i="21"/>
  <c r="D2564" i="21" s="1"/>
  <c r="C2564" i="21"/>
  <c r="F2564" i="21"/>
  <c r="I2564" i="21"/>
  <c r="B2565" i="21"/>
  <c r="H2565" i="21" s="1"/>
  <c r="C2565" i="21"/>
  <c r="F2565" i="21"/>
  <c r="I2565" i="21"/>
  <c r="B2566" i="21"/>
  <c r="D2566" i="21" s="1"/>
  <c r="C2566" i="21"/>
  <c r="F2566" i="21"/>
  <c r="H2566" i="21"/>
  <c r="I2566" i="21"/>
  <c r="B2567" i="21"/>
  <c r="D2567" i="21" s="1"/>
  <c r="C2567" i="21"/>
  <c r="F2567" i="21"/>
  <c r="I2567" i="21"/>
  <c r="B2568" i="21"/>
  <c r="D2568" i="21" s="1"/>
  <c r="C2568" i="21"/>
  <c r="F2568" i="21"/>
  <c r="I2568" i="21"/>
  <c r="B2569" i="21"/>
  <c r="H2569" i="21" s="1"/>
  <c r="C2569" i="21"/>
  <c r="F2569" i="21"/>
  <c r="I2569" i="21"/>
  <c r="B2570" i="21"/>
  <c r="H2570" i="21" s="1"/>
  <c r="C2570" i="21"/>
  <c r="F2570" i="21"/>
  <c r="I2570" i="21"/>
  <c r="B2571" i="21"/>
  <c r="D2571" i="21" s="1"/>
  <c r="C2571" i="21"/>
  <c r="F2571" i="21"/>
  <c r="I2571" i="21"/>
  <c r="B2572" i="21"/>
  <c r="D2572" i="21" s="1"/>
  <c r="C2572" i="21"/>
  <c r="F2572" i="21"/>
  <c r="I2572" i="21"/>
  <c r="B2573" i="21"/>
  <c r="H2573" i="21" s="1"/>
  <c r="C2573" i="21"/>
  <c r="F2573" i="21"/>
  <c r="I2573" i="21"/>
  <c r="B2574" i="21"/>
  <c r="D2574" i="21" s="1"/>
  <c r="C2574" i="21"/>
  <c r="F2574" i="21"/>
  <c r="I2574" i="21"/>
  <c r="B2575" i="21"/>
  <c r="C2575" i="21"/>
  <c r="F2575" i="21"/>
  <c r="I2575" i="21"/>
  <c r="B2576" i="21"/>
  <c r="D2576" i="21" s="1"/>
  <c r="C2576" i="21"/>
  <c r="F2576" i="21"/>
  <c r="I2576" i="21"/>
  <c r="B2577" i="21"/>
  <c r="H2577" i="21" s="1"/>
  <c r="C2577" i="21"/>
  <c r="F2577" i="21"/>
  <c r="I2577" i="21"/>
  <c r="B2578" i="21"/>
  <c r="H2578" i="21" s="1"/>
  <c r="C2578" i="21"/>
  <c r="F2578" i="21"/>
  <c r="I2578" i="21"/>
  <c r="B2579" i="21"/>
  <c r="D2579" i="21" s="1"/>
  <c r="C2579" i="21"/>
  <c r="F2579" i="21"/>
  <c r="I2579" i="21"/>
  <c r="B2580" i="21"/>
  <c r="D2580" i="21" s="1"/>
  <c r="C2580" i="21"/>
  <c r="F2580" i="21"/>
  <c r="I2580" i="21"/>
  <c r="B2581" i="21"/>
  <c r="H2581" i="21" s="1"/>
  <c r="C2581" i="21"/>
  <c r="F2581" i="21"/>
  <c r="I2581" i="21"/>
  <c r="B2582" i="21"/>
  <c r="C2582" i="21"/>
  <c r="F2582" i="21"/>
  <c r="I2582" i="21"/>
  <c r="B2583" i="21"/>
  <c r="D2583" i="21" s="1"/>
  <c r="C2583" i="21"/>
  <c r="F2583" i="21"/>
  <c r="I2583" i="21"/>
  <c r="B2584" i="21"/>
  <c r="D2584" i="21" s="1"/>
  <c r="C2584" i="21"/>
  <c r="F2584" i="21"/>
  <c r="I2584" i="21"/>
  <c r="B2585" i="21"/>
  <c r="H2585" i="21" s="1"/>
  <c r="C2585" i="21"/>
  <c r="F2585" i="21"/>
  <c r="I2585" i="21"/>
  <c r="B2586" i="21"/>
  <c r="D2586" i="21" s="1"/>
  <c r="C2586" i="21"/>
  <c r="F2586" i="21"/>
  <c r="H2586" i="21"/>
  <c r="I2586" i="21"/>
  <c r="B2587" i="21"/>
  <c r="D2587" i="21" s="1"/>
  <c r="C2587" i="21"/>
  <c r="F2587" i="21"/>
  <c r="I2587" i="21"/>
  <c r="B2588" i="21"/>
  <c r="D2588" i="21" s="1"/>
  <c r="C2588" i="21"/>
  <c r="F2588" i="21"/>
  <c r="I2588" i="21"/>
  <c r="B2589" i="21"/>
  <c r="H2589" i="21" s="1"/>
  <c r="C2589" i="21"/>
  <c r="F2589" i="21"/>
  <c r="I2589" i="21"/>
  <c r="B2590" i="21"/>
  <c r="H2590" i="21" s="1"/>
  <c r="C2590" i="21"/>
  <c r="D2590" i="21"/>
  <c r="F2590" i="21"/>
  <c r="I2590" i="21"/>
  <c r="B2591" i="21"/>
  <c r="D2591" i="21" s="1"/>
  <c r="C2591" i="21"/>
  <c r="F2591" i="21"/>
  <c r="I2591" i="21"/>
  <c r="B2592" i="21"/>
  <c r="D2592" i="21" s="1"/>
  <c r="C2592" i="21"/>
  <c r="F2592" i="21"/>
  <c r="I2592" i="21"/>
  <c r="B2593" i="21"/>
  <c r="H2593" i="21" s="1"/>
  <c r="C2593" i="21"/>
  <c r="F2593" i="21"/>
  <c r="I2593" i="21"/>
  <c r="B2594" i="21"/>
  <c r="D2594" i="21" s="1"/>
  <c r="C2594" i="21"/>
  <c r="F2594" i="21"/>
  <c r="I2594" i="21"/>
  <c r="B2595" i="21"/>
  <c r="D2595" i="21" s="1"/>
  <c r="C2595" i="21"/>
  <c r="F2595" i="21"/>
  <c r="I2595" i="21"/>
  <c r="B2596" i="21"/>
  <c r="D2596" i="21" s="1"/>
  <c r="C2596" i="21"/>
  <c r="F2596" i="21"/>
  <c r="I2596" i="21"/>
  <c r="B2597" i="21"/>
  <c r="H2597" i="21" s="1"/>
  <c r="C2597" i="21"/>
  <c r="F2597" i="21"/>
  <c r="I2597" i="21"/>
  <c r="I2550" i="21"/>
  <c r="F2550" i="21"/>
  <c r="B2550" i="21"/>
  <c r="D2550" i="21" s="1"/>
  <c r="B2543" i="21"/>
  <c r="D2543" i="21" s="1"/>
  <c r="C2543" i="21"/>
  <c r="F2543" i="21"/>
  <c r="I2543" i="21"/>
  <c r="B2544" i="21"/>
  <c r="D2544" i="21" s="1"/>
  <c r="C2544" i="21"/>
  <c r="F2544" i="21"/>
  <c r="I2544" i="21"/>
  <c r="B2545" i="21"/>
  <c r="C2545" i="21"/>
  <c r="F2545" i="21"/>
  <c r="I2545" i="21"/>
  <c r="B2546" i="21"/>
  <c r="H2546" i="21" s="1"/>
  <c r="C2546" i="21"/>
  <c r="F2546" i="21"/>
  <c r="I2546" i="21"/>
  <c r="B2547" i="21"/>
  <c r="D2547" i="21" s="1"/>
  <c r="C2547" i="21"/>
  <c r="F2547" i="21"/>
  <c r="I2547" i="21"/>
  <c r="B2548" i="21"/>
  <c r="D2548" i="21" s="1"/>
  <c r="C2548" i="21"/>
  <c r="F2548" i="21"/>
  <c r="I2548" i="21"/>
  <c r="B2549" i="21"/>
  <c r="H2549" i="21" s="1"/>
  <c r="C2549" i="21"/>
  <c r="F2549" i="21"/>
  <c r="I2549" i="21"/>
  <c r="C2550" i="21"/>
  <c r="H2550" i="21"/>
  <c r="B2499" i="21"/>
  <c r="H2499" i="21" s="1"/>
  <c r="C2499" i="21"/>
  <c r="D2499" i="21"/>
  <c r="F2499" i="21"/>
  <c r="I2499" i="21"/>
  <c r="B2500" i="21"/>
  <c r="D2500" i="21" s="1"/>
  <c r="C2500" i="21"/>
  <c r="F2500" i="21"/>
  <c r="I2500" i="21"/>
  <c r="B2501" i="21"/>
  <c r="H2501" i="21" s="1"/>
  <c r="C2501" i="21"/>
  <c r="F2501" i="21"/>
  <c r="I2501" i="21"/>
  <c r="B2502" i="21"/>
  <c r="D2502" i="21" s="1"/>
  <c r="C2502" i="21"/>
  <c r="F2502" i="21"/>
  <c r="I2502" i="21"/>
  <c r="B2503" i="21"/>
  <c r="C2503" i="21"/>
  <c r="F2503" i="21"/>
  <c r="I2503" i="21"/>
  <c r="B2504" i="21"/>
  <c r="D2504" i="21" s="1"/>
  <c r="C2504" i="21"/>
  <c r="F2504" i="21"/>
  <c r="I2504" i="21"/>
  <c r="B2505" i="21"/>
  <c r="H2505" i="21" s="1"/>
  <c r="C2505" i="21"/>
  <c r="F2505" i="21"/>
  <c r="I2505" i="21"/>
  <c r="B2506" i="21"/>
  <c r="H2506" i="21" s="1"/>
  <c r="C2506" i="21"/>
  <c r="F2506" i="21"/>
  <c r="I2506" i="21"/>
  <c r="B2507" i="21"/>
  <c r="H2507" i="21" s="1"/>
  <c r="C2507" i="21"/>
  <c r="F2507" i="21"/>
  <c r="I2507" i="21"/>
  <c r="B2508" i="21"/>
  <c r="D2508" i="21" s="1"/>
  <c r="C2508" i="21"/>
  <c r="F2508" i="21"/>
  <c r="I2508" i="21"/>
  <c r="B2509" i="21"/>
  <c r="H2509" i="21" s="1"/>
  <c r="C2509" i="21"/>
  <c r="F2509" i="21"/>
  <c r="I2509" i="21"/>
  <c r="B2510" i="21"/>
  <c r="D2510" i="21" s="1"/>
  <c r="C2510" i="21"/>
  <c r="F2510" i="21"/>
  <c r="H2510" i="21"/>
  <c r="I2510" i="21"/>
  <c r="B2511" i="21"/>
  <c r="D2511" i="21" s="1"/>
  <c r="C2511" i="21"/>
  <c r="F2511" i="21"/>
  <c r="I2511" i="21"/>
  <c r="B2512" i="21"/>
  <c r="D2512" i="21" s="1"/>
  <c r="C2512" i="21"/>
  <c r="F2512" i="21"/>
  <c r="I2512" i="21"/>
  <c r="B2513" i="21"/>
  <c r="H2513" i="21" s="1"/>
  <c r="C2513" i="21"/>
  <c r="F2513" i="21"/>
  <c r="I2513" i="21"/>
  <c r="B2514" i="21"/>
  <c r="D2514" i="21" s="1"/>
  <c r="C2514" i="21"/>
  <c r="F2514" i="21"/>
  <c r="I2514" i="21"/>
  <c r="B2515" i="21"/>
  <c r="H2515" i="21" s="1"/>
  <c r="C2515" i="21"/>
  <c r="F2515" i="21"/>
  <c r="I2515" i="21"/>
  <c r="B2516" i="21"/>
  <c r="D2516" i="21" s="1"/>
  <c r="C2516" i="21"/>
  <c r="F2516" i="21"/>
  <c r="I2516" i="21"/>
  <c r="B2517" i="21"/>
  <c r="H2517" i="21" s="1"/>
  <c r="C2517" i="21"/>
  <c r="F2517" i="21"/>
  <c r="I2517" i="21"/>
  <c r="B2518" i="21"/>
  <c r="H2518" i="21" s="1"/>
  <c r="C2518" i="21"/>
  <c r="D2518" i="21"/>
  <c r="F2518" i="21"/>
  <c r="I2518" i="21"/>
  <c r="B2519" i="21"/>
  <c r="C2519" i="21"/>
  <c r="D2519" i="21"/>
  <c r="F2519" i="21"/>
  <c r="H2519" i="21"/>
  <c r="I2519" i="21"/>
  <c r="B2520" i="21"/>
  <c r="D2520" i="21" s="1"/>
  <c r="C2520" i="21"/>
  <c r="F2520" i="21"/>
  <c r="I2520" i="21"/>
  <c r="B2521" i="21"/>
  <c r="H2521" i="21" s="1"/>
  <c r="C2521" i="21"/>
  <c r="D2521" i="21"/>
  <c r="F2521" i="21"/>
  <c r="I2521" i="21"/>
  <c r="B2522" i="21"/>
  <c r="D2522" i="21" s="1"/>
  <c r="C2522" i="21"/>
  <c r="F2522" i="21"/>
  <c r="I2522" i="21"/>
  <c r="B2523" i="21"/>
  <c r="D2523" i="21" s="1"/>
  <c r="C2523" i="21"/>
  <c r="F2523" i="21"/>
  <c r="I2523" i="21"/>
  <c r="B2524" i="21"/>
  <c r="D2524" i="21" s="1"/>
  <c r="C2524" i="21"/>
  <c r="F2524" i="21"/>
  <c r="I2524" i="21"/>
  <c r="B2525" i="21"/>
  <c r="H2525" i="21" s="1"/>
  <c r="C2525" i="21"/>
  <c r="F2525" i="21"/>
  <c r="I2525" i="21"/>
  <c r="B2526" i="21"/>
  <c r="C2526" i="21"/>
  <c r="F2526" i="21"/>
  <c r="I2526" i="21"/>
  <c r="B2527" i="21"/>
  <c r="D2527" i="21" s="1"/>
  <c r="C2527" i="21"/>
  <c r="F2527" i="21"/>
  <c r="I2527" i="21"/>
  <c r="B2528" i="21"/>
  <c r="D2528" i="21" s="1"/>
  <c r="C2528" i="21"/>
  <c r="F2528" i="21"/>
  <c r="I2528" i="21"/>
  <c r="B2529" i="21"/>
  <c r="C2529" i="21"/>
  <c r="F2529" i="21"/>
  <c r="I2529" i="21"/>
  <c r="B2530" i="21"/>
  <c r="H2530" i="21" s="1"/>
  <c r="C2530" i="21"/>
  <c r="F2530" i="21"/>
  <c r="I2530" i="21"/>
  <c r="B2531" i="21"/>
  <c r="D2531" i="21" s="1"/>
  <c r="C2531" i="21"/>
  <c r="F2531" i="21"/>
  <c r="I2531" i="21"/>
  <c r="B2532" i="21"/>
  <c r="D2532" i="21" s="1"/>
  <c r="C2532" i="21"/>
  <c r="F2532" i="21"/>
  <c r="I2532" i="21"/>
  <c r="B2533" i="21"/>
  <c r="H2533" i="21" s="1"/>
  <c r="C2533" i="21"/>
  <c r="F2533" i="21"/>
  <c r="I2533" i="21"/>
  <c r="B2534" i="21"/>
  <c r="D2534" i="21" s="1"/>
  <c r="C2534" i="21"/>
  <c r="F2534" i="21"/>
  <c r="I2534" i="21"/>
  <c r="B2535" i="21"/>
  <c r="C2535" i="21"/>
  <c r="F2535" i="21"/>
  <c r="I2535" i="21"/>
  <c r="B2536" i="21"/>
  <c r="D2536" i="21" s="1"/>
  <c r="C2536" i="21"/>
  <c r="F2536" i="21"/>
  <c r="I2536" i="21"/>
  <c r="B2537" i="21"/>
  <c r="H2537" i="21" s="1"/>
  <c r="C2537" i="21"/>
  <c r="F2537" i="21"/>
  <c r="I2537" i="21"/>
  <c r="B2538" i="21"/>
  <c r="H2538" i="21" s="1"/>
  <c r="C2538" i="21"/>
  <c r="F2538" i="21"/>
  <c r="I2538" i="21"/>
  <c r="B2539" i="21"/>
  <c r="H2539" i="21" s="1"/>
  <c r="C2539" i="21"/>
  <c r="F2539" i="21"/>
  <c r="I2539" i="21"/>
  <c r="B2540" i="21"/>
  <c r="D2540" i="21" s="1"/>
  <c r="C2540" i="21"/>
  <c r="F2540" i="21"/>
  <c r="I2540" i="21"/>
  <c r="B2541" i="21"/>
  <c r="H2541" i="21" s="1"/>
  <c r="C2541" i="21"/>
  <c r="D2541" i="21"/>
  <c r="F2541" i="21"/>
  <c r="I2541" i="21"/>
  <c r="B2542" i="21"/>
  <c r="D2542" i="21" s="1"/>
  <c r="C2542" i="21"/>
  <c r="F2542" i="21"/>
  <c r="I2542" i="21"/>
  <c r="I2498" i="21"/>
  <c r="F2498" i="21"/>
  <c r="B2498" i="21"/>
  <c r="H2498" i="21" s="1"/>
  <c r="C2498" i="21"/>
  <c r="B2447" i="21"/>
  <c r="D2447" i="21" s="1"/>
  <c r="C2447" i="21"/>
  <c r="F2447" i="21"/>
  <c r="I2447" i="21"/>
  <c r="B2448" i="21"/>
  <c r="D2448" i="21" s="1"/>
  <c r="C2448" i="21"/>
  <c r="F2448" i="21"/>
  <c r="I2448" i="21"/>
  <c r="B2449" i="21"/>
  <c r="H2449" i="21" s="1"/>
  <c r="C2449" i="21"/>
  <c r="F2449" i="21"/>
  <c r="I2449" i="21"/>
  <c r="B2450" i="21"/>
  <c r="C2450" i="21"/>
  <c r="F2450" i="21"/>
  <c r="I2450" i="21"/>
  <c r="B2451" i="21"/>
  <c r="C2451" i="21"/>
  <c r="F2451" i="21"/>
  <c r="I2451" i="21"/>
  <c r="B2452" i="21"/>
  <c r="D2452" i="21" s="1"/>
  <c r="C2452" i="21"/>
  <c r="F2452" i="21"/>
  <c r="I2452" i="21"/>
  <c r="B2453" i="21"/>
  <c r="C2453" i="21"/>
  <c r="F2453" i="21"/>
  <c r="I2453" i="21"/>
  <c r="B2454" i="21"/>
  <c r="H2454" i="21" s="1"/>
  <c r="C2454" i="21"/>
  <c r="F2454" i="21"/>
  <c r="I2454" i="21"/>
  <c r="B2455" i="21"/>
  <c r="D2455" i="21" s="1"/>
  <c r="C2455" i="21"/>
  <c r="F2455" i="21"/>
  <c r="I2455" i="21"/>
  <c r="B2456" i="21"/>
  <c r="D2456" i="21" s="1"/>
  <c r="C2456" i="21"/>
  <c r="F2456" i="21"/>
  <c r="I2456" i="21"/>
  <c r="B2457" i="21"/>
  <c r="H2457" i="21" s="1"/>
  <c r="C2457" i="21"/>
  <c r="F2457" i="21"/>
  <c r="I2457" i="21"/>
  <c r="B2458" i="21"/>
  <c r="C2458" i="21"/>
  <c r="F2458" i="21"/>
  <c r="I2458" i="21"/>
  <c r="B2459" i="21"/>
  <c r="C2459" i="21"/>
  <c r="F2459" i="21"/>
  <c r="I2459" i="21"/>
  <c r="B2460" i="21"/>
  <c r="D2460" i="21" s="1"/>
  <c r="C2460" i="21"/>
  <c r="F2460" i="21"/>
  <c r="I2460" i="21"/>
  <c r="B2461" i="21"/>
  <c r="H2461" i="21" s="1"/>
  <c r="C2461" i="21"/>
  <c r="F2461" i="21"/>
  <c r="I2461" i="21"/>
  <c r="B2462" i="21"/>
  <c r="D2462" i="21" s="1"/>
  <c r="C2462" i="21"/>
  <c r="F2462" i="21"/>
  <c r="I2462" i="21"/>
  <c r="B2463" i="21"/>
  <c r="H2463" i="21" s="1"/>
  <c r="C2463" i="21"/>
  <c r="F2463" i="21"/>
  <c r="I2463" i="21"/>
  <c r="B2464" i="21"/>
  <c r="D2464" i="21" s="1"/>
  <c r="C2464" i="21"/>
  <c r="F2464" i="21"/>
  <c r="I2464" i="21"/>
  <c r="B2465" i="21"/>
  <c r="H2465" i="21" s="1"/>
  <c r="C2465" i="21"/>
  <c r="F2465" i="21"/>
  <c r="I2465" i="21"/>
  <c r="B2466" i="21"/>
  <c r="D2466" i="21" s="1"/>
  <c r="C2466" i="21"/>
  <c r="F2466" i="21"/>
  <c r="I2466" i="21"/>
  <c r="B2467" i="21"/>
  <c r="C2467" i="21"/>
  <c r="F2467" i="21"/>
  <c r="I2467" i="21"/>
  <c r="B2468" i="21"/>
  <c r="D2468" i="21" s="1"/>
  <c r="C2468" i="21"/>
  <c r="F2468" i="21"/>
  <c r="I2468" i="21"/>
  <c r="B2469" i="21"/>
  <c r="H2469" i="21" s="1"/>
  <c r="C2469" i="21"/>
  <c r="F2469" i="21"/>
  <c r="I2469" i="21"/>
  <c r="B2470" i="21"/>
  <c r="H2470" i="21" s="1"/>
  <c r="C2470" i="21"/>
  <c r="F2470" i="21"/>
  <c r="I2470" i="21"/>
  <c r="B2471" i="21"/>
  <c r="D2471" i="21" s="1"/>
  <c r="C2471" i="21"/>
  <c r="F2471" i="21"/>
  <c r="I2471" i="21"/>
  <c r="B2472" i="21"/>
  <c r="D2472" i="21" s="1"/>
  <c r="C2472" i="21"/>
  <c r="F2472" i="21"/>
  <c r="I2472" i="21"/>
  <c r="B2473" i="21"/>
  <c r="H2473" i="21" s="1"/>
  <c r="C2473" i="21"/>
  <c r="D2473" i="21"/>
  <c r="F2473" i="21"/>
  <c r="I2473" i="21"/>
  <c r="B2474" i="21"/>
  <c r="C2474" i="21"/>
  <c r="F2474" i="21"/>
  <c r="I2474" i="21"/>
  <c r="B2475" i="21"/>
  <c r="D2475" i="21" s="1"/>
  <c r="C2475" i="21"/>
  <c r="F2475" i="21"/>
  <c r="I2475" i="21"/>
  <c r="B2476" i="21"/>
  <c r="D2476" i="21" s="1"/>
  <c r="C2476" i="21"/>
  <c r="F2476" i="21"/>
  <c r="I2476" i="21"/>
  <c r="B2477" i="21"/>
  <c r="H2477" i="21" s="1"/>
  <c r="C2477" i="21"/>
  <c r="F2477" i="21"/>
  <c r="I2477" i="21"/>
  <c r="B2478" i="21"/>
  <c r="D2478" i="21" s="1"/>
  <c r="C2478" i="21"/>
  <c r="F2478" i="21"/>
  <c r="I2478" i="21"/>
  <c r="B2479" i="21"/>
  <c r="D2479" i="21" s="1"/>
  <c r="C2479" i="21"/>
  <c r="F2479" i="21"/>
  <c r="I2479" i="21"/>
  <c r="B2480" i="21"/>
  <c r="D2480" i="21" s="1"/>
  <c r="C2480" i="21"/>
  <c r="F2480" i="21"/>
  <c r="I2480" i="21"/>
  <c r="B2481" i="21"/>
  <c r="H2481" i="21" s="1"/>
  <c r="C2481" i="21"/>
  <c r="F2481" i="21"/>
  <c r="I2481" i="21"/>
  <c r="B2482" i="21"/>
  <c r="C2482" i="21"/>
  <c r="F2482" i="21"/>
  <c r="I2482" i="21"/>
  <c r="B2483" i="21"/>
  <c r="H2483" i="21" s="1"/>
  <c r="C2483" i="21"/>
  <c r="F2483" i="21"/>
  <c r="I2483" i="21"/>
  <c r="B2484" i="21"/>
  <c r="D2484" i="21" s="1"/>
  <c r="C2484" i="21"/>
  <c r="F2484" i="21"/>
  <c r="I2484" i="21"/>
  <c r="B2485" i="21"/>
  <c r="C2485" i="21"/>
  <c r="F2485" i="21"/>
  <c r="I2485" i="21"/>
  <c r="B2486" i="21"/>
  <c r="H2486" i="21" s="1"/>
  <c r="C2486" i="21"/>
  <c r="F2486" i="21"/>
  <c r="I2486" i="21"/>
  <c r="B2487" i="21"/>
  <c r="C2487" i="21"/>
  <c r="F2487" i="21"/>
  <c r="I2487" i="21"/>
  <c r="B2488" i="21"/>
  <c r="D2488" i="21" s="1"/>
  <c r="C2488" i="21"/>
  <c r="F2488" i="21"/>
  <c r="I2488" i="21"/>
  <c r="B2489" i="21"/>
  <c r="H2489" i="21" s="1"/>
  <c r="C2489" i="21"/>
  <c r="F2489" i="21"/>
  <c r="I2489" i="21"/>
  <c r="B2490" i="21"/>
  <c r="H2490" i="21" s="1"/>
  <c r="C2490" i="21"/>
  <c r="F2490" i="21"/>
  <c r="I2490" i="21"/>
  <c r="B2491" i="21"/>
  <c r="C2491" i="21"/>
  <c r="F2491" i="21"/>
  <c r="I2491" i="21"/>
  <c r="B2492" i="21"/>
  <c r="D2492" i="21" s="1"/>
  <c r="C2492" i="21"/>
  <c r="F2492" i="21"/>
  <c r="I2492" i="21"/>
  <c r="B2493" i="21"/>
  <c r="H2493" i="21" s="1"/>
  <c r="C2493" i="21"/>
  <c r="F2493" i="21"/>
  <c r="I2493" i="21"/>
  <c r="B2494" i="21"/>
  <c r="D2494" i="21" s="1"/>
  <c r="C2494" i="21"/>
  <c r="F2494" i="21"/>
  <c r="I2494" i="21"/>
  <c r="B2495" i="21"/>
  <c r="H2495" i="21" s="1"/>
  <c r="C2495" i="21"/>
  <c r="F2495" i="21"/>
  <c r="I2495" i="21"/>
  <c r="B2496" i="21"/>
  <c r="D2496" i="21" s="1"/>
  <c r="C2496" i="21"/>
  <c r="F2496" i="21"/>
  <c r="I2496" i="21"/>
  <c r="B2497" i="21"/>
  <c r="H2497" i="21" s="1"/>
  <c r="C2497" i="21"/>
  <c r="F2497" i="21"/>
  <c r="I2497" i="21"/>
  <c r="I2446" i="21"/>
  <c r="F2446" i="21"/>
  <c r="C2446" i="21"/>
  <c r="B2446" i="21"/>
  <c r="H2446" i="21" s="1"/>
  <c r="B2444" i="21"/>
  <c r="C2444" i="21"/>
  <c r="F2444" i="21"/>
  <c r="I2444" i="21"/>
  <c r="B2445" i="21"/>
  <c r="D2445" i="21" s="1"/>
  <c r="C2445" i="21"/>
  <c r="F2445" i="21"/>
  <c r="I2445" i="21"/>
  <c r="B2395" i="21"/>
  <c r="D2395" i="21" s="1"/>
  <c r="C2395" i="21"/>
  <c r="F2395" i="21"/>
  <c r="I2395" i="21"/>
  <c r="B2396" i="21"/>
  <c r="D2396" i="21" s="1"/>
  <c r="C2396" i="21"/>
  <c r="F2396" i="21"/>
  <c r="I2396" i="21"/>
  <c r="B2397" i="21"/>
  <c r="H2397" i="21" s="1"/>
  <c r="C2397" i="21"/>
  <c r="F2397" i="21"/>
  <c r="I2397" i="21"/>
  <c r="B2398" i="21"/>
  <c r="H2398" i="21" s="1"/>
  <c r="C2398" i="21"/>
  <c r="F2398" i="21"/>
  <c r="I2398" i="21"/>
  <c r="B2399" i="21"/>
  <c r="D2399" i="21" s="1"/>
  <c r="C2399" i="21"/>
  <c r="F2399" i="21"/>
  <c r="I2399" i="21"/>
  <c r="B2400" i="21"/>
  <c r="D2400" i="21" s="1"/>
  <c r="C2400" i="21"/>
  <c r="F2400" i="21"/>
  <c r="I2400" i="21"/>
  <c r="B2401" i="21"/>
  <c r="H2401" i="21" s="1"/>
  <c r="C2401" i="21"/>
  <c r="F2401" i="21"/>
  <c r="I2401" i="21"/>
  <c r="B2402" i="21"/>
  <c r="H2402" i="21" s="1"/>
  <c r="C2402" i="21"/>
  <c r="F2402" i="21"/>
  <c r="I2402" i="21"/>
  <c r="B2403" i="21"/>
  <c r="D2403" i="21" s="1"/>
  <c r="C2403" i="21"/>
  <c r="F2403" i="21"/>
  <c r="I2403" i="21"/>
  <c r="B2404" i="21"/>
  <c r="D2404" i="21" s="1"/>
  <c r="C2404" i="21"/>
  <c r="F2404" i="21"/>
  <c r="I2404" i="21"/>
  <c r="B2405" i="21"/>
  <c r="H2405" i="21" s="1"/>
  <c r="C2405" i="21"/>
  <c r="F2405" i="21"/>
  <c r="I2405" i="21"/>
  <c r="B2406" i="21"/>
  <c r="C2406" i="21"/>
  <c r="F2406" i="21"/>
  <c r="I2406" i="21"/>
  <c r="B2407" i="21"/>
  <c r="D2407" i="21" s="1"/>
  <c r="C2407" i="21"/>
  <c r="F2407" i="21"/>
  <c r="H2407" i="21"/>
  <c r="I2407" i="21"/>
  <c r="B2408" i="21"/>
  <c r="D2408" i="21" s="1"/>
  <c r="C2408" i="21"/>
  <c r="F2408" i="21"/>
  <c r="I2408" i="21"/>
  <c r="B2409" i="21"/>
  <c r="H2409" i="21" s="1"/>
  <c r="C2409" i="21"/>
  <c r="F2409" i="21"/>
  <c r="I2409" i="21"/>
  <c r="B2410" i="21"/>
  <c r="D2410" i="21" s="1"/>
  <c r="C2410" i="21"/>
  <c r="F2410" i="21"/>
  <c r="I2410" i="21"/>
  <c r="B2411" i="21"/>
  <c r="D2411" i="21" s="1"/>
  <c r="C2411" i="21"/>
  <c r="F2411" i="21"/>
  <c r="I2411" i="21"/>
  <c r="B2412" i="21"/>
  <c r="D2412" i="21" s="1"/>
  <c r="C2412" i="21"/>
  <c r="F2412" i="21"/>
  <c r="I2412" i="21"/>
  <c r="B2413" i="21"/>
  <c r="H2413" i="21" s="1"/>
  <c r="C2413" i="21"/>
  <c r="F2413" i="21"/>
  <c r="I2413" i="21"/>
  <c r="B2414" i="21"/>
  <c r="H2414" i="21" s="1"/>
  <c r="C2414" i="21"/>
  <c r="F2414" i="21"/>
  <c r="I2414" i="21"/>
  <c r="B2415" i="21"/>
  <c r="C2415" i="21"/>
  <c r="F2415" i="21"/>
  <c r="I2415" i="21"/>
  <c r="B2416" i="21"/>
  <c r="D2416" i="21" s="1"/>
  <c r="C2416" i="21"/>
  <c r="F2416" i="21"/>
  <c r="I2416" i="21"/>
  <c r="B2417" i="21"/>
  <c r="H2417" i="21" s="1"/>
  <c r="C2417" i="21"/>
  <c r="F2417" i="21"/>
  <c r="I2417" i="21"/>
  <c r="B2418" i="21"/>
  <c r="H2418" i="21" s="1"/>
  <c r="C2418" i="21"/>
  <c r="F2418" i="21"/>
  <c r="I2418" i="21"/>
  <c r="B2419" i="21"/>
  <c r="D2419" i="21" s="1"/>
  <c r="C2419" i="21"/>
  <c r="F2419" i="21"/>
  <c r="I2419" i="21"/>
  <c r="B2420" i="21"/>
  <c r="D2420" i="21" s="1"/>
  <c r="C2420" i="21"/>
  <c r="F2420" i="21"/>
  <c r="I2420" i="21"/>
  <c r="B2421" i="21"/>
  <c r="H2421" i="21" s="1"/>
  <c r="C2421" i="21"/>
  <c r="F2421" i="21"/>
  <c r="I2421" i="21"/>
  <c r="B2422" i="21"/>
  <c r="C2422" i="21"/>
  <c r="F2422" i="21"/>
  <c r="I2422" i="21"/>
  <c r="B2423" i="21"/>
  <c r="C2423" i="21"/>
  <c r="F2423" i="21"/>
  <c r="I2423" i="21"/>
  <c r="B2424" i="21"/>
  <c r="D2424" i="21" s="1"/>
  <c r="C2424" i="21"/>
  <c r="F2424" i="21"/>
  <c r="I2424" i="21"/>
  <c r="B2425" i="21"/>
  <c r="H2425" i="21" s="1"/>
  <c r="C2425" i="21"/>
  <c r="F2425" i="21"/>
  <c r="I2425" i="21"/>
  <c r="B2426" i="21"/>
  <c r="D2426" i="21" s="1"/>
  <c r="C2426" i="21"/>
  <c r="F2426" i="21"/>
  <c r="I2426" i="21"/>
  <c r="B2427" i="21"/>
  <c r="H2427" i="21" s="1"/>
  <c r="C2427" i="21"/>
  <c r="F2427" i="21"/>
  <c r="I2427" i="21"/>
  <c r="B2428" i="21"/>
  <c r="D2428" i="21" s="1"/>
  <c r="C2428" i="21"/>
  <c r="F2428" i="21"/>
  <c r="I2428" i="21"/>
  <c r="B2429" i="21"/>
  <c r="H2429" i="21" s="1"/>
  <c r="C2429" i="21"/>
  <c r="F2429" i="21"/>
  <c r="I2429" i="21"/>
  <c r="B2430" i="21"/>
  <c r="D2430" i="21" s="1"/>
  <c r="C2430" i="21"/>
  <c r="F2430" i="21"/>
  <c r="I2430" i="21"/>
  <c r="B2431" i="21"/>
  <c r="C2431" i="21"/>
  <c r="F2431" i="21"/>
  <c r="I2431" i="21"/>
  <c r="B2432" i="21"/>
  <c r="D2432" i="21" s="1"/>
  <c r="C2432" i="21"/>
  <c r="F2432" i="21"/>
  <c r="I2432" i="21"/>
  <c r="B2433" i="21"/>
  <c r="H2433" i="21" s="1"/>
  <c r="C2433" i="21"/>
  <c r="F2433" i="21"/>
  <c r="I2433" i="21"/>
  <c r="B2434" i="21"/>
  <c r="H2434" i="21" s="1"/>
  <c r="C2434" i="21"/>
  <c r="F2434" i="21"/>
  <c r="I2434" i="21"/>
  <c r="B2435" i="21"/>
  <c r="D2435" i="21" s="1"/>
  <c r="C2435" i="21"/>
  <c r="F2435" i="21"/>
  <c r="I2435" i="21"/>
  <c r="B2436" i="21"/>
  <c r="D2436" i="21" s="1"/>
  <c r="C2436" i="21"/>
  <c r="F2436" i="21"/>
  <c r="I2436" i="21"/>
  <c r="B2437" i="21"/>
  <c r="H2437" i="21" s="1"/>
  <c r="C2437" i="21"/>
  <c r="D2437" i="21"/>
  <c r="F2437" i="21"/>
  <c r="I2437" i="21"/>
  <c r="B2438" i="21"/>
  <c r="C2438" i="21"/>
  <c r="F2438" i="21"/>
  <c r="I2438" i="21"/>
  <c r="B2439" i="21"/>
  <c r="D2439" i="21" s="1"/>
  <c r="C2439" i="21"/>
  <c r="F2439" i="21"/>
  <c r="I2439" i="21"/>
  <c r="B2440" i="21"/>
  <c r="D2440" i="21" s="1"/>
  <c r="C2440" i="21"/>
  <c r="F2440" i="21"/>
  <c r="I2440" i="21"/>
  <c r="B2441" i="21"/>
  <c r="H2441" i="21" s="1"/>
  <c r="C2441" i="21"/>
  <c r="F2441" i="21"/>
  <c r="I2441" i="21"/>
  <c r="B2442" i="21"/>
  <c r="C2442" i="21"/>
  <c r="D2442" i="21"/>
  <c r="F2442" i="21"/>
  <c r="H2442" i="21"/>
  <c r="I2442" i="21"/>
  <c r="B2443" i="21"/>
  <c r="D2443" i="21" s="1"/>
  <c r="C2443" i="21"/>
  <c r="F2443" i="21"/>
  <c r="I2443" i="21"/>
  <c r="I2394" i="21"/>
  <c r="F2394" i="21"/>
  <c r="B2394" i="21"/>
  <c r="D2394" i="21" s="1"/>
  <c r="C2394" i="21"/>
  <c r="B2386" i="21"/>
  <c r="H2386" i="21" s="1"/>
  <c r="C2386" i="21"/>
  <c r="F2386" i="21"/>
  <c r="I2386" i="21"/>
  <c r="B2387" i="21"/>
  <c r="D2387" i="21" s="1"/>
  <c r="C2387" i="21"/>
  <c r="F2387" i="21"/>
  <c r="I2387" i="21"/>
  <c r="B2388" i="21"/>
  <c r="H2388" i="21" s="1"/>
  <c r="C2388" i="21"/>
  <c r="F2388" i="21"/>
  <c r="I2388" i="21"/>
  <c r="B2389" i="21"/>
  <c r="D2389" i="21" s="1"/>
  <c r="C2389" i="21"/>
  <c r="F2389" i="21"/>
  <c r="I2389" i="21"/>
  <c r="B2390" i="21"/>
  <c r="C2390" i="21"/>
  <c r="F2390" i="21"/>
  <c r="I2390" i="21"/>
  <c r="B2391" i="21"/>
  <c r="D2391" i="21" s="1"/>
  <c r="C2391" i="21"/>
  <c r="F2391" i="21"/>
  <c r="I2391" i="21"/>
  <c r="B2392" i="21"/>
  <c r="H2392" i="21" s="1"/>
  <c r="C2392" i="21"/>
  <c r="F2392" i="21"/>
  <c r="I2392" i="21"/>
  <c r="B2393" i="21"/>
  <c r="D2393" i="21" s="1"/>
  <c r="C2393" i="21"/>
  <c r="F2393" i="21"/>
  <c r="I2393" i="21"/>
  <c r="B2343" i="21"/>
  <c r="C2343" i="21"/>
  <c r="F2343" i="21"/>
  <c r="I2343" i="21"/>
  <c r="B2344" i="21"/>
  <c r="D2344" i="21" s="1"/>
  <c r="C2344" i="21"/>
  <c r="F2344" i="21"/>
  <c r="I2344" i="21"/>
  <c r="B2345" i="21"/>
  <c r="H2345" i="21" s="1"/>
  <c r="C2345" i="21"/>
  <c r="F2345" i="21"/>
  <c r="I2345" i="21"/>
  <c r="B2346" i="21"/>
  <c r="H2346" i="21" s="1"/>
  <c r="C2346" i="21"/>
  <c r="F2346" i="21"/>
  <c r="I2346" i="21"/>
  <c r="B2347" i="21"/>
  <c r="C2347" i="21"/>
  <c r="F2347" i="21"/>
  <c r="I2347" i="21"/>
  <c r="B2348" i="21"/>
  <c r="D2348" i="21" s="1"/>
  <c r="C2348" i="21"/>
  <c r="F2348" i="21"/>
  <c r="I2348" i="21"/>
  <c r="B2349" i="21"/>
  <c r="H2349" i="21" s="1"/>
  <c r="C2349" i="21"/>
  <c r="F2349" i="21"/>
  <c r="I2349" i="21"/>
  <c r="B2350" i="21"/>
  <c r="D2350" i="21" s="1"/>
  <c r="C2350" i="21"/>
  <c r="F2350" i="21"/>
  <c r="I2350" i="21"/>
  <c r="B2351" i="21"/>
  <c r="H2351" i="21" s="1"/>
  <c r="C2351" i="21"/>
  <c r="D2351" i="21"/>
  <c r="F2351" i="21"/>
  <c r="I2351" i="21"/>
  <c r="B2352" i="21"/>
  <c r="D2352" i="21" s="1"/>
  <c r="C2352" i="21"/>
  <c r="F2352" i="21"/>
  <c r="I2352" i="21"/>
  <c r="B2353" i="21"/>
  <c r="H2353" i="21" s="1"/>
  <c r="C2353" i="21"/>
  <c r="F2353" i="21"/>
  <c r="I2353" i="21"/>
  <c r="B2354" i="21"/>
  <c r="D2354" i="21" s="1"/>
  <c r="C2354" i="21"/>
  <c r="F2354" i="21"/>
  <c r="I2354" i="21"/>
  <c r="B2355" i="21"/>
  <c r="H2355" i="21" s="1"/>
  <c r="C2355" i="21"/>
  <c r="F2355" i="21"/>
  <c r="I2355" i="21"/>
  <c r="B2356" i="21"/>
  <c r="D2356" i="21" s="1"/>
  <c r="C2356" i="21"/>
  <c r="F2356" i="21"/>
  <c r="I2356" i="21"/>
  <c r="B2357" i="21"/>
  <c r="H2357" i="21" s="1"/>
  <c r="C2357" i="21"/>
  <c r="F2357" i="21"/>
  <c r="I2357" i="21"/>
  <c r="B2358" i="21"/>
  <c r="D2358" i="21" s="1"/>
  <c r="C2358" i="21"/>
  <c r="F2358" i="21"/>
  <c r="I2358" i="21"/>
  <c r="B2359" i="21"/>
  <c r="D2359" i="21" s="1"/>
  <c r="C2359" i="21"/>
  <c r="F2359" i="21"/>
  <c r="I2359" i="21"/>
  <c r="B2360" i="21"/>
  <c r="D2360" i="21" s="1"/>
  <c r="C2360" i="21"/>
  <c r="F2360" i="21"/>
  <c r="I2360" i="21"/>
  <c r="B2361" i="21"/>
  <c r="H2361" i="21" s="1"/>
  <c r="C2361" i="21"/>
  <c r="F2361" i="21"/>
  <c r="I2361" i="21"/>
  <c r="B2362" i="21"/>
  <c r="H2362" i="21" s="1"/>
  <c r="C2362" i="21"/>
  <c r="F2362" i="21"/>
  <c r="I2362" i="21"/>
  <c r="B2363" i="21"/>
  <c r="D2363" i="21" s="1"/>
  <c r="C2363" i="21"/>
  <c r="F2363" i="21"/>
  <c r="I2363" i="21"/>
  <c r="B2364" i="21"/>
  <c r="D2364" i="21" s="1"/>
  <c r="C2364" i="21"/>
  <c r="F2364" i="21"/>
  <c r="I2364" i="21"/>
  <c r="B2365" i="21"/>
  <c r="H2365" i="21" s="1"/>
  <c r="C2365" i="21"/>
  <c r="F2365" i="21"/>
  <c r="I2365" i="21"/>
  <c r="B2366" i="21"/>
  <c r="D2366" i="21" s="1"/>
  <c r="C2366" i="21"/>
  <c r="F2366" i="21"/>
  <c r="H2366" i="21"/>
  <c r="I2366" i="21"/>
  <c r="B2367" i="21"/>
  <c r="C2367" i="21"/>
  <c r="F2367" i="21"/>
  <c r="I2367" i="21"/>
  <c r="B2368" i="21"/>
  <c r="D2368" i="21" s="1"/>
  <c r="C2368" i="21"/>
  <c r="F2368" i="21"/>
  <c r="I2368" i="21"/>
  <c r="B2369" i="21"/>
  <c r="H2369" i="21" s="1"/>
  <c r="C2369" i="21"/>
  <c r="F2369" i="21"/>
  <c r="I2369" i="21"/>
  <c r="B2370" i="21"/>
  <c r="C2370" i="21"/>
  <c r="F2370" i="21"/>
  <c r="I2370" i="21"/>
  <c r="B2371" i="21"/>
  <c r="D2371" i="21" s="1"/>
  <c r="C2371" i="21"/>
  <c r="F2371" i="21"/>
  <c r="I2371" i="21"/>
  <c r="B2372" i="21"/>
  <c r="D2372" i="21" s="1"/>
  <c r="C2372" i="21"/>
  <c r="F2372" i="21"/>
  <c r="I2372" i="21"/>
  <c r="B2373" i="21"/>
  <c r="C2373" i="21"/>
  <c r="F2373" i="21"/>
  <c r="I2373" i="21"/>
  <c r="B2374" i="21"/>
  <c r="H2374" i="21" s="1"/>
  <c r="C2374" i="21"/>
  <c r="F2374" i="21"/>
  <c r="I2374" i="21"/>
  <c r="B2375" i="21"/>
  <c r="H2375" i="21" s="1"/>
  <c r="C2375" i="21"/>
  <c r="F2375" i="21"/>
  <c r="I2375" i="21"/>
  <c r="B2376" i="21"/>
  <c r="D2376" i="21" s="1"/>
  <c r="C2376" i="21"/>
  <c r="F2376" i="21"/>
  <c r="I2376" i="21"/>
  <c r="B2377" i="21"/>
  <c r="C2377" i="21"/>
  <c r="F2377" i="21"/>
  <c r="I2377" i="21"/>
  <c r="B2378" i="21"/>
  <c r="D2378" i="21" s="1"/>
  <c r="C2378" i="21"/>
  <c r="F2378" i="21"/>
  <c r="I2378" i="21"/>
  <c r="B2379" i="21"/>
  <c r="C2379" i="21"/>
  <c r="F2379" i="21"/>
  <c r="I2379" i="21"/>
  <c r="B2380" i="21"/>
  <c r="D2380" i="21" s="1"/>
  <c r="C2380" i="21"/>
  <c r="F2380" i="21"/>
  <c r="I2380" i="21"/>
  <c r="B2381" i="21"/>
  <c r="H2381" i="21" s="1"/>
  <c r="C2381" i="21"/>
  <c r="F2381" i="21"/>
  <c r="I2381" i="21"/>
  <c r="B2382" i="21"/>
  <c r="D2382" i="21" s="1"/>
  <c r="C2382" i="21"/>
  <c r="F2382" i="21"/>
  <c r="I2382" i="21"/>
  <c r="B2383" i="21"/>
  <c r="H2383" i="21" s="1"/>
  <c r="C2383" i="21"/>
  <c r="F2383" i="21"/>
  <c r="I2383" i="21"/>
  <c r="B2384" i="21"/>
  <c r="D2384" i="21" s="1"/>
  <c r="C2384" i="21"/>
  <c r="F2384" i="21"/>
  <c r="I2384" i="21"/>
  <c r="B2385" i="21"/>
  <c r="H2385" i="21" s="1"/>
  <c r="C2385" i="21"/>
  <c r="F2385" i="21"/>
  <c r="I2385" i="21"/>
  <c r="I2342" i="21"/>
  <c r="F2342" i="21"/>
  <c r="B2342" i="21"/>
  <c r="H2342" i="21" s="1"/>
  <c r="B2340" i="21"/>
  <c r="D2340" i="21" s="1"/>
  <c r="C2340" i="21"/>
  <c r="F2340" i="21"/>
  <c r="I2340" i="21"/>
  <c r="B2341" i="21"/>
  <c r="D2341" i="21" s="1"/>
  <c r="C2341" i="21"/>
  <c r="F2341" i="21"/>
  <c r="I2341" i="21"/>
  <c r="C2342" i="21"/>
  <c r="B2291" i="21"/>
  <c r="D2291" i="21" s="1"/>
  <c r="C2291" i="21"/>
  <c r="F2291" i="21"/>
  <c r="I2291" i="21"/>
  <c r="B2292" i="21"/>
  <c r="D2292" i="21" s="1"/>
  <c r="C2292" i="21"/>
  <c r="F2292" i="21"/>
  <c r="I2292" i="21"/>
  <c r="B2293" i="21"/>
  <c r="H2293" i="21" s="1"/>
  <c r="C2293" i="21"/>
  <c r="F2293" i="21"/>
  <c r="I2293" i="21"/>
  <c r="B2294" i="21"/>
  <c r="D2294" i="21" s="1"/>
  <c r="C2294" i="21"/>
  <c r="F2294" i="21"/>
  <c r="I2294" i="21"/>
  <c r="B2295" i="21"/>
  <c r="H2295" i="21" s="1"/>
  <c r="C2295" i="21"/>
  <c r="F2295" i="21"/>
  <c r="I2295" i="21"/>
  <c r="B2296" i="21"/>
  <c r="D2296" i="21" s="1"/>
  <c r="C2296" i="21"/>
  <c r="F2296" i="21"/>
  <c r="I2296" i="21"/>
  <c r="B2297" i="21"/>
  <c r="H2297" i="21" s="1"/>
  <c r="C2297" i="21"/>
  <c r="F2297" i="21"/>
  <c r="I2297" i="21"/>
  <c r="B2298" i="21"/>
  <c r="D2298" i="21" s="1"/>
  <c r="C2298" i="21"/>
  <c r="F2298" i="21"/>
  <c r="I2298" i="21"/>
  <c r="B2299" i="21"/>
  <c r="D2299" i="21" s="1"/>
  <c r="C2299" i="21"/>
  <c r="F2299" i="21"/>
  <c r="I2299" i="21"/>
  <c r="B2300" i="21"/>
  <c r="D2300" i="21" s="1"/>
  <c r="C2300" i="21"/>
  <c r="F2300" i="21"/>
  <c r="I2300" i="21"/>
  <c r="B2301" i="21"/>
  <c r="H2301" i="21" s="1"/>
  <c r="C2301" i="21"/>
  <c r="F2301" i="21"/>
  <c r="I2301" i="21"/>
  <c r="B2302" i="21"/>
  <c r="D2302" i="21" s="1"/>
  <c r="C2302" i="21"/>
  <c r="F2302" i="21"/>
  <c r="I2302" i="21"/>
  <c r="B2303" i="21"/>
  <c r="D2303" i="21" s="1"/>
  <c r="C2303" i="21"/>
  <c r="F2303" i="21"/>
  <c r="I2303" i="21"/>
  <c r="B2304" i="21"/>
  <c r="D2304" i="21" s="1"/>
  <c r="C2304" i="21"/>
  <c r="F2304" i="21"/>
  <c r="I2304" i="21"/>
  <c r="B2305" i="21"/>
  <c r="C2305" i="21"/>
  <c r="F2305" i="21"/>
  <c r="I2305" i="21"/>
  <c r="B2306" i="21"/>
  <c r="H2306" i="21" s="1"/>
  <c r="C2306" i="21"/>
  <c r="F2306" i="21"/>
  <c r="I2306" i="21"/>
  <c r="B2307" i="21"/>
  <c r="D2307" i="21" s="1"/>
  <c r="C2307" i="21"/>
  <c r="F2307" i="21"/>
  <c r="I2307" i="21"/>
  <c r="B2308" i="21"/>
  <c r="D2308" i="21" s="1"/>
  <c r="C2308" i="21"/>
  <c r="F2308" i="21"/>
  <c r="I2308" i="21"/>
  <c r="B2309" i="21"/>
  <c r="H2309" i="21" s="1"/>
  <c r="C2309" i="21"/>
  <c r="F2309" i="21"/>
  <c r="I2309" i="21"/>
  <c r="B2310" i="21"/>
  <c r="D2310" i="21" s="1"/>
  <c r="C2310" i="21"/>
  <c r="F2310" i="21"/>
  <c r="H2310" i="21"/>
  <c r="I2310" i="21"/>
  <c r="B2311" i="21"/>
  <c r="H2311" i="21" s="1"/>
  <c r="C2311" i="21"/>
  <c r="D2311" i="21"/>
  <c r="F2311" i="21"/>
  <c r="I2311" i="21"/>
  <c r="B2312" i="21"/>
  <c r="D2312" i="21" s="1"/>
  <c r="C2312" i="21"/>
  <c r="F2312" i="21"/>
  <c r="I2312" i="21"/>
  <c r="B2313" i="21"/>
  <c r="H2313" i="21" s="1"/>
  <c r="C2313" i="21"/>
  <c r="F2313" i="21"/>
  <c r="I2313" i="21"/>
  <c r="B2314" i="21"/>
  <c r="C2314" i="21"/>
  <c r="F2314" i="21"/>
  <c r="I2314" i="21"/>
  <c r="B2315" i="21"/>
  <c r="D2315" i="21" s="1"/>
  <c r="C2315" i="21"/>
  <c r="F2315" i="21"/>
  <c r="H2315" i="21"/>
  <c r="I2315" i="21"/>
  <c r="B2316" i="21"/>
  <c r="D2316" i="21" s="1"/>
  <c r="C2316" i="21"/>
  <c r="F2316" i="21"/>
  <c r="I2316" i="21"/>
  <c r="B2317" i="21"/>
  <c r="H2317" i="21" s="1"/>
  <c r="C2317" i="21"/>
  <c r="F2317" i="21"/>
  <c r="I2317" i="21"/>
  <c r="B2318" i="21"/>
  <c r="C2318" i="21"/>
  <c r="F2318" i="21"/>
  <c r="I2318" i="21"/>
  <c r="B2319" i="21"/>
  <c r="D2319" i="21" s="1"/>
  <c r="C2319" i="21"/>
  <c r="F2319" i="21"/>
  <c r="I2319" i="21"/>
  <c r="B2320" i="21"/>
  <c r="D2320" i="21" s="1"/>
  <c r="C2320" i="21"/>
  <c r="F2320" i="21"/>
  <c r="I2320" i="21"/>
  <c r="B2321" i="21"/>
  <c r="H2321" i="21" s="1"/>
  <c r="C2321" i="21"/>
  <c r="F2321" i="21"/>
  <c r="I2321" i="21"/>
  <c r="B2322" i="21"/>
  <c r="C2322" i="21"/>
  <c r="F2322" i="21"/>
  <c r="I2322" i="21"/>
  <c r="B2323" i="21"/>
  <c r="H2323" i="21" s="1"/>
  <c r="C2323" i="21"/>
  <c r="F2323" i="21"/>
  <c r="I2323" i="21"/>
  <c r="B2324" i="21"/>
  <c r="D2324" i="21" s="1"/>
  <c r="C2324" i="21"/>
  <c r="F2324" i="21"/>
  <c r="I2324" i="21"/>
  <c r="B2325" i="21"/>
  <c r="H2325" i="21" s="1"/>
  <c r="C2325" i="21"/>
  <c r="F2325" i="21"/>
  <c r="I2325" i="21"/>
  <c r="B2326" i="21"/>
  <c r="D2326" i="21" s="1"/>
  <c r="C2326" i="21"/>
  <c r="F2326" i="21"/>
  <c r="I2326" i="21"/>
  <c r="B2327" i="21"/>
  <c r="D2327" i="21" s="1"/>
  <c r="C2327" i="21"/>
  <c r="F2327" i="21"/>
  <c r="I2327" i="21"/>
  <c r="B2328" i="21"/>
  <c r="D2328" i="21" s="1"/>
  <c r="C2328" i="21"/>
  <c r="F2328" i="21"/>
  <c r="I2328" i="21"/>
  <c r="B2329" i="21"/>
  <c r="H2329" i="21" s="1"/>
  <c r="C2329" i="21"/>
  <c r="F2329" i="21"/>
  <c r="I2329" i="21"/>
  <c r="B2330" i="21"/>
  <c r="C2330" i="21"/>
  <c r="F2330" i="21"/>
  <c r="I2330" i="21"/>
  <c r="B2331" i="21"/>
  <c r="C2331" i="21"/>
  <c r="F2331" i="21"/>
  <c r="I2331" i="21"/>
  <c r="B2332" i="21"/>
  <c r="D2332" i="21" s="1"/>
  <c r="C2332" i="21"/>
  <c r="F2332" i="21"/>
  <c r="I2332" i="21"/>
  <c r="B2333" i="21"/>
  <c r="H2333" i="21" s="1"/>
  <c r="C2333" i="21"/>
  <c r="F2333" i="21"/>
  <c r="I2333" i="21"/>
  <c r="B2334" i="21"/>
  <c r="D2334" i="21" s="1"/>
  <c r="C2334" i="21"/>
  <c r="F2334" i="21"/>
  <c r="I2334" i="21"/>
  <c r="B2335" i="21"/>
  <c r="D2335" i="21" s="1"/>
  <c r="C2335" i="21"/>
  <c r="F2335" i="21"/>
  <c r="I2335" i="21"/>
  <c r="B2336" i="21"/>
  <c r="D2336" i="21" s="1"/>
  <c r="C2336" i="21"/>
  <c r="F2336" i="21"/>
  <c r="I2336" i="21"/>
  <c r="B2337" i="21"/>
  <c r="H2337" i="21" s="1"/>
  <c r="C2337" i="21"/>
  <c r="F2337" i="21"/>
  <c r="I2337" i="21"/>
  <c r="B2338" i="21"/>
  <c r="C2338" i="21"/>
  <c r="F2338" i="21"/>
  <c r="I2338" i="21"/>
  <c r="B2339" i="21"/>
  <c r="H2339" i="21" s="1"/>
  <c r="C2339" i="21"/>
  <c r="D2339" i="21"/>
  <c r="F2339" i="21"/>
  <c r="I2339" i="21"/>
  <c r="I2290" i="21"/>
  <c r="F2290" i="21"/>
  <c r="B2290" i="21"/>
  <c r="H2290" i="21" s="1"/>
  <c r="B2289" i="21"/>
  <c r="D2289" i="21" s="1"/>
  <c r="C2289" i="21"/>
  <c r="F2289" i="21"/>
  <c r="I2289" i="21"/>
  <c r="C2290" i="21"/>
  <c r="B2276" i="21"/>
  <c r="H2276" i="21" s="1"/>
  <c r="C2276" i="21"/>
  <c r="F2276" i="21"/>
  <c r="I2276" i="21"/>
  <c r="B2277" i="21"/>
  <c r="D2277" i="21" s="1"/>
  <c r="C2277" i="21"/>
  <c r="F2277" i="21"/>
  <c r="I2277" i="21"/>
  <c r="B2278" i="21"/>
  <c r="H2278" i="21" s="1"/>
  <c r="C2278" i="21"/>
  <c r="F2278" i="21"/>
  <c r="I2278" i="21"/>
  <c r="B2279" i="21"/>
  <c r="D2279" i="21" s="1"/>
  <c r="C2279" i="21"/>
  <c r="F2279" i="21"/>
  <c r="I2279" i="21"/>
  <c r="B2280" i="21"/>
  <c r="C2280" i="21"/>
  <c r="F2280" i="21"/>
  <c r="I2280" i="21"/>
  <c r="B2281" i="21"/>
  <c r="D2281" i="21" s="1"/>
  <c r="C2281" i="21"/>
  <c r="F2281" i="21"/>
  <c r="I2281" i="21"/>
  <c r="B2282" i="21"/>
  <c r="H2282" i="21" s="1"/>
  <c r="C2282" i="21"/>
  <c r="F2282" i="21"/>
  <c r="I2282" i="21"/>
  <c r="B2283" i="21"/>
  <c r="D2283" i="21" s="1"/>
  <c r="C2283" i="21"/>
  <c r="F2283" i="21"/>
  <c r="I2283" i="21"/>
  <c r="B2284" i="21"/>
  <c r="D2284" i="21" s="1"/>
  <c r="C2284" i="21"/>
  <c r="F2284" i="21"/>
  <c r="I2284" i="21"/>
  <c r="B2285" i="21"/>
  <c r="D2285" i="21" s="1"/>
  <c r="C2285" i="21"/>
  <c r="F2285" i="21"/>
  <c r="I2285" i="21"/>
  <c r="B2286" i="21"/>
  <c r="H2286" i="21" s="1"/>
  <c r="C2286" i="21"/>
  <c r="F2286" i="21"/>
  <c r="I2286" i="21"/>
  <c r="B2287" i="21"/>
  <c r="D2287" i="21" s="1"/>
  <c r="C2287" i="21"/>
  <c r="F2287" i="21"/>
  <c r="I2287" i="21"/>
  <c r="B2288" i="21"/>
  <c r="C2288" i="21"/>
  <c r="F2288" i="21"/>
  <c r="I2288" i="21"/>
  <c r="B2239" i="21"/>
  <c r="D2239" i="21" s="1"/>
  <c r="C2239" i="21"/>
  <c r="F2239" i="21"/>
  <c r="I2239" i="21"/>
  <c r="B2240" i="21"/>
  <c r="D2240" i="21" s="1"/>
  <c r="C2240" i="21"/>
  <c r="F2240" i="21"/>
  <c r="I2240" i="21"/>
  <c r="B2241" i="21"/>
  <c r="C2241" i="21"/>
  <c r="F2241" i="21"/>
  <c r="I2241" i="21"/>
  <c r="B2242" i="21"/>
  <c r="C2242" i="21"/>
  <c r="F2242" i="21"/>
  <c r="I2242" i="21"/>
  <c r="B2243" i="21"/>
  <c r="D2243" i="21" s="1"/>
  <c r="C2243" i="21"/>
  <c r="F2243" i="21"/>
  <c r="I2243" i="21"/>
  <c r="B2244" i="21"/>
  <c r="D2244" i="21" s="1"/>
  <c r="C2244" i="21"/>
  <c r="F2244" i="21"/>
  <c r="I2244" i="21"/>
  <c r="B2245" i="21"/>
  <c r="H2245" i="21" s="1"/>
  <c r="C2245" i="21"/>
  <c r="F2245" i="21"/>
  <c r="I2245" i="21"/>
  <c r="B2246" i="21"/>
  <c r="D2246" i="21" s="1"/>
  <c r="C2246" i="21"/>
  <c r="F2246" i="21"/>
  <c r="I2246" i="21"/>
  <c r="B2247" i="21"/>
  <c r="C2247" i="21"/>
  <c r="F2247" i="21"/>
  <c r="I2247" i="21"/>
  <c r="B2248" i="21"/>
  <c r="D2248" i="21" s="1"/>
  <c r="C2248" i="21"/>
  <c r="F2248" i="21"/>
  <c r="I2248" i="21"/>
  <c r="B2249" i="21"/>
  <c r="H2249" i="21" s="1"/>
  <c r="C2249" i="21"/>
  <c r="F2249" i="21"/>
  <c r="I2249" i="21"/>
  <c r="B2250" i="21"/>
  <c r="D2250" i="21" s="1"/>
  <c r="C2250" i="21"/>
  <c r="F2250" i="21"/>
  <c r="I2250" i="21"/>
  <c r="B2251" i="21"/>
  <c r="C2251" i="21"/>
  <c r="F2251" i="21"/>
  <c r="I2251" i="21"/>
  <c r="B2252" i="21"/>
  <c r="D2252" i="21" s="1"/>
  <c r="C2252" i="21"/>
  <c r="F2252" i="21"/>
  <c r="I2252" i="21"/>
  <c r="B2253" i="21"/>
  <c r="H2253" i="21" s="1"/>
  <c r="C2253" i="21"/>
  <c r="F2253" i="21"/>
  <c r="I2253" i="21"/>
  <c r="B2254" i="21"/>
  <c r="D2254" i="21" s="1"/>
  <c r="C2254" i="21"/>
  <c r="F2254" i="21"/>
  <c r="I2254" i="21"/>
  <c r="B2255" i="21"/>
  <c r="D2255" i="21" s="1"/>
  <c r="C2255" i="21"/>
  <c r="F2255" i="21"/>
  <c r="I2255" i="21"/>
  <c r="B2256" i="21"/>
  <c r="D2256" i="21" s="1"/>
  <c r="C2256" i="21"/>
  <c r="F2256" i="21"/>
  <c r="I2256" i="21"/>
  <c r="B2257" i="21"/>
  <c r="H2257" i="21" s="1"/>
  <c r="C2257" i="21"/>
  <c r="F2257" i="21"/>
  <c r="I2257" i="21"/>
  <c r="B2258" i="21"/>
  <c r="H2258" i="21" s="1"/>
  <c r="C2258" i="21"/>
  <c r="F2258" i="21"/>
  <c r="I2258" i="21"/>
  <c r="B2259" i="21"/>
  <c r="D2259" i="21" s="1"/>
  <c r="C2259" i="21"/>
  <c r="F2259" i="21"/>
  <c r="I2259" i="21"/>
  <c r="B2260" i="21"/>
  <c r="D2260" i="21" s="1"/>
  <c r="C2260" i="21"/>
  <c r="F2260" i="21"/>
  <c r="I2260" i="21"/>
  <c r="B2261" i="21"/>
  <c r="C2261" i="21"/>
  <c r="F2261" i="21"/>
  <c r="I2261" i="21"/>
  <c r="B2262" i="21"/>
  <c r="D2262" i="21" s="1"/>
  <c r="C2262" i="21"/>
  <c r="F2262" i="21"/>
  <c r="I2262" i="21"/>
  <c r="B2263" i="21"/>
  <c r="D2263" i="21" s="1"/>
  <c r="C2263" i="21"/>
  <c r="F2263" i="21"/>
  <c r="I2263" i="21"/>
  <c r="B2264" i="21"/>
  <c r="D2264" i="21" s="1"/>
  <c r="C2264" i="21"/>
  <c r="F2264" i="21"/>
  <c r="I2264" i="21"/>
  <c r="B2265" i="21"/>
  <c r="C2265" i="21"/>
  <c r="F2265" i="21"/>
  <c r="I2265" i="21"/>
  <c r="B2266" i="21"/>
  <c r="D2266" i="21" s="1"/>
  <c r="C2266" i="21"/>
  <c r="F2266" i="21"/>
  <c r="I2266" i="21"/>
  <c r="B2267" i="21"/>
  <c r="H2267" i="21" s="1"/>
  <c r="C2267" i="21"/>
  <c r="F2267" i="21"/>
  <c r="I2267" i="21"/>
  <c r="B2268" i="21"/>
  <c r="D2268" i="21" s="1"/>
  <c r="C2268" i="21"/>
  <c r="F2268" i="21"/>
  <c r="I2268" i="21"/>
  <c r="B2269" i="21"/>
  <c r="H2269" i="21" s="1"/>
  <c r="C2269" i="21"/>
  <c r="F2269" i="21"/>
  <c r="I2269" i="21"/>
  <c r="B2270" i="21"/>
  <c r="C2270" i="21"/>
  <c r="F2270" i="21"/>
  <c r="I2270" i="21"/>
  <c r="B2271" i="21"/>
  <c r="H2271" i="21" s="1"/>
  <c r="C2271" i="21"/>
  <c r="F2271" i="21"/>
  <c r="I2271" i="21"/>
  <c r="B2272" i="21"/>
  <c r="D2272" i="21" s="1"/>
  <c r="C2272" i="21"/>
  <c r="F2272" i="21"/>
  <c r="I2272" i="21"/>
  <c r="B2273" i="21"/>
  <c r="C2273" i="21"/>
  <c r="F2273" i="21"/>
  <c r="I2273" i="21"/>
  <c r="B2274" i="21"/>
  <c r="H2274" i="21" s="1"/>
  <c r="C2274" i="21"/>
  <c r="D2274" i="21"/>
  <c r="F2274" i="21"/>
  <c r="I2274" i="21"/>
  <c r="B2275" i="21"/>
  <c r="D2275" i="21" s="1"/>
  <c r="C2275" i="21"/>
  <c r="F2275" i="21"/>
  <c r="I2275" i="21"/>
  <c r="I2238" i="21"/>
  <c r="F2238" i="21"/>
  <c r="C2238" i="21"/>
  <c r="B2238" i="21"/>
  <c r="D2238" i="21" s="1"/>
  <c r="B2187" i="21"/>
  <c r="D2187" i="21" s="1"/>
  <c r="C2187" i="21"/>
  <c r="F2187" i="21"/>
  <c r="I2187" i="21"/>
  <c r="B2188" i="21"/>
  <c r="D2188" i="21" s="1"/>
  <c r="C2188" i="21"/>
  <c r="F2188" i="21"/>
  <c r="I2188" i="21"/>
  <c r="B2189" i="21"/>
  <c r="H2189" i="21" s="1"/>
  <c r="C2189" i="21"/>
  <c r="F2189" i="21"/>
  <c r="I2189" i="21"/>
  <c r="B2190" i="21"/>
  <c r="D2190" i="21" s="1"/>
  <c r="C2190" i="21"/>
  <c r="F2190" i="21"/>
  <c r="I2190" i="21"/>
  <c r="B2191" i="21"/>
  <c r="C2191" i="21"/>
  <c r="F2191" i="21"/>
  <c r="I2191" i="21"/>
  <c r="B2192" i="21"/>
  <c r="D2192" i="21" s="1"/>
  <c r="C2192" i="21"/>
  <c r="F2192" i="21"/>
  <c r="I2192" i="21"/>
  <c r="B2193" i="21"/>
  <c r="H2193" i="21" s="1"/>
  <c r="C2193" i="21"/>
  <c r="F2193" i="21"/>
  <c r="I2193" i="21"/>
  <c r="B2194" i="21"/>
  <c r="C2194" i="21"/>
  <c r="F2194" i="21"/>
  <c r="I2194" i="21"/>
  <c r="B2195" i="21"/>
  <c r="D2195" i="21" s="1"/>
  <c r="C2195" i="21"/>
  <c r="F2195" i="21"/>
  <c r="I2195" i="21"/>
  <c r="B2196" i="21"/>
  <c r="D2196" i="21" s="1"/>
  <c r="C2196" i="21"/>
  <c r="F2196" i="21"/>
  <c r="I2196" i="21"/>
  <c r="B2197" i="21"/>
  <c r="H2197" i="21" s="1"/>
  <c r="C2197" i="21"/>
  <c r="F2197" i="21"/>
  <c r="I2197" i="21"/>
  <c r="B2198" i="21"/>
  <c r="C2198" i="21"/>
  <c r="F2198" i="21"/>
  <c r="I2198" i="21"/>
  <c r="B2199" i="21"/>
  <c r="D2199" i="21" s="1"/>
  <c r="C2199" i="21"/>
  <c r="F2199" i="21"/>
  <c r="I2199" i="21"/>
  <c r="B2200" i="21"/>
  <c r="D2200" i="21" s="1"/>
  <c r="C2200" i="21"/>
  <c r="F2200" i="21"/>
  <c r="I2200" i="21"/>
  <c r="B2201" i="21"/>
  <c r="H2201" i="21" s="1"/>
  <c r="C2201" i="21"/>
  <c r="F2201" i="21"/>
  <c r="I2201" i="21"/>
  <c r="B2202" i="21"/>
  <c r="D2202" i="21" s="1"/>
  <c r="C2202" i="21"/>
  <c r="F2202" i="21"/>
  <c r="I2202" i="21"/>
  <c r="B2203" i="21"/>
  <c r="C2203" i="21"/>
  <c r="F2203" i="21"/>
  <c r="I2203" i="21"/>
  <c r="B2204" i="21"/>
  <c r="D2204" i="21" s="1"/>
  <c r="C2204" i="21"/>
  <c r="F2204" i="21"/>
  <c r="I2204" i="21"/>
  <c r="B2205" i="21"/>
  <c r="H2205" i="21" s="1"/>
  <c r="C2205" i="21"/>
  <c r="F2205" i="21"/>
  <c r="I2205" i="21"/>
  <c r="B2206" i="21"/>
  <c r="D2206" i="21" s="1"/>
  <c r="C2206" i="21"/>
  <c r="F2206" i="21"/>
  <c r="I2206" i="21"/>
  <c r="B2207" i="21"/>
  <c r="D2207" i="21" s="1"/>
  <c r="C2207" i="21"/>
  <c r="F2207" i="21"/>
  <c r="I2207" i="21"/>
  <c r="B2208" i="21"/>
  <c r="D2208" i="21" s="1"/>
  <c r="C2208" i="21"/>
  <c r="F2208" i="21"/>
  <c r="I2208" i="21"/>
  <c r="B2209" i="21"/>
  <c r="H2209" i="21" s="1"/>
  <c r="C2209" i="21"/>
  <c r="F2209" i="21"/>
  <c r="I2209" i="21"/>
  <c r="B2210" i="21"/>
  <c r="H2210" i="21" s="1"/>
  <c r="C2210" i="21"/>
  <c r="D2210" i="21"/>
  <c r="F2210" i="21"/>
  <c r="I2210" i="21"/>
  <c r="B2211" i="21"/>
  <c r="C2211" i="21"/>
  <c r="F2211" i="21"/>
  <c r="I2211" i="21"/>
  <c r="B2212" i="21"/>
  <c r="D2212" i="21" s="1"/>
  <c r="C2212" i="21"/>
  <c r="F2212" i="21"/>
  <c r="I2212" i="21"/>
  <c r="B2213" i="21"/>
  <c r="H2213" i="21" s="1"/>
  <c r="C2213" i="21"/>
  <c r="F2213" i="21"/>
  <c r="I2213" i="21"/>
  <c r="B2214" i="21"/>
  <c r="D2214" i="21" s="1"/>
  <c r="C2214" i="21"/>
  <c r="F2214" i="21"/>
  <c r="I2214" i="21"/>
  <c r="B2215" i="21"/>
  <c r="D2215" i="21" s="1"/>
  <c r="C2215" i="21"/>
  <c r="F2215" i="21"/>
  <c r="I2215" i="21"/>
  <c r="B2216" i="21"/>
  <c r="D2216" i="21" s="1"/>
  <c r="C2216" i="21"/>
  <c r="F2216" i="21"/>
  <c r="I2216" i="21"/>
  <c r="B2217" i="21"/>
  <c r="H2217" i="21" s="1"/>
  <c r="C2217" i="21"/>
  <c r="F2217" i="21"/>
  <c r="I2217" i="21"/>
  <c r="B2218" i="21"/>
  <c r="C2218" i="21"/>
  <c r="F2218" i="21"/>
  <c r="I2218" i="21"/>
  <c r="B2219" i="21"/>
  <c r="D2219" i="21" s="1"/>
  <c r="C2219" i="21"/>
  <c r="F2219" i="21"/>
  <c r="I2219" i="21"/>
  <c r="B2220" i="21"/>
  <c r="D2220" i="21" s="1"/>
  <c r="C2220" i="21"/>
  <c r="F2220" i="21"/>
  <c r="I2220" i="21"/>
  <c r="B2221" i="21"/>
  <c r="H2221" i="21" s="1"/>
  <c r="C2221" i="21"/>
  <c r="F2221" i="21"/>
  <c r="I2221" i="21"/>
  <c r="B2222" i="21"/>
  <c r="D2222" i="21" s="1"/>
  <c r="C2222" i="21"/>
  <c r="F2222" i="21"/>
  <c r="I2222" i="21"/>
  <c r="B2223" i="21"/>
  <c r="C2223" i="21"/>
  <c r="F2223" i="21"/>
  <c r="I2223" i="21"/>
  <c r="B2224" i="21"/>
  <c r="D2224" i="21" s="1"/>
  <c r="C2224" i="21"/>
  <c r="F2224" i="21"/>
  <c r="I2224" i="21"/>
  <c r="B2225" i="21"/>
  <c r="H2225" i="21" s="1"/>
  <c r="C2225" i="21"/>
  <c r="F2225" i="21"/>
  <c r="I2225" i="21"/>
  <c r="B2226" i="21"/>
  <c r="C2226" i="21"/>
  <c r="F2226" i="21"/>
  <c r="I2226" i="21"/>
  <c r="B2227" i="21"/>
  <c r="D2227" i="21" s="1"/>
  <c r="C2227" i="21"/>
  <c r="F2227" i="21"/>
  <c r="I2227" i="21"/>
  <c r="B2228" i="21"/>
  <c r="D2228" i="21" s="1"/>
  <c r="C2228" i="21"/>
  <c r="F2228" i="21"/>
  <c r="I2228" i="21"/>
  <c r="B2229" i="21"/>
  <c r="H2229" i="21" s="1"/>
  <c r="C2229" i="21"/>
  <c r="F2229" i="21"/>
  <c r="I2229" i="21"/>
  <c r="B2230" i="21"/>
  <c r="C2230" i="21"/>
  <c r="F2230" i="21"/>
  <c r="I2230" i="21"/>
  <c r="B2231" i="21"/>
  <c r="D2231" i="21" s="1"/>
  <c r="C2231" i="21"/>
  <c r="F2231" i="21"/>
  <c r="I2231" i="21"/>
  <c r="B2232" i="21"/>
  <c r="D2232" i="21" s="1"/>
  <c r="C2232" i="21"/>
  <c r="F2232" i="21"/>
  <c r="I2232" i="21"/>
  <c r="B2233" i="21"/>
  <c r="H2233" i="21" s="1"/>
  <c r="C2233" i="21"/>
  <c r="F2233" i="21"/>
  <c r="I2233" i="21"/>
  <c r="B2234" i="21"/>
  <c r="D2234" i="21" s="1"/>
  <c r="C2234" i="21"/>
  <c r="F2234" i="21"/>
  <c r="I2234" i="21"/>
  <c r="B2235" i="21"/>
  <c r="D2235" i="21" s="1"/>
  <c r="C2235" i="21"/>
  <c r="F2235" i="21"/>
  <c r="I2235" i="21"/>
  <c r="B2236" i="21"/>
  <c r="D2236" i="21" s="1"/>
  <c r="C2236" i="21"/>
  <c r="F2236" i="21"/>
  <c r="I2236" i="21"/>
  <c r="B2237" i="21"/>
  <c r="H2237" i="21" s="1"/>
  <c r="C2237" i="21"/>
  <c r="F2237" i="21"/>
  <c r="I2237" i="21"/>
  <c r="I2186" i="21"/>
  <c r="F2186" i="21"/>
  <c r="B2186" i="21"/>
  <c r="D2186" i="21" s="1"/>
  <c r="B2184" i="21"/>
  <c r="H2184" i="21" s="1"/>
  <c r="C2184" i="21"/>
  <c r="F2184" i="21"/>
  <c r="I2184" i="21"/>
  <c r="B2185" i="21"/>
  <c r="D2185" i="21" s="1"/>
  <c r="C2185" i="21"/>
  <c r="F2185" i="21"/>
  <c r="I2185" i="21"/>
  <c r="C2186" i="21"/>
  <c r="B2181" i="21"/>
  <c r="D2181" i="21" s="1"/>
  <c r="C2181" i="21"/>
  <c r="F2181" i="21"/>
  <c r="I2181" i="21"/>
  <c r="B2182" i="21"/>
  <c r="C2182" i="21"/>
  <c r="F2182" i="21"/>
  <c r="I2182" i="21"/>
  <c r="B2183" i="21"/>
  <c r="D2183" i="21" s="1"/>
  <c r="C2183" i="21"/>
  <c r="F2183" i="21"/>
  <c r="I2183" i="21"/>
  <c r="B2173" i="21"/>
  <c r="D2173" i="21" s="1"/>
  <c r="C2173" i="21"/>
  <c r="F2173" i="21"/>
  <c r="I2173" i="21"/>
  <c r="B2174" i="21"/>
  <c r="D2174" i="21" s="1"/>
  <c r="C2174" i="21"/>
  <c r="F2174" i="21"/>
  <c r="I2174" i="21"/>
  <c r="B2175" i="21"/>
  <c r="D2175" i="21" s="1"/>
  <c r="C2175" i="21"/>
  <c r="F2175" i="21"/>
  <c r="I2175" i="21"/>
  <c r="B2176" i="21"/>
  <c r="C2176" i="21"/>
  <c r="F2176" i="21"/>
  <c r="I2176" i="21"/>
  <c r="B2177" i="21"/>
  <c r="D2177" i="21" s="1"/>
  <c r="C2177" i="21"/>
  <c r="F2177" i="21"/>
  <c r="I2177" i="21"/>
  <c r="B2178" i="21"/>
  <c r="D2178" i="21" s="1"/>
  <c r="C2178" i="21"/>
  <c r="F2178" i="21"/>
  <c r="I2178" i="21"/>
  <c r="B2179" i="21"/>
  <c r="H2179" i="21" s="1"/>
  <c r="C2179" i="21"/>
  <c r="F2179" i="21"/>
  <c r="I2179" i="21"/>
  <c r="B2180" i="21"/>
  <c r="D2180" i="21" s="1"/>
  <c r="C2180" i="21"/>
  <c r="F2180" i="21"/>
  <c r="I2180" i="21"/>
  <c r="B2166" i="21"/>
  <c r="C2166" i="21"/>
  <c r="F2166" i="21"/>
  <c r="I2166" i="21"/>
  <c r="B2167" i="21"/>
  <c r="D2167" i="21" s="1"/>
  <c r="C2167" i="21"/>
  <c r="F2167" i="21"/>
  <c r="I2167" i="21"/>
  <c r="B2168" i="21"/>
  <c r="H2168" i="21" s="1"/>
  <c r="C2168" i="21"/>
  <c r="F2168" i="21"/>
  <c r="I2168" i="21"/>
  <c r="B2169" i="21"/>
  <c r="C2169" i="21"/>
  <c r="D2169" i="21"/>
  <c r="F2169" i="21"/>
  <c r="H2169" i="21"/>
  <c r="I2169" i="21"/>
  <c r="B2170" i="21"/>
  <c r="D2170" i="21" s="1"/>
  <c r="C2170" i="21"/>
  <c r="F2170" i="21"/>
  <c r="I2170" i="21"/>
  <c r="B2171" i="21"/>
  <c r="D2171" i="21" s="1"/>
  <c r="C2171" i="21"/>
  <c r="F2171" i="21"/>
  <c r="I2171" i="21"/>
  <c r="B2172" i="21"/>
  <c r="H2172" i="21" s="1"/>
  <c r="C2172" i="21"/>
  <c r="F2172" i="21"/>
  <c r="I2172" i="21"/>
  <c r="B2135" i="21"/>
  <c r="D2135" i="21" s="1"/>
  <c r="C2135" i="21"/>
  <c r="F2135" i="21"/>
  <c r="I2135" i="21"/>
  <c r="B2136" i="21"/>
  <c r="D2136" i="21" s="1"/>
  <c r="C2136" i="21"/>
  <c r="F2136" i="21"/>
  <c r="I2136" i="21"/>
  <c r="B2137" i="21"/>
  <c r="H2137" i="21" s="1"/>
  <c r="C2137" i="21"/>
  <c r="F2137" i="21"/>
  <c r="I2137" i="21"/>
  <c r="B2138" i="21"/>
  <c r="C2138" i="21"/>
  <c r="F2138" i="21"/>
  <c r="I2138" i="21"/>
  <c r="B2139" i="21"/>
  <c r="D2139" i="21" s="1"/>
  <c r="C2139" i="21"/>
  <c r="F2139" i="21"/>
  <c r="I2139" i="21"/>
  <c r="B2140" i="21"/>
  <c r="D2140" i="21" s="1"/>
  <c r="C2140" i="21"/>
  <c r="F2140" i="21"/>
  <c r="I2140" i="21"/>
  <c r="B2141" i="21"/>
  <c r="H2141" i="21" s="1"/>
  <c r="C2141" i="21"/>
  <c r="F2141" i="21"/>
  <c r="I2141" i="21"/>
  <c r="B2142" i="21"/>
  <c r="D2142" i="21" s="1"/>
  <c r="C2142" i="21"/>
  <c r="F2142" i="21"/>
  <c r="I2142" i="21"/>
  <c r="B2143" i="21"/>
  <c r="D2143" i="21" s="1"/>
  <c r="C2143" i="21"/>
  <c r="F2143" i="21"/>
  <c r="I2143" i="21"/>
  <c r="B2144" i="21"/>
  <c r="D2144" i="21" s="1"/>
  <c r="C2144" i="21"/>
  <c r="F2144" i="21"/>
  <c r="I2144" i="21"/>
  <c r="B2145" i="21"/>
  <c r="H2145" i="21" s="1"/>
  <c r="C2145" i="21"/>
  <c r="F2145" i="21"/>
  <c r="I2145" i="21"/>
  <c r="B2146" i="21"/>
  <c r="C2146" i="21"/>
  <c r="F2146" i="21"/>
  <c r="I2146" i="21"/>
  <c r="B2147" i="21"/>
  <c r="C2147" i="21"/>
  <c r="F2147" i="21"/>
  <c r="I2147" i="21"/>
  <c r="B2148" i="21"/>
  <c r="D2148" i="21" s="1"/>
  <c r="C2148" i="21"/>
  <c r="F2148" i="21"/>
  <c r="I2148" i="21"/>
  <c r="B2149" i="21"/>
  <c r="H2149" i="21" s="1"/>
  <c r="C2149" i="21"/>
  <c r="F2149" i="21"/>
  <c r="I2149" i="21"/>
  <c r="B2150" i="21"/>
  <c r="H2150" i="21" s="1"/>
  <c r="C2150" i="21"/>
  <c r="F2150" i="21"/>
  <c r="I2150" i="21"/>
  <c r="B2151" i="21"/>
  <c r="D2151" i="21" s="1"/>
  <c r="C2151" i="21"/>
  <c r="F2151" i="21"/>
  <c r="I2151" i="21"/>
  <c r="B2152" i="21"/>
  <c r="D2152" i="21" s="1"/>
  <c r="C2152" i="21"/>
  <c r="F2152" i="21"/>
  <c r="I2152" i="21"/>
  <c r="B2153" i="21"/>
  <c r="H2153" i="21" s="1"/>
  <c r="C2153" i="21"/>
  <c r="F2153" i="21"/>
  <c r="I2153" i="21"/>
  <c r="B2154" i="21"/>
  <c r="C2154" i="21"/>
  <c r="F2154" i="21"/>
  <c r="I2154" i="21"/>
  <c r="B2155" i="21"/>
  <c r="C2155" i="21"/>
  <c r="F2155" i="21"/>
  <c r="I2155" i="21"/>
  <c r="B2156" i="21"/>
  <c r="D2156" i="21" s="1"/>
  <c r="C2156" i="21"/>
  <c r="F2156" i="21"/>
  <c r="I2156" i="21"/>
  <c r="B2157" i="21"/>
  <c r="H2157" i="21" s="1"/>
  <c r="C2157" i="21"/>
  <c r="F2157" i="21"/>
  <c r="I2157" i="21"/>
  <c r="B2158" i="21"/>
  <c r="H2158" i="21" s="1"/>
  <c r="C2158" i="21"/>
  <c r="F2158" i="21"/>
  <c r="I2158" i="21"/>
  <c r="B2159" i="21"/>
  <c r="D2159" i="21" s="1"/>
  <c r="C2159" i="21"/>
  <c r="F2159" i="21"/>
  <c r="I2159" i="21"/>
  <c r="B2160" i="21"/>
  <c r="D2160" i="21" s="1"/>
  <c r="C2160" i="21"/>
  <c r="F2160" i="21"/>
  <c r="I2160" i="21"/>
  <c r="B2161" i="21"/>
  <c r="H2161" i="21" s="1"/>
  <c r="C2161" i="21"/>
  <c r="F2161" i="21"/>
  <c r="I2161" i="21"/>
  <c r="B2162" i="21"/>
  <c r="C2162" i="21"/>
  <c r="F2162" i="21"/>
  <c r="I2162" i="21"/>
  <c r="B2163" i="21"/>
  <c r="D2163" i="21" s="1"/>
  <c r="C2163" i="21"/>
  <c r="F2163" i="21"/>
  <c r="I2163" i="21"/>
  <c r="B2164" i="21"/>
  <c r="D2164" i="21" s="1"/>
  <c r="C2164" i="21"/>
  <c r="F2164" i="21"/>
  <c r="I2164" i="21"/>
  <c r="B2165" i="21"/>
  <c r="H2165" i="21" s="1"/>
  <c r="C2165" i="21"/>
  <c r="F2165" i="21"/>
  <c r="I2165" i="21"/>
  <c r="I2134" i="21"/>
  <c r="F2134" i="21"/>
  <c r="B2134" i="21"/>
  <c r="D2134" i="21" s="1"/>
  <c r="B2083" i="21"/>
  <c r="H2083" i="21" s="1"/>
  <c r="C2083" i="21"/>
  <c r="F2083" i="21"/>
  <c r="I2083" i="21"/>
  <c r="B2084" i="21"/>
  <c r="D2084" i="21" s="1"/>
  <c r="C2084" i="21"/>
  <c r="F2084" i="21"/>
  <c r="I2084" i="21"/>
  <c r="B2085" i="21"/>
  <c r="H2085" i="21" s="1"/>
  <c r="C2085" i="21"/>
  <c r="F2085" i="21"/>
  <c r="I2085" i="21"/>
  <c r="B2086" i="21"/>
  <c r="H2086" i="21" s="1"/>
  <c r="C2086" i="21"/>
  <c r="F2086" i="21"/>
  <c r="I2086" i="21"/>
  <c r="B2087" i="21"/>
  <c r="D2087" i="21" s="1"/>
  <c r="C2087" i="21"/>
  <c r="F2087" i="21"/>
  <c r="I2087" i="21"/>
  <c r="B2088" i="21"/>
  <c r="C2088" i="21"/>
  <c r="F2088" i="21"/>
  <c r="I2088" i="21"/>
  <c r="B2089" i="21"/>
  <c r="H2089" i="21" s="1"/>
  <c r="C2089" i="21"/>
  <c r="F2089" i="21"/>
  <c r="I2089" i="21"/>
  <c r="B2090" i="21"/>
  <c r="C2090" i="21"/>
  <c r="F2090" i="21"/>
  <c r="I2090" i="21"/>
  <c r="B2091" i="21"/>
  <c r="C2091" i="21"/>
  <c r="F2091" i="21"/>
  <c r="I2091" i="21"/>
  <c r="B2092" i="21"/>
  <c r="D2092" i="21" s="1"/>
  <c r="C2092" i="21"/>
  <c r="F2092" i="21"/>
  <c r="I2092" i="21"/>
  <c r="B2093" i="21"/>
  <c r="H2093" i="21" s="1"/>
  <c r="C2093" i="21"/>
  <c r="F2093" i="21"/>
  <c r="I2093" i="21"/>
  <c r="B2094" i="21"/>
  <c r="H2094" i="21" s="1"/>
  <c r="C2094" i="21"/>
  <c r="F2094" i="21"/>
  <c r="I2094" i="21"/>
  <c r="B2095" i="21"/>
  <c r="D2095" i="21" s="1"/>
  <c r="C2095" i="21"/>
  <c r="F2095" i="21"/>
  <c r="I2095" i="21"/>
  <c r="B2096" i="21"/>
  <c r="C2096" i="21"/>
  <c r="F2096" i="21"/>
  <c r="I2096" i="21"/>
  <c r="B2097" i="21"/>
  <c r="H2097" i="21" s="1"/>
  <c r="C2097" i="21"/>
  <c r="F2097" i="21"/>
  <c r="I2097" i="21"/>
  <c r="B2098" i="21"/>
  <c r="C2098" i="21"/>
  <c r="F2098" i="21"/>
  <c r="I2098" i="21"/>
  <c r="B2099" i="21"/>
  <c r="D2099" i="21" s="1"/>
  <c r="C2099" i="21"/>
  <c r="F2099" i="21"/>
  <c r="H2099" i="21"/>
  <c r="I2099" i="21"/>
  <c r="B2100" i="21"/>
  <c r="D2100" i="21" s="1"/>
  <c r="C2100" i="21"/>
  <c r="F2100" i="21"/>
  <c r="I2100" i="21"/>
  <c r="B2101" i="21"/>
  <c r="H2101" i="21" s="1"/>
  <c r="C2101" i="21"/>
  <c r="F2101" i="21"/>
  <c r="I2101" i="21"/>
  <c r="B2102" i="21"/>
  <c r="H2102" i="21" s="1"/>
  <c r="C2102" i="21"/>
  <c r="F2102" i="21"/>
  <c r="I2102" i="21"/>
  <c r="B2103" i="21"/>
  <c r="D2103" i="21" s="1"/>
  <c r="C2103" i="21"/>
  <c r="F2103" i="21"/>
  <c r="I2103" i="21"/>
  <c r="B2104" i="21"/>
  <c r="C2104" i="21"/>
  <c r="F2104" i="21"/>
  <c r="I2104" i="21"/>
  <c r="B2105" i="21"/>
  <c r="H2105" i="21" s="1"/>
  <c r="C2105" i="21"/>
  <c r="F2105" i="21"/>
  <c r="I2105" i="21"/>
  <c r="B2106" i="21"/>
  <c r="H2106" i="21" s="1"/>
  <c r="C2106" i="21"/>
  <c r="F2106" i="21"/>
  <c r="I2106" i="21"/>
  <c r="B2107" i="21"/>
  <c r="D2107" i="21" s="1"/>
  <c r="C2107" i="21"/>
  <c r="F2107" i="21"/>
  <c r="I2107" i="21"/>
  <c r="B2108" i="21"/>
  <c r="C2108" i="21"/>
  <c r="F2108" i="21"/>
  <c r="I2108" i="21"/>
  <c r="B2109" i="21"/>
  <c r="H2109" i="21" s="1"/>
  <c r="C2109" i="21"/>
  <c r="F2109" i="21"/>
  <c r="I2109" i="21"/>
  <c r="B2110" i="21"/>
  <c r="H2110" i="21" s="1"/>
  <c r="C2110" i="21"/>
  <c r="F2110" i="21"/>
  <c r="I2110" i="21"/>
  <c r="B2111" i="21"/>
  <c r="D2111" i="21" s="1"/>
  <c r="C2111" i="21"/>
  <c r="F2111" i="21"/>
  <c r="I2111" i="21"/>
  <c r="B2112" i="21"/>
  <c r="C2112" i="21"/>
  <c r="F2112" i="21"/>
  <c r="I2112" i="21"/>
  <c r="B2113" i="21"/>
  <c r="H2113" i="21" s="1"/>
  <c r="C2113" i="21"/>
  <c r="F2113" i="21"/>
  <c r="I2113" i="21"/>
  <c r="B2114" i="21"/>
  <c r="H2114" i="21" s="1"/>
  <c r="C2114" i="21"/>
  <c r="F2114" i="21"/>
  <c r="I2114" i="21"/>
  <c r="B2115" i="21"/>
  <c r="D2115" i="21" s="1"/>
  <c r="C2115" i="21"/>
  <c r="F2115" i="21"/>
  <c r="I2115" i="21"/>
  <c r="B2116" i="21"/>
  <c r="D2116" i="21" s="1"/>
  <c r="C2116" i="21"/>
  <c r="F2116" i="21"/>
  <c r="I2116" i="21"/>
  <c r="B2117" i="21"/>
  <c r="H2117" i="21" s="1"/>
  <c r="C2117" i="21"/>
  <c r="F2117" i="21"/>
  <c r="I2117" i="21"/>
  <c r="B2118" i="21"/>
  <c r="C2118" i="21"/>
  <c r="F2118" i="21"/>
  <c r="I2118" i="21"/>
  <c r="B2119" i="21"/>
  <c r="D2119" i="21" s="1"/>
  <c r="C2119" i="21"/>
  <c r="F2119" i="21"/>
  <c r="I2119" i="21"/>
  <c r="B2120" i="21"/>
  <c r="C2120" i="21"/>
  <c r="F2120" i="21"/>
  <c r="I2120" i="21"/>
  <c r="B2121" i="21"/>
  <c r="H2121" i="21" s="1"/>
  <c r="C2121" i="21"/>
  <c r="F2121" i="21"/>
  <c r="I2121" i="21"/>
  <c r="B2122" i="21"/>
  <c r="H2122" i="21" s="1"/>
  <c r="C2122" i="21"/>
  <c r="F2122" i="21"/>
  <c r="I2122" i="21"/>
  <c r="B2123" i="21"/>
  <c r="H2123" i="21" s="1"/>
  <c r="C2123" i="21"/>
  <c r="F2123" i="21"/>
  <c r="I2123" i="21"/>
  <c r="B2124" i="21"/>
  <c r="D2124" i="21" s="1"/>
  <c r="C2124" i="21"/>
  <c r="F2124" i="21"/>
  <c r="I2124" i="21"/>
  <c r="B2125" i="21"/>
  <c r="H2125" i="21" s="1"/>
  <c r="C2125" i="21"/>
  <c r="F2125" i="21"/>
  <c r="I2125" i="21"/>
  <c r="B2126" i="21"/>
  <c r="H2126" i="21" s="1"/>
  <c r="C2126" i="21"/>
  <c r="D2126" i="21"/>
  <c r="F2126" i="21"/>
  <c r="I2126" i="21"/>
  <c r="B2127" i="21"/>
  <c r="D2127" i="21" s="1"/>
  <c r="C2127" i="21"/>
  <c r="F2127" i="21"/>
  <c r="I2127" i="21"/>
  <c r="B2128" i="21"/>
  <c r="C2128" i="21"/>
  <c r="F2128" i="21"/>
  <c r="I2128" i="21"/>
  <c r="B2129" i="21"/>
  <c r="H2129" i="21" s="1"/>
  <c r="C2129" i="21"/>
  <c r="F2129" i="21"/>
  <c r="I2129" i="21"/>
  <c r="B2130" i="21"/>
  <c r="H2130" i="21" s="1"/>
  <c r="C2130" i="21"/>
  <c r="F2130" i="21"/>
  <c r="I2130" i="21"/>
  <c r="B2131" i="21"/>
  <c r="D2131" i="21" s="1"/>
  <c r="C2131" i="21"/>
  <c r="F2131" i="21"/>
  <c r="I2131" i="21"/>
  <c r="B2132" i="21"/>
  <c r="D2132" i="21" s="1"/>
  <c r="C2132" i="21"/>
  <c r="F2132" i="21"/>
  <c r="H2132" i="21"/>
  <c r="I2132" i="21"/>
  <c r="B2133" i="21"/>
  <c r="H2133" i="21" s="1"/>
  <c r="C2133" i="21"/>
  <c r="F2133" i="21"/>
  <c r="I2133" i="21"/>
  <c r="H2134" i="21"/>
  <c r="C2134" i="21"/>
  <c r="I2082" i="21"/>
  <c r="F2082" i="21"/>
  <c r="B2082" i="21"/>
  <c r="D2082" i="21" s="1"/>
  <c r="B2081" i="21"/>
  <c r="D2081" i="21" s="1"/>
  <c r="C2081" i="21"/>
  <c r="F2081" i="21"/>
  <c r="I2081" i="21"/>
  <c r="C2082" i="21"/>
  <c r="B2077" i="21"/>
  <c r="D2077" i="21" s="1"/>
  <c r="C2077" i="21"/>
  <c r="F2077" i="21"/>
  <c r="I2077" i="21"/>
  <c r="B2078" i="21"/>
  <c r="D2078" i="21" s="1"/>
  <c r="C2078" i="21"/>
  <c r="F2078" i="21"/>
  <c r="I2078" i="21"/>
  <c r="B2079" i="21"/>
  <c r="C2079" i="21"/>
  <c r="F2079" i="21"/>
  <c r="I2079" i="21"/>
  <c r="B2080" i="21"/>
  <c r="D2080" i="21" s="1"/>
  <c r="C2080" i="21"/>
  <c r="F2080" i="21"/>
  <c r="I2080" i="21"/>
  <c r="B2031" i="21"/>
  <c r="H2031" i="21" s="1"/>
  <c r="C2031" i="21"/>
  <c r="F2031" i="21"/>
  <c r="I2031" i="21"/>
  <c r="B2032" i="21"/>
  <c r="D2032" i="21" s="1"/>
  <c r="C2032" i="21"/>
  <c r="F2032" i="21"/>
  <c r="I2032" i="21"/>
  <c r="B2033" i="21"/>
  <c r="H2033" i="21" s="1"/>
  <c r="C2033" i="21"/>
  <c r="F2033" i="21"/>
  <c r="I2033" i="21"/>
  <c r="B2034" i="21"/>
  <c r="H2034" i="21" s="1"/>
  <c r="C2034" i="21"/>
  <c r="F2034" i="21"/>
  <c r="I2034" i="21"/>
  <c r="B2035" i="21"/>
  <c r="C2035" i="21"/>
  <c r="F2035" i="21"/>
  <c r="I2035" i="21"/>
  <c r="B2036" i="21"/>
  <c r="D2036" i="21" s="1"/>
  <c r="C2036" i="21"/>
  <c r="F2036" i="21"/>
  <c r="I2036" i="21"/>
  <c r="B2037" i="21"/>
  <c r="H2037" i="21" s="1"/>
  <c r="C2037" i="21"/>
  <c r="F2037" i="21"/>
  <c r="I2037" i="21"/>
  <c r="B2038" i="21"/>
  <c r="H2038" i="21" s="1"/>
  <c r="C2038" i="21"/>
  <c r="D2038" i="21"/>
  <c r="F2038" i="21"/>
  <c r="I2038" i="21"/>
  <c r="B2039" i="21"/>
  <c r="C2039" i="21"/>
  <c r="F2039" i="21"/>
  <c r="I2039" i="21"/>
  <c r="B2040" i="21"/>
  <c r="D2040" i="21" s="1"/>
  <c r="C2040" i="21"/>
  <c r="F2040" i="21"/>
  <c r="I2040" i="21"/>
  <c r="B2041" i="21"/>
  <c r="H2041" i="21" s="1"/>
  <c r="C2041" i="21"/>
  <c r="F2041" i="21"/>
  <c r="I2041" i="21"/>
  <c r="B2042" i="21"/>
  <c r="H2042" i="21" s="1"/>
  <c r="C2042" i="21"/>
  <c r="F2042" i="21"/>
  <c r="I2042" i="21"/>
  <c r="B2043" i="21"/>
  <c r="C2043" i="21"/>
  <c r="F2043" i="21"/>
  <c r="I2043" i="21"/>
  <c r="B2044" i="21"/>
  <c r="D2044" i="21" s="1"/>
  <c r="C2044" i="21"/>
  <c r="F2044" i="21"/>
  <c r="H2044" i="21"/>
  <c r="I2044" i="21"/>
  <c r="B2045" i="21"/>
  <c r="H2045" i="21" s="1"/>
  <c r="C2045" i="21"/>
  <c r="F2045" i="21"/>
  <c r="I2045" i="21"/>
  <c r="B2046" i="21"/>
  <c r="C2046" i="21"/>
  <c r="F2046" i="21"/>
  <c r="I2046" i="21"/>
  <c r="B2047" i="21"/>
  <c r="D2047" i="21" s="1"/>
  <c r="C2047" i="21"/>
  <c r="F2047" i="21"/>
  <c r="I2047" i="21"/>
  <c r="B2048" i="21"/>
  <c r="D2048" i="21" s="1"/>
  <c r="C2048" i="21"/>
  <c r="F2048" i="21"/>
  <c r="I2048" i="21"/>
  <c r="B2049" i="21"/>
  <c r="H2049" i="21" s="1"/>
  <c r="C2049" i="21"/>
  <c r="F2049" i="21"/>
  <c r="I2049" i="21"/>
  <c r="B2050" i="21"/>
  <c r="H2050" i="21" s="1"/>
  <c r="C2050" i="21"/>
  <c r="F2050" i="21"/>
  <c r="I2050" i="21"/>
  <c r="B2051" i="21"/>
  <c r="C2051" i="21"/>
  <c r="F2051" i="21"/>
  <c r="I2051" i="21"/>
  <c r="B2052" i="21"/>
  <c r="D2052" i="21" s="1"/>
  <c r="C2052" i="21"/>
  <c r="F2052" i="21"/>
  <c r="I2052" i="21"/>
  <c r="B2053" i="21"/>
  <c r="H2053" i="21" s="1"/>
  <c r="C2053" i="21"/>
  <c r="F2053" i="21"/>
  <c r="I2053" i="21"/>
  <c r="B2054" i="21"/>
  <c r="H2054" i="21" s="1"/>
  <c r="C2054" i="21"/>
  <c r="F2054" i="21"/>
  <c r="I2054" i="21"/>
  <c r="B2055" i="21"/>
  <c r="D2055" i="21" s="1"/>
  <c r="C2055" i="21"/>
  <c r="F2055" i="21"/>
  <c r="I2055" i="21"/>
  <c r="B2056" i="21"/>
  <c r="C2056" i="21"/>
  <c r="F2056" i="21"/>
  <c r="I2056" i="21"/>
  <c r="B2057" i="21"/>
  <c r="H2057" i="21" s="1"/>
  <c r="C2057" i="21"/>
  <c r="F2057" i="21"/>
  <c r="I2057" i="21"/>
  <c r="B2058" i="21"/>
  <c r="H2058" i="21" s="1"/>
  <c r="C2058" i="21"/>
  <c r="F2058" i="21"/>
  <c r="I2058" i="21"/>
  <c r="B2059" i="21"/>
  <c r="C2059" i="21"/>
  <c r="F2059" i="21"/>
  <c r="I2059" i="21"/>
  <c r="B2060" i="21"/>
  <c r="D2060" i="21" s="1"/>
  <c r="C2060" i="21"/>
  <c r="F2060" i="21"/>
  <c r="I2060" i="21"/>
  <c r="B2061" i="21"/>
  <c r="H2061" i="21" s="1"/>
  <c r="C2061" i="21"/>
  <c r="F2061" i="21"/>
  <c r="I2061" i="21"/>
  <c r="B2062" i="21"/>
  <c r="H2062" i="21" s="1"/>
  <c r="C2062" i="21"/>
  <c r="F2062" i="21"/>
  <c r="I2062" i="21"/>
  <c r="B2063" i="21"/>
  <c r="H2063" i="21" s="1"/>
  <c r="C2063" i="21"/>
  <c r="D2063" i="21"/>
  <c r="F2063" i="21"/>
  <c r="I2063" i="21"/>
  <c r="B2064" i="21"/>
  <c r="D2064" i="21" s="1"/>
  <c r="C2064" i="21"/>
  <c r="F2064" i="21"/>
  <c r="I2064" i="21"/>
  <c r="B2065" i="21"/>
  <c r="H2065" i="21" s="1"/>
  <c r="C2065" i="21"/>
  <c r="F2065" i="21"/>
  <c r="I2065" i="21"/>
  <c r="B2066" i="21"/>
  <c r="H2066" i="21" s="1"/>
  <c r="C2066" i="21"/>
  <c r="F2066" i="21"/>
  <c r="I2066" i="21"/>
  <c r="B2067" i="21"/>
  <c r="C2067" i="21"/>
  <c r="F2067" i="21"/>
  <c r="I2067" i="21"/>
  <c r="B2068" i="21"/>
  <c r="D2068" i="21" s="1"/>
  <c r="C2068" i="21"/>
  <c r="F2068" i="21"/>
  <c r="I2068" i="21"/>
  <c r="B2069" i="21"/>
  <c r="H2069" i="21" s="1"/>
  <c r="C2069" i="21"/>
  <c r="F2069" i="21"/>
  <c r="I2069" i="21"/>
  <c r="B2070" i="21"/>
  <c r="H2070" i="21" s="1"/>
  <c r="C2070" i="21"/>
  <c r="F2070" i="21"/>
  <c r="I2070" i="21"/>
  <c r="B2071" i="21"/>
  <c r="C2071" i="21"/>
  <c r="D2071" i="21"/>
  <c r="F2071" i="21"/>
  <c r="H2071" i="21"/>
  <c r="I2071" i="21"/>
  <c r="B2072" i="21"/>
  <c r="D2072" i="21" s="1"/>
  <c r="C2072" i="21"/>
  <c r="F2072" i="21"/>
  <c r="I2072" i="21"/>
  <c r="B2073" i="21"/>
  <c r="H2073" i="21" s="1"/>
  <c r="C2073" i="21"/>
  <c r="F2073" i="21"/>
  <c r="I2073" i="21"/>
  <c r="B2074" i="21"/>
  <c r="C2074" i="21"/>
  <c r="F2074" i="21"/>
  <c r="I2074" i="21"/>
  <c r="B2075" i="21"/>
  <c r="C2075" i="21"/>
  <c r="F2075" i="21"/>
  <c r="I2075" i="21"/>
  <c r="B2076" i="21"/>
  <c r="C2076" i="21"/>
  <c r="F2076" i="21"/>
  <c r="I2076" i="21"/>
  <c r="I2030" i="21"/>
  <c r="F2030" i="21"/>
  <c r="C2030" i="21"/>
  <c r="B2030" i="21"/>
  <c r="D2030" i="21" s="1"/>
  <c r="B2025" i="21"/>
  <c r="D2025" i="21" s="1"/>
  <c r="C2025" i="21"/>
  <c r="F2025" i="21"/>
  <c r="I2025" i="21"/>
  <c r="B2026" i="21"/>
  <c r="C2026" i="21"/>
  <c r="F2026" i="21"/>
  <c r="I2026" i="21"/>
  <c r="B2027" i="21"/>
  <c r="C2027" i="21"/>
  <c r="F2027" i="21"/>
  <c r="I2027" i="21"/>
  <c r="B2028" i="21"/>
  <c r="H2028" i="21" s="1"/>
  <c r="C2028" i="21"/>
  <c r="F2028" i="21"/>
  <c r="I2028" i="21"/>
  <c r="B2029" i="21"/>
  <c r="D2029" i="21" s="1"/>
  <c r="C2029" i="21"/>
  <c r="F2029" i="21"/>
  <c r="I2029" i="21"/>
  <c r="B1979" i="21"/>
  <c r="D1979" i="21" s="1"/>
  <c r="C1979" i="21"/>
  <c r="F1979" i="21"/>
  <c r="I1979" i="21"/>
  <c r="B1980" i="21"/>
  <c r="D1980" i="21" s="1"/>
  <c r="C1980" i="21"/>
  <c r="F1980" i="21"/>
  <c r="I1980" i="21"/>
  <c r="B1981" i="21"/>
  <c r="H1981" i="21" s="1"/>
  <c r="C1981" i="21"/>
  <c r="F1981" i="21"/>
  <c r="I1981" i="21"/>
  <c r="B1982" i="21"/>
  <c r="H1982" i="21" s="1"/>
  <c r="C1982" i="21"/>
  <c r="F1982" i="21"/>
  <c r="I1982" i="21"/>
  <c r="B1983" i="21"/>
  <c r="D1983" i="21" s="1"/>
  <c r="C1983" i="21"/>
  <c r="F1983" i="21"/>
  <c r="I1983" i="21"/>
  <c r="B1984" i="21"/>
  <c r="D1984" i="21" s="1"/>
  <c r="C1984" i="21"/>
  <c r="F1984" i="21"/>
  <c r="I1984" i="21"/>
  <c r="B1985" i="21"/>
  <c r="H1985" i="21" s="1"/>
  <c r="C1985" i="21"/>
  <c r="F1985" i="21"/>
  <c r="I1985" i="21"/>
  <c r="B1986" i="21"/>
  <c r="C1986" i="21"/>
  <c r="F1986" i="21"/>
  <c r="I1986" i="21"/>
  <c r="B1987" i="21"/>
  <c r="D1987" i="21" s="1"/>
  <c r="C1987" i="21"/>
  <c r="F1987" i="21"/>
  <c r="I1987" i="21"/>
  <c r="B1988" i="21"/>
  <c r="D1988" i="21" s="1"/>
  <c r="C1988" i="21"/>
  <c r="F1988" i="21"/>
  <c r="I1988" i="21"/>
  <c r="B1989" i="21"/>
  <c r="H1989" i="21" s="1"/>
  <c r="C1989" i="21"/>
  <c r="F1989" i="21"/>
  <c r="I1989" i="21"/>
  <c r="B1990" i="21"/>
  <c r="C1990" i="21"/>
  <c r="F1990" i="21"/>
  <c r="I1990" i="21"/>
  <c r="B1991" i="21"/>
  <c r="D1991" i="21" s="1"/>
  <c r="C1991" i="21"/>
  <c r="F1991" i="21"/>
  <c r="I1991" i="21"/>
  <c r="B1992" i="21"/>
  <c r="D1992" i="21" s="1"/>
  <c r="C1992" i="21"/>
  <c r="F1992" i="21"/>
  <c r="I1992" i="21"/>
  <c r="B1993" i="21"/>
  <c r="H1993" i="21" s="1"/>
  <c r="C1993" i="21"/>
  <c r="F1993" i="21"/>
  <c r="I1993" i="21"/>
  <c r="B1994" i="21"/>
  <c r="H1994" i="21" s="1"/>
  <c r="C1994" i="21"/>
  <c r="F1994" i="21"/>
  <c r="I1994" i="21"/>
  <c r="B1995" i="21"/>
  <c r="D1995" i="21" s="1"/>
  <c r="C1995" i="21"/>
  <c r="F1995" i="21"/>
  <c r="I1995" i="21"/>
  <c r="B1996" i="21"/>
  <c r="D1996" i="21" s="1"/>
  <c r="C1996" i="21"/>
  <c r="F1996" i="21"/>
  <c r="I1996" i="21"/>
  <c r="B1997" i="21"/>
  <c r="C1997" i="21"/>
  <c r="F1997" i="21"/>
  <c r="I1997" i="21"/>
  <c r="B1998" i="21"/>
  <c r="H1998" i="21" s="1"/>
  <c r="C1998" i="21"/>
  <c r="F1998" i="21"/>
  <c r="I1998" i="21"/>
  <c r="B1999" i="21"/>
  <c r="D1999" i="21" s="1"/>
  <c r="C1999" i="21"/>
  <c r="F1999" i="21"/>
  <c r="I1999" i="21"/>
  <c r="B2000" i="21"/>
  <c r="D2000" i="21" s="1"/>
  <c r="C2000" i="21"/>
  <c r="F2000" i="21"/>
  <c r="I2000" i="21"/>
  <c r="B2001" i="21"/>
  <c r="H2001" i="21" s="1"/>
  <c r="C2001" i="21"/>
  <c r="F2001" i="21"/>
  <c r="I2001" i="21"/>
  <c r="B2002" i="21"/>
  <c r="D2002" i="21" s="1"/>
  <c r="C2002" i="21"/>
  <c r="F2002" i="21"/>
  <c r="I2002" i="21"/>
  <c r="B2003" i="21"/>
  <c r="D2003" i="21" s="1"/>
  <c r="C2003" i="21"/>
  <c r="F2003" i="21"/>
  <c r="I2003" i="21"/>
  <c r="B2004" i="21"/>
  <c r="D2004" i="21" s="1"/>
  <c r="C2004" i="21"/>
  <c r="F2004" i="21"/>
  <c r="I2004" i="21"/>
  <c r="B2005" i="21"/>
  <c r="H2005" i="21" s="1"/>
  <c r="C2005" i="21"/>
  <c r="F2005" i="21"/>
  <c r="I2005" i="21"/>
  <c r="B2006" i="21"/>
  <c r="H2006" i="21" s="1"/>
  <c r="C2006" i="21"/>
  <c r="D2006" i="21"/>
  <c r="F2006" i="21"/>
  <c r="I2006" i="21"/>
  <c r="B2007" i="21"/>
  <c r="D2007" i="21" s="1"/>
  <c r="C2007" i="21"/>
  <c r="F2007" i="21"/>
  <c r="I2007" i="21"/>
  <c r="B2008" i="21"/>
  <c r="D2008" i="21" s="1"/>
  <c r="C2008" i="21"/>
  <c r="F2008" i="21"/>
  <c r="I2008" i="21"/>
  <c r="B2009" i="21"/>
  <c r="H2009" i="21" s="1"/>
  <c r="C2009" i="21"/>
  <c r="F2009" i="21"/>
  <c r="I2009" i="21"/>
  <c r="B2010" i="21"/>
  <c r="C2010" i="21"/>
  <c r="F2010" i="21"/>
  <c r="I2010" i="21"/>
  <c r="B2011" i="21"/>
  <c r="D2011" i="21" s="1"/>
  <c r="C2011" i="21"/>
  <c r="F2011" i="21"/>
  <c r="I2011" i="21"/>
  <c r="B2012" i="21"/>
  <c r="D2012" i="21" s="1"/>
  <c r="C2012" i="21"/>
  <c r="F2012" i="21"/>
  <c r="I2012" i="21"/>
  <c r="B2013" i="21"/>
  <c r="H2013" i="21" s="1"/>
  <c r="C2013" i="21"/>
  <c r="F2013" i="21"/>
  <c r="I2013" i="21"/>
  <c r="B2014" i="21"/>
  <c r="H2014" i="21" s="1"/>
  <c r="C2014" i="21"/>
  <c r="D2014" i="21"/>
  <c r="F2014" i="21"/>
  <c r="I2014" i="21"/>
  <c r="B2015" i="21"/>
  <c r="D2015" i="21" s="1"/>
  <c r="C2015" i="21"/>
  <c r="F2015" i="21"/>
  <c r="I2015" i="21"/>
  <c r="B2016" i="21"/>
  <c r="D2016" i="21" s="1"/>
  <c r="C2016" i="21"/>
  <c r="F2016" i="21"/>
  <c r="I2016" i="21"/>
  <c r="B2017" i="21"/>
  <c r="H2017" i="21" s="1"/>
  <c r="C2017" i="21"/>
  <c r="F2017" i="21"/>
  <c r="I2017" i="21"/>
  <c r="B2018" i="21"/>
  <c r="D2018" i="21" s="1"/>
  <c r="C2018" i="21"/>
  <c r="F2018" i="21"/>
  <c r="H2018" i="21"/>
  <c r="I2018" i="21"/>
  <c r="B2019" i="21"/>
  <c r="D2019" i="21" s="1"/>
  <c r="C2019" i="21"/>
  <c r="F2019" i="21"/>
  <c r="I2019" i="21"/>
  <c r="B2020" i="21"/>
  <c r="D2020" i="21" s="1"/>
  <c r="C2020" i="21"/>
  <c r="F2020" i="21"/>
  <c r="I2020" i="21"/>
  <c r="B2021" i="21"/>
  <c r="H2021" i="21" s="1"/>
  <c r="C2021" i="21"/>
  <c r="D2021" i="21"/>
  <c r="F2021" i="21"/>
  <c r="I2021" i="21"/>
  <c r="B2022" i="21"/>
  <c r="C2022" i="21"/>
  <c r="F2022" i="21"/>
  <c r="I2022" i="21"/>
  <c r="B2023" i="21"/>
  <c r="D2023" i="21" s="1"/>
  <c r="C2023" i="21"/>
  <c r="F2023" i="21"/>
  <c r="I2023" i="21"/>
  <c r="B2024" i="21"/>
  <c r="D2024" i="21" s="1"/>
  <c r="C2024" i="21"/>
  <c r="F2024" i="21"/>
  <c r="I2024" i="21"/>
  <c r="I1978" i="21"/>
  <c r="F1978" i="21"/>
  <c r="B1978" i="21"/>
  <c r="B1927" i="21"/>
  <c r="D1927" i="21" s="1"/>
  <c r="C1927" i="21"/>
  <c r="F1927" i="21"/>
  <c r="I1927" i="21"/>
  <c r="B1928" i="21"/>
  <c r="D1928" i="21" s="1"/>
  <c r="C1928" i="21"/>
  <c r="F1928" i="21"/>
  <c r="I1928" i="21"/>
  <c r="B1929" i="21"/>
  <c r="H1929" i="21" s="1"/>
  <c r="C1929" i="21"/>
  <c r="F1929" i="21"/>
  <c r="I1929" i="21"/>
  <c r="B1930" i="21"/>
  <c r="H1930" i="21" s="1"/>
  <c r="C1930" i="21"/>
  <c r="D1930" i="21"/>
  <c r="F1930" i="21"/>
  <c r="I1930" i="21"/>
  <c r="B1931" i="21"/>
  <c r="D1931" i="21" s="1"/>
  <c r="C1931" i="21"/>
  <c r="F1931" i="21"/>
  <c r="I1931" i="21"/>
  <c r="B1932" i="21"/>
  <c r="D1932" i="21" s="1"/>
  <c r="C1932" i="21"/>
  <c r="F1932" i="21"/>
  <c r="I1932" i="21"/>
  <c r="B1933" i="21"/>
  <c r="H1933" i="21" s="1"/>
  <c r="C1933" i="21"/>
  <c r="F1933" i="21"/>
  <c r="I1933" i="21"/>
  <c r="B1934" i="21"/>
  <c r="D1934" i="21" s="1"/>
  <c r="C1934" i="21"/>
  <c r="F1934" i="21"/>
  <c r="H1934" i="21"/>
  <c r="I1934" i="21"/>
  <c r="B1935" i="21"/>
  <c r="D1935" i="21" s="1"/>
  <c r="C1935" i="21"/>
  <c r="F1935" i="21"/>
  <c r="I1935" i="21"/>
  <c r="B1936" i="21"/>
  <c r="D1936" i="21" s="1"/>
  <c r="C1936" i="21"/>
  <c r="F1936" i="21"/>
  <c r="I1936" i="21"/>
  <c r="B1937" i="21"/>
  <c r="H1937" i="21" s="1"/>
  <c r="C1937" i="21"/>
  <c r="F1937" i="21"/>
  <c r="I1937" i="21"/>
  <c r="B1938" i="21"/>
  <c r="H1938" i="21" s="1"/>
  <c r="C1938" i="21"/>
  <c r="F1938" i="21"/>
  <c r="I1938" i="21"/>
  <c r="B1939" i="21"/>
  <c r="D1939" i="21" s="1"/>
  <c r="C1939" i="21"/>
  <c r="F1939" i="21"/>
  <c r="I1939" i="21"/>
  <c r="B1940" i="21"/>
  <c r="D1940" i="21" s="1"/>
  <c r="C1940" i="21"/>
  <c r="F1940" i="21"/>
  <c r="I1940" i="21"/>
  <c r="B1941" i="21"/>
  <c r="C1941" i="21"/>
  <c r="F1941" i="21"/>
  <c r="I1941" i="21"/>
  <c r="B1942" i="21"/>
  <c r="C1942" i="21"/>
  <c r="F1942" i="21"/>
  <c r="I1942" i="21"/>
  <c r="B1943" i="21"/>
  <c r="D1943" i="21" s="1"/>
  <c r="C1943" i="21"/>
  <c r="F1943" i="21"/>
  <c r="I1943" i="21"/>
  <c r="B1944" i="21"/>
  <c r="D1944" i="21" s="1"/>
  <c r="C1944" i="21"/>
  <c r="F1944" i="21"/>
  <c r="I1944" i="21"/>
  <c r="B1945" i="21"/>
  <c r="C1945" i="21"/>
  <c r="F1945" i="21"/>
  <c r="I1945" i="21"/>
  <c r="B1946" i="21"/>
  <c r="H1946" i="21" s="1"/>
  <c r="C1946" i="21"/>
  <c r="F1946" i="21"/>
  <c r="I1946" i="21"/>
  <c r="B1947" i="21"/>
  <c r="D1947" i="21" s="1"/>
  <c r="C1947" i="21"/>
  <c r="F1947" i="21"/>
  <c r="I1947" i="21"/>
  <c r="B1948" i="21"/>
  <c r="D1948" i="21" s="1"/>
  <c r="C1948" i="21"/>
  <c r="F1948" i="21"/>
  <c r="I1948" i="21"/>
  <c r="B1949" i="21"/>
  <c r="C1949" i="21"/>
  <c r="F1949" i="21"/>
  <c r="I1949" i="21"/>
  <c r="B1950" i="21"/>
  <c r="H1950" i="21" s="1"/>
  <c r="C1950" i="21"/>
  <c r="F1950" i="21"/>
  <c r="I1950" i="21"/>
  <c r="B1951" i="21"/>
  <c r="D1951" i="21" s="1"/>
  <c r="C1951" i="21"/>
  <c r="F1951" i="21"/>
  <c r="I1951" i="21"/>
  <c r="B1952" i="21"/>
  <c r="D1952" i="21" s="1"/>
  <c r="C1952" i="21"/>
  <c r="F1952" i="21"/>
  <c r="I1952" i="21"/>
  <c r="B1953" i="21"/>
  <c r="H1953" i="21" s="1"/>
  <c r="C1953" i="21"/>
  <c r="F1953" i="21"/>
  <c r="I1953" i="21"/>
  <c r="B1954" i="21"/>
  <c r="H1954" i="21" s="1"/>
  <c r="C1954" i="21"/>
  <c r="F1954" i="21"/>
  <c r="I1954" i="21"/>
  <c r="B1955" i="21"/>
  <c r="D1955" i="21" s="1"/>
  <c r="C1955" i="21"/>
  <c r="F1955" i="21"/>
  <c r="I1955" i="21"/>
  <c r="B1956" i="21"/>
  <c r="D1956" i="21" s="1"/>
  <c r="C1956" i="21"/>
  <c r="F1956" i="21"/>
  <c r="I1956" i="21"/>
  <c r="B1957" i="21"/>
  <c r="C1957" i="21"/>
  <c r="F1957" i="21"/>
  <c r="I1957" i="21"/>
  <c r="B1958" i="21"/>
  <c r="H1958" i="21" s="1"/>
  <c r="C1958" i="21"/>
  <c r="F1958" i="21"/>
  <c r="I1958" i="21"/>
  <c r="B1959" i="21"/>
  <c r="C1959" i="21"/>
  <c r="F1959" i="21"/>
  <c r="I1959" i="21"/>
  <c r="B1960" i="21"/>
  <c r="D1960" i="21" s="1"/>
  <c r="C1960" i="21"/>
  <c r="F1960" i="21"/>
  <c r="I1960" i="21"/>
  <c r="B1961" i="21"/>
  <c r="H1961" i="21" s="1"/>
  <c r="C1961" i="21"/>
  <c r="F1961" i="21"/>
  <c r="I1961" i="21"/>
  <c r="B1962" i="21"/>
  <c r="H1962" i="21" s="1"/>
  <c r="C1962" i="21"/>
  <c r="D1962" i="21"/>
  <c r="F1962" i="21"/>
  <c r="I1962" i="21"/>
  <c r="B1963" i="21"/>
  <c r="D1963" i="21" s="1"/>
  <c r="C1963" i="21"/>
  <c r="F1963" i="21"/>
  <c r="I1963" i="21"/>
  <c r="B1964" i="21"/>
  <c r="D1964" i="21" s="1"/>
  <c r="C1964" i="21"/>
  <c r="F1964" i="21"/>
  <c r="I1964" i="21"/>
  <c r="B1965" i="21"/>
  <c r="C1965" i="21"/>
  <c r="F1965" i="21"/>
  <c r="I1965" i="21"/>
  <c r="B1966" i="21"/>
  <c r="D1966" i="21" s="1"/>
  <c r="C1966" i="21"/>
  <c r="F1966" i="21"/>
  <c r="H1966" i="21"/>
  <c r="I1966" i="21"/>
  <c r="B1967" i="21"/>
  <c r="D1967" i="21" s="1"/>
  <c r="C1967" i="21"/>
  <c r="F1967" i="21"/>
  <c r="H1967" i="21"/>
  <c r="I1967" i="21"/>
  <c r="B1968" i="21"/>
  <c r="D1968" i="21" s="1"/>
  <c r="C1968" i="21"/>
  <c r="F1968" i="21"/>
  <c r="I1968" i="21"/>
  <c r="B1969" i="21"/>
  <c r="H1969" i="21" s="1"/>
  <c r="C1969" i="21"/>
  <c r="D1969" i="21"/>
  <c r="F1969" i="21"/>
  <c r="I1969" i="21"/>
  <c r="B1970" i="21"/>
  <c r="H1970" i="21" s="1"/>
  <c r="C1970" i="21"/>
  <c r="F1970" i="21"/>
  <c r="I1970" i="21"/>
  <c r="B1971" i="21"/>
  <c r="C1971" i="21"/>
  <c r="F1971" i="21"/>
  <c r="I1971" i="21"/>
  <c r="B1972" i="21"/>
  <c r="D1972" i="21" s="1"/>
  <c r="C1972" i="21"/>
  <c r="F1972" i="21"/>
  <c r="I1972" i="21"/>
  <c r="B1973" i="21"/>
  <c r="C1973" i="21"/>
  <c r="F1973" i="21"/>
  <c r="I1973" i="21"/>
  <c r="B1974" i="21"/>
  <c r="C1974" i="21"/>
  <c r="F1974" i="21"/>
  <c r="I1974" i="21"/>
  <c r="B1975" i="21"/>
  <c r="C1975" i="21"/>
  <c r="F1975" i="21"/>
  <c r="I1975" i="21"/>
  <c r="B1976" i="21"/>
  <c r="D1976" i="21" s="1"/>
  <c r="C1976" i="21"/>
  <c r="F1976" i="21"/>
  <c r="I1976" i="21"/>
  <c r="B1977" i="21"/>
  <c r="H1977" i="21" s="1"/>
  <c r="C1977" i="21"/>
  <c r="F1977" i="21"/>
  <c r="I1977" i="21"/>
  <c r="C1978" i="21"/>
  <c r="D1978" i="21"/>
  <c r="H1978" i="21"/>
  <c r="I1926" i="21"/>
  <c r="F1926" i="21"/>
  <c r="B1926" i="21"/>
  <c r="D1926" i="21" s="1"/>
  <c r="B1875" i="21"/>
  <c r="D1875" i="21" s="1"/>
  <c r="C1875" i="21"/>
  <c r="F1875" i="21"/>
  <c r="I1875" i="21"/>
  <c r="B1876" i="21"/>
  <c r="D1876" i="21" s="1"/>
  <c r="C1876" i="21"/>
  <c r="F1876" i="21"/>
  <c r="I1876" i="21"/>
  <c r="B1877" i="21"/>
  <c r="H1877" i="21" s="1"/>
  <c r="C1877" i="21"/>
  <c r="D1877" i="21"/>
  <c r="F1877" i="21"/>
  <c r="I1877" i="21"/>
  <c r="B1878" i="21"/>
  <c r="C1878" i="21"/>
  <c r="F1878" i="21"/>
  <c r="I1878" i="21"/>
  <c r="B1879" i="21"/>
  <c r="D1879" i="21" s="1"/>
  <c r="C1879" i="21"/>
  <c r="F1879" i="21"/>
  <c r="I1879" i="21"/>
  <c r="B1880" i="21"/>
  <c r="D1880" i="21" s="1"/>
  <c r="C1880" i="21"/>
  <c r="F1880" i="21"/>
  <c r="I1880" i="21"/>
  <c r="B1881" i="21"/>
  <c r="C1881" i="21"/>
  <c r="F1881" i="21"/>
  <c r="I1881" i="21"/>
  <c r="B1882" i="21"/>
  <c r="D1882" i="21" s="1"/>
  <c r="C1882" i="21"/>
  <c r="F1882" i="21"/>
  <c r="I1882" i="21"/>
  <c r="B1883" i="21"/>
  <c r="D1883" i="21" s="1"/>
  <c r="C1883" i="21"/>
  <c r="F1883" i="21"/>
  <c r="I1883" i="21"/>
  <c r="B1884" i="21"/>
  <c r="D1884" i="21" s="1"/>
  <c r="C1884" i="21"/>
  <c r="F1884" i="21"/>
  <c r="I1884" i="21"/>
  <c r="B1885" i="21"/>
  <c r="H1885" i="21" s="1"/>
  <c r="C1885" i="21"/>
  <c r="F1885" i="21"/>
  <c r="I1885" i="21"/>
  <c r="B1886" i="21"/>
  <c r="D1886" i="21" s="1"/>
  <c r="C1886" i="21"/>
  <c r="F1886" i="21"/>
  <c r="I1886" i="21"/>
  <c r="B1887" i="21"/>
  <c r="D1887" i="21" s="1"/>
  <c r="C1887" i="21"/>
  <c r="F1887" i="21"/>
  <c r="I1887" i="21"/>
  <c r="B1888" i="21"/>
  <c r="D1888" i="21" s="1"/>
  <c r="C1888" i="21"/>
  <c r="F1888" i="21"/>
  <c r="I1888" i="21"/>
  <c r="B1889" i="21"/>
  <c r="D1889" i="21" s="1"/>
  <c r="C1889" i="21"/>
  <c r="F1889" i="21"/>
  <c r="I1889" i="21"/>
  <c r="B1890" i="21"/>
  <c r="D1890" i="21" s="1"/>
  <c r="C1890" i="21"/>
  <c r="F1890" i="21"/>
  <c r="I1890" i="21"/>
  <c r="B1891" i="21"/>
  <c r="D1891" i="21" s="1"/>
  <c r="C1891" i="21"/>
  <c r="F1891" i="21"/>
  <c r="I1891" i="21"/>
  <c r="B1892" i="21"/>
  <c r="D1892" i="21" s="1"/>
  <c r="C1892" i="21"/>
  <c r="F1892" i="21"/>
  <c r="I1892" i="21"/>
  <c r="B1893" i="21"/>
  <c r="D1893" i="21" s="1"/>
  <c r="C1893" i="21"/>
  <c r="F1893" i="21"/>
  <c r="I1893" i="21"/>
  <c r="B1894" i="21"/>
  <c r="D1894" i="21" s="1"/>
  <c r="C1894" i="21"/>
  <c r="F1894" i="21"/>
  <c r="I1894" i="21"/>
  <c r="B1895" i="21"/>
  <c r="D1895" i="21" s="1"/>
  <c r="C1895" i="21"/>
  <c r="F1895" i="21"/>
  <c r="I1895" i="21"/>
  <c r="B1896" i="21"/>
  <c r="D1896" i="21" s="1"/>
  <c r="C1896" i="21"/>
  <c r="F1896" i="21"/>
  <c r="I1896" i="21"/>
  <c r="B1897" i="21"/>
  <c r="H1897" i="21" s="1"/>
  <c r="C1897" i="21"/>
  <c r="F1897" i="21"/>
  <c r="I1897" i="21"/>
  <c r="B1898" i="21"/>
  <c r="C1898" i="21"/>
  <c r="F1898" i="21"/>
  <c r="I1898" i="21"/>
  <c r="B1899" i="21"/>
  <c r="D1899" i="21" s="1"/>
  <c r="C1899" i="21"/>
  <c r="F1899" i="21"/>
  <c r="I1899" i="21"/>
  <c r="B1900" i="21"/>
  <c r="D1900" i="21" s="1"/>
  <c r="C1900" i="21"/>
  <c r="F1900" i="21"/>
  <c r="I1900" i="21"/>
  <c r="B1901" i="21"/>
  <c r="H1901" i="21" s="1"/>
  <c r="C1901" i="21"/>
  <c r="F1901" i="21"/>
  <c r="I1901" i="21"/>
  <c r="B1902" i="21"/>
  <c r="C1902" i="21"/>
  <c r="F1902" i="21"/>
  <c r="I1902" i="21"/>
  <c r="B1903" i="21"/>
  <c r="D1903" i="21" s="1"/>
  <c r="C1903" i="21"/>
  <c r="F1903" i="21"/>
  <c r="I1903" i="21"/>
  <c r="B1904" i="21"/>
  <c r="D1904" i="21" s="1"/>
  <c r="C1904" i="21"/>
  <c r="F1904" i="21"/>
  <c r="I1904" i="21"/>
  <c r="B1905" i="21"/>
  <c r="H1905" i="21" s="1"/>
  <c r="C1905" i="21"/>
  <c r="F1905" i="21"/>
  <c r="I1905" i="21"/>
  <c r="B1906" i="21"/>
  <c r="C1906" i="21"/>
  <c r="F1906" i="21"/>
  <c r="I1906" i="21"/>
  <c r="B1907" i="21"/>
  <c r="D1907" i="21" s="1"/>
  <c r="C1907" i="21"/>
  <c r="F1907" i="21"/>
  <c r="I1907" i="21"/>
  <c r="B1908" i="21"/>
  <c r="D1908" i="21" s="1"/>
  <c r="C1908" i="21"/>
  <c r="F1908" i="21"/>
  <c r="I1908" i="21"/>
  <c r="B1909" i="21"/>
  <c r="H1909" i="21" s="1"/>
  <c r="C1909" i="21"/>
  <c r="F1909" i="21"/>
  <c r="I1909" i="21"/>
  <c r="B1910" i="21"/>
  <c r="C1910" i="21"/>
  <c r="F1910" i="21"/>
  <c r="I1910" i="21"/>
  <c r="B1911" i="21"/>
  <c r="D1911" i="21" s="1"/>
  <c r="C1911" i="21"/>
  <c r="F1911" i="21"/>
  <c r="I1911" i="21"/>
  <c r="B1912" i="21"/>
  <c r="D1912" i="21" s="1"/>
  <c r="C1912" i="21"/>
  <c r="F1912" i="21"/>
  <c r="I1912" i="21"/>
  <c r="B1913" i="21"/>
  <c r="C1913" i="21"/>
  <c r="F1913" i="21"/>
  <c r="I1913" i="21"/>
  <c r="B1914" i="21"/>
  <c r="D1914" i="21" s="1"/>
  <c r="C1914" i="21"/>
  <c r="F1914" i="21"/>
  <c r="H1914" i="21"/>
  <c r="I1914" i="21"/>
  <c r="B1915" i="21"/>
  <c r="D1915" i="21" s="1"/>
  <c r="C1915" i="21"/>
  <c r="F1915" i="21"/>
  <c r="I1915" i="21"/>
  <c r="B1916" i="21"/>
  <c r="D1916" i="21" s="1"/>
  <c r="C1916" i="21"/>
  <c r="F1916" i="21"/>
  <c r="I1916" i="21"/>
  <c r="B1917" i="21"/>
  <c r="C1917" i="21"/>
  <c r="D1917" i="21"/>
  <c r="F1917" i="21"/>
  <c r="H1917" i="21"/>
  <c r="I1917" i="21"/>
  <c r="B1918" i="21"/>
  <c r="C1918" i="21"/>
  <c r="F1918" i="21"/>
  <c r="I1918" i="21"/>
  <c r="B1919" i="21"/>
  <c r="D1919" i="21" s="1"/>
  <c r="C1919" i="21"/>
  <c r="F1919" i="21"/>
  <c r="I1919" i="21"/>
  <c r="B1920" i="21"/>
  <c r="D1920" i="21" s="1"/>
  <c r="C1920" i="21"/>
  <c r="F1920" i="21"/>
  <c r="I1920" i="21"/>
  <c r="B1921" i="21"/>
  <c r="C1921" i="21"/>
  <c r="F1921" i="21"/>
  <c r="I1921" i="21"/>
  <c r="B1922" i="21"/>
  <c r="D1922" i="21" s="1"/>
  <c r="C1922" i="21"/>
  <c r="F1922" i="21"/>
  <c r="I1922" i="21"/>
  <c r="B1923" i="21"/>
  <c r="D1923" i="21" s="1"/>
  <c r="C1923" i="21"/>
  <c r="F1923" i="21"/>
  <c r="I1923" i="21"/>
  <c r="B1924" i="21"/>
  <c r="D1924" i="21" s="1"/>
  <c r="C1924" i="21"/>
  <c r="F1924" i="21"/>
  <c r="I1924" i="21"/>
  <c r="B1925" i="21"/>
  <c r="D1925" i="21" s="1"/>
  <c r="C1925" i="21"/>
  <c r="F1925" i="21"/>
  <c r="I1925" i="21"/>
  <c r="C1926" i="21"/>
  <c r="I1874" i="21"/>
  <c r="F1874" i="21"/>
  <c r="B1874" i="21"/>
  <c r="D1874" i="21" s="1"/>
  <c r="C1874" i="21"/>
  <c r="B1823" i="21"/>
  <c r="C1823" i="21"/>
  <c r="F1823" i="21"/>
  <c r="I1823" i="21"/>
  <c r="B1824" i="21"/>
  <c r="D1824" i="21" s="1"/>
  <c r="C1824" i="21"/>
  <c r="F1824" i="21"/>
  <c r="I1824" i="21"/>
  <c r="B1825" i="21"/>
  <c r="H1825" i="21" s="1"/>
  <c r="C1825" i="21"/>
  <c r="F1825" i="21"/>
  <c r="I1825" i="21"/>
  <c r="B1826" i="21"/>
  <c r="C1826" i="21"/>
  <c r="F1826" i="21"/>
  <c r="I1826" i="21"/>
  <c r="B1827" i="21"/>
  <c r="D1827" i="21" s="1"/>
  <c r="C1827" i="21"/>
  <c r="F1827" i="21"/>
  <c r="I1827" i="21"/>
  <c r="B1828" i="21"/>
  <c r="D1828" i="21" s="1"/>
  <c r="C1828" i="21"/>
  <c r="F1828" i="21"/>
  <c r="I1828" i="21"/>
  <c r="B1829" i="21"/>
  <c r="H1829" i="21" s="1"/>
  <c r="C1829" i="21"/>
  <c r="F1829" i="21"/>
  <c r="I1829" i="21"/>
  <c r="B1830" i="21"/>
  <c r="H1830" i="21" s="1"/>
  <c r="C1830" i="21"/>
  <c r="F1830" i="21"/>
  <c r="I1830" i="21"/>
  <c r="B1831" i="21"/>
  <c r="D1831" i="21" s="1"/>
  <c r="C1831" i="21"/>
  <c r="F1831" i="21"/>
  <c r="I1831" i="21"/>
  <c r="B1832" i="21"/>
  <c r="D1832" i="21" s="1"/>
  <c r="C1832" i="21"/>
  <c r="F1832" i="21"/>
  <c r="I1832" i="21"/>
  <c r="B1833" i="21"/>
  <c r="H1833" i="21" s="1"/>
  <c r="C1833" i="21"/>
  <c r="F1833" i="21"/>
  <c r="I1833" i="21"/>
  <c r="B1834" i="21"/>
  <c r="D1834" i="21" s="1"/>
  <c r="C1834" i="21"/>
  <c r="F1834" i="21"/>
  <c r="I1834" i="21"/>
  <c r="B1835" i="21"/>
  <c r="H1835" i="21" s="1"/>
  <c r="C1835" i="21"/>
  <c r="F1835" i="21"/>
  <c r="I1835" i="21"/>
  <c r="B1836" i="21"/>
  <c r="D1836" i="21" s="1"/>
  <c r="C1836" i="21"/>
  <c r="F1836" i="21"/>
  <c r="I1836" i="21"/>
  <c r="B1837" i="21"/>
  <c r="H1837" i="21" s="1"/>
  <c r="C1837" i="21"/>
  <c r="F1837" i="21"/>
  <c r="I1837" i="21"/>
  <c r="B1838" i="21"/>
  <c r="D1838" i="21" s="1"/>
  <c r="C1838" i="21"/>
  <c r="F1838" i="21"/>
  <c r="I1838" i="21"/>
  <c r="B1839" i="21"/>
  <c r="D1839" i="21" s="1"/>
  <c r="C1839" i="21"/>
  <c r="F1839" i="21"/>
  <c r="I1839" i="21"/>
  <c r="B1840" i="21"/>
  <c r="D1840" i="21" s="1"/>
  <c r="C1840" i="21"/>
  <c r="F1840" i="21"/>
  <c r="I1840" i="21"/>
  <c r="B1841" i="21"/>
  <c r="H1841" i="21" s="1"/>
  <c r="C1841" i="21"/>
  <c r="F1841" i="21"/>
  <c r="I1841" i="21"/>
  <c r="B1842" i="21"/>
  <c r="D1842" i="21" s="1"/>
  <c r="C1842" i="21"/>
  <c r="F1842" i="21"/>
  <c r="I1842" i="21"/>
  <c r="B1843" i="21"/>
  <c r="H1843" i="21" s="1"/>
  <c r="C1843" i="21"/>
  <c r="F1843" i="21"/>
  <c r="I1843" i="21"/>
  <c r="B1844" i="21"/>
  <c r="D1844" i="21" s="1"/>
  <c r="C1844" i="21"/>
  <c r="F1844" i="21"/>
  <c r="I1844" i="21"/>
  <c r="B1845" i="21"/>
  <c r="H1845" i="21" s="1"/>
  <c r="C1845" i="21"/>
  <c r="F1845" i="21"/>
  <c r="I1845" i="21"/>
  <c r="B1846" i="21"/>
  <c r="D1846" i="21" s="1"/>
  <c r="C1846" i="21"/>
  <c r="F1846" i="21"/>
  <c r="I1846" i="21"/>
  <c r="B1847" i="21"/>
  <c r="H1847" i="21" s="1"/>
  <c r="C1847" i="21"/>
  <c r="D1847" i="21"/>
  <c r="F1847" i="21"/>
  <c r="I1847" i="21"/>
  <c r="B1848" i="21"/>
  <c r="D1848" i="21" s="1"/>
  <c r="C1848" i="21"/>
  <c r="F1848" i="21"/>
  <c r="I1848" i="21"/>
  <c r="B1849" i="21"/>
  <c r="H1849" i="21" s="1"/>
  <c r="C1849" i="21"/>
  <c r="F1849" i="21"/>
  <c r="I1849" i="21"/>
  <c r="B1850" i="21"/>
  <c r="D1850" i="21" s="1"/>
  <c r="C1850" i="21"/>
  <c r="F1850" i="21"/>
  <c r="I1850" i="21"/>
  <c r="B1851" i="21"/>
  <c r="C1851" i="21"/>
  <c r="F1851" i="21"/>
  <c r="I1851" i="21"/>
  <c r="B1852" i="21"/>
  <c r="D1852" i="21" s="1"/>
  <c r="C1852" i="21"/>
  <c r="F1852" i="21"/>
  <c r="I1852" i="21"/>
  <c r="B1853" i="21"/>
  <c r="H1853" i="21" s="1"/>
  <c r="C1853" i="21"/>
  <c r="F1853" i="21"/>
  <c r="I1853" i="21"/>
  <c r="B1854" i="21"/>
  <c r="D1854" i="21" s="1"/>
  <c r="C1854" i="21"/>
  <c r="F1854" i="21"/>
  <c r="I1854" i="21"/>
  <c r="B1855" i="21"/>
  <c r="D1855" i="21" s="1"/>
  <c r="C1855" i="21"/>
  <c r="F1855" i="21"/>
  <c r="H1855" i="21"/>
  <c r="I1855" i="21"/>
  <c r="B1856" i="21"/>
  <c r="D1856" i="21" s="1"/>
  <c r="C1856" i="21"/>
  <c r="F1856" i="21"/>
  <c r="I1856" i="21"/>
  <c r="B1857" i="21"/>
  <c r="H1857" i="21" s="1"/>
  <c r="C1857" i="21"/>
  <c r="F1857" i="21"/>
  <c r="I1857" i="21"/>
  <c r="B1858" i="21"/>
  <c r="D1858" i="21" s="1"/>
  <c r="C1858" i="21"/>
  <c r="F1858" i="21"/>
  <c r="I1858" i="21"/>
  <c r="B1859" i="21"/>
  <c r="C1859" i="21"/>
  <c r="F1859" i="21"/>
  <c r="I1859" i="21"/>
  <c r="B1860" i="21"/>
  <c r="D1860" i="21" s="1"/>
  <c r="C1860" i="21"/>
  <c r="F1860" i="21"/>
  <c r="I1860" i="21"/>
  <c r="B1861" i="21"/>
  <c r="H1861" i="21" s="1"/>
  <c r="C1861" i="21"/>
  <c r="F1861" i="21"/>
  <c r="I1861" i="21"/>
  <c r="B1862" i="21"/>
  <c r="H1862" i="21" s="1"/>
  <c r="C1862" i="21"/>
  <c r="F1862" i="21"/>
  <c r="I1862" i="21"/>
  <c r="B1863" i="21"/>
  <c r="H1863" i="21" s="1"/>
  <c r="C1863" i="21"/>
  <c r="F1863" i="21"/>
  <c r="I1863" i="21"/>
  <c r="B1864" i="21"/>
  <c r="D1864" i="21" s="1"/>
  <c r="C1864" i="21"/>
  <c r="F1864" i="21"/>
  <c r="I1864" i="21"/>
  <c r="B1865" i="21"/>
  <c r="H1865" i="21" s="1"/>
  <c r="C1865" i="21"/>
  <c r="F1865" i="21"/>
  <c r="I1865" i="21"/>
  <c r="B1866" i="21"/>
  <c r="D1866" i="21" s="1"/>
  <c r="C1866" i="21"/>
  <c r="F1866" i="21"/>
  <c r="I1866" i="21"/>
  <c r="B1867" i="21"/>
  <c r="C1867" i="21"/>
  <c r="F1867" i="21"/>
  <c r="I1867" i="21"/>
  <c r="B1868" i="21"/>
  <c r="D1868" i="21" s="1"/>
  <c r="C1868" i="21"/>
  <c r="F1868" i="21"/>
  <c r="I1868" i="21"/>
  <c r="B1869" i="21"/>
  <c r="H1869" i="21" s="1"/>
  <c r="C1869" i="21"/>
  <c r="F1869" i="21"/>
  <c r="I1869" i="21"/>
  <c r="B1870" i="21"/>
  <c r="D1870" i="21" s="1"/>
  <c r="C1870" i="21"/>
  <c r="F1870" i="21"/>
  <c r="I1870" i="21"/>
  <c r="B1871" i="21"/>
  <c r="H1871" i="21" s="1"/>
  <c r="C1871" i="21"/>
  <c r="F1871" i="21"/>
  <c r="I1871" i="21"/>
  <c r="B1872" i="21"/>
  <c r="D1872" i="21" s="1"/>
  <c r="C1872" i="21"/>
  <c r="F1872" i="21"/>
  <c r="I1872" i="21"/>
  <c r="B1873" i="21"/>
  <c r="H1873" i="21" s="1"/>
  <c r="C1873" i="21"/>
  <c r="F1873" i="21"/>
  <c r="I1873" i="21"/>
  <c r="I1822" i="21"/>
  <c r="F1822" i="21"/>
  <c r="C1822" i="21"/>
  <c r="B1822" i="21"/>
  <c r="H1822" i="21" s="1"/>
  <c r="B1821" i="21"/>
  <c r="D1821" i="21" s="1"/>
  <c r="C1821" i="21"/>
  <c r="F1821" i="21"/>
  <c r="I1821" i="21"/>
  <c r="B1817" i="21"/>
  <c r="C1817" i="21"/>
  <c r="F1817" i="21"/>
  <c r="I1817" i="21"/>
  <c r="B1818" i="21"/>
  <c r="D1818" i="21" s="1"/>
  <c r="C1818" i="21"/>
  <c r="F1818" i="21"/>
  <c r="I1818" i="21"/>
  <c r="B1819" i="21"/>
  <c r="C1819" i="21"/>
  <c r="F1819" i="21"/>
  <c r="I1819" i="21"/>
  <c r="B1820" i="21"/>
  <c r="D1820" i="21" s="1"/>
  <c r="C1820" i="21"/>
  <c r="F1820" i="21"/>
  <c r="I1820" i="21"/>
  <c r="B1808" i="21"/>
  <c r="C1808" i="21"/>
  <c r="F1808" i="21"/>
  <c r="I1808" i="21"/>
  <c r="B1809" i="21"/>
  <c r="D1809" i="21" s="1"/>
  <c r="C1809" i="21"/>
  <c r="F1809" i="21"/>
  <c r="I1809" i="21"/>
  <c r="B1810" i="21"/>
  <c r="H1810" i="21" s="1"/>
  <c r="C1810" i="21"/>
  <c r="F1810" i="21"/>
  <c r="I1810" i="21"/>
  <c r="B1811" i="21"/>
  <c r="H1811" i="21" s="1"/>
  <c r="C1811" i="21"/>
  <c r="F1811" i="21"/>
  <c r="I1811" i="21"/>
  <c r="B1812" i="21"/>
  <c r="D1812" i="21" s="1"/>
  <c r="C1812" i="21"/>
  <c r="F1812" i="21"/>
  <c r="H1812" i="21"/>
  <c r="I1812" i="21"/>
  <c r="B1813" i="21"/>
  <c r="D1813" i="21" s="1"/>
  <c r="C1813" i="21"/>
  <c r="F1813" i="21"/>
  <c r="I1813" i="21"/>
  <c r="B1814" i="21"/>
  <c r="H1814" i="21" s="1"/>
  <c r="C1814" i="21"/>
  <c r="F1814" i="21"/>
  <c r="I1814" i="21"/>
  <c r="B1815" i="21"/>
  <c r="D1815" i="21" s="1"/>
  <c r="C1815" i="21"/>
  <c r="F1815" i="21"/>
  <c r="I1815" i="21"/>
  <c r="B1816" i="21"/>
  <c r="D1816" i="21" s="1"/>
  <c r="C1816" i="21"/>
  <c r="F1816" i="21"/>
  <c r="I1816" i="21"/>
  <c r="B1771" i="21"/>
  <c r="D1771" i="21" s="1"/>
  <c r="C1771" i="21"/>
  <c r="F1771" i="21"/>
  <c r="I1771" i="21"/>
  <c r="B1772" i="21"/>
  <c r="D1772" i="21" s="1"/>
  <c r="C1772" i="21"/>
  <c r="F1772" i="21"/>
  <c r="I1772" i="21"/>
  <c r="B1773" i="21"/>
  <c r="H1773" i="21" s="1"/>
  <c r="C1773" i="21"/>
  <c r="F1773" i="21"/>
  <c r="I1773" i="21"/>
  <c r="B1774" i="21"/>
  <c r="C1774" i="21"/>
  <c r="F1774" i="21"/>
  <c r="I1774" i="21"/>
  <c r="B1775" i="21"/>
  <c r="D1775" i="21" s="1"/>
  <c r="C1775" i="21"/>
  <c r="F1775" i="21"/>
  <c r="I1775" i="21"/>
  <c r="B1776" i="21"/>
  <c r="D1776" i="21" s="1"/>
  <c r="C1776" i="21"/>
  <c r="F1776" i="21"/>
  <c r="I1776" i="21"/>
  <c r="B1777" i="21"/>
  <c r="C1777" i="21"/>
  <c r="F1777" i="21"/>
  <c r="I1777" i="21"/>
  <c r="B1778" i="21"/>
  <c r="H1778" i="21" s="1"/>
  <c r="C1778" i="21"/>
  <c r="D1778" i="21"/>
  <c r="F1778" i="21"/>
  <c r="I1778" i="21"/>
  <c r="B1779" i="21"/>
  <c r="C1779" i="21"/>
  <c r="F1779" i="21"/>
  <c r="I1779" i="21"/>
  <c r="B1780" i="21"/>
  <c r="D1780" i="21" s="1"/>
  <c r="C1780" i="21"/>
  <c r="F1780" i="21"/>
  <c r="I1780" i="21"/>
  <c r="B1781" i="21"/>
  <c r="C1781" i="21"/>
  <c r="F1781" i="21"/>
  <c r="I1781" i="21"/>
  <c r="B1782" i="21"/>
  <c r="D1782" i="21" s="1"/>
  <c r="C1782" i="21"/>
  <c r="F1782" i="21"/>
  <c r="I1782" i="21"/>
  <c r="B1783" i="21"/>
  <c r="D1783" i="21" s="1"/>
  <c r="C1783" i="21"/>
  <c r="F1783" i="21"/>
  <c r="I1783" i="21"/>
  <c r="B1784" i="21"/>
  <c r="D1784" i="21" s="1"/>
  <c r="C1784" i="21"/>
  <c r="F1784" i="21"/>
  <c r="I1784" i="21"/>
  <c r="B1785" i="21"/>
  <c r="H1785" i="21" s="1"/>
  <c r="C1785" i="21"/>
  <c r="F1785" i="21"/>
  <c r="I1785" i="21"/>
  <c r="B1786" i="21"/>
  <c r="H1786" i="21" s="1"/>
  <c r="C1786" i="21"/>
  <c r="F1786" i="21"/>
  <c r="I1786" i="21"/>
  <c r="B1787" i="21"/>
  <c r="D1787" i="21" s="1"/>
  <c r="C1787" i="21"/>
  <c r="F1787" i="21"/>
  <c r="I1787" i="21"/>
  <c r="B1788" i="21"/>
  <c r="D1788" i="21" s="1"/>
  <c r="C1788" i="21"/>
  <c r="F1788" i="21"/>
  <c r="I1788" i="21"/>
  <c r="B1789" i="21"/>
  <c r="H1789" i="21" s="1"/>
  <c r="C1789" i="21"/>
  <c r="F1789" i="21"/>
  <c r="I1789" i="21"/>
  <c r="B1790" i="21"/>
  <c r="C1790" i="21"/>
  <c r="F1790" i="21"/>
  <c r="I1790" i="21"/>
  <c r="B1791" i="21"/>
  <c r="H1791" i="21" s="1"/>
  <c r="C1791" i="21"/>
  <c r="F1791" i="21"/>
  <c r="I1791" i="21"/>
  <c r="B1792" i="21"/>
  <c r="D1792" i="21" s="1"/>
  <c r="C1792" i="21"/>
  <c r="F1792" i="21"/>
  <c r="I1792" i="21"/>
  <c r="B1793" i="21"/>
  <c r="C1793" i="21"/>
  <c r="F1793" i="21"/>
  <c r="I1793" i="21"/>
  <c r="B1794" i="21"/>
  <c r="H1794" i="21" s="1"/>
  <c r="C1794" i="21"/>
  <c r="F1794" i="21"/>
  <c r="I1794" i="21"/>
  <c r="B1795" i="21"/>
  <c r="C1795" i="21"/>
  <c r="F1795" i="21"/>
  <c r="I1795" i="21"/>
  <c r="B1796" i="21"/>
  <c r="D1796" i="21" s="1"/>
  <c r="C1796" i="21"/>
  <c r="F1796" i="21"/>
  <c r="I1796" i="21"/>
  <c r="B1797" i="21"/>
  <c r="H1797" i="21" s="1"/>
  <c r="C1797" i="21"/>
  <c r="F1797" i="21"/>
  <c r="I1797" i="21"/>
  <c r="B1798" i="21"/>
  <c r="H1798" i="21" s="1"/>
  <c r="C1798" i="21"/>
  <c r="F1798" i="21"/>
  <c r="I1798" i="21"/>
  <c r="B1799" i="21"/>
  <c r="C1799" i="21"/>
  <c r="F1799" i="21"/>
  <c r="I1799" i="21"/>
  <c r="B1800" i="21"/>
  <c r="D1800" i="21" s="1"/>
  <c r="C1800" i="21"/>
  <c r="F1800" i="21"/>
  <c r="I1800" i="21"/>
  <c r="B1801" i="21"/>
  <c r="H1801" i="21" s="1"/>
  <c r="C1801" i="21"/>
  <c r="F1801" i="21"/>
  <c r="I1801" i="21"/>
  <c r="B1802" i="21"/>
  <c r="D1802" i="21" s="1"/>
  <c r="C1802" i="21"/>
  <c r="F1802" i="21"/>
  <c r="I1802" i="21"/>
  <c r="B1803" i="21"/>
  <c r="C1803" i="21"/>
  <c r="F1803" i="21"/>
  <c r="I1803" i="21"/>
  <c r="B1804" i="21"/>
  <c r="D1804" i="21" s="1"/>
  <c r="C1804" i="21"/>
  <c r="F1804" i="21"/>
  <c r="I1804" i="21"/>
  <c r="B1805" i="21"/>
  <c r="H1805" i="21" s="1"/>
  <c r="C1805" i="21"/>
  <c r="F1805" i="21"/>
  <c r="I1805" i="21"/>
  <c r="B1806" i="21"/>
  <c r="D1806" i="21" s="1"/>
  <c r="C1806" i="21"/>
  <c r="F1806" i="21"/>
  <c r="I1806" i="21"/>
  <c r="B1807" i="21"/>
  <c r="H1807" i="21" s="1"/>
  <c r="C1807" i="21"/>
  <c r="F1807" i="21"/>
  <c r="I1807" i="21"/>
  <c r="I1770" i="21"/>
  <c r="F1770" i="21"/>
  <c r="B1770" i="21"/>
  <c r="D1770" i="21" s="1"/>
  <c r="B1719" i="21"/>
  <c r="D1719" i="21" s="1"/>
  <c r="C1719" i="21"/>
  <c r="F1719" i="21"/>
  <c r="I1719" i="21"/>
  <c r="B1720" i="21"/>
  <c r="D1720" i="21" s="1"/>
  <c r="C1720" i="21"/>
  <c r="F1720" i="21"/>
  <c r="I1720" i="21"/>
  <c r="B1721" i="21"/>
  <c r="C1721" i="21"/>
  <c r="F1721" i="21"/>
  <c r="I1721" i="21"/>
  <c r="B1722" i="21"/>
  <c r="D1722" i="21" s="1"/>
  <c r="C1722" i="21"/>
  <c r="F1722" i="21"/>
  <c r="I1722" i="21"/>
  <c r="B1723" i="21"/>
  <c r="D1723" i="21" s="1"/>
  <c r="C1723" i="21"/>
  <c r="F1723" i="21"/>
  <c r="I1723" i="21"/>
  <c r="B1724" i="21"/>
  <c r="D1724" i="21" s="1"/>
  <c r="C1724" i="21"/>
  <c r="F1724" i="21"/>
  <c r="I1724" i="21"/>
  <c r="B1725" i="21"/>
  <c r="C1725" i="21"/>
  <c r="F1725" i="21"/>
  <c r="I1725" i="21"/>
  <c r="B1726" i="21"/>
  <c r="D1726" i="21" s="1"/>
  <c r="C1726" i="21"/>
  <c r="F1726" i="21"/>
  <c r="H1726" i="21"/>
  <c r="I1726" i="21"/>
  <c r="B1727" i="21"/>
  <c r="D1727" i="21" s="1"/>
  <c r="C1727" i="21"/>
  <c r="F1727" i="21"/>
  <c r="I1727" i="21"/>
  <c r="B1728" i="21"/>
  <c r="D1728" i="21" s="1"/>
  <c r="C1728" i="21"/>
  <c r="F1728" i="21"/>
  <c r="I1728" i="21"/>
  <c r="B1729" i="21"/>
  <c r="C1729" i="21"/>
  <c r="D1729" i="21"/>
  <c r="F1729" i="21"/>
  <c r="H1729" i="21"/>
  <c r="I1729" i="21"/>
  <c r="B1730" i="21"/>
  <c r="C1730" i="21"/>
  <c r="F1730" i="21"/>
  <c r="I1730" i="21"/>
  <c r="B1731" i="21"/>
  <c r="D1731" i="21" s="1"/>
  <c r="C1731" i="21"/>
  <c r="F1731" i="21"/>
  <c r="I1731" i="21"/>
  <c r="B1732" i="21"/>
  <c r="D1732" i="21" s="1"/>
  <c r="C1732" i="21"/>
  <c r="F1732" i="21"/>
  <c r="I1732" i="21"/>
  <c r="B1733" i="21"/>
  <c r="H1733" i="21" s="1"/>
  <c r="C1733" i="21"/>
  <c r="F1733" i="21"/>
  <c r="I1733" i="21"/>
  <c r="B1734" i="21"/>
  <c r="D1734" i="21" s="1"/>
  <c r="C1734" i="21"/>
  <c r="F1734" i="21"/>
  <c r="I1734" i="21"/>
  <c r="B1735" i="21"/>
  <c r="D1735" i="21" s="1"/>
  <c r="C1735" i="21"/>
  <c r="F1735" i="21"/>
  <c r="I1735" i="21"/>
  <c r="B1736" i="21"/>
  <c r="D1736" i="21" s="1"/>
  <c r="C1736" i="21"/>
  <c r="F1736" i="21"/>
  <c r="I1736" i="21"/>
  <c r="B1737" i="21"/>
  <c r="C1737" i="21"/>
  <c r="F1737" i="21"/>
  <c r="I1737" i="21"/>
  <c r="B1738" i="21"/>
  <c r="D1738" i="21" s="1"/>
  <c r="C1738" i="21"/>
  <c r="F1738" i="21"/>
  <c r="H1738" i="21"/>
  <c r="I1738" i="21"/>
  <c r="B1739" i="21"/>
  <c r="D1739" i="21" s="1"/>
  <c r="C1739" i="21"/>
  <c r="F1739" i="21"/>
  <c r="I1739" i="21"/>
  <c r="B1740" i="21"/>
  <c r="D1740" i="21" s="1"/>
  <c r="C1740" i="21"/>
  <c r="F1740" i="21"/>
  <c r="I1740" i="21"/>
  <c r="B1741" i="21"/>
  <c r="D1741" i="21" s="1"/>
  <c r="C1741" i="21"/>
  <c r="F1741" i="21"/>
  <c r="I1741" i="21"/>
  <c r="B1742" i="21"/>
  <c r="C1742" i="21"/>
  <c r="F1742" i="21"/>
  <c r="I1742" i="21"/>
  <c r="B1743" i="21"/>
  <c r="D1743" i="21" s="1"/>
  <c r="C1743" i="21"/>
  <c r="F1743" i="21"/>
  <c r="I1743" i="21"/>
  <c r="B1744" i="21"/>
  <c r="D1744" i="21" s="1"/>
  <c r="C1744" i="21"/>
  <c r="F1744" i="21"/>
  <c r="I1744" i="21"/>
  <c r="B1745" i="21"/>
  <c r="H1745" i="21" s="1"/>
  <c r="C1745" i="21"/>
  <c r="D1745" i="21"/>
  <c r="F1745" i="21"/>
  <c r="I1745" i="21"/>
  <c r="B1746" i="21"/>
  <c r="D1746" i="21" s="1"/>
  <c r="C1746" i="21"/>
  <c r="F1746" i="21"/>
  <c r="I1746" i="21"/>
  <c r="B1747" i="21"/>
  <c r="D1747" i="21" s="1"/>
  <c r="C1747" i="21"/>
  <c r="F1747" i="21"/>
  <c r="I1747" i="21"/>
  <c r="B1748" i="21"/>
  <c r="D1748" i="21" s="1"/>
  <c r="C1748" i="21"/>
  <c r="F1748" i="21"/>
  <c r="I1748" i="21"/>
  <c r="B1749" i="21"/>
  <c r="C1749" i="21"/>
  <c r="F1749" i="21"/>
  <c r="I1749" i="21"/>
  <c r="B1750" i="21"/>
  <c r="D1750" i="21" s="1"/>
  <c r="C1750" i="21"/>
  <c r="F1750" i="21"/>
  <c r="I1750" i="21"/>
  <c r="B1751" i="21"/>
  <c r="D1751" i="21" s="1"/>
  <c r="C1751" i="21"/>
  <c r="F1751" i="21"/>
  <c r="I1751" i="21"/>
  <c r="B1752" i="21"/>
  <c r="D1752" i="21" s="1"/>
  <c r="C1752" i="21"/>
  <c r="F1752" i="21"/>
  <c r="I1752" i="21"/>
  <c r="B1753" i="21"/>
  <c r="D1753" i="21" s="1"/>
  <c r="C1753" i="21"/>
  <c r="F1753" i="21"/>
  <c r="I1753" i="21"/>
  <c r="B1754" i="21"/>
  <c r="D1754" i="21" s="1"/>
  <c r="C1754" i="21"/>
  <c r="F1754" i="21"/>
  <c r="I1754" i="21"/>
  <c r="B1755" i="21"/>
  <c r="D1755" i="21" s="1"/>
  <c r="C1755" i="21"/>
  <c r="F1755" i="21"/>
  <c r="I1755" i="21"/>
  <c r="B1756" i="21"/>
  <c r="D1756" i="21" s="1"/>
  <c r="C1756" i="21"/>
  <c r="F1756" i="21"/>
  <c r="I1756" i="21"/>
  <c r="B1757" i="21"/>
  <c r="H1757" i="21" s="1"/>
  <c r="C1757" i="21"/>
  <c r="F1757" i="21"/>
  <c r="I1757" i="21"/>
  <c r="B1758" i="21"/>
  <c r="D1758" i="21" s="1"/>
  <c r="C1758" i="21"/>
  <c r="F1758" i="21"/>
  <c r="I1758" i="21"/>
  <c r="B1759" i="21"/>
  <c r="D1759" i="21" s="1"/>
  <c r="C1759" i="21"/>
  <c r="F1759" i="21"/>
  <c r="I1759" i="21"/>
  <c r="B1760" i="21"/>
  <c r="D1760" i="21" s="1"/>
  <c r="C1760" i="21"/>
  <c r="F1760" i="21"/>
  <c r="I1760" i="21"/>
  <c r="B1761" i="21"/>
  <c r="H1761" i="21" s="1"/>
  <c r="C1761" i="21"/>
  <c r="F1761" i="21"/>
  <c r="I1761" i="21"/>
  <c r="B1762" i="21"/>
  <c r="C1762" i="21"/>
  <c r="F1762" i="21"/>
  <c r="I1762" i="21"/>
  <c r="B1763" i="21"/>
  <c r="D1763" i="21" s="1"/>
  <c r="C1763" i="21"/>
  <c r="F1763" i="21"/>
  <c r="I1763" i="21"/>
  <c r="B1764" i="21"/>
  <c r="D1764" i="21" s="1"/>
  <c r="C1764" i="21"/>
  <c r="F1764" i="21"/>
  <c r="I1764" i="21"/>
  <c r="B1765" i="21"/>
  <c r="D1765" i="21" s="1"/>
  <c r="C1765" i="21"/>
  <c r="F1765" i="21"/>
  <c r="I1765" i="21"/>
  <c r="B1766" i="21"/>
  <c r="C1766" i="21"/>
  <c r="F1766" i="21"/>
  <c r="I1766" i="21"/>
  <c r="B1767" i="21"/>
  <c r="D1767" i="21" s="1"/>
  <c r="C1767" i="21"/>
  <c r="F1767" i="21"/>
  <c r="I1767" i="21"/>
  <c r="B1768" i="21"/>
  <c r="D1768" i="21" s="1"/>
  <c r="C1768" i="21"/>
  <c r="F1768" i="21"/>
  <c r="I1768" i="21"/>
  <c r="B1769" i="21"/>
  <c r="C1769" i="21"/>
  <c r="F1769" i="21"/>
  <c r="I1769" i="21"/>
  <c r="C1770" i="21"/>
  <c r="I1718" i="21"/>
  <c r="F1718" i="21"/>
  <c r="B1718" i="21"/>
  <c r="B1667" i="21"/>
  <c r="D1667" i="21" s="1"/>
  <c r="C1667" i="21"/>
  <c r="F1667" i="21"/>
  <c r="I1667" i="21"/>
  <c r="B1668" i="21"/>
  <c r="D1668" i="21" s="1"/>
  <c r="C1668" i="21"/>
  <c r="F1668" i="21"/>
  <c r="I1668" i="21"/>
  <c r="B1669" i="21"/>
  <c r="H1669" i="21" s="1"/>
  <c r="C1669" i="21"/>
  <c r="D1669" i="21"/>
  <c r="F1669" i="21"/>
  <c r="I1669" i="21"/>
  <c r="B1670" i="21"/>
  <c r="H1670" i="21" s="1"/>
  <c r="C1670" i="21"/>
  <c r="F1670" i="21"/>
  <c r="I1670" i="21"/>
  <c r="B1671" i="21"/>
  <c r="C1671" i="21"/>
  <c r="F1671" i="21"/>
  <c r="I1671" i="21"/>
  <c r="B1672" i="21"/>
  <c r="D1672" i="21" s="1"/>
  <c r="C1672" i="21"/>
  <c r="F1672" i="21"/>
  <c r="I1672" i="21"/>
  <c r="B1673" i="21"/>
  <c r="H1673" i="21" s="1"/>
  <c r="C1673" i="21"/>
  <c r="F1673" i="21"/>
  <c r="I1673" i="21"/>
  <c r="B1674" i="21"/>
  <c r="C1674" i="21"/>
  <c r="F1674" i="21"/>
  <c r="I1674" i="21"/>
  <c r="B1675" i="21"/>
  <c r="C1675" i="21"/>
  <c r="F1675" i="21"/>
  <c r="I1675" i="21"/>
  <c r="B1676" i="21"/>
  <c r="D1676" i="21" s="1"/>
  <c r="C1676" i="21"/>
  <c r="F1676" i="21"/>
  <c r="I1676" i="21"/>
  <c r="B1677" i="21"/>
  <c r="C1677" i="21"/>
  <c r="F1677" i="21"/>
  <c r="I1677" i="21"/>
  <c r="B1678" i="21"/>
  <c r="H1678" i="21" s="1"/>
  <c r="C1678" i="21"/>
  <c r="F1678" i="21"/>
  <c r="I1678" i="21"/>
  <c r="B1679" i="21"/>
  <c r="D1679" i="21" s="1"/>
  <c r="C1679" i="21"/>
  <c r="F1679" i="21"/>
  <c r="I1679" i="21"/>
  <c r="B1680" i="21"/>
  <c r="D1680" i="21" s="1"/>
  <c r="C1680" i="21"/>
  <c r="F1680" i="21"/>
  <c r="I1680" i="21"/>
  <c r="B1681" i="21"/>
  <c r="C1681" i="21"/>
  <c r="F1681" i="21"/>
  <c r="I1681" i="21"/>
  <c r="B1682" i="21"/>
  <c r="D1682" i="21" s="1"/>
  <c r="C1682" i="21"/>
  <c r="F1682" i="21"/>
  <c r="I1682" i="21"/>
  <c r="B1683" i="21"/>
  <c r="C1683" i="21"/>
  <c r="F1683" i="21"/>
  <c r="I1683" i="21"/>
  <c r="B1684" i="21"/>
  <c r="D1684" i="21" s="1"/>
  <c r="C1684" i="21"/>
  <c r="F1684" i="21"/>
  <c r="I1684" i="21"/>
  <c r="B1685" i="21"/>
  <c r="H1685" i="21" s="1"/>
  <c r="C1685" i="21"/>
  <c r="D1685" i="21"/>
  <c r="F1685" i="21"/>
  <c r="I1685" i="21"/>
  <c r="B1686" i="21"/>
  <c r="H1686" i="21" s="1"/>
  <c r="C1686" i="21"/>
  <c r="D1686" i="21"/>
  <c r="F1686" i="21"/>
  <c r="I1686" i="21"/>
  <c r="B1687" i="21"/>
  <c r="C1687" i="21"/>
  <c r="F1687" i="21"/>
  <c r="I1687" i="21"/>
  <c r="B1688" i="21"/>
  <c r="D1688" i="21" s="1"/>
  <c r="C1688" i="21"/>
  <c r="F1688" i="21"/>
  <c r="I1688" i="21"/>
  <c r="B1689" i="21"/>
  <c r="H1689" i="21" s="1"/>
  <c r="C1689" i="21"/>
  <c r="F1689" i="21"/>
  <c r="I1689" i="21"/>
  <c r="B1690" i="21"/>
  <c r="D1690" i="21" s="1"/>
  <c r="C1690" i="21"/>
  <c r="F1690" i="21"/>
  <c r="I1690" i="21"/>
  <c r="B1691" i="21"/>
  <c r="D1691" i="21" s="1"/>
  <c r="C1691" i="21"/>
  <c r="F1691" i="21"/>
  <c r="I1691" i="21"/>
  <c r="B1692" i="21"/>
  <c r="D1692" i="21" s="1"/>
  <c r="C1692" i="21"/>
  <c r="F1692" i="21"/>
  <c r="I1692" i="21"/>
  <c r="B1693" i="21"/>
  <c r="H1693" i="21" s="1"/>
  <c r="C1693" i="21"/>
  <c r="F1693" i="21"/>
  <c r="I1693" i="21"/>
  <c r="B1694" i="21"/>
  <c r="C1694" i="21"/>
  <c r="F1694" i="21"/>
  <c r="I1694" i="21"/>
  <c r="B1695" i="21"/>
  <c r="H1695" i="21" s="1"/>
  <c r="C1695" i="21"/>
  <c r="F1695" i="21"/>
  <c r="I1695" i="21"/>
  <c r="B1696" i="21"/>
  <c r="D1696" i="21" s="1"/>
  <c r="C1696" i="21"/>
  <c r="F1696" i="21"/>
  <c r="I1696" i="21"/>
  <c r="B1697" i="21"/>
  <c r="C1697" i="21"/>
  <c r="F1697" i="21"/>
  <c r="I1697" i="21"/>
  <c r="B1698" i="21"/>
  <c r="C1698" i="21"/>
  <c r="F1698" i="21"/>
  <c r="I1698" i="21"/>
  <c r="B1699" i="21"/>
  <c r="D1699" i="21" s="1"/>
  <c r="C1699" i="21"/>
  <c r="F1699" i="21"/>
  <c r="I1699" i="21"/>
  <c r="B1700" i="21"/>
  <c r="D1700" i="21" s="1"/>
  <c r="C1700" i="21"/>
  <c r="F1700" i="21"/>
  <c r="I1700" i="21"/>
  <c r="B1701" i="21"/>
  <c r="H1701" i="21" s="1"/>
  <c r="C1701" i="21"/>
  <c r="F1701" i="21"/>
  <c r="I1701" i="21"/>
  <c r="B1702" i="21"/>
  <c r="D1702" i="21" s="1"/>
  <c r="C1702" i="21"/>
  <c r="F1702" i="21"/>
  <c r="I1702" i="21"/>
  <c r="B1703" i="21"/>
  <c r="C1703" i="21"/>
  <c r="F1703" i="21"/>
  <c r="I1703" i="21"/>
  <c r="B1704" i="21"/>
  <c r="D1704" i="21" s="1"/>
  <c r="C1704" i="21"/>
  <c r="F1704" i="21"/>
  <c r="I1704" i="21"/>
  <c r="B1705" i="21"/>
  <c r="C1705" i="21"/>
  <c r="F1705" i="21"/>
  <c r="I1705" i="21"/>
  <c r="B1706" i="21"/>
  <c r="C1706" i="21"/>
  <c r="F1706" i="21"/>
  <c r="I1706" i="21"/>
  <c r="B1707" i="21"/>
  <c r="H1707" i="21" s="1"/>
  <c r="C1707" i="21"/>
  <c r="F1707" i="21"/>
  <c r="I1707" i="21"/>
  <c r="B1708" i="21"/>
  <c r="D1708" i="21" s="1"/>
  <c r="C1708" i="21"/>
  <c r="F1708" i="21"/>
  <c r="I1708" i="21"/>
  <c r="B1709" i="21"/>
  <c r="C1709" i="21"/>
  <c r="F1709" i="21"/>
  <c r="I1709" i="21"/>
  <c r="B1710" i="21"/>
  <c r="H1710" i="21" s="1"/>
  <c r="C1710" i="21"/>
  <c r="F1710" i="21"/>
  <c r="I1710" i="21"/>
  <c r="B1711" i="21"/>
  <c r="D1711" i="21" s="1"/>
  <c r="C1711" i="21"/>
  <c r="F1711" i="21"/>
  <c r="I1711" i="21"/>
  <c r="B1712" i="21"/>
  <c r="D1712" i="21" s="1"/>
  <c r="C1712" i="21"/>
  <c r="F1712" i="21"/>
  <c r="I1712" i="21"/>
  <c r="B1713" i="21"/>
  <c r="C1713" i="21"/>
  <c r="F1713" i="21"/>
  <c r="I1713" i="21"/>
  <c r="B1714" i="21"/>
  <c r="D1714" i="21" s="1"/>
  <c r="C1714" i="21"/>
  <c r="F1714" i="21"/>
  <c r="I1714" i="21"/>
  <c r="B1715" i="21"/>
  <c r="C1715" i="21"/>
  <c r="F1715" i="21"/>
  <c r="I1715" i="21"/>
  <c r="B1716" i="21"/>
  <c r="D1716" i="21" s="1"/>
  <c r="C1716" i="21"/>
  <c r="F1716" i="21"/>
  <c r="I1716" i="21"/>
  <c r="B1717" i="21"/>
  <c r="C1717" i="21"/>
  <c r="F1717" i="21"/>
  <c r="I1717" i="21"/>
  <c r="C1718" i="21"/>
  <c r="I1666" i="21"/>
  <c r="F1666" i="21"/>
  <c r="B1666" i="21"/>
  <c r="H1666" i="21" s="1"/>
  <c r="B1615" i="21"/>
  <c r="D1615" i="21" s="1"/>
  <c r="C1615" i="21"/>
  <c r="F1615" i="21"/>
  <c r="I1615" i="21"/>
  <c r="B1616" i="21"/>
  <c r="D1616" i="21" s="1"/>
  <c r="C1616" i="21"/>
  <c r="F1616" i="21"/>
  <c r="I1616" i="21"/>
  <c r="B1617" i="21"/>
  <c r="D1617" i="21" s="1"/>
  <c r="C1617" i="21"/>
  <c r="F1617" i="21"/>
  <c r="I1617" i="21"/>
  <c r="B1618" i="21"/>
  <c r="D1618" i="21" s="1"/>
  <c r="C1618" i="21"/>
  <c r="F1618" i="21"/>
  <c r="I1618" i="21"/>
  <c r="B1619" i="21"/>
  <c r="C1619" i="21"/>
  <c r="F1619" i="21"/>
  <c r="I1619" i="21"/>
  <c r="B1620" i="21"/>
  <c r="D1620" i="21" s="1"/>
  <c r="C1620" i="21"/>
  <c r="F1620" i="21"/>
  <c r="I1620" i="21"/>
  <c r="B1621" i="21"/>
  <c r="C1621" i="21"/>
  <c r="F1621" i="21"/>
  <c r="I1621" i="21"/>
  <c r="B1622" i="21"/>
  <c r="C1622" i="21"/>
  <c r="F1622" i="21"/>
  <c r="I1622" i="21"/>
  <c r="B1623" i="21"/>
  <c r="D1623" i="21" s="1"/>
  <c r="C1623" i="21"/>
  <c r="F1623" i="21"/>
  <c r="I1623" i="21"/>
  <c r="B1624" i="21"/>
  <c r="D1624" i="21" s="1"/>
  <c r="C1624" i="21"/>
  <c r="F1624" i="21"/>
  <c r="I1624" i="21"/>
  <c r="B1625" i="21"/>
  <c r="H1625" i="21" s="1"/>
  <c r="C1625" i="21"/>
  <c r="F1625" i="21"/>
  <c r="I1625" i="21"/>
  <c r="B1626" i="21"/>
  <c r="H1626" i="21" s="1"/>
  <c r="C1626" i="21"/>
  <c r="F1626" i="21"/>
  <c r="I1626" i="21"/>
  <c r="B1627" i="21"/>
  <c r="C1627" i="21"/>
  <c r="F1627" i="21"/>
  <c r="I1627" i="21"/>
  <c r="B1628" i="21"/>
  <c r="D1628" i="21" s="1"/>
  <c r="C1628" i="21"/>
  <c r="F1628" i="21"/>
  <c r="I1628" i="21"/>
  <c r="B1629" i="21"/>
  <c r="C1629" i="21"/>
  <c r="F1629" i="21"/>
  <c r="I1629" i="21"/>
  <c r="B1630" i="21"/>
  <c r="H1630" i="21" s="1"/>
  <c r="C1630" i="21"/>
  <c r="F1630" i="21"/>
  <c r="I1630" i="21"/>
  <c r="B1631" i="21"/>
  <c r="D1631" i="21" s="1"/>
  <c r="C1631" i="21"/>
  <c r="F1631" i="21"/>
  <c r="I1631" i="21"/>
  <c r="B1632" i="21"/>
  <c r="D1632" i="21" s="1"/>
  <c r="C1632" i="21"/>
  <c r="F1632" i="21"/>
  <c r="I1632" i="21"/>
  <c r="B1633" i="21"/>
  <c r="H1633" i="21" s="1"/>
  <c r="C1633" i="21"/>
  <c r="F1633" i="21"/>
  <c r="I1633" i="21"/>
  <c r="B1634" i="21"/>
  <c r="H1634" i="21" s="1"/>
  <c r="C1634" i="21"/>
  <c r="D1634" i="21"/>
  <c r="F1634" i="21"/>
  <c r="I1634" i="21"/>
  <c r="B1635" i="21"/>
  <c r="C1635" i="21"/>
  <c r="F1635" i="21"/>
  <c r="I1635" i="21"/>
  <c r="B1636" i="21"/>
  <c r="D1636" i="21" s="1"/>
  <c r="C1636" i="21"/>
  <c r="F1636" i="21"/>
  <c r="I1636" i="21"/>
  <c r="B1637" i="21"/>
  <c r="C1637" i="21"/>
  <c r="F1637" i="21"/>
  <c r="I1637" i="21"/>
  <c r="B1638" i="21"/>
  <c r="H1638" i="21" s="1"/>
  <c r="C1638" i="21"/>
  <c r="F1638" i="21"/>
  <c r="I1638" i="21"/>
  <c r="B1639" i="21"/>
  <c r="C1639" i="21"/>
  <c r="F1639" i="21"/>
  <c r="I1639" i="21"/>
  <c r="B1640" i="21"/>
  <c r="D1640" i="21" s="1"/>
  <c r="C1640" i="21"/>
  <c r="F1640" i="21"/>
  <c r="I1640" i="21"/>
  <c r="B1641" i="21"/>
  <c r="H1641" i="21" s="1"/>
  <c r="C1641" i="21"/>
  <c r="F1641" i="21"/>
  <c r="I1641" i="21"/>
  <c r="B1642" i="21"/>
  <c r="D1642" i="21" s="1"/>
  <c r="C1642" i="21"/>
  <c r="F1642" i="21"/>
  <c r="I1642" i="21"/>
  <c r="B1643" i="21"/>
  <c r="C1643" i="21"/>
  <c r="F1643" i="21"/>
  <c r="I1643" i="21"/>
  <c r="B1644" i="21"/>
  <c r="D1644" i="21" s="1"/>
  <c r="C1644" i="21"/>
  <c r="F1644" i="21"/>
  <c r="I1644" i="21"/>
  <c r="B1645" i="21"/>
  <c r="C1645" i="21"/>
  <c r="F1645" i="21"/>
  <c r="I1645" i="21"/>
  <c r="B1646" i="21"/>
  <c r="C1646" i="21"/>
  <c r="F1646" i="21"/>
  <c r="I1646" i="21"/>
  <c r="B1647" i="21"/>
  <c r="D1647" i="21" s="1"/>
  <c r="C1647" i="21"/>
  <c r="F1647" i="21"/>
  <c r="I1647" i="21"/>
  <c r="B1648" i="21"/>
  <c r="D1648" i="21" s="1"/>
  <c r="C1648" i="21"/>
  <c r="F1648" i="21"/>
  <c r="I1648" i="21"/>
  <c r="B1649" i="21"/>
  <c r="C1649" i="21"/>
  <c r="F1649" i="21"/>
  <c r="I1649" i="21"/>
  <c r="B1650" i="21"/>
  <c r="D1650" i="21" s="1"/>
  <c r="C1650" i="21"/>
  <c r="F1650" i="21"/>
  <c r="I1650" i="21"/>
  <c r="B1651" i="21"/>
  <c r="C1651" i="21"/>
  <c r="F1651" i="21"/>
  <c r="I1651" i="21"/>
  <c r="B1652" i="21"/>
  <c r="D1652" i="21" s="1"/>
  <c r="C1652" i="21"/>
  <c r="F1652" i="21"/>
  <c r="I1652" i="21"/>
  <c r="B1653" i="21"/>
  <c r="C1653" i="21"/>
  <c r="F1653" i="21"/>
  <c r="I1653" i="21"/>
  <c r="B1654" i="21"/>
  <c r="H1654" i="21" s="1"/>
  <c r="C1654" i="21"/>
  <c r="F1654" i="21"/>
  <c r="I1654" i="21"/>
  <c r="B1655" i="21"/>
  <c r="D1655" i="21" s="1"/>
  <c r="C1655" i="21"/>
  <c r="F1655" i="21"/>
  <c r="I1655" i="21"/>
  <c r="B1656" i="21"/>
  <c r="D1656" i="21" s="1"/>
  <c r="C1656" i="21"/>
  <c r="F1656" i="21"/>
  <c r="I1656" i="21"/>
  <c r="B1657" i="21"/>
  <c r="H1657" i="21" s="1"/>
  <c r="C1657" i="21"/>
  <c r="D1657" i="21"/>
  <c r="F1657" i="21"/>
  <c r="I1657" i="21"/>
  <c r="B1658" i="21"/>
  <c r="D1658" i="21" s="1"/>
  <c r="C1658" i="21"/>
  <c r="F1658" i="21"/>
  <c r="I1658" i="21"/>
  <c r="B1659" i="21"/>
  <c r="C1659" i="21"/>
  <c r="F1659" i="21"/>
  <c r="I1659" i="21"/>
  <c r="B1660" i="21"/>
  <c r="D1660" i="21" s="1"/>
  <c r="C1660" i="21"/>
  <c r="F1660" i="21"/>
  <c r="I1660" i="21"/>
  <c r="B1661" i="21"/>
  <c r="C1661" i="21"/>
  <c r="F1661" i="21"/>
  <c r="I1661" i="21"/>
  <c r="B1662" i="21"/>
  <c r="C1662" i="21"/>
  <c r="F1662" i="21"/>
  <c r="I1662" i="21"/>
  <c r="B1663" i="21"/>
  <c r="D1663" i="21" s="1"/>
  <c r="C1663" i="21"/>
  <c r="F1663" i="21"/>
  <c r="I1663" i="21"/>
  <c r="B1664" i="21"/>
  <c r="D1664" i="21" s="1"/>
  <c r="C1664" i="21"/>
  <c r="F1664" i="21"/>
  <c r="I1664" i="21"/>
  <c r="B1665" i="21"/>
  <c r="H1665" i="21" s="1"/>
  <c r="C1665" i="21"/>
  <c r="D1665" i="21"/>
  <c r="F1665" i="21"/>
  <c r="I1665" i="21"/>
  <c r="C1666" i="21"/>
  <c r="D1666" i="21"/>
  <c r="I1614" i="21"/>
  <c r="F1614" i="21"/>
  <c r="C1614" i="21"/>
  <c r="B1614" i="21"/>
  <c r="B1563" i="21"/>
  <c r="C1563" i="21"/>
  <c r="F1563" i="21"/>
  <c r="I1563" i="21"/>
  <c r="B1564" i="21"/>
  <c r="D1564" i="21" s="1"/>
  <c r="C1564" i="21"/>
  <c r="F1564" i="21"/>
  <c r="I1564" i="21"/>
  <c r="B1565" i="21"/>
  <c r="H1565" i="21" s="1"/>
  <c r="C1565" i="21"/>
  <c r="F1565" i="21"/>
  <c r="I1565" i="21"/>
  <c r="B1566" i="21"/>
  <c r="H1566" i="21" s="1"/>
  <c r="C1566" i="21"/>
  <c r="D1566" i="21"/>
  <c r="F1566" i="21"/>
  <c r="I1566" i="21"/>
  <c r="B1567" i="21"/>
  <c r="D1567" i="21" s="1"/>
  <c r="C1567" i="21"/>
  <c r="F1567" i="21"/>
  <c r="I1567" i="21"/>
  <c r="B1568" i="21"/>
  <c r="D1568" i="21" s="1"/>
  <c r="C1568" i="21"/>
  <c r="F1568" i="21"/>
  <c r="I1568" i="21"/>
  <c r="B1569" i="21"/>
  <c r="H1569" i="21" s="1"/>
  <c r="C1569" i="21"/>
  <c r="F1569" i="21"/>
  <c r="I1569" i="21"/>
  <c r="B1570" i="21"/>
  <c r="C1570" i="21"/>
  <c r="F1570" i="21"/>
  <c r="I1570" i="21"/>
  <c r="B1571" i="21"/>
  <c r="D1571" i="21" s="1"/>
  <c r="C1571" i="21"/>
  <c r="F1571" i="21"/>
  <c r="I1571" i="21"/>
  <c r="B1572" i="21"/>
  <c r="D1572" i="21" s="1"/>
  <c r="C1572" i="21"/>
  <c r="F1572" i="21"/>
  <c r="I1572" i="21"/>
  <c r="B1573" i="21"/>
  <c r="H1573" i="21" s="1"/>
  <c r="C1573" i="21"/>
  <c r="F1573" i="21"/>
  <c r="I1573" i="21"/>
  <c r="B1574" i="21"/>
  <c r="D1574" i="21" s="1"/>
  <c r="C1574" i="21"/>
  <c r="F1574" i="21"/>
  <c r="I1574" i="21"/>
  <c r="B1575" i="21"/>
  <c r="D1575" i="21" s="1"/>
  <c r="C1575" i="21"/>
  <c r="F1575" i="21"/>
  <c r="I1575" i="21"/>
  <c r="B1576" i="21"/>
  <c r="D1576" i="21" s="1"/>
  <c r="C1576" i="21"/>
  <c r="F1576" i="21"/>
  <c r="I1576" i="21"/>
  <c r="B1577" i="21"/>
  <c r="H1577" i="21" s="1"/>
  <c r="C1577" i="21"/>
  <c r="F1577" i="21"/>
  <c r="I1577" i="21"/>
  <c r="B1578" i="21"/>
  <c r="H1578" i="21" s="1"/>
  <c r="C1578" i="21"/>
  <c r="D1578" i="21"/>
  <c r="F1578" i="21"/>
  <c r="I1578" i="21"/>
  <c r="B1579" i="21"/>
  <c r="D1579" i="21" s="1"/>
  <c r="C1579" i="21"/>
  <c r="F1579" i="21"/>
  <c r="I1579" i="21"/>
  <c r="B1580" i="21"/>
  <c r="D1580" i="21" s="1"/>
  <c r="C1580" i="21"/>
  <c r="F1580" i="21"/>
  <c r="I1580" i="21"/>
  <c r="B1581" i="21"/>
  <c r="H1581" i="21" s="1"/>
  <c r="C1581" i="21"/>
  <c r="F1581" i="21"/>
  <c r="I1581" i="21"/>
  <c r="B1582" i="21"/>
  <c r="D1582" i="21" s="1"/>
  <c r="C1582" i="21"/>
  <c r="F1582" i="21"/>
  <c r="I1582" i="21"/>
  <c r="B1583" i="21"/>
  <c r="C1583" i="21"/>
  <c r="F1583" i="21"/>
  <c r="I1583" i="21"/>
  <c r="B1584" i="21"/>
  <c r="D1584" i="21" s="1"/>
  <c r="C1584" i="21"/>
  <c r="F1584" i="21"/>
  <c r="I1584" i="21"/>
  <c r="B1585" i="21"/>
  <c r="H1585" i="21" s="1"/>
  <c r="C1585" i="21"/>
  <c r="F1585" i="21"/>
  <c r="I1585" i="21"/>
  <c r="B1586" i="21"/>
  <c r="H1586" i="21" s="1"/>
  <c r="C1586" i="21"/>
  <c r="F1586" i="21"/>
  <c r="I1586" i="21"/>
  <c r="B1587" i="21"/>
  <c r="D1587" i="21" s="1"/>
  <c r="C1587" i="21"/>
  <c r="F1587" i="21"/>
  <c r="I1587" i="21"/>
  <c r="B1588" i="21"/>
  <c r="D1588" i="21" s="1"/>
  <c r="C1588" i="21"/>
  <c r="F1588" i="21"/>
  <c r="I1588" i="21"/>
  <c r="B1589" i="21"/>
  <c r="H1589" i="21" s="1"/>
  <c r="C1589" i="21"/>
  <c r="F1589" i="21"/>
  <c r="I1589" i="21"/>
  <c r="B1590" i="21"/>
  <c r="C1590" i="21"/>
  <c r="F1590" i="21"/>
  <c r="I1590" i="21"/>
  <c r="B1591" i="21"/>
  <c r="D1591" i="21" s="1"/>
  <c r="C1591" i="21"/>
  <c r="F1591" i="21"/>
  <c r="I1591" i="21"/>
  <c r="B1592" i="21"/>
  <c r="D1592" i="21" s="1"/>
  <c r="C1592" i="21"/>
  <c r="F1592" i="21"/>
  <c r="I1592" i="21"/>
  <c r="B1593" i="21"/>
  <c r="H1593" i="21" s="1"/>
  <c r="C1593" i="21"/>
  <c r="F1593" i="21"/>
  <c r="I1593" i="21"/>
  <c r="B1594" i="21"/>
  <c r="C1594" i="21"/>
  <c r="F1594" i="21"/>
  <c r="I1594" i="21"/>
  <c r="B1595" i="21"/>
  <c r="C1595" i="21"/>
  <c r="F1595" i="21"/>
  <c r="I1595" i="21"/>
  <c r="B1596" i="21"/>
  <c r="D1596" i="21" s="1"/>
  <c r="C1596" i="21"/>
  <c r="F1596" i="21"/>
  <c r="I1596" i="21"/>
  <c r="B1597" i="21"/>
  <c r="H1597" i="21" s="1"/>
  <c r="C1597" i="21"/>
  <c r="F1597" i="21"/>
  <c r="I1597" i="21"/>
  <c r="B1598" i="21"/>
  <c r="H1598" i="21" s="1"/>
  <c r="C1598" i="21"/>
  <c r="F1598" i="21"/>
  <c r="I1598" i="21"/>
  <c r="B1599" i="21"/>
  <c r="D1599" i="21" s="1"/>
  <c r="C1599" i="21"/>
  <c r="F1599" i="21"/>
  <c r="I1599" i="21"/>
  <c r="B1600" i="21"/>
  <c r="D1600" i="21" s="1"/>
  <c r="C1600" i="21"/>
  <c r="F1600" i="21"/>
  <c r="I1600" i="21"/>
  <c r="B1601" i="21"/>
  <c r="H1601" i="21" s="1"/>
  <c r="C1601" i="21"/>
  <c r="F1601" i="21"/>
  <c r="I1601" i="21"/>
  <c r="B1602" i="21"/>
  <c r="C1602" i="21"/>
  <c r="F1602" i="21"/>
  <c r="I1602" i="21"/>
  <c r="B1603" i="21"/>
  <c r="D1603" i="21" s="1"/>
  <c r="C1603" i="21"/>
  <c r="F1603" i="21"/>
  <c r="I1603" i="21"/>
  <c r="B1604" i="21"/>
  <c r="D1604" i="21" s="1"/>
  <c r="C1604" i="21"/>
  <c r="F1604" i="21"/>
  <c r="I1604" i="21"/>
  <c r="B1605" i="21"/>
  <c r="H1605" i="21" s="1"/>
  <c r="C1605" i="21"/>
  <c r="F1605" i="21"/>
  <c r="I1605" i="21"/>
  <c r="B1606" i="21"/>
  <c r="D1606" i="21" s="1"/>
  <c r="C1606" i="21"/>
  <c r="F1606" i="21"/>
  <c r="I1606" i="21"/>
  <c r="B1607" i="21"/>
  <c r="D1607" i="21" s="1"/>
  <c r="C1607" i="21"/>
  <c r="F1607" i="21"/>
  <c r="H1607" i="21"/>
  <c r="I1607" i="21"/>
  <c r="B1608" i="21"/>
  <c r="D1608" i="21" s="1"/>
  <c r="C1608" i="21"/>
  <c r="F1608" i="21"/>
  <c r="I1608" i="21"/>
  <c r="B1609" i="21"/>
  <c r="H1609" i="21" s="1"/>
  <c r="C1609" i="21"/>
  <c r="F1609" i="21"/>
  <c r="I1609" i="21"/>
  <c r="B1610" i="21"/>
  <c r="H1610" i="21" s="1"/>
  <c r="C1610" i="21"/>
  <c r="F1610" i="21"/>
  <c r="I1610" i="21"/>
  <c r="B1611" i="21"/>
  <c r="D1611" i="21" s="1"/>
  <c r="C1611" i="21"/>
  <c r="F1611" i="21"/>
  <c r="I1611" i="21"/>
  <c r="B1612" i="21"/>
  <c r="D1612" i="21" s="1"/>
  <c r="C1612" i="21"/>
  <c r="F1612" i="21"/>
  <c r="I1612" i="21"/>
  <c r="B1613" i="21"/>
  <c r="H1613" i="21" s="1"/>
  <c r="C1613" i="21"/>
  <c r="F1613" i="21"/>
  <c r="I1613" i="21"/>
  <c r="I1562" i="21"/>
  <c r="F1562" i="21"/>
  <c r="B1562" i="21"/>
  <c r="D1562" i="21" s="1"/>
  <c r="B1561" i="21"/>
  <c r="D1561" i="21" s="1"/>
  <c r="C1561" i="21"/>
  <c r="F1561" i="21"/>
  <c r="I1561" i="21"/>
  <c r="C1562" i="21"/>
  <c r="B1558" i="21"/>
  <c r="D1558" i="21" s="1"/>
  <c r="C1558" i="21"/>
  <c r="F1558" i="21"/>
  <c r="I1558" i="21"/>
  <c r="B1559" i="21"/>
  <c r="D1559" i="21" s="1"/>
  <c r="C1559" i="21"/>
  <c r="F1559" i="21"/>
  <c r="H1559" i="21"/>
  <c r="I1559" i="21"/>
  <c r="B1560" i="21"/>
  <c r="H1560" i="21" s="1"/>
  <c r="C1560" i="21"/>
  <c r="F1560" i="21"/>
  <c r="I1560" i="21"/>
  <c r="B1553" i="21"/>
  <c r="D1553" i="21" s="1"/>
  <c r="C1553" i="21"/>
  <c r="F1553" i="21"/>
  <c r="I1553" i="21"/>
  <c r="B1554" i="21"/>
  <c r="D1554" i="21" s="1"/>
  <c r="C1554" i="21"/>
  <c r="F1554" i="21"/>
  <c r="I1554" i="21"/>
  <c r="B1555" i="21"/>
  <c r="H1555" i="21" s="1"/>
  <c r="C1555" i="21"/>
  <c r="D1555" i="21"/>
  <c r="F1555" i="21"/>
  <c r="I1555" i="21"/>
  <c r="B1556" i="21"/>
  <c r="C1556" i="21"/>
  <c r="F1556" i="21"/>
  <c r="I1556" i="21"/>
  <c r="B1557" i="21"/>
  <c r="D1557" i="21" s="1"/>
  <c r="C1557" i="21"/>
  <c r="F1557" i="21"/>
  <c r="I1557" i="21"/>
  <c r="B1511" i="21"/>
  <c r="D1511" i="21" s="1"/>
  <c r="C1511" i="21"/>
  <c r="F1511" i="21"/>
  <c r="I1511" i="21"/>
  <c r="B1512" i="21"/>
  <c r="D1512" i="21" s="1"/>
  <c r="C1512" i="21"/>
  <c r="F1512" i="21"/>
  <c r="I1512" i="21"/>
  <c r="B1513" i="21"/>
  <c r="D1513" i="21" s="1"/>
  <c r="C1513" i="21"/>
  <c r="F1513" i="21"/>
  <c r="I1513" i="21"/>
  <c r="B1514" i="21"/>
  <c r="C1514" i="21"/>
  <c r="F1514" i="21"/>
  <c r="I1514" i="21"/>
  <c r="B1515" i="21"/>
  <c r="D1515" i="21" s="1"/>
  <c r="C1515" i="21"/>
  <c r="F1515" i="21"/>
  <c r="I1515" i="21"/>
  <c r="B1516" i="21"/>
  <c r="D1516" i="21" s="1"/>
  <c r="C1516" i="21"/>
  <c r="F1516" i="21"/>
  <c r="I1516" i="21"/>
  <c r="B1517" i="21"/>
  <c r="H1517" i="21" s="1"/>
  <c r="C1517" i="21"/>
  <c r="F1517" i="21"/>
  <c r="I1517" i="21"/>
  <c r="B1518" i="21"/>
  <c r="D1518" i="21" s="1"/>
  <c r="C1518" i="21"/>
  <c r="F1518" i="21"/>
  <c r="I1518" i="21"/>
  <c r="B1519" i="21"/>
  <c r="D1519" i="21" s="1"/>
  <c r="C1519" i="21"/>
  <c r="F1519" i="21"/>
  <c r="I1519" i="21"/>
  <c r="B1520" i="21"/>
  <c r="D1520" i="21" s="1"/>
  <c r="C1520" i="21"/>
  <c r="F1520" i="21"/>
  <c r="I1520" i="21"/>
  <c r="B1521" i="21"/>
  <c r="H1521" i="21" s="1"/>
  <c r="C1521" i="21"/>
  <c r="D1521" i="21"/>
  <c r="F1521" i="21"/>
  <c r="I1521" i="21"/>
  <c r="B1522" i="21"/>
  <c r="C1522" i="21"/>
  <c r="F1522" i="21"/>
  <c r="I1522" i="21"/>
  <c r="B1523" i="21"/>
  <c r="D1523" i="21" s="1"/>
  <c r="C1523" i="21"/>
  <c r="F1523" i="21"/>
  <c r="I1523" i="21"/>
  <c r="B1524" i="21"/>
  <c r="D1524" i="21" s="1"/>
  <c r="C1524" i="21"/>
  <c r="F1524" i="21"/>
  <c r="I1524" i="21"/>
  <c r="B1525" i="21"/>
  <c r="H1525" i="21" s="1"/>
  <c r="C1525" i="21"/>
  <c r="F1525" i="21"/>
  <c r="I1525" i="21"/>
  <c r="B1526" i="21"/>
  <c r="C1526" i="21"/>
  <c r="F1526" i="21"/>
  <c r="I1526" i="21"/>
  <c r="B1527" i="21"/>
  <c r="D1527" i="21" s="1"/>
  <c r="C1527" i="21"/>
  <c r="F1527" i="21"/>
  <c r="I1527" i="21"/>
  <c r="B1528" i="21"/>
  <c r="D1528" i="21" s="1"/>
  <c r="C1528" i="21"/>
  <c r="F1528" i="21"/>
  <c r="I1528" i="21"/>
  <c r="B1529" i="21"/>
  <c r="H1529" i="21" s="1"/>
  <c r="C1529" i="21"/>
  <c r="F1529" i="21"/>
  <c r="I1529" i="21"/>
  <c r="B1530" i="21"/>
  <c r="C1530" i="21"/>
  <c r="F1530" i="21"/>
  <c r="I1530" i="21"/>
  <c r="B1531" i="21"/>
  <c r="D1531" i="21" s="1"/>
  <c r="C1531" i="21"/>
  <c r="F1531" i="21"/>
  <c r="I1531" i="21"/>
  <c r="B1532" i="21"/>
  <c r="D1532" i="21" s="1"/>
  <c r="C1532" i="21"/>
  <c r="F1532" i="21"/>
  <c r="I1532" i="21"/>
  <c r="B1533" i="21"/>
  <c r="H1533" i="21" s="1"/>
  <c r="C1533" i="21"/>
  <c r="F1533" i="21"/>
  <c r="I1533" i="21"/>
  <c r="B1534" i="21"/>
  <c r="D1534" i="21" s="1"/>
  <c r="C1534" i="21"/>
  <c r="F1534" i="21"/>
  <c r="I1534" i="21"/>
  <c r="B1535" i="21"/>
  <c r="D1535" i="21" s="1"/>
  <c r="C1535" i="21"/>
  <c r="F1535" i="21"/>
  <c r="I1535" i="21"/>
  <c r="B1536" i="21"/>
  <c r="D1536" i="21" s="1"/>
  <c r="C1536" i="21"/>
  <c r="F1536" i="21"/>
  <c r="I1536" i="21"/>
  <c r="B1537" i="21"/>
  <c r="C1537" i="21"/>
  <c r="D1537" i="21"/>
  <c r="F1537" i="21"/>
  <c r="H1537" i="21"/>
  <c r="I1537" i="21"/>
  <c r="B1538" i="21"/>
  <c r="C1538" i="21"/>
  <c r="F1538" i="21"/>
  <c r="I1538" i="21"/>
  <c r="B1539" i="21"/>
  <c r="D1539" i="21" s="1"/>
  <c r="C1539" i="21"/>
  <c r="F1539" i="21"/>
  <c r="I1539" i="21"/>
  <c r="B1540" i="21"/>
  <c r="D1540" i="21" s="1"/>
  <c r="C1540" i="21"/>
  <c r="F1540" i="21"/>
  <c r="I1540" i="21"/>
  <c r="B1541" i="21"/>
  <c r="H1541" i="21" s="1"/>
  <c r="C1541" i="21"/>
  <c r="F1541" i="21"/>
  <c r="I1541" i="21"/>
  <c r="B1542" i="21"/>
  <c r="C1542" i="21"/>
  <c r="F1542" i="21"/>
  <c r="I1542" i="21"/>
  <c r="B1543" i="21"/>
  <c r="D1543" i="21" s="1"/>
  <c r="C1543" i="21"/>
  <c r="F1543" i="21"/>
  <c r="I1543" i="21"/>
  <c r="B1544" i="21"/>
  <c r="D1544" i="21" s="1"/>
  <c r="C1544" i="21"/>
  <c r="F1544" i="21"/>
  <c r="I1544" i="21"/>
  <c r="B1545" i="21"/>
  <c r="D1545" i="21" s="1"/>
  <c r="C1545" i="21"/>
  <c r="F1545" i="21"/>
  <c r="I1545" i="21"/>
  <c r="B1546" i="21"/>
  <c r="C1546" i="21"/>
  <c r="F1546" i="21"/>
  <c r="I1546" i="21"/>
  <c r="B1547" i="21"/>
  <c r="D1547" i="21" s="1"/>
  <c r="C1547" i="21"/>
  <c r="F1547" i="21"/>
  <c r="I1547" i="21"/>
  <c r="B1548" i="21"/>
  <c r="D1548" i="21" s="1"/>
  <c r="C1548" i="21"/>
  <c r="F1548" i="21"/>
  <c r="I1548" i="21"/>
  <c r="B1549" i="21"/>
  <c r="H1549" i="21" s="1"/>
  <c r="C1549" i="21"/>
  <c r="F1549" i="21"/>
  <c r="I1549" i="21"/>
  <c r="B1550" i="21"/>
  <c r="H1550" i="21" s="1"/>
  <c r="C1550" i="21"/>
  <c r="F1550" i="21"/>
  <c r="I1550" i="21"/>
  <c r="B1551" i="21"/>
  <c r="D1551" i="21" s="1"/>
  <c r="C1551" i="21"/>
  <c r="F1551" i="21"/>
  <c r="I1551" i="21"/>
  <c r="B1552" i="21"/>
  <c r="D1552" i="21" s="1"/>
  <c r="C1552" i="21"/>
  <c r="F1552" i="21"/>
  <c r="I1552" i="21"/>
  <c r="I1510" i="21"/>
  <c r="F1510" i="21"/>
  <c r="B1510" i="21"/>
  <c r="D1510" i="21" s="1"/>
  <c r="B1506" i="21"/>
  <c r="D1506" i="21" s="1"/>
  <c r="C1506" i="21"/>
  <c r="F1506" i="21"/>
  <c r="I1506" i="21"/>
  <c r="B1507" i="21"/>
  <c r="D1507" i="21" s="1"/>
  <c r="C1507" i="21"/>
  <c r="F1507" i="21"/>
  <c r="I1507" i="21"/>
  <c r="B1508" i="21"/>
  <c r="H1508" i="21" s="1"/>
  <c r="C1508" i="21"/>
  <c r="F1508" i="21"/>
  <c r="I1508" i="21"/>
  <c r="B1509" i="21"/>
  <c r="D1509" i="21" s="1"/>
  <c r="C1509" i="21"/>
  <c r="F1509" i="21"/>
  <c r="I1509" i="21"/>
  <c r="C1510" i="21"/>
  <c r="B1489" i="21"/>
  <c r="D1489" i="21" s="1"/>
  <c r="C1489" i="21"/>
  <c r="F1489" i="21"/>
  <c r="I1489" i="21"/>
  <c r="B1490" i="21"/>
  <c r="D1490" i="21" s="1"/>
  <c r="C1490" i="21"/>
  <c r="F1490" i="21"/>
  <c r="I1490" i="21"/>
  <c r="B1491" i="21"/>
  <c r="D1491" i="21" s="1"/>
  <c r="C1491" i="21"/>
  <c r="F1491" i="21"/>
  <c r="I1491" i="21"/>
  <c r="B1492" i="21"/>
  <c r="H1492" i="21" s="1"/>
  <c r="C1492" i="21"/>
  <c r="D1492" i="21"/>
  <c r="F1492" i="21"/>
  <c r="I1492" i="21"/>
  <c r="B1493" i="21"/>
  <c r="D1493" i="21" s="1"/>
  <c r="C1493" i="21"/>
  <c r="F1493" i="21"/>
  <c r="I1493" i="21"/>
  <c r="B1494" i="21"/>
  <c r="D1494" i="21" s="1"/>
  <c r="C1494" i="21"/>
  <c r="F1494" i="21"/>
  <c r="I1494" i="21"/>
  <c r="B1495" i="21"/>
  <c r="C1495" i="21"/>
  <c r="F1495" i="21"/>
  <c r="I1495" i="21"/>
  <c r="B1496" i="21"/>
  <c r="H1496" i="21" s="1"/>
  <c r="C1496" i="21"/>
  <c r="F1496" i="21"/>
  <c r="I1496" i="21"/>
  <c r="B1497" i="21"/>
  <c r="D1497" i="21" s="1"/>
  <c r="C1497" i="21"/>
  <c r="F1497" i="21"/>
  <c r="I1497" i="21"/>
  <c r="B1498" i="21"/>
  <c r="D1498" i="21" s="1"/>
  <c r="C1498" i="21"/>
  <c r="F1498" i="21"/>
  <c r="I1498" i="21"/>
  <c r="B1499" i="21"/>
  <c r="D1499" i="21" s="1"/>
  <c r="C1499" i="21"/>
  <c r="F1499" i="21"/>
  <c r="I1499" i="21"/>
  <c r="B1500" i="21"/>
  <c r="D1500" i="21" s="1"/>
  <c r="C1500" i="21"/>
  <c r="F1500" i="21"/>
  <c r="I1500" i="21"/>
  <c r="B1501" i="21"/>
  <c r="D1501" i="21" s="1"/>
  <c r="C1501" i="21"/>
  <c r="F1501" i="21"/>
  <c r="I1501" i="21"/>
  <c r="B1502" i="21"/>
  <c r="D1502" i="21" s="1"/>
  <c r="C1502" i="21"/>
  <c r="F1502" i="21"/>
  <c r="I1502" i="21"/>
  <c r="B1503" i="21"/>
  <c r="C1503" i="21"/>
  <c r="F1503" i="21"/>
  <c r="I1503" i="21"/>
  <c r="B1504" i="21"/>
  <c r="H1504" i="21" s="1"/>
  <c r="C1504" i="21"/>
  <c r="F1504" i="21"/>
  <c r="I1504" i="21"/>
  <c r="B1505" i="21"/>
  <c r="D1505" i="21" s="1"/>
  <c r="C1505" i="21"/>
  <c r="F1505" i="21"/>
  <c r="I1505" i="21"/>
  <c r="B1459" i="21"/>
  <c r="D1459" i="21" s="1"/>
  <c r="C1459" i="21"/>
  <c r="F1459" i="21"/>
  <c r="H1459" i="21"/>
  <c r="I1459" i="21"/>
  <c r="B1460" i="21"/>
  <c r="D1460" i="21" s="1"/>
  <c r="C1460" i="21"/>
  <c r="F1460" i="21"/>
  <c r="I1460" i="21"/>
  <c r="B1461" i="21"/>
  <c r="H1461" i="21" s="1"/>
  <c r="C1461" i="21"/>
  <c r="F1461" i="21"/>
  <c r="I1461" i="21"/>
  <c r="B1462" i="21"/>
  <c r="H1462" i="21" s="1"/>
  <c r="C1462" i="21"/>
  <c r="F1462" i="21"/>
  <c r="I1462" i="21"/>
  <c r="B1463" i="21"/>
  <c r="D1463" i="21" s="1"/>
  <c r="C1463" i="21"/>
  <c r="F1463" i="21"/>
  <c r="I1463" i="21"/>
  <c r="B1464" i="21"/>
  <c r="D1464" i="21" s="1"/>
  <c r="C1464" i="21"/>
  <c r="F1464" i="21"/>
  <c r="I1464" i="21"/>
  <c r="B1465" i="21"/>
  <c r="H1465" i="21" s="1"/>
  <c r="C1465" i="21"/>
  <c r="F1465" i="21"/>
  <c r="I1465" i="21"/>
  <c r="B1466" i="21"/>
  <c r="H1466" i="21" s="1"/>
  <c r="C1466" i="21"/>
  <c r="F1466" i="21"/>
  <c r="I1466" i="21"/>
  <c r="B1467" i="21"/>
  <c r="D1467" i="21" s="1"/>
  <c r="C1467" i="21"/>
  <c r="F1467" i="21"/>
  <c r="I1467" i="21"/>
  <c r="B1468" i="21"/>
  <c r="D1468" i="21" s="1"/>
  <c r="C1468" i="21"/>
  <c r="F1468" i="21"/>
  <c r="I1468" i="21"/>
  <c r="B1469" i="21"/>
  <c r="H1469" i="21" s="1"/>
  <c r="C1469" i="21"/>
  <c r="F1469" i="21"/>
  <c r="I1469" i="21"/>
  <c r="B1470" i="21"/>
  <c r="H1470" i="21" s="1"/>
  <c r="C1470" i="21"/>
  <c r="F1470" i="21"/>
  <c r="I1470" i="21"/>
  <c r="B1471" i="21"/>
  <c r="D1471" i="21" s="1"/>
  <c r="C1471" i="21"/>
  <c r="F1471" i="21"/>
  <c r="I1471" i="21"/>
  <c r="B1472" i="21"/>
  <c r="D1472" i="21" s="1"/>
  <c r="C1472" i="21"/>
  <c r="F1472" i="21"/>
  <c r="I1472" i="21"/>
  <c r="B1473" i="21"/>
  <c r="H1473" i="21" s="1"/>
  <c r="C1473" i="21"/>
  <c r="F1473" i="21"/>
  <c r="I1473" i="21"/>
  <c r="B1474" i="21"/>
  <c r="H1474" i="21" s="1"/>
  <c r="C1474" i="21"/>
  <c r="F1474" i="21"/>
  <c r="I1474" i="21"/>
  <c r="B1475" i="21"/>
  <c r="D1475" i="21" s="1"/>
  <c r="C1475" i="21"/>
  <c r="F1475" i="21"/>
  <c r="I1475" i="21"/>
  <c r="B1476" i="21"/>
  <c r="H1476" i="21" s="1"/>
  <c r="C1476" i="21"/>
  <c r="F1476" i="21"/>
  <c r="I1476" i="21"/>
  <c r="B1477" i="21"/>
  <c r="H1477" i="21" s="1"/>
  <c r="C1477" i="21"/>
  <c r="F1477" i="21"/>
  <c r="I1477" i="21"/>
  <c r="B1478" i="21"/>
  <c r="C1478" i="21"/>
  <c r="F1478" i="21"/>
  <c r="I1478" i="21"/>
  <c r="B1479" i="21"/>
  <c r="H1479" i="21" s="1"/>
  <c r="C1479" i="21"/>
  <c r="D1479" i="21"/>
  <c r="F1479" i="21"/>
  <c r="I1479" i="21"/>
  <c r="B1480" i="21"/>
  <c r="D1480" i="21" s="1"/>
  <c r="C1480" i="21"/>
  <c r="F1480" i="21"/>
  <c r="I1480" i="21"/>
  <c r="B1481" i="21"/>
  <c r="H1481" i="21" s="1"/>
  <c r="C1481" i="21"/>
  <c r="F1481" i="21"/>
  <c r="I1481" i="21"/>
  <c r="B1482" i="21"/>
  <c r="H1482" i="21" s="1"/>
  <c r="C1482" i="21"/>
  <c r="F1482" i="21"/>
  <c r="I1482" i="21"/>
  <c r="B1483" i="21"/>
  <c r="H1483" i="21" s="1"/>
  <c r="C1483" i="21"/>
  <c r="F1483" i="21"/>
  <c r="I1483" i="21"/>
  <c r="B1484" i="21"/>
  <c r="D1484" i="21" s="1"/>
  <c r="C1484" i="21"/>
  <c r="F1484" i="21"/>
  <c r="I1484" i="21"/>
  <c r="B1485" i="21"/>
  <c r="H1485" i="21" s="1"/>
  <c r="C1485" i="21"/>
  <c r="F1485" i="21"/>
  <c r="I1485" i="21"/>
  <c r="B1486" i="21"/>
  <c r="H1486" i="21" s="1"/>
  <c r="C1486" i="21"/>
  <c r="F1486" i="21"/>
  <c r="I1486" i="21"/>
  <c r="B1487" i="21"/>
  <c r="H1487" i="21" s="1"/>
  <c r="C1487" i="21"/>
  <c r="F1487" i="21"/>
  <c r="I1487" i="21"/>
  <c r="B1488" i="21"/>
  <c r="H1488" i="21" s="1"/>
  <c r="C1488" i="21"/>
  <c r="F1488" i="21"/>
  <c r="I1488" i="21"/>
  <c r="I1458" i="21"/>
  <c r="F1458" i="21"/>
  <c r="B1458" i="21"/>
  <c r="H1458" i="21" s="1"/>
  <c r="B1407" i="21"/>
  <c r="D1407" i="21" s="1"/>
  <c r="C1407" i="21"/>
  <c r="F1407" i="21"/>
  <c r="I1407" i="21"/>
  <c r="B1408" i="21"/>
  <c r="D1408" i="21" s="1"/>
  <c r="C1408" i="21"/>
  <c r="F1408" i="21"/>
  <c r="I1408" i="21"/>
  <c r="B1409" i="21"/>
  <c r="H1409" i="21" s="1"/>
  <c r="C1409" i="21"/>
  <c r="F1409" i="21"/>
  <c r="I1409" i="21"/>
  <c r="B1410" i="21"/>
  <c r="D1410" i="21" s="1"/>
  <c r="C1410" i="21"/>
  <c r="F1410" i="21"/>
  <c r="I1410" i="21"/>
  <c r="B1411" i="21"/>
  <c r="D1411" i="21" s="1"/>
  <c r="C1411" i="21"/>
  <c r="F1411" i="21"/>
  <c r="I1411" i="21"/>
  <c r="B1412" i="21"/>
  <c r="D1412" i="21" s="1"/>
  <c r="C1412" i="21"/>
  <c r="F1412" i="21"/>
  <c r="I1412" i="21"/>
  <c r="B1413" i="21"/>
  <c r="D1413" i="21" s="1"/>
  <c r="C1413" i="21"/>
  <c r="F1413" i="21"/>
  <c r="I1413" i="21"/>
  <c r="B1414" i="21"/>
  <c r="D1414" i="21" s="1"/>
  <c r="C1414" i="21"/>
  <c r="F1414" i="21"/>
  <c r="I1414" i="21"/>
  <c r="B1415" i="21"/>
  <c r="D1415" i="21" s="1"/>
  <c r="C1415" i="21"/>
  <c r="F1415" i="21"/>
  <c r="I1415" i="21"/>
  <c r="B1416" i="21"/>
  <c r="D1416" i="21" s="1"/>
  <c r="C1416" i="21"/>
  <c r="F1416" i="21"/>
  <c r="I1416" i="21"/>
  <c r="B1417" i="21"/>
  <c r="H1417" i="21" s="1"/>
  <c r="C1417" i="21"/>
  <c r="F1417" i="21"/>
  <c r="I1417" i="21"/>
  <c r="B1418" i="21"/>
  <c r="D1418" i="21" s="1"/>
  <c r="C1418" i="21"/>
  <c r="F1418" i="21"/>
  <c r="I1418" i="21"/>
  <c r="B1419" i="21"/>
  <c r="D1419" i="21" s="1"/>
  <c r="C1419" i="21"/>
  <c r="F1419" i="21"/>
  <c r="I1419" i="21"/>
  <c r="B1420" i="21"/>
  <c r="D1420" i="21" s="1"/>
  <c r="C1420" i="21"/>
  <c r="F1420" i="21"/>
  <c r="I1420" i="21"/>
  <c r="B1421" i="21"/>
  <c r="H1421" i="21" s="1"/>
  <c r="C1421" i="21"/>
  <c r="D1421" i="21"/>
  <c r="F1421" i="21"/>
  <c r="I1421" i="21"/>
  <c r="B1422" i="21"/>
  <c r="D1422" i="21" s="1"/>
  <c r="C1422" i="21"/>
  <c r="F1422" i="21"/>
  <c r="I1422" i="21"/>
  <c r="B1423" i="21"/>
  <c r="D1423" i="21" s="1"/>
  <c r="C1423" i="21"/>
  <c r="F1423" i="21"/>
  <c r="I1423" i="21"/>
  <c r="B1424" i="21"/>
  <c r="D1424" i="21" s="1"/>
  <c r="C1424" i="21"/>
  <c r="F1424" i="21"/>
  <c r="I1424" i="21"/>
  <c r="B1425" i="21"/>
  <c r="H1425" i="21" s="1"/>
  <c r="C1425" i="21"/>
  <c r="F1425" i="21"/>
  <c r="I1425" i="21"/>
  <c r="B1426" i="21"/>
  <c r="D1426" i="21" s="1"/>
  <c r="C1426" i="21"/>
  <c r="F1426" i="21"/>
  <c r="I1426" i="21"/>
  <c r="B1427" i="21"/>
  <c r="D1427" i="21" s="1"/>
  <c r="C1427" i="21"/>
  <c r="F1427" i="21"/>
  <c r="I1427" i="21"/>
  <c r="B1428" i="21"/>
  <c r="D1428" i="21" s="1"/>
  <c r="C1428" i="21"/>
  <c r="F1428" i="21"/>
  <c r="I1428" i="21"/>
  <c r="B1429" i="21"/>
  <c r="D1429" i="21" s="1"/>
  <c r="C1429" i="21"/>
  <c r="F1429" i="21"/>
  <c r="I1429" i="21"/>
  <c r="B1430" i="21"/>
  <c r="D1430" i="21" s="1"/>
  <c r="C1430" i="21"/>
  <c r="F1430" i="21"/>
  <c r="I1430" i="21"/>
  <c r="B1431" i="21"/>
  <c r="D1431" i="21" s="1"/>
  <c r="C1431" i="21"/>
  <c r="F1431" i="21"/>
  <c r="I1431" i="21"/>
  <c r="B1432" i="21"/>
  <c r="D1432" i="21" s="1"/>
  <c r="C1432" i="21"/>
  <c r="F1432" i="21"/>
  <c r="I1432" i="21"/>
  <c r="B1433" i="21"/>
  <c r="H1433" i="21" s="1"/>
  <c r="C1433" i="21"/>
  <c r="F1433" i="21"/>
  <c r="I1433" i="21"/>
  <c r="B1434" i="21"/>
  <c r="D1434" i="21" s="1"/>
  <c r="C1434" i="21"/>
  <c r="F1434" i="21"/>
  <c r="I1434" i="21"/>
  <c r="B1435" i="21"/>
  <c r="D1435" i="21" s="1"/>
  <c r="C1435" i="21"/>
  <c r="F1435" i="21"/>
  <c r="I1435" i="21"/>
  <c r="B1436" i="21"/>
  <c r="D1436" i="21" s="1"/>
  <c r="C1436" i="21"/>
  <c r="F1436" i="21"/>
  <c r="I1436" i="21"/>
  <c r="B1437" i="21"/>
  <c r="H1437" i="21" s="1"/>
  <c r="C1437" i="21"/>
  <c r="F1437" i="21"/>
  <c r="I1437" i="21"/>
  <c r="B1438" i="21"/>
  <c r="D1438" i="21" s="1"/>
  <c r="C1438" i="21"/>
  <c r="F1438" i="21"/>
  <c r="I1438" i="21"/>
  <c r="B1439" i="21"/>
  <c r="D1439" i="21" s="1"/>
  <c r="C1439" i="21"/>
  <c r="F1439" i="21"/>
  <c r="I1439" i="21"/>
  <c r="B1440" i="21"/>
  <c r="D1440" i="21" s="1"/>
  <c r="C1440" i="21"/>
  <c r="F1440" i="21"/>
  <c r="I1440" i="21"/>
  <c r="B1441" i="21"/>
  <c r="H1441" i="21" s="1"/>
  <c r="C1441" i="21"/>
  <c r="F1441" i="21"/>
  <c r="I1441" i="21"/>
  <c r="B1442" i="21"/>
  <c r="D1442" i="21" s="1"/>
  <c r="C1442" i="21"/>
  <c r="F1442" i="21"/>
  <c r="I1442" i="21"/>
  <c r="B1443" i="21"/>
  <c r="D1443" i="21" s="1"/>
  <c r="C1443" i="21"/>
  <c r="F1443" i="21"/>
  <c r="I1443" i="21"/>
  <c r="B1444" i="21"/>
  <c r="D1444" i="21" s="1"/>
  <c r="C1444" i="21"/>
  <c r="F1444" i="21"/>
  <c r="I1444" i="21"/>
  <c r="B1445" i="21"/>
  <c r="D1445" i="21" s="1"/>
  <c r="C1445" i="21"/>
  <c r="F1445" i="21"/>
  <c r="I1445" i="21"/>
  <c r="B1446" i="21"/>
  <c r="D1446" i="21" s="1"/>
  <c r="C1446" i="21"/>
  <c r="F1446" i="21"/>
  <c r="I1446" i="21"/>
  <c r="B1447" i="21"/>
  <c r="D1447" i="21" s="1"/>
  <c r="C1447" i="21"/>
  <c r="F1447" i="21"/>
  <c r="I1447" i="21"/>
  <c r="B1448" i="21"/>
  <c r="D1448" i="21" s="1"/>
  <c r="C1448" i="21"/>
  <c r="F1448" i="21"/>
  <c r="I1448" i="21"/>
  <c r="B1449" i="21"/>
  <c r="H1449" i="21" s="1"/>
  <c r="C1449" i="21"/>
  <c r="F1449" i="21"/>
  <c r="I1449" i="21"/>
  <c r="B1450" i="21"/>
  <c r="D1450" i="21" s="1"/>
  <c r="C1450" i="21"/>
  <c r="F1450" i="21"/>
  <c r="I1450" i="21"/>
  <c r="B1451" i="21"/>
  <c r="D1451" i="21" s="1"/>
  <c r="C1451" i="21"/>
  <c r="F1451" i="21"/>
  <c r="I1451" i="21"/>
  <c r="B1452" i="21"/>
  <c r="D1452" i="21" s="1"/>
  <c r="C1452" i="21"/>
  <c r="F1452" i="21"/>
  <c r="I1452" i="21"/>
  <c r="B1453" i="21"/>
  <c r="D1453" i="21" s="1"/>
  <c r="C1453" i="21"/>
  <c r="F1453" i="21"/>
  <c r="H1453" i="21"/>
  <c r="I1453" i="21"/>
  <c r="B1454" i="21"/>
  <c r="C1454" i="21"/>
  <c r="F1454" i="21"/>
  <c r="I1454" i="21"/>
  <c r="B1455" i="21"/>
  <c r="D1455" i="21" s="1"/>
  <c r="C1455" i="21"/>
  <c r="F1455" i="21"/>
  <c r="I1455" i="21"/>
  <c r="B1456" i="21"/>
  <c r="D1456" i="21" s="1"/>
  <c r="C1456" i="21"/>
  <c r="F1456" i="21"/>
  <c r="I1456" i="21"/>
  <c r="B1457" i="21"/>
  <c r="H1457" i="21" s="1"/>
  <c r="C1457" i="21"/>
  <c r="F1457" i="21"/>
  <c r="I1457" i="21"/>
  <c r="C1458" i="21"/>
  <c r="I1406" i="21"/>
  <c r="F1406" i="21"/>
  <c r="C1406" i="21"/>
  <c r="B1406" i="21"/>
  <c r="B1355" i="21"/>
  <c r="H1355" i="21" s="1"/>
  <c r="C1355" i="21"/>
  <c r="E1355" i="21"/>
  <c r="I1355" i="21"/>
  <c r="B1356" i="21"/>
  <c r="D1356" i="21" s="1"/>
  <c r="C1356" i="21"/>
  <c r="E1356" i="21"/>
  <c r="I1356" i="21"/>
  <c r="B1357" i="21"/>
  <c r="H1357" i="21" s="1"/>
  <c r="C1357" i="21"/>
  <c r="E1357" i="21"/>
  <c r="I1357" i="21"/>
  <c r="B1358" i="21"/>
  <c r="D1358" i="21" s="1"/>
  <c r="C1358" i="21"/>
  <c r="E1358" i="21"/>
  <c r="I1358" i="21"/>
  <c r="B1359" i="21"/>
  <c r="H1359" i="21" s="1"/>
  <c r="C1359" i="21"/>
  <c r="E1359" i="21"/>
  <c r="I1359" i="21"/>
  <c r="B1360" i="21"/>
  <c r="D1360" i="21" s="1"/>
  <c r="C1360" i="21"/>
  <c r="E1360" i="21"/>
  <c r="I1360" i="21"/>
  <c r="B1361" i="21"/>
  <c r="H1361" i="21" s="1"/>
  <c r="C1361" i="21"/>
  <c r="E1361" i="21"/>
  <c r="I1361" i="21"/>
  <c r="B1362" i="21"/>
  <c r="H1362" i="21" s="1"/>
  <c r="C1362" i="21"/>
  <c r="E1362" i="21"/>
  <c r="I1362" i="21"/>
  <c r="B1363" i="21"/>
  <c r="D1363" i="21" s="1"/>
  <c r="C1363" i="21"/>
  <c r="E1363" i="21"/>
  <c r="I1363" i="21"/>
  <c r="B1364" i="21"/>
  <c r="D1364" i="21" s="1"/>
  <c r="C1364" i="21"/>
  <c r="E1364" i="21"/>
  <c r="I1364" i="21"/>
  <c r="B1365" i="21"/>
  <c r="H1365" i="21" s="1"/>
  <c r="C1365" i="21"/>
  <c r="E1365" i="21"/>
  <c r="I1365" i="21"/>
  <c r="B1366" i="21"/>
  <c r="D1366" i="21" s="1"/>
  <c r="C1366" i="21"/>
  <c r="E1366" i="21"/>
  <c r="I1366" i="21"/>
  <c r="B1367" i="21"/>
  <c r="H1367" i="21" s="1"/>
  <c r="C1367" i="21"/>
  <c r="E1367" i="21"/>
  <c r="I1367" i="21"/>
  <c r="B1368" i="21"/>
  <c r="D1368" i="21" s="1"/>
  <c r="C1368" i="21"/>
  <c r="E1368" i="21"/>
  <c r="I1368" i="21"/>
  <c r="B1369" i="21"/>
  <c r="H1369" i="21" s="1"/>
  <c r="C1369" i="21"/>
  <c r="E1369" i="21"/>
  <c r="I1369" i="21"/>
  <c r="B1370" i="21"/>
  <c r="D1370" i="21" s="1"/>
  <c r="C1370" i="21"/>
  <c r="E1370" i="21"/>
  <c r="I1370" i="21"/>
  <c r="B1371" i="21"/>
  <c r="D1371" i="21" s="1"/>
  <c r="C1371" i="21"/>
  <c r="E1371" i="21"/>
  <c r="I1371" i="21"/>
  <c r="B1372" i="21"/>
  <c r="D1372" i="21" s="1"/>
  <c r="C1372" i="21"/>
  <c r="E1372" i="21"/>
  <c r="I1372" i="21"/>
  <c r="B1373" i="21"/>
  <c r="H1373" i="21" s="1"/>
  <c r="C1373" i="21"/>
  <c r="E1373" i="21"/>
  <c r="I1373" i="21"/>
  <c r="B1374" i="21"/>
  <c r="D1374" i="21" s="1"/>
  <c r="C1374" i="21"/>
  <c r="E1374" i="21"/>
  <c r="I1374" i="21"/>
  <c r="B1375" i="21"/>
  <c r="C1375" i="21"/>
  <c r="E1375" i="21"/>
  <c r="I1375" i="21"/>
  <c r="B1376" i="21"/>
  <c r="D1376" i="21" s="1"/>
  <c r="C1376" i="21"/>
  <c r="E1376" i="21"/>
  <c r="I1376" i="21"/>
  <c r="B1377" i="21"/>
  <c r="H1377" i="21" s="1"/>
  <c r="C1377" i="21"/>
  <c r="E1377" i="21"/>
  <c r="I1377" i="21"/>
  <c r="B1378" i="21"/>
  <c r="H1378" i="21" s="1"/>
  <c r="C1378" i="21"/>
  <c r="E1378" i="21"/>
  <c r="I1378" i="21"/>
  <c r="B1379" i="21"/>
  <c r="D1379" i="21" s="1"/>
  <c r="C1379" i="21"/>
  <c r="E1379" i="21"/>
  <c r="I1379" i="21"/>
  <c r="B1380" i="21"/>
  <c r="D1380" i="21" s="1"/>
  <c r="C1380" i="21"/>
  <c r="E1380" i="21"/>
  <c r="I1380" i="21"/>
  <c r="B1381" i="21"/>
  <c r="H1381" i="21" s="1"/>
  <c r="C1381" i="21"/>
  <c r="E1381" i="21"/>
  <c r="I1381" i="21"/>
  <c r="B1382" i="21"/>
  <c r="D1382" i="21" s="1"/>
  <c r="C1382" i="21"/>
  <c r="E1382" i="21"/>
  <c r="I1382" i="21"/>
  <c r="B1383" i="21"/>
  <c r="H1383" i="21" s="1"/>
  <c r="C1383" i="21"/>
  <c r="E1383" i="21"/>
  <c r="I1383" i="21"/>
  <c r="B1384" i="21"/>
  <c r="D1384" i="21" s="1"/>
  <c r="C1384" i="21"/>
  <c r="E1384" i="21"/>
  <c r="I1384" i="21"/>
  <c r="B1385" i="21"/>
  <c r="H1385" i="21" s="1"/>
  <c r="C1385" i="21"/>
  <c r="E1385" i="21"/>
  <c r="I1385" i="21"/>
  <c r="B1386" i="21"/>
  <c r="D1386" i="21" s="1"/>
  <c r="C1386" i="21"/>
  <c r="E1386" i="21"/>
  <c r="I1386" i="21"/>
  <c r="B1387" i="21"/>
  <c r="D1387" i="21" s="1"/>
  <c r="C1387" i="21"/>
  <c r="E1387" i="21"/>
  <c r="I1387" i="21"/>
  <c r="B1388" i="21"/>
  <c r="D1388" i="21" s="1"/>
  <c r="C1388" i="21"/>
  <c r="E1388" i="21"/>
  <c r="I1388" i="21"/>
  <c r="B1389" i="21"/>
  <c r="H1389" i="21" s="1"/>
  <c r="C1389" i="21"/>
  <c r="E1389" i="21"/>
  <c r="I1389" i="21"/>
  <c r="B1390" i="21"/>
  <c r="D1390" i="21" s="1"/>
  <c r="C1390" i="21"/>
  <c r="E1390" i="21"/>
  <c r="I1390" i="21"/>
  <c r="B1391" i="21"/>
  <c r="H1391" i="21" s="1"/>
  <c r="C1391" i="21"/>
  <c r="D1391" i="21"/>
  <c r="E1391" i="21"/>
  <c r="I1391" i="21"/>
  <c r="B1392" i="21"/>
  <c r="D1392" i="21" s="1"/>
  <c r="C1392" i="21"/>
  <c r="E1392" i="21"/>
  <c r="I1392" i="21"/>
  <c r="B1393" i="21"/>
  <c r="H1393" i="21" s="1"/>
  <c r="C1393" i="21"/>
  <c r="E1393" i="21"/>
  <c r="I1393" i="21"/>
  <c r="B1394" i="21"/>
  <c r="D1394" i="21" s="1"/>
  <c r="C1394" i="21"/>
  <c r="E1394" i="21"/>
  <c r="I1394" i="21"/>
  <c r="B1395" i="21"/>
  <c r="D1395" i="21" s="1"/>
  <c r="C1395" i="21"/>
  <c r="E1395" i="21"/>
  <c r="I1395" i="21"/>
  <c r="B1396" i="21"/>
  <c r="D1396" i="21" s="1"/>
  <c r="C1396" i="21"/>
  <c r="E1396" i="21"/>
  <c r="I1396" i="21"/>
  <c r="B1397" i="21"/>
  <c r="H1397" i="21" s="1"/>
  <c r="C1397" i="21"/>
  <c r="E1397" i="21"/>
  <c r="I1397" i="21"/>
  <c r="B1398" i="21"/>
  <c r="D1398" i="21" s="1"/>
  <c r="C1398" i="21"/>
  <c r="E1398" i="21"/>
  <c r="I1398" i="21"/>
  <c r="B1399" i="21"/>
  <c r="H1399" i="21" s="1"/>
  <c r="C1399" i="21"/>
  <c r="E1399" i="21"/>
  <c r="I1399" i="21"/>
  <c r="B1400" i="21"/>
  <c r="D1400" i="21" s="1"/>
  <c r="C1400" i="21"/>
  <c r="E1400" i="21"/>
  <c r="I1400" i="21"/>
  <c r="B1401" i="21"/>
  <c r="H1401" i="21" s="1"/>
  <c r="C1401" i="21"/>
  <c r="E1401" i="21"/>
  <c r="I1401" i="21"/>
  <c r="B1402" i="21"/>
  <c r="D1402" i="21" s="1"/>
  <c r="C1402" i="21"/>
  <c r="E1402" i="21"/>
  <c r="I1402" i="21"/>
  <c r="B1403" i="21"/>
  <c r="H1403" i="21" s="1"/>
  <c r="C1403" i="21"/>
  <c r="E1403" i="21"/>
  <c r="I1403" i="21"/>
  <c r="B1404" i="21"/>
  <c r="D1404" i="21" s="1"/>
  <c r="C1404" i="21"/>
  <c r="E1404" i="21"/>
  <c r="I1404" i="21"/>
  <c r="B1405" i="21"/>
  <c r="H1405" i="21" s="1"/>
  <c r="C1405" i="21"/>
  <c r="E1405" i="21"/>
  <c r="I1405" i="21"/>
  <c r="I1354" i="21"/>
  <c r="E1354" i="21"/>
  <c r="B1354" i="21"/>
  <c r="H1354" i="21" s="1"/>
  <c r="B1303" i="21"/>
  <c r="D1303" i="21" s="1"/>
  <c r="C1303" i="21"/>
  <c r="E1303" i="21"/>
  <c r="I1303" i="21"/>
  <c r="B1304" i="21"/>
  <c r="D1304" i="21" s="1"/>
  <c r="C1304" i="21"/>
  <c r="E1304" i="21"/>
  <c r="I1304" i="21"/>
  <c r="B1305" i="21"/>
  <c r="H1305" i="21" s="1"/>
  <c r="C1305" i="21"/>
  <c r="E1305" i="21"/>
  <c r="I1305" i="21"/>
  <c r="B1306" i="21"/>
  <c r="D1306" i="21" s="1"/>
  <c r="C1306" i="21"/>
  <c r="E1306" i="21"/>
  <c r="I1306" i="21"/>
  <c r="B1307" i="21"/>
  <c r="H1307" i="21" s="1"/>
  <c r="C1307" i="21"/>
  <c r="E1307" i="21"/>
  <c r="I1307" i="21"/>
  <c r="B1308" i="21"/>
  <c r="D1308" i="21" s="1"/>
  <c r="C1308" i="21"/>
  <c r="E1308" i="21"/>
  <c r="I1308" i="21"/>
  <c r="B1309" i="21"/>
  <c r="C1309" i="21"/>
  <c r="E1309" i="21"/>
  <c r="I1309" i="21"/>
  <c r="B1310" i="21"/>
  <c r="C1310" i="21"/>
  <c r="E1310" i="21"/>
  <c r="I1310" i="21"/>
  <c r="B1311" i="21"/>
  <c r="H1311" i="21" s="1"/>
  <c r="C1311" i="21"/>
  <c r="E1311" i="21"/>
  <c r="I1311" i="21"/>
  <c r="B1312" i="21"/>
  <c r="D1312" i="21" s="1"/>
  <c r="C1312" i="21"/>
  <c r="E1312" i="21"/>
  <c r="I1312" i="21"/>
  <c r="B1313" i="21"/>
  <c r="C1313" i="21"/>
  <c r="E1313" i="21"/>
  <c r="I1313" i="21"/>
  <c r="B1314" i="21"/>
  <c r="H1314" i="21" s="1"/>
  <c r="C1314" i="21"/>
  <c r="E1314" i="21"/>
  <c r="I1314" i="21"/>
  <c r="B1315" i="21"/>
  <c r="C1315" i="21"/>
  <c r="E1315" i="21"/>
  <c r="I1315" i="21"/>
  <c r="B1316" i="21"/>
  <c r="D1316" i="21" s="1"/>
  <c r="C1316" i="21"/>
  <c r="E1316" i="21"/>
  <c r="I1316" i="21"/>
  <c r="B1317" i="21"/>
  <c r="H1317" i="21" s="1"/>
  <c r="C1317" i="21"/>
  <c r="E1317" i="21"/>
  <c r="I1317" i="21"/>
  <c r="B1318" i="21"/>
  <c r="D1318" i="21" s="1"/>
  <c r="C1318" i="21"/>
  <c r="E1318" i="21"/>
  <c r="I1318" i="21"/>
  <c r="B1319" i="21"/>
  <c r="D1319" i="21" s="1"/>
  <c r="C1319" i="21"/>
  <c r="E1319" i="21"/>
  <c r="I1319" i="21"/>
  <c r="B1320" i="21"/>
  <c r="D1320" i="21" s="1"/>
  <c r="C1320" i="21"/>
  <c r="E1320" i="21"/>
  <c r="I1320" i="21"/>
  <c r="B1321" i="21"/>
  <c r="H1321" i="21" s="1"/>
  <c r="C1321" i="21"/>
  <c r="E1321" i="21"/>
  <c r="I1321" i="21"/>
  <c r="B1322" i="21"/>
  <c r="D1322" i="21" s="1"/>
  <c r="C1322" i="21"/>
  <c r="E1322" i="21"/>
  <c r="I1322" i="21"/>
  <c r="B1323" i="21"/>
  <c r="D1323" i="21" s="1"/>
  <c r="C1323" i="21"/>
  <c r="E1323" i="21"/>
  <c r="I1323" i="21"/>
  <c r="B1324" i="21"/>
  <c r="D1324" i="21" s="1"/>
  <c r="C1324" i="21"/>
  <c r="E1324" i="21"/>
  <c r="I1324" i="21"/>
  <c r="B1325" i="21"/>
  <c r="H1325" i="21" s="1"/>
  <c r="C1325" i="21"/>
  <c r="E1325" i="21"/>
  <c r="I1325" i="21"/>
  <c r="B1326" i="21"/>
  <c r="D1326" i="21" s="1"/>
  <c r="C1326" i="21"/>
  <c r="E1326" i="21"/>
  <c r="I1326" i="21"/>
  <c r="B1327" i="21"/>
  <c r="D1327" i="21" s="1"/>
  <c r="C1327" i="21"/>
  <c r="E1327" i="21"/>
  <c r="H1327" i="21"/>
  <c r="I1327" i="21"/>
  <c r="B1328" i="21"/>
  <c r="D1328" i="21" s="1"/>
  <c r="C1328" i="21"/>
  <c r="E1328" i="21"/>
  <c r="I1328" i="21"/>
  <c r="B1329" i="21"/>
  <c r="H1329" i="21" s="1"/>
  <c r="C1329" i="21"/>
  <c r="E1329" i="21"/>
  <c r="I1329" i="21"/>
  <c r="B1330" i="21"/>
  <c r="H1330" i="21" s="1"/>
  <c r="C1330" i="21"/>
  <c r="E1330" i="21"/>
  <c r="I1330" i="21"/>
  <c r="B1331" i="21"/>
  <c r="H1331" i="21" s="1"/>
  <c r="C1331" i="21"/>
  <c r="E1331" i="21"/>
  <c r="I1331" i="21"/>
  <c r="B1332" i="21"/>
  <c r="D1332" i="21" s="1"/>
  <c r="C1332" i="21"/>
  <c r="E1332" i="21"/>
  <c r="I1332" i="21"/>
  <c r="B1333" i="21"/>
  <c r="H1333" i="21" s="1"/>
  <c r="C1333" i="21"/>
  <c r="E1333" i="21"/>
  <c r="I1333" i="21"/>
  <c r="B1334" i="21"/>
  <c r="C1334" i="21"/>
  <c r="E1334" i="21"/>
  <c r="I1334" i="21"/>
  <c r="B1335" i="21"/>
  <c r="D1335" i="21" s="1"/>
  <c r="C1335" i="21"/>
  <c r="E1335" i="21"/>
  <c r="I1335" i="21"/>
  <c r="B1336" i="21"/>
  <c r="D1336" i="21" s="1"/>
  <c r="C1336" i="21"/>
  <c r="E1336" i="21"/>
  <c r="I1336" i="21"/>
  <c r="B1337" i="21"/>
  <c r="H1337" i="21" s="1"/>
  <c r="C1337" i="21"/>
  <c r="E1337" i="21"/>
  <c r="I1337" i="21"/>
  <c r="B1338" i="21"/>
  <c r="D1338" i="21" s="1"/>
  <c r="C1338" i="21"/>
  <c r="E1338" i="21"/>
  <c r="I1338" i="21"/>
  <c r="B1339" i="21"/>
  <c r="H1339" i="21" s="1"/>
  <c r="C1339" i="21"/>
  <c r="D1339" i="21"/>
  <c r="E1339" i="21"/>
  <c r="I1339" i="21"/>
  <c r="B1340" i="21"/>
  <c r="D1340" i="21" s="1"/>
  <c r="C1340" i="21"/>
  <c r="E1340" i="21"/>
  <c r="I1340" i="21"/>
  <c r="B1341" i="21"/>
  <c r="C1341" i="21"/>
  <c r="E1341" i="21"/>
  <c r="I1341" i="21"/>
  <c r="B1342" i="21"/>
  <c r="D1342" i="21" s="1"/>
  <c r="C1342" i="21"/>
  <c r="E1342" i="21"/>
  <c r="I1342" i="21"/>
  <c r="B1343" i="21"/>
  <c r="H1343" i="21" s="1"/>
  <c r="C1343" i="21"/>
  <c r="E1343" i="21"/>
  <c r="I1343" i="21"/>
  <c r="B1344" i="21"/>
  <c r="D1344" i="21" s="1"/>
  <c r="C1344" i="21"/>
  <c r="E1344" i="21"/>
  <c r="I1344" i="21"/>
  <c r="B1345" i="21"/>
  <c r="C1345" i="21"/>
  <c r="E1345" i="21"/>
  <c r="I1345" i="21"/>
  <c r="B1346" i="21"/>
  <c r="D1346" i="21" s="1"/>
  <c r="C1346" i="21"/>
  <c r="E1346" i="21"/>
  <c r="I1346" i="21"/>
  <c r="B1347" i="21"/>
  <c r="D1347" i="21" s="1"/>
  <c r="C1347" i="21"/>
  <c r="E1347" i="21"/>
  <c r="I1347" i="21"/>
  <c r="B1348" i="21"/>
  <c r="D1348" i="21" s="1"/>
  <c r="C1348" i="21"/>
  <c r="E1348" i="21"/>
  <c r="I1348" i="21"/>
  <c r="B1349" i="21"/>
  <c r="H1349" i="21" s="1"/>
  <c r="C1349" i="21"/>
  <c r="E1349" i="21"/>
  <c r="I1349" i="21"/>
  <c r="B1350" i="21"/>
  <c r="H1350" i="21" s="1"/>
  <c r="C1350" i="21"/>
  <c r="E1350" i="21"/>
  <c r="I1350" i="21"/>
  <c r="B1351" i="21"/>
  <c r="D1351" i="21" s="1"/>
  <c r="C1351" i="21"/>
  <c r="E1351" i="21"/>
  <c r="I1351" i="21"/>
  <c r="B1352" i="21"/>
  <c r="D1352" i="21" s="1"/>
  <c r="C1352" i="21"/>
  <c r="E1352" i="21"/>
  <c r="I1352" i="21"/>
  <c r="B1353" i="21"/>
  <c r="H1353" i="21" s="1"/>
  <c r="C1353" i="21"/>
  <c r="E1353" i="21"/>
  <c r="I1353" i="21"/>
  <c r="C1354" i="21"/>
  <c r="D1354" i="21"/>
  <c r="I1302" i="21"/>
  <c r="E1302" i="21"/>
  <c r="B1302" i="21"/>
  <c r="H1302" i="21" s="1"/>
  <c r="B1251" i="21"/>
  <c r="D1251" i="21" s="1"/>
  <c r="C1251" i="21"/>
  <c r="E1251" i="21"/>
  <c r="I1251" i="21"/>
  <c r="B1252" i="21"/>
  <c r="D1252" i="21" s="1"/>
  <c r="C1252" i="21"/>
  <c r="E1252" i="21"/>
  <c r="I1252" i="21"/>
  <c r="B1253" i="21"/>
  <c r="D1253" i="21" s="1"/>
  <c r="C1253" i="21"/>
  <c r="E1253" i="21"/>
  <c r="I1253" i="21"/>
  <c r="B1254" i="21"/>
  <c r="D1254" i="21" s="1"/>
  <c r="C1254" i="21"/>
  <c r="E1254" i="21"/>
  <c r="I1254" i="21"/>
  <c r="B1255" i="21"/>
  <c r="D1255" i="21" s="1"/>
  <c r="C1255" i="21"/>
  <c r="E1255" i="21"/>
  <c r="I1255" i="21"/>
  <c r="B1256" i="21"/>
  <c r="D1256" i="21" s="1"/>
  <c r="C1256" i="21"/>
  <c r="E1256" i="21"/>
  <c r="I1256" i="21"/>
  <c r="B1257" i="21"/>
  <c r="H1257" i="21" s="1"/>
  <c r="C1257" i="21"/>
  <c r="E1257" i="21"/>
  <c r="I1257" i="21"/>
  <c r="B1258" i="21"/>
  <c r="D1258" i="21" s="1"/>
  <c r="C1258" i="21"/>
  <c r="E1258" i="21"/>
  <c r="I1258" i="21"/>
  <c r="B1259" i="21"/>
  <c r="D1259" i="21" s="1"/>
  <c r="C1259" i="21"/>
  <c r="E1259" i="21"/>
  <c r="I1259" i="21"/>
  <c r="B1260" i="21"/>
  <c r="D1260" i="21" s="1"/>
  <c r="C1260" i="21"/>
  <c r="E1260" i="21"/>
  <c r="I1260" i="21"/>
  <c r="B1261" i="21"/>
  <c r="H1261" i="21" s="1"/>
  <c r="C1261" i="21"/>
  <c r="E1261" i="21"/>
  <c r="I1261" i="21"/>
  <c r="B1262" i="21"/>
  <c r="D1262" i="21" s="1"/>
  <c r="C1262" i="21"/>
  <c r="E1262" i="21"/>
  <c r="I1262" i="21"/>
  <c r="B1263" i="21"/>
  <c r="D1263" i="21" s="1"/>
  <c r="C1263" i="21"/>
  <c r="E1263" i="21"/>
  <c r="I1263" i="21"/>
  <c r="B1264" i="21"/>
  <c r="D1264" i="21" s="1"/>
  <c r="C1264" i="21"/>
  <c r="E1264" i="21"/>
  <c r="I1264" i="21"/>
  <c r="B1265" i="21"/>
  <c r="H1265" i="21" s="1"/>
  <c r="C1265" i="21"/>
  <c r="E1265" i="21"/>
  <c r="I1265" i="21"/>
  <c r="B1266" i="21"/>
  <c r="D1266" i="21" s="1"/>
  <c r="C1266" i="21"/>
  <c r="E1266" i="21"/>
  <c r="H1266" i="21"/>
  <c r="I1266" i="21"/>
  <c r="B1267" i="21"/>
  <c r="D1267" i="21" s="1"/>
  <c r="C1267" i="21"/>
  <c r="E1267" i="21"/>
  <c r="I1267" i="21"/>
  <c r="B1268" i="21"/>
  <c r="D1268" i="21" s="1"/>
  <c r="C1268" i="21"/>
  <c r="E1268" i="21"/>
  <c r="I1268" i="21"/>
  <c r="B1269" i="21"/>
  <c r="D1269" i="21" s="1"/>
  <c r="C1269" i="21"/>
  <c r="E1269" i="21"/>
  <c r="I1269" i="21"/>
  <c r="B1270" i="21"/>
  <c r="D1270" i="21" s="1"/>
  <c r="C1270" i="21"/>
  <c r="E1270" i="21"/>
  <c r="I1270" i="21"/>
  <c r="B1271" i="21"/>
  <c r="D1271" i="21" s="1"/>
  <c r="C1271" i="21"/>
  <c r="E1271" i="21"/>
  <c r="I1271" i="21"/>
  <c r="B1272" i="21"/>
  <c r="D1272" i="21" s="1"/>
  <c r="C1272" i="21"/>
  <c r="E1272" i="21"/>
  <c r="I1272" i="21"/>
  <c r="B1273" i="21"/>
  <c r="H1273" i="21" s="1"/>
  <c r="C1273" i="21"/>
  <c r="E1273" i="21"/>
  <c r="I1273" i="21"/>
  <c r="B1274" i="21"/>
  <c r="D1274" i="21" s="1"/>
  <c r="C1274" i="21"/>
  <c r="E1274" i="21"/>
  <c r="I1274" i="21"/>
  <c r="B1275" i="21"/>
  <c r="H1275" i="21" s="1"/>
  <c r="C1275" i="21"/>
  <c r="E1275" i="21"/>
  <c r="I1275" i="21"/>
  <c r="B1276" i="21"/>
  <c r="H1276" i="21" s="1"/>
  <c r="C1276" i="21"/>
  <c r="E1276" i="21"/>
  <c r="I1276" i="21"/>
  <c r="B1277" i="21"/>
  <c r="H1277" i="21" s="1"/>
  <c r="C1277" i="21"/>
  <c r="D1277" i="21"/>
  <c r="E1277" i="21"/>
  <c r="I1277" i="21"/>
  <c r="B1278" i="21"/>
  <c r="D1278" i="21" s="1"/>
  <c r="C1278" i="21"/>
  <c r="E1278" i="21"/>
  <c r="I1278" i="21"/>
  <c r="B1279" i="21"/>
  <c r="D1279" i="21" s="1"/>
  <c r="C1279" i="21"/>
  <c r="E1279" i="21"/>
  <c r="I1279" i="21"/>
  <c r="B1280" i="21"/>
  <c r="H1280" i="21" s="1"/>
  <c r="C1280" i="21"/>
  <c r="E1280" i="21"/>
  <c r="I1280" i="21"/>
  <c r="B1281" i="21"/>
  <c r="H1281" i="21" s="1"/>
  <c r="C1281" i="21"/>
  <c r="E1281" i="21"/>
  <c r="I1281" i="21"/>
  <c r="B1282" i="21"/>
  <c r="D1282" i="21" s="1"/>
  <c r="C1282" i="21"/>
  <c r="E1282" i="21"/>
  <c r="I1282" i="21"/>
  <c r="B1283" i="21"/>
  <c r="D1283" i="21" s="1"/>
  <c r="C1283" i="21"/>
  <c r="E1283" i="21"/>
  <c r="I1283" i="21"/>
  <c r="B1284" i="21"/>
  <c r="H1284" i="21" s="1"/>
  <c r="C1284" i="21"/>
  <c r="E1284" i="21"/>
  <c r="I1284" i="21"/>
  <c r="B1285" i="21"/>
  <c r="D1285" i="21" s="1"/>
  <c r="C1285" i="21"/>
  <c r="E1285" i="21"/>
  <c r="I1285" i="21"/>
  <c r="B1286" i="21"/>
  <c r="D1286" i="21" s="1"/>
  <c r="C1286" i="21"/>
  <c r="E1286" i="21"/>
  <c r="I1286" i="21"/>
  <c r="B1287" i="21"/>
  <c r="D1287" i="21" s="1"/>
  <c r="C1287" i="21"/>
  <c r="E1287" i="21"/>
  <c r="I1287" i="21"/>
  <c r="B1288" i="21"/>
  <c r="H1288" i="21" s="1"/>
  <c r="C1288" i="21"/>
  <c r="E1288" i="21"/>
  <c r="I1288" i="21"/>
  <c r="B1289" i="21"/>
  <c r="H1289" i="21" s="1"/>
  <c r="C1289" i="21"/>
  <c r="E1289" i="21"/>
  <c r="I1289" i="21"/>
  <c r="B1290" i="21"/>
  <c r="D1290" i="21" s="1"/>
  <c r="C1290" i="21"/>
  <c r="E1290" i="21"/>
  <c r="I1290" i="21"/>
  <c r="B1291" i="21"/>
  <c r="D1291" i="21" s="1"/>
  <c r="C1291" i="21"/>
  <c r="E1291" i="21"/>
  <c r="I1291" i="21"/>
  <c r="B1292" i="21"/>
  <c r="H1292" i="21" s="1"/>
  <c r="C1292" i="21"/>
  <c r="E1292" i="21"/>
  <c r="I1292" i="21"/>
  <c r="B1293" i="21"/>
  <c r="H1293" i="21" s="1"/>
  <c r="C1293" i="21"/>
  <c r="E1293" i="21"/>
  <c r="I1293" i="21"/>
  <c r="B1294" i="21"/>
  <c r="D1294" i="21" s="1"/>
  <c r="C1294" i="21"/>
  <c r="E1294" i="21"/>
  <c r="I1294" i="21"/>
  <c r="B1295" i="21"/>
  <c r="D1295" i="21" s="1"/>
  <c r="C1295" i="21"/>
  <c r="E1295" i="21"/>
  <c r="I1295" i="21"/>
  <c r="B1296" i="21"/>
  <c r="H1296" i="21" s="1"/>
  <c r="C1296" i="21"/>
  <c r="E1296" i="21"/>
  <c r="I1296" i="21"/>
  <c r="B1297" i="21"/>
  <c r="H1297" i="21" s="1"/>
  <c r="C1297" i="21"/>
  <c r="E1297" i="21"/>
  <c r="I1297" i="21"/>
  <c r="B1298" i="21"/>
  <c r="D1298" i="21" s="1"/>
  <c r="C1298" i="21"/>
  <c r="E1298" i="21"/>
  <c r="I1298" i="21"/>
  <c r="B1299" i="21"/>
  <c r="H1299" i="21" s="1"/>
  <c r="C1299" i="21"/>
  <c r="E1299" i="21"/>
  <c r="I1299" i="21"/>
  <c r="B1300" i="21"/>
  <c r="H1300" i="21" s="1"/>
  <c r="C1300" i="21"/>
  <c r="E1300" i="21"/>
  <c r="I1300" i="21"/>
  <c r="B1301" i="21"/>
  <c r="D1301" i="21" s="1"/>
  <c r="C1301" i="21"/>
  <c r="E1301" i="21"/>
  <c r="H1301" i="21"/>
  <c r="I1301" i="21"/>
  <c r="C1302" i="21"/>
  <c r="D1302" i="21"/>
  <c r="I1250" i="21"/>
  <c r="E1250" i="21"/>
  <c r="C1250" i="21"/>
  <c r="B1250" i="21"/>
  <c r="B1248" i="21"/>
  <c r="D1248" i="21" s="1"/>
  <c r="C1248" i="21"/>
  <c r="E1248" i="21"/>
  <c r="I1248" i="21"/>
  <c r="B1249" i="21"/>
  <c r="H1249" i="21" s="1"/>
  <c r="C1249" i="21"/>
  <c r="E1249" i="21"/>
  <c r="I1249" i="21"/>
  <c r="B1199" i="21"/>
  <c r="D1199" i="21" s="1"/>
  <c r="C1199" i="21"/>
  <c r="E1199" i="21"/>
  <c r="I1199" i="21"/>
  <c r="B1200" i="21"/>
  <c r="D1200" i="21" s="1"/>
  <c r="C1200" i="21"/>
  <c r="E1200" i="21"/>
  <c r="I1200" i="21"/>
  <c r="B1201" i="21"/>
  <c r="H1201" i="21" s="1"/>
  <c r="C1201" i="21"/>
  <c r="D1201" i="21"/>
  <c r="E1201" i="21"/>
  <c r="I1201" i="21"/>
  <c r="B1202" i="21"/>
  <c r="D1202" i="21" s="1"/>
  <c r="C1202" i="21"/>
  <c r="E1202" i="21"/>
  <c r="I1202" i="21"/>
  <c r="B1203" i="21"/>
  <c r="C1203" i="21"/>
  <c r="E1203" i="21"/>
  <c r="I1203" i="21"/>
  <c r="B1204" i="21"/>
  <c r="D1204" i="21" s="1"/>
  <c r="C1204" i="21"/>
  <c r="E1204" i="21"/>
  <c r="I1204" i="21"/>
  <c r="B1205" i="21"/>
  <c r="H1205" i="21" s="1"/>
  <c r="C1205" i="21"/>
  <c r="E1205" i="21"/>
  <c r="I1205" i="21"/>
  <c r="B1206" i="21"/>
  <c r="D1206" i="21" s="1"/>
  <c r="C1206" i="21"/>
  <c r="E1206" i="21"/>
  <c r="I1206" i="21"/>
  <c r="B1207" i="21"/>
  <c r="D1207" i="21" s="1"/>
  <c r="C1207" i="21"/>
  <c r="E1207" i="21"/>
  <c r="I1207" i="21"/>
  <c r="B1208" i="21"/>
  <c r="D1208" i="21" s="1"/>
  <c r="C1208" i="21"/>
  <c r="E1208" i="21"/>
  <c r="I1208" i="21"/>
  <c r="B1209" i="21"/>
  <c r="H1209" i="21" s="1"/>
  <c r="C1209" i="21"/>
  <c r="E1209" i="21"/>
  <c r="I1209" i="21"/>
  <c r="B1210" i="21"/>
  <c r="H1210" i="21" s="1"/>
  <c r="C1210" i="21"/>
  <c r="D1210" i="21"/>
  <c r="E1210" i="21"/>
  <c r="I1210" i="21"/>
  <c r="B1211" i="21"/>
  <c r="D1211" i="21" s="1"/>
  <c r="C1211" i="21"/>
  <c r="E1211" i="21"/>
  <c r="I1211" i="21"/>
  <c r="B1212" i="21"/>
  <c r="D1212" i="21" s="1"/>
  <c r="C1212" i="21"/>
  <c r="E1212" i="21"/>
  <c r="I1212" i="21"/>
  <c r="B1213" i="21"/>
  <c r="H1213" i="21" s="1"/>
  <c r="C1213" i="21"/>
  <c r="E1213" i="21"/>
  <c r="I1213" i="21"/>
  <c r="B1214" i="21"/>
  <c r="H1214" i="21" s="1"/>
  <c r="C1214" i="21"/>
  <c r="E1214" i="21"/>
  <c r="I1214" i="21"/>
  <c r="B1215" i="21"/>
  <c r="D1215" i="21" s="1"/>
  <c r="C1215" i="21"/>
  <c r="E1215" i="21"/>
  <c r="I1215" i="21"/>
  <c r="B1216" i="21"/>
  <c r="D1216" i="21" s="1"/>
  <c r="C1216" i="21"/>
  <c r="E1216" i="21"/>
  <c r="I1216" i="21"/>
  <c r="B1217" i="21"/>
  <c r="H1217" i="21" s="1"/>
  <c r="C1217" i="21"/>
  <c r="E1217" i="21"/>
  <c r="I1217" i="21"/>
  <c r="B1218" i="21"/>
  <c r="D1218" i="21" s="1"/>
  <c r="C1218" i="21"/>
  <c r="E1218" i="21"/>
  <c r="I1218" i="21"/>
  <c r="B1219" i="21"/>
  <c r="D1219" i="21" s="1"/>
  <c r="C1219" i="21"/>
  <c r="E1219" i="21"/>
  <c r="H1219" i="21"/>
  <c r="I1219" i="21"/>
  <c r="B1220" i="21"/>
  <c r="D1220" i="21" s="1"/>
  <c r="C1220" i="21"/>
  <c r="E1220" i="21"/>
  <c r="I1220" i="21"/>
  <c r="B1221" i="21"/>
  <c r="H1221" i="21" s="1"/>
  <c r="C1221" i="21"/>
  <c r="E1221" i="21"/>
  <c r="I1221" i="21"/>
  <c r="B1222" i="21"/>
  <c r="D1222" i="21" s="1"/>
  <c r="C1222" i="21"/>
  <c r="E1222" i="21"/>
  <c r="I1222" i="21"/>
  <c r="B1223" i="21"/>
  <c r="H1223" i="21" s="1"/>
  <c r="C1223" i="21"/>
  <c r="E1223" i="21"/>
  <c r="I1223" i="21"/>
  <c r="B1224" i="21"/>
  <c r="D1224" i="21" s="1"/>
  <c r="C1224" i="21"/>
  <c r="E1224" i="21"/>
  <c r="I1224" i="21"/>
  <c r="B1225" i="21"/>
  <c r="H1225" i="21" s="1"/>
  <c r="C1225" i="21"/>
  <c r="E1225" i="21"/>
  <c r="I1225" i="21"/>
  <c r="B1226" i="21"/>
  <c r="C1226" i="21"/>
  <c r="E1226" i="21"/>
  <c r="I1226" i="21"/>
  <c r="B1227" i="21"/>
  <c r="H1227" i="21" s="1"/>
  <c r="C1227" i="21"/>
  <c r="D1227" i="21"/>
  <c r="E1227" i="21"/>
  <c r="I1227" i="21"/>
  <c r="B1228" i="21"/>
  <c r="D1228" i="21" s="1"/>
  <c r="C1228" i="21"/>
  <c r="E1228" i="21"/>
  <c r="I1228" i="21"/>
  <c r="B1229" i="21"/>
  <c r="C1229" i="21"/>
  <c r="E1229" i="21"/>
  <c r="I1229" i="21"/>
  <c r="B1230" i="21"/>
  <c r="D1230" i="21" s="1"/>
  <c r="C1230" i="21"/>
  <c r="E1230" i="21"/>
  <c r="H1230" i="21"/>
  <c r="I1230" i="21"/>
  <c r="B1231" i="21"/>
  <c r="D1231" i="21" s="1"/>
  <c r="C1231" i="21"/>
  <c r="E1231" i="21"/>
  <c r="I1231" i="21"/>
  <c r="B1232" i="21"/>
  <c r="D1232" i="21" s="1"/>
  <c r="C1232" i="21"/>
  <c r="E1232" i="21"/>
  <c r="I1232" i="21"/>
  <c r="B1233" i="21"/>
  <c r="H1233" i="21" s="1"/>
  <c r="C1233" i="21"/>
  <c r="E1233" i="21"/>
  <c r="I1233" i="21"/>
  <c r="B1234" i="21"/>
  <c r="D1234" i="21" s="1"/>
  <c r="C1234" i="21"/>
  <c r="E1234" i="21"/>
  <c r="I1234" i="21"/>
  <c r="B1235" i="21"/>
  <c r="C1235" i="21"/>
  <c r="E1235" i="21"/>
  <c r="I1235" i="21"/>
  <c r="B1236" i="21"/>
  <c r="D1236" i="21" s="1"/>
  <c r="C1236" i="21"/>
  <c r="E1236" i="21"/>
  <c r="I1236" i="21"/>
  <c r="B1237" i="21"/>
  <c r="H1237" i="21" s="1"/>
  <c r="C1237" i="21"/>
  <c r="E1237" i="21"/>
  <c r="I1237" i="21"/>
  <c r="B1238" i="21"/>
  <c r="D1238" i="21" s="1"/>
  <c r="C1238" i="21"/>
  <c r="E1238" i="21"/>
  <c r="I1238" i="21"/>
  <c r="B1239" i="21"/>
  <c r="D1239" i="21" s="1"/>
  <c r="C1239" i="21"/>
  <c r="E1239" i="21"/>
  <c r="I1239" i="21"/>
  <c r="B1240" i="21"/>
  <c r="D1240" i="21" s="1"/>
  <c r="C1240" i="21"/>
  <c r="E1240" i="21"/>
  <c r="I1240" i="21"/>
  <c r="B1241" i="21"/>
  <c r="H1241" i="21" s="1"/>
  <c r="C1241" i="21"/>
  <c r="E1241" i="21"/>
  <c r="I1241" i="21"/>
  <c r="B1242" i="21"/>
  <c r="H1242" i="21" s="1"/>
  <c r="C1242" i="21"/>
  <c r="D1242" i="21"/>
  <c r="E1242" i="21"/>
  <c r="I1242" i="21"/>
  <c r="B1243" i="21"/>
  <c r="D1243" i="21" s="1"/>
  <c r="C1243" i="21"/>
  <c r="E1243" i="21"/>
  <c r="I1243" i="21"/>
  <c r="B1244" i="21"/>
  <c r="D1244" i="21" s="1"/>
  <c r="C1244" i="21"/>
  <c r="E1244" i="21"/>
  <c r="I1244" i="21"/>
  <c r="B1245" i="21"/>
  <c r="H1245" i="21" s="1"/>
  <c r="C1245" i="21"/>
  <c r="E1245" i="21"/>
  <c r="I1245" i="21"/>
  <c r="B1246" i="21"/>
  <c r="H1246" i="21" s="1"/>
  <c r="C1246" i="21"/>
  <c r="E1246" i="21"/>
  <c r="I1246" i="21"/>
  <c r="B1247" i="21"/>
  <c r="D1247" i="21" s="1"/>
  <c r="C1247" i="21"/>
  <c r="E1247" i="21"/>
  <c r="I1247" i="21"/>
  <c r="I1198" i="21"/>
  <c r="E1198" i="21"/>
  <c r="B1198" i="21"/>
  <c r="D1198" i="21" s="1"/>
  <c r="B1147" i="21"/>
  <c r="C1147" i="21"/>
  <c r="E1147" i="21"/>
  <c r="I1147" i="21"/>
  <c r="B1148" i="21"/>
  <c r="D1148" i="21" s="1"/>
  <c r="C1148" i="21"/>
  <c r="E1148" i="21"/>
  <c r="I1148" i="21"/>
  <c r="B1149" i="21"/>
  <c r="H1149" i="21" s="1"/>
  <c r="C1149" i="21"/>
  <c r="E1149" i="21"/>
  <c r="I1149" i="21"/>
  <c r="B1150" i="21"/>
  <c r="H1150" i="21" s="1"/>
  <c r="C1150" i="21"/>
  <c r="E1150" i="21"/>
  <c r="I1150" i="21"/>
  <c r="B1151" i="21"/>
  <c r="D1151" i="21" s="1"/>
  <c r="C1151" i="21"/>
  <c r="E1151" i="21"/>
  <c r="H1151" i="21"/>
  <c r="I1151" i="21"/>
  <c r="B1152" i="21"/>
  <c r="D1152" i="21" s="1"/>
  <c r="C1152" i="21"/>
  <c r="E1152" i="21"/>
  <c r="I1152" i="21"/>
  <c r="B1153" i="21"/>
  <c r="H1153" i="21" s="1"/>
  <c r="C1153" i="21"/>
  <c r="E1153" i="21"/>
  <c r="I1153" i="21"/>
  <c r="B1154" i="21"/>
  <c r="H1154" i="21" s="1"/>
  <c r="C1154" i="21"/>
  <c r="E1154" i="21"/>
  <c r="I1154" i="21"/>
  <c r="B1155" i="21"/>
  <c r="C1155" i="21"/>
  <c r="E1155" i="21"/>
  <c r="I1155" i="21"/>
  <c r="B1156" i="21"/>
  <c r="D1156" i="21" s="1"/>
  <c r="C1156" i="21"/>
  <c r="E1156" i="21"/>
  <c r="I1156" i="21"/>
  <c r="B1157" i="21"/>
  <c r="H1157" i="21" s="1"/>
  <c r="C1157" i="21"/>
  <c r="E1157" i="21"/>
  <c r="I1157" i="21"/>
  <c r="B1158" i="21"/>
  <c r="H1158" i="21" s="1"/>
  <c r="C1158" i="21"/>
  <c r="E1158" i="21"/>
  <c r="I1158" i="21"/>
  <c r="B1159" i="21"/>
  <c r="D1159" i="21" s="1"/>
  <c r="C1159" i="21"/>
  <c r="E1159" i="21"/>
  <c r="I1159" i="21"/>
  <c r="B1160" i="21"/>
  <c r="D1160" i="21" s="1"/>
  <c r="C1160" i="21"/>
  <c r="E1160" i="21"/>
  <c r="I1160" i="21"/>
  <c r="B1161" i="21"/>
  <c r="H1161" i="21" s="1"/>
  <c r="C1161" i="21"/>
  <c r="E1161" i="21"/>
  <c r="I1161" i="21"/>
  <c r="B1162" i="21"/>
  <c r="H1162" i="21" s="1"/>
  <c r="C1162" i="21"/>
  <c r="E1162" i="21"/>
  <c r="I1162" i="21"/>
  <c r="B1163" i="21"/>
  <c r="C1163" i="21"/>
  <c r="E1163" i="21"/>
  <c r="I1163" i="21"/>
  <c r="B1164" i="21"/>
  <c r="D1164" i="21" s="1"/>
  <c r="C1164" i="21"/>
  <c r="E1164" i="21"/>
  <c r="I1164" i="21"/>
  <c r="B1165" i="21"/>
  <c r="H1165" i="21" s="1"/>
  <c r="C1165" i="21"/>
  <c r="E1165" i="21"/>
  <c r="I1165" i="21"/>
  <c r="B1166" i="21"/>
  <c r="H1166" i="21" s="1"/>
  <c r="C1166" i="21"/>
  <c r="E1166" i="21"/>
  <c r="I1166" i="21"/>
  <c r="B1167" i="21"/>
  <c r="D1167" i="21" s="1"/>
  <c r="C1167" i="21"/>
  <c r="E1167" i="21"/>
  <c r="I1167" i="21"/>
  <c r="B1168" i="21"/>
  <c r="D1168" i="21" s="1"/>
  <c r="C1168" i="21"/>
  <c r="E1168" i="21"/>
  <c r="I1168" i="21"/>
  <c r="B1169" i="21"/>
  <c r="H1169" i="21" s="1"/>
  <c r="C1169" i="21"/>
  <c r="E1169" i="21"/>
  <c r="I1169" i="21"/>
  <c r="B1170" i="21"/>
  <c r="H1170" i="21" s="1"/>
  <c r="C1170" i="21"/>
  <c r="E1170" i="21"/>
  <c r="I1170" i="21"/>
  <c r="B1171" i="21"/>
  <c r="C1171" i="21"/>
  <c r="E1171" i="21"/>
  <c r="I1171" i="21"/>
  <c r="B1172" i="21"/>
  <c r="D1172" i="21" s="1"/>
  <c r="C1172" i="21"/>
  <c r="E1172" i="21"/>
  <c r="I1172" i="21"/>
  <c r="B1173" i="21"/>
  <c r="H1173" i="21" s="1"/>
  <c r="C1173" i="21"/>
  <c r="E1173" i="21"/>
  <c r="I1173" i="21"/>
  <c r="B1174" i="21"/>
  <c r="H1174" i="21" s="1"/>
  <c r="C1174" i="21"/>
  <c r="E1174" i="21"/>
  <c r="I1174" i="21"/>
  <c r="B1175" i="21"/>
  <c r="D1175" i="21" s="1"/>
  <c r="C1175" i="21"/>
  <c r="E1175" i="21"/>
  <c r="I1175" i="21"/>
  <c r="B1176" i="21"/>
  <c r="D1176" i="21" s="1"/>
  <c r="C1176" i="21"/>
  <c r="E1176" i="21"/>
  <c r="I1176" i="21"/>
  <c r="B1177" i="21"/>
  <c r="H1177" i="21" s="1"/>
  <c r="C1177" i="21"/>
  <c r="E1177" i="21"/>
  <c r="I1177" i="21"/>
  <c r="B1178" i="21"/>
  <c r="H1178" i="21" s="1"/>
  <c r="C1178" i="21"/>
  <c r="E1178" i="21"/>
  <c r="I1178" i="21"/>
  <c r="B1179" i="21"/>
  <c r="C1179" i="21"/>
  <c r="E1179" i="21"/>
  <c r="I1179" i="21"/>
  <c r="B1180" i="21"/>
  <c r="D1180" i="21" s="1"/>
  <c r="C1180" i="21"/>
  <c r="E1180" i="21"/>
  <c r="I1180" i="21"/>
  <c r="B1181" i="21"/>
  <c r="H1181" i="21" s="1"/>
  <c r="C1181" i="21"/>
  <c r="E1181" i="21"/>
  <c r="I1181" i="21"/>
  <c r="B1182" i="21"/>
  <c r="H1182" i="21" s="1"/>
  <c r="C1182" i="21"/>
  <c r="E1182" i="21"/>
  <c r="I1182" i="21"/>
  <c r="B1183" i="21"/>
  <c r="D1183" i="21" s="1"/>
  <c r="C1183" i="21"/>
  <c r="E1183" i="21"/>
  <c r="I1183" i="21"/>
  <c r="B1184" i="21"/>
  <c r="D1184" i="21" s="1"/>
  <c r="C1184" i="21"/>
  <c r="E1184" i="21"/>
  <c r="I1184" i="21"/>
  <c r="B1185" i="21"/>
  <c r="H1185" i="21" s="1"/>
  <c r="C1185" i="21"/>
  <c r="E1185" i="21"/>
  <c r="I1185" i="21"/>
  <c r="B1186" i="21"/>
  <c r="H1186" i="21" s="1"/>
  <c r="C1186" i="21"/>
  <c r="E1186" i="21"/>
  <c r="I1186" i="21"/>
  <c r="B1187" i="21"/>
  <c r="C1187" i="21"/>
  <c r="E1187" i="21"/>
  <c r="I1187" i="21"/>
  <c r="B1188" i="21"/>
  <c r="D1188" i="21" s="1"/>
  <c r="C1188" i="21"/>
  <c r="E1188" i="21"/>
  <c r="I1188" i="21"/>
  <c r="B1189" i="21"/>
  <c r="H1189" i="21" s="1"/>
  <c r="C1189" i="21"/>
  <c r="E1189" i="21"/>
  <c r="I1189" i="21"/>
  <c r="B1190" i="21"/>
  <c r="H1190" i="21" s="1"/>
  <c r="C1190" i="21"/>
  <c r="E1190" i="21"/>
  <c r="I1190" i="21"/>
  <c r="B1191" i="21"/>
  <c r="H1191" i="21" s="1"/>
  <c r="C1191" i="21"/>
  <c r="D1191" i="21"/>
  <c r="E1191" i="21"/>
  <c r="I1191" i="21"/>
  <c r="B1192" i="21"/>
  <c r="D1192" i="21" s="1"/>
  <c r="C1192" i="21"/>
  <c r="E1192" i="21"/>
  <c r="I1192" i="21"/>
  <c r="B1193" i="21"/>
  <c r="H1193" i="21" s="1"/>
  <c r="C1193" i="21"/>
  <c r="E1193" i="21"/>
  <c r="I1193" i="21"/>
  <c r="B1194" i="21"/>
  <c r="H1194" i="21" s="1"/>
  <c r="C1194" i="21"/>
  <c r="E1194" i="21"/>
  <c r="I1194" i="21"/>
  <c r="B1195" i="21"/>
  <c r="C1195" i="21"/>
  <c r="E1195" i="21"/>
  <c r="I1195" i="21"/>
  <c r="B1196" i="21"/>
  <c r="D1196" i="21" s="1"/>
  <c r="C1196" i="21"/>
  <c r="E1196" i="21"/>
  <c r="I1196" i="21"/>
  <c r="B1197" i="21"/>
  <c r="H1197" i="21" s="1"/>
  <c r="C1197" i="21"/>
  <c r="E1197" i="21"/>
  <c r="I1197" i="21"/>
  <c r="C1198" i="21"/>
  <c r="I1146" i="21"/>
  <c r="E1146" i="21"/>
  <c r="B1146" i="21"/>
  <c r="D1146" i="21" s="1"/>
  <c r="B1144" i="21"/>
  <c r="D1144" i="21" s="1"/>
  <c r="C1144" i="21"/>
  <c r="E1144" i="21"/>
  <c r="I1144" i="21"/>
  <c r="B1145" i="21"/>
  <c r="D1145" i="21" s="1"/>
  <c r="C1145" i="21"/>
  <c r="E1145" i="21"/>
  <c r="I1145" i="21"/>
  <c r="C1146" i="21"/>
  <c r="B1136" i="21"/>
  <c r="D1136" i="21" s="1"/>
  <c r="C1136" i="21"/>
  <c r="E1136" i="21"/>
  <c r="I1136" i="21"/>
  <c r="B1137" i="21"/>
  <c r="D1137" i="21" s="1"/>
  <c r="C1137" i="21"/>
  <c r="E1137" i="21"/>
  <c r="I1137" i="21"/>
  <c r="B1138" i="21"/>
  <c r="D1138" i="21" s="1"/>
  <c r="C1138" i="21"/>
  <c r="E1138" i="21"/>
  <c r="I1138" i="21"/>
  <c r="B1139" i="21"/>
  <c r="D1139" i="21" s="1"/>
  <c r="C1139" i="21"/>
  <c r="E1139" i="21"/>
  <c r="I1139" i="21"/>
  <c r="B1140" i="21"/>
  <c r="D1140" i="21" s="1"/>
  <c r="C1140" i="21"/>
  <c r="E1140" i="21"/>
  <c r="I1140" i="21"/>
  <c r="B1141" i="21"/>
  <c r="D1141" i="21" s="1"/>
  <c r="C1141" i="21"/>
  <c r="E1141" i="21"/>
  <c r="I1141" i="21"/>
  <c r="B1142" i="21"/>
  <c r="H1142" i="21" s="1"/>
  <c r="C1142" i="21"/>
  <c r="E1142" i="21"/>
  <c r="I1142" i="21"/>
  <c r="B1143" i="21"/>
  <c r="D1143" i="21" s="1"/>
  <c r="C1143" i="21"/>
  <c r="E1143" i="21"/>
  <c r="I1143" i="21"/>
  <c r="B1095" i="21"/>
  <c r="D1095" i="21" s="1"/>
  <c r="C1095" i="21"/>
  <c r="E1095" i="21"/>
  <c r="I1095" i="21"/>
  <c r="B1096" i="21"/>
  <c r="D1096" i="21" s="1"/>
  <c r="C1096" i="21"/>
  <c r="E1096" i="21"/>
  <c r="I1096" i="21"/>
  <c r="B1097" i="21"/>
  <c r="H1097" i="21" s="1"/>
  <c r="C1097" i="21"/>
  <c r="E1097" i="21"/>
  <c r="I1097" i="21"/>
  <c r="B1098" i="21"/>
  <c r="D1098" i="21" s="1"/>
  <c r="C1098" i="21"/>
  <c r="E1098" i="21"/>
  <c r="I1098" i="21"/>
  <c r="B1099" i="21"/>
  <c r="D1099" i="21" s="1"/>
  <c r="C1099" i="21"/>
  <c r="E1099" i="21"/>
  <c r="I1099" i="21"/>
  <c r="B1100" i="21"/>
  <c r="D1100" i="21" s="1"/>
  <c r="C1100" i="21"/>
  <c r="E1100" i="21"/>
  <c r="I1100" i="21"/>
  <c r="B1101" i="21"/>
  <c r="H1101" i="21" s="1"/>
  <c r="C1101" i="21"/>
  <c r="E1101" i="21"/>
  <c r="I1101" i="21"/>
  <c r="B1102" i="21"/>
  <c r="D1102" i="21" s="1"/>
  <c r="C1102" i="21"/>
  <c r="E1102" i="21"/>
  <c r="I1102" i="21"/>
  <c r="B1103" i="21"/>
  <c r="D1103" i="21" s="1"/>
  <c r="C1103" i="21"/>
  <c r="E1103" i="21"/>
  <c r="I1103" i="21"/>
  <c r="B1104" i="21"/>
  <c r="D1104" i="21" s="1"/>
  <c r="C1104" i="21"/>
  <c r="E1104" i="21"/>
  <c r="I1104" i="21"/>
  <c r="B1105" i="21"/>
  <c r="H1105" i="21" s="1"/>
  <c r="C1105" i="21"/>
  <c r="E1105" i="21"/>
  <c r="I1105" i="21"/>
  <c r="B1106" i="21"/>
  <c r="D1106" i="21" s="1"/>
  <c r="C1106" i="21"/>
  <c r="E1106" i="21"/>
  <c r="I1106" i="21"/>
  <c r="B1107" i="21"/>
  <c r="D1107" i="21" s="1"/>
  <c r="C1107" i="21"/>
  <c r="E1107" i="21"/>
  <c r="I1107" i="21"/>
  <c r="B1108" i="21"/>
  <c r="D1108" i="21" s="1"/>
  <c r="C1108" i="21"/>
  <c r="E1108" i="21"/>
  <c r="I1108" i="21"/>
  <c r="B1109" i="21"/>
  <c r="H1109" i="21" s="1"/>
  <c r="C1109" i="21"/>
  <c r="E1109" i="21"/>
  <c r="I1109" i="21"/>
  <c r="B1110" i="21"/>
  <c r="D1110" i="21" s="1"/>
  <c r="C1110" i="21"/>
  <c r="E1110" i="21"/>
  <c r="I1110" i="21"/>
  <c r="B1111" i="21"/>
  <c r="D1111" i="21" s="1"/>
  <c r="C1111" i="21"/>
  <c r="E1111" i="21"/>
  <c r="I1111" i="21"/>
  <c r="B1112" i="21"/>
  <c r="D1112" i="21" s="1"/>
  <c r="C1112" i="21"/>
  <c r="E1112" i="21"/>
  <c r="I1112" i="21"/>
  <c r="B1113" i="21"/>
  <c r="H1113" i="21" s="1"/>
  <c r="C1113" i="21"/>
  <c r="E1113" i="21"/>
  <c r="I1113" i="21"/>
  <c r="B1114" i="21"/>
  <c r="D1114" i="21" s="1"/>
  <c r="C1114" i="21"/>
  <c r="E1114" i="21"/>
  <c r="I1114" i="21"/>
  <c r="B1115" i="21"/>
  <c r="D1115" i="21" s="1"/>
  <c r="C1115" i="21"/>
  <c r="E1115" i="21"/>
  <c r="I1115" i="21"/>
  <c r="B1116" i="21"/>
  <c r="D1116" i="21" s="1"/>
  <c r="C1116" i="21"/>
  <c r="E1116" i="21"/>
  <c r="I1116" i="21"/>
  <c r="B1117" i="21"/>
  <c r="H1117" i="21" s="1"/>
  <c r="C1117" i="21"/>
  <c r="E1117" i="21"/>
  <c r="I1117" i="21"/>
  <c r="B1118" i="21"/>
  <c r="D1118" i="21" s="1"/>
  <c r="C1118" i="21"/>
  <c r="E1118" i="21"/>
  <c r="I1118" i="21"/>
  <c r="B1119" i="21"/>
  <c r="D1119" i="21" s="1"/>
  <c r="C1119" i="21"/>
  <c r="E1119" i="21"/>
  <c r="I1119" i="21"/>
  <c r="B1120" i="21"/>
  <c r="D1120" i="21" s="1"/>
  <c r="C1120" i="21"/>
  <c r="E1120" i="21"/>
  <c r="I1120" i="21"/>
  <c r="B1121" i="21"/>
  <c r="H1121" i="21" s="1"/>
  <c r="C1121" i="21"/>
  <c r="E1121" i="21"/>
  <c r="I1121" i="21"/>
  <c r="B1122" i="21"/>
  <c r="D1122" i="21" s="1"/>
  <c r="C1122" i="21"/>
  <c r="E1122" i="21"/>
  <c r="I1122" i="21"/>
  <c r="B1123" i="21"/>
  <c r="D1123" i="21" s="1"/>
  <c r="C1123" i="21"/>
  <c r="E1123" i="21"/>
  <c r="I1123" i="21"/>
  <c r="B1124" i="21"/>
  <c r="D1124" i="21" s="1"/>
  <c r="C1124" i="21"/>
  <c r="E1124" i="21"/>
  <c r="I1124" i="21"/>
  <c r="B1125" i="21"/>
  <c r="C1125" i="21"/>
  <c r="E1125" i="21"/>
  <c r="I1125" i="21"/>
  <c r="B1126" i="21"/>
  <c r="D1126" i="21" s="1"/>
  <c r="C1126" i="21"/>
  <c r="E1126" i="21"/>
  <c r="I1126" i="21"/>
  <c r="B1127" i="21"/>
  <c r="D1127" i="21" s="1"/>
  <c r="C1127" i="21"/>
  <c r="E1127" i="21"/>
  <c r="I1127" i="21"/>
  <c r="B1128" i="21"/>
  <c r="D1128" i="21" s="1"/>
  <c r="C1128" i="21"/>
  <c r="E1128" i="21"/>
  <c r="I1128" i="21"/>
  <c r="B1129" i="21"/>
  <c r="H1129" i="21" s="1"/>
  <c r="C1129" i="21"/>
  <c r="E1129" i="21"/>
  <c r="I1129" i="21"/>
  <c r="B1130" i="21"/>
  <c r="C1130" i="21"/>
  <c r="E1130" i="21"/>
  <c r="I1130" i="21"/>
  <c r="B1131" i="21"/>
  <c r="D1131" i="21" s="1"/>
  <c r="C1131" i="21"/>
  <c r="E1131" i="21"/>
  <c r="I1131" i="21"/>
  <c r="B1132" i="21"/>
  <c r="D1132" i="21" s="1"/>
  <c r="C1132" i="21"/>
  <c r="E1132" i="21"/>
  <c r="I1132" i="21"/>
  <c r="B1133" i="21"/>
  <c r="C1133" i="21"/>
  <c r="E1133" i="21"/>
  <c r="I1133" i="21"/>
  <c r="B1134" i="21"/>
  <c r="D1134" i="21" s="1"/>
  <c r="C1134" i="21"/>
  <c r="E1134" i="21"/>
  <c r="I1134" i="21"/>
  <c r="B1135" i="21"/>
  <c r="D1135" i="21" s="1"/>
  <c r="C1135" i="21"/>
  <c r="E1135" i="21"/>
  <c r="I1135" i="21"/>
  <c r="I1094" i="21"/>
  <c r="E1094" i="21"/>
  <c r="C1094" i="21"/>
  <c r="B1094" i="21"/>
  <c r="H1094" i="21" s="1"/>
  <c r="B1043" i="21"/>
  <c r="D1043" i="21" s="1"/>
  <c r="C1043" i="21"/>
  <c r="E1043" i="21"/>
  <c r="I1043" i="21"/>
  <c r="B1044" i="21"/>
  <c r="D1044" i="21" s="1"/>
  <c r="C1044" i="21"/>
  <c r="E1044" i="21"/>
  <c r="I1044" i="21"/>
  <c r="B1045" i="21"/>
  <c r="D1045" i="21" s="1"/>
  <c r="C1045" i="21"/>
  <c r="E1045" i="21"/>
  <c r="I1045" i="21"/>
  <c r="B1046" i="21"/>
  <c r="D1046" i="21" s="1"/>
  <c r="C1046" i="21"/>
  <c r="E1046" i="21"/>
  <c r="I1046" i="21"/>
  <c r="B1047" i="21"/>
  <c r="D1047" i="21" s="1"/>
  <c r="C1047" i="21"/>
  <c r="E1047" i="21"/>
  <c r="I1047" i="21"/>
  <c r="B1048" i="21"/>
  <c r="D1048" i="21" s="1"/>
  <c r="C1048" i="21"/>
  <c r="E1048" i="21"/>
  <c r="I1048" i="21"/>
  <c r="B1049" i="21"/>
  <c r="C1049" i="21"/>
  <c r="E1049" i="21"/>
  <c r="I1049" i="21"/>
  <c r="B1050" i="21"/>
  <c r="H1050" i="21" s="1"/>
  <c r="C1050" i="21"/>
  <c r="E1050" i="21"/>
  <c r="I1050" i="21"/>
  <c r="B1051" i="21"/>
  <c r="D1051" i="21" s="1"/>
  <c r="C1051" i="21"/>
  <c r="E1051" i="21"/>
  <c r="I1051" i="21"/>
  <c r="B1052" i="21"/>
  <c r="D1052" i="21" s="1"/>
  <c r="C1052" i="21"/>
  <c r="E1052" i="21"/>
  <c r="I1052" i="21"/>
  <c r="B1053" i="21"/>
  <c r="D1053" i="21" s="1"/>
  <c r="C1053" i="21"/>
  <c r="E1053" i="21"/>
  <c r="I1053" i="21"/>
  <c r="B1054" i="21"/>
  <c r="C1054" i="21"/>
  <c r="D1054" i="21"/>
  <c r="E1054" i="21"/>
  <c r="H1054" i="21"/>
  <c r="I1054" i="21"/>
  <c r="B1055" i="21"/>
  <c r="D1055" i="21" s="1"/>
  <c r="C1055" i="21"/>
  <c r="E1055" i="21"/>
  <c r="I1055" i="21"/>
  <c r="B1056" i="21"/>
  <c r="D1056" i="21" s="1"/>
  <c r="C1056" i="21"/>
  <c r="E1056" i="21"/>
  <c r="I1056" i="21"/>
  <c r="B1057" i="21"/>
  <c r="C1057" i="21"/>
  <c r="E1057" i="21"/>
  <c r="I1057" i="21"/>
  <c r="B1058" i="21"/>
  <c r="H1058" i="21" s="1"/>
  <c r="C1058" i="21"/>
  <c r="E1058" i="21"/>
  <c r="I1058" i="21"/>
  <c r="B1059" i="21"/>
  <c r="D1059" i="21" s="1"/>
  <c r="C1059" i="21"/>
  <c r="E1059" i="21"/>
  <c r="I1059" i="21"/>
  <c r="B1060" i="21"/>
  <c r="D1060" i="21" s="1"/>
  <c r="C1060" i="21"/>
  <c r="E1060" i="21"/>
  <c r="I1060" i="21"/>
  <c r="B1061" i="21"/>
  <c r="D1061" i="21" s="1"/>
  <c r="C1061" i="21"/>
  <c r="E1061" i="21"/>
  <c r="I1061" i="21"/>
  <c r="B1062" i="21"/>
  <c r="H1062" i="21" s="1"/>
  <c r="C1062" i="21"/>
  <c r="E1062" i="21"/>
  <c r="I1062" i="21"/>
  <c r="B1063" i="21"/>
  <c r="D1063" i="21" s="1"/>
  <c r="C1063" i="21"/>
  <c r="E1063" i="21"/>
  <c r="I1063" i="21"/>
  <c r="B1064" i="21"/>
  <c r="D1064" i="21" s="1"/>
  <c r="C1064" i="21"/>
  <c r="E1064" i="21"/>
  <c r="I1064" i="21"/>
  <c r="B1065" i="21"/>
  <c r="C1065" i="21"/>
  <c r="E1065" i="21"/>
  <c r="I1065" i="21"/>
  <c r="B1066" i="21"/>
  <c r="H1066" i="21" s="1"/>
  <c r="C1066" i="21"/>
  <c r="E1066" i="21"/>
  <c r="I1066" i="21"/>
  <c r="B1067" i="21"/>
  <c r="D1067" i="21" s="1"/>
  <c r="C1067" i="21"/>
  <c r="E1067" i="21"/>
  <c r="I1067" i="21"/>
  <c r="B1068" i="21"/>
  <c r="D1068" i="21" s="1"/>
  <c r="C1068" i="21"/>
  <c r="E1068" i="21"/>
  <c r="I1068" i="21"/>
  <c r="B1069" i="21"/>
  <c r="D1069" i="21" s="1"/>
  <c r="C1069" i="21"/>
  <c r="E1069" i="21"/>
  <c r="I1069" i="21"/>
  <c r="B1070" i="21"/>
  <c r="D1070" i="21" s="1"/>
  <c r="C1070" i="21"/>
  <c r="E1070" i="21"/>
  <c r="I1070" i="21"/>
  <c r="B1071" i="21"/>
  <c r="C1071" i="21"/>
  <c r="E1071" i="21"/>
  <c r="I1071" i="21"/>
  <c r="B1072" i="21"/>
  <c r="D1072" i="21" s="1"/>
  <c r="C1072" i="21"/>
  <c r="E1072" i="21"/>
  <c r="I1072" i="21"/>
  <c r="B1073" i="21"/>
  <c r="C1073" i="21"/>
  <c r="E1073" i="21"/>
  <c r="I1073" i="21"/>
  <c r="B1074" i="21"/>
  <c r="H1074" i="21" s="1"/>
  <c r="C1074" i="21"/>
  <c r="E1074" i="21"/>
  <c r="I1074" i="21"/>
  <c r="B1075" i="21"/>
  <c r="D1075" i="21" s="1"/>
  <c r="C1075" i="21"/>
  <c r="E1075" i="21"/>
  <c r="I1075" i="21"/>
  <c r="B1076" i="21"/>
  <c r="D1076" i="21" s="1"/>
  <c r="C1076" i="21"/>
  <c r="E1076" i="21"/>
  <c r="I1076" i="21"/>
  <c r="B1077" i="21"/>
  <c r="H1077" i="21" s="1"/>
  <c r="C1077" i="21"/>
  <c r="E1077" i="21"/>
  <c r="I1077" i="21"/>
  <c r="B1078" i="21"/>
  <c r="D1078" i="21" s="1"/>
  <c r="C1078" i="21"/>
  <c r="E1078" i="21"/>
  <c r="I1078" i="21"/>
  <c r="B1079" i="21"/>
  <c r="C1079" i="21"/>
  <c r="E1079" i="21"/>
  <c r="I1079" i="21"/>
  <c r="B1080" i="21"/>
  <c r="D1080" i="21" s="1"/>
  <c r="C1080" i="21"/>
  <c r="E1080" i="21"/>
  <c r="I1080" i="21"/>
  <c r="B1081" i="21"/>
  <c r="C1081" i="21"/>
  <c r="E1081" i="21"/>
  <c r="I1081" i="21"/>
  <c r="B1082" i="21"/>
  <c r="H1082" i="21" s="1"/>
  <c r="C1082" i="21"/>
  <c r="E1082" i="21"/>
  <c r="I1082" i="21"/>
  <c r="B1083" i="21"/>
  <c r="D1083" i="21" s="1"/>
  <c r="C1083" i="21"/>
  <c r="E1083" i="21"/>
  <c r="I1083" i="21"/>
  <c r="B1084" i="21"/>
  <c r="D1084" i="21" s="1"/>
  <c r="C1084" i="21"/>
  <c r="E1084" i="21"/>
  <c r="I1084" i="21"/>
  <c r="B1085" i="21"/>
  <c r="H1085" i="21" s="1"/>
  <c r="C1085" i="21"/>
  <c r="E1085" i="21"/>
  <c r="I1085" i="21"/>
  <c r="B1086" i="21"/>
  <c r="H1086" i="21" s="1"/>
  <c r="C1086" i="21"/>
  <c r="E1086" i="21"/>
  <c r="I1086" i="21"/>
  <c r="B1087" i="21"/>
  <c r="C1087" i="21"/>
  <c r="E1087" i="21"/>
  <c r="I1087" i="21"/>
  <c r="B1088" i="21"/>
  <c r="D1088" i="21" s="1"/>
  <c r="C1088" i="21"/>
  <c r="E1088" i="21"/>
  <c r="I1088" i="21"/>
  <c r="B1089" i="21"/>
  <c r="C1089" i="21"/>
  <c r="E1089" i="21"/>
  <c r="I1089" i="21"/>
  <c r="B1090" i="21"/>
  <c r="H1090" i="21" s="1"/>
  <c r="C1090" i="21"/>
  <c r="E1090" i="21"/>
  <c r="I1090" i="21"/>
  <c r="B1091" i="21"/>
  <c r="D1091" i="21" s="1"/>
  <c r="C1091" i="21"/>
  <c r="E1091" i="21"/>
  <c r="I1091" i="21"/>
  <c r="B1092" i="21"/>
  <c r="D1092" i="21" s="1"/>
  <c r="C1092" i="21"/>
  <c r="E1092" i="21"/>
  <c r="I1092" i="21"/>
  <c r="B1093" i="21"/>
  <c r="H1093" i="21" s="1"/>
  <c r="C1093" i="21"/>
  <c r="E1093" i="21"/>
  <c r="I1093" i="21"/>
  <c r="I1042" i="21"/>
  <c r="E1042" i="21"/>
  <c r="B1042" i="21"/>
  <c r="D1042" i="21" s="1"/>
  <c r="C1042" i="21"/>
  <c r="B991" i="21"/>
  <c r="C991" i="21"/>
  <c r="E991" i="21"/>
  <c r="I991" i="21"/>
  <c r="B992" i="21"/>
  <c r="D992" i="21" s="1"/>
  <c r="C992" i="21"/>
  <c r="E992" i="21"/>
  <c r="I992" i="21"/>
  <c r="B993" i="21"/>
  <c r="H993" i="21" s="1"/>
  <c r="C993" i="21"/>
  <c r="E993" i="21"/>
  <c r="I993" i="21"/>
  <c r="B994" i="21"/>
  <c r="H994" i="21" s="1"/>
  <c r="C994" i="21"/>
  <c r="E994" i="21"/>
  <c r="I994" i="21"/>
  <c r="B995" i="21"/>
  <c r="D995" i="21" s="1"/>
  <c r="C995" i="21"/>
  <c r="E995" i="21"/>
  <c r="I995" i="21"/>
  <c r="B996" i="21"/>
  <c r="D996" i="21" s="1"/>
  <c r="C996" i="21"/>
  <c r="E996" i="21"/>
  <c r="I996" i="21"/>
  <c r="B997" i="21"/>
  <c r="H997" i="21" s="1"/>
  <c r="C997" i="21"/>
  <c r="E997" i="21"/>
  <c r="I997" i="21"/>
  <c r="B998" i="21"/>
  <c r="H998" i="21" s="1"/>
  <c r="C998" i="21"/>
  <c r="D998" i="21"/>
  <c r="E998" i="21"/>
  <c r="I998" i="21"/>
  <c r="B999" i="21"/>
  <c r="D999" i="21" s="1"/>
  <c r="C999" i="21"/>
  <c r="E999" i="21"/>
  <c r="I999" i="21"/>
  <c r="B1000" i="21"/>
  <c r="D1000" i="21" s="1"/>
  <c r="C1000" i="21"/>
  <c r="E1000" i="21"/>
  <c r="I1000" i="21"/>
  <c r="B1001" i="21"/>
  <c r="H1001" i="21" s="1"/>
  <c r="C1001" i="21"/>
  <c r="E1001" i="21"/>
  <c r="I1001" i="21"/>
  <c r="B1002" i="21"/>
  <c r="C1002" i="21"/>
  <c r="E1002" i="21"/>
  <c r="I1002" i="21"/>
  <c r="B1003" i="21"/>
  <c r="H1003" i="21" s="1"/>
  <c r="C1003" i="21"/>
  <c r="E1003" i="21"/>
  <c r="I1003" i="21"/>
  <c r="B1004" i="21"/>
  <c r="D1004" i="21" s="1"/>
  <c r="C1004" i="21"/>
  <c r="E1004" i="21"/>
  <c r="I1004" i="21"/>
  <c r="B1005" i="21"/>
  <c r="C1005" i="21"/>
  <c r="E1005" i="21"/>
  <c r="I1005" i="21"/>
  <c r="B1006" i="21"/>
  <c r="H1006" i="21" s="1"/>
  <c r="C1006" i="21"/>
  <c r="E1006" i="21"/>
  <c r="I1006" i="21"/>
  <c r="B1007" i="21"/>
  <c r="D1007" i="21" s="1"/>
  <c r="C1007" i="21"/>
  <c r="E1007" i="21"/>
  <c r="I1007" i="21"/>
  <c r="B1008" i="21"/>
  <c r="D1008" i="21" s="1"/>
  <c r="C1008" i="21"/>
  <c r="E1008" i="21"/>
  <c r="I1008" i="21"/>
  <c r="B1009" i="21"/>
  <c r="H1009" i="21" s="1"/>
  <c r="C1009" i="21"/>
  <c r="E1009" i="21"/>
  <c r="I1009" i="21"/>
  <c r="B1010" i="21"/>
  <c r="D1010" i="21" s="1"/>
  <c r="C1010" i="21"/>
  <c r="E1010" i="21"/>
  <c r="H1010" i="21"/>
  <c r="I1010" i="21"/>
  <c r="B1011" i="21"/>
  <c r="D1011" i="21" s="1"/>
  <c r="C1011" i="21"/>
  <c r="E1011" i="21"/>
  <c r="I1011" i="21"/>
  <c r="B1012" i="21"/>
  <c r="D1012" i="21" s="1"/>
  <c r="C1012" i="21"/>
  <c r="E1012" i="21"/>
  <c r="I1012" i="21"/>
  <c r="B1013" i="21"/>
  <c r="H1013" i="21" s="1"/>
  <c r="C1013" i="21"/>
  <c r="E1013" i="21"/>
  <c r="I1013" i="21"/>
  <c r="B1014" i="21"/>
  <c r="D1014" i="21" s="1"/>
  <c r="C1014" i="21"/>
  <c r="E1014" i="21"/>
  <c r="I1014" i="21"/>
  <c r="B1015" i="21"/>
  <c r="H1015" i="21" s="1"/>
  <c r="C1015" i="21"/>
  <c r="E1015" i="21"/>
  <c r="I1015" i="21"/>
  <c r="B1016" i="21"/>
  <c r="D1016" i="21" s="1"/>
  <c r="C1016" i="21"/>
  <c r="E1016" i="21"/>
  <c r="I1016" i="21"/>
  <c r="B1017" i="21"/>
  <c r="C1017" i="21"/>
  <c r="E1017" i="21"/>
  <c r="I1017" i="21"/>
  <c r="B1018" i="21"/>
  <c r="D1018" i="21" s="1"/>
  <c r="C1018" i="21"/>
  <c r="E1018" i="21"/>
  <c r="I1018" i="21"/>
  <c r="B1019" i="21"/>
  <c r="D1019" i="21" s="1"/>
  <c r="C1019" i="21"/>
  <c r="E1019" i="21"/>
  <c r="I1019" i="21"/>
  <c r="B1020" i="21"/>
  <c r="D1020" i="21" s="1"/>
  <c r="C1020" i="21"/>
  <c r="E1020" i="21"/>
  <c r="I1020" i="21"/>
  <c r="B1021" i="21"/>
  <c r="C1021" i="21"/>
  <c r="E1021" i="21"/>
  <c r="I1021" i="21"/>
  <c r="B1022" i="21"/>
  <c r="H1022" i="21" s="1"/>
  <c r="C1022" i="21"/>
  <c r="E1022" i="21"/>
  <c r="I1022" i="21"/>
  <c r="B1023" i="21"/>
  <c r="D1023" i="21" s="1"/>
  <c r="C1023" i="21"/>
  <c r="E1023" i="21"/>
  <c r="I1023" i="21"/>
  <c r="B1024" i="21"/>
  <c r="D1024" i="21" s="1"/>
  <c r="C1024" i="21"/>
  <c r="E1024" i="21"/>
  <c r="I1024" i="21"/>
  <c r="B1025" i="21"/>
  <c r="C1025" i="21"/>
  <c r="E1025" i="21"/>
  <c r="I1025" i="21"/>
  <c r="B1026" i="21"/>
  <c r="H1026" i="21" s="1"/>
  <c r="C1026" i="21"/>
  <c r="D1026" i="21"/>
  <c r="E1026" i="21"/>
  <c r="I1026" i="21"/>
  <c r="B1027" i="21"/>
  <c r="D1027" i="21" s="1"/>
  <c r="C1027" i="21"/>
  <c r="E1027" i="21"/>
  <c r="I1027" i="21"/>
  <c r="B1028" i="21"/>
  <c r="D1028" i="21" s="1"/>
  <c r="C1028" i="21"/>
  <c r="E1028" i="21"/>
  <c r="I1028" i="21"/>
  <c r="B1029" i="21"/>
  <c r="H1029" i="21" s="1"/>
  <c r="C1029" i="21"/>
  <c r="E1029" i="21"/>
  <c r="I1029" i="21"/>
  <c r="B1030" i="21"/>
  <c r="D1030" i="21" s="1"/>
  <c r="C1030" i="21"/>
  <c r="E1030" i="21"/>
  <c r="I1030" i="21"/>
  <c r="B1031" i="21"/>
  <c r="D1031" i="21" s="1"/>
  <c r="C1031" i="21"/>
  <c r="E1031" i="21"/>
  <c r="H1031" i="21"/>
  <c r="I1031" i="21"/>
  <c r="B1032" i="21"/>
  <c r="D1032" i="21" s="1"/>
  <c r="C1032" i="21"/>
  <c r="E1032" i="21"/>
  <c r="I1032" i="21"/>
  <c r="B1033" i="21"/>
  <c r="H1033" i="21" s="1"/>
  <c r="C1033" i="21"/>
  <c r="E1033" i="21"/>
  <c r="I1033" i="21"/>
  <c r="B1034" i="21"/>
  <c r="D1034" i="21" s="1"/>
  <c r="C1034" i="21"/>
  <c r="E1034" i="21"/>
  <c r="I1034" i="21"/>
  <c r="B1035" i="21"/>
  <c r="C1035" i="21"/>
  <c r="E1035" i="21"/>
  <c r="I1035" i="21"/>
  <c r="B1036" i="21"/>
  <c r="D1036" i="21" s="1"/>
  <c r="C1036" i="21"/>
  <c r="E1036" i="21"/>
  <c r="I1036" i="21"/>
  <c r="B1037" i="21"/>
  <c r="C1037" i="21"/>
  <c r="E1037" i="21"/>
  <c r="I1037" i="21"/>
  <c r="B1038" i="21"/>
  <c r="H1038" i="21" s="1"/>
  <c r="C1038" i="21"/>
  <c r="E1038" i="21"/>
  <c r="I1038" i="21"/>
  <c r="B1039" i="21"/>
  <c r="H1039" i="21" s="1"/>
  <c r="C1039" i="21"/>
  <c r="E1039" i="21"/>
  <c r="I1039" i="21"/>
  <c r="B1040" i="21"/>
  <c r="D1040" i="21" s="1"/>
  <c r="C1040" i="21"/>
  <c r="E1040" i="21"/>
  <c r="I1040" i="21"/>
  <c r="B1041" i="21"/>
  <c r="H1041" i="21" s="1"/>
  <c r="C1041" i="21"/>
  <c r="E1041" i="21"/>
  <c r="I1041" i="21"/>
  <c r="I990" i="21"/>
  <c r="E990" i="21"/>
  <c r="B990" i="21"/>
  <c r="H990" i="21" s="1"/>
  <c r="B989" i="21"/>
  <c r="H989" i="21" s="1"/>
  <c r="C989" i="21"/>
  <c r="E989" i="21"/>
  <c r="I989" i="21"/>
  <c r="C990" i="21"/>
  <c r="B939" i="21"/>
  <c r="D939" i="21" s="1"/>
  <c r="C939" i="21"/>
  <c r="E939" i="21"/>
  <c r="I939" i="21"/>
  <c r="B940" i="21"/>
  <c r="D940" i="21" s="1"/>
  <c r="C940" i="21"/>
  <c r="E940" i="21"/>
  <c r="I940" i="21"/>
  <c r="B941" i="21"/>
  <c r="H941" i="21" s="1"/>
  <c r="C941" i="21"/>
  <c r="E941" i="21"/>
  <c r="I941" i="21"/>
  <c r="B942" i="21"/>
  <c r="C942" i="21"/>
  <c r="E942" i="21"/>
  <c r="I942" i="21"/>
  <c r="B943" i="21"/>
  <c r="D943" i="21" s="1"/>
  <c r="C943" i="21"/>
  <c r="E943" i="21"/>
  <c r="I943" i="21"/>
  <c r="B944" i="21"/>
  <c r="D944" i="21" s="1"/>
  <c r="C944" i="21"/>
  <c r="E944" i="21"/>
  <c r="I944" i="21"/>
  <c r="B945" i="21"/>
  <c r="C945" i="21"/>
  <c r="E945" i="21"/>
  <c r="I945" i="21"/>
  <c r="B946" i="21"/>
  <c r="C946" i="21"/>
  <c r="E946" i="21"/>
  <c r="I946" i="21"/>
  <c r="B947" i="21"/>
  <c r="D947" i="21" s="1"/>
  <c r="C947" i="21"/>
  <c r="E947" i="21"/>
  <c r="I947" i="21"/>
  <c r="B948" i="21"/>
  <c r="D948" i="21" s="1"/>
  <c r="C948" i="21"/>
  <c r="E948" i="21"/>
  <c r="I948" i="21"/>
  <c r="B949" i="21"/>
  <c r="H949" i="21" s="1"/>
  <c r="C949" i="21"/>
  <c r="E949" i="21"/>
  <c r="I949" i="21"/>
  <c r="B950" i="21"/>
  <c r="C950" i="21"/>
  <c r="E950" i="21"/>
  <c r="I950" i="21"/>
  <c r="B951" i="21"/>
  <c r="D951" i="21" s="1"/>
  <c r="C951" i="21"/>
  <c r="E951" i="21"/>
  <c r="I951" i="21"/>
  <c r="B952" i="21"/>
  <c r="D952" i="21" s="1"/>
  <c r="C952" i="21"/>
  <c r="E952" i="21"/>
  <c r="I952" i="21"/>
  <c r="B953" i="21"/>
  <c r="H953" i="21" s="1"/>
  <c r="C953" i="21"/>
  <c r="E953" i="21"/>
  <c r="I953" i="21"/>
  <c r="B954" i="21"/>
  <c r="C954" i="21"/>
  <c r="E954" i="21"/>
  <c r="I954" i="21"/>
  <c r="B955" i="21"/>
  <c r="D955" i="21" s="1"/>
  <c r="C955" i="21"/>
  <c r="E955" i="21"/>
  <c r="I955" i="21"/>
  <c r="B956" i="21"/>
  <c r="D956" i="21" s="1"/>
  <c r="C956" i="21"/>
  <c r="E956" i="21"/>
  <c r="I956" i="21"/>
  <c r="B957" i="21"/>
  <c r="H957" i="21" s="1"/>
  <c r="C957" i="21"/>
  <c r="E957" i="21"/>
  <c r="I957" i="21"/>
  <c r="B958" i="21"/>
  <c r="C958" i="21"/>
  <c r="E958" i="21"/>
  <c r="I958" i="21"/>
  <c r="B959" i="21"/>
  <c r="D959" i="21" s="1"/>
  <c r="C959" i="21"/>
  <c r="E959" i="21"/>
  <c r="I959" i="21"/>
  <c r="B960" i="21"/>
  <c r="D960" i="21" s="1"/>
  <c r="C960" i="21"/>
  <c r="E960" i="21"/>
  <c r="I960" i="21"/>
  <c r="B961" i="21"/>
  <c r="H961" i="21" s="1"/>
  <c r="C961" i="21"/>
  <c r="E961" i="21"/>
  <c r="I961" i="21"/>
  <c r="B962" i="21"/>
  <c r="C962" i="21"/>
  <c r="E962" i="21"/>
  <c r="I962" i="21"/>
  <c r="B963" i="21"/>
  <c r="D963" i="21" s="1"/>
  <c r="C963" i="21"/>
  <c r="E963" i="21"/>
  <c r="I963" i="21"/>
  <c r="B964" i="21"/>
  <c r="D964" i="21" s="1"/>
  <c r="C964" i="21"/>
  <c r="E964" i="21"/>
  <c r="I964" i="21"/>
  <c r="B965" i="21"/>
  <c r="H965" i="21" s="1"/>
  <c r="C965" i="21"/>
  <c r="D965" i="21"/>
  <c r="E965" i="21"/>
  <c r="I965" i="21"/>
  <c r="B966" i="21"/>
  <c r="C966" i="21"/>
  <c r="E966" i="21"/>
  <c r="I966" i="21"/>
  <c r="B967" i="21"/>
  <c r="D967" i="21" s="1"/>
  <c r="C967" i="21"/>
  <c r="E967" i="21"/>
  <c r="I967" i="21"/>
  <c r="B968" i="21"/>
  <c r="D968" i="21" s="1"/>
  <c r="C968" i="21"/>
  <c r="E968" i="21"/>
  <c r="I968" i="21"/>
  <c r="B969" i="21"/>
  <c r="H969" i="21" s="1"/>
  <c r="C969" i="21"/>
  <c r="E969" i="21"/>
  <c r="I969" i="21"/>
  <c r="B970" i="21"/>
  <c r="C970" i="21"/>
  <c r="E970" i="21"/>
  <c r="I970" i="21"/>
  <c r="B971" i="21"/>
  <c r="H971" i="21" s="1"/>
  <c r="C971" i="21"/>
  <c r="E971" i="21"/>
  <c r="I971" i="21"/>
  <c r="B972" i="21"/>
  <c r="D972" i="21" s="1"/>
  <c r="C972" i="21"/>
  <c r="E972" i="21"/>
  <c r="I972" i="21"/>
  <c r="B973" i="21"/>
  <c r="H973" i="21" s="1"/>
  <c r="C973" i="21"/>
  <c r="E973" i="21"/>
  <c r="I973" i="21"/>
  <c r="B974" i="21"/>
  <c r="D974" i="21" s="1"/>
  <c r="C974" i="21"/>
  <c r="E974" i="21"/>
  <c r="I974" i="21"/>
  <c r="B975" i="21"/>
  <c r="D975" i="21" s="1"/>
  <c r="C975" i="21"/>
  <c r="E975" i="21"/>
  <c r="I975" i="21"/>
  <c r="B976" i="21"/>
  <c r="D976" i="21" s="1"/>
  <c r="C976" i="21"/>
  <c r="E976" i="21"/>
  <c r="I976" i="21"/>
  <c r="B977" i="21"/>
  <c r="H977" i="21" s="1"/>
  <c r="C977" i="21"/>
  <c r="E977" i="21"/>
  <c r="I977" i="21"/>
  <c r="B978" i="21"/>
  <c r="C978" i="21"/>
  <c r="E978" i="21"/>
  <c r="I978" i="21"/>
  <c r="B979" i="21"/>
  <c r="D979" i="21" s="1"/>
  <c r="C979" i="21"/>
  <c r="E979" i="21"/>
  <c r="I979" i="21"/>
  <c r="B980" i="21"/>
  <c r="D980" i="21" s="1"/>
  <c r="C980" i="21"/>
  <c r="E980" i="21"/>
  <c r="I980" i="21"/>
  <c r="B981" i="21"/>
  <c r="H981" i="21" s="1"/>
  <c r="C981" i="21"/>
  <c r="E981" i="21"/>
  <c r="I981" i="21"/>
  <c r="B982" i="21"/>
  <c r="D982" i="21" s="1"/>
  <c r="C982" i="21"/>
  <c r="E982" i="21"/>
  <c r="I982" i="21"/>
  <c r="B983" i="21"/>
  <c r="D983" i="21" s="1"/>
  <c r="C983" i="21"/>
  <c r="E983" i="21"/>
  <c r="I983" i="21"/>
  <c r="B984" i="21"/>
  <c r="D984" i="21" s="1"/>
  <c r="C984" i="21"/>
  <c r="E984" i="21"/>
  <c r="I984" i="21"/>
  <c r="B985" i="21"/>
  <c r="H985" i="21" s="1"/>
  <c r="C985" i="21"/>
  <c r="E985" i="21"/>
  <c r="I985" i="21"/>
  <c r="B986" i="21"/>
  <c r="C986" i="21"/>
  <c r="E986" i="21"/>
  <c r="I986" i="21"/>
  <c r="B987" i="21"/>
  <c r="D987" i="21" s="1"/>
  <c r="C987" i="21"/>
  <c r="E987" i="21"/>
  <c r="I987" i="21"/>
  <c r="B988" i="21"/>
  <c r="D988" i="21" s="1"/>
  <c r="C988" i="21"/>
  <c r="E988" i="21"/>
  <c r="I988" i="21"/>
  <c r="I938" i="21"/>
  <c r="E938" i="21"/>
  <c r="C938" i="21"/>
  <c r="B938" i="21"/>
  <c r="D938" i="21" s="1"/>
  <c r="B937" i="21"/>
  <c r="D937" i="21" s="1"/>
  <c r="C937" i="21"/>
  <c r="E937" i="21"/>
  <c r="I937" i="21"/>
  <c r="B930" i="21"/>
  <c r="D930" i="21" s="1"/>
  <c r="C930" i="21"/>
  <c r="E930" i="21"/>
  <c r="I930" i="21"/>
  <c r="B931" i="21"/>
  <c r="H931" i="21" s="1"/>
  <c r="C931" i="21"/>
  <c r="E931" i="21"/>
  <c r="I931" i="21"/>
  <c r="B932" i="21"/>
  <c r="D932" i="21" s="1"/>
  <c r="C932" i="21"/>
  <c r="E932" i="21"/>
  <c r="I932" i="21"/>
  <c r="B933" i="21"/>
  <c r="H933" i="21" s="1"/>
  <c r="C933" i="21"/>
  <c r="E933" i="21"/>
  <c r="I933" i="21"/>
  <c r="B934" i="21"/>
  <c r="D934" i="21" s="1"/>
  <c r="C934" i="21"/>
  <c r="E934" i="21"/>
  <c r="I934" i="21"/>
  <c r="B935" i="21"/>
  <c r="C935" i="21"/>
  <c r="E935" i="21"/>
  <c r="I935" i="21"/>
  <c r="B936" i="21"/>
  <c r="D936" i="21" s="1"/>
  <c r="C936" i="21"/>
  <c r="E936" i="21"/>
  <c r="I936" i="21"/>
  <c r="B887" i="21"/>
  <c r="D887" i="21" s="1"/>
  <c r="C887" i="21"/>
  <c r="E887" i="21"/>
  <c r="I887" i="21"/>
  <c r="B888" i="21"/>
  <c r="H888" i="21" s="1"/>
  <c r="C888" i="21"/>
  <c r="D888" i="21"/>
  <c r="E888" i="21"/>
  <c r="I888" i="21"/>
  <c r="B889" i="21"/>
  <c r="D889" i="21" s="1"/>
  <c r="C889" i="21"/>
  <c r="E889" i="21"/>
  <c r="I889" i="21"/>
  <c r="B890" i="21"/>
  <c r="D890" i="21" s="1"/>
  <c r="C890" i="21"/>
  <c r="E890" i="21"/>
  <c r="I890" i="21"/>
  <c r="B891" i="21"/>
  <c r="C891" i="21"/>
  <c r="E891" i="21"/>
  <c r="I891" i="21"/>
  <c r="B892" i="21"/>
  <c r="H892" i="21" s="1"/>
  <c r="C892" i="21"/>
  <c r="E892" i="21"/>
  <c r="I892" i="21"/>
  <c r="B893" i="21"/>
  <c r="C893" i="21"/>
  <c r="E893" i="21"/>
  <c r="I893" i="21"/>
  <c r="B894" i="21"/>
  <c r="H894" i="21" s="1"/>
  <c r="C894" i="21"/>
  <c r="E894" i="21"/>
  <c r="I894" i="21"/>
  <c r="B895" i="21"/>
  <c r="D895" i="21" s="1"/>
  <c r="C895" i="21"/>
  <c r="E895" i="21"/>
  <c r="I895" i="21"/>
  <c r="B896" i="21"/>
  <c r="C896" i="21"/>
  <c r="E896" i="21"/>
  <c r="I896" i="21"/>
  <c r="B897" i="21"/>
  <c r="D897" i="21" s="1"/>
  <c r="C897" i="21"/>
  <c r="E897" i="21"/>
  <c r="I897" i="21"/>
  <c r="B898" i="21"/>
  <c r="H898" i="21" s="1"/>
  <c r="C898" i="21"/>
  <c r="D898" i="21"/>
  <c r="E898" i="21"/>
  <c r="I898" i="21"/>
  <c r="B899" i="21"/>
  <c r="D899" i="21" s="1"/>
  <c r="C899" i="21"/>
  <c r="E899" i="21"/>
  <c r="I899" i="21"/>
  <c r="B900" i="21"/>
  <c r="H900" i="21" s="1"/>
  <c r="C900" i="21"/>
  <c r="E900" i="21"/>
  <c r="I900" i="21"/>
  <c r="B901" i="21"/>
  <c r="D901" i="21" s="1"/>
  <c r="C901" i="21"/>
  <c r="E901" i="21"/>
  <c r="I901" i="21"/>
  <c r="B902" i="21"/>
  <c r="D902" i="21" s="1"/>
  <c r="C902" i="21"/>
  <c r="E902" i="21"/>
  <c r="I902" i="21"/>
  <c r="B903" i="21"/>
  <c r="D903" i="21" s="1"/>
  <c r="C903" i="21"/>
  <c r="E903" i="21"/>
  <c r="I903" i="21"/>
  <c r="B904" i="21"/>
  <c r="H904" i="21" s="1"/>
  <c r="C904" i="21"/>
  <c r="E904" i="21"/>
  <c r="I904" i="21"/>
  <c r="B905" i="21"/>
  <c r="C905" i="21"/>
  <c r="E905" i="21"/>
  <c r="I905" i="21"/>
  <c r="B906" i="21"/>
  <c r="D906" i="21" s="1"/>
  <c r="C906" i="21"/>
  <c r="E906" i="21"/>
  <c r="I906" i="21"/>
  <c r="B907" i="21"/>
  <c r="D907" i="21" s="1"/>
  <c r="C907" i="21"/>
  <c r="E907" i="21"/>
  <c r="I907" i="21"/>
  <c r="B908" i="21"/>
  <c r="H908" i="21" s="1"/>
  <c r="C908" i="21"/>
  <c r="E908" i="21"/>
  <c r="I908" i="21"/>
  <c r="B909" i="21"/>
  <c r="H909" i="21" s="1"/>
  <c r="C909" i="21"/>
  <c r="E909" i="21"/>
  <c r="I909" i="21"/>
  <c r="B910" i="21"/>
  <c r="C910" i="21"/>
  <c r="E910" i="21"/>
  <c r="I910" i="21"/>
  <c r="B911" i="21"/>
  <c r="D911" i="21" s="1"/>
  <c r="C911" i="21"/>
  <c r="E911" i="21"/>
  <c r="I911" i="21"/>
  <c r="B912" i="21"/>
  <c r="H912" i="21" s="1"/>
  <c r="C912" i="21"/>
  <c r="D912" i="21"/>
  <c r="E912" i="21"/>
  <c r="I912" i="21"/>
  <c r="B913" i="21"/>
  <c r="D913" i="21" s="1"/>
  <c r="C913" i="21"/>
  <c r="E913" i="21"/>
  <c r="I913" i="21"/>
  <c r="B914" i="21"/>
  <c r="H914" i="21" s="1"/>
  <c r="C914" i="21"/>
  <c r="E914" i="21"/>
  <c r="I914" i="21"/>
  <c r="B915" i="21"/>
  <c r="D915" i="21" s="1"/>
  <c r="C915" i="21"/>
  <c r="E915" i="21"/>
  <c r="I915" i="21"/>
  <c r="B916" i="21"/>
  <c r="C916" i="21"/>
  <c r="E916" i="21"/>
  <c r="I916" i="21"/>
  <c r="B917" i="21"/>
  <c r="H917" i="21" s="1"/>
  <c r="C917" i="21"/>
  <c r="E917" i="21"/>
  <c r="I917" i="21"/>
  <c r="B918" i="21"/>
  <c r="H918" i="21" s="1"/>
  <c r="C918" i="21"/>
  <c r="E918" i="21"/>
  <c r="I918" i="21"/>
  <c r="B919" i="21"/>
  <c r="D919" i="21" s="1"/>
  <c r="C919" i="21"/>
  <c r="E919" i="21"/>
  <c r="I919" i="21"/>
  <c r="B920" i="21"/>
  <c r="H920" i="21" s="1"/>
  <c r="C920" i="21"/>
  <c r="E920" i="21"/>
  <c r="I920" i="21"/>
  <c r="B921" i="21"/>
  <c r="C921" i="21"/>
  <c r="E921" i="21"/>
  <c r="I921" i="21"/>
  <c r="B922" i="21"/>
  <c r="D922" i="21" s="1"/>
  <c r="C922" i="21"/>
  <c r="E922" i="21"/>
  <c r="I922" i="21"/>
  <c r="B923" i="21"/>
  <c r="D923" i="21" s="1"/>
  <c r="C923" i="21"/>
  <c r="E923" i="21"/>
  <c r="I923" i="21"/>
  <c r="B924" i="21"/>
  <c r="C924" i="21"/>
  <c r="E924" i="21"/>
  <c r="I924" i="21"/>
  <c r="B925" i="21"/>
  <c r="D925" i="21" s="1"/>
  <c r="C925" i="21"/>
  <c r="E925" i="21"/>
  <c r="I925" i="21"/>
  <c r="B926" i="21"/>
  <c r="C926" i="21"/>
  <c r="E926" i="21"/>
  <c r="I926" i="21"/>
  <c r="B927" i="21"/>
  <c r="D927" i="21" s="1"/>
  <c r="C927" i="21"/>
  <c r="E927" i="21"/>
  <c r="I927" i="21"/>
  <c r="B928" i="21"/>
  <c r="C928" i="21"/>
  <c r="E928" i="21"/>
  <c r="I928" i="21"/>
  <c r="B929" i="21"/>
  <c r="D929" i="21" s="1"/>
  <c r="C929" i="21"/>
  <c r="E929" i="21"/>
  <c r="I929" i="21"/>
  <c r="I886" i="21"/>
  <c r="E886" i="21"/>
  <c r="B886" i="21"/>
  <c r="H886" i="21" s="1"/>
  <c r="B835" i="21"/>
  <c r="D835" i="21" s="1"/>
  <c r="C835" i="21"/>
  <c r="E835" i="21"/>
  <c r="I835" i="21"/>
  <c r="B836" i="21"/>
  <c r="D836" i="21" s="1"/>
  <c r="C836" i="21"/>
  <c r="E836" i="21"/>
  <c r="I836" i="21"/>
  <c r="B837" i="21"/>
  <c r="H837" i="21" s="1"/>
  <c r="C837" i="21"/>
  <c r="E837" i="21"/>
  <c r="I837" i="21"/>
  <c r="B838" i="21"/>
  <c r="H838" i="21" s="1"/>
  <c r="C838" i="21"/>
  <c r="E838" i="21"/>
  <c r="I838" i="21"/>
  <c r="B839" i="21"/>
  <c r="D839" i="21" s="1"/>
  <c r="C839" i="21"/>
  <c r="E839" i="21"/>
  <c r="I839" i="21"/>
  <c r="B840" i="21"/>
  <c r="D840" i="21" s="1"/>
  <c r="C840" i="21"/>
  <c r="E840" i="21"/>
  <c r="I840" i="21"/>
  <c r="B841" i="21"/>
  <c r="H841" i="21" s="1"/>
  <c r="C841" i="21"/>
  <c r="E841" i="21"/>
  <c r="I841" i="21"/>
  <c r="B842" i="21"/>
  <c r="H842" i="21" s="1"/>
  <c r="C842" i="21"/>
  <c r="E842" i="21"/>
  <c r="I842" i="21"/>
  <c r="B843" i="21"/>
  <c r="D843" i="21" s="1"/>
  <c r="C843" i="21"/>
  <c r="E843" i="21"/>
  <c r="I843" i="21"/>
  <c r="B844" i="21"/>
  <c r="D844" i="21" s="1"/>
  <c r="C844" i="21"/>
  <c r="E844" i="21"/>
  <c r="I844" i="21"/>
  <c r="B845" i="21"/>
  <c r="H845" i="21" s="1"/>
  <c r="C845" i="21"/>
  <c r="E845" i="21"/>
  <c r="I845" i="21"/>
  <c r="B846" i="21"/>
  <c r="D846" i="21" s="1"/>
  <c r="C846" i="21"/>
  <c r="E846" i="21"/>
  <c r="I846" i="21"/>
  <c r="B847" i="21"/>
  <c r="C847" i="21"/>
  <c r="E847" i="21"/>
  <c r="I847" i="21"/>
  <c r="B848" i="21"/>
  <c r="D848" i="21" s="1"/>
  <c r="C848" i="21"/>
  <c r="E848" i="21"/>
  <c r="I848" i="21"/>
  <c r="B849" i="21"/>
  <c r="H849" i="21" s="1"/>
  <c r="C849" i="21"/>
  <c r="E849" i="21"/>
  <c r="I849" i="21"/>
  <c r="B850" i="21"/>
  <c r="H850" i="21" s="1"/>
  <c r="C850" i="21"/>
  <c r="D850" i="21"/>
  <c r="E850" i="21"/>
  <c r="I850" i="21"/>
  <c r="B851" i="21"/>
  <c r="D851" i="21" s="1"/>
  <c r="C851" i="21"/>
  <c r="E851" i="21"/>
  <c r="I851" i="21"/>
  <c r="B852" i="21"/>
  <c r="D852" i="21" s="1"/>
  <c r="C852" i="21"/>
  <c r="E852" i="21"/>
  <c r="I852" i="21"/>
  <c r="B853" i="21"/>
  <c r="H853" i="21" s="1"/>
  <c r="C853" i="21"/>
  <c r="E853" i="21"/>
  <c r="I853" i="21"/>
  <c r="B854" i="21"/>
  <c r="C854" i="21"/>
  <c r="E854" i="21"/>
  <c r="I854" i="21"/>
  <c r="B855" i="21"/>
  <c r="D855" i="21" s="1"/>
  <c r="C855" i="21"/>
  <c r="E855" i="21"/>
  <c r="I855" i="21"/>
  <c r="B856" i="21"/>
  <c r="D856" i="21" s="1"/>
  <c r="C856" i="21"/>
  <c r="E856" i="21"/>
  <c r="I856" i="21"/>
  <c r="B857" i="21"/>
  <c r="H857" i="21" s="1"/>
  <c r="C857" i="21"/>
  <c r="E857" i="21"/>
  <c r="I857" i="21"/>
  <c r="B858" i="21"/>
  <c r="D858" i="21" s="1"/>
  <c r="C858" i="21"/>
  <c r="E858" i="21"/>
  <c r="I858" i="21"/>
  <c r="B859" i="21"/>
  <c r="C859" i="21"/>
  <c r="E859" i="21"/>
  <c r="I859" i="21"/>
  <c r="B860" i="21"/>
  <c r="D860" i="21" s="1"/>
  <c r="C860" i="21"/>
  <c r="E860" i="21"/>
  <c r="I860" i="21"/>
  <c r="B861" i="21"/>
  <c r="H861" i="21" s="1"/>
  <c r="C861" i="21"/>
  <c r="E861" i="21"/>
  <c r="I861" i="21"/>
  <c r="B862" i="21"/>
  <c r="C862" i="21"/>
  <c r="E862" i="21"/>
  <c r="I862" i="21"/>
  <c r="B863" i="21"/>
  <c r="D863" i="21" s="1"/>
  <c r="C863" i="21"/>
  <c r="E863" i="21"/>
  <c r="I863" i="21"/>
  <c r="B864" i="21"/>
  <c r="D864" i="21" s="1"/>
  <c r="C864" i="21"/>
  <c r="E864" i="21"/>
  <c r="I864" i="21"/>
  <c r="B865" i="21"/>
  <c r="H865" i="21" s="1"/>
  <c r="C865" i="21"/>
  <c r="E865" i="21"/>
  <c r="I865" i="21"/>
  <c r="B866" i="21"/>
  <c r="H866" i="21" s="1"/>
  <c r="C866" i="21"/>
  <c r="E866" i="21"/>
  <c r="I866" i="21"/>
  <c r="B867" i="21"/>
  <c r="H867" i="21" s="1"/>
  <c r="C867" i="21"/>
  <c r="E867" i="21"/>
  <c r="I867" i="21"/>
  <c r="B868" i="21"/>
  <c r="D868" i="21" s="1"/>
  <c r="C868" i="21"/>
  <c r="E868" i="21"/>
  <c r="I868" i="21"/>
  <c r="B869" i="21"/>
  <c r="H869" i="21" s="1"/>
  <c r="C869" i="21"/>
  <c r="E869" i="21"/>
  <c r="I869" i="21"/>
  <c r="B870" i="21"/>
  <c r="C870" i="21"/>
  <c r="E870" i="21"/>
  <c r="I870" i="21"/>
  <c r="B871" i="21"/>
  <c r="D871" i="21" s="1"/>
  <c r="C871" i="21"/>
  <c r="E871" i="21"/>
  <c r="H871" i="21"/>
  <c r="I871" i="21"/>
  <c r="B872" i="21"/>
  <c r="D872" i="21" s="1"/>
  <c r="C872" i="21"/>
  <c r="E872" i="21"/>
  <c r="I872" i="21"/>
  <c r="B873" i="21"/>
  <c r="H873" i="21" s="1"/>
  <c r="C873" i="21"/>
  <c r="E873" i="21"/>
  <c r="I873" i="21"/>
  <c r="B874" i="21"/>
  <c r="D874" i="21" s="1"/>
  <c r="C874" i="21"/>
  <c r="E874" i="21"/>
  <c r="I874" i="21"/>
  <c r="B875" i="21"/>
  <c r="H875" i="21" s="1"/>
  <c r="C875" i="21"/>
  <c r="E875" i="21"/>
  <c r="I875" i="21"/>
  <c r="B876" i="21"/>
  <c r="D876" i="21" s="1"/>
  <c r="C876" i="21"/>
  <c r="E876" i="21"/>
  <c r="I876" i="21"/>
  <c r="B877" i="21"/>
  <c r="H877" i="21" s="1"/>
  <c r="C877" i="21"/>
  <c r="E877" i="21"/>
  <c r="I877" i="21"/>
  <c r="B878" i="21"/>
  <c r="C878" i="21"/>
  <c r="E878" i="21"/>
  <c r="I878" i="21"/>
  <c r="B879" i="21"/>
  <c r="D879" i="21" s="1"/>
  <c r="C879" i="21"/>
  <c r="E879" i="21"/>
  <c r="I879" i="21"/>
  <c r="B880" i="21"/>
  <c r="D880" i="21" s="1"/>
  <c r="C880" i="21"/>
  <c r="E880" i="21"/>
  <c r="I880" i="21"/>
  <c r="B881" i="21"/>
  <c r="H881" i="21" s="1"/>
  <c r="C881" i="21"/>
  <c r="E881" i="21"/>
  <c r="I881" i="21"/>
  <c r="B882" i="21"/>
  <c r="H882" i="21" s="1"/>
  <c r="C882" i="21"/>
  <c r="E882" i="21"/>
  <c r="I882" i="21"/>
  <c r="B883" i="21"/>
  <c r="H883" i="21" s="1"/>
  <c r="C883" i="21"/>
  <c r="E883" i="21"/>
  <c r="I883" i="21"/>
  <c r="B884" i="21"/>
  <c r="D884" i="21" s="1"/>
  <c r="C884" i="21"/>
  <c r="E884" i="21"/>
  <c r="I884" i="21"/>
  <c r="B885" i="21"/>
  <c r="H885" i="21" s="1"/>
  <c r="C885" i="21"/>
  <c r="E885" i="21"/>
  <c r="I885" i="21"/>
  <c r="C886" i="21"/>
  <c r="D886" i="21"/>
  <c r="I834" i="21"/>
  <c r="E834" i="21"/>
  <c r="B834" i="21"/>
  <c r="D834" i="21" s="1"/>
  <c r="B783" i="21"/>
  <c r="D783" i="21" s="1"/>
  <c r="C783" i="21"/>
  <c r="E783" i="21"/>
  <c r="I783" i="21"/>
  <c r="B784" i="21"/>
  <c r="D784" i="21" s="1"/>
  <c r="C784" i="21"/>
  <c r="E784" i="21"/>
  <c r="I784" i="21"/>
  <c r="B785" i="21"/>
  <c r="H785" i="21" s="1"/>
  <c r="C785" i="21"/>
  <c r="E785" i="21"/>
  <c r="I785" i="21"/>
  <c r="B786" i="21"/>
  <c r="H786" i="21" s="1"/>
  <c r="C786" i="21"/>
  <c r="E786" i="21"/>
  <c r="I786" i="21"/>
  <c r="B787" i="21"/>
  <c r="D787" i="21" s="1"/>
  <c r="C787" i="21"/>
  <c r="E787" i="21"/>
  <c r="I787" i="21"/>
  <c r="B788" i="21"/>
  <c r="D788" i="21" s="1"/>
  <c r="C788" i="21"/>
  <c r="E788" i="21"/>
  <c r="I788" i="21"/>
  <c r="B789" i="21"/>
  <c r="H789" i="21" s="1"/>
  <c r="C789" i="21"/>
  <c r="E789" i="21"/>
  <c r="I789" i="21"/>
  <c r="B790" i="21"/>
  <c r="C790" i="21"/>
  <c r="E790" i="21"/>
  <c r="I790" i="21"/>
  <c r="B791" i="21"/>
  <c r="D791" i="21" s="1"/>
  <c r="C791" i="21"/>
  <c r="E791" i="21"/>
  <c r="H791" i="21"/>
  <c r="I791" i="21"/>
  <c r="B792" i="21"/>
  <c r="D792" i="21" s="1"/>
  <c r="C792" i="21"/>
  <c r="E792" i="21"/>
  <c r="I792" i="21"/>
  <c r="B793" i="21"/>
  <c r="H793" i="21" s="1"/>
  <c r="C793" i="21"/>
  <c r="E793" i="21"/>
  <c r="I793" i="21"/>
  <c r="B794" i="21"/>
  <c r="H794" i="21" s="1"/>
  <c r="C794" i="21"/>
  <c r="E794" i="21"/>
  <c r="I794" i="21"/>
  <c r="B795" i="21"/>
  <c r="D795" i="21" s="1"/>
  <c r="C795" i="21"/>
  <c r="E795" i="21"/>
  <c r="H795" i="21"/>
  <c r="I795" i="21"/>
  <c r="B796" i="21"/>
  <c r="D796" i="21" s="1"/>
  <c r="C796" i="21"/>
  <c r="E796" i="21"/>
  <c r="I796" i="21"/>
  <c r="B797" i="21"/>
  <c r="H797" i="21" s="1"/>
  <c r="C797" i="21"/>
  <c r="E797" i="21"/>
  <c r="I797" i="21"/>
  <c r="B798" i="21"/>
  <c r="D798" i="21" s="1"/>
  <c r="C798" i="21"/>
  <c r="E798" i="21"/>
  <c r="I798" i="21"/>
  <c r="B799" i="21"/>
  <c r="C799" i="21"/>
  <c r="E799" i="21"/>
  <c r="I799" i="21"/>
  <c r="B800" i="21"/>
  <c r="D800" i="21" s="1"/>
  <c r="C800" i="21"/>
  <c r="E800" i="21"/>
  <c r="I800" i="21"/>
  <c r="B801" i="21"/>
  <c r="H801" i="21" s="1"/>
  <c r="C801" i="21"/>
  <c r="E801" i="21"/>
  <c r="I801" i="21"/>
  <c r="B802" i="21"/>
  <c r="H802" i="21" s="1"/>
  <c r="C802" i="21"/>
  <c r="E802" i="21"/>
  <c r="I802" i="21"/>
  <c r="B803" i="21"/>
  <c r="D803" i="21" s="1"/>
  <c r="C803" i="21"/>
  <c r="E803" i="21"/>
  <c r="I803" i="21"/>
  <c r="B804" i="21"/>
  <c r="D804" i="21" s="1"/>
  <c r="C804" i="21"/>
  <c r="E804" i="21"/>
  <c r="I804" i="21"/>
  <c r="B805" i="21"/>
  <c r="H805" i="21" s="1"/>
  <c r="C805" i="21"/>
  <c r="E805" i="21"/>
  <c r="I805" i="21"/>
  <c r="B806" i="21"/>
  <c r="D806" i="21" s="1"/>
  <c r="C806" i="21"/>
  <c r="E806" i="21"/>
  <c r="I806" i="21"/>
  <c r="B807" i="21"/>
  <c r="D807" i="21" s="1"/>
  <c r="C807" i="21"/>
  <c r="E807" i="21"/>
  <c r="I807" i="21"/>
  <c r="B808" i="21"/>
  <c r="D808" i="21" s="1"/>
  <c r="C808" i="21"/>
  <c r="E808" i="21"/>
  <c r="I808" i="21"/>
  <c r="B809" i="21"/>
  <c r="H809" i="21" s="1"/>
  <c r="C809" i="21"/>
  <c r="E809" i="21"/>
  <c r="I809" i="21"/>
  <c r="B810" i="21"/>
  <c r="H810" i="21" s="1"/>
  <c r="C810" i="21"/>
  <c r="E810" i="21"/>
  <c r="I810" i="21"/>
  <c r="B811" i="21"/>
  <c r="D811" i="21" s="1"/>
  <c r="C811" i="21"/>
  <c r="E811" i="21"/>
  <c r="I811" i="21"/>
  <c r="B812" i="21"/>
  <c r="D812" i="21" s="1"/>
  <c r="C812" i="21"/>
  <c r="E812" i="21"/>
  <c r="I812" i="21"/>
  <c r="B813" i="21"/>
  <c r="H813" i="21" s="1"/>
  <c r="C813" i="21"/>
  <c r="E813" i="21"/>
  <c r="I813" i="21"/>
  <c r="B814" i="21"/>
  <c r="D814" i="21" s="1"/>
  <c r="C814" i="21"/>
  <c r="E814" i="21"/>
  <c r="I814" i="21"/>
  <c r="B815" i="21"/>
  <c r="D815" i="21" s="1"/>
  <c r="C815" i="21"/>
  <c r="E815" i="21"/>
  <c r="I815" i="21"/>
  <c r="B816" i="21"/>
  <c r="D816" i="21" s="1"/>
  <c r="C816" i="21"/>
  <c r="E816" i="21"/>
  <c r="I816" i="21"/>
  <c r="B817" i="21"/>
  <c r="H817" i="21" s="1"/>
  <c r="C817" i="21"/>
  <c r="E817" i="21"/>
  <c r="I817" i="21"/>
  <c r="B818" i="21"/>
  <c r="H818" i="21" s="1"/>
  <c r="C818" i="21"/>
  <c r="E818" i="21"/>
  <c r="I818" i="21"/>
  <c r="B819" i="21"/>
  <c r="C819" i="21"/>
  <c r="E819" i="21"/>
  <c r="I819" i="21"/>
  <c r="B820" i="21"/>
  <c r="D820" i="21" s="1"/>
  <c r="C820" i="21"/>
  <c r="E820" i="21"/>
  <c r="I820" i="21"/>
  <c r="B821" i="21"/>
  <c r="H821" i="21" s="1"/>
  <c r="C821" i="21"/>
  <c r="E821" i="21"/>
  <c r="I821" i="21"/>
  <c r="B822" i="21"/>
  <c r="D822" i="21" s="1"/>
  <c r="C822" i="21"/>
  <c r="E822" i="21"/>
  <c r="I822" i="21"/>
  <c r="B823" i="21"/>
  <c r="D823" i="21" s="1"/>
  <c r="C823" i="21"/>
  <c r="E823" i="21"/>
  <c r="I823" i="21"/>
  <c r="B824" i="21"/>
  <c r="D824" i="21" s="1"/>
  <c r="C824" i="21"/>
  <c r="E824" i="21"/>
  <c r="I824" i="21"/>
  <c r="B825" i="21"/>
  <c r="H825" i="21" s="1"/>
  <c r="C825" i="21"/>
  <c r="E825" i="21"/>
  <c r="I825" i="21"/>
  <c r="B826" i="21"/>
  <c r="H826" i="21" s="1"/>
  <c r="C826" i="21"/>
  <c r="E826" i="21"/>
  <c r="I826" i="21"/>
  <c r="B827" i="21"/>
  <c r="D827" i="21" s="1"/>
  <c r="C827" i="21"/>
  <c r="E827" i="21"/>
  <c r="I827" i="21"/>
  <c r="B828" i="21"/>
  <c r="D828" i="21" s="1"/>
  <c r="C828" i="21"/>
  <c r="E828" i="21"/>
  <c r="I828" i="21"/>
  <c r="B829" i="21"/>
  <c r="H829" i="21" s="1"/>
  <c r="C829" i="21"/>
  <c r="E829" i="21"/>
  <c r="I829" i="21"/>
  <c r="B830" i="21"/>
  <c r="C830" i="21"/>
  <c r="E830" i="21"/>
  <c r="I830" i="21"/>
  <c r="B831" i="21"/>
  <c r="D831" i="21" s="1"/>
  <c r="C831" i="21"/>
  <c r="E831" i="21"/>
  <c r="I831" i="21"/>
  <c r="B832" i="21"/>
  <c r="D832" i="21" s="1"/>
  <c r="C832" i="21"/>
  <c r="E832" i="21"/>
  <c r="I832" i="21"/>
  <c r="B833" i="21"/>
  <c r="H833" i="21" s="1"/>
  <c r="C833" i="21"/>
  <c r="E833" i="21"/>
  <c r="I833" i="21"/>
  <c r="C834" i="21"/>
  <c r="I782" i="21"/>
  <c r="E782" i="21"/>
  <c r="C782" i="21"/>
  <c r="B782" i="21"/>
  <c r="H782" i="21" s="1"/>
  <c r="B776" i="21"/>
  <c r="D776" i="21" s="1"/>
  <c r="C776" i="21"/>
  <c r="E776" i="21"/>
  <c r="I776" i="21"/>
  <c r="B777" i="21"/>
  <c r="D777" i="21" s="1"/>
  <c r="C777" i="21"/>
  <c r="E777" i="21"/>
  <c r="I777" i="21"/>
  <c r="B778" i="21"/>
  <c r="H778" i="21" s="1"/>
  <c r="C778" i="21"/>
  <c r="E778" i="21"/>
  <c r="I778" i="21"/>
  <c r="B779" i="21"/>
  <c r="D779" i="21" s="1"/>
  <c r="C779" i="21"/>
  <c r="E779" i="21"/>
  <c r="I779" i="21"/>
  <c r="B780" i="21"/>
  <c r="D780" i="21" s="1"/>
  <c r="C780" i="21"/>
  <c r="E780" i="21"/>
  <c r="I780" i="21"/>
  <c r="B781" i="21"/>
  <c r="D781" i="21" s="1"/>
  <c r="C781" i="21"/>
  <c r="E781" i="21"/>
  <c r="I781" i="21"/>
  <c r="B731" i="21"/>
  <c r="D731" i="21" s="1"/>
  <c r="C731" i="21"/>
  <c r="E731" i="21"/>
  <c r="H731" i="21"/>
  <c r="I731" i="21"/>
  <c r="B732" i="21"/>
  <c r="D732" i="21" s="1"/>
  <c r="C732" i="21"/>
  <c r="E732" i="21"/>
  <c r="I732" i="21"/>
  <c r="B733" i="21"/>
  <c r="H733" i="21" s="1"/>
  <c r="C733" i="21"/>
  <c r="E733" i="21"/>
  <c r="I733" i="21"/>
  <c r="B734" i="21"/>
  <c r="C734" i="21"/>
  <c r="E734" i="21"/>
  <c r="I734" i="21"/>
  <c r="B735" i="21"/>
  <c r="H735" i="21" s="1"/>
  <c r="C735" i="21"/>
  <c r="E735" i="21"/>
  <c r="I735" i="21"/>
  <c r="B736" i="21"/>
  <c r="D736" i="21" s="1"/>
  <c r="C736" i="21"/>
  <c r="E736" i="21"/>
  <c r="I736" i="21"/>
  <c r="B737" i="21"/>
  <c r="H737" i="21" s="1"/>
  <c r="C737" i="21"/>
  <c r="E737" i="21"/>
  <c r="I737" i="21"/>
  <c r="B738" i="21"/>
  <c r="H738" i="21" s="1"/>
  <c r="C738" i="21"/>
  <c r="E738" i="21"/>
  <c r="I738" i="21"/>
  <c r="B739" i="21"/>
  <c r="D739" i="21" s="1"/>
  <c r="C739" i="21"/>
  <c r="E739" i="21"/>
  <c r="I739" i="21"/>
  <c r="B740" i="21"/>
  <c r="D740" i="21" s="1"/>
  <c r="C740" i="21"/>
  <c r="E740" i="21"/>
  <c r="I740" i="21"/>
  <c r="B741" i="21"/>
  <c r="H741" i="21" s="1"/>
  <c r="C741" i="21"/>
  <c r="E741" i="21"/>
  <c r="I741" i="21"/>
  <c r="B742" i="21"/>
  <c r="D742" i="21" s="1"/>
  <c r="C742" i="21"/>
  <c r="E742" i="21"/>
  <c r="I742" i="21"/>
  <c r="B743" i="21"/>
  <c r="H743" i="21" s="1"/>
  <c r="C743" i="21"/>
  <c r="E743" i="21"/>
  <c r="I743" i="21"/>
  <c r="B744" i="21"/>
  <c r="D744" i="21" s="1"/>
  <c r="C744" i="21"/>
  <c r="E744" i="21"/>
  <c r="I744" i="21"/>
  <c r="B745" i="21"/>
  <c r="H745" i="21" s="1"/>
  <c r="C745" i="21"/>
  <c r="E745" i="21"/>
  <c r="I745" i="21"/>
  <c r="B746" i="21"/>
  <c r="H746" i="21" s="1"/>
  <c r="C746" i="21"/>
  <c r="E746" i="21"/>
  <c r="I746" i="21"/>
  <c r="B747" i="21"/>
  <c r="D747" i="21" s="1"/>
  <c r="C747" i="21"/>
  <c r="E747" i="21"/>
  <c r="I747" i="21"/>
  <c r="B748" i="21"/>
  <c r="D748" i="21" s="1"/>
  <c r="C748" i="21"/>
  <c r="E748" i="21"/>
  <c r="I748" i="21"/>
  <c r="B749" i="21"/>
  <c r="H749" i="21" s="1"/>
  <c r="C749" i="21"/>
  <c r="E749" i="21"/>
  <c r="I749" i="21"/>
  <c r="B750" i="21"/>
  <c r="D750" i="21" s="1"/>
  <c r="C750" i="21"/>
  <c r="E750" i="21"/>
  <c r="I750" i="21"/>
  <c r="B751" i="21"/>
  <c r="H751" i="21" s="1"/>
  <c r="C751" i="21"/>
  <c r="E751" i="21"/>
  <c r="I751" i="21"/>
  <c r="B752" i="21"/>
  <c r="D752" i="21" s="1"/>
  <c r="C752" i="21"/>
  <c r="E752" i="21"/>
  <c r="I752" i="21"/>
  <c r="B753" i="21"/>
  <c r="H753" i="21" s="1"/>
  <c r="C753" i="21"/>
  <c r="E753" i="21"/>
  <c r="I753" i="21"/>
  <c r="B754" i="21"/>
  <c r="H754" i="21" s="1"/>
  <c r="C754" i="21"/>
  <c r="E754" i="21"/>
  <c r="I754" i="21"/>
  <c r="B755" i="21"/>
  <c r="D755" i="21" s="1"/>
  <c r="C755" i="21"/>
  <c r="E755" i="21"/>
  <c r="I755" i="21"/>
  <c r="B756" i="21"/>
  <c r="D756" i="21" s="1"/>
  <c r="C756" i="21"/>
  <c r="E756" i="21"/>
  <c r="I756" i="21"/>
  <c r="B757" i="21"/>
  <c r="H757" i="21" s="1"/>
  <c r="C757" i="21"/>
  <c r="E757" i="21"/>
  <c r="I757" i="21"/>
  <c r="B758" i="21"/>
  <c r="D758" i="21" s="1"/>
  <c r="C758" i="21"/>
  <c r="E758" i="21"/>
  <c r="I758" i="21"/>
  <c r="B759" i="21"/>
  <c r="H759" i="21" s="1"/>
  <c r="C759" i="21"/>
  <c r="E759" i="21"/>
  <c r="I759" i="21"/>
  <c r="B760" i="21"/>
  <c r="D760" i="21" s="1"/>
  <c r="C760" i="21"/>
  <c r="E760" i="21"/>
  <c r="I760" i="21"/>
  <c r="B761" i="21"/>
  <c r="H761" i="21" s="1"/>
  <c r="C761" i="21"/>
  <c r="E761" i="21"/>
  <c r="I761" i="21"/>
  <c r="B762" i="21"/>
  <c r="H762" i="21" s="1"/>
  <c r="C762" i="21"/>
  <c r="E762" i="21"/>
  <c r="I762" i="21"/>
  <c r="B763" i="21"/>
  <c r="D763" i="21" s="1"/>
  <c r="C763" i="21"/>
  <c r="E763" i="21"/>
  <c r="I763" i="21"/>
  <c r="B764" i="21"/>
  <c r="D764" i="21" s="1"/>
  <c r="C764" i="21"/>
  <c r="E764" i="21"/>
  <c r="I764" i="21"/>
  <c r="B765" i="21"/>
  <c r="H765" i="21" s="1"/>
  <c r="C765" i="21"/>
  <c r="E765" i="21"/>
  <c r="I765" i="21"/>
  <c r="B766" i="21"/>
  <c r="D766" i="21" s="1"/>
  <c r="C766" i="21"/>
  <c r="E766" i="21"/>
  <c r="I766" i="21"/>
  <c r="B767" i="21"/>
  <c r="H767" i="21" s="1"/>
  <c r="C767" i="21"/>
  <c r="E767" i="21"/>
  <c r="I767" i="21"/>
  <c r="B768" i="21"/>
  <c r="D768" i="21" s="1"/>
  <c r="C768" i="21"/>
  <c r="E768" i="21"/>
  <c r="I768" i="21"/>
  <c r="B769" i="21"/>
  <c r="H769" i="21" s="1"/>
  <c r="C769" i="21"/>
  <c r="E769" i="21"/>
  <c r="I769" i="21"/>
  <c r="B770" i="21"/>
  <c r="H770" i="21" s="1"/>
  <c r="C770" i="21"/>
  <c r="E770" i="21"/>
  <c r="I770" i="21"/>
  <c r="B771" i="21"/>
  <c r="D771" i="21" s="1"/>
  <c r="C771" i="21"/>
  <c r="E771" i="21"/>
  <c r="H771" i="21"/>
  <c r="I771" i="21"/>
  <c r="B772" i="21"/>
  <c r="D772" i="21" s="1"/>
  <c r="C772" i="21"/>
  <c r="E772" i="21"/>
  <c r="I772" i="21"/>
  <c r="B773" i="21"/>
  <c r="H773" i="21" s="1"/>
  <c r="C773" i="21"/>
  <c r="E773" i="21"/>
  <c r="I773" i="21"/>
  <c r="B774" i="21"/>
  <c r="D774" i="21" s="1"/>
  <c r="C774" i="21"/>
  <c r="E774" i="21"/>
  <c r="I774" i="21"/>
  <c r="B775" i="21"/>
  <c r="H775" i="21" s="1"/>
  <c r="C775" i="21"/>
  <c r="E775" i="21"/>
  <c r="I775" i="21"/>
  <c r="I730" i="21"/>
  <c r="E730" i="21"/>
  <c r="B730" i="21"/>
  <c r="B679" i="21"/>
  <c r="C679" i="21"/>
  <c r="E679" i="21"/>
  <c r="I679" i="21"/>
  <c r="B680" i="21"/>
  <c r="D680" i="21" s="1"/>
  <c r="C680" i="21"/>
  <c r="E680" i="21"/>
  <c r="I680" i="21"/>
  <c r="B681" i="21"/>
  <c r="H681" i="21" s="1"/>
  <c r="C681" i="21"/>
  <c r="D681" i="21"/>
  <c r="E681" i="21"/>
  <c r="I681" i="21"/>
  <c r="B682" i="21"/>
  <c r="D682" i="21" s="1"/>
  <c r="C682" i="21"/>
  <c r="E682" i="21"/>
  <c r="I682" i="21"/>
  <c r="B683" i="21"/>
  <c r="C683" i="21"/>
  <c r="E683" i="21"/>
  <c r="I683" i="21"/>
  <c r="B684" i="21"/>
  <c r="D684" i="21" s="1"/>
  <c r="C684" i="21"/>
  <c r="E684" i="21"/>
  <c r="I684" i="21"/>
  <c r="B685" i="21"/>
  <c r="C685" i="21"/>
  <c r="E685" i="21"/>
  <c r="I685" i="21"/>
  <c r="B686" i="21"/>
  <c r="D686" i="21" s="1"/>
  <c r="C686" i="21"/>
  <c r="E686" i="21"/>
  <c r="I686" i="21"/>
  <c r="B687" i="21"/>
  <c r="H687" i="21" s="1"/>
  <c r="C687" i="21"/>
  <c r="E687" i="21"/>
  <c r="I687" i="21"/>
  <c r="B688" i="21"/>
  <c r="D688" i="21" s="1"/>
  <c r="C688" i="21"/>
  <c r="E688" i="21"/>
  <c r="I688" i="21"/>
  <c r="B689" i="21"/>
  <c r="H689" i="21" s="1"/>
  <c r="C689" i="21"/>
  <c r="D689" i="21"/>
  <c r="E689" i="21"/>
  <c r="I689" i="21"/>
  <c r="B690" i="21"/>
  <c r="D690" i="21" s="1"/>
  <c r="C690" i="21"/>
  <c r="E690" i="21"/>
  <c r="I690" i="21"/>
  <c r="B691" i="21"/>
  <c r="C691" i="21"/>
  <c r="E691" i="21"/>
  <c r="I691" i="21"/>
  <c r="B692" i="21"/>
  <c r="D692" i="21" s="1"/>
  <c r="C692" i="21"/>
  <c r="E692" i="21"/>
  <c r="I692" i="21"/>
  <c r="B693" i="21"/>
  <c r="H693" i="21" s="1"/>
  <c r="C693" i="21"/>
  <c r="E693" i="21"/>
  <c r="I693" i="21"/>
  <c r="B694" i="21"/>
  <c r="D694" i="21" s="1"/>
  <c r="C694" i="21"/>
  <c r="E694" i="21"/>
  <c r="I694" i="21"/>
  <c r="B695" i="21"/>
  <c r="H695" i="21" s="1"/>
  <c r="C695" i="21"/>
  <c r="E695" i="21"/>
  <c r="I695" i="21"/>
  <c r="B696" i="21"/>
  <c r="D696" i="21" s="1"/>
  <c r="C696" i="21"/>
  <c r="E696" i="21"/>
  <c r="I696" i="21"/>
  <c r="B697" i="21"/>
  <c r="D697" i="21" s="1"/>
  <c r="C697" i="21"/>
  <c r="E697" i="21"/>
  <c r="I697" i="21"/>
  <c r="B698" i="21"/>
  <c r="D698" i="21" s="1"/>
  <c r="C698" i="21"/>
  <c r="E698" i="21"/>
  <c r="I698" i="21"/>
  <c r="B699" i="21"/>
  <c r="H699" i="21" s="1"/>
  <c r="C699" i="21"/>
  <c r="E699" i="21"/>
  <c r="I699" i="21"/>
  <c r="B700" i="21"/>
  <c r="D700" i="21" s="1"/>
  <c r="C700" i="21"/>
  <c r="E700" i="21"/>
  <c r="I700" i="21"/>
  <c r="B701" i="21"/>
  <c r="H701" i="21" s="1"/>
  <c r="C701" i="21"/>
  <c r="D701" i="21"/>
  <c r="E701" i="21"/>
  <c r="I701" i="21"/>
  <c r="B702" i="21"/>
  <c r="D702" i="21" s="1"/>
  <c r="C702" i="21"/>
  <c r="E702" i="21"/>
  <c r="I702" i="21"/>
  <c r="B703" i="21"/>
  <c r="C703" i="21"/>
  <c r="E703" i="21"/>
  <c r="I703" i="21"/>
  <c r="B704" i="21"/>
  <c r="D704" i="21" s="1"/>
  <c r="C704" i="21"/>
  <c r="E704" i="21"/>
  <c r="I704" i="21"/>
  <c r="B705" i="21"/>
  <c r="D705" i="21" s="1"/>
  <c r="C705" i="21"/>
  <c r="E705" i="21"/>
  <c r="I705" i="21"/>
  <c r="B706" i="21"/>
  <c r="D706" i="21" s="1"/>
  <c r="C706" i="21"/>
  <c r="E706" i="21"/>
  <c r="I706" i="21"/>
  <c r="B707" i="21"/>
  <c r="H707" i="21" s="1"/>
  <c r="C707" i="21"/>
  <c r="E707" i="21"/>
  <c r="I707" i="21"/>
  <c r="B708" i="21"/>
  <c r="D708" i="21" s="1"/>
  <c r="C708" i="21"/>
  <c r="E708" i="21"/>
  <c r="I708" i="21"/>
  <c r="B709" i="21"/>
  <c r="C709" i="21"/>
  <c r="E709" i="21"/>
  <c r="I709" i="21"/>
  <c r="B710" i="21"/>
  <c r="D710" i="21" s="1"/>
  <c r="C710" i="21"/>
  <c r="E710" i="21"/>
  <c r="I710" i="21"/>
  <c r="B711" i="21"/>
  <c r="C711" i="21"/>
  <c r="E711" i="21"/>
  <c r="I711" i="21"/>
  <c r="B712" i="21"/>
  <c r="D712" i="21" s="1"/>
  <c r="C712" i="21"/>
  <c r="E712" i="21"/>
  <c r="I712" i="21"/>
  <c r="B713" i="21"/>
  <c r="H713" i="21" s="1"/>
  <c r="C713" i="21"/>
  <c r="E713" i="21"/>
  <c r="I713" i="21"/>
  <c r="B714" i="21"/>
  <c r="D714" i="21" s="1"/>
  <c r="C714" i="21"/>
  <c r="E714" i="21"/>
  <c r="I714" i="21"/>
  <c r="B715" i="21"/>
  <c r="C715" i="21"/>
  <c r="E715" i="21"/>
  <c r="I715" i="21"/>
  <c r="B716" i="21"/>
  <c r="D716" i="21" s="1"/>
  <c r="C716" i="21"/>
  <c r="E716" i="21"/>
  <c r="I716" i="21"/>
  <c r="B717" i="21"/>
  <c r="C717" i="21"/>
  <c r="E717" i="21"/>
  <c r="I717" i="21"/>
  <c r="B718" i="21"/>
  <c r="D718" i="21" s="1"/>
  <c r="C718" i="21"/>
  <c r="E718" i="21"/>
  <c r="I718" i="21"/>
  <c r="B719" i="21"/>
  <c r="H719" i="21" s="1"/>
  <c r="C719" i="21"/>
  <c r="E719" i="21"/>
  <c r="I719" i="21"/>
  <c r="B720" i="21"/>
  <c r="D720" i="21" s="1"/>
  <c r="C720" i="21"/>
  <c r="E720" i="21"/>
  <c r="I720" i="21"/>
  <c r="B721" i="21"/>
  <c r="D721" i="21" s="1"/>
  <c r="C721" i="21"/>
  <c r="E721" i="21"/>
  <c r="H721" i="21"/>
  <c r="I721" i="21"/>
  <c r="B722" i="21"/>
  <c r="C722" i="21"/>
  <c r="E722" i="21"/>
  <c r="I722" i="21"/>
  <c r="B723" i="21"/>
  <c r="C723" i="21"/>
  <c r="E723" i="21"/>
  <c r="I723" i="21"/>
  <c r="B724" i="21"/>
  <c r="D724" i="21" s="1"/>
  <c r="C724" i="21"/>
  <c r="E724" i="21"/>
  <c r="I724" i="21"/>
  <c r="B725" i="21"/>
  <c r="H725" i="21" s="1"/>
  <c r="C725" i="21"/>
  <c r="E725" i="21"/>
  <c r="I725" i="21"/>
  <c r="B726" i="21"/>
  <c r="D726" i="21" s="1"/>
  <c r="C726" i="21"/>
  <c r="E726" i="21"/>
  <c r="I726" i="21"/>
  <c r="B727" i="21"/>
  <c r="H727" i="21" s="1"/>
  <c r="C727" i="21"/>
  <c r="D727" i="21"/>
  <c r="E727" i="21"/>
  <c r="I727" i="21"/>
  <c r="B728" i="21"/>
  <c r="D728" i="21" s="1"/>
  <c r="C728" i="21"/>
  <c r="E728" i="21"/>
  <c r="I728" i="21"/>
  <c r="B729" i="21"/>
  <c r="D729" i="21" s="1"/>
  <c r="C729" i="21"/>
  <c r="E729" i="21"/>
  <c r="I729" i="21"/>
  <c r="C730" i="21"/>
  <c r="I678" i="21"/>
  <c r="E678" i="21"/>
  <c r="B678" i="21"/>
  <c r="D678" i="21" s="1"/>
  <c r="B627" i="21"/>
  <c r="D627" i="21" s="1"/>
  <c r="C627" i="21"/>
  <c r="E627" i="21"/>
  <c r="I627" i="21"/>
  <c r="B628" i="21"/>
  <c r="D628" i="21" s="1"/>
  <c r="C628" i="21"/>
  <c r="E628" i="21"/>
  <c r="I628" i="21"/>
  <c r="B629" i="21"/>
  <c r="H629" i="21" s="1"/>
  <c r="C629" i="21"/>
  <c r="E629" i="21"/>
  <c r="I629" i="21"/>
  <c r="B630" i="21"/>
  <c r="C630" i="21"/>
  <c r="E630" i="21"/>
  <c r="I630" i="21"/>
  <c r="B631" i="21"/>
  <c r="D631" i="21" s="1"/>
  <c r="C631" i="21"/>
  <c r="E631" i="21"/>
  <c r="I631" i="21"/>
  <c r="B632" i="21"/>
  <c r="D632" i="21" s="1"/>
  <c r="C632" i="21"/>
  <c r="E632" i="21"/>
  <c r="I632" i="21"/>
  <c r="B633" i="21"/>
  <c r="D633" i="21" s="1"/>
  <c r="C633" i="21"/>
  <c r="E633" i="21"/>
  <c r="I633" i="21"/>
  <c r="B634" i="21"/>
  <c r="H634" i="21" s="1"/>
  <c r="C634" i="21"/>
  <c r="E634" i="21"/>
  <c r="I634" i="21"/>
  <c r="B635" i="21"/>
  <c r="D635" i="21" s="1"/>
  <c r="C635" i="21"/>
  <c r="E635" i="21"/>
  <c r="I635" i="21"/>
  <c r="B636" i="21"/>
  <c r="D636" i="21" s="1"/>
  <c r="C636" i="21"/>
  <c r="E636" i="21"/>
  <c r="I636" i="21"/>
  <c r="B637" i="21"/>
  <c r="H637" i="21" s="1"/>
  <c r="C637" i="21"/>
  <c r="D637" i="21"/>
  <c r="E637" i="21"/>
  <c r="I637" i="21"/>
  <c r="B638" i="21"/>
  <c r="C638" i="21"/>
  <c r="E638" i="21"/>
  <c r="I638" i="21"/>
  <c r="B639" i="21"/>
  <c r="D639" i="21" s="1"/>
  <c r="C639" i="21"/>
  <c r="E639" i="21"/>
  <c r="I639" i="21"/>
  <c r="B640" i="21"/>
  <c r="D640" i="21" s="1"/>
  <c r="C640" i="21"/>
  <c r="E640" i="21"/>
  <c r="I640" i="21"/>
  <c r="B641" i="21"/>
  <c r="D641" i="21" s="1"/>
  <c r="C641" i="21"/>
  <c r="E641" i="21"/>
  <c r="I641" i="21"/>
  <c r="B642" i="21"/>
  <c r="H642" i="21" s="1"/>
  <c r="C642" i="21"/>
  <c r="E642" i="21"/>
  <c r="I642" i="21"/>
  <c r="B643" i="21"/>
  <c r="D643" i="21" s="1"/>
  <c r="C643" i="21"/>
  <c r="E643" i="21"/>
  <c r="I643" i="21"/>
  <c r="B644" i="21"/>
  <c r="D644" i="21" s="1"/>
  <c r="C644" i="21"/>
  <c r="E644" i="21"/>
  <c r="I644" i="21"/>
  <c r="B645" i="21"/>
  <c r="H645" i="21" s="1"/>
  <c r="C645" i="21"/>
  <c r="E645" i="21"/>
  <c r="I645" i="21"/>
  <c r="B646" i="21"/>
  <c r="C646" i="21"/>
  <c r="E646" i="21"/>
  <c r="I646" i="21"/>
  <c r="B647" i="21"/>
  <c r="D647" i="21" s="1"/>
  <c r="C647" i="21"/>
  <c r="E647" i="21"/>
  <c r="I647" i="21"/>
  <c r="B648" i="21"/>
  <c r="D648" i="21" s="1"/>
  <c r="C648" i="21"/>
  <c r="E648" i="21"/>
  <c r="I648" i="21"/>
  <c r="B649" i="21"/>
  <c r="D649" i="21" s="1"/>
  <c r="C649" i="21"/>
  <c r="E649" i="21"/>
  <c r="I649" i="21"/>
  <c r="B650" i="21"/>
  <c r="H650" i="21" s="1"/>
  <c r="C650" i="21"/>
  <c r="E650" i="21"/>
  <c r="I650" i="21"/>
  <c r="B651" i="21"/>
  <c r="D651" i="21" s="1"/>
  <c r="C651" i="21"/>
  <c r="E651" i="21"/>
  <c r="I651" i="21"/>
  <c r="B652" i="21"/>
  <c r="D652" i="21" s="1"/>
  <c r="C652" i="21"/>
  <c r="E652" i="21"/>
  <c r="I652" i="21"/>
  <c r="B653" i="21"/>
  <c r="H653" i="21" s="1"/>
  <c r="C653" i="21"/>
  <c r="E653" i="21"/>
  <c r="I653" i="21"/>
  <c r="B654" i="21"/>
  <c r="C654" i="21"/>
  <c r="E654" i="21"/>
  <c r="I654" i="21"/>
  <c r="B655" i="21"/>
  <c r="D655" i="21" s="1"/>
  <c r="C655" i="21"/>
  <c r="E655" i="21"/>
  <c r="I655" i="21"/>
  <c r="B656" i="21"/>
  <c r="D656" i="21" s="1"/>
  <c r="C656" i="21"/>
  <c r="E656" i="21"/>
  <c r="I656" i="21"/>
  <c r="B657" i="21"/>
  <c r="D657" i="21" s="1"/>
  <c r="C657" i="21"/>
  <c r="E657" i="21"/>
  <c r="I657" i="21"/>
  <c r="B658" i="21"/>
  <c r="H658" i="21" s="1"/>
  <c r="C658" i="21"/>
  <c r="E658" i="21"/>
  <c r="I658" i="21"/>
  <c r="B659" i="21"/>
  <c r="D659" i="21" s="1"/>
  <c r="C659" i="21"/>
  <c r="E659" i="21"/>
  <c r="I659" i="21"/>
  <c r="B660" i="21"/>
  <c r="D660" i="21" s="1"/>
  <c r="C660" i="21"/>
  <c r="E660" i="21"/>
  <c r="I660" i="21"/>
  <c r="B661" i="21"/>
  <c r="H661" i="21" s="1"/>
  <c r="C661" i="21"/>
  <c r="E661" i="21"/>
  <c r="I661" i="21"/>
  <c r="B662" i="21"/>
  <c r="C662" i="21"/>
  <c r="E662" i="21"/>
  <c r="I662" i="21"/>
  <c r="B663" i="21"/>
  <c r="D663" i="21" s="1"/>
  <c r="C663" i="21"/>
  <c r="E663" i="21"/>
  <c r="I663" i="21"/>
  <c r="B664" i="21"/>
  <c r="D664" i="21" s="1"/>
  <c r="C664" i="21"/>
  <c r="E664" i="21"/>
  <c r="I664" i="21"/>
  <c r="B665" i="21"/>
  <c r="D665" i="21" s="1"/>
  <c r="C665" i="21"/>
  <c r="E665" i="21"/>
  <c r="I665" i="21"/>
  <c r="B666" i="21"/>
  <c r="H666" i="21" s="1"/>
  <c r="C666" i="21"/>
  <c r="E666" i="21"/>
  <c r="I666" i="21"/>
  <c r="B667" i="21"/>
  <c r="D667" i="21" s="1"/>
  <c r="C667" i="21"/>
  <c r="E667" i="21"/>
  <c r="I667" i="21"/>
  <c r="B668" i="21"/>
  <c r="D668" i="21" s="1"/>
  <c r="C668" i="21"/>
  <c r="E668" i="21"/>
  <c r="I668" i="21"/>
  <c r="B669" i="21"/>
  <c r="H669" i="21" s="1"/>
  <c r="C669" i="21"/>
  <c r="E669" i="21"/>
  <c r="I669" i="21"/>
  <c r="B670" i="21"/>
  <c r="C670" i="21"/>
  <c r="E670" i="21"/>
  <c r="I670" i="21"/>
  <c r="B671" i="21"/>
  <c r="D671" i="21" s="1"/>
  <c r="C671" i="21"/>
  <c r="E671" i="21"/>
  <c r="I671" i="21"/>
  <c r="B672" i="21"/>
  <c r="C672" i="21"/>
  <c r="E672" i="21"/>
  <c r="I672" i="21"/>
  <c r="B673" i="21"/>
  <c r="H673" i="21" s="1"/>
  <c r="C673" i="21"/>
  <c r="D673" i="21"/>
  <c r="E673" i="21"/>
  <c r="I673" i="21"/>
  <c r="B674" i="21"/>
  <c r="C674" i="21"/>
  <c r="E674" i="21"/>
  <c r="I674" i="21"/>
  <c r="B675" i="21"/>
  <c r="D675" i="21" s="1"/>
  <c r="C675" i="21"/>
  <c r="E675" i="21"/>
  <c r="I675" i="21"/>
  <c r="B676" i="21"/>
  <c r="C676" i="21"/>
  <c r="E676" i="21"/>
  <c r="I676" i="21"/>
  <c r="B677" i="21"/>
  <c r="H677" i="21" s="1"/>
  <c r="C677" i="21"/>
  <c r="E677" i="21"/>
  <c r="I677" i="21"/>
  <c r="C678" i="21"/>
  <c r="I626" i="21"/>
  <c r="E626" i="21"/>
  <c r="C626" i="21"/>
  <c r="B626" i="21"/>
  <c r="B625" i="21"/>
  <c r="H625" i="21" s="1"/>
  <c r="C625" i="21"/>
  <c r="E625" i="21"/>
  <c r="I625" i="21"/>
  <c r="B622" i="21"/>
  <c r="C622" i="21"/>
  <c r="E622" i="21"/>
  <c r="I622" i="21"/>
  <c r="B623" i="21"/>
  <c r="C623" i="21"/>
  <c r="E623" i="21"/>
  <c r="I623" i="21"/>
  <c r="B624" i="21"/>
  <c r="D624" i="21" s="1"/>
  <c r="C624" i="21"/>
  <c r="E624" i="21"/>
  <c r="I624" i="21"/>
  <c r="B614" i="21"/>
  <c r="D614" i="21" s="1"/>
  <c r="C614" i="21"/>
  <c r="E614" i="21"/>
  <c r="I614" i="21"/>
  <c r="B615" i="21"/>
  <c r="H615" i="21" s="1"/>
  <c r="C615" i="21"/>
  <c r="E615" i="21"/>
  <c r="I615" i="21"/>
  <c r="B616" i="21"/>
  <c r="D616" i="21" s="1"/>
  <c r="C616" i="21"/>
  <c r="E616" i="21"/>
  <c r="I616" i="21"/>
  <c r="B617" i="21"/>
  <c r="C617" i="21"/>
  <c r="E617" i="21"/>
  <c r="I617" i="21"/>
  <c r="B618" i="21"/>
  <c r="D618" i="21" s="1"/>
  <c r="C618" i="21"/>
  <c r="E618" i="21"/>
  <c r="I618" i="21"/>
  <c r="B619" i="21"/>
  <c r="C619" i="21"/>
  <c r="E619" i="21"/>
  <c r="I619" i="21"/>
  <c r="B620" i="21"/>
  <c r="D620" i="21" s="1"/>
  <c r="C620" i="21"/>
  <c r="E620" i="21"/>
  <c r="I620" i="21"/>
  <c r="B621" i="21"/>
  <c r="H621" i="21" s="1"/>
  <c r="C621" i="21"/>
  <c r="E621" i="21"/>
  <c r="I621" i="21"/>
  <c r="B575" i="21"/>
  <c r="C575" i="21"/>
  <c r="E575" i="21"/>
  <c r="I575" i="21"/>
  <c r="B576" i="21"/>
  <c r="D576" i="21" s="1"/>
  <c r="C576" i="21"/>
  <c r="E576" i="21"/>
  <c r="I576" i="21"/>
  <c r="B577" i="21"/>
  <c r="C577" i="21"/>
  <c r="E577" i="21"/>
  <c r="I577" i="21"/>
  <c r="B578" i="21"/>
  <c r="C578" i="21"/>
  <c r="E578" i="21"/>
  <c r="I578" i="21"/>
  <c r="B579" i="21"/>
  <c r="D579" i="21" s="1"/>
  <c r="C579" i="21"/>
  <c r="E579" i="21"/>
  <c r="I579" i="21"/>
  <c r="B580" i="21"/>
  <c r="D580" i="21" s="1"/>
  <c r="C580" i="21"/>
  <c r="E580" i="21"/>
  <c r="I580" i="21"/>
  <c r="B581" i="21"/>
  <c r="H581" i="21" s="1"/>
  <c r="C581" i="21"/>
  <c r="E581" i="21"/>
  <c r="I581" i="21"/>
  <c r="B582" i="21"/>
  <c r="D582" i="21" s="1"/>
  <c r="C582" i="21"/>
  <c r="E582" i="21"/>
  <c r="I582" i="21"/>
  <c r="B583" i="21"/>
  <c r="C583" i="21"/>
  <c r="E583" i="21"/>
  <c r="I583" i="21"/>
  <c r="B584" i="21"/>
  <c r="D584" i="21" s="1"/>
  <c r="C584" i="21"/>
  <c r="E584" i="21"/>
  <c r="I584" i="21"/>
  <c r="B585" i="21"/>
  <c r="C585" i="21"/>
  <c r="E585" i="21"/>
  <c r="I585" i="21"/>
  <c r="B586" i="21"/>
  <c r="H586" i="21" s="1"/>
  <c r="C586" i="21"/>
  <c r="E586" i="21"/>
  <c r="I586" i="21"/>
  <c r="B587" i="21"/>
  <c r="D587" i="21" s="1"/>
  <c r="C587" i="21"/>
  <c r="E587" i="21"/>
  <c r="H587" i="21"/>
  <c r="I587" i="21"/>
  <c r="B588" i="21"/>
  <c r="D588" i="21" s="1"/>
  <c r="C588" i="21"/>
  <c r="E588" i="21"/>
  <c r="I588" i="21"/>
  <c r="B589" i="21"/>
  <c r="C589" i="21"/>
  <c r="E589" i="21"/>
  <c r="I589" i="21"/>
  <c r="B590" i="21"/>
  <c r="D590" i="21" s="1"/>
  <c r="C590" i="21"/>
  <c r="E590" i="21"/>
  <c r="I590" i="21"/>
  <c r="B591" i="21"/>
  <c r="H591" i="21" s="1"/>
  <c r="C591" i="21"/>
  <c r="E591" i="21"/>
  <c r="I591" i="21"/>
  <c r="B592" i="21"/>
  <c r="D592" i="21" s="1"/>
  <c r="C592" i="21"/>
  <c r="E592" i="21"/>
  <c r="I592" i="21"/>
  <c r="B593" i="21"/>
  <c r="C593" i="21"/>
  <c r="E593" i="21"/>
  <c r="I593" i="21"/>
  <c r="B594" i="21"/>
  <c r="C594" i="21"/>
  <c r="E594" i="21"/>
  <c r="I594" i="21"/>
  <c r="B595" i="21"/>
  <c r="H595" i="21" s="1"/>
  <c r="C595" i="21"/>
  <c r="D595" i="21"/>
  <c r="E595" i="21"/>
  <c r="I595" i="21"/>
  <c r="B596" i="21"/>
  <c r="D596" i="21" s="1"/>
  <c r="C596" i="21"/>
  <c r="E596" i="21"/>
  <c r="I596" i="21"/>
  <c r="B597" i="21"/>
  <c r="C597" i="21"/>
  <c r="E597" i="21"/>
  <c r="I597" i="21"/>
  <c r="B598" i="21"/>
  <c r="H598" i="21" s="1"/>
  <c r="C598" i="21"/>
  <c r="E598" i="21"/>
  <c r="I598" i="21"/>
  <c r="B599" i="21"/>
  <c r="D599" i="21" s="1"/>
  <c r="C599" i="21"/>
  <c r="E599" i="21"/>
  <c r="I599" i="21"/>
  <c r="B600" i="21"/>
  <c r="D600" i="21" s="1"/>
  <c r="C600" i="21"/>
  <c r="E600" i="21"/>
  <c r="I600" i="21"/>
  <c r="B601" i="21"/>
  <c r="H601" i="21" s="1"/>
  <c r="C601" i="21"/>
  <c r="E601" i="21"/>
  <c r="I601" i="21"/>
  <c r="B602" i="21"/>
  <c r="D602" i="21" s="1"/>
  <c r="C602" i="21"/>
  <c r="E602" i="21"/>
  <c r="I602" i="21"/>
  <c r="B603" i="21"/>
  <c r="C603" i="21"/>
  <c r="E603" i="21"/>
  <c r="I603" i="21"/>
  <c r="B604" i="21"/>
  <c r="D604" i="21" s="1"/>
  <c r="C604" i="21"/>
  <c r="E604" i="21"/>
  <c r="I604" i="21"/>
  <c r="B605" i="21"/>
  <c r="C605" i="21"/>
  <c r="E605" i="21"/>
  <c r="I605" i="21"/>
  <c r="B606" i="21"/>
  <c r="H606" i="21" s="1"/>
  <c r="C606" i="21"/>
  <c r="E606" i="21"/>
  <c r="I606" i="21"/>
  <c r="B607" i="21"/>
  <c r="H607" i="21" s="1"/>
  <c r="C607" i="21"/>
  <c r="E607" i="21"/>
  <c r="I607" i="21"/>
  <c r="B608" i="21"/>
  <c r="D608" i="21" s="1"/>
  <c r="C608" i="21"/>
  <c r="E608" i="21"/>
  <c r="I608" i="21"/>
  <c r="B609" i="21"/>
  <c r="H609" i="21" s="1"/>
  <c r="C609" i="21"/>
  <c r="E609" i="21"/>
  <c r="I609" i="21"/>
  <c r="B610" i="21"/>
  <c r="D610" i="21" s="1"/>
  <c r="C610" i="21"/>
  <c r="E610" i="21"/>
  <c r="I610" i="21"/>
  <c r="B611" i="21"/>
  <c r="D611" i="21" s="1"/>
  <c r="C611" i="21"/>
  <c r="E611" i="21"/>
  <c r="I611" i="21"/>
  <c r="B612" i="21"/>
  <c r="D612" i="21" s="1"/>
  <c r="C612" i="21"/>
  <c r="E612" i="21"/>
  <c r="I612" i="21"/>
  <c r="B613" i="21"/>
  <c r="H613" i="21" s="1"/>
  <c r="C613" i="21"/>
  <c r="E613" i="21"/>
  <c r="I613" i="21"/>
  <c r="I574" i="21"/>
  <c r="E574" i="21"/>
  <c r="B574" i="21"/>
  <c r="D574" i="21" s="1"/>
  <c r="B571" i="21"/>
  <c r="D571" i="21" s="1"/>
  <c r="C571" i="21"/>
  <c r="E571" i="21"/>
  <c r="I571" i="21"/>
  <c r="B572" i="21"/>
  <c r="C572" i="21"/>
  <c r="E572" i="21"/>
  <c r="I572" i="21"/>
  <c r="B573" i="21"/>
  <c r="D573" i="21" s="1"/>
  <c r="C573" i="21"/>
  <c r="E573" i="21"/>
  <c r="I573" i="21"/>
  <c r="C574" i="21"/>
  <c r="B523" i="21"/>
  <c r="D523" i="21" s="1"/>
  <c r="C523" i="21"/>
  <c r="E523" i="21"/>
  <c r="I523" i="21"/>
  <c r="B524" i="21"/>
  <c r="D524" i="21" s="1"/>
  <c r="C524" i="21"/>
  <c r="E524" i="21"/>
  <c r="I524" i="21"/>
  <c r="B525" i="21"/>
  <c r="H525" i="21" s="1"/>
  <c r="C525" i="21"/>
  <c r="E525" i="21"/>
  <c r="I525" i="21"/>
  <c r="B526" i="21"/>
  <c r="H526" i="21" s="1"/>
  <c r="C526" i="21"/>
  <c r="D526" i="21"/>
  <c r="E526" i="21"/>
  <c r="I526" i="21"/>
  <c r="B527" i="21"/>
  <c r="D527" i="21" s="1"/>
  <c r="C527" i="21"/>
  <c r="E527" i="21"/>
  <c r="I527" i="21"/>
  <c r="B528" i="21"/>
  <c r="D528" i="21" s="1"/>
  <c r="C528" i="21"/>
  <c r="E528" i="21"/>
  <c r="I528" i="21"/>
  <c r="B529" i="21"/>
  <c r="H529" i="21" s="1"/>
  <c r="C529" i="21"/>
  <c r="E529" i="21"/>
  <c r="I529" i="21"/>
  <c r="B530" i="21"/>
  <c r="D530" i="21" s="1"/>
  <c r="C530" i="21"/>
  <c r="E530" i="21"/>
  <c r="I530" i="21"/>
  <c r="B531" i="21"/>
  <c r="D531" i="21" s="1"/>
  <c r="C531" i="21"/>
  <c r="E531" i="21"/>
  <c r="I531" i="21"/>
  <c r="B532" i="21"/>
  <c r="D532" i="21" s="1"/>
  <c r="C532" i="21"/>
  <c r="E532" i="21"/>
  <c r="I532" i="21"/>
  <c r="B533" i="21"/>
  <c r="H533" i="21" s="1"/>
  <c r="C533" i="21"/>
  <c r="E533" i="21"/>
  <c r="I533" i="21"/>
  <c r="B534" i="21"/>
  <c r="H534" i="21" s="1"/>
  <c r="C534" i="21"/>
  <c r="E534" i="21"/>
  <c r="I534" i="21"/>
  <c r="B535" i="21"/>
  <c r="D535" i="21" s="1"/>
  <c r="C535" i="21"/>
  <c r="E535" i="21"/>
  <c r="I535" i="21"/>
  <c r="B536" i="21"/>
  <c r="D536" i="21" s="1"/>
  <c r="C536" i="21"/>
  <c r="E536" i="21"/>
  <c r="I536" i="21"/>
  <c r="B537" i="21"/>
  <c r="H537" i="21" s="1"/>
  <c r="C537" i="21"/>
  <c r="E537" i="21"/>
  <c r="I537" i="21"/>
  <c r="B538" i="21"/>
  <c r="D538" i="21" s="1"/>
  <c r="C538" i="21"/>
  <c r="E538" i="21"/>
  <c r="I538" i="21"/>
  <c r="B539" i="21"/>
  <c r="C539" i="21"/>
  <c r="E539" i="21"/>
  <c r="I539" i="21"/>
  <c r="B540" i="21"/>
  <c r="D540" i="21" s="1"/>
  <c r="C540" i="21"/>
  <c r="E540" i="21"/>
  <c r="I540" i="21"/>
  <c r="B541" i="21"/>
  <c r="H541" i="21" s="1"/>
  <c r="C541" i="21"/>
  <c r="E541" i="21"/>
  <c r="I541" i="21"/>
  <c r="B542" i="21"/>
  <c r="H542" i="21" s="1"/>
  <c r="C542" i="21"/>
  <c r="E542" i="21"/>
  <c r="I542" i="21"/>
  <c r="B543" i="21"/>
  <c r="D543" i="21" s="1"/>
  <c r="C543" i="21"/>
  <c r="E543" i="21"/>
  <c r="I543" i="21"/>
  <c r="B544" i="21"/>
  <c r="D544" i="21" s="1"/>
  <c r="C544" i="21"/>
  <c r="E544" i="21"/>
  <c r="I544" i="21"/>
  <c r="B545" i="21"/>
  <c r="H545" i="21" s="1"/>
  <c r="C545" i="21"/>
  <c r="E545" i="21"/>
  <c r="I545" i="21"/>
  <c r="B546" i="21"/>
  <c r="D546" i="21" s="1"/>
  <c r="C546" i="21"/>
  <c r="E546" i="21"/>
  <c r="I546" i="21"/>
  <c r="B547" i="21"/>
  <c r="C547" i="21"/>
  <c r="E547" i="21"/>
  <c r="I547" i="21"/>
  <c r="B548" i="21"/>
  <c r="D548" i="21" s="1"/>
  <c r="C548" i="21"/>
  <c r="E548" i="21"/>
  <c r="I548" i="21"/>
  <c r="B549" i="21"/>
  <c r="H549" i="21" s="1"/>
  <c r="C549" i="21"/>
  <c r="E549" i="21"/>
  <c r="I549" i="21"/>
  <c r="B550" i="21"/>
  <c r="H550" i="21" s="1"/>
  <c r="C550" i="21"/>
  <c r="E550" i="21"/>
  <c r="I550" i="21"/>
  <c r="B551" i="21"/>
  <c r="D551" i="21" s="1"/>
  <c r="C551" i="21"/>
  <c r="E551" i="21"/>
  <c r="I551" i="21"/>
  <c r="B552" i="21"/>
  <c r="D552" i="21" s="1"/>
  <c r="C552" i="21"/>
  <c r="E552" i="21"/>
  <c r="I552" i="21"/>
  <c r="B553" i="21"/>
  <c r="H553" i="21" s="1"/>
  <c r="C553" i="21"/>
  <c r="E553" i="21"/>
  <c r="I553" i="21"/>
  <c r="B554" i="21"/>
  <c r="D554" i="21" s="1"/>
  <c r="C554" i="21"/>
  <c r="E554" i="21"/>
  <c r="I554" i="21"/>
  <c r="B555" i="21"/>
  <c r="C555" i="21"/>
  <c r="E555" i="21"/>
  <c r="I555" i="21"/>
  <c r="B556" i="21"/>
  <c r="D556" i="21" s="1"/>
  <c r="C556" i="21"/>
  <c r="E556" i="21"/>
  <c r="I556" i="21"/>
  <c r="B557" i="21"/>
  <c r="H557" i="21" s="1"/>
  <c r="C557" i="21"/>
  <c r="E557" i="21"/>
  <c r="I557" i="21"/>
  <c r="B558" i="21"/>
  <c r="D558" i="21" s="1"/>
  <c r="C558" i="21"/>
  <c r="E558" i="21"/>
  <c r="H558" i="21"/>
  <c r="I558" i="21"/>
  <c r="B559" i="21"/>
  <c r="D559" i="21" s="1"/>
  <c r="C559" i="21"/>
  <c r="E559" i="21"/>
  <c r="I559" i="21"/>
  <c r="B560" i="21"/>
  <c r="D560" i="21" s="1"/>
  <c r="C560" i="21"/>
  <c r="E560" i="21"/>
  <c r="I560" i="21"/>
  <c r="B561" i="21"/>
  <c r="H561" i="21" s="1"/>
  <c r="C561" i="21"/>
  <c r="E561" i="21"/>
  <c r="I561" i="21"/>
  <c r="B562" i="21"/>
  <c r="D562" i="21" s="1"/>
  <c r="C562" i="21"/>
  <c r="E562" i="21"/>
  <c r="I562" i="21"/>
  <c r="B563" i="21"/>
  <c r="H563" i="21" s="1"/>
  <c r="C563" i="21"/>
  <c r="E563" i="21"/>
  <c r="I563" i="21"/>
  <c r="B564" i="21"/>
  <c r="D564" i="21" s="1"/>
  <c r="C564" i="21"/>
  <c r="E564" i="21"/>
  <c r="I564" i="21"/>
  <c r="B565" i="21"/>
  <c r="H565" i="21" s="1"/>
  <c r="C565" i="21"/>
  <c r="E565" i="21"/>
  <c r="I565" i="21"/>
  <c r="B566" i="21"/>
  <c r="H566" i="21" s="1"/>
  <c r="C566" i="21"/>
  <c r="E566" i="21"/>
  <c r="I566" i="21"/>
  <c r="B567" i="21"/>
  <c r="C567" i="21"/>
  <c r="E567" i="21"/>
  <c r="I567" i="21"/>
  <c r="B568" i="21"/>
  <c r="D568" i="21" s="1"/>
  <c r="C568" i="21"/>
  <c r="E568" i="21"/>
  <c r="I568" i="21"/>
  <c r="B569" i="21"/>
  <c r="C569" i="21"/>
  <c r="E569" i="21"/>
  <c r="I569" i="21"/>
  <c r="B570" i="21"/>
  <c r="H570" i="21" s="1"/>
  <c r="C570" i="21"/>
  <c r="E570" i="21"/>
  <c r="I570" i="21"/>
  <c r="I522" i="21"/>
  <c r="E522" i="21"/>
  <c r="B522" i="21"/>
  <c r="D522" i="21" s="1"/>
  <c r="C522" i="21"/>
  <c r="B520" i="21"/>
  <c r="C520" i="21"/>
  <c r="E520" i="21"/>
  <c r="I520" i="21"/>
  <c r="B521" i="21"/>
  <c r="D521" i="21" s="1"/>
  <c r="C521" i="21"/>
  <c r="E521" i="21"/>
  <c r="I521" i="21"/>
  <c r="B505" i="21"/>
  <c r="D505" i="21" s="1"/>
  <c r="C505" i="21"/>
  <c r="E505" i="21"/>
  <c r="I505" i="21"/>
  <c r="B506" i="21"/>
  <c r="H506" i="21" s="1"/>
  <c r="C506" i="21"/>
  <c r="E506" i="21"/>
  <c r="I506" i="21"/>
  <c r="B507" i="21"/>
  <c r="D507" i="21" s="1"/>
  <c r="C507" i="21"/>
  <c r="E507" i="21"/>
  <c r="I507" i="21"/>
  <c r="B508" i="21"/>
  <c r="H508" i="21" s="1"/>
  <c r="C508" i="21"/>
  <c r="E508" i="21"/>
  <c r="I508" i="21"/>
  <c r="B509" i="21"/>
  <c r="D509" i="21" s="1"/>
  <c r="C509" i="21"/>
  <c r="E509" i="21"/>
  <c r="I509" i="21"/>
  <c r="B510" i="21"/>
  <c r="C510" i="21"/>
  <c r="E510" i="21"/>
  <c r="I510" i="21"/>
  <c r="B511" i="21"/>
  <c r="C511" i="21"/>
  <c r="E511" i="21"/>
  <c r="I511" i="21"/>
  <c r="B512" i="21"/>
  <c r="D512" i="21" s="1"/>
  <c r="C512" i="21"/>
  <c r="E512" i="21"/>
  <c r="I512" i="21"/>
  <c r="B513" i="21"/>
  <c r="D513" i="21" s="1"/>
  <c r="C513" i="21"/>
  <c r="E513" i="21"/>
  <c r="I513" i="21"/>
  <c r="B514" i="21"/>
  <c r="H514" i="21" s="1"/>
  <c r="C514" i="21"/>
  <c r="E514" i="21"/>
  <c r="I514" i="21"/>
  <c r="B515" i="21"/>
  <c r="D515" i="21" s="1"/>
  <c r="C515" i="21"/>
  <c r="E515" i="21"/>
  <c r="I515" i="21"/>
  <c r="B516" i="21"/>
  <c r="H516" i="21" s="1"/>
  <c r="C516" i="21"/>
  <c r="E516" i="21"/>
  <c r="I516" i="21"/>
  <c r="B517" i="21"/>
  <c r="D517" i="21" s="1"/>
  <c r="C517" i="21"/>
  <c r="E517" i="21"/>
  <c r="I517" i="21"/>
  <c r="B518" i="21"/>
  <c r="C518" i="21"/>
  <c r="E518" i="21"/>
  <c r="I518" i="21"/>
  <c r="B519" i="21"/>
  <c r="C519" i="21"/>
  <c r="E519" i="21"/>
  <c r="I519" i="21"/>
  <c r="B471" i="21"/>
  <c r="D471" i="21" s="1"/>
  <c r="C471" i="21"/>
  <c r="E471" i="21"/>
  <c r="I471" i="21"/>
  <c r="B472" i="21"/>
  <c r="C472" i="21"/>
  <c r="E472" i="21"/>
  <c r="I472" i="21"/>
  <c r="B473" i="21"/>
  <c r="H473" i="21" s="1"/>
  <c r="C473" i="21"/>
  <c r="E473" i="21"/>
  <c r="I473" i="21"/>
  <c r="B474" i="21"/>
  <c r="D474" i="21" s="1"/>
  <c r="C474" i="21"/>
  <c r="E474" i="21"/>
  <c r="I474" i="21"/>
  <c r="B475" i="21"/>
  <c r="D475" i="21" s="1"/>
  <c r="C475" i="21"/>
  <c r="E475" i="21"/>
  <c r="I475" i="21"/>
  <c r="B476" i="21"/>
  <c r="H476" i="21" s="1"/>
  <c r="C476" i="21"/>
  <c r="E476" i="21"/>
  <c r="I476" i="21"/>
  <c r="B477" i="21"/>
  <c r="D477" i="21" s="1"/>
  <c r="C477" i="21"/>
  <c r="E477" i="21"/>
  <c r="H477" i="21"/>
  <c r="I477" i="21"/>
  <c r="B478" i="21"/>
  <c r="H478" i="21" s="1"/>
  <c r="C478" i="21"/>
  <c r="E478" i="21"/>
  <c r="I478" i="21"/>
  <c r="B479" i="21"/>
  <c r="D479" i="21" s="1"/>
  <c r="C479" i="21"/>
  <c r="E479" i="21"/>
  <c r="I479" i="21"/>
  <c r="B480" i="21"/>
  <c r="H480" i="21" s="1"/>
  <c r="C480" i="21"/>
  <c r="E480" i="21"/>
  <c r="I480" i="21"/>
  <c r="B481" i="21"/>
  <c r="D481" i="21" s="1"/>
  <c r="C481" i="21"/>
  <c r="E481" i="21"/>
  <c r="I481" i="21"/>
  <c r="B482" i="21"/>
  <c r="H482" i="21" s="1"/>
  <c r="C482" i="21"/>
  <c r="E482" i="21"/>
  <c r="I482" i="21"/>
  <c r="B483" i="21"/>
  <c r="D483" i="21" s="1"/>
  <c r="C483" i="21"/>
  <c r="E483" i="21"/>
  <c r="I483" i="21"/>
  <c r="B484" i="21"/>
  <c r="H484" i="21" s="1"/>
  <c r="C484" i="21"/>
  <c r="E484" i="21"/>
  <c r="I484" i="21"/>
  <c r="B485" i="21"/>
  <c r="C485" i="21"/>
  <c r="E485" i="21"/>
  <c r="I485" i="21"/>
  <c r="B486" i="21"/>
  <c r="D486" i="21" s="1"/>
  <c r="C486" i="21"/>
  <c r="E486" i="21"/>
  <c r="I486" i="21"/>
  <c r="B487" i="21"/>
  <c r="D487" i="21" s="1"/>
  <c r="C487" i="21"/>
  <c r="E487" i="21"/>
  <c r="I487" i="21"/>
  <c r="B488" i="21"/>
  <c r="H488" i="21" s="1"/>
  <c r="C488" i="21"/>
  <c r="E488" i="21"/>
  <c r="I488" i="21"/>
  <c r="B489" i="21"/>
  <c r="D489" i="21" s="1"/>
  <c r="C489" i="21"/>
  <c r="E489" i="21"/>
  <c r="I489" i="21"/>
  <c r="B490" i="21"/>
  <c r="D490" i="21" s="1"/>
  <c r="C490" i="21"/>
  <c r="E490" i="21"/>
  <c r="I490" i="21"/>
  <c r="B491" i="21"/>
  <c r="H491" i="21" s="1"/>
  <c r="C491" i="21"/>
  <c r="E491" i="21"/>
  <c r="I491" i="21"/>
  <c r="B492" i="21"/>
  <c r="H492" i="21" s="1"/>
  <c r="C492" i="21"/>
  <c r="E492" i="21"/>
  <c r="I492" i="21"/>
  <c r="B493" i="21"/>
  <c r="C493" i="21"/>
  <c r="E493" i="21"/>
  <c r="I493" i="21"/>
  <c r="B494" i="21"/>
  <c r="H494" i="21" s="1"/>
  <c r="C494" i="21"/>
  <c r="E494" i="21"/>
  <c r="I494" i="21"/>
  <c r="B495" i="21"/>
  <c r="D495" i="21" s="1"/>
  <c r="C495" i="21"/>
  <c r="E495" i="21"/>
  <c r="I495" i="21"/>
  <c r="B496" i="21"/>
  <c r="C496" i="21"/>
  <c r="E496" i="21"/>
  <c r="I496" i="21"/>
  <c r="B497" i="21"/>
  <c r="D497" i="21" s="1"/>
  <c r="C497" i="21"/>
  <c r="E497" i="21"/>
  <c r="I497" i="21"/>
  <c r="B498" i="21"/>
  <c r="D498" i="21" s="1"/>
  <c r="C498" i="21"/>
  <c r="E498" i="21"/>
  <c r="I498" i="21"/>
  <c r="B499" i="21"/>
  <c r="D499" i="21" s="1"/>
  <c r="C499" i="21"/>
  <c r="E499" i="21"/>
  <c r="I499" i="21"/>
  <c r="B500" i="21"/>
  <c r="H500" i="21" s="1"/>
  <c r="C500" i="21"/>
  <c r="E500" i="21"/>
  <c r="I500" i="21"/>
  <c r="B501" i="21"/>
  <c r="D501" i="21" s="1"/>
  <c r="C501" i="21"/>
  <c r="E501" i="21"/>
  <c r="H501" i="21"/>
  <c r="I501" i="21"/>
  <c r="B502" i="21"/>
  <c r="C502" i="21"/>
  <c r="E502" i="21"/>
  <c r="I502" i="21"/>
  <c r="B503" i="21"/>
  <c r="D503" i="21" s="1"/>
  <c r="C503" i="21"/>
  <c r="E503" i="21"/>
  <c r="I503" i="21"/>
  <c r="B504" i="21"/>
  <c r="C504" i="21"/>
  <c r="E504" i="21"/>
  <c r="I504" i="21"/>
  <c r="I470" i="21"/>
  <c r="E470" i="21"/>
  <c r="C470" i="21"/>
  <c r="B470" i="21"/>
  <c r="D470" i="21" s="1"/>
  <c r="B469" i="21"/>
  <c r="D469" i="21" s="1"/>
  <c r="C469" i="21"/>
  <c r="E469" i="21"/>
  <c r="B466" i="21"/>
  <c r="D466" i="21" s="1"/>
  <c r="C466" i="21"/>
  <c r="E466" i="21"/>
  <c r="B467" i="21"/>
  <c r="D467" i="21" s="1"/>
  <c r="C467" i="21"/>
  <c r="E467" i="21"/>
  <c r="B468" i="21"/>
  <c r="H468" i="21" s="1"/>
  <c r="C468" i="21"/>
  <c r="E468" i="21"/>
  <c r="B450" i="21"/>
  <c r="D450" i="21" s="1"/>
  <c r="C450" i="21"/>
  <c r="E450" i="21"/>
  <c r="B451" i="21"/>
  <c r="D451" i="21" s="1"/>
  <c r="C451" i="21"/>
  <c r="E451" i="21"/>
  <c r="B452" i="21"/>
  <c r="C452" i="21"/>
  <c r="E452" i="21"/>
  <c r="B453" i="21"/>
  <c r="H453" i="21" s="1"/>
  <c r="C453" i="21"/>
  <c r="E453" i="21"/>
  <c r="B454" i="21"/>
  <c r="D454" i="21" s="1"/>
  <c r="C454" i="21"/>
  <c r="E454" i="21"/>
  <c r="B455" i="21"/>
  <c r="D455" i="21" s="1"/>
  <c r="C455" i="21"/>
  <c r="E455" i="21"/>
  <c r="B456" i="21"/>
  <c r="C456" i="21"/>
  <c r="E456" i="21"/>
  <c r="B457" i="21"/>
  <c r="H457" i="21" s="1"/>
  <c r="C457" i="21"/>
  <c r="E457" i="21"/>
  <c r="B458" i="21"/>
  <c r="D458" i="21" s="1"/>
  <c r="C458" i="21"/>
  <c r="E458" i="21"/>
  <c r="B459" i="21"/>
  <c r="D459" i="21" s="1"/>
  <c r="C459" i="21"/>
  <c r="E459" i="21"/>
  <c r="B460" i="21"/>
  <c r="C460" i="21"/>
  <c r="E460" i="21"/>
  <c r="B461" i="21"/>
  <c r="H461" i="21" s="1"/>
  <c r="C461" i="21"/>
  <c r="E461" i="21"/>
  <c r="B462" i="21"/>
  <c r="H462" i="21" s="1"/>
  <c r="C462" i="21"/>
  <c r="E462" i="21"/>
  <c r="B463" i="21"/>
  <c r="C463" i="21"/>
  <c r="E463" i="21"/>
  <c r="B464" i="21"/>
  <c r="D464" i="21" s="1"/>
  <c r="C464" i="21"/>
  <c r="E464" i="21"/>
  <c r="B465" i="21"/>
  <c r="D465" i="21" s="1"/>
  <c r="C465" i="21"/>
  <c r="E465" i="21"/>
  <c r="B419" i="21"/>
  <c r="H419" i="21" s="1"/>
  <c r="C419" i="21"/>
  <c r="E419" i="21"/>
  <c r="B420" i="21"/>
  <c r="D420" i="21" s="1"/>
  <c r="C420" i="21"/>
  <c r="E420" i="21"/>
  <c r="B421" i="21"/>
  <c r="H421" i="21" s="1"/>
  <c r="C421" i="21"/>
  <c r="E421" i="21"/>
  <c r="B422" i="21"/>
  <c r="C422" i="21"/>
  <c r="E422" i="21"/>
  <c r="B423" i="21"/>
  <c r="H423" i="21" s="1"/>
  <c r="C423" i="21"/>
  <c r="E423" i="21"/>
  <c r="B424" i="21"/>
  <c r="D424" i="21" s="1"/>
  <c r="C424" i="21"/>
  <c r="E424" i="21"/>
  <c r="B425" i="21"/>
  <c r="C425" i="21"/>
  <c r="E425" i="21"/>
  <c r="B426" i="21"/>
  <c r="D426" i="21" s="1"/>
  <c r="C426" i="21"/>
  <c r="E426" i="21"/>
  <c r="B427" i="21"/>
  <c r="D427" i="21" s="1"/>
  <c r="C427" i="21"/>
  <c r="E427" i="21"/>
  <c r="B428" i="21"/>
  <c r="D428" i="21" s="1"/>
  <c r="C428" i="21"/>
  <c r="E428" i="21"/>
  <c r="B429" i="21"/>
  <c r="H429" i="21" s="1"/>
  <c r="C429" i="21"/>
  <c r="E429" i="21"/>
  <c r="B430" i="21"/>
  <c r="H430" i="21" s="1"/>
  <c r="C430" i="21"/>
  <c r="E430" i="21"/>
  <c r="B431" i="21"/>
  <c r="C431" i="21"/>
  <c r="E431" i="21"/>
  <c r="B432" i="21"/>
  <c r="D432" i="21" s="1"/>
  <c r="C432" i="21"/>
  <c r="E432" i="21"/>
  <c r="B433" i="21"/>
  <c r="H433" i="21" s="1"/>
  <c r="C433" i="21"/>
  <c r="E433" i="21"/>
  <c r="B434" i="21"/>
  <c r="H434" i="21" s="1"/>
  <c r="C434" i="21"/>
  <c r="E434" i="21"/>
  <c r="B435" i="21"/>
  <c r="D435" i="21" s="1"/>
  <c r="C435" i="21"/>
  <c r="E435" i="21"/>
  <c r="B436" i="21"/>
  <c r="D436" i="21" s="1"/>
  <c r="C436" i="21"/>
  <c r="E436" i="21"/>
  <c r="B437" i="21"/>
  <c r="H437" i="21" s="1"/>
  <c r="C437" i="21"/>
  <c r="E437" i="21"/>
  <c r="B438" i="21"/>
  <c r="D438" i="21" s="1"/>
  <c r="C438" i="21"/>
  <c r="E438" i="21"/>
  <c r="B439" i="21"/>
  <c r="H439" i="21" s="1"/>
  <c r="C439" i="21"/>
  <c r="E439" i="21"/>
  <c r="B440" i="21"/>
  <c r="D440" i="21" s="1"/>
  <c r="C440" i="21"/>
  <c r="E440" i="21"/>
  <c r="B441" i="21"/>
  <c r="H441" i="21" s="1"/>
  <c r="C441" i="21"/>
  <c r="E441" i="21"/>
  <c r="B442" i="21"/>
  <c r="C442" i="21"/>
  <c r="D442" i="21"/>
  <c r="E442" i="21"/>
  <c r="H442" i="21"/>
  <c r="B443" i="21"/>
  <c r="H443" i="21" s="1"/>
  <c r="C443" i="21"/>
  <c r="E443" i="21"/>
  <c r="B444" i="21"/>
  <c r="D444" i="21" s="1"/>
  <c r="C444" i="21"/>
  <c r="E444" i="21"/>
  <c r="B445" i="21"/>
  <c r="H445" i="21" s="1"/>
  <c r="C445" i="21"/>
  <c r="E445" i="21"/>
  <c r="B446" i="21"/>
  <c r="H446" i="21" s="1"/>
  <c r="C446" i="21"/>
  <c r="E446" i="21"/>
  <c r="B447" i="21"/>
  <c r="D447" i="21" s="1"/>
  <c r="C447" i="21"/>
  <c r="E447" i="21"/>
  <c r="B448" i="21"/>
  <c r="D448" i="21" s="1"/>
  <c r="C448" i="21"/>
  <c r="E448" i="21"/>
  <c r="B449" i="21"/>
  <c r="H449" i="21" s="1"/>
  <c r="C449" i="21"/>
  <c r="E449" i="21"/>
  <c r="I418" i="21"/>
  <c r="E418" i="21"/>
  <c r="B418" i="21"/>
  <c r="H418" i="21" s="1"/>
  <c r="B404" i="21"/>
  <c r="D404" i="21" s="1"/>
  <c r="C404" i="21"/>
  <c r="E404" i="21"/>
  <c r="I404" i="21"/>
  <c r="B405" i="21"/>
  <c r="H405" i="21" s="1"/>
  <c r="C405" i="21"/>
  <c r="E405" i="21"/>
  <c r="I405" i="21"/>
  <c r="B406" i="21"/>
  <c r="H406" i="21" s="1"/>
  <c r="C406" i="21"/>
  <c r="E406" i="21"/>
  <c r="I406" i="21"/>
  <c r="B407" i="21"/>
  <c r="D407" i="21" s="1"/>
  <c r="C407" i="21"/>
  <c r="E407" i="21"/>
  <c r="I407" i="21"/>
  <c r="B408" i="21"/>
  <c r="D408" i="21" s="1"/>
  <c r="C408" i="21"/>
  <c r="E408" i="21"/>
  <c r="I408" i="21"/>
  <c r="B409" i="21"/>
  <c r="H409" i="21" s="1"/>
  <c r="C409" i="21"/>
  <c r="E409" i="21"/>
  <c r="I409" i="21"/>
  <c r="B410" i="21"/>
  <c r="D410" i="21" s="1"/>
  <c r="C410" i="21"/>
  <c r="E410" i="21"/>
  <c r="I410" i="21"/>
  <c r="B411" i="21"/>
  <c r="D411" i="21" s="1"/>
  <c r="C411" i="21"/>
  <c r="E411" i="21"/>
  <c r="I411" i="21"/>
  <c r="B412" i="21"/>
  <c r="D412" i="21" s="1"/>
  <c r="C412" i="21"/>
  <c r="E412" i="21"/>
  <c r="I412" i="21"/>
  <c r="B413" i="21"/>
  <c r="H413" i="21" s="1"/>
  <c r="C413" i="21"/>
  <c r="E413" i="21"/>
  <c r="I413" i="21"/>
  <c r="B414" i="21"/>
  <c r="H414" i="21" s="1"/>
  <c r="C414" i="21"/>
  <c r="E414" i="21"/>
  <c r="I414" i="21"/>
  <c r="B415" i="21"/>
  <c r="D415" i="21" s="1"/>
  <c r="C415" i="21"/>
  <c r="E415" i="21"/>
  <c r="I415" i="21"/>
  <c r="B416" i="21"/>
  <c r="D416" i="21" s="1"/>
  <c r="C416" i="21"/>
  <c r="E416" i="21"/>
  <c r="I416" i="21"/>
  <c r="B417" i="21"/>
  <c r="H417" i="21" s="1"/>
  <c r="C417" i="21"/>
  <c r="E417" i="21"/>
  <c r="I417" i="21"/>
  <c r="C418" i="21"/>
  <c r="B367" i="21"/>
  <c r="D367" i="21" s="1"/>
  <c r="C367" i="21"/>
  <c r="E367" i="21"/>
  <c r="I367" i="21"/>
  <c r="B368" i="21"/>
  <c r="C368" i="21"/>
  <c r="E368" i="21"/>
  <c r="I368" i="21"/>
  <c r="B369" i="21"/>
  <c r="D369" i="21" s="1"/>
  <c r="C369" i="21"/>
  <c r="E369" i="21"/>
  <c r="I369" i="21"/>
  <c r="B370" i="21"/>
  <c r="D370" i="21" s="1"/>
  <c r="C370" i="21"/>
  <c r="E370" i="21"/>
  <c r="I370" i="21"/>
  <c r="B371" i="21"/>
  <c r="D371" i="21" s="1"/>
  <c r="C371" i="21"/>
  <c r="E371" i="21"/>
  <c r="I371" i="21"/>
  <c r="B372" i="21"/>
  <c r="H372" i="21" s="1"/>
  <c r="C372" i="21"/>
  <c r="E372" i="21"/>
  <c r="I372" i="21"/>
  <c r="B373" i="21"/>
  <c r="H373" i="21" s="1"/>
  <c r="C373" i="21"/>
  <c r="E373" i="21"/>
  <c r="I373" i="21"/>
  <c r="B374" i="21"/>
  <c r="C374" i="21"/>
  <c r="E374" i="21"/>
  <c r="I374" i="21"/>
  <c r="B375" i="21"/>
  <c r="D375" i="21" s="1"/>
  <c r="C375" i="21"/>
  <c r="E375" i="21"/>
  <c r="I375" i="21"/>
  <c r="B376" i="21"/>
  <c r="H376" i="21" s="1"/>
  <c r="C376" i="21"/>
  <c r="E376" i="21"/>
  <c r="I376" i="21"/>
  <c r="B377" i="21"/>
  <c r="H377" i="21" s="1"/>
  <c r="C377" i="21"/>
  <c r="E377" i="21"/>
  <c r="I377" i="21"/>
  <c r="B378" i="21"/>
  <c r="D378" i="21" s="1"/>
  <c r="C378" i="21"/>
  <c r="E378" i="21"/>
  <c r="I378" i="21"/>
  <c r="B379" i="21"/>
  <c r="D379" i="21" s="1"/>
  <c r="C379" i="21"/>
  <c r="E379" i="21"/>
  <c r="I379" i="21"/>
  <c r="B380" i="21"/>
  <c r="H380" i="21" s="1"/>
  <c r="C380" i="21"/>
  <c r="E380" i="21"/>
  <c r="I380" i="21"/>
  <c r="B381" i="21"/>
  <c r="D381" i="21" s="1"/>
  <c r="C381" i="21"/>
  <c r="E381" i="21"/>
  <c r="I381" i="21"/>
  <c r="B382" i="21"/>
  <c r="H382" i="21" s="1"/>
  <c r="C382" i="21"/>
  <c r="D382" i="21"/>
  <c r="E382" i="21"/>
  <c r="I382" i="21"/>
  <c r="B383" i="21"/>
  <c r="D383" i="21" s="1"/>
  <c r="C383" i="21"/>
  <c r="E383" i="21"/>
  <c r="I383" i="21"/>
  <c r="B384" i="21"/>
  <c r="H384" i="21" s="1"/>
  <c r="C384" i="21"/>
  <c r="E384" i="21"/>
  <c r="I384" i="21"/>
  <c r="B385" i="21"/>
  <c r="D385" i="21" s="1"/>
  <c r="C385" i="21"/>
  <c r="E385" i="21"/>
  <c r="I385" i="21"/>
  <c r="B386" i="21"/>
  <c r="H386" i="21" s="1"/>
  <c r="C386" i="21"/>
  <c r="E386" i="21"/>
  <c r="I386" i="21"/>
  <c r="B387" i="21"/>
  <c r="D387" i="21" s="1"/>
  <c r="C387" i="21"/>
  <c r="E387" i="21"/>
  <c r="I387" i="21"/>
  <c r="B388" i="21"/>
  <c r="H388" i="21" s="1"/>
  <c r="C388" i="21"/>
  <c r="E388" i="21"/>
  <c r="I388" i="21"/>
  <c r="B389" i="21"/>
  <c r="H389" i="21" s="1"/>
  <c r="C389" i="21"/>
  <c r="E389" i="21"/>
  <c r="I389" i="21"/>
  <c r="B390" i="21"/>
  <c r="C390" i="21"/>
  <c r="E390" i="21"/>
  <c r="I390" i="21"/>
  <c r="B391" i="21"/>
  <c r="D391" i="21" s="1"/>
  <c r="C391" i="21"/>
  <c r="E391" i="21"/>
  <c r="I391" i="21"/>
  <c r="B392" i="21"/>
  <c r="C392" i="21"/>
  <c r="E392" i="21"/>
  <c r="I392" i="21"/>
  <c r="B393" i="21"/>
  <c r="D393" i="21" s="1"/>
  <c r="C393" i="21"/>
  <c r="E393" i="21"/>
  <c r="I393" i="21"/>
  <c r="B394" i="21"/>
  <c r="H394" i="21" s="1"/>
  <c r="C394" i="21"/>
  <c r="E394" i="21"/>
  <c r="I394" i="21"/>
  <c r="B395" i="21"/>
  <c r="D395" i="21" s="1"/>
  <c r="C395" i="21"/>
  <c r="E395" i="21"/>
  <c r="I395" i="21"/>
  <c r="B396" i="21"/>
  <c r="H396" i="21" s="1"/>
  <c r="C396" i="21"/>
  <c r="E396" i="21"/>
  <c r="I396" i="21"/>
  <c r="B397" i="21"/>
  <c r="C397" i="21"/>
  <c r="E397" i="21"/>
  <c r="I397" i="21"/>
  <c r="B398" i="21"/>
  <c r="H398" i="21" s="1"/>
  <c r="C398" i="21"/>
  <c r="E398" i="21"/>
  <c r="I398" i="21"/>
  <c r="B399" i="21"/>
  <c r="D399" i="21" s="1"/>
  <c r="C399" i="21"/>
  <c r="E399" i="21"/>
  <c r="I399" i="21"/>
  <c r="B400" i="21"/>
  <c r="C400" i="21"/>
  <c r="E400" i="21"/>
  <c r="I400" i="21"/>
  <c r="B401" i="21"/>
  <c r="D401" i="21" s="1"/>
  <c r="C401" i="21"/>
  <c r="E401" i="21"/>
  <c r="I401" i="21"/>
  <c r="B402" i="21"/>
  <c r="D402" i="21" s="1"/>
  <c r="C402" i="21"/>
  <c r="E402" i="21"/>
  <c r="H402" i="21"/>
  <c r="I402" i="21"/>
  <c r="B403" i="21"/>
  <c r="D403" i="21" s="1"/>
  <c r="C403" i="21"/>
  <c r="E403" i="21"/>
  <c r="I403" i="21"/>
  <c r="I366" i="21"/>
  <c r="E366" i="21"/>
  <c r="B366" i="21"/>
  <c r="D366" i="21" s="1"/>
  <c r="C366" i="21"/>
  <c r="B362" i="21"/>
  <c r="D362" i="21" s="1"/>
  <c r="C362" i="21"/>
  <c r="E362" i="21"/>
  <c r="I362" i="21"/>
  <c r="B363" i="21"/>
  <c r="H363" i="21" s="1"/>
  <c r="C363" i="21"/>
  <c r="E363" i="21"/>
  <c r="I363" i="21"/>
  <c r="B364" i="21"/>
  <c r="D364" i="21" s="1"/>
  <c r="C364" i="21"/>
  <c r="E364" i="21"/>
  <c r="I364" i="21"/>
  <c r="B365" i="21"/>
  <c r="H365" i="21" s="1"/>
  <c r="C365" i="21"/>
  <c r="D365" i="21"/>
  <c r="E365" i="21"/>
  <c r="I365" i="21"/>
  <c r="B357" i="21"/>
  <c r="D357" i="21" s="1"/>
  <c r="C357" i="21"/>
  <c r="E357" i="21"/>
  <c r="I357" i="21"/>
  <c r="B358" i="21"/>
  <c r="H358" i="21" s="1"/>
  <c r="C358" i="21"/>
  <c r="E358" i="21"/>
  <c r="I358" i="21"/>
  <c r="B359" i="21"/>
  <c r="C359" i="21"/>
  <c r="E359" i="21"/>
  <c r="I359" i="21"/>
  <c r="B360" i="21"/>
  <c r="D360" i="21" s="1"/>
  <c r="C360" i="21"/>
  <c r="E360" i="21"/>
  <c r="I360" i="21"/>
  <c r="B361" i="21"/>
  <c r="D361" i="21" s="1"/>
  <c r="C361" i="21"/>
  <c r="E361" i="21"/>
  <c r="I361" i="21"/>
  <c r="B315" i="21"/>
  <c r="D315" i="21" s="1"/>
  <c r="C315" i="21"/>
  <c r="E315" i="21"/>
  <c r="I315" i="21"/>
  <c r="B316" i="21"/>
  <c r="H316" i="21" s="1"/>
  <c r="C316" i="21"/>
  <c r="E316" i="21"/>
  <c r="I316" i="21"/>
  <c r="B317" i="21"/>
  <c r="D317" i="21" s="1"/>
  <c r="C317" i="21"/>
  <c r="E317" i="21"/>
  <c r="I317" i="21"/>
  <c r="B318" i="21"/>
  <c r="H318" i="21" s="1"/>
  <c r="C318" i="21"/>
  <c r="E318" i="21"/>
  <c r="I318" i="21"/>
  <c r="B319" i="21"/>
  <c r="D319" i="21" s="1"/>
  <c r="C319" i="21"/>
  <c r="E319" i="21"/>
  <c r="I319" i="21"/>
  <c r="B320" i="21"/>
  <c r="H320" i="21" s="1"/>
  <c r="C320" i="21"/>
  <c r="E320" i="21"/>
  <c r="I320" i="21"/>
  <c r="B321" i="21"/>
  <c r="D321" i="21" s="1"/>
  <c r="C321" i="21"/>
  <c r="E321" i="21"/>
  <c r="I321" i="21"/>
  <c r="B322" i="21"/>
  <c r="H322" i="21" s="1"/>
  <c r="C322" i="21"/>
  <c r="E322" i="21"/>
  <c r="I322" i="21"/>
  <c r="B323" i="21"/>
  <c r="D323" i="21" s="1"/>
  <c r="C323" i="21"/>
  <c r="E323" i="21"/>
  <c r="I323" i="21"/>
  <c r="B324" i="21"/>
  <c r="H324" i="21" s="1"/>
  <c r="C324" i="21"/>
  <c r="E324" i="21"/>
  <c r="I324" i="21"/>
  <c r="B325" i="21"/>
  <c r="H325" i="21" s="1"/>
  <c r="C325" i="21"/>
  <c r="E325" i="21"/>
  <c r="I325" i="21"/>
  <c r="B326" i="21"/>
  <c r="D326" i="21" s="1"/>
  <c r="C326" i="21"/>
  <c r="E326" i="21"/>
  <c r="I326" i="21"/>
  <c r="B327" i="21"/>
  <c r="D327" i="21" s="1"/>
  <c r="C327" i="21"/>
  <c r="E327" i="21"/>
  <c r="I327" i="21"/>
  <c r="B328" i="21"/>
  <c r="C328" i="21"/>
  <c r="E328" i="21"/>
  <c r="I328" i="21"/>
  <c r="B329" i="21"/>
  <c r="D329" i="21" s="1"/>
  <c r="C329" i="21"/>
  <c r="E329" i="21"/>
  <c r="I329" i="21"/>
  <c r="B330" i="21"/>
  <c r="D330" i="21" s="1"/>
  <c r="C330" i="21"/>
  <c r="E330" i="21"/>
  <c r="I330" i="21"/>
  <c r="B331" i="21"/>
  <c r="D331" i="21" s="1"/>
  <c r="C331" i="21"/>
  <c r="E331" i="21"/>
  <c r="I331" i="21"/>
  <c r="B332" i="21"/>
  <c r="H332" i="21" s="1"/>
  <c r="C332" i="21"/>
  <c r="E332" i="21"/>
  <c r="I332" i="21"/>
  <c r="B333" i="21"/>
  <c r="D333" i="21" s="1"/>
  <c r="C333" i="21"/>
  <c r="E333" i="21"/>
  <c r="I333" i="21"/>
  <c r="B334" i="21"/>
  <c r="C334" i="21"/>
  <c r="E334" i="21"/>
  <c r="I334" i="21"/>
  <c r="B335" i="21"/>
  <c r="D335" i="21" s="1"/>
  <c r="C335" i="21"/>
  <c r="E335" i="21"/>
  <c r="I335" i="21"/>
  <c r="B336" i="21"/>
  <c r="H336" i="21" s="1"/>
  <c r="C336" i="21"/>
  <c r="E336" i="21"/>
  <c r="I336" i="21"/>
  <c r="B337" i="21"/>
  <c r="C337" i="21"/>
  <c r="E337" i="21"/>
  <c r="I337" i="21"/>
  <c r="B338" i="21"/>
  <c r="D338" i="21" s="1"/>
  <c r="C338" i="21"/>
  <c r="E338" i="21"/>
  <c r="I338" i="21"/>
  <c r="B339" i="21"/>
  <c r="D339" i="21" s="1"/>
  <c r="C339" i="21"/>
  <c r="E339" i="21"/>
  <c r="I339" i="21"/>
  <c r="B340" i="21"/>
  <c r="C340" i="21"/>
  <c r="E340" i="21"/>
  <c r="I340" i="21"/>
  <c r="B341" i="21"/>
  <c r="H341" i="21" s="1"/>
  <c r="C341" i="21"/>
  <c r="E341" i="21"/>
  <c r="I341" i="21"/>
  <c r="B342" i="21"/>
  <c r="D342" i="21" s="1"/>
  <c r="C342" i="21"/>
  <c r="E342" i="21"/>
  <c r="I342" i="21"/>
  <c r="B343" i="21"/>
  <c r="D343" i="21" s="1"/>
  <c r="C343" i="21"/>
  <c r="E343" i="21"/>
  <c r="I343" i="21"/>
  <c r="B344" i="21"/>
  <c r="C344" i="21"/>
  <c r="E344" i="21"/>
  <c r="I344" i="21"/>
  <c r="B345" i="21"/>
  <c r="C345" i="21"/>
  <c r="E345" i="21"/>
  <c r="I345" i="21"/>
  <c r="B346" i="21"/>
  <c r="D346" i="21" s="1"/>
  <c r="C346" i="21"/>
  <c r="E346" i="21"/>
  <c r="I346" i="21"/>
  <c r="B347" i="21"/>
  <c r="D347" i="21" s="1"/>
  <c r="C347" i="21"/>
  <c r="E347" i="21"/>
  <c r="I347" i="21"/>
  <c r="B348" i="21"/>
  <c r="H348" i="21" s="1"/>
  <c r="C348" i="21"/>
  <c r="E348" i="21"/>
  <c r="I348" i="21"/>
  <c r="B349" i="21"/>
  <c r="D349" i="21" s="1"/>
  <c r="C349" i="21"/>
  <c r="E349" i="21"/>
  <c r="I349" i="21"/>
  <c r="B350" i="21"/>
  <c r="H350" i="21" s="1"/>
  <c r="C350" i="21"/>
  <c r="E350" i="21"/>
  <c r="I350" i="21"/>
  <c r="B351" i="21"/>
  <c r="D351" i="21" s="1"/>
  <c r="C351" i="21"/>
  <c r="E351" i="21"/>
  <c r="I351" i="21"/>
  <c r="B352" i="21"/>
  <c r="H352" i="21" s="1"/>
  <c r="C352" i="21"/>
  <c r="E352" i="21"/>
  <c r="I352" i="21"/>
  <c r="B353" i="21"/>
  <c r="D353" i="21" s="1"/>
  <c r="C353" i="21"/>
  <c r="E353" i="21"/>
  <c r="I353" i="21"/>
  <c r="B354" i="21"/>
  <c r="C354" i="21"/>
  <c r="E354" i="21"/>
  <c r="I354" i="21"/>
  <c r="B355" i="21"/>
  <c r="D355" i="21" s="1"/>
  <c r="C355" i="21"/>
  <c r="E355" i="21"/>
  <c r="I355" i="21"/>
  <c r="B356" i="21"/>
  <c r="H356" i="21" s="1"/>
  <c r="C356" i="21"/>
  <c r="E356" i="21"/>
  <c r="I356" i="21"/>
  <c r="I314" i="21"/>
  <c r="E314" i="21"/>
  <c r="H427" i="21" l="1"/>
  <c r="D492" i="21"/>
  <c r="H385" i="21"/>
  <c r="D484" i="21"/>
  <c r="H559" i="21"/>
  <c r="D695" i="21"/>
  <c r="H732" i="21"/>
  <c r="H929" i="21"/>
  <c r="D904" i="21"/>
  <c r="H974" i="21"/>
  <c r="D1001" i="21"/>
  <c r="H1103" i="21"/>
  <c r="H1164" i="21"/>
  <c r="H1394" i="21"/>
  <c r="D1359" i="21"/>
  <c r="D1689" i="21"/>
  <c r="D1670" i="21"/>
  <c r="D1757" i="21"/>
  <c r="H1827" i="21"/>
  <c r="D1905" i="21"/>
  <c r="H1893" i="21"/>
  <c r="D2150" i="21"/>
  <c r="H2206" i="21"/>
  <c r="D2258" i="21"/>
  <c r="H2601" i="21"/>
  <c r="H2767" i="21"/>
  <c r="H2815" i="21"/>
  <c r="H2946" i="21"/>
  <c r="H2930" i="21"/>
  <c r="H3107" i="21"/>
  <c r="H3075" i="21"/>
  <c r="D3112" i="21"/>
  <c r="D3122" i="21"/>
  <c r="D3141" i="21"/>
  <c r="D3221" i="21"/>
  <c r="D3206" i="21"/>
  <c r="D3267" i="21"/>
  <c r="D2271" i="21"/>
  <c r="D2346" i="21"/>
  <c r="D2398" i="21"/>
  <c r="D2639" i="21"/>
  <c r="D2686" i="21"/>
  <c r="D2757" i="21"/>
  <c r="D2801" i="21"/>
  <c r="H1390" i="21"/>
  <c r="H1471" i="21"/>
  <c r="H1820" i="21"/>
  <c r="H1842" i="21"/>
  <c r="H1951" i="21"/>
  <c r="H2002" i="21"/>
  <c r="H2116" i="21"/>
  <c r="D2427" i="21"/>
  <c r="D2490" i="21"/>
  <c r="D2457" i="21"/>
  <c r="H2447" i="21"/>
  <c r="H2514" i="21"/>
  <c r="D2509" i="21"/>
  <c r="H2543" i="21"/>
  <c r="H2595" i="21"/>
  <c r="D2621" i="21"/>
  <c r="D2738" i="21"/>
  <c r="D2725" i="21"/>
  <c r="D2791" i="21"/>
  <c r="D2837" i="21"/>
  <c r="D2826" i="21"/>
  <c r="H3066" i="21"/>
  <c r="H3078" i="21"/>
  <c r="H515" i="21"/>
  <c r="H755" i="21"/>
  <c r="H846" i="21"/>
  <c r="H1061" i="21"/>
  <c r="H1134" i="21"/>
  <c r="D1249" i="21"/>
  <c r="H1770" i="21"/>
  <c r="D1733" i="21"/>
  <c r="H3198" i="21"/>
  <c r="D3185" i="21"/>
  <c r="H3183" i="21"/>
  <c r="H543" i="21"/>
  <c r="D457" i="21"/>
  <c r="H481" i="21"/>
  <c r="D625" i="21"/>
  <c r="H814" i="21"/>
  <c r="D785" i="21"/>
  <c r="H901" i="21"/>
  <c r="D1029" i="21"/>
  <c r="D1403" i="21"/>
  <c r="D1449" i="21"/>
  <c r="H1429" i="21"/>
  <c r="H1500" i="21"/>
  <c r="D1508" i="21"/>
  <c r="D1550" i="21"/>
  <c r="D1517" i="21"/>
  <c r="D1641" i="21"/>
  <c r="D1786" i="21"/>
  <c r="D1937" i="21"/>
  <c r="H1935" i="21"/>
  <c r="D1994" i="21"/>
  <c r="D2102" i="21"/>
  <c r="H2100" i="21"/>
  <c r="H2143" i="21"/>
  <c r="D2172" i="21"/>
  <c r="H2170" i="21"/>
  <c r="H2326" i="21"/>
  <c r="H2430" i="21"/>
  <c r="H2466" i="21"/>
  <c r="H2647" i="21"/>
  <c r="D2615" i="21"/>
  <c r="H2611" i="21"/>
  <c r="H2698" i="21"/>
  <c r="H2730" i="21"/>
  <c r="H2707" i="21"/>
  <c r="H3091" i="21"/>
  <c r="D713" i="21"/>
  <c r="D838" i="21"/>
  <c r="H1269" i="21"/>
  <c r="H2187" i="21"/>
  <c r="H2266" i="21"/>
  <c r="D2245" i="21"/>
  <c r="H2243" i="21"/>
  <c r="D2309" i="21"/>
  <c r="D2362" i="21"/>
  <c r="H2358" i="21"/>
  <c r="D2743" i="21"/>
  <c r="D2838" i="21"/>
  <c r="D2829" i="21"/>
  <c r="H2861" i="21"/>
  <c r="D2897" i="21"/>
  <c r="H2895" i="21"/>
  <c r="D2877" i="21"/>
  <c r="H2875" i="21"/>
  <c r="D2908" i="21"/>
  <c r="D2964" i="21"/>
  <c r="H2929" i="21"/>
  <c r="D2924" i="21"/>
  <c r="H3014" i="21"/>
  <c r="H3003" i="21"/>
  <c r="D2990" i="21"/>
  <c r="H3041" i="21"/>
  <c r="D3158" i="21"/>
  <c r="D3225" i="21"/>
  <c r="D3218" i="21"/>
  <c r="D3205" i="21"/>
  <c r="H3203" i="21"/>
  <c r="D3247" i="21"/>
  <c r="H3243" i="21"/>
  <c r="D3234" i="21"/>
  <c r="H697" i="21"/>
  <c r="H906" i="21"/>
  <c r="H1007" i="21"/>
  <c r="H1045" i="21"/>
  <c r="H1239" i="21"/>
  <c r="H1338" i="21"/>
  <c r="D1707" i="21"/>
  <c r="H1682" i="21"/>
  <c r="D1801" i="21"/>
  <c r="D1843" i="21"/>
  <c r="H1922" i="21"/>
  <c r="D1958" i="21"/>
  <c r="D2123" i="21"/>
  <c r="D2158" i="21"/>
  <c r="D2141" i="21"/>
  <c r="H2139" i="21"/>
  <c r="H2239" i="21"/>
  <c r="D2295" i="21"/>
  <c r="H2291" i="21"/>
  <c r="D2515" i="21"/>
  <c r="H2571" i="21"/>
  <c r="H2562" i="21"/>
  <c r="D2781" i="21"/>
  <c r="D2850" i="21"/>
  <c r="D2890" i="21"/>
  <c r="D2960" i="21"/>
  <c r="D2945" i="21"/>
  <c r="D2982" i="21"/>
  <c r="D2971" i="21"/>
  <c r="H3199" i="21"/>
  <c r="H3175" i="21"/>
  <c r="H407" i="21"/>
  <c r="D445" i="21"/>
  <c r="D516" i="21"/>
  <c r="D550" i="21"/>
  <c r="D653" i="21"/>
  <c r="H641" i="21"/>
  <c r="D762" i="21"/>
  <c r="H815" i="21"/>
  <c r="H887" i="21"/>
  <c r="D1062" i="21"/>
  <c r="H1188" i="21"/>
  <c r="H1298" i="21"/>
  <c r="D1458" i="21"/>
  <c r="D1610" i="21"/>
  <c r="D1654" i="21"/>
  <c r="D1695" i="21"/>
  <c r="D1797" i="21"/>
  <c r="H1831" i="21"/>
  <c r="D1909" i="21"/>
  <c r="D2414" i="21"/>
  <c r="D2481" i="21"/>
  <c r="D2643" i="21"/>
  <c r="D2605" i="21"/>
  <c r="D2803" i="21"/>
  <c r="D2834" i="21"/>
  <c r="D2825" i="21"/>
  <c r="D2936" i="21"/>
  <c r="D2978" i="21"/>
  <c r="D3046" i="21"/>
  <c r="D3163" i="21"/>
  <c r="H3159" i="21"/>
  <c r="D3145" i="21"/>
  <c r="D3170" i="21"/>
  <c r="D3275" i="21"/>
  <c r="D607" i="21"/>
  <c r="D598" i="21"/>
  <c r="D621" i="21"/>
  <c r="H326" i="21"/>
  <c r="D389" i="21"/>
  <c r="H469" i="21"/>
  <c r="H507" i="21"/>
  <c r="D565" i="21"/>
  <c r="H531" i="21"/>
  <c r="D661" i="21"/>
  <c r="D746" i="21"/>
  <c r="H803" i="21"/>
  <c r="H897" i="21"/>
  <c r="H987" i="21"/>
  <c r="D949" i="21"/>
  <c r="H1135" i="21"/>
  <c r="H1198" i="21"/>
  <c r="H1159" i="21"/>
  <c r="D1246" i="21"/>
  <c r="H1218" i="21"/>
  <c r="D1293" i="21"/>
  <c r="H1285" i="21"/>
  <c r="D1261" i="21"/>
  <c r="H1253" i="21"/>
  <c r="D1350" i="21"/>
  <c r="D1331" i="21"/>
  <c r="H1387" i="21"/>
  <c r="D1378" i="21"/>
  <c r="D1355" i="21"/>
  <c r="D1409" i="21"/>
  <c r="D1488" i="21"/>
  <c r="H1491" i="21"/>
  <c r="D1526" i="21"/>
  <c r="H1526" i="21"/>
  <c r="D1639" i="21"/>
  <c r="H1639" i="21"/>
  <c r="D1633" i="21"/>
  <c r="H1819" i="21"/>
  <c r="D1819" i="21"/>
  <c r="H2090" i="21"/>
  <c r="D2090" i="21"/>
  <c r="H1662" i="21"/>
  <c r="D1662" i="21"/>
  <c r="H1698" i="21"/>
  <c r="D1698" i="21"/>
  <c r="D1942" i="21"/>
  <c r="H1942" i="21"/>
  <c r="H2226" i="21"/>
  <c r="D2226" i="21"/>
  <c r="D341" i="21"/>
  <c r="H329" i="21"/>
  <c r="D398" i="21"/>
  <c r="D446" i="21"/>
  <c r="D419" i="21"/>
  <c r="H489" i="21"/>
  <c r="D601" i="21"/>
  <c r="D581" i="21"/>
  <c r="D645" i="21"/>
  <c r="D719" i="21"/>
  <c r="D693" i="21"/>
  <c r="D738" i="21"/>
  <c r="D778" i="21"/>
  <c r="D882" i="21"/>
  <c r="H938" i="21"/>
  <c r="D1038" i="21"/>
  <c r="D1050" i="21"/>
  <c r="D1223" i="21"/>
  <c r="D1214" i="21"/>
  <c r="D1383" i="21"/>
  <c r="D1362" i="21"/>
  <c r="D1529" i="21"/>
  <c r="D1586" i="21"/>
  <c r="H1681" i="21"/>
  <c r="D1681" i="21"/>
  <c r="H1974" i="21"/>
  <c r="D1974" i="21"/>
  <c r="D394" i="21"/>
  <c r="H381" i="21"/>
  <c r="D417" i="21"/>
  <c r="H415" i="21"/>
  <c r="D439" i="21"/>
  <c r="D453" i="21"/>
  <c r="D478" i="21"/>
  <c r="D514" i="21"/>
  <c r="H512" i="21"/>
  <c r="D566" i="21"/>
  <c r="D542" i="21"/>
  <c r="H538" i="21"/>
  <c r="H602" i="21"/>
  <c r="D586" i="21"/>
  <c r="H582" i="21"/>
  <c r="D770" i="21"/>
  <c r="H831" i="21"/>
  <c r="H806" i="21"/>
  <c r="H874" i="21"/>
  <c r="H863" i="21"/>
  <c r="D909" i="21"/>
  <c r="D977" i="21"/>
  <c r="H1019" i="21"/>
  <c r="D997" i="21"/>
  <c r="H995" i="21"/>
  <c r="D1086" i="21"/>
  <c r="H1070" i="21"/>
  <c r="H1143" i="21"/>
  <c r="H1395" i="21"/>
  <c r="H1594" i="21"/>
  <c r="D1594" i="21"/>
  <c r="H1646" i="21"/>
  <c r="D1646" i="21"/>
  <c r="H1717" i="21"/>
  <c r="D1717" i="21"/>
  <c r="H1713" i="21"/>
  <c r="D1713" i="21"/>
  <c r="H1675" i="21"/>
  <c r="D1675" i="21"/>
  <c r="D1766" i="21"/>
  <c r="H1766" i="21"/>
  <c r="D1881" i="21"/>
  <c r="H1881" i="21"/>
  <c r="H346" i="21"/>
  <c r="H498" i="21"/>
  <c r="H562" i="21"/>
  <c r="H758" i="21"/>
  <c r="H739" i="21"/>
  <c r="H779" i="21"/>
  <c r="H823" i="21"/>
  <c r="H922" i="21"/>
  <c r="D1113" i="21"/>
  <c r="H1175" i="21"/>
  <c r="H1371" i="21"/>
  <c r="D1910" i="21"/>
  <c r="H1910" i="21"/>
  <c r="H2118" i="21"/>
  <c r="D2118" i="21"/>
  <c r="D2155" i="21"/>
  <c r="H2155" i="21"/>
  <c r="H2261" i="21"/>
  <c r="D2261" i="21"/>
  <c r="D388" i="21"/>
  <c r="D373" i="21"/>
  <c r="D409" i="21"/>
  <c r="D591" i="21"/>
  <c r="D629" i="21"/>
  <c r="D707" i="21"/>
  <c r="D687" i="21"/>
  <c r="D969" i="21"/>
  <c r="D1039" i="21"/>
  <c r="D1013" i="21"/>
  <c r="D993" i="21"/>
  <c r="D1105" i="21"/>
  <c r="H1167" i="21"/>
  <c r="D1349" i="21"/>
  <c r="D1330" i="21"/>
  <c r="D1437" i="21"/>
  <c r="D1483" i="21"/>
  <c r="H1542" i="21"/>
  <c r="D1542" i="21"/>
  <c r="D1626" i="21"/>
  <c r="D1678" i="21"/>
  <c r="D1921" i="21"/>
  <c r="H1921" i="21"/>
  <c r="H366" i="21"/>
  <c r="H879" i="21"/>
  <c r="H1126" i="21"/>
  <c r="H1156" i="21"/>
  <c r="H1282" i="21"/>
  <c r="H1382" i="21"/>
  <c r="H1499" i="21"/>
  <c r="H1558" i="21"/>
  <c r="H1702" i="21"/>
  <c r="H1718" i="21"/>
  <c r="D1718" i="21"/>
  <c r="D1774" i="21"/>
  <c r="H1774" i="21"/>
  <c r="D2076" i="21"/>
  <c r="H2076" i="21"/>
  <c r="D430" i="21"/>
  <c r="D669" i="21"/>
  <c r="D725" i="21"/>
  <c r="D699" i="21"/>
  <c r="D754" i="21"/>
  <c r="D866" i="21"/>
  <c r="D953" i="21"/>
  <c r="D1022" i="21"/>
  <c r="D1009" i="21"/>
  <c r="D1097" i="21"/>
  <c r="D1233" i="21"/>
  <c r="D1314" i="21"/>
  <c r="H1649" i="21"/>
  <c r="D1649" i="21"/>
  <c r="H1622" i="21"/>
  <c r="D1622" i="21"/>
  <c r="D1687" i="21"/>
  <c r="H1687" i="21"/>
  <c r="D1795" i="21"/>
  <c r="H1795" i="21"/>
  <c r="H1775" i="21"/>
  <c r="H1854" i="21"/>
  <c r="D1826" i="21"/>
  <c r="H1826" i="21"/>
  <c r="D2203" i="21"/>
  <c r="H2203" i="21"/>
  <c r="H2898" i="21"/>
  <c r="H3049" i="21"/>
  <c r="H3033" i="21"/>
  <c r="H3099" i="21"/>
  <c r="H3083" i="21"/>
  <c r="H1658" i="21"/>
  <c r="H1679" i="21"/>
  <c r="H1734" i="21"/>
  <c r="H1858" i="21"/>
  <c r="H1834" i="21"/>
  <c r="D1981" i="21"/>
  <c r="D2070" i="21"/>
  <c r="H2064" i="21"/>
  <c r="H2047" i="21"/>
  <c r="D2130" i="21"/>
  <c r="D2278" i="21"/>
  <c r="H2302" i="21"/>
  <c r="D2375" i="21"/>
  <c r="H2371" i="21"/>
  <c r="D2355" i="21"/>
  <c r="D2441" i="21"/>
  <c r="H2542" i="21"/>
  <c r="H2531" i="21"/>
  <c r="D2513" i="21"/>
  <c r="D2506" i="21"/>
  <c r="H2591" i="21"/>
  <c r="H2558" i="21"/>
  <c r="D2705" i="21"/>
  <c r="H2731" i="21"/>
  <c r="H2719" i="21"/>
  <c r="H2710" i="21"/>
  <c r="D2807" i="21"/>
  <c r="D2798" i="21"/>
  <c r="H2787" i="21"/>
  <c r="D2766" i="21"/>
  <c r="H2830" i="21"/>
  <c r="H2899" i="21"/>
  <c r="H2886" i="21"/>
  <c r="D2879" i="21"/>
  <c r="H2961" i="21"/>
  <c r="D2956" i="21"/>
  <c r="H2954" i="21"/>
  <c r="D2920" i="21"/>
  <c r="D3002" i="21"/>
  <c r="H2998" i="21"/>
  <c r="H2979" i="21"/>
  <c r="D3054" i="21"/>
  <c r="H3050" i="21"/>
  <c r="D3038" i="21"/>
  <c r="H3034" i="21"/>
  <c r="D3022" i="21"/>
  <c r="D3106" i="21"/>
  <c r="H3102" i="21"/>
  <c r="D3090" i="21"/>
  <c r="H3086" i="21"/>
  <c r="D3074" i="21"/>
  <c r="D3121" i="21"/>
  <c r="D3157" i="21"/>
  <c r="H3155" i="21"/>
  <c r="H3142" i="21"/>
  <c r="H3169" i="21"/>
  <c r="H3266" i="21"/>
  <c r="H3250" i="21"/>
  <c r="H2715" i="21"/>
  <c r="H2823" i="21"/>
  <c r="H3150" i="21"/>
  <c r="H2115" i="21"/>
  <c r="D2083" i="21"/>
  <c r="D2165" i="21"/>
  <c r="H2234" i="21"/>
  <c r="D2267" i="21"/>
  <c r="D2349" i="21"/>
  <c r="D2418" i="21"/>
  <c r="D2486" i="21"/>
  <c r="D2477" i="21"/>
  <c r="H2527" i="21"/>
  <c r="H2522" i="21"/>
  <c r="H2554" i="21"/>
  <c r="D2635" i="21"/>
  <c r="H2631" i="21"/>
  <c r="D2673" i="21"/>
  <c r="D2741" i="21"/>
  <c r="H2734" i="21"/>
  <c r="D2769" i="21"/>
  <c r="D2842" i="21"/>
  <c r="D2818" i="21"/>
  <c r="D2813" i="21"/>
  <c r="D2940" i="21"/>
  <c r="D2986" i="21"/>
  <c r="D3135" i="21"/>
  <c r="D3126" i="21"/>
  <c r="D3211" i="21"/>
  <c r="D3191" i="21"/>
  <c r="D3271" i="21"/>
  <c r="H3239" i="21"/>
  <c r="H2048" i="21"/>
  <c r="H2263" i="21"/>
  <c r="H2254" i="21"/>
  <c r="D2290" i="21"/>
  <c r="H2307" i="21"/>
  <c r="H2363" i="21"/>
  <c r="H2478" i="21"/>
  <c r="H2594" i="21"/>
  <c r="H2602" i="21"/>
  <c r="H2607" i="21"/>
  <c r="H2674" i="21"/>
  <c r="H2758" i="21"/>
  <c r="H2754" i="21"/>
  <c r="H2742" i="21"/>
  <c r="H2722" i="21"/>
  <c r="H2711" i="21"/>
  <c r="H2790" i="21"/>
  <c r="H2831" i="21"/>
  <c r="H2814" i="21"/>
  <c r="H2871" i="21"/>
  <c r="H2962" i="21"/>
  <c r="H3006" i="21"/>
  <c r="H2987" i="21"/>
  <c r="H3151" i="21"/>
  <c r="H3138" i="21"/>
  <c r="H3207" i="21"/>
  <c r="H3194" i="21"/>
  <c r="D3189" i="21"/>
  <c r="H3187" i="21"/>
  <c r="H3274" i="21"/>
  <c r="D3255" i="21"/>
  <c r="H3251" i="21"/>
  <c r="D1885" i="21"/>
  <c r="D2013" i="21"/>
  <c r="D2031" i="21"/>
  <c r="D2122" i="21"/>
  <c r="D2094" i="21"/>
  <c r="D2157" i="21"/>
  <c r="D2392" i="21"/>
  <c r="H2443" i="21"/>
  <c r="D2421" i="21"/>
  <c r="H2419" i="21"/>
  <c r="D2493" i="21"/>
  <c r="D2538" i="21"/>
  <c r="D2570" i="21"/>
  <c r="D2651" i="21"/>
  <c r="D2737" i="21"/>
  <c r="D2729" i="21"/>
  <c r="H2727" i="21"/>
  <c r="H2922" i="21"/>
  <c r="H3127" i="21"/>
  <c r="H1642" i="21"/>
  <c r="H1618" i="21"/>
  <c r="D2402" i="21"/>
  <c r="D2463" i="21"/>
  <c r="D2525" i="21"/>
  <c r="H2523" i="21"/>
  <c r="D2549" i="21"/>
  <c r="H2547" i="21"/>
  <c r="H2579" i="21"/>
  <c r="D2627" i="21"/>
  <c r="D2657" i="21"/>
  <c r="D2745" i="21"/>
  <c r="D2797" i="21"/>
  <c r="D2845" i="21"/>
  <c r="D2821" i="21"/>
  <c r="D2948" i="21"/>
  <c r="D2994" i="21"/>
  <c r="D3161" i="21"/>
  <c r="D3202" i="21"/>
  <c r="D3197" i="21"/>
  <c r="D3182" i="21"/>
  <c r="D3177" i="21"/>
  <c r="H466" i="21"/>
  <c r="H510" i="21"/>
  <c r="D510" i="21"/>
  <c r="H349" i="21"/>
  <c r="D322" i="21"/>
  <c r="D449" i="21"/>
  <c r="H447" i="21"/>
  <c r="D433" i="21"/>
  <c r="D488" i="21"/>
  <c r="H486" i="21"/>
  <c r="H555" i="21"/>
  <c r="D555" i="21"/>
  <c r="H530" i="21"/>
  <c r="H585" i="21"/>
  <c r="D585" i="21"/>
  <c r="H626" i="21"/>
  <c r="D626" i="21"/>
  <c r="H665" i="21"/>
  <c r="H633" i="21"/>
  <c r="H730" i="21"/>
  <c r="D730" i="21"/>
  <c r="H774" i="21"/>
  <c r="H750" i="21"/>
  <c r="D799" i="21"/>
  <c r="H799" i="21"/>
  <c r="D921" i="21"/>
  <c r="H921" i="21"/>
  <c r="D893" i="21"/>
  <c r="H893" i="21"/>
  <c r="H393" i="21"/>
  <c r="H392" i="21"/>
  <c r="D392" i="21"/>
  <c r="H370" i="21"/>
  <c r="H465" i="21"/>
  <c r="H504" i="21"/>
  <c r="D504" i="21"/>
  <c r="H572" i="21"/>
  <c r="D572" i="21"/>
  <c r="H617" i="21"/>
  <c r="D617" i="21"/>
  <c r="D654" i="21"/>
  <c r="H654" i="21"/>
  <c r="H1025" i="21"/>
  <c r="D1025" i="21"/>
  <c r="H569" i="21"/>
  <c r="D569" i="21"/>
  <c r="D567" i="21"/>
  <c r="H567" i="21"/>
  <c r="H611" i="21"/>
  <c r="H620" i="21"/>
  <c r="H657" i="21"/>
  <c r="H729" i="21"/>
  <c r="H717" i="21"/>
  <c r="D717" i="21"/>
  <c r="H715" i="21"/>
  <c r="D715" i="21"/>
  <c r="H742" i="21"/>
  <c r="H878" i="21"/>
  <c r="D878" i="21"/>
  <c r="H338" i="21"/>
  <c r="D390" i="21"/>
  <c r="H390" i="21"/>
  <c r="H438" i="21"/>
  <c r="D359" i="21"/>
  <c r="H359" i="21"/>
  <c r="D396" i="21"/>
  <c r="D423" i="21"/>
  <c r="H518" i="21"/>
  <c r="D518" i="21"/>
  <c r="H546" i="21"/>
  <c r="H577" i="21"/>
  <c r="D577" i="21"/>
  <c r="D646" i="21"/>
  <c r="H646" i="21"/>
  <c r="H705" i="21"/>
  <c r="H691" i="21"/>
  <c r="D691" i="21"/>
  <c r="H766" i="21"/>
  <c r="D819" i="21"/>
  <c r="H819" i="21"/>
  <c r="H811" i="21"/>
  <c r="H926" i="21"/>
  <c r="D926" i="21"/>
  <c r="H924" i="21"/>
  <c r="D924" i="21"/>
  <c r="H905" i="21"/>
  <c r="D905" i="21"/>
  <c r="D325" i="21"/>
  <c r="H470" i="21"/>
  <c r="D494" i="21"/>
  <c r="H511" i="21"/>
  <c r="D511" i="21"/>
  <c r="D350" i="21"/>
  <c r="H317" i="21"/>
  <c r="H410" i="21"/>
  <c r="D405" i="21"/>
  <c r="D421" i="21"/>
  <c r="D461" i="21"/>
  <c r="D456" i="21"/>
  <c r="H456" i="21"/>
  <c r="H490" i="21"/>
  <c r="D570" i="21"/>
  <c r="H593" i="21"/>
  <c r="D593" i="21"/>
  <c r="H676" i="21"/>
  <c r="D676" i="21"/>
  <c r="H649" i="21"/>
  <c r="H711" i="21"/>
  <c r="D711" i="21"/>
  <c r="H709" i="21"/>
  <c r="D709" i="21"/>
  <c r="H822" i="21"/>
  <c r="H672" i="21"/>
  <c r="D672" i="21"/>
  <c r="D670" i="21"/>
  <c r="H670" i="21"/>
  <c r="D638" i="21"/>
  <c r="H638" i="21"/>
  <c r="D830" i="21"/>
  <c r="H830" i="21"/>
  <c r="H870" i="21"/>
  <c r="D870" i="21"/>
  <c r="D910" i="21"/>
  <c r="H910" i="21"/>
  <c r="H1035" i="21"/>
  <c r="D1035" i="21"/>
  <c r="H605" i="21"/>
  <c r="D605" i="21"/>
  <c r="H589" i="21"/>
  <c r="D589" i="21"/>
  <c r="D623" i="21"/>
  <c r="H623" i="21"/>
  <c r="H703" i="21"/>
  <c r="D703" i="21"/>
  <c r="H685" i="21"/>
  <c r="D685" i="21"/>
  <c r="H683" i="21"/>
  <c r="D683" i="21"/>
  <c r="D790" i="21"/>
  <c r="H790" i="21"/>
  <c r="H520" i="21"/>
  <c r="D520" i="21"/>
  <c r="D376" i="21"/>
  <c r="D413" i="21"/>
  <c r="H411" i="21"/>
  <c r="H485" i="21"/>
  <c r="D485" i="21"/>
  <c r="H472" i="21"/>
  <c r="D472" i="21"/>
  <c r="H599" i="21"/>
  <c r="H590" i="21"/>
  <c r="H578" i="21"/>
  <c r="D578" i="21"/>
  <c r="H624" i="21"/>
  <c r="D662" i="21"/>
  <c r="H662" i="21"/>
  <c r="D630" i="21"/>
  <c r="H630" i="21"/>
  <c r="H723" i="21"/>
  <c r="D723" i="21"/>
  <c r="H679" i="21"/>
  <c r="D679" i="21"/>
  <c r="D734" i="21"/>
  <c r="H734" i="21"/>
  <c r="H862" i="21"/>
  <c r="D862" i="21"/>
  <c r="H854" i="21"/>
  <c r="D854" i="21"/>
  <c r="H945" i="21"/>
  <c r="D945" i="21"/>
  <c r="H551" i="21"/>
  <c r="H535" i="21"/>
  <c r="H610" i="21"/>
  <c r="H616" i="21"/>
  <c r="H763" i="21"/>
  <c r="H747" i="21"/>
  <c r="H827" i="21"/>
  <c r="H851" i="21"/>
  <c r="D918" i="21"/>
  <c r="D892" i="21"/>
  <c r="D981" i="21"/>
  <c r="H979" i="21"/>
  <c r="D957" i="21"/>
  <c r="D1003" i="21"/>
  <c r="H1180" i="21"/>
  <c r="H1247" i="21"/>
  <c r="D1289" i="21"/>
  <c r="D1273" i="21"/>
  <c r="D1257" i="21"/>
  <c r="D1317" i="21"/>
  <c r="D1417" i="21"/>
  <c r="D1486" i="21"/>
  <c r="H1472" i="21"/>
  <c r="H1579" i="21"/>
  <c r="D1630" i="21"/>
  <c r="D1710" i="21"/>
  <c r="D1701" i="21"/>
  <c r="H1699" i="21"/>
  <c r="H1690" i="21"/>
  <c r="H1758" i="21"/>
  <c r="H1741" i="21"/>
  <c r="D1807" i="21"/>
  <c r="D1798" i="21"/>
  <c r="D1791" i="21"/>
  <c r="H1787" i="21"/>
  <c r="H1815" i="21"/>
  <c r="D1863" i="21"/>
  <c r="H1850" i="21"/>
  <c r="D1906" i="21"/>
  <c r="H1906" i="21"/>
  <c r="H1886" i="21"/>
  <c r="D1950" i="21"/>
  <c r="D2039" i="21"/>
  <c r="H2039" i="21"/>
  <c r="D2367" i="21"/>
  <c r="H2367" i="21"/>
  <c r="H2529" i="21"/>
  <c r="D2529" i="21"/>
  <c r="H999" i="21"/>
  <c r="H1078" i="21"/>
  <c r="H1069" i="21"/>
  <c r="H1046" i="21"/>
  <c r="H1207" i="21"/>
  <c r="H1323" i="21"/>
  <c r="H1318" i="21"/>
  <c r="H1363" i="21"/>
  <c r="H1445" i="21"/>
  <c r="H1413" i="21"/>
  <c r="H1534" i="21"/>
  <c r="H1513" i="21"/>
  <c r="H1711" i="21"/>
  <c r="H1867" i="21"/>
  <c r="D1867" i="21"/>
  <c r="D1913" i="21"/>
  <c r="H1913" i="21"/>
  <c r="D1986" i="21"/>
  <c r="H1986" i="21"/>
  <c r="D2056" i="21"/>
  <c r="H2056" i="21"/>
  <c r="H2098" i="21"/>
  <c r="D2098" i="21"/>
  <c r="H2265" i="21"/>
  <c r="D2265" i="21"/>
  <c r="D2318" i="21"/>
  <c r="H2318" i="21"/>
  <c r="D2343" i="21"/>
  <c r="H2343" i="21"/>
  <c r="H2467" i="21"/>
  <c r="D2467" i="21"/>
  <c r="H2609" i="21"/>
  <c r="D2609" i="21"/>
  <c r="H1030" i="21"/>
  <c r="H1053" i="21"/>
  <c r="H1111" i="21"/>
  <c r="H1102" i="21"/>
  <c r="H1138" i="21"/>
  <c r="H1196" i="21"/>
  <c r="H1183" i="21"/>
  <c r="H1290" i="21"/>
  <c r="H1274" i="21"/>
  <c r="H1258" i="21"/>
  <c r="H1346" i="21"/>
  <c r="H1335" i="21"/>
  <c r="H1402" i="21"/>
  <c r="H1379" i="21"/>
  <c r="H1358" i="21"/>
  <c r="H1418" i="21"/>
  <c r="H1468" i="21"/>
  <c r="H1518" i="21"/>
  <c r="H1606" i="21"/>
  <c r="H1591" i="21"/>
  <c r="H1582" i="21"/>
  <c r="H1575" i="21"/>
  <c r="H1650" i="21"/>
  <c r="H1631" i="21"/>
  <c r="H1714" i="21"/>
  <c r="H1765" i="21"/>
  <c r="H1725" i="21"/>
  <c r="D1725" i="21"/>
  <c r="D1721" i="21"/>
  <c r="H1721" i="21"/>
  <c r="H1839" i="21"/>
  <c r="D1918" i="21"/>
  <c r="H1918" i="21"/>
  <c r="H2022" i="21"/>
  <c r="D2022" i="21"/>
  <c r="H2305" i="21"/>
  <c r="D2305" i="21"/>
  <c r="D2438" i="21"/>
  <c r="H2438" i="21"/>
  <c r="D2406" i="21"/>
  <c r="H2406" i="21"/>
  <c r="D2503" i="21"/>
  <c r="H2503" i="21"/>
  <c r="D2598" i="21"/>
  <c r="H2598" i="21"/>
  <c r="H1023" i="21"/>
  <c r="D1006" i="21"/>
  <c r="H1172" i="21"/>
  <c r="D1245" i="21"/>
  <c r="H1238" i="21"/>
  <c r="D1311" i="21"/>
  <c r="H1398" i="21"/>
  <c r="H1370" i="21"/>
  <c r="H1450" i="21"/>
  <c r="H1430" i="21"/>
  <c r="D1425" i="21"/>
  <c r="D1487" i="21"/>
  <c r="D1482" i="21"/>
  <c r="H1480" i="21"/>
  <c r="H1475" i="21"/>
  <c r="H1464" i="21"/>
  <c r="D1504" i="21"/>
  <c r="H1509" i="21"/>
  <c r="D1541" i="21"/>
  <c r="H1611" i="21"/>
  <c r="H1587" i="21"/>
  <c r="D1638" i="21"/>
  <c r="H1617" i="21"/>
  <c r="H1691" i="21"/>
  <c r="D1673" i="21"/>
  <c r="H1803" i="21"/>
  <c r="D1803" i="21"/>
  <c r="D1794" i="21"/>
  <c r="H1816" i="21"/>
  <c r="D1811" i="21"/>
  <c r="H1846" i="21"/>
  <c r="H2046" i="21"/>
  <c r="D2046" i="21"/>
  <c r="D2487" i="21"/>
  <c r="H2487" i="21"/>
  <c r="D971" i="21"/>
  <c r="D941" i="21"/>
  <c r="D1033" i="21"/>
  <c r="H1014" i="21"/>
  <c r="D994" i="21"/>
  <c r="D1058" i="21"/>
  <c r="D1129" i="21"/>
  <c r="H1127" i="21"/>
  <c r="H1118" i="21"/>
  <c r="H1148" i="21"/>
  <c r="D1217" i="21"/>
  <c r="H1215" i="21"/>
  <c r="D1297" i="21"/>
  <c r="D1281" i="21"/>
  <c r="D1265" i="21"/>
  <c r="H1326" i="21"/>
  <c r="D1321" i="21"/>
  <c r="H1319" i="21"/>
  <c r="D1305" i="21"/>
  <c r="H1303" i="21"/>
  <c r="H1366" i="21"/>
  <c r="D1457" i="21"/>
  <c r="H1455" i="21"/>
  <c r="D1441" i="21"/>
  <c r="H1414" i="21"/>
  <c r="H1460" i="21"/>
  <c r="D1525" i="21"/>
  <c r="D1598" i="21"/>
  <c r="D1761" i="21"/>
  <c r="H1806" i="21"/>
  <c r="D1835" i="21"/>
  <c r="H2242" i="21"/>
  <c r="D2242" i="21"/>
  <c r="D2331" i="21"/>
  <c r="H2331" i="21"/>
  <c r="D2474" i="21"/>
  <c r="H2474" i="21"/>
  <c r="H2451" i="21"/>
  <c r="D2451" i="21"/>
  <c r="H2545" i="21"/>
  <c r="D2545" i="21"/>
  <c r="D2575" i="21"/>
  <c r="H2575" i="21"/>
  <c r="H1781" i="21"/>
  <c r="D1781" i="21"/>
  <c r="D1779" i="21"/>
  <c r="H1779" i="21"/>
  <c r="D1975" i="21"/>
  <c r="H1975" i="21"/>
  <c r="D2147" i="21"/>
  <c r="H2147" i="21"/>
  <c r="H2377" i="21"/>
  <c r="D2377" i="21"/>
  <c r="H2422" i="21"/>
  <c r="D2422" i="21"/>
  <c r="H1667" i="21"/>
  <c r="H1753" i="21"/>
  <c r="H1771" i="21"/>
  <c r="H1851" i="21"/>
  <c r="D1851" i="21"/>
  <c r="D1878" i="21"/>
  <c r="H1878" i="21"/>
  <c r="H1945" i="21"/>
  <c r="D1945" i="21"/>
  <c r="D2010" i="21"/>
  <c r="H2010" i="21"/>
  <c r="H2026" i="21"/>
  <c r="D2026" i="21"/>
  <c r="D2108" i="21"/>
  <c r="H2108" i="21"/>
  <c r="D2091" i="21"/>
  <c r="H2091" i="21"/>
  <c r="H2251" i="21"/>
  <c r="D2251" i="21"/>
  <c r="D2535" i="21"/>
  <c r="H2535" i="21"/>
  <c r="D2526" i="21"/>
  <c r="H2526" i="21"/>
  <c r="H2617" i="21"/>
  <c r="D2617" i="21"/>
  <c r="H807" i="21"/>
  <c r="H798" i="21"/>
  <c r="H787" i="21"/>
  <c r="D931" i="21"/>
  <c r="D985" i="21"/>
  <c r="D961" i="21"/>
  <c r="D1090" i="21"/>
  <c r="D1121" i="21"/>
  <c r="H1119" i="21"/>
  <c r="H1110" i="21"/>
  <c r="D1221" i="21"/>
  <c r="D1213" i="21"/>
  <c r="H1206" i="21"/>
  <c r="D1433" i="21"/>
  <c r="H1422" i="21"/>
  <c r="H1410" i="21"/>
  <c r="D1476" i="21"/>
  <c r="D1496" i="21"/>
  <c r="D1549" i="21"/>
  <c r="H1545" i="21"/>
  <c r="H1574" i="21"/>
  <c r="D1625" i="21"/>
  <c r="H1623" i="21"/>
  <c r="H1705" i="21"/>
  <c r="D1705" i="21"/>
  <c r="D1871" i="21"/>
  <c r="H2194" i="21"/>
  <c r="D2194" i="21"/>
  <c r="H2431" i="21"/>
  <c r="D2431" i="21"/>
  <c r="H2458" i="21"/>
  <c r="D2458" i="21"/>
  <c r="D2582" i="21"/>
  <c r="H2582" i="21"/>
  <c r="D2622" i="21"/>
  <c r="H2622" i="21"/>
  <c r="H2685" i="21"/>
  <c r="D2685" i="21"/>
  <c r="D2683" i="21"/>
  <c r="H2683" i="21"/>
  <c r="D2827" i="21"/>
  <c r="H2827" i="21"/>
  <c r="D2849" i="21"/>
  <c r="H2849" i="21"/>
  <c r="D2887" i="21"/>
  <c r="H2887" i="21"/>
  <c r="D2878" i="21"/>
  <c r="H2878" i="21"/>
  <c r="D2933" i="21"/>
  <c r="H2933" i="21"/>
  <c r="D3015" i="21"/>
  <c r="H3015" i="21"/>
  <c r="H3133" i="21"/>
  <c r="D3133" i="21"/>
  <c r="D1953" i="21"/>
  <c r="D1946" i="21"/>
  <c r="D2054" i="21"/>
  <c r="H2052" i="21"/>
  <c r="D2106" i="21"/>
  <c r="H2151" i="21"/>
  <c r="H2183" i="21"/>
  <c r="D2269" i="21"/>
  <c r="D2286" i="21"/>
  <c r="H2284" i="21"/>
  <c r="D2323" i="21"/>
  <c r="D2306" i="21"/>
  <c r="D2365" i="21"/>
  <c r="D2388" i="21"/>
  <c r="D2434" i="21"/>
  <c r="D2425" i="21"/>
  <c r="D2495" i="21"/>
  <c r="D2483" i="21"/>
  <c r="D2470" i="21"/>
  <c r="D2461" i="21"/>
  <c r="D2454" i="21"/>
  <c r="D2539" i="21"/>
  <c r="D2533" i="21"/>
  <c r="D2530" i="21"/>
  <c r="D2507" i="21"/>
  <c r="D2501" i="21"/>
  <c r="D2546" i="21"/>
  <c r="D2578" i="21"/>
  <c r="H2559" i="21"/>
  <c r="D2649" i="21"/>
  <c r="D2641" i="21"/>
  <c r="D2633" i="21"/>
  <c r="D2623" i="21"/>
  <c r="H2618" i="21"/>
  <c r="D2613" i="21"/>
  <c r="D2610" i="21"/>
  <c r="D2681" i="21"/>
  <c r="H2679" i="21"/>
  <c r="D2753" i="21"/>
  <c r="D2750" i="21"/>
  <c r="H2809" i="21"/>
  <c r="D2809" i="21"/>
  <c r="D2795" i="21"/>
  <c r="D2765" i="21"/>
  <c r="D2862" i="21"/>
  <c r="H2862" i="21"/>
  <c r="H2913" i="21"/>
  <c r="D2913" i="21"/>
  <c r="D2957" i="21"/>
  <c r="H2957" i="21"/>
  <c r="D2975" i="21"/>
  <c r="H2975" i="21"/>
  <c r="H3165" i="21"/>
  <c r="D3165" i="21"/>
  <c r="D3262" i="21"/>
  <c r="H3262" i="21"/>
  <c r="D3246" i="21"/>
  <c r="H3246" i="21"/>
  <c r="H2055" i="21"/>
  <c r="H2107" i="21"/>
  <c r="H2235" i="21"/>
  <c r="H2479" i="21"/>
  <c r="H2534" i="21"/>
  <c r="H2511" i="21"/>
  <c r="H2502" i="21"/>
  <c r="H2574" i="21"/>
  <c r="H2625" i="21"/>
  <c r="D2625" i="21"/>
  <c r="H2694" i="21"/>
  <c r="H2693" i="21"/>
  <c r="D2693" i="21"/>
  <c r="D2691" i="21"/>
  <c r="H2691" i="21"/>
  <c r="H2682" i="21"/>
  <c r="H2662" i="21"/>
  <c r="H2661" i="21"/>
  <c r="D2661" i="21"/>
  <c r="D2659" i="21"/>
  <c r="H2659" i="21"/>
  <c r="H2717" i="21"/>
  <c r="D2717" i="21"/>
  <c r="D2835" i="21"/>
  <c r="H2835" i="21"/>
  <c r="H2885" i="21"/>
  <c r="D2885" i="21"/>
  <c r="D2917" i="21"/>
  <c r="H2917" i="21"/>
  <c r="D2999" i="21"/>
  <c r="H2999" i="21"/>
  <c r="D3230" i="21"/>
  <c r="H3230" i="21"/>
  <c r="H1979" i="21"/>
  <c r="H2072" i="21"/>
  <c r="H2036" i="21"/>
  <c r="H2131" i="21"/>
  <c r="H2124" i="21"/>
  <c r="H2163" i="21"/>
  <c r="H2142" i="21"/>
  <c r="H2207" i="21"/>
  <c r="H2202" i="21"/>
  <c r="H2275" i="21"/>
  <c r="H2262" i="21"/>
  <c r="H2455" i="21"/>
  <c r="H2567" i="21"/>
  <c r="H2650" i="21"/>
  <c r="H2642" i="21"/>
  <c r="H2634" i="21"/>
  <c r="H2626" i="21"/>
  <c r="H2614" i="21"/>
  <c r="H2603" i="21"/>
  <c r="H2687" i="21"/>
  <c r="H2718" i="21"/>
  <c r="H2805" i="21"/>
  <c r="D2805" i="21"/>
  <c r="H2783" i="21"/>
  <c r="D2770" i="21"/>
  <c r="H2770" i="21"/>
  <c r="D2857" i="21"/>
  <c r="H2857" i="21"/>
  <c r="H2881" i="21"/>
  <c r="D2881" i="21"/>
  <c r="D2867" i="21"/>
  <c r="H2867" i="21"/>
  <c r="D2941" i="21"/>
  <c r="H2941" i="21"/>
  <c r="D1954" i="21"/>
  <c r="D2062" i="21"/>
  <c r="H2060" i="21"/>
  <c r="H2032" i="21"/>
  <c r="D2114" i="21"/>
  <c r="D2086" i="21"/>
  <c r="H2084" i="21"/>
  <c r="H2159" i="21"/>
  <c r="D2168" i="21"/>
  <c r="H2214" i="21"/>
  <c r="D2276" i="21"/>
  <c r="H2298" i="21"/>
  <c r="D2369" i="21"/>
  <c r="H2354" i="21"/>
  <c r="H2399" i="21"/>
  <c r="D2489" i="21"/>
  <c r="D2537" i="21"/>
  <c r="D2505" i="21"/>
  <c r="H2587" i="21"/>
  <c r="H2555" i="21"/>
  <c r="H2606" i="21"/>
  <c r="H2702" i="21"/>
  <c r="H2701" i="21"/>
  <c r="D2701" i="21"/>
  <c r="D2699" i="21"/>
  <c r="H2699" i="21"/>
  <c r="H2690" i="21"/>
  <c r="H2670" i="21"/>
  <c r="H2669" i="21"/>
  <c r="D2669" i="21"/>
  <c r="D2667" i="21"/>
  <c r="H2667" i="21"/>
  <c r="H2658" i="21"/>
  <c r="H2806" i="21"/>
  <c r="H2799" i="21"/>
  <c r="H2793" i="21"/>
  <c r="D2793" i="21"/>
  <c r="H2786" i="21"/>
  <c r="H2777" i="21"/>
  <c r="D2777" i="21"/>
  <c r="D2843" i="21"/>
  <c r="H2843" i="21"/>
  <c r="D2841" i="21"/>
  <c r="H2839" i="21"/>
  <c r="H2865" i="21"/>
  <c r="D2865" i="21"/>
  <c r="D2983" i="21"/>
  <c r="H2983" i="21"/>
  <c r="D3219" i="21"/>
  <c r="H3219" i="21"/>
  <c r="D3210" i="21"/>
  <c r="H3210" i="21"/>
  <c r="D3190" i="21"/>
  <c r="H3190" i="21"/>
  <c r="D3268" i="21"/>
  <c r="H3268" i="21"/>
  <c r="D1961" i="21"/>
  <c r="D1938" i="21"/>
  <c r="D2028" i="21"/>
  <c r="D2110" i="21"/>
  <c r="D2149" i="21"/>
  <c r="D2179" i="21"/>
  <c r="D2313" i="21"/>
  <c r="D2383" i="21"/>
  <c r="D2374" i="21"/>
  <c r="D2361" i="21"/>
  <c r="D2345" i="21"/>
  <c r="D2517" i="21"/>
  <c r="D2600" i="21"/>
  <c r="D2645" i="21"/>
  <c r="D2637" i="21"/>
  <c r="D2629" i="21"/>
  <c r="D2652" i="21"/>
  <c r="D2697" i="21"/>
  <c r="H2695" i="21"/>
  <c r="D2665" i="21"/>
  <c r="H2663" i="21"/>
  <c r="H2755" i="21"/>
  <c r="H2739" i="21"/>
  <c r="H2726" i="21"/>
  <c r="H2714" i="21"/>
  <c r="D2771" i="21"/>
  <c r="D2858" i="21"/>
  <c r="H2891" i="21"/>
  <c r="D2891" i="21"/>
  <c r="D2870" i="21"/>
  <c r="D2958" i="21"/>
  <c r="H2958" i="21"/>
  <c r="D2925" i="21"/>
  <c r="H2925" i="21"/>
  <c r="D3007" i="21"/>
  <c r="H3007" i="21"/>
  <c r="D3139" i="21"/>
  <c r="H3139" i="21"/>
  <c r="D3130" i="21"/>
  <c r="H3130" i="21"/>
  <c r="D3254" i="21"/>
  <c r="H3254" i="21"/>
  <c r="H2677" i="21"/>
  <c r="D2677" i="21"/>
  <c r="D2675" i="21"/>
  <c r="H2675" i="21"/>
  <c r="D2706" i="21"/>
  <c r="H2706" i="21"/>
  <c r="D2747" i="21"/>
  <c r="H2733" i="21"/>
  <c r="D2733" i="21"/>
  <c r="D2721" i="21"/>
  <c r="D2794" i="21"/>
  <c r="D2789" i="21"/>
  <c r="H2773" i="21"/>
  <c r="D2773" i="21"/>
  <c r="H2761" i="21"/>
  <c r="D2761" i="21"/>
  <c r="D2759" i="21"/>
  <c r="H2759" i="21"/>
  <c r="D2817" i="21"/>
  <c r="D2902" i="21"/>
  <c r="D2873" i="21"/>
  <c r="D2949" i="21"/>
  <c r="H2949" i="21"/>
  <c r="D2967" i="21"/>
  <c r="H2967" i="21"/>
  <c r="D3116" i="21"/>
  <c r="H3116" i="21"/>
  <c r="D3162" i="21"/>
  <c r="H3162" i="21"/>
  <c r="D3238" i="21"/>
  <c r="H3238" i="21"/>
  <c r="H2011" i="21"/>
  <c r="H1987" i="21"/>
  <c r="H2068" i="21"/>
  <c r="H2040" i="21"/>
  <c r="H2080" i="21"/>
  <c r="H2092" i="21"/>
  <c r="H2219" i="21"/>
  <c r="H2334" i="21"/>
  <c r="H2439" i="21"/>
  <c r="H2411" i="21"/>
  <c r="H2395" i="21"/>
  <c r="H2475" i="21"/>
  <c r="H2583" i="21"/>
  <c r="H2551" i="21"/>
  <c r="H2646" i="21"/>
  <c r="H2638" i="21"/>
  <c r="H2630" i="21"/>
  <c r="H2703" i="21"/>
  <c r="H2671" i="21"/>
  <c r="H2749" i="21"/>
  <c r="D2749" i="21"/>
  <c r="H2709" i="21"/>
  <c r="D2709" i="21"/>
  <c r="H2779" i="21"/>
  <c r="H2774" i="21"/>
  <c r="H2882" i="21"/>
  <c r="D2882" i="21"/>
  <c r="D2991" i="21"/>
  <c r="H2991" i="21"/>
  <c r="H3213" i="21"/>
  <c r="D3213" i="21"/>
  <c r="H2863" i="21"/>
  <c r="D3061" i="21"/>
  <c r="D3053" i="21"/>
  <c r="D3045" i="21"/>
  <c r="D3037" i="21"/>
  <c r="D3029" i="21"/>
  <c r="D3021" i="21"/>
  <c r="D3067" i="21"/>
  <c r="D3103" i="21"/>
  <c r="D3095" i="21"/>
  <c r="D3087" i="21"/>
  <c r="D3079" i="21"/>
  <c r="D3166" i="21"/>
  <c r="D3143" i="21"/>
  <c r="D3137" i="21"/>
  <c r="D3134" i="21"/>
  <c r="D3173" i="21"/>
  <c r="D3223" i="21"/>
  <c r="D3217" i="21"/>
  <c r="D3214" i="21"/>
  <c r="H3235" i="21"/>
  <c r="H3227" i="21"/>
  <c r="H2819" i="21"/>
  <c r="D3070" i="21"/>
  <c r="D2901" i="21"/>
  <c r="D2869" i="21"/>
  <c r="D3153" i="21"/>
  <c r="D3201" i="21"/>
  <c r="D3181" i="21"/>
  <c r="D3270" i="21"/>
  <c r="H2950" i="21"/>
  <c r="H2942" i="21"/>
  <c r="H2934" i="21"/>
  <c r="H2926" i="21"/>
  <c r="H2918" i="21"/>
  <c r="H3071" i="21"/>
  <c r="D3277" i="21"/>
  <c r="D3273" i="21"/>
  <c r="D3269" i="21"/>
  <c r="D3265" i="21"/>
  <c r="D3261" i="21"/>
  <c r="D3257" i="21"/>
  <c r="D3253" i="21"/>
  <c r="D3249" i="21"/>
  <c r="D3245" i="21"/>
  <c r="D3241" i="21"/>
  <c r="D3237" i="21"/>
  <c r="D3233" i="21"/>
  <c r="D3229" i="21"/>
  <c r="H3276" i="21"/>
  <c r="H3272" i="21"/>
  <c r="H3264" i="21"/>
  <c r="H3260" i="21"/>
  <c r="H3256" i="21"/>
  <c r="H3252" i="21"/>
  <c r="H3248" i="21"/>
  <c r="H3244" i="21"/>
  <c r="H3240" i="21"/>
  <c r="H3236" i="21"/>
  <c r="H3232" i="21"/>
  <c r="H3228" i="21"/>
  <c r="D3193" i="21"/>
  <c r="H3224" i="21"/>
  <c r="H3220" i="21"/>
  <c r="H3216" i="21"/>
  <c r="H3212" i="21"/>
  <c r="H3208" i="21"/>
  <c r="H3204" i="21"/>
  <c r="H3200" i="21"/>
  <c r="H3196" i="21"/>
  <c r="H3192" i="21"/>
  <c r="H3188" i="21"/>
  <c r="H3184" i="21"/>
  <c r="H3180" i="21"/>
  <c r="H3176" i="21"/>
  <c r="H3174" i="21"/>
  <c r="H3171" i="21"/>
  <c r="H3167" i="21"/>
  <c r="H3172" i="21"/>
  <c r="H3168" i="21"/>
  <c r="H3164" i="21"/>
  <c r="H3160" i="21"/>
  <c r="H3156" i="21"/>
  <c r="H3152" i="21"/>
  <c r="H3148" i="21"/>
  <c r="H3144" i="21"/>
  <c r="H3140" i="21"/>
  <c r="H3136" i="21"/>
  <c r="H3132" i="21"/>
  <c r="H3128" i="21"/>
  <c r="H3124" i="21"/>
  <c r="H3119" i="21"/>
  <c r="H3120" i="21"/>
  <c r="H3117" i="21"/>
  <c r="H3113" i="21"/>
  <c r="H3109" i="21"/>
  <c r="H3118" i="21"/>
  <c r="H3114" i="21"/>
  <c r="H3110" i="21"/>
  <c r="D3101" i="21"/>
  <c r="D3089" i="21"/>
  <c r="D3085" i="21"/>
  <c r="D3081" i="21"/>
  <c r="D3077" i="21"/>
  <c r="D3073" i="21"/>
  <c r="D3105" i="21"/>
  <c r="D3097" i="21"/>
  <c r="D3093" i="21"/>
  <c r="H3108" i="21"/>
  <c r="H3104" i="21"/>
  <c r="H3100" i="21"/>
  <c r="H3096" i="21"/>
  <c r="H3092" i="21"/>
  <c r="H3088" i="21"/>
  <c r="H3084" i="21"/>
  <c r="H3080" i="21"/>
  <c r="H3076" i="21"/>
  <c r="H3072" i="21"/>
  <c r="H3068" i="21"/>
  <c r="H3064" i="21"/>
  <c r="H3069" i="21"/>
  <c r="H3065" i="21"/>
  <c r="H3063" i="21"/>
  <c r="H3059" i="21"/>
  <c r="H3055" i="21"/>
  <c r="H3051" i="21"/>
  <c r="H3047" i="21"/>
  <c r="H3043" i="21"/>
  <c r="H3039" i="21"/>
  <c r="H3035" i="21"/>
  <c r="H3031" i="21"/>
  <c r="H3027" i="21"/>
  <c r="H3023" i="21"/>
  <c r="H3019" i="21"/>
  <c r="H3060" i="21"/>
  <c r="H3056" i="21"/>
  <c r="H3052" i="21"/>
  <c r="H3048" i="21"/>
  <c r="H3044" i="21"/>
  <c r="H3040" i="21"/>
  <c r="H3036" i="21"/>
  <c r="H3032" i="21"/>
  <c r="H3028" i="21"/>
  <c r="H3024" i="21"/>
  <c r="H3020" i="21"/>
  <c r="D3017" i="21"/>
  <c r="D3013" i="21"/>
  <c r="D3009" i="21"/>
  <c r="D3005" i="21"/>
  <c r="D3001" i="21"/>
  <c r="D2997" i="21"/>
  <c r="D2993" i="21"/>
  <c r="D2989" i="21"/>
  <c r="D2985" i="21"/>
  <c r="D2981" i="21"/>
  <c r="D2977" i="21"/>
  <c r="D2973" i="21"/>
  <c r="D2969" i="21"/>
  <c r="H3016" i="21"/>
  <c r="H3012" i="21"/>
  <c r="H3008" i="21"/>
  <c r="H3004" i="21"/>
  <c r="H3000" i="21"/>
  <c r="H2996" i="21"/>
  <c r="H2992" i="21"/>
  <c r="H2988" i="21"/>
  <c r="H2984" i="21"/>
  <c r="H2980" i="21"/>
  <c r="H2976" i="21"/>
  <c r="H2972" i="21"/>
  <c r="H2968" i="21"/>
  <c r="H2965" i="21"/>
  <c r="H2966" i="21"/>
  <c r="H2963" i="21"/>
  <c r="H2959" i="21"/>
  <c r="H2955" i="21"/>
  <c r="H2951" i="21"/>
  <c r="H2947" i="21"/>
  <c r="H2943" i="21"/>
  <c r="H2939" i="21"/>
  <c r="H2935" i="21"/>
  <c r="H2931" i="21"/>
  <c r="H2927" i="21"/>
  <c r="H2923" i="21"/>
  <c r="H2919" i="21"/>
  <c r="H2915" i="21"/>
  <c r="H2916" i="21"/>
  <c r="H2914" i="21"/>
  <c r="H2910" i="21"/>
  <c r="H2906" i="21"/>
  <c r="H2911" i="21"/>
  <c r="H2907" i="21"/>
  <c r="H2904" i="21"/>
  <c r="H2900" i="21"/>
  <c r="H2896" i="21"/>
  <c r="H2892" i="21"/>
  <c r="H2888" i="21"/>
  <c r="H2884" i="21"/>
  <c r="H2880" i="21"/>
  <c r="H2876" i="21"/>
  <c r="H2872" i="21"/>
  <c r="H2868" i="21"/>
  <c r="H2864" i="21"/>
  <c r="H2859" i="21"/>
  <c r="H2855" i="21"/>
  <c r="H2851" i="21"/>
  <c r="H2847" i="21"/>
  <c r="H2860" i="21"/>
  <c r="H2856" i="21"/>
  <c r="H2852" i="21"/>
  <c r="H2848" i="21"/>
  <c r="H2811" i="21"/>
  <c r="H2844" i="21"/>
  <c r="H2840" i="21"/>
  <c r="H2836" i="21"/>
  <c r="H2832" i="21"/>
  <c r="H2828" i="21"/>
  <c r="H2824" i="21"/>
  <c r="H2820" i="21"/>
  <c r="H2816" i="21"/>
  <c r="H2812" i="21"/>
  <c r="H2808" i="21"/>
  <c r="H2804" i="21"/>
  <c r="H2800" i="21"/>
  <c r="H2796" i="21"/>
  <c r="H2792" i="21"/>
  <c r="H2788" i="21"/>
  <c r="H2784" i="21"/>
  <c r="H2780" i="21"/>
  <c r="H2776" i="21"/>
  <c r="H2772" i="21"/>
  <c r="H2768" i="21"/>
  <c r="H2764" i="21"/>
  <c r="H2760" i="21"/>
  <c r="H2756" i="21"/>
  <c r="H2752" i="21"/>
  <c r="H2748" i="21"/>
  <c r="H2744" i="21"/>
  <c r="H2740" i="21"/>
  <c r="H2736" i="21"/>
  <c r="H2732" i="21"/>
  <c r="H2728" i="21"/>
  <c r="H2724" i="21"/>
  <c r="H2720" i="21"/>
  <c r="H2716" i="21"/>
  <c r="H2712" i="21"/>
  <c r="H2708" i="21"/>
  <c r="H2655" i="21"/>
  <c r="H2704" i="21"/>
  <c r="H2700" i="21"/>
  <c r="H2696" i="21"/>
  <c r="H2692" i="21"/>
  <c r="H2688" i="21"/>
  <c r="H2684" i="21"/>
  <c r="H2680" i="21"/>
  <c r="H2676" i="21"/>
  <c r="H2672" i="21"/>
  <c r="H2668" i="21"/>
  <c r="H2664" i="21"/>
  <c r="H2660" i="21"/>
  <c r="H2656" i="21"/>
  <c r="H2654" i="21"/>
  <c r="H2653" i="21"/>
  <c r="H2648" i="21"/>
  <c r="H2640" i="21"/>
  <c r="H2636" i="21"/>
  <c r="H2632" i="21"/>
  <c r="H2628" i="21"/>
  <c r="H2624" i="21"/>
  <c r="H2620" i="21"/>
  <c r="H2616" i="21"/>
  <c r="H2612" i="21"/>
  <c r="H2608" i="21"/>
  <c r="H2604" i="21"/>
  <c r="H2644" i="21"/>
  <c r="H2599" i="21"/>
  <c r="D2597" i="21"/>
  <c r="D2593" i="21"/>
  <c r="D2589" i="21"/>
  <c r="D2585" i="21"/>
  <c r="D2581" i="21"/>
  <c r="D2577" i="21"/>
  <c r="D2573" i="21"/>
  <c r="D2569" i="21"/>
  <c r="D2565" i="21"/>
  <c r="D2561" i="21"/>
  <c r="D2557" i="21"/>
  <c r="D2553" i="21"/>
  <c r="H2596" i="21"/>
  <c r="H2592" i="21"/>
  <c r="H2588" i="21"/>
  <c r="H2584" i="21"/>
  <c r="H2580" i="21"/>
  <c r="H2576" i="21"/>
  <c r="H2572" i="21"/>
  <c r="H2568" i="21"/>
  <c r="H2564" i="21"/>
  <c r="H2560" i="21"/>
  <c r="H2556" i="21"/>
  <c r="H2552" i="21"/>
  <c r="H2548" i="21"/>
  <c r="H2544" i="21"/>
  <c r="H2540" i="21"/>
  <c r="H2536" i="21"/>
  <c r="H2532" i="21"/>
  <c r="H2528" i="21"/>
  <c r="H2524" i="21"/>
  <c r="H2520" i="21"/>
  <c r="H2516" i="21"/>
  <c r="H2512" i="21"/>
  <c r="H2508" i="21"/>
  <c r="H2504" i="21"/>
  <c r="H2500" i="21"/>
  <c r="D2498" i="21"/>
  <c r="H431" i="21"/>
  <c r="D431" i="21"/>
  <c r="H344" i="21"/>
  <c r="D344" i="21"/>
  <c r="D337" i="21"/>
  <c r="H337" i="21"/>
  <c r="H368" i="21"/>
  <c r="D368" i="21"/>
  <c r="H422" i="21"/>
  <c r="D422" i="21"/>
  <c r="D575" i="21"/>
  <c r="H575" i="21"/>
  <c r="H674" i="21"/>
  <c r="D674" i="21"/>
  <c r="D397" i="21"/>
  <c r="H397" i="21"/>
  <c r="H597" i="21"/>
  <c r="D597" i="21"/>
  <c r="H340" i="21"/>
  <c r="D340" i="21"/>
  <c r="H539" i="21"/>
  <c r="D539" i="21"/>
  <c r="D460" i="21"/>
  <c r="H460" i="21"/>
  <c r="H354" i="21"/>
  <c r="D354" i="21"/>
  <c r="H425" i="21"/>
  <c r="D425" i="21"/>
  <c r="H502" i="21"/>
  <c r="D502" i="21"/>
  <c r="H603" i="21"/>
  <c r="D603" i="21"/>
  <c r="D583" i="21"/>
  <c r="H583" i="21"/>
  <c r="D348" i="21"/>
  <c r="H334" i="21"/>
  <c r="D334" i="21"/>
  <c r="H360" i="21"/>
  <c r="D374" i="21"/>
  <c r="H374" i="21"/>
  <c r="H493" i="21"/>
  <c r="D493" i="21"/>
  <c r="H622" i="21"/>
  <c r="D622" i="21"/>
  <c r="H328" i="21"/>
  <c r="D328" i="21"/>
  <c r="H345" i="21"/>
  <c r="D345" i="21"/>
  <c r="H400" i="21"/>
  <c r="D400" i="21"/>
  <c r="H463" i="21"/>
  <c r="D463" i="21"/>
  <c r="H452" i="21"/>
  <c r="D452" i="21"/>
  <c r="H547" i="21"/>
  <c r="D547" i="21"/>
  <c r="H594" i="21"/>
  <c r="D594" i="21"/>
  <c r="H496" i="21"/>
  <c r="D496" i="21"/>
  <c r="H519" i="21"/>
  <c r="D519" i="21"/>
  <c r="H619" i="21"/>
  <c r="D619" i="21"/>
  <c r="D722" i="21"/>
  <c r="H722" i="21"/>
  <c r="H527" i="21"/>
  <c r="D775" i="21"/>
  <c r="D767" i="21"/>
  <c r="D759" i="21"/>
  <c r="D751" i="21"/>
  <c r="D743" i="21"/>
  <c r="D735" i="21"/>
  <c r="D782" i="21"/>
  <c r="D826" i="21"/>
  <c r="D818" i="21"/>
  <c r="D810" i="21"/>
  <c r="D802" i="21"/>
  <c r="D794" i="21"/>
  <c r="D786" i="21"/>
  <c r="D847" i="21"/>
  <c r="H847" i="21"/>
  <c r="D917" i="21"/>
  <c r="H902" i="21"/>
  <c r="H889" i="21"/>
  <c r="D973" i="21"/>
  <c r="D970" i="21"/>
  <c r="H970" i="21"/>
  <c r="D954" i="21"/>
  <c r="H954" i="21"/>
  <c r="D989" i="21"/>
  <c r="D1041" i="21"/>
  <c r="H1034" i="21"/>
  <c r="H1005" i="21"/>
  <c r="D1005" i="21"/>
  <c r="H1203" i="21"/>
  <c r="D1203" i="21"/>
  <c r="D332" i="21"/>
  <c r="D318" i="21"/>
  <c r="H401" i="21"/>
  <c r="D386" i="21"/>
  <c r="D380" i="21"/>
  <c r="H378" i="21"/>
  <c r="D377" i="21"/>
  <c r="H369" i="21"/>
  <c r="D414" i="21"/>
  <c r="D406" i="21"/>
  <c r="D443" i="21"/>
  <c r="D437" i="21"/>
  <c r="H435" i="21"/>
  <c r="D434" i="21"/>
  <c r="H426" i="21"/>
  <c r="H464" i="21"/>
  <c r="H497" i="21"/>
  <c r="D482" i="21"/>
  <c r="D476" i="21"/>
  <c r="H474" i="21"/>
  <c r="D473" i="21"/>
  <c r="D508" i="21"/>
  <c r="D563" i="21"/>
  <c r="D534" i="21"/>
  <c r="H573" i="21"/>
  <c r="D609" i="21"/>
  <c r="D606" i="21"/>
  <c r="D677" i="21"/>
  <c r="D666" i="21"/>
  <c r="D658" i="21"/>
  <c r="D650" i="21"/>
  <c r="D642" i="21"/>
  <c r="D634" i="21"/>
  <c r="D829" i="21"/>
  <c r="D821" i="21"/>
  <c r="D813" i="21"/>
  <c r="D805" i="21"/>
  <c r="D797" i="21"/>
  <c r="D789" i="21"/>
  <c r="D883" i="21"/>
  <c r="D875" i="21"/>
  <c r="D867" i="21"/>
  <c r="D859" i="21"/>
  <c r="H859" i="21"/>
  <c r="H855" i="21"/>
  <c r="H839" i="21"/>
  <c r="D920" i="21"/>
  <c r="H913" i="21"/>
  <c r="D894" i="21"/>
  <c r="D891" i="21"/>
  <c r="H891" i="21"/>
  <c r="H932" i="21"/>
  <c r="H955" i="21"/>
  <c r="H939" i="21"/>
  <c r="D1082" i="21"/>
  <c r="D1066" i="21"/>
  <c r="D1049" i="21"/>
  <c r="H1049" i="21"/>
  <c r="H1179" i="21"/>
  <c r="D1179" i="21"/>
  <c r="H1375" i="21"/>
  <c r="D1375" i="21"/>
  <c r="H896" i="21"/>
  <c r="D896" i="21"/>
  <c r="D978" i="21"/>
  <c r="H978" i="21"/>
  <c r="D966" i="21"/>
  <c r="H966" i="21"/>
  <c r="D950" i="21"/>
  <c r="H950" i="21"/>
  <c r="D991" i="21"/>
  <c r="H991" i="21"/>
  <c r="H1073" i="21"/>
  <c r="D1073" i="21"/>
  <c r="D1071" i="21"/>
  <c r="H1071" i="21"/>
  <c r="H1125" i="21"/>
  <c r="D1125" i="21"/>
  <c r="H1155" i="21"/>
  <c r="D1155" i="21"/>
  <c r="D372" i="21"/>
  <c r="D429" i="21"/>
  <c r="D500" i="21"/>
  <c r="H523" i="21"/>
  <c r="H571" i="21"/>
  <c r="H579" i="21"/>
  <c r="H726" i="21"/>
  <c r="H718" i="21"/>
  <c r="H710" i="21"/>
  <c r="H702" i="21"/>
  <c r="H694" i="21"/>
  <c r="H686" i="21"/>
  <c r="H858" i="21"/>
  <c r="H890" i="21"/>
  <c r="H967" i="21"/>
  <c r="H951" i="21"/>
  <c r="H1027" i="21"/>
  <c r="H1021" i="21"/>
  <c r="D1021" i="21"/>
  <c r="D1130" i="21"/>
  <c r="H1130" i="21"/>
  <c r="H1195" i="21"/>
  <c r="D1195" i="21"/>
  <c r="D1250" i="21"/>
  <c r="H1250" i="21"/>
  <c r="D1310" i="21"/>
  <c r="H1310" i="21"/>
  <c r="D384" i="21"/>
  <c r="D441" i="21"/>
  <c r="D480" i="21"/>
  <c r="D506" i="21"/>
  <c r="D561" i="21"/>
  <c r="D613" i="21"/>
  <c r="D615" i="21"/>
  <c r="H835" i="21"/>
  <c r="H928" i="21"/>
  <c r="D928" i="21"/>
  <c r="D908" i="21"/>
  <c r="D900" i="21"/>
  <c r="D986" i="21"/>
  <c r="H986" i="21"/>
  <c r="H982" i="21"/>
  <c r="D962" i="21"/>
  <c r="H962" i="21"/>
  <c r="D946" i="21"/>
  <c r="H946" i="21"/>
  <c r="H1089" i="21"/>
  <c r="D1089" i="21"/>
  <c r="D1087" i="21"/>
  <c r="H1087" i="21"/>
  <c r="D1074" i="21"/>
  <c r="D1057" i="21"/>
  <c r="H1057" i="21"/>
  <c r="H1171" i="21"/>
  <c r="D1171" i="21"/>
  <c r="H1235" i="21"/>
  <c r="D1235" i="21"/>
  <c r="H1334" i="21"/>
  <c r="D1334" i="21"/>
  <c r="D1315" i="21"/>
  <c r="H1315" i="21"/>
  <c r="D833" i="21"/>
  <c r="D825" i="21"/>
  <c r="D817" i="21"/>
  <c r="D809" i="21"/>
  <c r="D801" i="21"/>
  <c r="D793" i="21"/>
  <c r="D842" i="21"/>
  <c r="D914" i="21"/>
  <c r="D933" i="21"/>
  <c r="H975" i="21"/>
  <c r="H963" i="21"/>
  <c r="H947" i="21"/>
  <c r="H1037" i="21"/>
  <c r="D1037" i="21"/>
  <c r="D1015" i="21"/>
  <c r="D1002" i="21"/>
  <c r="H1002" i="21"/>
  <c r="H1147" i="21"/>
  <c r="D1147" i="21"/>
  <c r="H1226" i="21"/>
  <c r="D1226" i="21"/>
  <c r="D1454" i="21"/>
  <c r="H1454" i="21"/>
  <c r="H916" i="21"/>
  <c r="D916" i="21"/>
  <c r="H935" i="21"/>
  <c r="D935" i="21"/>
  <c r="D958" i="21"/>
  <c r="H958" i="21"/>
  <c r="D942" i="21"/>
  <c r="H942" i="21"/>
  <c r="H1017" i="21"/>
  <c r="D1017" i="21"/>
  <c r="H1187" i="21"/>
  <c r="D1187" i="21"/>
  <c r="H1406" i="21"/>
  <c r="D1406" i="21"/>
  <c r="H714" i="21"/>
  <c r="H706" i="21"/>
  <c r="H698" i="21"/>
  <c r="H690" i="21"/>
  <c r="H682" i="21"/>
  <c r="H780" i="21"/>
  <c r="H843" i="21"/>
  <c r="H925" i="21"/>
  <c r="H936" i="21"/>
  <c r="H983" i="21"/>
  <c r="H959" i="21"/>
  <c r="H943" i="21"/>
  <c r="H1018" i="21"/>
  <c r="H1011" i="21"/>
  <c r="H1081" i="21"/>
  <c r="D1081" i="21"/>
  <c r="D1079" i="21"/>
  <c r="H1079" i="21"/>
  <c r="D1065" i="21"/>
  <c r="H1065" i="21"/>
  <c r="H1133" i="21"/>
  <c r="D1133" i="21"/>
  <c r="H1163" i="21"/>
  <c r="D1163" i="21"/>
  <c r="H1229" i="21"/>
  <c r="D1229" i="21"/>
  <c r="H1341" i="21"/>
  <c r="D1341" i="21"/>
  <c r="D1470" i="21"/>
  <c r="H1629" i="21"/>
  <c r="D1629" i="21"/>
  <c r="D1627" i="21"/>
  <c r="H1627" i="21"/>
  <c r="H1697" i="21"/>
  <c r="D1697" i="21"/>
  <c r="H1677" i="21"/>
  <c r="D1677" i="21"/>
  <c r="D1769" i="21"/>
  <c r="H1769" i="21"/>
  <c r="D1749" i="21"/>
  <c r="H1749" i="21"/>
  <c r="D2027" i="21"/>
  <c r="H2027" i="21"/>
  <c r="D2059" i="21"/>
  <c r="H2059" i="21"/>
  <c r="D2104" i="21"/>
  <c r="H2104" i="21"/>
  <c r="D2176" i="21"/>
  <c r="H2176" i="21"/>
  <c r="D2211" i="21"/>
  <c r="H2211" i="21"/>
  <c r="H2373" i="21"/>
  <c r="D2373" i="21"/>
  <c r="D2423" i="21"/>
  <c r="H2423" i="21"/>
  <c r="D2459" i="21"/>
  <c r="H2459" i="21"/>
  <c r="D1093" i="21"/>
  <c r="H1091" i="21"/>
  <c r="D1085" i="21"/>
  <c r="H1083" i="21"/>
  <c r="D1077" i="21"/>
  <c r="H1075" i="21"/>
  <c r="D1190" i="21"/>
  <c r="D1182" i="21"/>
  <c r="D1174" i="21"/>
  <c r="D1166" i="21"/>
  <c r="D1158" i="21"/>
  <c r="D1150" i="21"/>
  <c r="D1241" i="21"/>
  <c r="D1209" i="21"/>
  <c r="H1347" i="21"/>
  <c r="H1342" i="21"/>
  <c r="D1337" i="21"/>
  <c r="D1329" i="21"/>
  <c r="H1306" i="21"/>
  <c r="H1438" i="21"/>
  <c r="H1426" i="21"/>
  <c r="D1533" i="21"/>
  <c r="D1514" i="21"/>
  <c r="H1514" i="21"/>
  <c r="D1563" i="21"/>
  <c r="H1563" i="21"/>
  <c r="H1709" i="21"/>
  <c r="D1709" i="21"/>
  <c r="D1683" i="21"/>
  <c r="H1683" i="21"/>
  <c r="D1799" i="21"/>
  <c r="H1799" i="21"/>
  <c r="D1503" i="21"/>
  <c r="H1503" i="21"/>
  <c r="D1538" i="21"/>
  <c r="H1538" i="21"/>
  <c r="D1583" i="21"/>
  <c r="H1583" i="21"/>
  <c r="D1614" i="21"/>
  <c r="H1614" i="21"/>
  <c r="H1653" i="21"/>
  <c r="D1653" i="21"/>
  <c r="D1651" i="21"/>
  <c r="H1651" i="21"/>
  <c r="D1715" i="21"/>
  <c r="H1715" i="21"/>
  <c r="D1671" i="21"/>
  <c r="H1671" i="21"/>
  <c r="H1990" i="21"/>
  <c r="D1990" i="21"/>
  <c r="H1122" i="21"/>
  <c r="H1114" i="21"/>
  <c r="H1106" i="21"/>
  <c r="H1098" i="21"/>
  <c r="H1139" i="21"/>
  <c r="H1231" i="21"/>
  <c r="H1222" i="21"/>
  <c r="H1199" i="21"/>
  <c r="H1294" i="21"/>
  <c r="H1286" i="21"/>
  <c r="H1278" i="21"/>
  <c r="H1270" i="21"/>
  <c r="H1262" i="21"/>
  <c r="H1254" i="21"/>
  <c r="H1386" i="21"/>
  <c r="D1590" i="21"/>
  <c r="H1590" i="21"/>
  <c r="H1637" i="21"/>
  <c r="D1637" i="21"/>
  <c r="D1635" i="21"/>
  <c r="H1635" i="21"/>
  <c r="D1703" i="21"/>
  <c r="H1703" i="21"/>
  <c r="D1730" i="21"/>
  <c r="H1730" i="21"/>
  <c r="D1790" i="21"/>
  <c r="H1790" i="21"/>
  <c r="H1243" i="21"/>
  <c r="H1234" i="21"/>
  <c r="H1211" i="21"/>
  <c r="H1202" i="21"/>
  <c r="H1322" i="21"/>
  <c r="H1313" i="21"/>
  <c r="D1313" i="21"/>
  <c r="H1374" i="21"/>
  <c r="H1446" i="21"/>
  <c r="H1434" i="21"/>
  <c r="H1484" i="21"/>
  <c r="D1522" i="21"/>
  <c r="H1522" i="21"/>
  <c r="D1595" i="21"/>
  <c r="H1595" i="21"/>
  <c r="D1570" i="21"/>
  <c r="H1570" i="21"/>
  <c r="D1737" i="21"/>
  <c r="H1737" i="21"/>
  <c r="D1959" i="21"/>
  <c r="H1959" i="21"/>
  <c r="H1997" i="21"/>
  <c r="D1997" i="21"/>
  <c r="D1194" i="21"/>
  <c r="H1192" i="21"/>
  <c r="D1186" i="21"/>
  <c r="H1184" i="21"/>
  <c r="D1178" i="21"/>
  <c r="H1176" i="21"/>
  <c r="D1170" i="21"/>
  <c r="H1168" i="21"/>
  <c r="D1162" i="21"/>
  <c r="H1160" i="21"/>
  <c r="D1154" i="21"/>
  <c r="H1152" i="21"/>
  <c r="D1225" i="21"/>
  <c r="D1353" i="21"/>
  <c r="H1351" i="21"/>
  <c r="D1343" i="21"/>
  <c r="D1333" i="21"/>
  <c r="D1307" i="21"/>
  <c r="H1478" i="21"/>
  <c r="D1478" i="21"/>
  <c r="H1467" i="21"/>
  <c r="D1462" i="21"/>
  <c r="H1621" i="21"/>
  <c r="D1621" i="21"/>
  <c r="D1619" i="21"/>
  <c r="H1619" i="21"/>
  <c r="D1694" i="21"/>
  <c r="H1694" i="21"/>
  <c r="D1674" i="21"/>
  <c r="H1674" i="21"/>
  <c r="D1742" i="21"/>
  <c r="H1742" i="21"/>
  <c r="H1777" i="21"/>
  <c r="D1777" i="21"/>
  <c r="H1859" i="21"/>
  <c r="D1859" i="21"/>
  <c r="D1898" i="21"/>
  <c r="H1898" i="21"/>
  <c r="D1094" i="21"/>
  <c r="H1131" i="21"/>
  <c r="H1123" i="21"/>
  <c r="D1117" i="21"/>
  <c r="H1115" i="21"/>
  <c r="D1109" i="21"/>
  <c r="H1107" i="21"/>
  <c r="D1101" i="21"/>
  <c r="H1099" i="21"/>
  <c r="D1142" i="21"/>
  <c r="H1140" i="21"/>
  <c r="D1237" i="21"/>
  <c r="D1205" i="21"/>
  <c r="H1345" i="21"/>
  <c r="D1345" i="21"/>
  <c r="D1325" i="21"/>
  <c r="H1309" i="21"/>
  <c r="D1309" i="21"/>
  <c r="D1399" i="21"/>
  <c r="D1367" i="21"/>
  <c r="D1495" i="21"/>
  <c r="H1495" i="21"/>
  <c r="D1546" i="21"/>
  <c r="H1546" i="21"/>
  <c r="H1661" i="21"/>
  <c r="D1661" i="21"/>
  <c r="D1659" i="21"/>
  <c r="H1659" i="21"/>
  <c r="H1645" i="21"/>
  <c r="D1645" i="21"/>
  <c r="D1643" i="21"/>
  <c r="H1643" i="21"/>
  <c r="D1706" i="21"/>
  <c r="H1706" i="21"/>
  <c r="H1793" i="21"/>
  <c r="D1793" i="21"/>
  <c r="H1973" i="21"/>
  <c r="D1973" i="21"/>
  <c r="D1971" i="21"/>
  <c r="H1971" i="21"/>
  <c r="H1442" i="21"/>
  <c r="H1463" i="21"/>
  <c r="D1530" i="21"/>
  <c r="H1530" i="21"/>
  <c r="D1556" i="21"/>
  <c r="H1556" i="21"/>
  <c r="D1602" i="21"/>
  <c r="H1602" i="21"/>
  <c r="D1762" i="21"/>
  <c r="H1762" i="21"/>
  <c r="D1773" i="21"/>
  <c r="H1817" i="21"/>
  <c r="D1817" i="21"/>
  <c r="H1870" i="21"/>
  <c r="D1862" i="21"/>
  <c r="H1838" i="21"/>
  <c r="D1830" i="21"/>
  <c r="H1925" i="21"/>
  <c r="D1901" i="21"/>
  <c r="H1890" i="21"/>
  <c r="D1929" i="21"/>
  <c r="H1927" i="21"/>
  <c r="D2005" i="21"/>
  <c r="H2003" i="21"/>
  <c r="D1998" i="21"/>
  <c r="D2128" i="21"/>
  <c r="H2128" i="21"/>
  <c r="D2146" i="21"/>
  <c r="H2146" i="21"/>
  <c r="D2230" i="21"/>
  <c r="H2230" i="21"/>
  <c r="D2191" i="21"/>
  <c r="H2191" i="21"/>
  <c r="H2241" i="21"/>
  <c r="D2241" i="21"/>
  <c r="D2280" i="21"/>
  <c r="H2280" i="21"/>
  <c r="D2330" i="21"/>
  <c r="H2330" i="21"/>
  <c r="D2491" i="21"/>
  <c r="H2491" i="21"/>
  <c r="D2450" i="21"/>
  <c r="H2450" i="21"/>
  <c r="H1599" i="21"/>
  <c r="H1567" i="21"/>
  <c r="H1663" i="21"/>
  <c r="H1655" i="21"/>
  <c r="H1647" i="21"/>
  <c r="H1746" i="21"/>
  <c r="D1823" i="21"/>
  <c r="H1823" i="21"/>
  <c r="H1957" i="21"/>
  <c r="D1957" i="21"/>
  <c r="H2074" i="21"/>
  <c r="D2074" i="21"/>
  <c r="D2043" i="21"/>
  <c r="H2043" i="21"/>
  <c r="D2088" i="21"/>
  <c r="H2088" i="21"/>
  <c r="D2347" i="21"/>
  <c r="H2347" i="21"/>
  <c r="D1693" i="21"/>
  <c r="D1789" i="21"/>
  <c r="D1897" i="21"/>
  <c r="D1977" i="21"/>
  <c r="D1970" i="21"/>
  <c r="D1989" i="21"/>
  <c r="D1982" i="21"/>
  <c r="D2067" i="21"/>
  <c r="H2067" i="21"/>
  <c r="D2079" i="21"/>
  <c r="H2079" i="21"/>
  <c r="D2112" i="21"/>
  <c r="H2112" i="21"/>
  <c r="D2166" i="21"/>
  <c r="H2166" i="21"/>
  <c r="D2218" i="21"/>
  <c r="H2218" i="21"/>
  <c r="D2270" i="21"/>
  <c r="H2270" i="21"/>
  <c r="D1474" i="21"/>
  <c r="D1466" i="21"/>
  <c r="H1754" i="21"/>
  <c r="H1722" i="21"/>
  <c r="H1782" i="21"/>
  <c r="H1866" i="21"/>
  <c r="H1941" i="21"/>
  <c r="D1941" i="21"/>
  <c r="D2154" i="21"/>
  <c r="H2154" i="21"/>
  <c r="D2198" i="21"/>
  <c r="H2198" i="21"/>
  <c r="D2322" i="21"/>
  <c r="H2322" i="21"/>
  <c r="D2379" i="21"/>
  <c r="H2379" i="21"/>
  <c r="D2482" i="21"/>
  <c r="H2482" i="21"/>
  <c r="H2453" i="21"/>
  <c r="D2453" i="21"/>
  <c r="H1802" i="21"/>
  <c r="H1965" i="21"/>
  <c r="D1965" i="21"/>
  <c r="D2051" i="21"/>
  <c r="H2051" i="21"/>
  <c r="D2096" i="21"/>
  <c r="H2096" i="21"/>
  <c r="H2182" i="21"/>
  <c r="D2182" i="21"/>
  <c r="H2273" i="21"/>
  <c r="D2273" i="21"/>
  <c r="D2247" i="21"/>
  <c r="H2247" i="21"/>
  <c r="D2415" i="21"/>
  <c r="H2415" i="21"/>
  <c r="D1808" i="21"/>
  <c r="H1808" i="21"/>
  <c r="D1902" i="21"/>
  <c r="H1902" i="21"/>
  <c r="H1889" i="21"/>
  <c r="H1882" i="21"/>
  <c r="H1995" i="21"/>
  <c r="D2075" i="21"/>
  <c r="H2075" i="21"/>
  <c r="D2120" i="21"/>
  <c r="H2120" i="21"/>
  <c r="D2138" i="21"/>
  <c r="H2138" i="21"/>
  <c r="D2223" i="21"/>
  <c r="H2223" i="21"/>
  <c r="D2338" i="21"/>
  <c r="H2338" i="21"/>
  <c r="D2370" i="21"/>
  <c r="H2370" i="21"/>
  <c r="H2485" i="21"/>
  <c r="D2485" i="21"/>
  <c r="H1603" i="21"/>
  <c r="H1571" i="21"/>
  <c r="H1750" i="21"/>
  <c r="D1805" i="21"/>
  <c r="D1785" i="21"/>
  <c r="H1783" i="21"/>
  <c r="H1894" i="21"/>
  <c r="H1949" i="21"/>
  <c r="D1949" i="21"/>
  <c r="H1943" i="21"/>
  <c r="H2019" i="21"/>
  <c r="D2035" i="21"/>
  <c r="H2035" i="21"/>
  <c r="D2162" i="21"/>
  <c r="H2162" i="21"/>
  <c r="D2288" i="21"/>
  <c r="H2288" i="21"/>
  <c r="D2314" i="21"/>
  <c r="H2314" i="21"/>
  <c r="H2390" i="21"/>
  <c r="D2390" i="21"/>
  <c r="H2444" i="21"/>
  <c r="D2444" i="21"/>
  <c r="H1963" i="21"/>
  <c r="H1955" i="21"/>
  <c r="H1947" i="21"/>
  <c r="H1939" i="21"/>
  <c r="D1933" i="21"/>
  <c r="H1931" i="21"/>
  <c r="H2023" i="21"/>
  <c r="D2017" i="21"/>
  <c r="H2015" i="21"/>
  <c r="D2009" i="21"/>
  <c r="H2007" i="21"/>
  <c r="D2001" i="21"/>
  <c r="H1999" i="21"/>
  <c r="D1993" i="21"/>
  <c r="H1991" i="21"/>
  <c r="D1985" i="21"/>
  <c r="H1983" i="21"/>
  <c r="H2127" i="21"/>
  <c r="H2119" i="21"/>
  <c r="H2111" i="21"/>
  <c r="H2103" i="21"/>
  <c r="H2095" i="21"/>
  <c r="H2087" i="21"/>
  <c r="H2180" i="21"/>
  <c r="H2175" i="21"/>
  <c r="H2227" i="21"/>
  <c r="H2222" i="21"/>
  <c r="H2195" i="21"/>
  <c r="H2190" i="21"/>
  <c r="D2257" i="21"/>
  <c r="H2255" i="21"/>
  <c r="H2246" i="21"/>
  <c r="H2287" i="21"/>
  <c r="H2279" i="21"/>
  <c r="H2335" i="21"/>
  <c r="H2327" i="21"/>
  <c r="H2319" i="21"/>
  <c r="D2301" i="21"/>
  <c r="H2299" i="21"/>
  <c r="H2378" i="21"/>
  <c r="D2357" i="21"/>
  <c r="H2389" i="21"/>
  <c r="D2386" i="21"/>
  <c r="D2433" i="21"/>
  <c r="D2469" i="21"/>
  <c r="H2215" i="21"/>
  <c r="D2449" i="21"/>
  <c r="D2066" i="21"/>
  <c r="D2058" i="21"/>
  <c r="D2050" i="21"/>
  <c r="D2042" i="21"/>
  <c r="D2034" i="21"/>
  <c r="D2161" i="21"/>
  <c r="D2153" i="21"/>
  <c r="D2145" i="21"/>
  <c r="D2137" i="21"/>
  <c r="D2184" i="21"/>
  <c r="D2249" i="21"/>
  <c r="D2282" i="21"/>
  <c r="D2381" i="21"/>
  <c r="H2259" i="21"/>
  <c r="H2250" i="21"/>
  <c r="H2303" i="21"/>
  <c r="H2294" i="21"/>
  <c r="H2382" i="21"/>
  <c r="H2359" i="21"/>
  <c r="H2350" i="21"/>
  <c r="H2435" i="21"/>
  <c r="H2426" i="21"/>
  <c r="H2410" i="21"/>
  <c r="H2494" i="21"/>
  <c r="H2471" i="21"/>
  <c r="H2462" i="21"/>
  <c r="H2283" i="21"/>
  <c r="H2340" i="21"/>
  <c r="H2393" i="21"/>
  <c r="H2403" i="21"/>
  <c r="H2231" i="21"/>
  <c r="H2199" i="21"/>
  <c r="D2253" i="21"/>
  <c r="D2297" i="21"/>
  <c r="D2385" i="21"/>
  <c r="D2353" i="21"/>
  <c r="D2429" i="21"/>
  <c r="D2497" i="21"/>
  <c r="D2465" i="21"/>
  <c r="H2496" i="21"/>
  <c r="H2492" i="21"/>
  <c r="H2488" i="21"/>
  <c r="H2484" i="21"/>
  <c r="H2480" i="21"/>
  <c r="H2476" i="21"/>
  <c r="H2472" i="21"/>
  <c r="H2468" i="21"/>
  <c r="H2464" i="21"/>
  <c r="H2460" i="21"/>
  <c r="H2456" i="21"/>
  <c r="H2452" i="21"/>
  <c r="H2448" i="21"/>
  <c r="D2446" i="21"/>
  <c r="H2445" i="21"/>
  <c r="D2417" i="21"/>
  <c r="D2409" i="21"/>
  <c r="D2405" i="21"/>
  <c r="D2401" i="21"/>
  <c r="D2397" i="21"/>
  <c r="D2413" i="21"/>
  <c r="H2440" i="21"/>
  <c r="H2436" i="21"/>
  <c r="H2432" i="21"/>
  <c r="H2428" i="21"/>
  <c r="H2424" i="21"/>
  <c r="H2420" i="21"/>
  <c r="H2416" i="21"/>
  <c r="H2412" i="21"/>
  <c r="H2408" i="21"/>
  <c r="H2404" i="21"/>
  <c r="H2400" i="21"/>
  <c r="H2396" i="21"/>
  <c r="H2394" i="21"/>
  <c r="H2391" i="21"/>
  <c r="H2387" i="21"/>
  <c r="H2384" i="21"/>
  <c r="H2380" i="21"/>
  <c r="H2376" i="21"/>
  <c r="H2372" i="21"/>
  <c r="H2368" i="21"/>
  <c r="H2364" i="21"/>
  <c r="H2360" i="21"/>
  <c r="H2356" i="21"/>
  <c r="H2352" i="21"/>
  <c r="H2348" i="21"/>
  <c r="H2344" i="21"/>
  <c r="D2342" i="21"/>
  <c r="H2341" i="21"/>
  <c r="D2337" i="21"/>
  <c r="D2333" i="21"/>
  <c r="D2329" i="21"/>
  <c r="D2325" i="21"/>
  <c r="D2321" i="21"/>
  <c r="D2317" i="21"/>
  <c r="D2293" i="21"/>
  <c r="H2336" i="21"/>
  <c r="H2332" i="21"/>
  <c r="H2328" i="21"/>
  <c r="H2324" i="21"/>
  <c r="H2320" i="21"/>
  <c r="H2316" i="21"/>
  <c r="H2312" i="21"/>
  <c r="H2308" i="21"/>
  <c r="H2304" i="21"/>
  <c r="H2300" i="21"/>
  <c r="H2296" i="21"/>
  <c r="H2292" i="21"/>
  <c r="H2289" i="21"/>
  <c r="H2285" i="21"/>
  <c r="H2281" i="21"/>
  <c r="H2277" i="21"/>
  <c r="H2272" i="21"/>
  <c r="H2268" i="21"/>
  <c r="H2264" i="21"/>
  <c r="H2260" i="21"/>
  <c r="H2256" i="21"/>
  <c r="H2252" i="21"/>
  <c r="H2248" i="21"/>
  <c r="H2244" i="21"/>
  <c r="H2240" i="21"/>
  <c r="H2238" i="21"/>
  <c r="D2237" i="21"/>
  <c r="D2233" i="21"/>
  <c r="D2229" i="21"/>
  <c r="D2225" i="21"/>
  <c r="D2221" i="21"/>
  <c r="D2217" i="21"/>
  <c r="D2213" i="21"/>
  <c r="D2209" i="21"/>
  <c r="D2205" i="21"/>
  <c r="D2201" i="21"/>
  <c r="D2197" i="21"/>
  <c r="D2193" i="21"/>
  <c r="D2189" i="21"/>
  <c r="H2236" i="21"/>
  <c r="H2232" i="21"/>
  <c r="H2228" i="21"/>
  <c r="H2224" i="21"/>
  <c r="H2220" i="21"/>
  <c r="H2216" i="21"/>
  <c r="H2212" i="21"/>
  <c r="H2208" i="21"/>
  <c r="H2204" i="21"/>
  <c r="H2200" i="21"/>
  <c r="H2196" i="21"/>
  <c r="H2192" i="21"/>
  <c r="H2188" i="21"/>
  <c r="H2186" i="21"/>
  <c r="H2185" i="21"/>
  <c r="H2181" i="21"/>
  <c r="H2177" i="21"/>
  <c r="H2173" i="21"/>
  <c r="H2178" i="21"/>
  <c r="H2174" i="21"/>
  <c r="H2171" i="21"/>
  <c r="H2167" i="21"/>
  <c r="H2135" i="21"/>
  <c r="H2164" i="21"/>
  <c r="H2160" i="21"/>
  <c r="H2156" i="21"/>
  <c r="H2152" i="21"/>
  <c r="H2148" i="21"/>
  <c r="H2144" i="21"/>
  <c r="H2140" i="21"/>
  <c r="H2136" i="21"/>
  <c r="D2133" i="21"/>
  <c r="D2129" i="21"/>
  <c r="D2125" i="21"/>
  <c r="D2121" i="21"/>
  <c r="D2117" i="21"/>
  <c r="D2113" i="21"/>
  <c r="D2109" i="21"/>
  <c r="D2105" i="21"/>
  <c r="D2101" i="21"/>
  <c r="D2097" i="21"/>
  <c r="D2093" i="21"/>
  <c r="D2089" i="21"/>
  <c r="D2085" i="21"/>
  <c r="H2081" i="21"/>
  <c r="H2082" i="21"/>
  <c r="H2077" i="21"/>
  <c r="H2078" i="21"/>
  <c r="D2073" i="21"/>
  <c r="D2069" i="21"/>
  <c r="D2065" i="21"/>
  <c r="D2061" i="21"/>
  <c r="D2057" i="21"/>
  <c r="D2053" i="21"/>
  <c r="D2049" i="21"/>
  <c r="D2045" i="21"/>
  <c r="D2041" i="21"/>
  <c r="D2037" i="21"/>
  <c r="D2033" i="21"/>
  <c r="H2030" i="21"/>
  <c r="H2029" i="21"/>
  <c r="H2025" i="21"/>
  <c r="H2024" i="21"/>
  <c r="H2020" i="21"/>
  <c r="H2016" i="21"/>
  <c r="H2012" i="21"/>
  <c r="H2008" i="21"/>
  <c r="H2004" i="21"/>
  <c r="H2000" i="21"/>
  <c r="H1996" i="21"/>
  <c r="H1992" i="21"/>
  <c r="H1988" i="21"/>
  <c r="H1984" i="21"/>
  <c r="H1980" i="21"/>
  <c r="H1976" i="21"/>
  <c r="H1972" i="21"/>
  <c r="H1968" i="21"/>
  <c r="H1964" i="21"/>
  <c r="H1960" i="21"/>
  <c r="H1956" i="21"/>
  <c r="H1952" i="21"/>
  <c r="H1948" i="21"/>
  <c r="H1944" i="21"/>
  <c r="H1940" i="21"/>
  <c r="H1936" i="21"/>
  <c r="H1932" i="21"/>
  <c r="H1928" i="21"/>
  <c r="H1926" i="21"/>
  <c r="H1923" i="21"/>
  <c r="H1919" i="21"/>
  <c r="H1915" i="21"/>
  <c r="H1911" i="21"/>
  <c r="H1907" i="21"/>
  <c r="H1903" i="21"/>
  <c r="H1899" i="21"/>
  <c r="H1895" i="21"/>
  <c r="H1891" i="21"/>
  <c r="H1887" i="21"/>
  <c r="H1883" i="21"/>
  <c r="H1879" i="21"/>
  <c r="H1875" i="21"/>
  <c r="H1924" i="21"/>
  <c r="H1920" i="21"/>
  <c r="H1916" i="21"/>
  <c r="H1912" i="21"/>
  <c r="H1908" i="21"/>
  <c r="H1904" i="21"/>
  <c r="H1900" i="21"/>
  <c r="H1896" i="21"/>
  <c r="H1892" i="21"/>
  <c r="H1888" i="21"/>
  <c r="H1884" i="21"/>
  <c r="H1880" i="21"/>
  <c r="H1876" i="21"/>
  <c r="H1874" i="21"/>
  <c r="D1873" i="21"/>
  <c r="D1869" i="21"/>
  <c r="D1865" i="21"/>
  <c r="D1861" i="21"/>
  <c r="D1857" i="21"/>
  <c r="D1853" i="21"/>
  <c r="D1849" i="21"/>
  <c r="D1845" i="21"/>
  <c r="D1841" i="21"/>
  <c r="D1837" i="21"/>
  <c r="D1833" i="21"/>
  <c r="D1829" i="21"/>
  <c r="D1825" i="21"/>
  <c r="H1872" i="21"/>
  <c r="H1868" i="21"/>
  <c r="H1864" i="21"/>
  <c r="H1860" i="21"/>
  <c r="H1856" i="21"/>
  <c r="H1852" i="21"/>
  <c r="H1848" i="21"/>
  <c r="H1844" i="21"/>
  <c r="H1840" i="21"/>
  <c r="H1836" i="21"/>
  <c r="H1832" i="21"/>
  <c r="H1828" i="21"/>
  <c r="H1824" i="21"/>
  <c r="D1822" i="21"/>
  <c r="H1821" i="21"/>
  <c r="H1818" i="21"/>
  <c r="D1814" i="21"/>
  <c r="D1810" i="21"/>
  <c r="H1813" i="21"/>
  <c r="H1809" i="21"/>
  <c r="H1804" i="21"/>
  <c r="H1800" i="21"/>
  <c r="H1796" i="21"/>
  <c r="H1792" i="21"/>
  <c r="H1788" i="21"/>
  <c r="H1784" i="21"/>
  <c r="H1780" i="21"/>
  <c r="H1776" i="21"/>
  <c r="H1772" i="21"/>
  <c r="H1767" i="21"/>
  <c r="H1763" i="21"/>
  <c r="H1759" i="21"/>
  <c r="H1755" i="21"/>
  <c r="H1751" i="21"/>
  <c r="H1747" i="21"/>
  <c r="H1743" i="21"/>
  <c r="H1739" i="21"/>
  <c r="H1735" i="21"/>
  <c r="H1731" i="21"/>
  <c r="H1727" i="21"/>
  <c r="H1723" i="21"/>
  <c r="H1719" i="21"/>
  <c r="H1768" i="21"/>
  <c r="H1764" i="21"/>
  <c r="H1760" i="21"/>
  <c r="H1756" i="21"/>
  <c r="H1752" i="21"/>
  <c r="H1748" i="21"/>
  <c r="H1744" i="21"/>
  <c r="H1740" i="21"/>
  <c r="H1736" i="21"/>
  <c r="H1732" i="21"/>
  <c r="H1728" i="21"/>
  <c r="H1724" i="21"/>
  <c r="H1720" i="21"/>
  <c r="H1716" i="21"/>
  <c r="H1712" i="21"/>
  <c r="H1708" i="21"/>
  <c r="H1704" i="21"/>
  <c r="H1700" i="21"/>
  <c r="H1696" i="21"/>
  <c r="H1692" i="21"/>
  <c r="H1688" i="21"/>
  <c r="H1684" i="21"/>
  <c r="H1680" i="21"/>
  <c r="H1676" i="21"/>
  <c r="H1672" i="21"/>
  <c r="H1668" i="21"/>
  <c r="H1615" i="21"/>
  <c r="H1664" i="21"/>
  <c r="H1660" i="21"/>
  <c r="H1656" i="21"/>
  <c r="H1652" i="21"/>
  <c r="H1648" i="21"/>
  <c r="H1644" i="21"/>
  <c r="H1640" i="21"/>
  <c r="H1636" i="21"/>
  <c r="H1632" i="21"/>
  <c r="H1628" i="21"/>
  <c r="H1624" i="21"/>
  <c r="H1620" i="21"/>
  <c r="H1616" i="21"/>
  <c r="D1613" i="21"/>
  <c r="D1609" i="21"/>
  <c r="D1605" i="21"/>
  <c r="D1601" i="21"/>
  <c r="D1597" i="21"/>
  <c r="D1593" i="21"/>
  <c r="D1589" i="21"/>
  <c r="D1585" i="21"/>
  <c r="D1581" i="21"/>
  <c r="D1577" i="21"/>
  <c r="D1573" i="21"/>
  <c r="D1569" i="21"/>
  <c r="D1565" i="21"/>
  <c r="H1612" i="21"/>
  <c r="H1608" i="21"/>
  <c r="H1604" i="21"/>
  <c r="H1600" i="21"/>
  <c r="H1596" i="21"/>
  <c r="H1592" i="21"/>
  <c r="H1588" i="21"/>
  <c r="H1584" i="21"/>
  <c r="H1580" i="21"/>
  <c r="H1576" i="21"/>
  <c r="H1572" i="21"/>
  <c r="H1568" i="21"/>
  <c r="H1564" i="21"/>
  <c r="H1561" i="21"/>
  <c r="H1562" i="21"/>
  <c r="D1560" i="21"/>
  <c r="H1557" i="21"/>
  <c r="H1553" i="21"/>
  <c r="H1554" i="21"/>
  <c r="H1551" i="21"/>
  <c r="H1547" i="21"/>
  <c r="H1543" i="21"/>
  <c r="H1539" i="21"/>
  <c r="H1535" i="21"/>
  <c r="H1531" i="21"/>
  <c r="H1527" i="21"/>
  <c r="H1523" i="21"/>
  <c r="H1519" i="21"/>
  <c r="H1515" i="21"/>
  <c r="H1511" i="21"/>
  <c r="H1552" i="21"/>
  <c r="H1548" i="21"/>
  <c r="H1544" i="21"/>
  <c r="H1540" i="21"/>
  <c r="H1536" i="21"/>
  <c r="H1532" i="21"/>
  <c r="H1528" i="21"/>
  <c r="H1524" i="21"/>
  <c r="H1520" i="21"/>
  <c r="H1516" i="21"/>
  <c r="H1512" i="21"/>
  <c r="H1510" i="21"/>
  <c r="H1506" i="21"/>
  <c r="H1507" i="21"/>
  <c r="H1505" i="21"/>
  <c r="H1501" i="21"/>
  <c r="H1497" i="21"/>
  <c r="H1493" i="21"/>
  <c r="H1489" i="21"/>
  <c r="H1502" i="21"/>
  <c r="H1498" i="21"/>
  <c r="H1494" i="21"/>
  <c r="H1490" i="21"/>
  <c r="D1485" i="21"/>
  <c r="D1481" i="21"/>
  <c r="D1477" i="21"/>
  <c r="D1473" i="21"/>
  <c r="D1469" i="21"/>
  <c r="D1465" i="21"/>
  <c r="D1461" i="21"/>
  <c r="H1451" i="21"/>
  <c r="H1447" i="21"/>
  <c r="H1443" i="21"/>
  <c r="H1439" i="21"/>
  <c r="H1435" i="21"/>
  <c r="H1431" i="21"/>
  <c r="H1427" i="21"/>
  <c r="H1423" i="21"/>
  <c r="H1419" i="21"/>
  <c r="H1415" i="21"/>
  <c r="H1411" i="21"/>
  <c r="H1407" i="21"/>
  <c r="H1456" i="21"/>
  <c r="H1452" i="21"/>
  <c r="H1448" i="21"/>
  <c r="H1444" i="21"/>
  <c r="H1440" i="21"/>
  <c r="H1436" i="21"/>
  <c r="H1432" i="21"/>
  <c r="H1428" i="21"/>
  <c r="H1424" i="21"/>
  <c r="H1420" i="21"/>
  <c r="H1416" i="21"/>
  <c r="H1412" i="21"/>
  <c r="H1408" i="21"/>
  <c r="D1405" i="21"/>
  <c r="D1401" i="21"/>
  <c r="D1397" i="21"/>
  <c r="D1393" i="21"/>
  <c r="D1389" i="21"/>
  <c r="D1385" i="21"/>
  <c r="D1381" i="21"/>
  <c r="D1377" i="21"/>
  <c r="D1373" i="21"/>
  <c r="D1369" i="21"/>
  <c r="D1365" i="21"/>
  <c r="D1361" i="21"/>
  <c r="D1357" i="21"/>
  <c r="H1404" i="21"/>
  <c r="H1400" i="21"/>
  <c r="H1396" i="21"/>
  <c r="H1392" i="21"/>
  <c r="H1388" i="21"/>
  <c r="H1384" i="21"/>
  <c r="H1380" i="21"/>
  <c r="H1376" i="21"/>
  <c r="H1372" i="21"/>
  <c r="H1368" i="21"/>
  <c r="H1364" i="21"/>
  <c r="H1360" i="21"/>
  <c r="H1356" i="21"/>
  <c r="H1352" i="21"/>
  <c r="H1348" i="21"/>
  <c r="H1344" i="21"/>
  <c r="H1340" i="21"/>
  <c r="H1336" i="21"/>
  <c r="H1332" i="21"/>
  <c r="H1328" i="21"/>
  <c r="H1324" i="21"/>
  <c r="H1320" i="21"/>
  <c r="H1316" i="21"/>
  <c r="H1312" i="21"/>
  <c r="H1308" i="21"/>
  <c r="H1304" i="21"/>
  <c r="D1300" i="21"/>
  <c r="D1296" i="21"/>
  <c r="D1292" i="21"/>
  <c r="D1288" i="21"/>
  <c r="D1284" i="21"/>
  <c r="D1280" i="21"/>
  <c r="D1276" i="21"/>
  <c r="H1267" i="21"/>
  <c r="H1263" i="21"/>
  <c r="H1259" i="21"/>
  <c r="H1255" i="21"/>
  <c r="H1251" i="21"/>
  <c r="H1295" i="21"/>
  <c r="H1283" i="21"/>
  <c r="H1279" i="21"/>
  <c r="H1291" i="21"/>
  <c r="H1287" i="21"/>
  <c r="H1271" i="21"/>
  <c r="D1299" i="21"/>
  <c r="D1275" i="21"/>
  <c r="H1272" i="21"/>
  <c r="H1268" i="21"/>
  <c r="H1264" i="21"/>
  <c r="H1260" i="21"/>
  <c r="H1256" i="21"/>
  <c r="H1252" i="21"/>
  <c r="H1248" i="21"/>
  <c r="H1244" i="21"/>
  <c r="H1236" i="21"/>
  <c r="H1232" i="21"/>
  <c r="H1228" i="21"/>
  <c r="H1224" i="21"/>
  <c r="H1220" i="21"/>
  <c r="H1216" i="21"/>
  <c r="H1212" i="21"/>
  <c r="H1208" i="21"/>
  <c r="H1204" i="21"/>
  <c r="H1200" i="21"/>
  <c r="H1240" i="21"/>
  <c r="D1197" i="21"/>
  <c r="D1193" i="21"/>
  <c r="D1189" i="21"/>
  <c r="D1185" i="21"/>
  <c r="D1181" i="21"/>
  <c r="D1177" i="21"/>
  <c r="D1173" i="21"/>
  <c r="D1169" i="21"/>
  <c r="D1165" i="21"/>
  <c r="D1161" i="21"/>
  <c r="D1157" i="21"/>
  <c r="D1153" i="21"/>
  <c r="D1149" i="21"/>
  <c r="H1146" i="21"/>
  <c r="H1144" i="21"/>
  <c r="H1145" i="21"/>
  <c r="H1136" i="21"/>
  <c r="H1141" i="21"/>
  <c r="H1137" i="21"/>
  <c r="H1095" i="21"/>
  <c r="H1132" i="21"/>
  <c r="H1128" i="21"/>
  <c r="H1124" i="21"/>
  <c r="H1120" i="21"/>
  <c r="H1116" i="21"/>
  <c r="H1112" i="21"/>
  <c r="H1108" i="21"/>
  <c r="H1104" i="21"/>
  <c r="H1100" i="21"/>
  <c r="H1096" i="21"/>
  <c r="H1067" i="21"/>
  <c r="H1063" i="21"/>
  <c r="H1059" i="21"/>
  <c r="H1055" i="21"/>
  <c r="H1051" i="21"/>
  <c r="H1047" i="21"/>
  <c r="H1043" i="21"/>
  <c r="H1092" i="21"/>
  <c r="H1088" i="21"/>
  <c r="H1084" i="21"/>
  <c r="H1080" i="21"/>
  <c r="H1076" i="21"/>
  <c r="H1072" i="21"/>
  <c r="H1068" i="21"/>
  <c r="H1064" i="21"/>
  <c r="H1060" i="21"/>
  <c r="H1056" i="21"/>
  <c r="H1052" i="21"/>
  <c r="H1048" i="21"/>
  <c r="H1044" i="21"/>
  <c r="H1042" i="21"/>
  <c r="H1040" i="21"/>
  <c r="H1036" i="21"/>
  <c r="H1032" i="21"/>
  <c r="H1028" i="21"/>
  <c r="H1024" i="21"/>
  <c r="H1020" i="21"/>
  <c r="H1016" i="21"/>
  <c r="H1012" i="21"/>
  <c r="H1008" i="21"/>
  <c r="H1004" i="21"/>
  <c r="H1000" i="21"/>
  <c r="H996" i="21"/>
  <c r="H992" i="21"/>
  <c r="D990" i="21"/>
  <c r="H980" i="21"/>
  <c r="H972" i="21"/>
  <c r="H968" i="21"/>
  <c r="H964" i="21"/>
  <c r="H960" i="21"/>
  <c r="H956" i="21"/>
  <c r="H952" i="21"/>
  <c r="H948" i="21"/>
  <c r="H944" i="21"/>
  <c r="H940" i="21"/>
  <c r="H984" i="21"/>
  <c r="H988" i="21"/>
  <c r="H976" i="21"/>
  <c r="H937" i="21"/>
  <c r="H934" i="21"/>
  <c r="H930" i="21"/>
  <c r="H927" i="21"/>
  <c r="H923" i="21"/>
  <c r="H911" i="21"/>
  <c r="H903" i="21"/>
  <c r="H895" i="21"/>
  <c r="H915" i="21"/>
  <c r="H919" i="21"/>
  <c r="H907" i="21"/>
  <c r="H899" i="21"/>
  <c r="D837" i="21"/>
  <c r="D885" i="21"/>
  <c r="D881" i="21"/>
  <c r="D877" i="21"/>
  <c r="D873" i="21"/>
  <c r="D869" i="21"/>
  <c r="D865" i="21"/>
  <c r="D861" i="21"/>
  <c r="D857" i="21"/>
  <c r="D853" i="21"/>
  <c r="D849" i="21"/>
  <c r="D845" i="21"/>
  <c r="D841" i="21"/>
  <c r="H880" i="21"/>
  <c r="H876" i="21"/>
  <c r="H872" i="21"/>
  <c r="H868" i="21"/>
  <c r="H864" i="21"/>
  <c r="H860" i="21"/>
  <c r="H856" i="21"/>
  <c r="H852" i="21"/>
  <c r="H848" i="21"/>
  <c r="H844" i="21"/>
  <c r="H840" i="21"/>
  <c r="H836" i="21"/>
  <c r="H884" i="21"/>
  <c r="H834" i="21"/>
  <c r="H783" i="21"/>
  <c r="H832" i="21"/>
  <c r="H828" i="21"/>
  <c r="H824" i="21"/>
  <c r="H820" i="21"/>
  <c r="H816" i="21"/>
  <c r="H812" i="21"/>
  <c r="H808" i="21"/>
  <c r="H804" i="21"/>
  <c r="H800" i="21"/>
  <c r="H796" i="21"/>
  <c r="H792" i="21"/>
  <c r="H788" i="21"/>
  <c r="H784" i="21"/>
  <c r="H776" i="21"/>
  <c r="H781" i="21"/>
  <c r="H777" i="21"/>
  <c r="D733" i="21"/>
  <c r="D773" i="21"/>
  <c r="D769" i="21"/>
  <c r="D765" i="21"/>
  <c r="D761" i="21"/>
  <c r="D757" i="21"/>
  <c r="D753" i="21"/>
  <c r="D749" i="21"/>
  <c r="D745" i="21"/>
  <c r="D741" i="21"/>
  <c r="D737" i="21"/>
  <c r="H772" i="21"/>
  <c r="H768" i="21"/>
  <c r="H756" i="21"/>
  <c r="H748" i="21"/>
  <c r="H744" i="21"/>
  <c r="H740" i="21"/>
  <c r="H736" i="21"/>
  <c r="H764" i="21"/>
  <c r="H752" i="21"/>
  <c r="H760" i="21"/>
  <c r="H728" i="21"/>
  <c r="H724" i="21"/>
  <c r="H720" i="21"/>
  <c r="H716" i="21"/>
  <c r="H712" i="21"/>
  <c r="H708" i="21"/>
  <c r="H704" i="21"/>
  <c r="H700" i="21"/>
  <c r="H696" i="21"/>
  <c r="H692" i="21"/>
  <c r="H688" i="21"/>
  <c r="H684" i="21"/>
  <c r="H680" i="21"/>
  <c r="H678" i="21"/>
  <c r="H675" i="21"/>
  <c r="H659" i="21"/>
  <c r="H647" i="21"/>
  <c r="H627" i="21"/>
  <c r="H671" i="21"/>
  <c r="H655" i="21"/>
  <c r="H643" i="21"/>
  <c r="H639" i="21"/>
  <c r="H635" i="21"/>
  <c r="H667" i="21"/>
  <c r="H663" i="21"/>
  <c r="H651" i="21"/>
  <c r="H631" i="21"/>
  <c r="H668" i="21"/>
  <c r="H664" i="21"/>
  <c r="H660" i="21"/>
  <c r="H656" i="21"/>
  <c r="H652" i="21"/>
  <c r="H648" i="21"/>
  <c r="H644" i="21"/>
  <c r="H640" i="21"/>
  <c r="H636" i="21"/>
  <c r="H632" i="21"/>
  <c r="H628" i="21"/>
  <c r="H614" i="21"/>
  <c r="H618" i="21"/>
  <c r="H612" i="21"/>
  <c r="H604" i="21"/>
  <c r="H592" i="21"/>
  <c r="H588" i="21"/>
  <c r="H584" i="21"/>
  <c r="H580" i="21"/>
  <c r="H576" i="21"/>
  <c r="H608" i="21"/>
  <c r="H600" i="21"/>
  <c r="H596" i="21"/>
  <c r="H574" i="21"/>
  <c r="D557" i="21"/>
  <c r="H554" i="21"/>
  <c r="D553" i="21"/>
  <c r="D549" i="21"/>
  <c r="D545" i="21"/>
  <c r="D541" i="21"/>
  <c r="D537" i="21"/>
  <c r="D533" i="21"/>
  <c r="D529" i="21"/>
  <c r="D525" i="21"/>
  <c r="H564" i="21"/>
  <c r="H560" i="21"/>
  <c r="H548" i="21"/>
  <c r="H544" i="21"/>
  <c r="H540" i="21"/>
  <c r="H536" i="21"/>
  <c r="H532" i="21"/>
  <c r="H528" i="21"/>
  <c r="H524" i="21"/>
  <c r="H568" i="21"/>
  <c r="H556" i="21"/>
  <c r="H552" i="21"/>
  <c r="H522" i="21"/>
  <c r="H521" i="21"/>
  <c r="H517" i="21"/>
  <c r="H513" i="21"/>
  <c r="H509" i="21"/>
  <c r="H505" i="21"/>
  <c r="H487" i="21"/>
  <c r="H483" i="21"/>
  <c r="H479" i="21"/>
  <c r="H475" i="21"/>
  <c r="H471" i="21"/>
  <c r="H503" i="21"/>
  <c r="H499" i="21"/>
  <c r="H495" i="21"/>
  <c r="D491" i="21"/>
  <c r="D468" i="21"/>
  <c r="H467" i="21"/>
  <c r="H450" i="21"/>
  <c r="H458" i="21"/>
  <c r="H454" i="21"/>
  <c r="D462" i="21"/>
  <c r="H459" i="21"/>
  <c r="H455" i="21"/>
  <c r="H451" i="21"/>
  <c r="H440" i="21"/>
  <c r="H436" i="21"/>
  <c r="H420" i="21"/>
  <c r="H444" i="21"/>
  <c r="H424" i="21"/>
  <c r="H448" i="21"/>
  <c r="H432" i="21"/>
  <c r="H428" i="21"/>
  <c r="D418" i="21"/>
  <c r="H416" i="21"/>
  <c r="H412" i="21"/>
  <c r="H408" i="21"/>
  <c r="H404" i="21"/>
  <c r="H399" i="21"/>
  <c r="H391" i="21"/>
  <c r="H379" i="21"/>
  <c r="H371" i="21"/>
  <c r="H403" i="21"/>
  <c r="H395" i="21"/>
  <c r="H387" i="21"/>
  <c r="H383" i="21"/>
  <c r="H375" i="21"/>
  <c r="H367" i="21"/>
  <c r="D352" i="21"/>
  <c r="D320" i="21"/>
  <c r="D363" i="21"/>
  <c r="H353" i="21"/>
  <c r="H330" i="21"/>
  <c r="H321" i="21"/>
  <c r="H342" i="21"/>
  <c r="H364" i="21"/>
  <c r="H333" i="21"/>
  <c r="D356" i="21"/>
  <c r="D324" i="21"/>
  <c r="D336" i="21"/>
  <c r="D316" i="21"/>
  <c r="D358" i="21"/>
  <c r="H362" i="21"/>
  <c r="H357" i="21"/>
  <c r="H361" i="21"/>
  <c r="H351" i="21"/>
  <c r="H347" i="21"/>
  <c r="H327" i="21"/>
  <c r="H323" i="21"/>
  <c r="H343" i="21"/>
  <c r="H339" i="21"/>
  <c r="H335" i="21"/>
  <c r="H355" i="21"/>
  <c r="H331" i="21"/>
  <c r="H319" i="21"/>
  <c r="H315" i="21"/>
  <c r="C314" i="21" l="1"/>
  <c r="B314" i="21"/>
  <c r="D314" i="21" s="1"/>
  <c r="B263" i="21"/>
  <c r="D263" i="21" s="1"/>
  <c r="C263" i="21"/>
  <c r="E263" i="21"/>
  <c r="I263" i="21"/>
  <c r="B264" i="21"/>
  <c r="D264" i="21" s="1"/>
  <c r="C264" i="21"/>
  <c r="E264" i="21"/>
  <c r="I264" i="21"/>
  <c r="B265" i="21"/>
  <c r="H265" i="21" s="1"/>
  <c r="C265" i="21"/>
  <c r="E265" i="21"/>
  <c r="I265" i="21"/>
  <c r="B266" i="21"/>
  <c r="D266" i="21" s="1"/>
  <c r="C266" i="21"/>
  <c r="E266" i="21"/>
  <c r="I266" i="21"/>
  <c r="B267" i="21"/>
  <c r="H267" i="21" s="1"/>
  <c r="C267" i="21"/>
  <c r="E267" i="21"/>
  <c r="I267" i="21"/>
  <c r="B268" i="21"/>
  <c r="D268" i="21" s="1"/>
  <c r="C268" i="21"/>
  <c r="E268" i="21"/>
  <c r="I268" i="21"/>
  <c r="B269" i="21"/>
  <c r="H269" i="21" s="1"/>
  <c r="C269" i="21"/>
  <c r="E269" i="21"/>
  <c r="I269" i="21"/>
  <c r="B270" i="21"/>
  <c r="D270" i="21" s="1"/>
  <c r="C270" i="21"/>
  <c r="E270" i="21"/>
  <c r="I270" i="21"/>
  <c r="B271" i="21"/>
  <c r="D271" i="21" s="1"/>
  <c r="C271" i="21"/>
  <c r="E271" i="21"/>
  <c r="I271" i="21"/>
  <c r="B272" i="21"/>
  <c r="D272" i="21" s="1"/>
  <c r="C272" i="21"/>
  <c r="E272" i="21"/>
  <c r="I272" i="21"/>
  <c r="B273" i="21"/>
  <c r="H273" i="21" s="1"/>
  <c r="C273" i="21"/>
  <c r="E273" i="21"/>
  <c r="I273" i="21"/>
  <c r="B274" i="21"/>
  <c r="D274" i="21" s="1"/>
  <c r="C274" i="21"/>
  <c r="E274" i="21"/>
  <c r="I274" i="21"/>
  <c r="B275" i="21"/>
  <c r="H275" i="21" s="1"/>
  <c r="C275" i="21"/>
  <c r="E275" i="21"/>
  <c r="I275" i="21"/>
  <c r="B276" i="21"/>
  <c r="D276" i="21" s="1"/>
  <c r="C276" i="21"/>
  <c r="E276" i="21"/>
  <c r="I276" i="21"/>
  <c r="B277" i="21"/>
  <c r="H277" i="21" s="1"/>
  <c r="C277" i="21"/>
  <c r="E277" i="21"/>
  <c r="I277" i="21"/>
  <c r="B278" i="21"/>
  <c r="D278" i="21" s="1"/>
  <c r="C278" i="21"/>
  <c r="E278" i="21"/>
  <c r="I278" i="21"/>
  <c r="B279" i="21"/>
  <c r="D279" i="21" s="1"/>
  <c r="C279" i="21"/>
  <c r="E279" i="21"/>
  <c r="I279" i="21"/>
  <c r="B280" i="21"/>
  <c r="D280" i="21" s="1"/>
  <c r="C280" i="21"/>
  <c r="E280" i="21"/>
  <c r="I280" i="21"/>
  <c r="B281" i="21"/>
  <c r="H281" i="21" s="1"/>
  <c r="C281" i="21"/>
  <c r="E281" i="21"/>
  <c r="I281" i="21"/>
  <c r="B282" i="21"/>
  <c r="D282" i="21" s="1"/>
  <c r="C282" i="21"/>
  <c r="E282" i="21"/>
  <c r="I282" i="21"/>
  <c r="B283" i="21"/>
  <c r="H283" i="21" s="1"/>
  <c r="C283" i="21"/>
  <c r="E283" i="21"/>
  <c r="I283" i="21"/>
  <c r="B284" i="21"/>
  <c r="D284" i="21" s="1"/>
  <c r="C284" i="21"/>
  <c r="E284" i="21"/>
  <c r="I284" i="21"/>
  <c r="B285" i="21"/>
  <c r="H285" i="21" s="1"/>
  <c r="C285" i="21"/>
  <c r="E285" i="21"/>
  <c r="I285" i="21"/>
  <c r="B286" i="21"/>
  <c r="D286" i="21" s="1"/>
  <c r="C286" i="21"/>
  <c r="E286" i="21"/>
  <c r="I286" i="21"/>
  <c r="B287" i="21"/>
  <c r="D287" i="21" s="1"/>
  <c r="C287" i="21"/>
  <c r="E287" i="21"/>
  <c r="I287" i="21"/>
  <c r="B288" i="21"/>
  <c r="D288" i="21" s="1"/>
  <c r="C288" i="21"/>
  <c r="E288" i="21"/>
  <c r="I288" i="21"/>
  <c r="B289" i="21"/>
  <c r="H289" i="21" s="1"/>
  <c r="C289" i="21"/>
  <c r="E289" i="21"/>
  <c r="I289" i="21"/>
  <c r="B290" i="21"/>
  <c r="D290" i="21" s="1"/>
  <c r="C290" i="21"/>
  <c r="E290" i="21"/>
  <c r="I290" i="21"/>
  <c r="B291" i="21"/>
  <c r="H291" i="21" s="1"/>
  <c r="C291" i="21"/>
  <c r="E291" i="21"/>
  <c r="I291" i="21"/>
  <c r="B292" i="21"/>
  <c r="D292" i="21" s="1"/>
  <c r="C292" i="21"/>
  <c r="E292" i="21"/>
  <c r="I292" i="21"/>
  <c r="B293" i="21"/>
  <c r="H293" i="21" s="1"/>
  <c r="C293" i="21"/>
  <c r="E293" i="21"/>
  <c r="I293" i="21"/>
  <c r="B294" i="21"/>
  <c r="D294" i="21" s="1"/>
  <c r="C294" i="21"/>
  <c r="E294" i="21"/>
  <c r="I294" i="21"/>
  <c r="B295" i="21"/>
  <c r="D295" i="21" s="1"/>
  <c r="C295" i="21"/>
  <c r="E295" i="21"/>
  <c r="I295" i="21"/>
  <c r="B296" i="21"/>
  <c r="D296" i="21" s="1"/>
  <c r="C296" i="21"/>
  <c r="E296" i="21"/>
  <c r="I296" i="21"/>
  <c r="B297" i="21"/>
  <c r="H297" i="21" s="1"/>
  <c r="C297" i="21"/>
  <c r="E297" i="21"/>
  <c r="I297" i="21"/>
  <c r="B298" i="21"/>
  <c r="D298" i="21" s="1"/>
  <c r="C298" i="21"/>
  <c r="E298" i="21"/>
  <c r="I298" i="21"/>
  <c r="B299" i="21"/>
  <c r="H299" i="21" s="1"/>
  <c r="C299" i="21"/>
  <c r="E299" i="21"/>
  <c r="I299" i="21"/>
  <c r="B300" i="21"/>
  <c r="D300" i="21" s="1"/>
  <c r="C300" i="21"/>
  <c r="E300" i="21"/>
  <c r="I300" i="21"/>
  <c r="B301" i="21"/>
  <c r="H301" i="21" s="1"/>
  <c r="C301" i="21"/>
  <c r="E301" i="21"/>
  <c r="I301" i="21"/>
  <c r="B302" i="21"/>
  <c r="D302" i="21" s="1"/>
  <c r="C302" i="21"/>
  <c r="E302" i="21"/>
  <c r="I302" i="21"/>
  <c r="B303" i="21"/>
  <c r="D303" i="21" s="1"/>
  <c r="C303" i="21"/>
  <c r="E303" i="21"/>
  <c r="I303" i="21"/>
  <c r="B304" i="21"/>
  <c r="D304" i="21" s="1"/>
  <c r="C304" i="21"/>
  <c r="E304" i="21"/>
  <c r="I304" i="21"/>
  <c r="B305" i="21"/>
  <c r="H305" i="21" s="1"/>
  <c r="C305" i="21"/>
  <c r="E305" i="21"/>
  <c r="I305" i="21"/>
  <c r="B306" i="21"/>
  <c r="D306" i="21" s="1"/>
  <c r="C306" i="21"/>
  <c r="E306" i="21"/>
  <c r="I306" i="21"/>
  <c r="B307" i="21"/>
  <c r="H307" i="21" s="1"/>
  <c r="C307" i="21"/>
  <c r="E307" i="21"/>
  <c r="I307" i="21"/>
  <c r="B308" i="21"/>
  <c r="D308" i="21" s="1"/>
  <c r="C308" i="21"/>
  <c r="E308" i="21"/>
  <c r="I308" i="21"/>
  <c r="B309" i="21"/>
  <c r="H309" i="21" s="1"/>
  <c r="C309" i="21"/>
  <c r="E309" i="21"/>
  <c r="I309" i="21"/>
  <c r="B310" i="21"/>
  <c r="H310" i="21" s="1"/>
  <c r="C310" i="21"/>
  <c r="E310" i="21"/>
  <c r="I310" i="21"/>
  <c r="B311" i="21"/>
  <c r="D311" i="21" s="1"/>
  <c r="C311" i="21"/>
  <c r="E311" i="21"/>
  <c r="I311" i="21"/>
  <c r="B312" i="21"/>
  <c r="D312" i="21" s="1"/>
  <c r="C312" i="21"/>
  <c r="E312" i="21"/>
  <c r="I312" i="21"/>
  <c r="B313" i="21"/>
  <c r="H313" i="21" s="1"/>
  <c r="C313" i="21"/>
  <c r="E313" i="21"/>
  <c r="I313" i="21"/>
  <c r="I262" i="21"/>
  <c r="E262" i="21"/>
  <c r="B262" i="21"/>
  <c r="D262" i="21" s="1"/>
  <c r="C262" i="21"/>
  <c r="B258" i="21"/>
  <c r="H258" i="21" s="1"/>
  <c r="C258" i="21"/>
  <c r="E258" i="21"/>
  <c r="I258" i="21"/>
  <c r="B259" i="21"/>
  <c r="D259" i="21" s="1"/>
  <c r="C259" i="21"/>
  <c r="E259" i="21"/>
  <c r="I259" i="21"/>
  <c r="B260" i="21"/>
  <c r="D260" i="21" s="1"/>
  <c r="C260" i="21"/>
  <c r="E260" i="21"/>
  <c r="I260" i="21"/>
  <c r="B261" i="21"/>
  <c r="H261" i="21" s="1"/>
  <c r="C261" i="21"/>
  <c r="E261" i="21"/>
  <c r="I261" i="21"/>
  <c r="B255" i="21"/>
  <c r="D255" i="21" s="1"/>
  <c r="C255" i="21"/>
  <c r="E255" i="21"/>
  <c r="I255" i="21"/>
  <c r="B256" i="21"/>
  <c r="H256" i="21" s="1"/>
  <c r="C256" i="21"/>
  <c r="E256" i="21"/>
  <c r="I256" i="21"/>
  <c r="B257" i="21"/>
  <c r="D257" i="21" s="1"/>
  <c r="C257" i="21"/>
  <c r="E257" i="21"/>
  <c r="I257" i="21"/>
  <c r="B246" i="21"/>
  <c r="D246" i="21" s="1"/>
  <c r="C246" i="21"/>
  <c r="E246" i="21"/>
  <c r="I246" i="21"/>
  <c r="B247" i="21"/>
  <c r="D247" i="21" s="1"/>
  <c r="C247" i="21"/>
  <c r="E247" i="21"/>
  <c r="I247" i="21"/>
  <c r="B248" i="21"/>
  <c r="H248" i="21" s="1"/>
  <c r="C248" i="21"/>
  <c r="E248" i="21"/>
  <c r="I248" i="21"/>
  <c r="B249" i="21"/>
  <c r="D249" i="21" s="1"/>
  <c r="C249" i="21"/>
  <c r="E249" i="21"/>
  <c r="I249" i="21"/>
  <c r="B250" i="21"/>
  <c r="D250" i="21" s="1"/>
  <c r="C250" i="21"/>
  <c r="E250" i="21"/>
  <c r="I250" i="21"/>
  <c r="B251" i="21"/>
  <c r="D251" i="21" s="1"/>
  <c r="C251" i="21"/>
  <c r="E251" i="21"/>
  <c r="I251" i="21"/>
  <c r="B252" i="21"/>
  <c r="H252" i="21" s="1"/>
  <c r="C252" i="21"/>
  <c r="E252" i="21"/>
  <c r="I252" i="21"/>
  <c r="B253" i="21"/>
  <c r="H253" i="21" s="1"/>
  <c r="C253" i="21"/>
  <c r="E253" i="21"/>
  <c r="I253" i="21"/>
  <c r="B254" i="21"/>
  <c r="D254" i="21" s="1"/>
  <c r="C254" i="21"/>
  <c r="E254" i="21"/>
  <c r="I254" i="21"/>
  <c r="B239" i="21"/>
  <c r="D239" i="21" s="1"/>
  <c r="C239" i="21"/>
  <c r="E239" i="21"/>
  <c r="I239" i="21"/>
  <c r="B240" i="21"/>
  <c r="H240" i="21" s="1"/>
  <c r="C240" i="21"/>
  <c r="E240" i="21"/>
  <c r="I240" i="21"/>
  <c r="B241" i="21"/>
  <c r="D241" i="21" s="1"/>
  <c r="C241" i="21"/>
  <c r="E241" i="21"/>
  <c r="I241" i="21"/>
  <c r="B242" i="21"/>
  <c r="D242" i="21" s="1"/>
  <c r="C242" i="21"/>
  <c r="E242" i="21"/>
  <c r="I242" i="21"/>
  <c r="B243" i="21"/>
  <c r="D243" i="21" s="1"/>
  <c r="C243" i="21"/>
  <c r="E243" i="21"/>
  <c r="I243" i="21"/>
  <c r="B244" i="21"/>
  <c r="H244" i="21" s="1"/>
  <c r="C244" i="21"/>
  <c r="E244" i="21"/>
  <c r="I244" i="21"/>
  <c r="B245" i="21"/>
  <c r="D245" i="21" s="1"/>
  <c r="C245" i="21"/>
  <c r="E245" i="21"/>
  <c r="I245" i="21"/>
  <c r="B211" i="21"/>
  <c r="D211" i="21" s="1"/>
  <c r="C211" i="21"/>
  <c r="E211" i="21"/>
  <c r="I211" i="21"/>
  <c r="B212" i="21"/>
  <c r="D212" i="21" s="1"/>
  <c r="C212" i="21"/>
  <c r="E212" i="21"/>
  <c r="I212" i="21"/>
  <c r="B213" i="21"/>
  <c r="H213" i="21" s="1"/>
  <c r="C213" i="21"/>
  <c r="E213" i="21"/>
  <c r="I213" i="21"/>
  <c r="B214" i="21"/>
  <c r="D214" i="21" s="1"/>
  <c r="C214" i="21"/>
  <c r="E214" i="21"/>
  <c r="I214" i="21"/>
  <c r="B215" i="21"/>
  <c r="D215" i="21" s="1"/>
  <c r="C215" i="21"/>
  <c r="E215" i="21"/>
  <c r="I215" i="21"/>
  <c r="B216" i="21"/>
  <c r="D216" i="21" s="1"/>
  <c r="C216" i="21"/>
  <c r="E216" i="21"/>
  <c r="I216" i="21"/>
  <c r="B217" i="21"/>
  <c r="H217" i="21" s="1"/>
  <c r="C217" i="21"/>
  <c r="E217" i="21"/>
  <c r="I217" i="21"/>
  <c r="B218" i="21"/>
  <c r="H218" i="21" s="1"/>
  <c r="C218" i="21"/>
  <c r="E218" i="21"/>
  <c r="I218" i="21"/>
  <c r="B219" i="21"/>
  <c r="D219" i="21" s="1"/>
  <c r="C219" i="21"/>
  <c r="E219" i="21"/>
  <c r="I219" i="21"/>
  <c r="B220" i="21"/>
  <c r="D220" i="21" s="1"/>
  <c r="C220" i="21"/>
  <c r="E220" i="21"/>
  <c r="I220" i="21"/>
  <c r="B221" i="21"/>
  <c r="H221" i="21" s="1"/>
  <c r="C221" i="21"/>
  <c r="E221" i="21"/>
  <c r="I221" i="21"/>
  <c r="B222" i="21"/>
  <c r="D222" i="21" s="1"/>
  <c r="C222" i="21"/>
  <c r="E222" i="21"/>
  <c r="I222" i="21"/>
  <c r="B223" i="21"/>
  <c r="D223" i="21" s="1"/>
  <c r="C223" i="21"/>
  <c r="E223" i="21"/>
  <c r="I223" i="21"/>
  <c r="B224" i="21"/>
  <c r="D224" i="21" s="1"/>
  <c r="C224" i="21"/>
  <c r="E224" i="21"/>
  <c r="I224" i="21"/>
  <c r="B225" i="21"/>
  <c r="H225" i="21" s="1"/>
  <c r="C225" i="21"/>
  <c r="E225" i="21"/>
  <c r="I225" i="21"/>
  <c r="B226" i="21"/>
  <c r="H226" i="21" s="1"/>
  <c r="C226" i="21"/>
  <c r="E226" i="21"/>
  <c r="I226" i="21"/>
  <c r="B227" i="21"/>
  <c r="D227" i="21" s="1"/>
  <c r="C227" i="21"/>
  <c r="E227" i="21"/>
  <c r="I227" i="21"/>
  <c r="B228" i="21"/>
  <c r="D228" i="21" s="1"/>
  <c r="C228" i="21"/>
  <c r="E228" i="21"/>
  <c r="I228" i="21"/>
  <c r="B229" i="21"/>
  <c r="H229" i="21" s="1"/>
  <c r="C229" i="21"/>
  <c r="E229" i="21"/>
  <c r="I229" i="21"/>
  <c r="B230" i="21"/>
  <c r="H230" i="21" s="1"/>
  <c r="C230" i="21"/>
  <c r="E230" i="21"/>
  <c r="I230" i="21"/>
  <c r="B231" i="21"/>
  <c r="D231" i="21" s="1"/>
  <c r="C231" i="21"/>
  <c r="E231" i="21"/>
  <c r="I231" i="21"/>
  <c r="B232" i="21"/>
  <c r="D232" i="21" s="1"/>
  <c r="C232" i="21"/>
  <c r="E232" i="21"/>
  <c r="I232" i="21"/>
  <c r="B233" i="21"/>
  <c r="H233" i="21" s="1"/>
  <c r="C233" i="21"/>
  <c r="E233" i="21"/>
  <c r="I233" i="21"/>
  <c r="B234" i="21"/>
  <c r="H234" i="21" s="1"/>
  <c r="C234" i="21"/>
  <c r="D234" i="21"/>
  <c r="E234" i="21"/>
  <c r="I234" i="21"/>
  <c r="B235" i="21"/>
  <c r="D235" i="21" s="1"/>
  <c r="C235" i="21"/>
  <c r="E235" i="21"/>
  <c r="I235" i="21"/>
  <c r="B236" i="21"/>
  <c r="D236" i="21" s="1"/>
  <c r="C236" i="21"/>
  <c r="E236" i="21"/>
  <c r="I236" i="21"/>
  <c r="B237" i="21"/>
  <c r="H237" i="21" s="1"/>
  <c r="C237" i="21"/>
  <c r="E237" i="21"/>
  <c r="I237" i="21"/>
  <c r="B238" i="21"/>
  <c r="D238" i="21" s="1"/>
  <c r="C238" i="21"/>
  <c r="E238" i="21"/>
  <c r="I238" i="21"/>
  <c r="I210" i="21"/>
  <c r="E210" i="21"/>
  <c r="B210" i="21"/>
  <c r="D210" i="21" s="1"/>
  <c r="B192" i="21"/>
  <c r="D192" i="21" s="1"/>
  <c r="C192" i="21"/>
  <c r="E192" i="21"/>
  <c r="I192" i="21"/>
  <c r="B193" i="21"/>
  <c r="D193" i="21" s="1"/>
  <c r="C193" i="21"/>
  <c r="E193" i="21"/>
  <c r="I193" i="21"/>
  <c r="B194" i="21"/>
  <c r="H194" i="21" s="1"/>
  <c r="C194" i="21"/>
  <c r="E194" i="21"/>
  <c r="I194" i="21"/>
  <c r="B195" i="21"/>
  <c r="D195" i="21" s="1"/>
  <c r="C195" i="21"/>
  <c r="E195" i="21"/>
  <c r="I195" i="21"/>
  <c r="B196" i="21"/>
  <c r="D196" i="21" s="1"/>
  <c r="C196" i="21"/>
  <c r="E196" i="21"/>
  <c r="I196" i="21"/>
  <c r="B197" i="21"/>
  <c r="D197" i="21" s="1"/>
  <c r="C197" i="21"/>
  <c r="E197" i="21"/>
  <c r="I197" i="21"/>
  <c r="B198" i="21"/>
  <c r="H198" i="21" s="1"/>
  <c r="C198" i="21"/>
  <c r="E198" i="21"/>
  <c r="I198" i="21"/>
  <c r="B199" i="21"/>
  <c r="D199" i="21" s="1"/>
  <c r="C199" i="21"/>
  <c r="E199" i="21"/>
  <c r="I199" i="21"/>
  <c r="B200" i="21"/>
  <c r="H200" i="21" s="1"/>
  <c r="C200" i="21"/>
  <c r="E200" i="21"/>
  <c r="I200" i="21"/>
  <c r="B201" i="21"/>
  <c r="D201" i="21" s="1"/>
  <c r="C201" i="21"/>
  <c r="E201" i="21"/>
  <c r="I201" i="21"/>
  <c r="B202" i="21"/>
  <c r="H202" i="21" s="1"/>
  <c r="C202" i="21"/>
  <c r="E202" i="21"/>
  <c r="I202" i="21"/>
  <c r="B203" i="21"/>
  <c r="D203" i="21" s="1"/>
  <c r="C203" i="21"/>
  <c r="E203" i="21"/>
  <c r="I203" i="21"/>
  <c r="B204" i="21"/>
  <c r="H204" i="21" s="1"/>
  <c r="C204" i="21"/>
  <c r="E204" i="21"/>
  <c r="I204" i="21"/>
  <c r="B205" i="21"/>
  <c r="D205" i="21" s="1"/>
  <c r="C205" i="21"/>
  <c r="E205" i="21"/>
  <c r="I205" i="21"/>
  <c r="B206" i="21"/>
  <c r="H206" i="21" s="1"/>
  <c r="C206" i="21"/>
  <c r="E206" i="21"/>
  <c r="I206" i="21"/>
  <c r="B207" i="21"/>
  <c r="D207" i="21" s="1"/>
  <c r="C207" i="21"/>
  <c r="E207" i="21"/>
  <c r="I207" i="21"/>
  <c r="B208" i="21"/>
  <c r="H208" i="21" s="1"/>
  <c r="C208" i="21"/>
  <c r="E208" i="21"/>
  <c r="I208" i="21"/>
  <c r="B209" i="21"/>
  <c r="D209" i="21" s="1"/>
  <c r="C209" i="21"/>
  <c r="E209" i="21"/>
  <c r="I209" i="21"/>
  <c r="C210" i="21"/>
  <c r="B159" i="21"/>
  <c r="D159" i="21" s="1"/>
  <c r="C159" i="21"/>
  <c r="E159" i="21"/>
  <c r="I159" i="21"/>
  <c r="B160" i="21"/>
  <c r="D160" i="21" s="1"/>
  <c r="C160" i="21"/>
  <c r="E160" i="21"/>
  <c r="I160" i="21"/>
  <c r="B161" i="21"/>
  <c r="H161" i="21" s="1"/>
  <c r="C161" i="21"/>
  <c r="E161" i="21"/>
  <c r="I161" i="21"/>
  <c r="B162" i="21"/>
  <c r="H162" i="21" s="1"/>
  <c r="C162" i="21"/>
  <c r="E162" i="21"/>
  <c r="I162" i="21"/>
  <c r="B163" i="21"/>
  <c r="D163" i="21" s="1"/>
  <c r="C163" i="21"/>
  <c r="E163" i="21"/>
  <c r="I163" i="21"/>
  <c r="B164" i="21"/>
  <c r="D164" i="21" s="1"/>
  <c r="C164" i="21"/>
  <c r="E164" i="21"/>
  <c r="I164" i="21"/>
  <c r="B165" i="21"/>
  <c r="H165" i="21" s="1"/>
  <c r="C165" i="21"/>
  <c r="E165" i="21"/>
  <c r="I165" i="21"/>
  <c r="B166" i="21"/>
  <c r="D166" i="21" s="1"/>
  <c r="C166" i="21"/>
  <c r="E166" i="21"/>
  <c r="I166" i="21"/>
  <c r="B167" i="21"/>
  <c r="D167" i="21" s="1"/>
  <c r="C167" i="21"/>
  <c r="E167" i="21"/>
  <c r="I167" i="21"/>
  <c r="B168" i="21"/>
  <c r="D168" i="21" s="1"/>
  <c r="C168" i="21"/>
  <c r="E168" i="21"/>
  <c r="I168" i="21"/>
  <c r="B169" i="21"/>
  <c r="H169" i="21" s="1"/>
  <c r="C169" i="21"/>
  <c r="E169" i="21"/>
  <c r="I169" i="21"/>
  <c r="B170" i="21"/>
  <c r="H170" i="21" s="1"/>
  <c r="C170" i="21"/>
  <c r="E170" i="21"/>
  <c r="I170" i="21"/>
  <c r="B171" i="21"/>
  <c r="D171" i="21" s="1"/>
  <c r="C171" i="21"/>
  <c r="E171" i="21"/>
  <c r="I171" i="21"/>
  <c r="B172" i="21"/>
  <c r="D172" i="21" s="1"/>
  <c r="C172" i="21"/>
  <c r="E172" i="21"/>
  <c r="I172" i="21"/>
  <c r="B173" i="21"/>
  <c r="H173" i="21" s="1"/>
  <c r="C173" i="21"/>
  <c r="E173" i="21"/>
  <c r="I173" i="21"/>
  <c r="B174" i="21"/>
  <c r="D174" i="21" s="1"/>
  <c r="C174" i="21"/>
  <c r="E174" i="21"/>
  <c r="H174" i="21"/>
  <c r="I174" i="21"/>
  <c r="B175" i="21"/>
  <c r="D175" i="21" s="1"/>
  <c r="C175" i="21"/>
  <c r="E175" i="21"/>
  <c r="I175" i="21"/>
  <c r="B176" i="21"/>
  <c r="D176" i="21" s="1"/>
  <c r="C176" i="21"/>
  <c r="E176" i="21"/>
  <c r="I176" i="21"/>
  <c r="B177" i="21"/>
  <c r="H177" i="21" s="1"/>
  <c r="C177" i="21"/>
  <c r="E177" i="21"/>
  <c r="I177" i="21"/>
  <c r="B178" i="21"/>
  <c r="H178" i="21" s="1"/>
  <c r="C178" i="21"/>
  <c r="E178" i="21"/>
  <c r="I178" i="21"/>
  <c r="B179" i="21"/>
  <c r="D179" i="21" s="1"/>
  <c r="C179" i="21"/>
  <c r="E179" i="21"/>
  <c r="I179" i="21"/>
  <c r="B180" i="21"/>
  <c r="D180" i="21" s="1"/>
  <c r="C180" i="21"/>
  <c r="E180" i="21"/>
  <c r="I180" i="21"/>
  <c r="B181" i="21"/>
  <c r="H181" i="21" s="1"/>
  <c r="C181" i="21"/>
  <c r="E181" i="21"/>
  <c r="I181" i="21"/>
  <c r="B182" i="21"/>
  <c r="H182" i="21" s="1"/>
  <c r="C182" i="21"/>
  <c r="D182" i="21"/>
  <c r="E182" i="21"/>
  <c r="I182" i="21"/>
  <c r="B183" i="21"/>
  <c r="D183" i="21" s="1"/>
  <c r="C183" i="21"/>
  <c r="E183" i="21"/>
  <c r="I183" i="21"/>
  <c r="B184" i="21"/>
  <c r="D184" i="21" s="1"/>
  <c r="C184" i="21"/>
  <c r="E184" i="21"/>
  <c r="I184" i="21"/>
  <c r="B185" i="21"/>
  <c r="H185" i="21" s="1"/>
  <c r="C185" i="21"/>
  <c r="E185" i="21"/>
  <c r="I185" i="21"/>
  <c r="B186" i="21"/>
  <c r="H186" i="21" s="1"/>
  <c r="C186" i="21"/>
  <c r="E186" i="21"/>
  <c r="I186" i="21"/>
  <c r="B187" i="21"/>
  <c r="D187" i="21" s="1"/>
  <c r="C187" i="21"/>
  <c r="E187" i="21"/>
  <c r="I187" i="21"/>
  <c r="B188" i="21"/>
  <c r="D188" i="21" s="1"/>
  <c r="C188" i="21"/>
  <c r="E188" i="21"/>
  <c r="I188" i="21"/>
  <c r="B189" i="21"/>
  <c r="H189" i="21" s="1"/>
  <c r="C189" i="21"/>
  <c r="E189" i="21"/>
  <c r="I189" i="21"/>
  <c r="B190" i="21"/>
  <c r="H190" i="21" s="1"/>
  <c r="C190" i="21"/>
  <c r="E190" i="21"/>
  <c r="I190" i="21"/>
  <c r="B191" i="21"/>
  <c r="D191" i="21" s="1"/>
  <c r="C191" i="21"/>
  <c r="E191" i="21"/>
  <c r="I191" i="21"/>
  <c r="I158" i="21"/>
  <c r="E158" i="21"/>
  <c r="C158" i="21"/>
  <c r="B158" i="21"/>
  <c r="D158" i="21" s="1"/>
  <c r="B157" i="21"/>
  <c r="D157" i="21" s="1"/>
  <c r="B107" i="21"/>
  <c r="D107" i="21" s="1"/>
  <c r="C107" i="21"/>
  <c r="E107" i="21"/>
  <c r="I107" i="21"/>
  <c r="B108" i="21"/>
  <c r="H108" i="21" s="1"/>
  <c r="C108" i="21"/>
  <c r="E108" i="21"/>
  <c r="I108" i="21"/>
  <c r="B109" i="21"/>
  <c r="H109" i="21" s="1"/>
  <c r="C109" i="21"/>
  <c r="E109" i="21"/>
  <c r="I109" i="21"/>
  <c r="B110" i="21"/>
  <c r="D110" i="21" s="1"/>
  <c r="C110" i="21"/>
  <c r="E110" i="21"/>
  <c r="I110" i="21"/>
  <c r="B111" i="21"/>
  <c r="D111" i="21" s="1"/>
  <c r="C111" i="21"/>
  <c r="E111" i="21"/>
  <c r="I111" i="21"/>
  <c r="B112" i="21"/>
  <c r="H112" i="21" s="1"/>
  <c r="C112" i="21"/>
  <c r="E112" i="21"/>
  <c r="I112" i="21"/>
  <c r="B113" i="21"/>
  <c r="H113" i="21" s="1"/>
  <c r="C113" i="21"/>
  <c r="E113" i="21"/>
  <c r="I113" i="21"/>
  <c r="B114" i="21"/>
  <c r="D114" i="21" s="1"/>
  <c r="C114" i="21"/>
  <c r="E114" i="21"/>
  <c r="I114" i="21"/>
  <c r="B115" i="21"/>
  <c r="D115" i="21" s="1"/>
  <c r="C115" i="21"/>
  <c r="E115" i="21"/>
  <c r="I115" i="21"/>
  <c r="B116" i="21"/>
  <c r="H116" i="21" s="1"/>
  <c r="C116" i="21"/>
  <c r="E116" i="21"/>
  <c r="I116" i="21"/>
  <c r="B117" i="21"/>
  <c r="D117" i="21" s="1"/>
  <c r="C117" i="21"/>
  <c r="E117" i="21"/>
  <c r="I117" i="21"/>
  <c r="B118" i="21"/>
  <c r="H118" i="21" s="1"/>
  <c r="C118" i="21"/>
  <c r="E118" i="21"/>
  <c r="I118" i="21"/>
  <c r="B119" i="21"/>
  <c r="D119" i="21" s="1"/>
  <c r="C119" i="21"/>
  <c r="E119" i="21"/>
  <c r="I119" i="21"/>
  <c r="B120" i="21"/>
  <c r="H120" i="21" s="1"/>
  <c r="C120" i="21"/>
  <c r="E120" i="21"/>
  <c r="I120" i="21"/>
  <c r="B121" i="21"/>
  <c r="D121" i="21" s="1"/>
  <c r="C121" i="21"/>
  <c r="E121" i="21"/>
  <c r="I121" i="21"/>
  <c r="B122" i="21"/>
  <c r="H122" i="21" s="1"/>
  <c r="C122" i="21"/>
  <c r="E122" i="21"/>
  <c r="I122" i="21"/>
  <c r="B123" i="21"/>
  <c r="D123" i="21" s="1"/>
  <c r="C123" i="21"/>
  <c r="E123" i="21"/>
  <c r="I123" i="21"/>
  <c r="B124" i="21"/>
  <c r="H124" i="21" s="1"/>
  <c r="C124" i="21"/>
  <c r="E124" i="21"/>
  <c r="I124" i="21"/>
  <c r="B125" i="21"/>
  <c r="D125" i="21" s="1"/>
  <c r="C125" i="21"/>
  <c r="E125" i="21"/>
  <c r="I125" i="21"/>
  <c r="B126" i="21"/>
  <c r="D126" i="21" s="1"/>
  <c r="C126" i="21"/>
  <c r="E126" i="21"/>
  <c r="I126" i="21"/>
  <c r="B127" i="21"/>
  <c r="D127" i="21" s="1"/>
  <c r="C127" i="21"/>
  <c r="E127" i="21"/>
  <c r="I127" i="21"/>
  <c r="B128" i="21"/>
  <c r="H128" i="21" s="1"/>
  <c r="C128" i="21"/>
  <c r="E128" i="21"/>
  <c r="I128" i="21"/>
  <c r="B129" i="21"/>
  <c r="H129" i="21" s="1"/>
  <c r="C129" i="21"/>
  <c r="E129" i="21"/>
  <c r="I129" i="21"/>
  <c r="B130" i="21"/>
  <c r="D130" i="21" s="1"/>
  <c r="C130" i="21"/>
  <c r="E130" i="21"/>
  <c r="I130" i="21"/>
  <c r="B131" i="21"/>
  <c r="D131" i="21" s="1"/>
  <c r="C131" i="21"/>
  <c r="E131" i="21"/>
  <c r="I131" i="21"/>
  <c r="B132" i="21"/>
  <c r="H132" i="21" s="1"/>
  <c r="C132" i="21"/>
  <c r="E132" i="21"/>
  <c r="I132" i="21"/>
  <c r="B133" i="21"/>
  <c r="D133" i="21" s="1"/>
  <c r="C133" i="21"/>
  <c r="E133" i="21"/>
  <c r="I133" i="21"/>
  <c r="B134" i="21"/>
  <c r="D134" i="21" s="1"/>
  <c r="C134" i="21"/>
  <c r="E134" i="21"/>
  <c r="I134" i="21"/>
  <c r="B135" i="21"/>
  <c r="D135" i="21" s="1"/>
  <c r="C135" i="21"/>
  <c r="E135" i="21"/>
  <c r="I135" i="21"/>
  <c r="B136" i="21"/>
  <c r="H136" i="21" s="1"/>
  <c r="C136" i="21"/>
  <c r="E136" i="21"/>
  <c r="I136" i="21"/>
  <c r="B137" i="21"/>
  <c r="D137" i="21" s="1"/>
  <c r="C137" i="21"/>
  <c r="E137" i="21"/>
  <c r="I137" i="21"/>
  <c r="B138" i="21"/>
  <c r="H138" i="21" s="1"/>
  <c r="C138" i="21"/>
  <c r="E138" i="21"/>
  <c r="I138" i="21"/>
  <c r="B139" i="21"/>
  <c r="D139" i="21" s="1"/>
  <c r="C139" i="21"/>
  <c r="E139" i="21"/>
  <c r="I139" i="21"/>
  <c r="B140" i="21"/>
  <c r="H140" i="21" s="1"/>
  <c r="C140" i="21"/>
  <c r="E140" i="21"/>
  <c r="I140" i="21"/>
  <c r="B141" i="21"/>
  <c r="H141" i="21" s="1"/>
  <c r="C141" i="21"/>
  <c r="E141" i="21"/>
  <c r="I141" i="21"/>
  <c r="B142" i="21"/>
  <c r="D142" i="21" s="1"/>
  <c r="C142" i="21"/>
  <c r="E142" i="21"/>
  <c r="I142" i="21"/>
  <c r="B143" i="21"/>
  <c r="D143" i="21" s="1"/>
  <c r="C143" i="21"/>
  <c r="E143" i="21"/>
  <c r="I143" i="21"/>
  <c r="B144" i="21"/>
  <c r="H144" i="21" s="1"/>
  <c r="C144" i="21"/>
  <c r="E144" i="21"/>
  <c r="I144" i="21"/>
  <c r="B145" i="21"/>
  <c r="H145" i="21" s="1"/>
  <c r="C145" i="21"/>
  <c r="E145" i="21"/>
  <c r="I145" i="21"/>
  <c r="B146" i="21"/>
  <c r="D146" i="21" s="1"/>
  <c r="C146" i="21"/>
  <c r="E146" i="21"/>
  <c r="I146" i="21"/>
  <c r="B147" i="21"/>
  <c r="D147" i="21" s="1"/>
  <c r="C147" i="21"/>
  <c r="E147" i="21"/>
  <c r="I147" i="21"/>
  <c r="B148" i="21"/>
  <c r="H148" i="21" s="1"/>
  <c r="C148" i="21"/>
  <c r="E148" i="21"/>
  <c r="I148" i="21"/>
  <c r="B149" i="21"/>
  <c r="D149" i="21" s="1"/>
  <c r="C149" i="21"/>
  <c r="E149" i="21"/>
  <c r="I149" i="21"/>
  <c r="B150" i="21"/>
  <c r="H150" i="21" s="1"/>
  <c r="C150" i="21"/>
  <c r="E150" i="21"/>
  <c r="I150" i="21"/>
  <c r="B151" i="21"/>
  <c r="D151" i="21" s="1"/>
  <c r="C151" i="21"/>
  <c r="E151" i="21"/>
  <c r="I151" i="21"/>
  <c r="B152" i="21"/>
  <c r="H152" i="21" s="1"/>
  <c r="C152" i="21"/>
  <c r="E152" i="21"/>
  <c r="I152" i="21"/>
  <c r="B153" i="21"/>
  <c r="D153" i="21" s="1"/>
  <c r="C153" i="21"/>
  <c r="E153" i="21"/>
  <c r="I153" i="21"/>
  <c r="B154" i="21"/>
  <c r="H154" i="21" s="1"/>
  <c r="C154" i="21"/>
  <c r="E154" i="21"/>
  <c r="I154" i="21"/>
  <c r="B155" i="21"/>
  <c r="D155" i="21" s="1"/>
  <c r="C155" i="21"/>
  <c r="E155" i="21"/>
  <c r="I155" i="21"/>
  <c r="B156" i="21"/>
  <c r="H156" i="21" s="1"/>
  <c r="C156" i="21"/>
  <c r="E156" i="21"/>
  <c r="I156" i="21"/>
  <c r="C157" i="21"/>
  <c r="E157" i="21"/>
  <c r="I157" i="21"/>
  <c r="I106" i="21"/>
  <c r="E106" i="21"/>
  <c r="B106" i="21"/>
  <c r="D106" i="21" s="1"/>
  <c r="B105" i="21"/>
  <c r="H105" i="21" s="1"/>
  <c r="B55" i="21"/>
  <c r="D55" i="21" s="1"/>
  <c r="C55" i="21"/>
  <c r="E55" i="21"/>
  <c r="I55" i="21"/>
  <c r="B56" i="21"/>
  <c r="D56" i="21" s="1"/>
  <c r="C56" i="21"/>
  <c r="E56" i="21"/>
  <c r="I56" i="21"/>
  <c r="B57" i="21"/>
  <c r="H57" i="21" s="1"/>
  <c r="C57" i="21"/>
  <c r="E57" i="21"/>
  <c r="I57" i="21"/>
  <c r="B58" i="21"/>
  <c r="H58" i="21" s="1"/>
  <c r="C58" i="21"/>
  <c r="E58" i="21"/>
  <c r="I58" i="21"/>
  <c r="B59" i="21"/>
  <c r="D59" i="21" s="1"/>
  <c r="C59" i="21"/>
  <c r="E59" i="21"/>
  <c r="I59" i="21"/>
  <c r="B60" i="21"/>
  <c r="D60" i="21" s="1"/>
  <c r="C60" i="21"/>
  <c r="E60" i="21"/>
  <c r="I60" i="21"/>
  <c r="B61" i="21"/>
  <c r="H61" i="21" s="1"/>
  <c r="C61" i="21"/>
  <c r="E61" i="21"/>
  <c r="I61" i="21"/>
  <c r="B62" i="21"/>
  <c r="H62" i="21" s="1"/>
  <c r="C62" i="21"/>
  <c r="E62" i="21"/>
  <c r="I62" i="21"/>
  <c r="B63" i="21"/>
  <c r="D63" i="21" s="1"/>
  <c r="C63" i="21"/>
  <c r="E63" i="21"/>
  <c r="I63" i="21"/>
  <c r="B64" i="21"/>
  <c r="D64" i="21" s="1"/>
  <c r="C64" i="21"/>
  <c r="E64" i="21"/>
  <c r="I64" i="21"/>
  <c r="B65" i="21"/>
  <c r="H65" i="21" s="1"/>
  <c r="C65" i="21"/>
  <c r="E65" i="21"/>
  <c r="I65" i="21"/>
  <c r="B66" i="21"/>
  <c r="H66" i="21" s="1"/>
  <c r="C66" i="21"/>
  <c r="E66" i="21"/>
  <c r="I66" i="21"/>
  <c r="B67" i="21"/>
  <c r="D67" i="21" s="1"/>
  <c r="C67" i="21"/>
  <c r="E67" i="21"/>
  <c r="I67" i="21"/>
  <c r="B68" i="21"/>
  <c r="D68" i="21" s="1"/>
  <c r="C68" i="21"/>
  <c r="E68" i="21"/>
  <c r="I68" i="21"/>
  <c r="B69" i="21"/>
  <c r="H69" i="21" s="1"/>
  <c r="C69" i="21"/>
  <c r="E69" i="21"/>
  <c r="I69" i="21"/>
  <c r="B70" i="21"/>
  <c r="H70" i="21" s="1"/>
  <c r="C70" i="21"/>
  <c r="E70" i="21"/>
  <c r="I70" i="21"/>
  <c r="B71" i="21"/>
  <c r="D71" i="21" s="1"/>
  <c r="C71" i="21"/>
  <c r="E71" i="21"/>
  <c r="I71" i="21"/>
  <c r="B72" i="21"/>
  <c r="D72" i="21" s="1"/>
  <c r="C72" i="21"/>
  <c r="E72" i="21"/>
  <c r="I72" i="21"/>
  <c r="B73" i="21"/>
  <c r="H73" i="21" s="1"/>
  <c r="C73" i="21"/>
  <c r="E73" i="21"/>
  <c r="I73" i="21"/>
  <c r="B74" i="21"/>
  <c r="D74" i="21" s="1"/>
  <c r="C74" i="21"/>
  <c r="E74" i="21"/>
  <c r="I74" i="21"/>
  <c r="B75" i="21"/>
  <c r="D75" i="21" s="1"/>
  <c r="C75" i="21"/>
  <c r="E75" i="21"/>
  <c r="I75" i="21"/>
  <c r="B76" i="21"/>
  <c r="D76" i="21" s="1"/>
  <c r="C76" i="21"/>
  <c r="E76" i="21"/>
  <c r="I76" i="21"/>
  <c r="B77" i="21"/>
  <c r="H77" i="21" s="1"/>
  <c r="C77" i="21"/>
  <c r="E77" i="21"/>
  <c r="I77" i="21"/>
  <c r="B78" i="21"/>
  <c r="H78" i="21" s="1"/>
  <c r="C78" i="21"/>
  <c r="E78" i="21"/>
  <c r="I78" i="21"/>
  <c r="B79" i="21"/>
  <c r="D79" i="21" s="1"/>
  <c r="C79" i="21"/>
  <c r="E79" i="21"/>
  <c r="I79" i="21"/>
  <c r="B80" i="21"/>
  <c r="D80" i="21" s="1"/>
  <c r="C80" i="21"/>
  <c r="E80" i="21"/>
  <c r="I80" i="21"/>
  <c r="B81" i="21"/>
  <c r="H81" i="21" s="1"/>
  <c r="C81" i="21"/>
  <c r="E81" i="21"/>
  <c r="I81" i="21"/>
  <c r="B82" i="21"/>
  <c r="D82" i="21" s="1"/>
  <c r="C82" i="21"/>
  <c r="E82" i="21"/>
  <c r="I82" i="21"/>
  <c r="B83" i="21"/>
  <c r="D83" i="21" s="1"/>
  <c r="C83" i="21"/>
  <c r="E83" i="21"/>
  <c r="I83" i="21"/>
  <c r="B84" i="21"/>
  <c r="D84" i="21" s="1"/>
  <c r="C84" i="21"/>
  <c r="E84" i="21"/>
  <c r="I84" i="21"/>
  <c r="B85" i="21"/>
  <c r="H85" i="21" s="1"/>
  <c r="C85" i="21"/>
  <c r="E85" i="21"/>
  <c r="I85" i="21"/>
  <c r="B86" i="21"/>
  <c r="H86" i="21" s="1"/>
  <c r="C86" i="21"/>
  <c r="E86" i="21"/>
  <c r="I86" i="21"/>
  <c r="B87" i="21"/>
  <c r="D87" i="21" s="1"/>
  <c r="C87" i="21"/>
  <c r="E87" i="21"/>
  <c r="I87" i="21"/>
  <c r="B88" i="21"/>
  <c r="D88" i="21" s="1"/>
  <c r="C88" i="21"/>
  <c r="E88" i="21"/>
  <c r="I88" i="21"/>
  <c r="B89" i="21"/>
  <c r="H89" i="21" s="1"/>
  <c r="C89" i="21"/>
  <c r="E89" i="21"/>
  <c r="I89" i="21"/>
  <c r="B90" i="21"/>
  <c r="D90" i="21" s="1"/>
  <c r="C90" i="21"/>
  <c r="E90" i="21"/>
  <c r="I90" i="21"/>
  <c r="B91" i="21"/>
  <c r="D91" i="21" s="1"/>
  <c r="C91" i="21"/>
  <c r="E91" i="21"/>
  <c r="I91" i="21"/>
  <c r="B92" i="21"/>
  <c r="D92" i="21" s="1"/>
  <c r="C92" i="21"/>
  <c r="E92" i="21"/>
  <c r="I92" i="21"/>
  <c r="B93" i="21"/>
  <c r="H93" i="21" s="1"/>
  <c r="C93" i="21"/>
  <c r="E93" i="21"/>
  <c r="I93" i="21"/>
  <c r="B94" i="21"/>
  <c r="H94" i="21" s="1"/>
  <c r="C94" i="21"/>
  <c r="E94" i="21"/>
  <c r="I94" i="21"/>
  <c r="B95" i="21"/>
  <c r="D95" i="21" s="1"/>
  <c r="C95" i="21"/>
  <c r="E95" i="21"/>
  <c r="I95" i="21"/>
  <c r="B96" i="21"/>
  <c r="D96" i="21" s="1"/>
  <c r="C96" i="21"/>
  <c r="E96" i="21"/>
  <c r="I96" i="21"/>
  <c r="B97" i="21"/>
  <c r="H97" i="21" s="1"/>
  <c r="C97" i="21"/>
  <c r="E97" i="21"/>
  <c r="I97" i="21"/>
  <c r="B98" i="21"/>
  <c r="H98" i="21" s="1"/>
  <c r="C98" i="21"/>
  <c r="E98" i="21"/>
  <c r="I98" i="21"/>
  <c r="B99" i="21"/>
  <c r="D99" i="21" s="1"/>
  <c r="C99" i="21"/>
  <c r="E99" i="21"/>
  <c r="I99" i="21"/>
  <c r="B100" i="21"/>
  <c r="D100" i="21" s="1"/>
  <c r="C100" i="21"/>
  <c r="E100" i="21"/>
  <c r="I100" i="21"/>
  <c r="B101" i="21"/>
  <c r="H101" i="21" s="1"/>
  <c r="C101" i="21"/>
  <c r="E101" i="21"/>
  <c r="I101" i="21"/>
  <c r="B102" i="21"/>
  <c r="D102" i="21" s="1"/>
  <c r="C102" i="21"/>
  <c r="E102" i="21"/>
  <c r="I102" i="21"/>
  <c r="B103" i="21"/>
  <c r="H103" i="21" s="1"/>
  <c r="C103" i="21"/>
  <c r="E103" i="21"/>
  <c r="I103" i="21"/>
  <c r="B104" i="21"/>
  <c r="D104" i="21" s="1"/>
  <c r="C104" i="21"/>
  <c r="E104" i="21"/>
  <c r="I104" i="21"/>
  <c r="C105" i="21"/>
  <c r="E105" i="21"/>
  <c r="I105" i="21"/>
  <c r="C106" i="21"/>
  <c r="H214" i="21" l="1"/>
  <c r="D145" i="21"/>
  <c r="D113" i="21"/>
  <c r="H306" i="21"/>
  <c r="H290" i="21"/>
  <c r="D128" i="21"/>
  <c r="D162" i="21"/>
  <c r="H210" i="21"/>
  <c r="D230" i="21"/>
  <c r="H222" i="21"/>
  <c r="D240" i="21"/>
  <c r="H287" i="21"/>
  <c r="H271" i="21"/>
  <c r="D141" i="21"/>
  <c r="D190" i="21"/>
  <c r="D225" i="21"/>
  <c r="D66" i="21"/>
  <c r="H219" i="21"/>
  <c r="D313" i="21"/>
  <c r="D170" i="21"/>
  <c r="D208" i="21"/>
  <c r="H295" i="21"/>
  <c r="D122" i="21"/>
  <c r="D200" i="21"/>
  <c r="H254" i="21"/>
  <c r="H311" i="21"/>
  <c r="H294" i="21"/>
  <c r="H90" i="21"/>
  <c r="H153" i="21"/>
  <c r="D138" i="21"/>
  <c r="D189" i="21"/>
  <c r="H187" i="21"/>
  <c r="D221" i="21"/>
  <c r="D299" i="21"/>
  <c r="H125" i="21"/>
  <c r="H207" i="21"/>
  <c r="D78" i="21"/>
  <c r="D132" i="21"/>
  <c r="H130" i="21"/>
  <c r="H199" i="21"/>
  <c r="D226" i="21"/>
  <c r="H278" i="21"/>
  <c r="H249" i="21"/>
  <c r="H211" i="21"/>
  <c r="D58" i="21"/>
  <c r="D154" i="21"/>
  <c r="D109" i="21"/>
  <c r="D229" i="21"/>
  <c r="D144" i="21"/>
  <c r="H142" i="21"/>
  <c r="D118" i="21"/>
  <c r="D178" i="21"/>
  <c r="H227" i="21"/>
  <c r="H259" i="21"/>
  <c r="H302" i="21"/>
  <c r="D283" i="21"/>
  <c r="D267" i="21"/>
  <c r="H263" i="21"/>
  <c r="D103" i="21"/>
  <c r="H133" i="21"/>
  <c r="D116" i="21"/>
  <c r="D204" i="21"/>
  <c r="D217" i="21"/>
  <c r="D252" i="21"/>
  <c r="H257" i="21"/>
  <c r="D307" i="21"/>
  <c r="H279" i="21"/>
  <c r="D97" i="21"/>
  <c r="H95" i="21"/>
  <c r="D86" i="21"/>
  <c r="H121" i="21"/>
  <c r="D237" i="21"/>
  <c r="H235" i="21"/>
  <c r="H260" i="21"/>
  <c r="H303" i="21"/>
  <c r="H298" i="21"/>
  <c r="H286" i="21"/>
  <c r="H74" i="21"/>
  <c r="H55" i="21"/>
  <c r="H134" i="21"/>
  <c r="H166" i="21"/>
  <c r="H238" i="21"/>
  <c r="H246" i="21"/>
  <c r="D291" i="21"/>
  <c r="H157" i="21"/>
  <c r="D150" i="21"/>
  <c r="D112" i="21"/>
  <c r="H110" i="21"/>
  <c r="D218" i="21"/>
  <c r="D253" i="21"/>
  <c r="D310" i="21"/>
  <c r="H282" i="21"/>
  <c r="D148" i="21"/>
  <c r="D129" i="21"/>
  <c r="D186" i="21"/>
  <c r="D233" i="21"/>
  <c r="D244" i="21"/>
  <c r="D275" i="21"/>
  <c r="D101" i="21"/>
  <c r="D94" i="21"/>
  <c r="D156" i="21"/>
  <c r="D124" i="21"/>
  <c r="D181" i="21"/>
  <c r="H179" i="21"/>
  <c r="D173" i="21"/>
  <c r="H171" i="21"/>
  <c r="D165" i="21"/>
  <c r="H163" i="21"/>
  <c r="H192" i="21"/>
  <c r="H241" i="21"/>
  <c r="D248" i="21"/>
  <c r="D70" i="21"/>
  <c r="D136" i="21"/>
  <c r="D305" i="21"/>
  <c r="D297" i="21"/>
  <c r="D289" i="21"/>
  <c r="D281" i="21"/>
  <c r="D273" i="21"/>
  <c r="D265" i="21"/>
  <c r="H195" i="21"/>
  <c r="H242" i="21"/>
  <c r="H146" i="21"/>
  <c r="H114" i="21"/>
  <c r="H82" i="21"/>
  <c r="H126" i="21"/>
  <c r="H203" i="21"/>
  <c r="H231" i="21"/>
  <c r="H274" i="21"/>
  <c r="H266" i="21"/>
  <c r="H137" i="21"/>
  <c r="H191" i="21"/>
  <c r="H149" i="21"/>
  <c r="H117" i="21"/>
  <c r="H223" i="21"/>
  <c r="H215" i="21"/>
  <c r="H245" i="21"/>
  <c r="H250" i="21"/>
  <c r="D62" i="21"/>
  <c r="D140" i="21"/>
  <c r="D108" i="21"/>
  <c r="D185" i="21"/>
  <c r="H183" i="21"/>
  <c r="D177" i="21"/>
  <c r="H175" i="21"/>
  <c r="D169" i="21"/>
  <c r="H167" i="21"/>
  <c r="D161" i="21"/>
  <c r="H159" i="21"/>
  <c r="D256" i="21"/>
  <c r="D258" i="21"/>
  <c r="H314" i="21"/>
  <c r="D309" i="21"/>
  <c r="D98" i="21"/>
  <c r="D152" i="21"/>
  <c r="D120" i="21"/>
  <c r="D206" i="21"/>
  <c r="H196" i="21"/>
  <c r="D301" i="21"/>
  <c r="D293" i="21"/>
  <c r="D285" i="21"/>
  <c r="D277" i="21"/>
  <c r="D269" i="21"/>
  <c r="H270" i="21"/>
  <c r="H304" i="21"/>
  <c r="H296" i="21"/>
  <c r="H276" i="21"/>
  <c r="H272" i="21"/>
  <c r="H268" i="21"/>
  <c r="H264" i="21"/>
  <c r="H292" i="21"/>
  <c r="H312" i="21"/>
  <c r="H308" i="21"/>
  <c r="H300" i="21"/>
  <c r="H288" i="21"/>
  <c r="H284" i="21"/>
  <c r="H280" i="21"/>
  <c r="H262" i="21"/>
  <c r="D261" i="21"/>
  <c r="H255" i="21"/>
  <c r="H251" i="21"/>
  <c r="H247" i="21"/>
  <c r="H243" i="21"/>
  <c r="H239" i="21"/>
  <c r="D213" i="21"/>
  <c r="H236" i="21"/>
  <c r="H232" i="21"/>
  <c r="H228" i="21"/>
  <c r="H224" i="21"/>
  <c r="H220" i="21"/>
  <c r="H216" i="21"/>
  <c r="H212" i="21"/>
  <c r="D202" i="21"/>
  <c r="D198" i="21"/>
  <c r="D194" i="21"/>
  <c r="H209" i="21"/>
  <c r="H197" i="21"/>
  <c r="H193" i="21"/>
  <c r="H201" i="21"/>
  <c r="H205" i="21"/>
  <c r="H188" i="21"/>
  <c r="H184" i="21"/>
  <c r="H180" i="21"/>
  <c r="H176" i="21"/>
  <c r="H172" i="21"/>
  <c r="H168" i="21"/>
  <c r="H164" i="21"/>
  <c r="H160" i="21"/>
  <c r="H158" i="21"/>
  <c r="H155" i="21"/>
  <c r="H143" i="21"/>
  <c r="H131" i="21"/>
  <c r="H127" i="21"/>
  <c r="H119" i="21"/>
  <c r="H111" i="21"/>
  <c r="H107" i="21"/>
  <c r="H151" i="21"/>
  <c r="H139" i="21"/>
  <c r="H123" i="21"/>
  <c r="H115" i="21"/>
  <c r="H147" i="21"/>
  <c r="H135" i="21"/>
  <c r="H99" i="21"/>
  <c r="H91" i="21"/>
  <c r="D85" i="21"/>
  <c r="H83" i="21"/>
  <c r="D77" i="21"/>
  <c r="H75" i="21"/>
  <c r="D69" i="21"/>
  <c r="H67" i="21"/>
  <c r="D61" i="21"/>
  <c r="H59" i="21"/>
  <c r="H102" i="21"/>
  <c r="D93" i="21"/>
  <c r="D89" i="21"/>
  <c r="H87" i="21"/>
  <c r="D81" i="21"/>
  <c r="H79" i="21"/>
  <c r="D73" i="21"/>
  <c r="H71" i="21"/>
  <c r="D65" i="21"/>
  <c r="H63" i="21"/>
  <c r="D57" i="21"/>
  <c r="H106" i="21"/>
  <c r="D105" i="21"/>
  <c r="H100" i="21"/>
  <c r="H96" i="21"/>
  <c r="H92" i="21"/>
  <c r="H88" i="21"/>
  <c r="H84" i="21"/>
  <c r="H80" i="21"/>
  <c r="H76" i="21"/>
  <c r="H72" i="21"/>
  <c r="H68" i="21"/>
  <c r="H64" i="21"/>
  <c r="H60" i="21"/>
  <c r="H56" i="21"/>
  <c r="H104" i="21"/>
  <c r="I54" i="21"/>
  <c r="E54" i="21"/>
  <c r="B54" i="21"/>
  <c r="H54" i="21" s="1"/>
  <c r="B3" i="21"/>
  <c r="D3" i="21" s="1"/>
  <c r="C3" i="21"/>
  <c r="E3" i="21"/>
  <c r="I3" i="21"/>
  <c r="B4" i="21"/>
  <c r="H4" i="21" s="1"/>
  <c r="C4" i="21"/>
  <c r="E4" i="21"/>
  <c r="I4" i="21"/>
  <c r="B5" i="21"/>
  <c r="D5" i="21" s="1"/>
  <c r="C5" i="21"/>
  <c r="E5" i="21"/>
  <c r="I5" i="21"/>
  <c r="B6" i="21"/>
  <c r="H6" i="21" s="1"/>
  <c r="C6" i="21"/>
  <c r="E6" i="21"/>
  <c r="I6" i="21"/>
  <c r="B7" i="21"/>
  <c r="D7" i="21" s="1"/>
  <c r="C7" i="21"/>
  <c r="E7" i="21"/>
  <c r="I7" i="21"/>
  <c r="B8" i="21"/>
  <c r="H8" i="21" s="1"/>
  <c r="C8" i="21"/>
  <c r="E8" i="21"/>
  <c r="I8" i="21"/>
  <c r="B9" i="21"/>
  <c r="D9" i="21" s="1"/>
  <c r="C9" i="21"/>
  <c r="E9" i="21"/>
  <c r="I9" i="21"/>
  <c r="B10" i="21"/>
  <c r="D10" i="21" s="1"/>
  <c r="C10" i="21"/>
  <c r="E10" i="21"/>
  <c r="I10" i="21"/>
  <c r="B11" i="21"/>
  <c r="D11" i="21" s="1"/>
  <c r="C11" i="21"/>
  <c r="E11" i="21"/>
  <c r="I11" i="21"/>
  <c r="B12" i="21"/>
  <c r="H12" i="21" s="1"/>
  <c r="C12" i="21"/>
  <c r="E12" i="21"/>
  <c r="I12" i="21"/>
  <c r="B13" i="21"/>
  <c r="D13" i="21" s="1"/>
  <c r="C13" i="21"/>
  <c r="E13" i="21"/>
  <c r="I13" i="21"/>
  <c r="B14" i="21"/>
  <c r="H14" i="21" s="1"/>
  <c r="C14" i="21"/>
  <c r="E14" i="21"/>
  <c r="I14" i="21"/>
  <c r="B15" i="21"/>
  <c r="D15" i="21" s="1"/>
  <c r="C15" i="21"/>
  <c r="E15" i="21"/>
  <c r="I15" i="21"/>
  <c r="B16" i="21"/>
  <c r="H16" i="21" s="1"/>
  <c r="C16" i="21"/>
  <c r="E16" i="21"/>
  <c r="I16" i="21"/>
  <c r="B17" i="21"/>
  <c r="D17" i="21" s="1"/>
  <c r="C17" i="21"/>
  <c r="E17" i="21"/>
  <c r="I17" i="21"/>
  <c r="B18" i="21"/>
  <c r="H18" i="21" s="1"/>
  <c r="C18" i="21"/>
  <c r="E18" i="21"/>
  <c r="I18" i="21"/>
  <c r="B19" i="21"/>
  <c r="D19" i="21" s="1"/>
  <c r="C19" i="21"/>
  <c r="E19" i="21"/>
  <c r="I19" i="21"/>
  <c r="B20" i="21"/>
  <c r="H20" i="21" s="1"/>
  <c r="C20" i="21"/>
  <c r="E20" i="21"/>
  <c r="I20" i="21"/>
  <c r="B21" i="21"/>
  <c r="D21" i="21" s="1"/>
  <c r="C21" i="21"/>
  <c r="E21" i="21"/>
  <c r="I21" i="21"/>
  <c r="B22" i="21"/>
  <c r="H22" i="21" s="1"/>
  <c r="C22" i="21"/>
  <c r="E22" i="21"/>
  <c r="I22" i="21"/>
  <c r="B23" i="21"/>
  <c r="D23" i="21" s="1"/>
  <c r="C23" i="21"/>
  <c r="E23" i="21"/>
  <c r="I23" i="21"/>
  <c r="B24" i="21"/>
  <c r="H24" i="21" s="1"/>
  <c r="C24" i="21"/>
  <c r="E24" i="21"/>
  <c r="I24" i="21"/>
  <c r="B25" i="21"/>
  <c r="D25" i="21" s="1"/>
  <c r="C25" i="21"/>
  <c r="E25" i="21"/>
  <c r="I25" i="21"/>
  <c r="B26" i="21"/>
  <c r="H26" i="21" s="1"/>
  <c r="C26" i="21"/>
  <c r="E26" i="21"/>
  <c r="I26" i="21"/>
  <c r="B27" i="21"/>
  <c r="D27" i="21" s="1"/>
  <c r="C27" i="21"/>
  <c r="E27" i="21"/>
  <c r="I27" i="21"/>
  <c r="B28" i="21"/>
  <c r="H28" i="21" s="1"/>
  <c r="C28" i="21"/>
  <c r="E28" i="21"/>
  <c r="I28" i="21"/>
  <c r="B29" i="21"/>
  <c r="D29" i="21" s="1"/>
  <c r="C29" i="21"/>
  <c r="E29" i="21"/>
  <c r="I29" i="21"/>
  <c r="B30" i="21"/>
  <c r="H30" i="21" s="1"/>
  <c r="C30" i="21"/>
  <c r="E30" i="21"/>
  <c r="I30" i="21"/>
  <c r="B31" i="21"/>
  <c r="D31" i="21" s="1"/>
  <c r="C31" i="21"/>
  <c r="E31" i="21"/>
  <c r="I31" i="21"/>
  <c r="B32" i="21"/>
  <c r="H32" i="21" s="1"/>
  <c r="C32" i="21"/>
  <c r="E32" i="21"/>
  <c r="I32" i="21"/>
  <c r="B33" i="21"/>
  <c r="D33" i="21" s="1"/>
  <c r="C33" i="21"/>
  <c r="E33" i="21"/>
  <c r="I33" i="21"/>
  <c r="B34" i="21"/>
  <c r="D34" i="21" s="1"/>
  <c r="C34" i="21"/>
  <c r="E34" i="21"/>
  <c r="I34" i="21"/>
  <c r="B35" i="21"/>
  <c r="D35" i="21" s="1"/>
  <c r="C35" i="21"/>
  <c r="E35" i="21"/>
  <c r="I35" i="21"/>
  <c r="B36" i="21"/>
  <c r="H36" i="21" s="1"/>
  <c r="C36" i="21"/>
  <c r="E36" i="21"/>
  <c r="I36" i="21"/>
  <c r="B37" i="21"/>
  <c r="D37" i="21" s="1"/>
  <c r="C37" i="21"/>
  <c r="E37" i="21"/>
  <c r="I37" i="21"/>
  <c r="B38" i="21"/>
  <c r="H38" i="21" s="1"/>
  <c r="C38" i="21"/>
  <c r="E38" i="21"/>
  <c r="I38" i="21"/>
  <c r="B39" i="21"/>
  <c r="D39" i="21" s="1"/>
  <c r="C39" i="21"/>
  <c r="E39" i="21"/>
  <c r="I39" i="21"/>
  <c r="B40" i="21"/>
  <c r="H40" i="21" s="1"/>
  <c r="C40" i="21"/>
  <c r="E40" i="21"/>
  <c r="I40" i="21"/>
  <c r="B41" i="21"/>
  <c r="D41" i="21" s="1"/>
  <c r="C41" i="21"/>
  <c r="E41" i="21"/>
  <c r="I41" i="21"/>
  <c r="B42" i="21"/>
  <c r="D42" i="21" s="1"/>
  <c r="C42" i="21"/>
  <c r="E42" i="21"/>
  <c r="I42" i="21"/>
  <c r="B43" i="21"/>
  <c r="D43" i="21" s="1"/>
  <c r="C43" i="21"/>
  <c r="E43" i="21"/>
  <c r="I43" i="21"/>
  <c r="B44" i="21"/>
  <c r="H44" i="21" s="1"/>
  <c r="C44" i="21"/>
  <c r="E44" i="21"/>
  <c r="I44" i="21"/>
  <c r="B45" i="21"/>
  <c r="D45" i="21" s="1"/>
  <c r="C45" i="21"/>
  <c r="E45" i="21"/>
  <c r="I45" i="21"/>
  <c r="B46" i="21"/>
  <c r="H46" i="21" s="1"/>
  <c r="C46" i="21"/>
  <c r="E46" i="21"/>
  <c r="I46" i="21"/>
  <c r="B47" i="21"/>
  <c r="D47" i="21" s="1"/>
  <c r="C47" i="21"/>
  <c r="E47" i="21"/>
  <c r="I47" i="21"/>
  <c r="B48" i="21"/>
  <c r="H48" i="21" s="1"/>
  <c r="C48" i="21"/>
  <c r="E48" i="21"/>
  <c r="I48" i="21"/>
  <c r="B49" i="21"/>
  <c r="D49" i="21" s="1"/>
  <c r="C49" i="21"/>
  <c r="E49" i="21"/>
  <c r="I49" i="21"/>
  <c r="B50" i="21"/>
  <c r="H50" i="21" s="1"/>
  <c r="C50" i="21"/>
  <c r="E50" i="21"/>
  <c r="I50" i="21"/>
  <c r="B51" i="21"/>
  <c r="D51" i="21" s="1"/>
  <c r="C51" i="21"/>
  <c r="E51" i="21"/>
  <c r="I51" i="21"/>
  <c r="B52" i="21"/>
  <c r="H52" i="21" s="1"/>
  <c r="C52" i="21"/>
  <c r="E52" i="21"/>
  <c r="I52" i="21"/>
  <c r="B53" i="21"/>
  <c r="D53" i="21" s="1"/>
  <c r="C53" i="21"/>
  <c r="E53" i="21"/>
  <c r="I53" i="21"/>
  <c r="C54" i="21"/>
  <c r="E2" i="21"/>
  <c r="I2" i="21"/>
  <c r="C2" i="21"/>
  <c r="B2" i="21"/>
  <c r="H2" i="21" s="1"/>
  <c r="I49" i="20"/>
  <c r="H49" i="20"/>
  <c r="G49" i="20"/>
  <c r="H34" i="20"/>
  <c r="F49" i="20"/>
  <c r="D49" i="20"/>
  <c r="E49" i="20"/>
  <c r="C49" i="20"/>
  <c r="C35" i="20"/>
  <c r="D35" i="20"/>
  <c r="E35" i="20"/>
  <c r="F35" i="20"/>
  <c r="G35" i="20"/>
  <c r="H35" i="20"/>
  <c r="I35" i="20"/>
  <c r="J35" i="20"/>
  <c r="K35" i="20"/>
  <c r="C36" i="20"/>
  <c r="D36" i="20"/>
  <c r="E36" i="20"/>
  <c r="F36" i="20"/>
  <c r="G36" i="20"/>
  <c r="H36" i="20"/>
  <c r="I36" i="20"/>
  <c r="J36" i="20"/>
  <c r="K36" i="20"/>
  <c r="C37" i="20"/>
  <c r="D37" i="20"/>
  <c r="E37" i="20"/>
  <c r="F37" i="20"/>
  <c r="G37" i="20"/>
  <c r="H37" i="20"/>
  <c r="I37" i="20"/>
  <c r="J37" i="20"/>
  <c r="K37" i="20"/>
  <c r="C38" i="20"/>
  <c r="D38" i="20"/>
  <c r="E38" i="20"/>
  <c r="F38" i="20"/>
  <c r="G38" i="20"/>
  <c r="H38" i="20"/>
  <c r="I38" i="20"/>
  <c r="J38" i="20"/>
  <c r="K38" i="20"/>
  <c r="D34" i="20"/>
  <c r="E34" i="20"/>
  <c r="F34" i="20"/>
  <c r="G34" i="20"/>
  <c r="I34" i="20"/>
  <c r="J34" i="20"/>
  <c r="K34" i="20"/>
  <c r="C34" i="20"/>
  <c r="I48" i="20"/>
  <c r="H48" i="20"/>
  <c r="G48" i="20"/>
  <c r="F48" i="20"/>
  <c r="D48" i="20"/>
  <c r="E48" i="20"/>
  <c r="C48" i="20"/>
  <c r="D12" i="21" l="1"/>
  <c r="D36" i="21"/>
  <c r="D26" i="21"/>
  <c r="D4" i="21"/>
  <c r="H25" i="21"/>
  <c r="H33" i="21"/>
  <c r="D50" i="21"/>
  <c r="H29" i="21"/>
  <c r="D44" i="21"/>
  <c r="H42" i="21"/>
  <c r="D18" i="21"/>
  <c r="H5" i="21"/>
  <c r="D54" i="21"/>
  <c r="H45" i="21"/>
  <c r="D28" i="21"/>
  <c r="H9" i="21"/>
  <c r="H49" i="21"/>
  <c r="D52" i="21"/>
  <c r="H10" i="21"/>
  <c r="H53" i="21"/>
  <c r="H34" i="21"/>
  <c r="H17" i="21"/>
  <c r="H41" i="21"/>
  <c r="H13" i="21"/>
  <c r="H37" i="21"/>
  <c r="D20" i="21"/>
  <c r="H21" i="21"/>
  <c r="D46" i="21"/>
  <c r="D38" i="21"/>
  <c r="D30" i="21"/>
  <c r="D22" i="21"/>
  <c r="D14" i="21"/>
  <c r="D6" i="21"/>
  <c r="D2" i="21"/>
  <c r="D48" i="21"/>
  <c r="D40" i="21"/>
  <c r="D32" i="21"/>
  <c r="D24" i="21"/>
  <c r="D16" i="21"/>
  <c r="D8" i="21"/>
  <c r="H47" i="21"/>
  <c r="H39" i="21"/>
  <c r="H31" i="21"/>
  <c r="H19" i="21"/>
  <c r="H15" i="21"/>
  <c r="H11" i="21"/>
  <c r="H7" i="21"/>
  <c r="H3" i="21"/>
  <c r="H51" i="21"/>
  <c r="H43" i="21"/>
  <c r="H35" i="21"/>
  <c r="H27" i="21"/>
  <c r="H23" i="21"/>
  <c r="S18" i="7" l="1"/>
  <c r="I2" i="17" l="1"/>
  <c r="I3" i="17"/>
  <c r="BH19" i="10" l="1"/>
  <c r="BI19" i="10"/>
  <c r="BJ19" i="10"/>
  <c r="BK19" i="10"/>
  <c r="BL19" i="10"/>
  <c r="BM19" i="10"/>
  <c r="BG19" i="10"/>
  <c r="BH19" i="15"/>
  <c r="BI19" i="15"/>
  <c r="BJ19" i="15"/>
  <c r="BK19" i="15"/>
  <c r="BL19" i="15"/>
  <c r="BM19" i="15"/>
  <c r="BG19" i="15"/>
  <c r="G214" i="16"/>
  <c r="H214" i="16"/>
  <c r="I214" i="16"/>
  <c r="F214" i="16"/>
  <c r="D214" i="16"/>
  <c r="E214" i="16"/>
  <c r="C214" i="16"/>
  <c r="K214" i="16"/>
  <c r="L214" i="16"/>
  <c r="M214" i="16"/>
  <c r="J214" i="16"/>
  <c r="K213" i="16"/>
  <c r="L213" i="16"/>
  <c r="M213" i="16"/>
  <c r="J213" i="16"/>
  <c r="K212" i="16"/>
  <c r="L212" i="16"/>
  <c r="M212" i="16"/>
  <c r="J212" i="16"/>
  <c r="T25" i="16" l="1"/>
  <c r="S25" i="16"/>
  <c r="R25" i="16"/>
  <c r="Q25" i="16"/>
  <c r="T24" i="16"/>
  <c r="S24" i="16"/>
  <c r="R24" i="16"/>
  <c r="Q24" i="16"/>
  <c r="U95" i="16"/>
  <c r="S95" i="16"/>
  <c r="T95" i="16"/>
  <c r="R95" i="16"/>
  <c r="P95" i="16"/>
  <c r="P101" i="16" s="1"/>
  <c r="BA19" i="15" s="1"/>
  <c r="BA19" i="10" s="1"/>
  <c r="Q95" i="16"/>
  <c r="Q101" i="16" s="1"/>
  <c r="BB19" i="15" s="1"/>
  <c r="BB19" i="10" s="1"/>
  <c r="O95" i="16"/>
  <c r="O101" i="16" s="1"/>
  <c r="AZ19" i="15" s="1"/>
  <c r="AZ19" i="10" s="1"/>
  <c r="U94" i="16"/>
  <c r="T94" i="16"/>
  <c r="S94" i="16"/>
  <c r="R94" i="16"/>
  <c r="P94" i="16"/>
  <c r="P100" i="16" s="1"/>
  <c r="Q94" i="16"/>
  <c r="Q100" i="16" s="1"/>
  <c r="O94" i="16"/>
  <c r="R100" i="16" s="1"/>
  <c r="R92" i="16"/>
  <c r="R98" i="16" s="1"/>
  <c r="AO19" i="15" s="1"/>
  <c r="AO19" i="10" s="1"/>
  <c r="S92" i="16"/>
  <c r="T92" i="16"/>
  <c r="U92" i="16"/>
  <c r="U93" i="16"/>
  <c r="T93" i="16"/>
  <c r="S93" i="16"/>
  <c r="S99" i="16" s="1"/>
  <c r="AW19" i="15" s="1"/>
  <c r="AW19" i="10" s="1"/>
  <c r="R93" i="16"/>
  <c r="R99" i="16" s="1"/>
  <c r="AV19" i="15" s="1"/>
  <c r="AV19" i="10" s="1"/>
  <c r="U91" i="16"/>
  <c r="T91" i="16"/>
  <c r="S91" i="16"/>
  <c r="R91" i="16"/>
  <c r="P91" i="16"/>
  <c r="P97" i="16" s="1"/>
  <c r="AF19" i="15" s="1"/>
  <c r="AF19" i="10" s="1"/>
  <c r="Q91" i="16"/>
  <c r="Q97" i="16" s="1"/>
  <c r="AG19" i="15" s="1"/>
  <c r="AG19" i="10" s="1"/>
  <c r="O91" i="16"/>
  <c r="O97" i="16" s="1"/>
  <c r="AE19" i="15" s="1"/>
  <c r="AE19" i="10" s="1"/>
  <c r="P93" i="16"/>
  <c r="P99" i="16" s="1"/>
  <c r="AT19" i="15" s="1"/>
  <c r="AT19" i="10" s="1"/>
  <c r="Q93" i="16"/>
  <c r="Q99" i="16" s="1"/>
  <c r="AU19" i="15" s="1"/>
  <c r="AU19" i="10" s="1"/>
  <c r="O93" i="16"/>
  <c r="O99" i="16" s="1"/>
  <c r="AS19" i="15" s="1"/>
  <c r="AS19" i="10" s="1"/>
  <c r="P92" i="16"/>
  <c r="P98" i="16" s="1"/>
  <c r="AM19" i="15" s="1"/>
  <c r="AM19" i="10" s="1"/>
  <c r="Q92" i="16"/>
  <c r="Q98" i="16" s="1"/>
  <c r="AN19" i="15" s="1"/>
  <c r="AN19" i="10" s="1"/>
  <c r="O92" i="16"/>
  <c r="O98" i="16" s="1"/>
  <c r="AL19" i="15" s="1"/>
  <c r="AL19" i="10" s="1"/>
  <c r="U98" i="16" l="1"/>
  <c r="AR19" i="15" s="1"/>
  <c r="AR19" i="10" s="1"/>
  <c r="S101" i="16"/>
  <c r="BD19" i="15" s="1"/>
  <c r="BD19" i="10" s="1"/>
  <c r="T98" i="16"/>
  <c r="AQ19" i="15" s="1"/>
  <c r="AQ19" i="10" s="1"/>
  <c r="S97" i="16"/>
  <c r="AI19" i="15" s="1"/>
  <c r="AI19" i="10" s="1"/>
  <c r="U101" i="16"/>
  <c r="BF19" i="15" s="1"/>
  <c r="BF19" i="10" s="1"/>
  <c r="S98" i="16"/>
  <c r="AP19" i="15" s="1"/>
  <c r="AP19" i="10" s="1"/>
  <c r="R101" i="16"/>
  <c r="BC19" i="15" s="1"/>
  <c r="BC19" i="10" s="1"/>
  <c r="T101" i="16"/>
  <c r="BE19" i="15" s="1"/>
  <c r="BE19" i="10" s="1"/>
  <c r="T99" i="16"/>
  <c r="AX19" i="15" s="1"/>
  <c r="AX19" i="10" s="1"/>
  <c r="U99" i="16"/>
  <c r="AY19" i="15" s="1"/>
  <c r="AY19" i="10" s="1"/>
  <c r="S100" i="16"/>
  <c r="T100" i="16"/>
  <c r="T97" i="16"/>
  <c r="AJ19" i="15" s="1"/>
  <c r="AJ19" i="10" s="1"/>
  <c r="U97" i="16"/>
  <c r="AK19" i="15" s="1"/>
  <c r="AK19" i="10" s="1"/>
  <c r="U100" i="16"/>
  <c r="R97" i="16"/>
  <c r="AH19" i="15" s="1"/>
  <c r="AH19" i="10" s="1"/>
  <c r="O100" i="16"/>
  <c r="C16" i="15"/>
  <c r="C16" i="10" s="1"/>
  <c r="D16" i="15"/>
  <c r="E16" i="15"/>
  <c r="E16" i="10" s="1"/>
  <c r="F16" i="15"/>
  <c r="F16" i="10" s="1"/>
  <c r="D8" i="17" s="1"/>
  <c r="G16" i="15"/>
  <c r="G16" i="10" s="1"/>
  <c r="H16" i="15"/>
  <c r="H16" i="10" s="1"/>
  <c r="I16" i="15"/>
  <c r="I16" i="10" s="1"/>
  <c r="D16" i="10"/>
  <c r="R30" i="16"/>
  <c r="N30" i="16"/>
  <c r="Q26" i="16"/>
  <c r="R26" i="16"/>
  <c r="S26" i="16"/>
  <c r="T26" i="16"/>
  <c r="O24" i="16"/>
  <c r="P24" i="16"/>
  <c r="P30" i="16" s="1"/>
  <c r="O25" i="16"/>
  <c r="O31" i="16" s="1"/>
  <c r="D22" i="15" s="1"/>
  <c r="D22" i="10" s="1"/>
  <c r="P25" i="16"/>
  <c r="P31" i="16" s="1"/>
  <c r="E22" i="15" s="1"/>
  <c r="E22" i="10" s="1"/>
  <c r="N25" i="16"/>
  <c r="T31" i="16" s="1"/>
  <c r="I22" i="15" s="1"/>
  <c r="I22" i="10" s="1"/>
  <c r="N24" i="16"/>
  <c r="S30" i="16" s="1"/>
  <c r="C11" i="15"/>
  <c r="C11" i="10" s="1"/>
  <c r="D11" i="15"/>
  <c r="D11" i="10" s="1"/>
  <c r="E11" i="15"/>
  <c r="E11" i="10" s="1"/>
  <c r="F11" i="15"/>
  <c r="F11" i="10" s="1"/>
  <c r="D3" i="17" s="1"/>
  <c r="G11" i="15"/>
  <c r="G11" i="10" s="1"/>
  <c r="H11" i="15"/>
  <c r="H11" i="10" s="1"/>
  <c r="I11" i="15"/>
  <c r="I11" i="10" s="1"/>
  <c r="C12" i="15"/>
  <c r="C12" i="10" s="1"/>
  <c r="D12" i="15"/>
  <c r="D12" i="10" s="1"/>
  <c r="E12" i="15"/>
  <c r="E12" i="10" s="1"/>
  <c r="F12" i="15"/>
  <c r="F12" i="10" s="1"/>
  <c r="D4" i="17" s="1"/>
  <c r="G12" i="15"/>
  <c r="G12" i="10" s="1"/>
  <c r="H12" i="15"/>
  <c r="H12" i="10" s="1"/>
  <c r="I12" i="15"/>
  <c r="I12" i="10" s="1"/>
  <c r="C13" i="15"/>
  <c r="C13" i="10" s="1"/>
  <c r="D13" i="15"/>
  <c r="D13" i="10" s="1"/>
  <c r="E13" i="15"/>
  <c r="E13" i="10" s="1"/>
  <c r="F13" i="15"/>
  <c r="F13" i="10" s="1"/>
  <c r="D5" i="17" s="1"/>
  <c r="G13" i="15"/>
  <c r="G13" i="10" s="1"/>
  <c r="H13" i="15"/>
  <c r="H13" i="10" s="1"/>
  <c r="I13" i="15"/>
  <c r="I13" i="10" s="1"/>
  <c r="C14" i="15"/>
  <c r="C14" i="10" s="1"/>
  <c r="D14" i="15"/>
  <c r="D14" i="10" s="1"/>
  <c r="E14" i="15"/>
  <c r="E14" i="10" s="1"/>
  <c r="F14" i="15"/>
  <c r="F14" i="10" s="1"/>
  <c r="D6" i="17" s="1"/>
  <c r="G14" i="15"/>
  <c r="G14" i="10" s="1"/>
  <c r="H14" i="15"/>
  <c r="H14" i="10" s="1"/>
  <c r="I14" i="15"/>
  <c r="I14" i="10" s="1"/>
  <c r="C15" i="15"/>
  <c r="C15" i="10" s="1"/>
  <c r="D15" i="15"/>
  <c r="D15" i="10" s="1"/>
  <c r="E15" i="15"/>
  <c r="E15" i="10" s="1"/>
  <c r="F15" i="15"/>
  <c r="F15" i="10" s="1"/>
  <c r="D7" i="17" s="1"/>
  <c r="G15" i="15"/>
  <c r="G15" i="10" s="1"/>
  <c r="H15" i="15"/>
  <c r="H15" i="10" s="1"/>
  <c r="I15" i="15"/>
  <c r="I15" i="10" s="1"/>
  <c r="C17" i="15"/>
  <c r="C17" i="10" s="1"/>
  <c r="D17" i="15"/>
  <c r="D17" i="10" s="1"/>
  <c r="E17" i="15"/>
  <c r="E17" i="10" s="1"/>
  <c r="F17" i="15"/>
  <c r="F17" i="10" s="1"/>
  <c r="D9" i="17" s="1"/>
  <c r="G17" i="15"/>
  <c r="G17" i="10" s="1"/>
  <c r="H17" i="15"/>
  <c r="H17" i="10" s="1"/>
  <c r="I17" i="15"/>
  <c r="I17" i="10" s="1"/>
  <c r="C18" i="15"/>
  <c r="C18" i="10" s="1"/>
  <c r="D18" i="15"/>
  <c r="D18" i="10" s="1"/>
  <c r="E18" i="15"/>
  <c r="E18" i="10" s="1"/>
  <c r="F18" i="15"/>
  <c r="F18" i="10" s="1"/>
  <c r="D10" i="17" s="1"/>
  <c r="G18" i="15"/>
  <c r="G18" i="10" s="1"/>
  <c r="H18" i="15"/>
  <c r="H18" i="10" s="1"/>
  <c r="I18" i="15"/>
  <c r="I18" i="10" s="1"/>
  <c r="C19" i="15"/>
  <c r="C19" i="10" s="1"/>
  <c r="D19" i="15"/>
  <c r="D19" i="10" s="1"/>
  <c r="E19" i="15"/>
  <c r="E19" i="10" s="1"/>
  <c r="F19" i="15"/>
  <c r="F19" i="10" s="1"/>
  <c r="D11" i="17" s="1"/>
  <c r="G19" i="15"/>
  <c r="G19" i="10" s="1"/>
  <c r="H19" i="15"/>
  <c r="H19" i="10" s="1"/>
  <c r="I19" i="15"/>
  <c r="I19" i="10" s="1"/>
  <c r="C20" i="15"/>
  <c r="C20" i="10" s="1"/>
  <c r="D20" i="15"/>
  <c r="D20" i="10" s="1"/>
  <c r="E20" i="15"/>
  <c r="E20" i="10" s="1"/>
  <c r="F20" i="15"/>
  <c r="F20" i="10" s="1"/>
  <c r="G20" i="15"/>
  <c r="G20" i="10" s="1"/>
  <c r="H20" i="15"/>
  <c r="H20" i="10" s="1"/>
  <c r="I20" i="15"/>
  <c r="I20" i="10" s="1"/>
  <c r="C21" i="15"/>
  <c r="C21" i="10" s="1"/>
  <c r="D21" i="15"/>
  <c r="D21" i="10" s="1"/>
  <c r="E21" i="15"/>
  <c r="E21" i="10" s="1"/>
  <c r="F21" i="15"/>
  <c r="F21" i="10" s="1"/>
  <c r="G21" i="15"/>
  <c r="G21" i="10" s="1"/>
  <c r="H21" i="15"/>
  <c r="H21" i="10" s="1"/>
  <c r="I21" i="15"/>
  <c r="I21" i="10" s="1"/>
  <c r="C24" i="15"/>
  <c r="C24" i="10" s="1"/>
  <c r="D24" i="15"/>
  <c r="D24" i="10" s="1"/>
  <c r="E24" i="15"/>
  <c r="E24" i="10" s="1"/>
  <c r="F24" i="15"/>
  <c r="F24" i="10" s="1"/>
  <c r="D14" i="17" s="1"/>
  <c r="G24" i="15"/>
  <c r="G24" i="10" s="1"/>
  <c r="H24" i="15"/>
  <c r="H24" i="10" s="1"/>
  <c r="I24" i="15"/>
  <c r="I24" i="10" s="1"/>
  <c r="C25" i="15"/>
  <c r="C25" i="10" s="1"/>
  <c r="D25" i="15"/>
  <c r="D25" i="10" s="1"/>
  <c r="E25" i="15"/>
  <c r="E25" i="10" s="1"/>
  <c r="F25" i="15"/>
  <c r="F25" i="10" s="1"/>
  <c r="D15" i="17" s="1"/>
  <c r="G25" i="15"/>
  <c r="G25" i="10" s="1"/>
  <c r="H25" i="15"/>
  <c r="H25" i="10" s="1"/>
  <c r="I25" i="15"/>
  <c r="I25" i="10" s="1"/>
  <c r="C26" i="15"/>
  <c r="C26" i="10" s="1"/>
  <c r="D26" i="15"/>
  <c r="D26" i="10" s="1"/>
  <c r="E26" i="15"/>
  <c r="E26" i="10" s="1"/>
  <c r="F26" i="15"/>
  <c r="F26" i="10" s="1"/>
  <c r="D16" i="17" s="1"/>
  <c r="G26" i="15"/>
  <c r="G26" i="10" s="1"/>
  <c r="H26" i="15"/>
  <c r="H26" i="10" s="1"/>
  <c r="I26" i="15"/>
  <c r="I26" i="10" s="1"/>
  <c r="C27" i="15"/>
  <c r="C27" i="10" s="1"/>
  <c r="D27" i="15"/>
  <c r="D27" i="10" s="1"/>
  <c r="E27" i="15"/>
  <c r="E27" i="10" s="1"/>
  <c r="F27" i="15"/>
  <c r="F27" i="10" s="1"/>
  <c r="D17" i="17" s="1"/>
  <c r="G27" i="15"/>
  <c r="G27" i="10" s="1"/>
  <c r="H27" i="15"/>
  <c r="H27" i="10" s="1"/>
  <c r="I27" i="15"/>
  <c r="I27" i="10" s="1"/>
  <c r="C28" i="15"/>
  <c r="C28" i="10" s="1"/>
  <c r="D28" i="15"/>
  <c r="D28" i="10" s="1"/>
  <c r="E28" i="15"/>
  <c r="E28" i="10" s="1"/>
  <c r="F28" i="15"/>
  <c r="F28" i="10" s="1"/>
  <c r="D18" i="17" s="1"/>
  <c r="G28" i="15"/>
  <c r="G28" i="10" s="1"/>
  <c r="H28" i="15"/>
  <c r="H28" i="10" s="1"/>
  <c r="I28" i="15"/>
  <c r="I28" i="10" s="1"/>
  <c r="C29" i="15"/>
  <c r="C29" i="10" s="1"/>
  <c r="D29" i="15"/>
  <c r="D29" i="10" s="1"/>
  <c r="E29" i="15"/>
  <c r="E29" i="10" s="1"/>
  <c r="F29" i="15"/>
  <c r="F29" i="10" s="1"/>
  <c r="D19" i="17" s="1"/>
  <c r="G29" i="15"/>
  <c r="G29" i="10" s="1"/>
  <c r="H29" i="15"/>
  <c r="H29" i="10" s="1"/>
  <c r="I29" i="15"/>
  <c r="I29" i="10" s="1"/>
  <c r="C30" i="15"/>
  <c r="C30" i="10" s="1"/>
  <c r="D30" i="15"/>
  <c r="D30" i="10" s="1"/>
  <c r="E30" i="15"/>
  <c r="E30" i="10" s="1"/>
  <c r="F30" i="15"/>
  <c r="F30" i="10" s="1"/>
  <c r="G30" i="15"/>
  <c r="G30" i="10" s="1"/>
  <c r="H30" i="15"/>
  <c r="H30" i="10" s="1"/>
  <c r="I30" i="15"/>
  <c r="I30" i="10" s="1"/>
  <c r="C31" i="15"/>
  <c r="C31" i="10" s="1"/>
  <c r="D31" i="15"/>
  <c r="D31" i="10" s="1"/>
  <c r="E31" i="15"/>
  <c r="E31" i="10" s="1"/>
  <c r="F31" i="15"/>
  <c r="F31" i="10" s="1"/>
  <c r="D20" i="17" s="1"/>
  <c r="G31" i="15"/>
  <c r="G31" i="10" s="1"/>
  <c r="H31" i="15"/>
  <c r="H31" i="10" s="1"/>
  <c r="I31" i="15"/>
  <c r="I31" i="10" s="1"/>
  <c r="C32" i="15"/>
  <c r="C32" i="10" s="1"/>
  <c r="D32" i="15"/>
  <c r="D32" i="10" s="1"/>
  <c r="E32" i="15"/>
  <c r="E32" i="10" s="1"/>
  <c r="F32" i="15"/>
  <c r="F32" i="10" s="1"/>
  <c r="D21" i="17" s="1"/>
  <c r="G32" i="15"/>
  <c r="G32" i="10" s="1"/>
  <c r="H32" i="15"/>
  <c r="H32" i="10" s="1"/>
  <c r="I32" i="15"/>
  <c r="I32" i="10" s="1"/>
  <c r="C33" i="15"/>
  <c r="C33" i="10" s="1"/>
  <c r="D33" i="15"/>
  <c r="D33" i="10" s="1"/>
  <c r="E33" i="15"/>
  <c r="E33" i="10" s="1"/>
  <c r="F33" i="15"/>
  <c r="F33" i="10" s="1"/>
  <c r="D22" i="17" s="1"/>
  <c r="G33" i="15"/>
  <c r="G33" i="10" s="1"/>
  <c r="H33" i="15"/>
  <c r="H33" i="10" s="1"/>
  <c r="I33" i="15"/>
  <c r="I33" i="10" s="1"/>
  <c r="C34" i="15"/>
  <c r="C34" i="10" s="1"/>
  <c r="D34" i="15"/>
  <c r="D34" i="10" s="1"/>
  <c r="E34" i="15"/>
  <c r="E34" i="10" s="1"/>
  <c r="F34" i="15"/>
  <c r="F34" i="10" s="1"/>
  <c r="D23" i="17" s="1"/>
  <c r="G34" i="15"/>
  <c r="G34" i="10" s="1"/>
  <c r="H34" i="15"/>
  <c r="H34" i="10" s="1"/>
  <c r="I34" i="15"/>
  <c r="I34" i="10" s="1"/>
  <c r="C35" i="15"/>
  <c r="C35" i="10" s="1"/>
  <c r="D35" i="15"/>
  <c r="D35" i="10" s="1"/>
  <c r="E35" i="15"/>
  <c r="E35" i="10" s="1"/>
  <c r="F35" i="15"/>
  <c r="F35" i="10" s="1"/>
  <c r="D24" i="17" s="1"/>
  <c r="G35" i="15"/>
  <c r="G35" i="10" s="1"/>
  <c r="H35" i="15"/>
  <c r="H35" i="10" s="1"/>
  <c r="I35" i="15"/>
  <c r="I35" i="10" s="1"/>
  <c r="C36" i="15"/>
  <c r="C36" i="10" s="1"/>
  <c r="D36" i="15"/>
  <c r="D36" i="10" s="1"/>
  <c r="E36" i="15"/>
  <c r="E36" i="10" s="1"/>
  <c r="F36" i="15"/>
  <c r="F36" i="10" s="1"/>
  <c r="D25" i="17" s="1"/>
  <c r="G36" i="15"/>
  <c r="G36" i="10" s="1"/>
  <c r="H36" i="15"/>
  <c r="H36" i="10" s="1"/>
  <c r="I36" i="15"/>
  <c r="I36" i="10" s="1"/>
  <c r="C37" i="15"/>
  <c r="C37" i="10" s="1"/>
  <c r="D37" i="15"/>
  <c r="D37" i="10" s="1"/>
  <c r="E37" i="15"/>
  <c r="E37" i="10" s="1"/>
  <c r="F37" i="15"/>
  <c r="F37" i="10" s="1"/>
  <c r="D26" i="17" s="1"/>
  <c r="G37" i="15"/>
  <c r="G37" i="10" s="1"/>
  <c r="H37" i="15"/>
  <c r="H37" i="10" s="1"/>
  <c r="I37" i="15"/>
  <c r="I37" i="10" s="1"/>
  <c r="C38" i="15"/>
  <c r="C38" i="10" s="1"/>
  <c r="D38" i="15"/>
  <c r="D38" i="10" s="1"/>
  <c r="E38" i="15"/>
  <c r="E38" i="10" s="1"/>
  <c r="F38" i="15"/>
  <c r="F38" i="10" s="1"/>
  <c r="D27" i="17" s="1"/>
  <c r="G38" i="15"/>
  <c r="G38" i="10" s="1"/>
  <c r="H38" i="15"/>
  <c r="H38" i="10" s="1"/>
  <c r="I38" i="15"/>
  <c r="I38" i="10" s="1"/>
  <c r="C39" i="15"/>
  <c r="C39" i="10" s="1"/>
  <c r="D39" i="15"/>
  <c r="D39" i="10" s="1"/>
  <c r="E39" i="15"/>
  <c r="E39" i="10" s="1"/>
  <c r="F39" i="15"/>
  <c r="F39" i="10" s="1"/>
  <c r="D28" i="17" s="1"/>
  <c r="G39" i="15"/>
  <c r="G39" i="10" s="1"/>
  <c r="H39" i="15"/>
  <c r="H39" i="10" s="1"/>
  <c r="I39" i="15"/>
  <c r="I39" i="10" s="1"/>
  <c r="C40" i="15"/>
  <c r="C40" i="10" s="1"/>
  <c r="D40" i="15"/>
  <c r="D40" i="10" s="1"/>
  <c r="E40" i="15"/>
  <c r="E40" i="10" s="1"/>
  <c r="F40" i="15"/>
  <c r="F40" i="10" s="1"/>
  <c r="D29" i="17" s="1"/>
  <c r="G40" i="15"/>
  <c r="G40" i="10" s="1"/>
  <c r="H40" i="15"/>
  <c r="H40" i="10" s="1"/>
  <c r="I40" i="15"/>
  <c r="I40" i="10" s="1"/>
  <c r="C41" i="15"/>
  <c r="C41" i="10" s="1"/>
  <c r="D41" i="15"/>
  <c r="D41" i="10" s="1"/>
  <c r="E41" i="15"/>
  <c r="E41" i="10" s="1"/>
  <c r="F41" i="15"/>
  <c r="F41" i="10" s="1"/>
  <c r="D30" i="17" s="1"/>
  <c r="G41" i="15"/>
  <c r="G41" i="10" s="1"/>
  <c r="H41" i="15"/>
  <c r="H41" i="10" s="1"/>
  <c r="I41" i="15"/>
  <c r="I41" i="10" s="1"/>
  <c r="C42" i="15"/>
  <c r="C42" i="10" s="1"/>
  <c r="D42" i="15"/>
  <c r="D42" i="10" s="1"/>
  <c r="E42" i="15"/>
  <c r="E42" i="10" s="1"/>
  <c r="F42" i="15"/>
  <c r="F42" i="10" s="1"/>
  <c r="G42" i="15"/>
  <c r="G42" i="10" s="1"/>
  <c r="H42" i="15"/>
  <c r="H42" i="10" s="1"/>
  <c r="I42" i="15"/>
  <c r="I42" i="10" s="1"/>
  <c r="C43" i="15"/>
  <c r="C43" i="10" s="1"/>
  <c r="D43" i="15"/>
  <c r="D43" i="10" s="1"/>
  <c r="E43" i="15"/>
  <c r="E43" i="10" s="1"/>
  <c r="F43" i="15"/>
  <c r="F43" i="10" s="1"/>
  <c r="D31" i="17" s="1"/>
  <c r="G43" i="15"/>
  <c r="G43" i="10" s="1"/>
  <c r="H43" i="15"/>
  <c r="H43" i="10" s="1"/>
  <c r="I43" i="15"/>
  <c r="I43" i="10" s="1"/>
  <c r="C44" i="15"/>
  <c r="C44" i="10" s="1"/>
  <c r="D44" i="15"/>
  <c r="D44" i="10" s="1"/>
  <c r="E44" i="15"/>
  <c r="E44" i="10" s="1"/>
  <c r="F44" i="15"/>
  <c r="F44" i="10" s="1"/>
  <c r="D32" i="17" s="1"/>
  <c r="G44" i="15"/>
  <c r="G44" i="10" s="1"/>
  <c r="H44" i="15"/>
  <c r="H44" i="10" s="1"/>
  <c r="I44" i="15"/>
  <c r="I44" i="10" s="1"/>
  <c r="C45" i="15"/>
  <c r="C45" i="10" s="1"/>
  <c r="D45" i="15"/>
  <c r="D45" i="10" s="1"/>
  <c r="E45" i="15"/>
  <c r="E45" i="10" s="1"/>
  <c r="F45" i="15"/>
  <c r="F45" i="10" s="1"/>
  <c r="D33" i="17" s="1"/>
  <c r="G45" i="15"/>
  <c r="G45" i="10" s="1"/>
  <c r="H45" i="15"/>
  <c r="H45" i="10" s="1"/>
  <c r="I45" i="15"/>
  <c r="I45" i="10" s="1"/>
  <c r="C46" i="15"/>
  <c r="C46" i="10" s="1"/>
  <c r="D46" i="15"/>
  <c r="D46" i="10" s="1"/>
  <c r="E46" i="15"/>
  <c r="E46" i="10" s="1"/>
  <c r="F46" i="15"/>
  <c r="F46" i="10" s="1"/>
  <c r="D34" i="17" s="1"/>
  <c r="G46" i="15"/>
  <c r="G46" i="10" s="1"/>
  <c r="H46" i="15"/>
  <c r="H46" i="10" s="1"/>
  <c r="I46" i="15"/>
  <c r="I46" i="10" s="1"/>
  <c r="C47" i="15"/>
  <c r="C47" i="10" s="1"/>
  <c r="D47" i="15"/>
  <c r="D47" i="10" s="1"/>
  <c r="E47" i="15"/>
  <c r="E47" i="10" s="1"/>
  <c r="F47" i="15"/>
  <c r="F47" i="10" s="1"/>
  <c r="D35" i="17" s="1"/>
  <c r="G47" i="15"/>
  <c r="G47" i="10" s="1"/>
  <c r="H47" i="15"/>
  <c r="H47" i="10" s="1"/>
  <c r="I47" i="15"/>
  <c r="I47" i="10" s="1"/>
  <c r="C48" i="15"/>
  <c r="C48" i="10" s="1"/>
  <c r="D48" i="15"/>
  <c r="D48" i="10" s="1"/>
  <c r="E48" i="15"/>
  <c r="E48" i="10" s="1"/>
  <c r="F48" i="15"/>
  <c r="F48" i="10" s="1"/>
  <c r="D36" i="17" s="1"/>
  <c r="G48" i="15"/>
  <c r="G48" i="10" s="1"/>
  <c r="H48" i="15"/>
  <c r="H48" i="10" s="1"/>
  <c r="I48" i="15"/>
  <c r="I48" i="10" s="1"/>
  <c r="C49" i="15"/>
  <c r="C49" i="10" s="1"/>
  <c r="D49" i="15"/>
  <c r="D49" i="10" s="1"/>
  <c r="E49" i="15"/>
  <c r="E49" i="10" s="1"/>
  <c r="F49" i="15"/>
  <c r="F49" i="10" s="1"/>
  <c r="D37" i="17" s="1"/>
  <c r="G49" i="15"/>
  <c r="G49" i="10" s="1"/>
  <c r="H49" i="15"/>
  <c r="H49" i="10" s="1"/>
  <c r="I49" i="15"/>
  <c r="I49" i="10" s="1"/>
  <c r="C50" i="15"/>
  <c r="C50" i="10" s="1"/>
  <c r="D50" i="15"/>
  <c r="D50" i="10" s="1"/>
  <c r="E50" i="15"/>
  <c r="E50" i="10" s="1"/>
  <c r="F50" i="15"/>
  <c r="F50" i="10" s="1"/>
  <c r="D38" i="17" s="1"/>
  <c r="G50" i="15"/>
  <c r="G50" i="10" s="1"/>
  <c r="H50" i="15"/>
  <c r="H50" i="10" s="1"/>
  <c r="I50" i="15"/>
  <c r="I50" i="10" s="1"/>
  <c r="C51" i="15"/>
  <c r="C51" i="10" s="1"/>
  <c r="D51" i="15"/>
  <c r="D51" i="10" s="1"/>
  <c r="E51" i="15"/>
  <c r="E51" i="10" s="1"/>
  <c r="F51" i="15"/>
  <c r="F51" i="10" s="1"/>
  <c r="D39" i="17" s="1"/>
  <c r="G51" i="15"/>
  <c r="G51" i="10" s="1"/>
  <c r="H51" i="15"/>
  <c r="H51" i="10" s="1"/>
  <c r="I51" i="15"/>
  <c r="I51" i="10" s="1"/>
  <c r="C52" i="15"/>
  <c r="C52" i="10" s="1"/>
  <c r="D52" i="15"/>
  <c r="D52" i="10" s="1"/>
  <c r="E52" i="15"/>
  <c r="E52" i="10" s="1"/>
  <c r="F52" i="15"/>
  <c r="F52" i="10" s="1"/>
  <c r="D40" i="17" s="1"/>
  <c r="G52" i="15"/>
  <c r="G52" i="10" s="1"/>
  <c r="H52" i="15"/>
  <c r="H52" i="10" s="1"/>
  <c r="I52" i="15"/>
  <c r="I52" i="10" s="1"/>
  <c r="C53" i="15"/>
  <c r="C53" i="10" s="1"/>
  <c r="D53" i="15"/>
  <c r="D53" i="10" s="1"/>
  <c r="E53" i="15"/>
  <c r="E53" i="10" s="1"/>
  <c r="F53" i="15"/>
  <c r="F53" i="10" s="1"/>
  <c r="D41" i="17" s="1"/>
  <c r="G53" i="15"/>
  <c r="G53" i="10" s="1"/>
  <c r="H53" i="15"/>
  <c r="H53" i="10" s="1"/>
  <c r="I53" i="15"/>
  <c r="I53" i="10" s="1"/>
  <c r="C54" i="15"/>
  <c r="C54" i="10" s="1"/>
  <c r="D54" i="15"/>
  <c r="D54" i="10" s="1"/>
  <c r="E54" i="15"/>
  <c r="E54" i="10" s="1"/>
  <c r="F54" i="15"/>
  <c r="F54" i="10" s="1"/>
  <c r="D42" i="17" s="1"/>
  <c r="G54" i="15"/>
  <c r="G54" i="10" s="1"/>
  <c r="H54" i="15"/>
  <c r="H54" i="10" s="1"/>
  <c r="I54" i="15"/>
  <c r="I54" i="10" s="1"/>
  <c r="C55" i="15"/>
  <c r="C55" i="10" s="1"/>
  <c r="D55" i="15"/>
  <c r="D55" i="10" s="1"/>
  <c r="E55" i="15"/>
  <c r="E55" i="10" s="1"/>
  <c r="F55" i="15"/>
  <c r="F55" i="10" s="1"/>
  <c r="D43" i="17" s="1"/>
  <c r="G55" i="15"/>
  <c r="G55" i="10" s="1"/>
  <c r="H55" i="15"/>
  <c r="H55" i="10" s="1"/>
  <c r="I55" i="15"/>
  <c r="I55" i="10" s="1"/>
  <c r="C56" i="15"/>
  <c r="C56" i="10" s="1"/>
  <c r="D56" i="15"/>
  <c r="D56" i="10" s="1"/>
  <c r="E56" i="15"/>
  <c r="E56" i="10" s="1"/>
  <c r="F56" i="15"/>
  <c r="F56" i="10" s="1"/>
  <c r="D44" i="17" s="1"/>
  <c r="G56" i="15"/>
  <c r="G56" i="10" s="1"/>
  <c r="H56" i="15"/>
  <c r="H56" i="10" s="1"/>
  <c r="I56" i="15"/>
  <c r="I56" i="10" s="1"/>
  <c r="C57" i="15"/>
  <c r="C57" i="10" s="1"/>
  <c r="D57" i="15"/>
  <c r="D57" i="10" s="1"/>
  <c r="E57" i="15"/>
  <c r="E57" i="10" s="1"/>
  <c r="F57" i="15"/>
  <c r="F57" i="10" s="1"/>
  <c r="D45" i="17" s="1"/>
  <c r="G57" i="15"/>
  <c r="G57" i="10" s="1"/>
  <c r="H57" i="15"/>
  <c r="H57" i="10" s="1"/>
  <c r="I57" i="15"/>
  <c r="I57" i="10" s="1"/>
  <c r="C58" i="15"/>
  <c r="C58" i="10" s="1"/>
  <c r="D58" i="15"/>
  <c r="D58" i="10" s="1"/>
  <c r="E58" i="15"/>
  <c r="E58" i="10" s="1"/>
  <c r="F58" i="15"/>
  <c r="F58" i="10" s="1"/>
  <c r="D46" i="17" s="1"/>
  <c r="G58" i="15"/>
  <c r="G58" i="10" s="1"/>
  <c r="H58" i="15"/>
  <c r="H58" i="10" s="1"/>
  <c r="I58" i="15"/>
  <c r="I58" i="10" s="1"/>
  <c r="C59" i="15"/>
  <c r="C59" i="10" s="1"/>
  <c r="D59" i="15"/>
  <c r="D59" i="10" s="1"/>
  <c r="E59" i="15"/>
  <c r="E59" i="10" s="1"/>
  <c r="F59" i="15"/>
  <c r="F59" i="10" s="1"/>
  <c r="D47" i="17" s="1"/>
  <c r="G59" i="15"/>
  <c r="G59" i="10" s="1"/>
  <c r="H59" i="15"/>
  <c r="H59" i="10" s="1"/>
  <c r="I59" i="15"/>
  <c r="I59" i="10" s="1"/>
  <c r="C60" i="15"/>
  <c r="C60" i="10" s="1"/>
  <c r="D60" i="15"/>
  <c r="D60" i="10" s="1"/>
  <c r="E60" i="15"/>
  <c r="E60" i="10" s="1"/>
  <c r="F60" i="15"/>
  <c r="F60" i="10" s="1"/>
  <c r="G60" i="15"/>
  <c r="G60" i="10" s="1"/>
  <c r="H60" i="15"/>
  <c r="H60" i="10" s="1"/>
  <c r="I60" i="15"/>
  <c r="I60" i="10" s="1"/>
  <c r="C61" i="15"/>
  <c r="C61" i="10" s="1"/>
  <c r="D61" i="15"/>
  <c r="D61" i="10" s="1"/>
  <c r="E61" i="15"/>
  <c r="E61" i="10" s="1"/>
  <c r="F61" i="15"/>
  <c r="F61" i="10" s="1"/>
  <c r="G61" i="15"/>
  <c r="G61" i="10" s="1"/>
  <c r="H61" i="15"/>
  <c r="H61" i="10" s="1"/>
  <c r="I61" i="15"/>
  <c r="I61" i="10" s="1"/>
  <c r="I10" i="15"/>
  <c r="I10" i="10" s="1"/>
  <c r="H10" i="15"/>
  <c r="H10" i="10" s="1"/>
  <c r="G10" i="15"/>
  <c r="G10" i="10" s="1"/>
  <c r="F10" i="15"/>
  <c r="F10" i="10" s="1"/>
  <c r="D2" i="17" s="1"/>
  <c r="E10" i="15"/>
  <c r="E10" i="10" s="1"/>
  <c r="D10" i="15"/>
  <c r="D10" i="10" s="1"/>
  <c r="C10" i="15"/>
  <c r="C10" i="10" s="1"/>
  <c r="O26" i="16" l="1"/>
  <c r="O32" i="16" s="1"/>
  <c r="D23" i="15" s="1"/>
  <c r="D23" i="10" s="1"/>
  <c r="Q30" i="16"/>
  <c r="O30" i="16"/>
  <c r="N31" i="16"/>
  <c r="C22" i="15" s="1"/>
  <c r="C22" i="10" s="1"/>
  <c r="T30" i="16"/>
  <c r="R31" i="16"/>
  <c r="G22" i="15" s="1"/>
  <c r="G22" i="10" s="1"/>
  <c r="N26" i="16"/>
  <c r="Q31" i="16"/>
  <c r="F22" i="15" s="1"/>
  <c r="F22" i="10" s="1"/>
  <c r="D12" i="17" s="1"/>
  <c r="P26" i="16"/>
  <c r="P32" i="16" s="1"/>
  <c r="E23" i="15" s="1"/>
  <c r="E23" i="10" s="1"/>
  <c r="S31" i="16"/>
  <c r="H22" i="15" s="1"/>
  <c r="H22" i="10" s="1"/>
  <c r="C5" i="13"/>
  <c r="D5" i="13"/>
  <c r="E5" i="13"/>
  <c r="C6" i="13"/>
  <c r="D6" i="13"/>
  <c r="E6" i="13"/>
  <c r="C7" i="13"/>
  <c r="D7" i="13"/>
  <c r="E7" i="13"/>
  <c r="C8" i="13"/>
  <c r="D8" i="13"/>
  <c r="E8" i="13"/>
  <c r="C9" i="13"/>
  <c r="D9" i="13"/>
  <c r="E9" i="13"/>
  <c r="C10" i="13"/>
  <c r="D10" i="13"/>
  <c r="E10" i="13"/>
  <c r="C11" i="13"/>
  <c r="D11" i="13"/>
  <c r="E11" i="13"/>
  <c r="C12" i="13"/>
  <c r="D12" i="13"/>
  <c r="E12" i="13"/>
  <c r="C13" i="13"/>
  <c r="D13" i="13"/>
  <c r="E13" i="13"/>
  <c r="C14" i="13"/>
  <c r="D14" i="13"/>
  <c r="E14" i="13"/>
  <c r="C15" i="13"/>
  <c r="D15" i="13"/>
  <c r="E15" i="13"/>
  <c r="C16" i="13"/>
  <c r="D16" i="13"/>
  <c r="E16" i="13"/>
  <c r="C18" i="13"/>
  <c r="D18" i="13"/>
  <c r="E18" i="13"/>
  <c r="C19" i="13"/>
  <c r="D19" i="13"/>
  <c r="E19" i="13"/>
  <c r="C20" i="13"/>
  <c r="D20" i="13"/>
  <c r="E20" i="13"/>
  <c r="C21" i="13"/>
  <c r="D21" i="13"/>
  <c r="E21" i="13"/>
  <c r="C22" i="13"/>
  <c r="D22" i="13"/>
  <c r="E22" i="13"/>
  <c r="C23" i="13"/>
  <c r="D23" i="13"/>
  <c r="E23" i="13"/>
  <c r="C24" i="13"/>
  <c r="D24" i="13"/>
  <c r="E24" i="13"/>
  <c r="C25" i="13"/>
  <c r="D25" i="13"/>
  <c r="E25" i="13"/>
  <c r="C26" i="13"/>
  <c r="D26" i="13"/>
  <c r="E26" i="13"/>
  <c r="C27" i="13"/>
  <c r="D27" i="13"/>
  <c r="E27" i="13"/>
  <c r="C28" i="13"/>
  <c r="D28" i="13"/>
  <c r="E28" i="13"/>
  <c r="C29" i="13"/>
  <c r="D29" i="13"/>
  <c r="E29" i="13"/>
  <c r="C30" i="13"/>
  <c r="D30" i="13"/>
  <c r="E30" i="13"/>
  <c r="C31" i="13"/>
  <c r="D31" i="13"/>
  <c r="E31" i="13"/>
  <c r="C32" i="13"/>
  <c r="D32" i="13"/>
  <c r="E32" i="13"/>
  <c r="C33" i="13"/>
  <c r="D33" i="13"/>
  <c r="E33" i="13"/>
  <c r="C34" i="13"/>
  <c r="D34" i="13"/>
  <c r="E34" i="13"/>
  <c r="C35" i="13"/>
  <c r="D35" i="13"/>
  <c r="E35" i="13"/>
  <c r="C36" i="13"/>
  <c r="D36" i="13"/>
  <c r="E36" i="13"/>
  <c r="C37" i="13"/>
  <c r="D37" i="13"/>
  <c r="E37" i="13"/>
  <c r="C38" i="13"/>
  <c r="D38" i="13"/>
  <c r="E38" i="13"/>
  <c r="C39" i="13"/>
  <c r="D39" i="13"/>
  <c r="E39" i="13"/>
  <c r="C40" i="13"/>
  <c r="D40" i="13"/>
  <c r="E40" i="13"/>
  <c r="C41" i="13"/>
  <c r="D41" i="13"/>
  <c r="E41" i="13"/>
  <c r="C42" i="13"/>
  <c r="D42" i="13"/>
  <c r="E42" i="13"/>
  <c r="C43" i="13"/>
  <c r="D43" i="13"/>
  <c r="E43" i="13"/>
  <c r="C44" i="13"/>
  <c r="D44" i="13"/>
  <c r="E44" i="13"/>
  <c r="C45" i="13"/>
  <c r="D45" i="13"/>
  <c r="E45" i="13"/>
  <c r="C46" i="13"/>
  <c r="D46" i="13"/>
  <c r="E46" i="13"/>
  <c r="C47" i="13"/>
  <c r="D47" i="13"/>
  <c r="E47" i="13"/>
  <c r="C48" i="13"/>
  <c r="D48" i="13"/>
  <c r="E48" i="13"/>
  <c r="C49" i="13"/>
  <c r="D49" i="13"/>
  <c r="E49" i="13"/>
  <c r="C50" i="13"/>
  <c r="D50" i="13"/>
  <c r="E50" i="13"/>
  <c r="C51" i="13"/>
  <c r="D51" i="13"/>
  <c r="E51" i="13"/>
  <c r="C52" i="13"/>
  <c r="D52" i="13"/>
  <c r="E52" i="13"/>
  <c r="C53" i="13"/>
  <c r="D53" i="13"/>
  <c r="E53" i="13"/>
  <c r="C54" i="13"/>
  <c r="D54" i="13"/>
  <c r="E54" i="13"/>
  <c r="C55" i="13"/>
  <c r="D55" i="13"/>
  <c r="E55" i="13"/>
  <c r="E4" i="13"/>
  <c r="D4" i="13"/>
  <c r="C4" i="13"/>
  <c r="Q32" i="16" l="1"/>
  <c r="F23" i="15" s="1"/>
  <c r="F23" i="10" s="1"/>
  <c r="D13" i="17" s="1"/>
  <c r="N32" i="16"/>
  <c r="C23" i="15" s="1"/>
  <c r="C23" i="10" s="1"/>
  <c r="T32" i="16"/>
  <c r="I23" i="15" s="1"/>
  <c r="I23" i="10" s="1"/>
  <c r="R32" i="16"/>
  <c r="G23" i="15" s="1"/>
  <c r="G23" i="10" s="1"/>
  <c r="S32" i="16"/>
  <c r="H23" i="15" s="1"/>
  <c r="H23" i="10" s="1"/>
  <c r="H6" i="13"/>
  <c r="I6" i="13"/>
  <c r="H8" i="13"/>
  <c r="I8" i="13"/>
  <c r="H14" i="13"/>
  <c r="I14" i="13"/>
  <c r="I54" i="13"/>
  <c r="I4" i="13"/>
  <c r="H4" i="13"/>
  <c r="G4" i="13"/>
  <c r="F4" i="13"/>
  <c r="D2" i="12" s="1"/>
  <c r="T335" i="7"/>
  <c r="T336" i="7"/>
  <c r="T337" i="7"/>
  <c r="T338" i="7"/>
  <c r="T339" i="7"/>
  <c r="T340" i="7"/>
  <c r="T341" i="7"/>
  <c r="H24" i="13" s="1"/>
  <c r="T342" i="7"/>
  <c r="H54" i="13" s="1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34" i="7"/>
  <c r="F5" i="13" s="1"/>
  <c r="D3" i="12" s="1"/>
  <c r="I50" i="13" l="1"/>
  <c r="I36" i="13"/>
  <c r="I26" i="13"/>
  <c r="I16" i="13"/>
  <c r="H44" i="13"/>
  <c r="H36" i="13"/>
  <c r="H28" i="13"/>
  <c r="H22" i="13"/>
  <c r="H20" i="13"/>
  <c r="H18" i="13"/>
  <c r="H16" i="13"/>
  <c r="H12" i="13"/>
  <c r="G54" i="13"/>
  <c r="G52" i="13"/>
  <c r="G50" i="13"/>
  <c r="G48" i="13"/>
  <c r="G46" i="13"/>
  <c r="G44" i="13"/>
  <c r="G42" i="13"/>
  <c r="G40" i="13"/>
  <c r="G38" i="13"/>
  <c r="G36" i="13"/>
  <c r="G34" i="13"/>
  <c r="G32" i="13"/>
  <c r="G30" i="13"/>
  <c r="G28" i="13"/>
  <c r="G26" i="13"/>
  <c r="G24" i="13"/>
  <c r="G22" i="13"/>
  <c r="G20" i="13"/>
  <c r="G18" i="13"/>
  <c r="G16" i="13"/>
  <c r="G14" i="13"/>
  <c r="G12" i="13"/>
  <c r="G10" i="13"/>
  <c r="G8" i="13"/>
  <c r="G6" i="13"/>
  <c r="I48" i="13"/>
  <c r="I38" i="13"/>
  <c r="I28" i="13"/>
  <c r="H48" i="13"/>
  <c r="H38" i="13"/>
  <c r="H30" i="13"/>
  <c r="H10" i="13"/>
  <c r="F54" i="13"/>
  <c r="F52" i="13"/>
  <c r="D46" i="12" s="1"/>
  <c r="F50" i="13"/>
  <c r="D44" i="12" s="1"/>
  <c r="F48" i="13"/>
  <c r="D42" i="12" s="1"/>
  <c r="F46" i="13"/>
  <c r="D40" i="12" s="1"/>
  <c r="F44" i="13"/>
  <c r="D38" i="12" s="1"/>
  <c r="F42" i="13"/>
  <c r="D36" i="12" s="1"/>
  <c r="F40" i="13"/>
  <c r="D34" i="12" s="1"/>
  <c r="F38" i="13"/>
  <c r="D32" i="12" s="1"/>
  <c r="F36" i="13"/>
  <c r="F34" i="13"/>
  <c r="D29" i="12" s="1"/>
  <c r="F32" i="13"/>
  <c r="D27" i="12" s="1"/>
  <c r="F30" i="13"/>
  <c r="D25" i="12" s="1"/>
  <c r="F28" i="13"/>
  <c r="D23" i="12" s="1"/>
  <c r="F26" i="13"/>
  <c r="D21" i="12" s="1"/>
  <c r="F24" i="13"/>
  <c r="F22" i="13"/>
  <c r="D18" i="12" s="1"/>
  <c r="F20" i="13"/>
  <c r="D16" i="12" s="1"/>
  <c r="F18" i="13"/>
  <c r="D14" i="12" s="1"/>
  <c r="F16" i="13"/>
  <c r="D12" i="12" s="1"/>
  <c r="F14" i="13"/>
  <c r="F12" i="13"/>
  <c r="D10" i="12" s="1"/>
  <c r="F10" i="13"/>
  <c r="D8" i="12" s="1"/>
  <c r="F8" i="13"/>
  <c r="D6" i="12" s="1"/>
  <c r="F6" i="13"/>
  <c r="D4" i="12" s="1"/>
  <c r="I42" i="13"/>
  <c r="I32" i="13"/>
  <c r="I20" i="13"/>
  <c r="H52" i="13"/>
  <c r="H42" i="13"/>
  <c r="H26" i="13"/>
  <c r="I55" i="13"/>
  <c r="I53" i="13"/>
  <c r="I51" i="13"/>
  <c r="I49" i="13"/>
  <c r="I47" i="13"/>
  <c r="I45" i="13"/>
  <c r="I43" i="13"/>
  <c r="I41" i="13"/>
  <c r="I39" i="13"/>
  <c r="I37" i="13"/>
  <c r="I35" i="13"/>
  <c r="I33" i="13"/>
  <c r="I31" i="13"/>
  <c r="I29" i="13"/>
  <c r="I27" i="13"/>
  <c r="I25" i="13"/>
  <c r="I23" i="13"/>
  <c r="I21" i="13"/>
  <c r="I19" i="13"/>
  <c r="I15" i="13"/>
  <c r="I13" i="13"/>
  <c r="I11" i="13"/>
  <c r="I9" i="13"/>
  <c r="I7" i="13"/>
  <c r="I5" i="13"/>
  <c r="I44" i="13"/>
  <c r="I30" i="13"/>
  <c r="I18" i="13"/>
  <c r="I12" i="13"/>
  <c r="H50" i="13"/>
  <c r="H34" i="13"/>
  <c r="H55" i="13"/>
  <c r="H53" i="13"/>
  <c r="H51" i="13"/>
  <c r="H49" i="13"/>
  <c r="H47" i="13"/>
  <c r="H45" i="13"/>
  <c r="H43" i="13"/>
  <c r="H41" i="13"/>
  <c r="H39" i="13"/>
  <c r="H37" i="13"/>
  <c r="H35" i="13"/>
  <c r="H33" i="13"/>
  <c r="H31" i="13"/>
  <c r="H29" i="13"/>
  <c r="H27" i="13"/>
  <c r="H25" i="13"/>
  <c r="H23" i="13"/>
  <c r="H21" i="13"/>
  <c r="H19" i="13"/>
  <c r="H15" i="13"/>
  <c r="H13" i="13"/>
  <c r="H11" i="13"/>
  <c r="H9" i="13"/>
  <c r="H7" i="13"/>
  <c r="H5" i="13"/>
  <c r="I46" i="13"/>
  <c r="I34" i="13"/>
  <c r="I22" i="13"/>
  <c r="H46" i="13"/>
  <c r="H32" i="13"/>
  <c r="G55" i="13"/>
  <c r="G53" i="13"/>
  <c r="G51" i="13"/>
  <c r="G49" i="13"/>
  <c r="G47" i="13"/>
  <c r="G45" i="13"/>
  <c r="G43" i="13"/>
  <c r="G41" i="13"/>
  <c r="G39" i="13"/>
  <c r="G37" i="13"/>
  <c r="G35" i="13"/>
  <c r="G33" i="13"/>
  <c r="G31" i="13"/>
  <c r="G29" i="13"/>
  <c r="G27" i="13"/>
  <c r="G25" i="13"/>
  <c r="G23" i="13"/>
  <c r="G21" i="13"/>
  <c r="G19" i="13"/>
  <c r="G15" i="13"/>
  <c r="G13" i="13"/>
  <c r="G11" i="13"/>
  <c r="G9" i="13"/>
  <c r="G7" i="13"/>
  <c r="G5" i="13"/>
  <c r="I52" i="13"/>
  <c r="I40" i="13"/>
  <c r="I24" i="13"/>
  <c r="I10" i="13"/>
  <c r="H40" i="13"/>
  <c r="F55" i="13"/>
  <c r="I2" i="12" s="1"/>
  <c r="F53" i="13"/>
  <c r="D47" i="12" s="1"/>
  <c r="F51" i="13"/>
  <c r="D45" i="12" s="1"/>
  <c r="F49" i="13"/>
  <c r="D43" i="12" s="1"/>
  <c r="F47" i="13"/>
  <c r="D41" i="12" s="1"/>
  <c r="F45" i="13"/>
  <c r="D39" i="12" s="1"/>
  <c r="F43" i="13"/>
  <c r="D37" i="12" s="1"/>
  <c r="F41" i="13"/>
  <c r="D35" i="12" s="1"/>
  <c r="F39" i="13"/>
  <c r="D33" i="12" s="1"/>
  <c r="F37" i="13"/>
  <c r="D31" i="12" s="1"/>
  <c r="F35" i="13"/>
  <c r="D30" i="12" s="1"/>
  <c r="F33" i="13"/>
  <c r="D28" i="12" s="1"/>
  <c r="F31" i="13"/>
  <c r="D26" i="12" s="1"/>
  <c r="F29" i="13"/>
  <c r="D24" i="12" s="1"/>
  <c r="F27" i="13"/>
  <c r="D22" i="12" s="1"/>
  <c r="F25" i="13"/>
  <c r="D20" i="12" s="1"/>
  <c r="F23" i="13"/>
  <c r="D19" i="12" s="1"/>
  <c r="F21" i="13"/>
  <c r="D17" i="12" s="1"/>
  <c r="F19" i="13"/>
  <c r="D15" i="12" s="1"/>
  <c r="F15" i="13"/>
  <c r="I3" i="12" s="1"/>
  <c r="F13" i="13"/>
  <c r="D11" i="12" s="1"/>
  <c r="F11" i="13"/>
  <c r="D9" i="12" s="1"/>
  <c r="F9" i="13"/>
  <c r="D7" i="12" s="1"/>
  <c r="F7" i="13"/>
  <c r="D5" i="12" s="1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34" i="7"/>
  <c r="R72" i="2" l="1"/>
  <c r="Q72" i="2"/>
  <c r="P72" i="2"/>
  <c r="S72" i="2"/>
  <c r="S71" i="2"/>
  <c r="R71" i="2"/>
  <c r="Q71" i="2"/>
  <c r="P71" i="2"/>
  <c r="O71" i="2"/>
  <c r="R70" i="2"/>
  <c r="Q70" i="2"/>
  <c r="P70" i="2"/>
  <c r="S70" i="2" s="1"/>
  <c r="O70" i="2"/>
  <c r="R69" i="2"/>
  <c r="Q69" i="2"/>
  <c r="P69" i="2"/>
  <c r="O69" i="2"/>
  <c r="S69" i="2" s="1"/>
  <c r="R68" i="2"/>
  <c r="S68" i="2" s="1"/>
  <c r="Q68" i="2"/>
  <c r="P68" i="2"/>
  <c r="O68" i="2"/>
  <c r="R67" i="2"/>
  <c r="Q67" i="2"/>
  <c r="P67" i="2"/>
  <c r="O67" i="2"/>
  <c r="S67" i="2" s="1"/>
  <c r="R66" i="2"/>
  <c r="Q66" i="2"/>
  <c r="P66" i="2"/>
  <c r="O66" i="2"/>
  <c r="S66" i="2" s="1"/>
  <c r="R65" i="2"/>
  <c r="Q65" i="2"/>
  <c r="S65" i="2" s="1"/>
  <c r="P65" i="2"/>
  <c r="O65" i="2"/>
  <c r="R64" i="2"/>
  <c r="Q64" i="2"/>
  <c r="P64" i="2"/>
  <c r="O64" i="2"/>
  <c r="S64" i="2" s="1"/>
  <c r="S63" i="2"/>
  <c r="R63" i="2"/>
  <c r="Q63" i="2"/>
  <c r="P63" i="2"/>
  <c r="O63" i="2"/>
  <c r="R62" i="2"/>
  <c r="Q62" i="2"/>
  <c r="P62" i="2"/>
  <c r="S62" i="2" s="1"/>
  <c r="O62" i="2"/>
  <c r="R61" i="2"/>
  <c r="Q61" i="2"/>
  <c r="P61" i="2"/>
  <c r="O61" i="2"/>
  <c r="S61" i="2" s="1"/>
  <c r="R60" i="2"/>
  <c r="S60" i="2" s="1"/>
  <c r="Q60" i="2"/>
  <c r="P60" i="2"/>
  <c r="O60" i="2"/>
  <c r="R59" i="2"/>
  <c r="Q59" i="2"/>
  <c r="P59" i="2"/>
  <c r="O59" i="2"/>
  <c r="S59" i="2" s="1"/>
  <c r="R58" i="2"/>
  <c r="Q58" i="2"/>
  <c r="P58" i="2"/>
  <c r="O58" i="2"/>
  <c r="S58" i="2" s="1"/>
  <c r="R57" i="2"/>
  <c r="Q57" i="2"/>
  <c r="S57" i="2" s="1"/>
  <c r="P57" i="2"/>
  <c r="O57" i="2"/>
  <c r="R56" i="2"/>
  <c r="Q56" i="2"/>
  <c r="P56" i="2"/>
  <c r="O56" i="2"/>
  <c r="S56" i="2" s="1"/>
  <c r="S55" i="2"/>
  <c r="R55" i="2"/>
  <c r="Q55" i="2"/>
  <c r="P55" i="2"/>
  <c r="O55" i="2"/>
  <c r="R54" i="2"/>
  <c r="Q54" i="2"/>
  <c r="P54" i="2"/>
  <c r="S54" i="2" s="1"/>
  <c r="O54" i="2"/>
  <c r="R53" i="2"/>
  <c r="Q53" i="2"/>
  <c r="P53" i="2"/>
  <c r="O53" i="2"/>
  <c r="S53" i="2" s="1"/>
  <c r="R52" i="2"/>
  <c r="S52" i="2" s="1"/>
  <c r="Q52" i="2"/>
  <c r="P52" i="2"/>
  <c r="O52" i="2"/>
  <c r="R51" i="2"/>
  <c r="Q51" i="2"/>
  <c r="P51" i="2"/>
  <c r="O51" i="2"/>
  <c r="S51" i="2" s="1"/>
  <c r="R50" i="2"/>
  <c r="Q50" i="2"/>
  <c r="P50" i="2"/>
  <c r="O50" i="2"/>
  <c r="S50" i="2" s="1"/>
  <c r="R49" i="2"/>
  <c r="Q49" i="2"/>
  <c r="S49" i="2" s="1"/>
  <c r="P49" i="2"/>
  <c r="O49" i="2"/>
  <c r="R48" i="2"/>
  <c r="Q48" i="2"/>
  <c r="P48" i="2"/>
  <c r="O48" i="2"/>
  <c r="S48" i="2" s="1"/>
  <c r="S47" i="2"/>
  <c r="R47" i="2"/>
  <c r="Q47" i="2"/>
  <c r="P47" i="2"/>
  <c r="O47" i="2"/>
  <c r="R46" i="2"/>
  <c r="Q46" i="2"/>
  <c r="P46" i="2"/>
  <c r="S46" i="2" s="1"/>
  <c r="O46" i="2"/>
  <c r="R45" i="2"/>
  <c r="Q45" i="2"/>
  <c r="P45" i="2"/>
  <c r="O45" i="2"/>
  <c r="S45" i="2" s="1"/>
  <c r="R44" i="2"/>
  <c r="S44" i="2" s="1"/>
  <c r="Q44" i="2"/>
  <c r="P44" i="2"/>
  <c r="O44" i="2"/>
  <c r="R43" i="2"/>
  <c r="Q43" i="2"/>
  <c r="P43" i="2"/>
  <c r="O43" i="2"/>
  <c r="S43" i="2" s="1"/>
  <c r="R42" i="2"/>
  <c r="Q42" i="2"/>
  <c r="P42" i="2"/>
  <c r="O42" i="2"/>
  <c r="S42" i="2" s="1"/>
  <c r="R41" i="2"/>
  <c r="Q41" i="2"/>
  <c r="S41" i="2" s="1"/>
  <c r="P41" i="2"/>
  <c r="O41" i="2"/>
  <c r="R40" i="2"/>
  <c r="Q40" i="2"/>
  <c r="P40" i="2"/>
  <c r="O40" i="2"/>
  <c r="S40" i="2" s="1"/>
  <c r="S39" i="2"/>
  <c r="R39" i="2"/>
  <c r="Q39" i="2"/>
  <c r="P39" i="2"/>
  <c r="O39" i="2"/>
  <c r="R38" i="2"/>
  <c r="Q38" i="2"/>
  <c r="P38" i="2"/>
  <c r="S38" i="2" s="1"/>
  <c r="O38" i="2"/>
  <c r="R37" i="2"/>
  <c r="Q37" i="2"/>
  <c r="P37" i="2"/>
  <c r="O37" i="2"/>
  <c r="S37" i="2" s="1"/>
  <c r="R36" i="2"/>
  <c r="S36" i="2" s="1"/>
  <c r="Q36" i="2"/>
  <c r="P36" i="2"/>
  <c r="O36" i="2"/>
  <c r="R35" i="2"/>
  <c r="Q35" i="2"/>
  <c r="P35" i="2"/>
  <c r="O35" i="2"/>
  <c r="S35" i="2" s="1"/>
  <c r="N34" i="2"/>
  <c r="R34" i="2" s="1"/>
  <c r="M34" i="2"/>
  <c r="O34" i="2" s="1"/>
  <c r="L34" i="2"/>
  <c r="P34" i="2" s="1"/>
  <c r="K34" i="2"/>
  <c r="Q34" i="2" s="1"/>
  <c r="J34" i="2"/>
  <c r="I34" i="2"/>
  <c r="H34" i="2"/>
  <c r="G34" i="2"/>
  <c r="F34" i="2"/>
  <c r="E34" i="2"/>
  <c r="D34" i="2"/>
  <c r="C34" i="2"/>
  <c r="B34" i="2"/>
  <c r="R33" i="2"/>
  <c r="Q33" i="2"/>
  <c r="P33" i="2"/>
  <c r="O33" i="2"/>
  <c r="S33" i="2" s="1"/>
  <c r="S32" i="2"/>
  <c r="R32" i="2"/>
  <c r="Q32" i="2"/>
  <c r="P32" i="2"/>
  <c r="O32" i="2"/>
  <c r="R31" i="2"/>
  <c r="Q31" i="2"/>
  <c r="P31" i="2"/>
  <c r="S31" i="2" s="1"/>
  <c r="O31" i="2"/>
  <c r="R30" i="2"/>
  <c r="Q30" i="2"/>
  <c r="P30" i="2"/>
  <c r="O30" i="2"/>
  <c r="S30" i="2" s="1"/>
  <c r="R29" i="2"/>
  <c r="S29" i="2" s="1"/>
  <c r="Q29" i="2"/>
  <c r="P29" i="2"/>
  <c r="O29" i="2"/>
  <c r="R28" i="2"/>
  <c r="Q28" i="2"/>
  <c r="P28" i="2"/>
  <c r="O28" i="2"/>
  <c r="S28" i="2" s="1"/>
  <c r="R27" i="2"/>
  <c r="Q27" i="2"/>
  <c r="P27" i="2"/>
  <c r="O27" i="2"/>
  <c r="S27" i="2" s="1"/>
  <c r="R26" i="2"/>
  <c r="Q26" i="2"/>
  <c r="S26" i="2" s="1"/>
  <c r="P26" i="2"/>
  <c r="O26" i="2"/>
  <c r="R25" i="2"/>
  <c r="Q25" i="2"/>
  <c r="P25" i="2"/>
  <c r="O25" i="2"/>
  <c r="S25" i="2" s="1"/>
  <c r="S24" i="2"/>
  <c r="R24" i="2"/>
  <c r="Q24" i="2"/>
  <c r="P24" i="2"/>
  <c r="O24" i="2"/>
  <c r="R23" i="2"/>
  <c r="Q23" i="2"/>
  <c r="P23" i="2"/>
  <c r="S23" i="2" s="1"/>
  <c r="O23" i="2"/>
  <c r="R22" i="2"/>
  <c r="Q22" i="2"/>
  <c r="P22" i="2"/>
  <c r="O22" i="2"/>
  <c r="S22" i="2" s="1"/>
  <c r="R21" i="2"/>
  <c r="S21" i="2" s="1"/>
  <c r="Q21" i="2"/>
  <c r="P21" i="2"/>
  <c r="E18" i="3"/>
  <c r="D18" i="3"/>
  <c r="C18" i="3"/>
  <c r="Y349" i="7"/>
  <c r="I17" i="13" s="1"/>
  <c r="Q349" i="7"/>
  <c r="P349" i="7"/>
  <c r="X349" i="7" s="1"/>
  <c r="F17" i="13" s="1"/>
  <c r="D13" i="12" s="1"/>
  <c r="O349" i="7"/>
  <c r="W349" i="7" s="1"/>
  <c r="G17" i="13" s="1"/>
  <c r="N349" i="7"/>
  <c r="V349" i="7" s="1"/>
  <c r="M349" i="7"/>
  <c r="E17" i="13" s="1"/>
  <c r="L349" i="7"/>
  <c r="D17" i="13" s="1"/>
  <c r="K349" i="7"/>
  <c r="C17" i="13" s="1"/>
  <c r="J349" i="7"/>
  <c r="I349" i="7"/>
  <c r="H349" i="7"/>
  <c r="G349" i="7"/>
  <c r="F349" i="7"/>
  <c r="E349" i="7"/>
  <c r="R318" i="7"/>
  <c r="Y318" i="7" s="1"/>
  <c r="R312" i="7"/>
  <c r="Y312" i="7" s="1"/>
  <c r="Y306" i="7"/>
  <c r="X306" i="7"/>
  <c r="W306" i="7"/>
  <c r="R306" i="7"/>
  <c r="V306" i="7" s="1"/>
  <c r="Z306" i="7" s="1"/>
  <c r="Y300" i="7"/>
  <c r="X300" i="7"/>
  <c r="Z300" i="7" s="1"/>
  <c r="W300" i="7"/>
  <c r="V300" i="7"/>
  <c r="R300" i="7"/>
  <c r="S300" i="7" s="1"/>
  <c r="Y294" i="7"/>
  <c r="X294" i="7"/>
  <c r="W294" i="7"/>
  <c r="V294" i="7"/>
  <c r="Z294" i="7" s="1"/>
  <c r="S294" i="7"/>
  <c r="R294" i="7"/>
  <c r="X288" i="7"/>
  <c r="W288" i="7"/>
  <c r="V288" i="7"/>
  <c r="R288" i="7"/>
  <c r="S288" i="7" s="1"/>
  <c r="W282" i="7"/>
  <c r="V282" i="7"/>
  <c r="S282" i="7"/>
  <c r="R282" i="7"/>
  <c r="Y282" i="7" s="1"/>
  <c r="R276" i="7"/>
  <c r="S276" i="7" s="1"/>
  <c r="R270" i="7"/>
  <c r="Y270" i="7" s="1"/>
  <c r="R264" i="7"/>
  <c r="Y264" i="7" s="1"/>
  <c r="Y258" i="7"/>
  <c r="X258" i="7"/>
  <c r="W258" i="7"/>
  <c r="R258" i="7"/>
  <c r="V258" i="7" s="1"/>
  <c r="Z258" i="7" s="1"/>
  <c r="Y252" i="7"/>
  <c r="X252" i="7"/>
  <c r="Z252" i="7" s="1"/>
  <c r="W252" i="7"/>
  <c r="V252" i="7"/>
  <c r="R252" i="7"/>
  <c r="S252" i="7" s="1"/>
  <c r="Y246" i="7"/>
  <c r="X246" i="7"/>
  <c r="W246" i="7"/>
  <c r="V246" i="7"/>
  <c r="Z246" i="7" s="1"/>
  <c r="S246" i="7"/>
  <c r="R246" i="7"/>
  <c r="X240" i="7"/>
  <c r="W240" i="7"/>
  <c r="V240" i="7"/>
  <c r="R240" i="7"/>
  <c r="S240" i="7" s="1"/>
  <c r="W234" i="7"/>
  <c r="V234" i="7"/>
  <c r="S234" i="7"/>
  <c r="R234" i="7"/>
  <c r="Y234" i="7" s="1"/>
  <c r="R228" i="7"/>
  <c r="S228" i="7" s="1"/>
  <c r="R222" i="7"/>
  <c r="Y222" i="7" s="1"/>
  <c r="R216" i="7"/>
  <c r="Y216" i="7" s="1"/>
  <c r="Y210" i="7"/>
  <c r="X210" i="7"/>
  <c r="W210" i="7"/>
  <c r="R210" i="7"/>
  <c r="V210" i="7" s="1"/>
  <c r="Z210" i="7" s="1"/>
  <c r="Y204" i="7"/>
  <c r="X204" i="7"/>
  <c r="Z204" i="7" s="1"/>
  <c r="W204" i="7"/>
  <c r="V204" i="7"/>
  <c r="R204" i="7"/>
  <c r="S204" i="7" s="1"/>
  <c r="Y198" i="7"/>
  <c r="X198" i="7"/>
  <c r="W198" i="7"/>
  <c r="V198" i="7"/>
  <c r="Z198" i="7" s="1"/>
  <c r="S198" i="7"/>
  <c r="R198" i="7"/>
  <c r="X192" i="7"/>
  <c r="W192" i="7"/>
  <c r="V192" i="7"/>
  <c r="R192" i="7"/>
  <c r="S192" i="7" s="1"/>
  <c r="W186" i="7"/>
  <c r="V186" i="7"/>
  <c r="S186" i="7"/>
  <c r="R186" i="7"/>
  <c r="Y186" i="7" s="1"/>
  <c r="R180" i="7"/>
  <c r="S180" i="7" s="1"/>
  <c r="R174" i="7"/>
  <c r="Y174" i="7" s="1"/>
  <c r="R168" i="7"/>
  <c r="Y168" i="7" s="1"/>
  <c r="Y162" i="7"/>
  <c r="X162" i="7"/>
  <c r="W162" i="7"/>
  <c r="R162" i="7"/>
  <c r="V162" i="7" s="1"/>
  <c r="Z162" i="7" s="1"/>
  <c r="Y156" i="7"/>
  <c r="X156" i="7"/>
  <c r="V156" i="7"/>
  <c r="R156" i="7"/>
  <c r="W156" i="7" s="1"/>
  <c r="Z156" i="7" s="1"/>
  <c r="Y150" i="7"/>
  <c r="X150" i="7"/>
  <c r="W150" i="7"/>
  <c r="S150" i="7"/>
  <c r="R150" i="7"/>
  <c r="V150" i="7" s="1"/>
  <c r="Z150" i="7" s="1"/>
  <c r="X144" i="7"/>
  <c r="W144" i="7"/>
  <c r="V144" i="7"/>
  <c r="R144" i="7"/>
  <c r="S144" i="7" s="1"/>
  <c r="W138" i="7"/>
  <c r="V138" i="7"/>
  <c r="S138" i="7"/>
  <c r="R138" i="7"/>
  <c r="Y138" i="7" s="1"/>
  <c r="R132" i="7"/>
  <c r="Y132" i="7" s="1"/>
  <c r="R126" i="7"/>
  <c r="Y126" i="7" s="1"/>
  <c r="R120" i="7"/>
  <c r="Y120" i="7" s="1"/>
  <c r="Y114" i="7"/>
  <c r="W114" i="7"/>
  <c r="R114" i="7"/>
  <c r="X114" i="7" s="1"/>
  <c r="Y108" i="7"/>
  <c r="X108" i="7"/>
  <c r="V108" i="7"/>
  <c r="R108" i="7"/>
  <c r="W108" i="7" s="1"/>
  <c r="Z108" i="7" s="1"/>
  <c r="Y102" i="7"/>
  <c r="X102" i="7"/>
  <c r="W102" i="7"/>
  <c r="S102" i="7"/>
  <c r="R102" i="7"/>
  <c r="V102" i="7" s="1"/>
  <c r="Z102" i="7" s="1"/>
  <c r="X96" i="7"/>
  <c r="W96" i="7"/>
  <c r="V96" i="7"/>
  <c r="R96" i="7"/>
  <c r="S96" i="7" s="1"/>
  <c r="X90" i="7"/>
  <c r="W90" i="7"/>
  <c r="V90" i="7"/>
  <c r="S90" i="7"/>
  <c r="R90" i="7"/>
  <c r="Y90" i="7" s="1"/>
  <c r="R84" i="7"/>
  <c r="Y84" i="7" s="1"/>
  <c r="R78" i="7"/>
  <c r="Y78" i="7" s="1"/>
  <c r="R72" i="7"/>
  <c r="Y72" i="7" s="1"/>
  <c r="Y66" i="7"/>
  <c r="W66" i="7"/>
  <c r="R66" i="7"/>
  <c r="X66" i="7" s="1"/>
  <c r="Y60" i="7"/>
  <c r="X60" i="7"/>
  <c r="V60" i="7"/>
  <c r="R60" i="7"/>
  <c r="W60" i="7" s="1"/>
  <c r="Z60" i="7" s="1"/>
  <c r="Y54" i="7"/>
  <c r="X54" i="7"/>
  <c r="W54" i="7"/>
  <c r="S54" i="7"/>
  <c r="R54" i="7"/>
  <c r="V54" i="7" s="1"/>
  <c r="Z54" i="7" s="1"/>
  <c r="X48" i="7"/>
  <c r="W48" i="7"/>
  <c r="V48" i="7"/>
  <c r="R48" i="7"/>
  <c r="S48" i="7" s="1"/>
  <c r="Y42" i="7"/>
  <c r="X42" i="7"/>
  <c r="W42" i="7"/>
  <c r="V42" i="7"/>
  <c r="Z42" i="7" s="1"/>
  <c r="S42" i="7"/>
  <c r="R42" i="7"/>
  <c r="R36" i="7"/>
  <c r="Y36" i="7" s="1"/>
  <c r="R30" i="7"/>
  <c r="Y30" i="7" s="1"/>
  <c r="R24" i="7"/>
  <c r="Y24" i="7" s="1"/>
  <c r="Y18" i="7"/>
  <c r="W18" i="7"/>
  <c r="R18" i="7"/>
  <c r="X18" i="7" s="1"/>
  <c r="S34" i="2" l="1"/>
  <c r="H8" i="12"/>
  <c r="H7" i="12"/>
  <c r="Z90" i="7"/>
  <c r="Z96" i="7"/>
  <c r="H17" i="13"/>
  <c r="Z349" i="7"/>
  <c r="Z48" i="7"/>
  <c r="Z186" i="7"/>
  <c r="S84" i="7"/>
  <c r="V36" i="7"/>
  <c r="S174" i="7"/>
  <c r="V180" i="7"/>
  <c r="S222" i="7"/>
  <c r="V228" i="7"/>
  <c r="S270" i="7"/>
  <c r="V276" i="7"/>
  <c r="S318" i="7"/>
  <c r="S126" i="7"/>
  <c r="V30" i="7"/>
  <c r="W36" i="7"/>
  <c r="Y48" i="7"/>
  <c r="S72" i="7"/>
  <c r="V78" i="7"/>
  <c r="W84" i="7"/>
  <c r="Y96" i="7"/>
  <c r="S120" i="7"/>
  <c r="V126" i="7"/>
  <c r="W132" i="7"/>
  <c r="X138" i="7"/>
  <c r="Z138" i="7" s="1"/>
  <c r="Y144" i="7"/>
  <c r="Z144" i="7" s="1"/>
  <c r="S168" i="7"/>
  <c r="V174" i="7"/>
  <c r="W180" i="7"/>
  <c r="X186" i="7"/>
  <c r="Y192" i="7"/>
  <c r="Z192" i="7" s="1"/>
  <c r="S216" i="7"/>
  <c r="V222" i="7"/>
  <c r="W228" i="7"/>
  <c r="X234" i="7"/>
  <c r="Z234" i="7" s="1"/>
  <c r="Y240" i="7"/>
  <c r="Z240" i="7" s="1"/>
  <c r="S264" i="7"/>
  <c r="V270" i="7"/>
  <c r="W276" i="7"/>
  <c r="X282" i="7"/>
  <c r="Z282" i="7" s="1"/>
  <c r="Y288" i="7"/>
  <c r="Z288" i="7" s="1"/>
  <c r="S312" i="7"/>
  <c r="V318" i="7"/>
  <c r="Z318" i="7" s="1"/>
  <c r="S36" i="7"/>
  <c r="S132" i="7"/>
  <c r="S30" i="7"/>
  <c r="V84" i="7"/>
  <c r="V24" i="7"/>
  <c r="W30" i="7"/>
  <c r="X36" i="7"/>
  <c r="S66" i="7"/>
  <c r="V72" i="7"/>
  <c r="W78" i="7"/>
  <c r="X84" i="7"/>
  <c r="S114" i="7"/>
  <c r="V120" i="7"/>
  <c r="W126" i="7"/>
  <c r="X132" i="7"/>
  <c r="S162" i="7"/>
  <c r="V168" i="7"/>
  <c r="W174" i="7"/>
  <c r="X180" i="7"/>
  <c r="S210" i="7"/>
  <c r="V216" i="7"/>
  <c r="W222" i="7"/>
  <c r="X228" i="7"/>
  <c r="S258" i="7"/>
  <c r="V264" i="7"/>
  <c r="W270" i="7"/>
  <c r="X276" i="7"/>
  <c r="S306" i="7"/>
  <c r="V312" i="7"/>
  <c r="W318" i="7"/>
  <c r="S78" i="7"/>
  <c r="V132" i="7"/>
  <c r="Z132" i="7" s="1"/>
  <c r="S24" i="7"/>
  <c r="V18" i="7"/>
  <c r="Z18" i="7" s="1"/>
  <c r="W24" i="7"/>
  <c r="X30" i="7"/>
  <c r="S60" i="7"/>
  <c r="V66" i="7"/>
  <c r="Z66" i="7" s="1"/>
  <c r="W72" i="7"/>
  <c r="X78" i="7"/>
  <c r="S108" i="7"/>
  <c r="V114" i="7"/>
  <c r="Z114" i="7" s="1"/>
  <c r="W120" i="7"/>
  <c r="X126" i="7"/>
  <c r="S156" i="7"/>
  <c r="W168" i="7"/>
  <c r="X174" i="7"/>
  <c r="Y180" i="7"/>
  <c r="W216" i="7"/>
  <c r="X222" i="7"/>
  <c r="Y228" i="7"/>
  <c r="W264" i="7"/>
  <c r="X270" i="7"/>
  <c r="Y276" i="7"/>
  <c r="W312" i="7"/>
  <c r="X318" i="7"/>
  <c r="X24" i="7"/>
  <c r="X72" i="7"/>
  <c r="X120" i="7"/>
  <c r="X168" i="7"/>
  <c r="X216" i="7"/>
  <c r="X264" i="7"/>
  <c r="X312" i="7"/>
  <c r="Z264" i="7" l="1"/>
  <c r="Z168" i="7"/>
  <c r="Z72" i="7"/>
  <c r="Z174" i="7"/>
  <c r="Z276" i="7"/>
  <c r="Z78" i="7"/>
  <c r="Z228" i="7"/>
  <c r="Z222" i="7"/>
  <c r="Z312" i="7"/>
  <c r="Z216" i="7"/>
  <c r="Z120" i="7"/>
  <c r="Z24" i="7"/>
  <c r="Z180" i="7"/>
  <c r="Z84" i="7"/>
  <c r="Z126" i="7"/>
  <c r="Z30" i="7"/>
  <c r="Z270" i="7"/>
  <c r="Z36" i="7"/>
</calcChain>
</file>

<file path=xl/sharedStrings.xml><?xml version="1.0" encoding="utf-8"?>
<sst xmlns="http://schemas.openxmlformats.org/spreadsheetml/2006/main" count="25226" uniqueCount="3588">
  <si>
    <t>© Landesamt fü</t>
  </si>
  <si>
    <t>r Statistik Niedersachsen, 2018.</t>
  </si>
  <si>
    <t>Vervielfältigung und Verbreitung, auch auszugsweise, mit Quellenangabe gestattet.</t>
  </si>
  <si>
    <t/>
  </si>
  <si>
    <t>LSN-Online: Tabelle K70I5520</t>
  </si>
  <si>
    <t>Sozialversicherungspflichtig Beschäftigte am Arbeitsort in Niedersachsen (Gebietsstand: 1.11.2016)</t>
  </si>
  <si>
    <t xml:space="preserve"> </t>
  </si>
  <si>
    <t>Beschäftigungsumfang: Insgesamt*</t>
  </si>
  <si>
    <t>30.06.2017*</t>
  </si>
  <si>
    <t>Wichtiger Hinweis in der 'Zusatz-Info'.</t>
  </si>
  <si>
    <t>Niedersachsen
Statistische Region*
Kreis*, Große Stadt*
Gemeinde (SvB 10.000+)
-------------
Berufsabschluss</t>
  </si>
  <si>
    <t>Beschäftigte am Arbeitsort</t>
  </si>
  <si>
    <t>insgesamt</t>
  </si>
  <si>
    <t>dar. Deutsche</t>
  </si>
  <si>
    <t>dar. Ausländer</t>
  </si>
  <si>
    <t>insg.</t>
  </si>
  <si>
    <t>männl.</t>
  </si>
  <si>
    <t>weibl.</t>
  </si>
  <si>
    <t>1</t>
  </si>
  <si>
    <t>2</t>
  </si>
  <si>
    <t>3</t>
  </si>
  <si>
    <t>4</t>
  </si>
  <si>
    <t>5</t>
  </si>
  <si>
    <t>6</t>
  </si>
  <si>
    <t>7</t>
  </si>
  <si>
    <t>8</t>
  </si>
  <si>
    <t>9</t>
  </si>
  <si>
    <t xml:space="preserve">0       Niedersachsen            </t>
  </si>
  <si>
    <t>Insgesamt</t>
  </si>
  <si>
    <t xml:space="preserve"> ohne beruflichen Ausbildungsabschluss</t>
  </si>
  <si>
    <t xml:space="preserve"> mit anerkanntem Berufsabschluss</t>
  </si>
  <si>
    <t xml:space="preserve"> mit akademischem Berufsabschluss</t>
  </si>
  <si>
    <t xml:space="preserve"> Ausbildung unbekannt</t>
  </si>
  <si>
    <t xml:space="preserve">1       Braunschweig             </t>
  </si>
  <si>
    <t xml:space="preserve">101     Braunschweig,Stadt       </t>
  </si>
  <si>
    <t xml:space="preserve">102     Salzgitter,Stadt         </t>
  </si>
  <si>
    <t xml:space="preserve">103     Wolfsburg,Stadt          </t>
  </si>
  <si>
    <t xml:space="preserve">151     Gifhorn                  </t>
  </si>
  <si>
    <t xml:space="preserve">153     Goslar                   </t>
  </si>
  <si>
    <t xml:space="preserve">154     Helmstedt                </t>
  </si>
  <si>
    <t xml:space="preserve">155     Northeim                 </t>
  </si>
  <si>
    <t xml:space="preserve">157     Peine                    </t>
  </si>
  <si>
    <t xml:space="preserve">158     Wolfenbüttel             </t>
  </si>
  <si>
    <t xml:space="preserve">159     Göttingen                </t>
  </si>
  <si>
    <t xml:space="preserve">2       Hannover                 </t>
  </si>
  <si>
    <t xml:space="preserve">241     Hannover,Region          </t>
  </si>
  <si>
    <t>241001  Hannover,Landeshauptstadt</t>
  </si>
  <si>
    <t xml:space="preserve">251     Diepholz                 </t>
  </si>
  <si>
    <t xml:space="preserve">252     Hameln-Pyrmont           </t>
  </si>
  <si>
    <t xml:space="preserve">254     Hildesheim               </t>
  </si>
  <si>
    <t xml:space="preserve">255     Holzminden               </t>
  </si>
  <si>
    <t xml:space="preserve">256     Nienburg (Weser)         </t>
  </si>
  <si>
    <t xml:space="preserve">257     Schaumburg               </t>
  </si>
  <si>
    <t xml:space="preserve">3       Lüneburg                 </t>
  </si>
  <si>
    <t xml:space="preserve">351     Celle                    </t>
  </si>
  <si>
    <t xml:space="preserve">352     Cuxhaven                 </t>
  </si>
  <si>
    <t xml:space="preserve">353     Harburg                  </t>
  </si>
  <si>
    <t xml:space="preserve">354     Lüchow-Dannenberg        </t>
  </si>
  <si>
    <t xml:space="preserve">355     Lüneburg                 </t>
  </si>
  <si>
    <t xml:space="preserve">356     Osterholz                </t>
  </si>
  <si>
    <t xml:space="preserve">357     Rotenburg (Wümme)        </t>
  </si>
  <si>
    <t xml:space="preserve">358     Heidekreis               </t>
  </si>
  <si>
    <t xml:space="preserve">359     Stade                    </t>
  </si>
  <si>
    <t xml:space="preserve">360     Uelzen                   </t>
  </si>
  <si>
    <t xml:space="preserve">361     Verden                   </t>
  </si>
  <si>
    <t xml:space="preserve">4       Weser-Ems                </t>
  </si>
  <si>
    <t xml:space="preserve">401     Delmenhorst,Stadt        </t>
  </si>
  <si>
    <t xml:space="preserve">402     Emden,Stadt              </t>
  </si>
  <si>
    <t xml:space="preserve">403     Oldenburg(Oldb),Stadt    </t>
  </si>
  <si>
    <t xml:space="preserve">404     Osnabrück,Stadt          </t>
  </si>
  <si>
    <t xml:space="preserve">405     Wilhelmshaven,Stadt      </t>
  </si>
  <si>
    <t xml:space="preserve">451     Ammerland                </t>
  </si>
  <si>
    <t xml:space="preserve">452     Aurich                   </t>
  </si>
  <si>
    <t xml:space="preserve">453     Cloppenburg              </t>
  </si>
  <si>
    <t xml:space="preserve">454     Emsland                  </t>
  </si>
  <si>
    <t xml:space="preserve">455     Friesland                </t>
  </si>
  <si>
    <t xml:space="preserve">456     Grafschaft Bentheim      </t>
  </si>
  <si>
    <t xml:space="preserve">457     Leer                     </t>
  </si>
  <si>
    <t xml:space="preserve">458     Oldenburg                </t>
  </si>
  <si>
    <t xml:space="preserve">459     Osnabrück                </t>
  </si>
  <si>
    <t xml:space="preserve">460     Vechta                   </t>
  </si>
  <si>
    <t xml:space="preserve">461     Wesermarsch              </t>
  </si>
  <si>
    <t xml:space="preserve">462     Wittmund                 </t>
  </si>
  <si>
    <t>Quelle: Auswertungen aus der Beschäftigungsstatistik der Bundesagentur für Arbeit.</t>
  </si>
  <si>
    <t>Anzahl</t>
  </si>
  <si>
    <t>Prozent</t>
  </si>
  <si>
    <t>Kreisfreie Stadt
Landkreis
(Großstadt, Umland)
Statistische Region
Land</t>
  </si>
  <si>
    <r>
      <t>Sozialversicherungspflichtig
beschäftigte Ausländerinnen und Ausländer</t>
    </r>
    <r>
      <rPr>
        <vertAlign val="superscript"/>
        <sz val="6"/>
        <rFont val="NDSFrutiger 45 Light"/>
      </rPr>
      <t>1)</t>
    </r>
  </si>
  <si>
    <r>
      <t>Darunter nach Qualifikation</t>
    </r>
    <r>
      <rPr>
        <vertAlign val="superscript"/>
        <sz val="6"/>
        <rFont val="Arial"/>
        <family val="2"/>
      </rPr>
      <t>2)</t>
    </r>
  </si>
  <si>
    <t>Männer</t>
  </si>
  <si>
    <t>Frauen</t>
  </si>
  <si>
    <t>hoch</t>
  </si>
  <si>
    <t>mittel</t>
  </si>
  <si>
    <t>niedrig</t>
  </si>
  <si>
    <t>Gifhorn</t>
  </si>
  <si>
    <t>Göttingen</t>
  </si>
  <si>
    <t>Goslar</t>
  </si>
  <si>
    <t>Helmstedt</t>
  </si>
  <si>
    <t>Northeim</t>
  </si>
  <si>
    <t>Peine</t>
  </si>
  <si>
    <t>Wolfenbüttel</t>
  </si>
  <si>
    <t>Diepholz</t>
  </si>
  <si>
    <t>Hameln-Pyrmont</t>
  </si>
  <si>
    <t>Hildesheim</t>
  </si>
  <si>
    <t>Holzminden</t>
  </si>
  <si>
    <t>Nienburg (Weser)</t>
  </si>
  <si>
    <t>Schaumburg</t>
  </si>
  <si>
    <t>Celle</t>
  </si>
  <si>
    <t>Cuxhaven</t>
  </si>
  <si>
    <t>Harburg</t>
  </si>
  <si>
    <t>Lüchow-Dannenberg</t>
  </si>
  <si>
    <t>Lüneburg</t>
  </si>
  <si>
    <t>Osterholz</t>
  </si>
  <si>
    <t>Rotenburg (Wümme)</t>
  </si>
  <si>
    <t>Heidekreis</t>
  </si>
  <si>
    <t>Stade</t>
  </si>
  <si>
    <t>Uelzen</t>
  </si>
  <si>
    <t>Verden</t>
  </si>
  <si>
    <t>Ammerland</t>
  </si>
  <si>
    <t>Aurich</t>
  </si>
  <si>
    <t>Cloppenburg</t>
  </si>
  <si>
    <t>Emsland</t>
  </si>
  <si>
    <t>Friesland</t>
  </si>
  <si>
    <t>Grafschaft Bentheim</t>
  </si>
  <si>
    <t>Leer</t>
  </si>
  <si>
    <t>Oldenburg</t>
  </si>
  <si>
    <t>Osnabrück</t>
  </si>
  <si>
    <t>Vechta</t>
  </si>
  <si>
    <t>Wesermarsch</t>
  </si>
  <si>
    <t>Wittmund</t>
  </si>
  <si>
    <t>Niedersachsen</t>
  </si>
  <si>
    <t>unbekannt</t>
  </si>
  <si>
    <t>Braunschweig,Stadt</t>
  </si>
  <si>
    <t>Salzgitter,Stadt</t>
  </si>
  <si>
    <t>Wolfsburg,Stadt</t>
  </si>
  <si>
    <t>Braunschweig</t>
  </si>
  <si>
    <t>Hannover,Landeshauptstadt</t>
  </si>
  <si>
    <t>Hannover,Region</t>
  </si>
  <si>
    <t>Hannover</t>
  </si>
  <si>
    <t>Delmenhorst,Stadt</t>
  </si>
  <si>
    <t>Emden,Stadt</t>
  </si>
  <si>
    <t>Oldenburg(Oldb),Stadt</t>
  </si>
  <si>
    <t>Osnabrück,Stadt</t>
  </si>
  <si>
    <t>Wilhelmshaven,Stadt</t>
  </si>
  <si>
    <t>Weser-Ems</t>
  </si>
  <si>
    <t>Hannover, Umland</t>
  </si>
  <si>
    <t>© Landesamt für Statistik Niedersachsen, 2019.</t>
  </si>
  <si>
    <t>Sozialversicherungspflichtig Beschäftigte am Arbeitsort in Niedersachsen (Gebietsstand: 1.7.2017)</t>
  </si>
  <si>
    <t>30.06.2018*</t>
  </si>
  <si>
    <t>Hinweis: 2011 bis 2016 Stand: Revision 2017 (siehe auch 'Zusatz-Info')</t>
  </si>
  <si>
    <t>SUMME</t>
  </si>
  <si>
    <t>Prüfung</t>
  </si>
  <si>
    <t>RICHTIG</t>
  </si>
  <si>
    <t>GEFILTERTE KOPIE</t>
  </si>
  <si>
    <t>Stat. Region Braunschweig</t>
  </si>
  <si>
    <t>Stat. Region Hannover</t>
  </si>
  <si>
    <t>Stat. Region Lüneburg</t>
  </si>
  <si>
    <t>Stat. Region Weser-Ems</t>
  </si>
  <si>
    <t>1) Beschäftigte ohne Angabe der Qualifikation werden nicht aufgeführt; hoch = akademischer Abschluss (Bachelor, Diplom, Magister, Master, Staatsexamen, Promotion); mittel = Abschluss einer anerkannten Berufsausbildung , Meister-/Techniker- oder gleichwertiger Fachschulabschluss; niedrig = ohne abgeschlossene Berufsausbildung</t>
  </si>
  <si>
    <t>Quelle: Beschäftigungsstatistik der Bundesagentur für Arbeit</t>
  </si>
  <si>
    <t>Sozialversicherungspflichtig
beschäftigte Ausländerinnen und Ausländer</t>
  </si>
  <si>
    <t>Indikator C4: Sozialversicherungspflichtig beschäftigte Ausländerinnen und Ausländer nach Art der Ausbildung</t>
  </si>
  <si>
    <t xml:space="preserve">  dav. Hannover, Landeshauptstadt</t>
  </si>
  <si>
    <t xml:space="preserve">  dav. Hannover, Umland</t>
  </si>
  <si>
    <t>Tabelle C4-3K: Sozialversicherungspflichtig Beschäftigte Ausländerinnen und Ausländer am Arbeitsort nach Qualifikation und Kreisen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</si>
  <si>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</si>
  <si>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</si>
  <si>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</si>
  <si>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</si>
  <si>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</si>
  <si>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</si>
  <si>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</si>
  <si>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</si>
  <si>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</si>
  <si>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</si>
  <si>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</si>
  <si>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</si>
  <si>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</si>
  <si>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</si>
  <si>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</si>
  <si>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</si>
  <si>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</si>
  <si>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</si>
  <si>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</si>
  <si>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</si>
  <si>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</si>
  <si>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</si>
  <si>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</si>
  <si>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</si>
  <si>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</si>
  <si>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</si>
  <si>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</si>
  <si>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</si>
  <si>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</si>
  <si>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</si>
  <si>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</si>
  <si>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</si>
  <si>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</si>
  <si>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</si>
  <si>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</si>
  <si>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</si>
  <si>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</si>
  <si>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</si>
  <si>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</si>
  <si>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</si>
  <si>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</si>
  <si>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</si>
  <si>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</si>
  <si>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</si>
  <si>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</si>
  <si>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</si>
  <si>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</si>
  <si>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</si>
  <si>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-</t>
  </si>
  <si>
    <t>.</t>
  </si>
  <si>
    <t>Braunschweig, Stadt</t>
  </si>
  <si>
    <t>Salzgitter, Stadt</t>
  </si>
  <si>
    <t>Wolfsburg, Stadt</t>
  </si>
  <si>
    <t>dav. Hannover,Landeshauptstadt</t>
  </si>
  <si>
    <t>dav. Hannover, Umland</t>
  </si>
  <si>
    <t>AGS</t>
  </si>
  <si>
    <t>Gebiet</t>
  </si>
  <si>
    <t>Wert</t>
  </si>
  <si>
    <r>
      <t>Darunter nach Qualifikation</t>
    </r>
    <r>
      <rPr>
        <vertAlign val="superscript"/>
        <sz val="6"/>
        <rFont val="NDSFrutiger 45 Light"/>
      </rPr>
      <t>1)</t>
    </r>
  </si>
  <si>
    <t>AGS_easymap</t>
  </si>
  <si>
    <t>Min</t>
  </si>
  <si>
    <t>Max</t>
  </si>
  <si>
    <t>Beschäftigungsstatistik</t>
  </si>
  <si>
    <t>Ausländische sozialversicherungspflichtig Beschäftigte am Arbeitsort nach Geschlecht und Berufsabschluss</t>
  </si>
  <si>
    <t>Bundesland Niedersachsen (Gebietsstand Mai 2020)</t>
  </si>
  <si>
    <t>Stichtag: 30.06.2019, Datenstand: Mai 2020</t>
  </si>
  <si>
    <t>Region</t>
  </si>
  <si>
    <t>davon</t>
  </si>
  <si>
    <t>Anteile nach Berufsabschluss in Prozent</t>
  </si>
  <si>
    <t>Ohne Berufsabschluss</t>
  </si>
  <si>
    <t>Mit anerkanntem Berufsabschluss</t>
  </si>
  <si>
    <t>Mit kademischem Berufsabschluss</t>
  </si>
  <si>
    <t>Ohne Angabe zum Berufsabschluss</t>
  </si>
  <si>
    <t>03 Niedersachsen</t>
  </si>
  <si>
    <t>031 Statistische Region Braunschweig</t>
  </si>
  <si>
    <t>03101 Braunschweig, Stadt</t>
  </si>
  <si>
    <t>03102 Salzgitter, Stadt</t>
  </si>
  <si>
    <t>03103 Wolfsburg, Stadt</t>
  </si>
  <si>
    <t>03151 Gifhorn</t>
  </si>
  <si>
    <t>03153 Goslar</t>
  </si>
  <si>
    <t>03154 Helmstedt</t>
  </si>
  <si>
    <t>03155 Northeim</t>
  </si>
  <si>
    <t>03157 Peine</t>
  </si>
  <si>
    <t>03158 Wolfenbüttel</t>
  </si>
  <si>
    <t>03159 Göttingen</t>
  </si>
  <si>
    <t>032 Statistische Region Hannover</t>
  </si>
  <si>
    <t>03241 Region Hannover</t>
  </si>
  <si>
    <t>03251 Diepholz</t>
  </si>
  <si>
    <t>03252 Hameln-Pyrmont</t>
  </si>
  <si>
    <t>03254 Hildesheim</t>
  </si>
  <si>
    <t>03255 Holzminden</t>
  </si>
  <si>
    <t>03256 Nienburg (Weser)</t>
  </si>
  <si>
    <t>03257 Schaumburg</t>
  </si>
  <si>
    <t>033 Statistische Region Lüneburg</t>
  </si>
  <si>
    <t>03351 Celle</t>
  </si>
  <si>
    <t>03352 Cuxhaven</t>
  </si>
  <si>
    <t>03353 Harburg</t>
  </si>
  <si>
    <t>03354 Lüchow-Dannenberg</t>
  </si>
  <si>
    <t>03355 Lüneburg</t>
  </si>
  <si>
    <t>03356 Osterholz</t>
  </si>
  <si>
    <t>03357 Rotenburg (Wümme)</t>
  </si>
  <si>
    <t>03358 Heidekreis</t>
  </si>
  <si>
    <t>03359 Stade</t>
  </si>
  <si>
    <t>03360 Uelzen</t>
  </si>
  <si>
    <t>03361 Verden</t>
  </si>
  <si>
    <t>034 Statistische Region Weser-Ems</t>
  </si>
  <si>
    <t>03401 Delmenhorst, Stadt</t>
  </si>
  <si>
    <t>03402 Emden, Stadt</t>
  </si>
  <si>
    <t>03403 Oldenburg (Oldenburg), Stadt</t>
  </si>
  <si>
    <t>03404 Osnabrück, Stadt</t>
  </si>
  <si>
    <t>03405 Wilhelmshaven, Stadt</t>
  </si>
  <si>
    <t>03451 Ammerland</t>
  </si>
  <si>
    <t>03452 Aurich</t>
  </si>
  <si>
    <t>03453 Cloppenburg</t>
  </si>
  <si>
    <t>03454 Emsland</t>
  </si>
  <si>
    <t>03455 Friesland</t>
  </si>
  <si>
    <t>03456 Grafschaft Bentheim</t>
  </si>
  <si>
    <t>03457 Leer</t>
  </si>
  <si>
    <t>03458 Oldenburg</t>
  </si>
  <si>
    <t>03459 Osnabrück</t>
  </si>
  <si>
    <t>03460 Vechta</t>
  </si>
  <si>
    <t>03461 Wesermarsch</t>
  </si>
  <si>
    <t>03462 Wittmund</t>
  </si>
  <si>
    <t>Erstellungsdatum: 18.06.2020, Statistik-Service Nordost, Auftragsnummer 303287</t>
  </si>
  <si>
    <t>© Statistik der Bundesagentur für Arbeit</t>
  </si>
  <si>
    <t>58</t>
  </si>
  <si>
    <t>59</t>
  </si>
  <si>
    <t>60</t>
  </si>
  <si>
    <t>61</t>
  </si>
  <si>
    <t>62</t>
  </si>
  <si>
    <t>63</t>
  </si>
  <si>
    <t>64</t>
  </si>
  <si>
    <t>65</t>
  </si>
  <si>
    <t>Statistische Region Braunschweig</t>
  </si>
  <si>
    <t>Statistische Region Hannover</t>
  </si>
  <si>
    <t>Region Hannover</t>
  </si>
  <si>
    <t>Statistische Region Lüneburg</t>
  </si>
  <si>
    <t>Statistische Region Weser-Ems</t>
  </si>
  <si>
    <t>Delmenhorst, Stadt</t>
  </si>
  <si>
    <t>Emden, Stadt</t>
  </si>
  <si>
    <t>Oldenburg (Oldenburg), Stadt</t>
  </si>
  <si>
    <t>Osnabrück, Stadt</t>
  </si>
  <si>
    <t>Wilhelmshaven, Stadt</t>
  </si>
  <si>
    <t>© Landesamt für Statistik Niedersachsen, 2020.</t>
  </si>
  <si>
    <t>   Vervielfältigung und Verbreitung, auch auszugsweise, mit Quellenangabe gestattet.</t>
  </si>
  <si>
    <t>Landesamt für Statistik Niedersachsen</t>
  </si>
  <si>
    <t>Sozialversicherungspflichtig Beschäftigte am Arbeitsort in Niedersachsen (Gebietsstand: 1.7.2017)</t>
  </si>
  <si>
    <t>Beschäftigungsumfang: Insgesamt*</t>
  </si>
  <si>
    <t>30.06.2019*</t>
  </si>
  <si>
    <t>Hinweis: 2011 bis 2016 Stand: Revision 2017 (siehe auch "Zusatz-Info")</t>
  </si>
  <si>
    <t>Statistische Region*</t>
  </si>
  <si>
    <t>Kreis*, Große Stadt*</t>
  </si>
  <si>
    <t>Gemeinde (SvB 10.000+)</t>
  </si>
  <si>
    <t>-------------</t>
  </si>
  <si>
    <t>Berufsabschluss</t>
  </si>
  <si>
    <t>241 Hannover,Region</t>
  </si>
  <si>
    <t> ohne beruflichen Ausbildungsabschluss</t>
  </si>
  <si>
    <t> mit anerkanntem Berufsabschluss</t>
  </si>
  <si>
    <t> mit akademischem Berufsabschluss</t>
  </si>
  <si>
    <t> Ausbildung unbekannt</t>
  </si>
  <si>
    <t>241001 Hannover,Landeshauptstadt</t>
  </si>
  <si>
    <t>Quelle: Auswertungen aus der Beschäftigungsstatistik der Bundesagentur für Arbeit.</t>
  </si>
  <si>
    <t>Hannover, Landeshauptstadt</t>
  </si>
  <si>
    <t>Insg.</t>
  </si>
  <si>
    <t>männlich</t>
  </si>
  <si>
    <t>weiblich</t>
  </si>
  <si>
    <t>ohne Angabe</t>
  </si>
  <si>
    <t>Northheim</t>
  </si>
  <si>
    <t>30.06.2015*</t>
  </si>
  <si>
    <t>159 Göttingen</t>
  </si>
  <si>
    <t>30.06.2014*</t>
  </si>
  <si>
    <t>30.06.2013*</t>
  </si>
  <si>
    <t>Landesamt für Statistik Niedersachsen, 2020.</t>
  </si>
  <si>
    <t>30.06.2012*</t>
  </si>
  <si>
    <t>30.06.2011*</t>
  </si>
  <si>
    <t>ohne angabe</t>
  </si>
  <si>
    <t>Göttingen (bis 31.10.2016)</t>
  </si>
  <si>
    <t>Osterrode am Harz (bis 31.10.2016)</t>
  </si>
  <si>
    <t>Indikator 5-3-1: Sozialversicherungspflichtig beschäftigte Ausländerinnen und Ausländer nach Art der Ausbildung</t>
  </si>
  <si>
    <t>Tabelle 5-3-1: Sozialversicherungspflichtig Beschäftigte Ausländerinnen und Ausländer am Arbeitsort nach Qualifikation und Kreisen</t>
  </si>
  <si>
    <t>Bundesland Niedersachsen (Gebietsstand Juli 2021)</t>
  </si>
  <si>
    <t>Stichtag: 30.06.2020, Datenstand: Juli 2021</t>
  </si>
  <si>
    <t>Mit akademischem Berufsabschluss</t>
  </si>
  <si>
    <t>Erstellungsdatum: 17.08.2021 , Statistik-Service Nordost, Auftragsnummer 317977</t>
  </si>
  <si>
    <t>© Landesamt für Statistik Niedersachsen, 2021.</t>
  </si>
  <si>
    <t>Sozialversicherungspflichtig Beschäftigte am Arbeitsort in Niedersachsen (Gebietsstand: 1.1.2020)</t>
  </si>
  <si>
    <t>30.06.2020*</t>
  </si>
  <si>
    <t>Berechnung</t>
  </si>
  <si>
    <t>Hannover Lhst</t>
  </si>
  <si>
    <t>Hannover Umland</t>
  </si>
  <si>
    <t>Year</t>
  </si>
  <si>
    <t>Gebietseinheit</t>
  </si>
  <si>
    <t>Geschlecht</t>
  </si>
  <si>
    <t>Qualifikation</t>
  </si>
  <si>
    <t>Geocode</t>
  </si>
  <si>
    <t>Value</t>
  </si>
  <si>
    <t>Units</t>
  </si>
  <si>
    <t>%</t>
  </si>
  <si>
    <t>Braunschweig  Stadt</t>
  </si>
  <si>
    <t>K03101</t>
  </si>
  <si>
    <t>Salzgitter  Stadt</t>
  </si>
  <si>
    <t>K03102</t>
  </si>
  <si>
    <t>Wolfsburg  Stadt</t>
  </si>
  <si>
    <t>K03103</t>
  </si>
  <si>
    <t>K03151</t>
  </si>
  <si>
    <t>K03153</t>
  </si>
  <si>
    <t>K03154</t>
  </si>
  <si>
    <t>K03155</t>
  </si>
  <si>
    <t>K03157</t>
  </si>
  <si>
    <t>K03158</t>
  </si>
  <si>
    <t>K03159</t>
  </si>
  <si>
    <t>K031</t>
  </si>
  <si>
    <t>Hannover  Region</t>
  </si>
  <si>
    <t>K03241</t>
  </si>
  <si>
    <t>dav. Hannover  Lhst.</t>
  </si>
  <si>
    <t>K03241001</t>
  </si>
  <si>
    <t>dav. Hannover  Umland</t>
  </si>
  <si>
    <t>K03241999</t>
  </si>
  <si>
    <t>K03251</t>
  </si>
  <si>
    <t>K03252</t>
  </si>
  <si>
    <t>K03254</t>
  </si>
  <si>
    <t>K03255</t>
  </si>
  <si>
    <t>K03256</t>
  </si>
  <si>
    <t>K03257</t>
  </si>
  <si>
    <t>K032</t>
  </si>
  <si>
    <t>K03351</t>
  </si>
  <si>
    <t>K03352</t>
  </si>
  <si>
    <t>K03353</t>
  </si>
  <si>
    <t>K03354</t>
  </si>
  <si>
    <t>K03355</t>
  </si>
  <si>
    <t>K03356</t>
  </si>
  <si>
    <t>K03357</t>
  </si>
  <si>
    <t>K03358</t>
  </si>
  <si>
    <t>K03359</t>
  </si>
  <si>
    <t>K03360</t>
  </si>
  <si>
    <t>K03361</t>
  </si>
  <si>
    <t>K033</t>
  </si>
  <si>
    <t>Delmenhorst  Stadt</t>
  </si>
  <si>
    <t>K03401</t>
  </si>
  <si>
    <t>Emden  Stadt</t>
  </si>
  <si>
    <t>K03402</t>
  </si>
  <si>
    <t>Oldenburg(Oldb)  Stadt</t>
  </si>
  <si>
    <t>K03403</t>
  </si>
  <si>
    <t>Osnabrück  Stadt</t>
  </si>
  <si>
    <t>K03404</t>
  </si>
  <si>
    <t>Wilhelmshaven  Stadt</t>
  </si>
  <si>
    <t>K03405</t>
  </si>
  <si>
    <t>K03451</t>
  </si>
  <si>
    <t>K03452</t>
  </si>
  <si>
    <t>K03453</t>
  </si>
  <si>
    <t>K03454</t>
  </si>
  <si>
    <t>K03455</t>
  </si>
  <si>
    <t>K03456</t>
  </si>
  <si>
    <t>K03457</t>
  </si>
  <si>
    <t>K03458</t>
  </si>
  <si>
    <t>K03459</t>
  </si>
  <si>
    <t>K03460</t>
  </si>
  <si>
    <t>K03461</t>
  </si>
  <si>
    <t>K03462</t>
  </si>
  <si>
    <t>K034</t>
  </si>
  <si>
    <t>K030</t>
  </si>
  <si>
    <t>11541</t>
  </si>
  <si>
    <t>4878</t>
  </si>
  <si>
    <t>10661</t>
  </si>
  <si>
    <t>3257</t>
  </si>
  <si>
    <t>3225</t>
  </si>
  <si>
    <t>1701</t>
  </si>
  <si>
    <t>3416</t>
  </si>
  <si>
    <t>3368</t>
  </si>
  <si>
    <t>1586</t>
  </si>
  <si>
    <t>9833</t>
  </si>
  <si>
    <t>53466</t>
  </si>
  <si>
    <t>62632</t>
  </si>
  <si>
    <t>38815</t>
  </si>
  <si>
    <t>23817</t>
  </si>
  <si>
    <t>6594</t>
  </si>
  <si>
    <t>4124</t>
  </si>
  <si>
    <t>6461</t>
  </si>
  <si>
    <t>1484</t>
  </si>
  <si>
    <t>4349</t>
  </si>
  <si>
    <t>3862</t>
  </si>
  <si>
    <t>89506</t>
  </si>
  <si>
    <t>4092</t>
  </si>
  <si>
    <t>4388</t>
  </si>
  <si>
    <t>9737</t>
  </si>
  <si>
    <t>750</t>
  </si>
  <si>
    <t>3926</t>
  </si>
  <si>
    <t>2020</t>
  </si>
  <si>
    <t>4630</t>
  </si>
  <si>
    <t>4303</t>
  </si>
  <si>
    <t>5874</t>
  </si>
  <si>
    <t>1682</t>
  </si>
  <si>
    <t>5629</t>
  </si>
  <si>
    <t>47031</t>
  </si>
  <si>
    <t>1864</t>
  </si>
  <si>
    <t>1823</t>
  </si>
  <si>
    <t>6162</t>
  </si>
  <si>
    <t>8847</t>
  </si>
  <si>
    <t>1855</t>
  </si>
  <si>
    <t>4153</t>
  </si>
  <si>
    <t>4164</t>
  </si>
  <si>
    <t>10632</t>
  </si>
  <si>
    <t>14967</t>
  </si>
  <si>
    <t>1524</t>
  </si>
  <si>
    <t>5790</t>
  </si>
  <si>
    <t>3766</t>
  </si>
  <si>
    <t>3842</t>
  </si>
  <si>
    <t>17707</t>
  </si>
  <si>
    <t>11205</t>
  </si>
  <si>
    <t>2505</t>
  </si>
  <si>
    <t>924</t>
  </si>
  <si>
    <t>101730</t>
  </si>
  <si>
    <t>291733</t>
  </si>
  <si>
    <t>6997</t>
  </si>
  <si>
    <t>3738</t>
  </si>
  <si>
    <t>7333</t>
  </si>
  <si>
    <t>2169</t>
  </si>
  <si>
    <t>2090</t>
  </si>
  <si>
    <t>1149</t>
  </si>
  <si>
    <t>2534</t>
  </si>
  <si>
    <t>2434</t>
  </si>
  <si>
    <t>1010</t>
  </si>
  <si>
    <t>6074</t>
  </si>
  <si>
    <t>35528</t>
  </si>
  <si>
    <t>38889</t>
  </si>
  <si>
    <t>22979</t>
  </si>
  <si>
    <t>15910</t>
  </si>
  <si>
    <t>4544</t>
  </si>
  <si>
    <t>2541</t>
  </si>
  <si>
    <t>4211</t>
  </si>
  <si>
    <t>998</t>
  </si>
  <si>
    <t>3022</t>
  </si>
  <si>
    <t>2539</t>
  </si>
  <si>
    <t>56744</t>
  </si>
  <si>
    <t>2631</t>
  </si>
  <si>
    <t>2924</t>
  </si>
  <si>
    <t>7051</t>
  </si>
  <si>
    <t>456</t>
  </si>
  <si>
    <t>2530</t>
  </si>
  <si>
    <t>1391</t>
  </si>
  <si>
    <t>3136</t>
  </si>
  <si>
    <t>2824</t>
  </si>
  <si>
    <t>4173</t>
  </si>
  <si>
    <t>1035</t>
  </si>
  <si>
    <t>3944</t>
  </si>
  <si>
    <t>32095</t>
  </si>
  <si>
    <t>1219</t>
  </si>
  <si>
    <t>1350</t>
  </si>
  <si>
    <t>3917</t>
  </si>
  <si>
    <t>4934</t>
  </si>
  <si>
    <t>1310</t>
  </si>
  <si>
    <t>2852</t>
  </si>
  <si>
    <t>2658</t>
  </si>
  <si>
    <t>7314</t>
  </si>
  <si>
    <t>10881</t>
  </si>
  <si>
    <t>982</t>
  </si>
  <si>
    <t>3984</t>
  </si>
  <si>
    <t>2684</t>
  </si>
  <si>
    <t>2708</t>
  </si>
  <si>
    <t>11697</t>
  </si>
  <si>
    <t>7462</t>
  </si>
  <si>
    <t>1989</t>
  </si>
  <si>
    <t>546</t>
  </si>
  <si>
    <t>68487</t>
  </si>
  <si>
    <t>192854</t>
  </si>
  <si>
    <t>1140</t>
  </si>
  <si>
    <t>3328</t>
  </si>
  <si>
    <t>1088</t>
  </si>
  <si>
    <t>1135</t>
  </si>
  <si>
    <t>552</t>
  </si>
  <si>
    <t>882</t>
  </si>
  <si>
    <t>934</t>
  </si>
  <si>
    <t>576</t>
  </si>
  <si>
    <t>3759</t>
  </si>
  <si>
    <t>17938</t>
  </si>
  <si>
    <t>23743</t>
  </si>
  <si>
    <t>15836</t>
  </si>
  <si>
    <t>7907</t>
  </si>
  <si>
    <t>2050</t>
  </si>
  <si>
    <t>1583</t>
  </si>
  <si>
    <t>2250</t>
  </si>
  <si>
    <t>486</t>
  </si>
  <si>
    <t>1327</t>
  </si>
  <si>
    <t>1323</t>
  </si>
  <si>
    <t>32762</t>
  </si>
  <si>
    <t>1461</t>
  </si>
  <si>
    <t>1464</t>
  </si>
  <si>
    <t>2686</t>
  </si>
  <si>
    <t>294</t>
  </si>
  <si>
    <t>1396</t>
  </si>
  <si>
    <t>629</t>
  </si>
  <si>
    <t>1494</t>
  </si>
  <si>
    <t>1479</t>
  </si>
  <si>
    <t>647</t>
  </si>
  <si>
    <t>1685</t>
  </si>
  <si>
    <t>14936</t>
  </si>
  <si>
    <t>645</t>
  </si>
  <si>
    <t>473</t>
  </si>
  <si>
    <t>2245</t>
  </si>
  <si>
    <t>3913</t>
  </si>
  <si>
    <t>545</t>
  </si>
  <si>
    <t>1301</t>
  </si>
  <si>
    <t>1506</t>
  </si>
  <si>
    <t>3318</t>
  </si>
  <si>
    <t>4086</t>
  </si>
  <si>
    <t>542</t>
  </si>
  <si>
    <t>1806</t>
  </si>
  <si>
    <t>1082</t>
  </si>
  <si>
    <t>1134</t>
  </si>
  <si>
    <t>6010</t>
  </si>
  <si>
    <t>3743</t>
  </si>
  <si>
    <t>516</t>
  </si>
  <si>
    <t>378</t>
  </si>
  <si>
    <t>33243</t>
  </si>
  <si>
    <t>93737</t>
  </si>
  <si>
    <t>11157</t>
  </si>
  <si>
    <t>4747</t>
  </si>
  <si>
    <t>10288</t>
  </si>
  <si>
    <t>3040</t>
  </si>
  <si>
    <t>3119</t>
  </si>
  <si>
    <t>1557</t>
  </si>
  <si>
    <t>3377</t>
  </si>
  <si>
    <t>3351</t>
  </si>
  <si>
    <t>1510</t>
  </si>
  <si>
    <t>9450</t>
  </si>
  <si>
    <t>51596</t>
  </si>
  <si>
    <t>60737</t>
  </si>
  <si>
    <t>38360</t>
  </si>
  <si>
    <t>22377</t>
  </si>
  <si>
    <t>6222</t>
  </si>
  <si>
    <t>4052</t>
  </si>
  <si>
    <t>6219</t>
  </si>
  <si>
    <t>1421</t>
  </si>
  <si>
    <t>4261</t>
  </si>
  <si>
    <t>3689</t>
  </si>
  <si>
    <t>86601</t>
  </si>
  <si>
    <t>3847</t>
  </si>
  <si>
    <t>4262</t>
  </si>
  <si>
    <t>9048</t>
  </si>
  <si>
    <t>713</t>
  </si>
  <si>
    <t>3903</t>
  </si>
  <si>
    <t>1985</t>
  </si>
  <si>
    <t>4111</t>
  </si>
  <si>
    <t>4245</t>
  </si>
  <si>
    <t>5633</t>
  </si>
  <si>
    <t>1615</t>
  </si>
  <si>
    <t>4890</t>
  </si>
  <si>
    <t>44252</t>
  </si>
  <si>
    <t>1802</t>
  </si>
  <si>
    <t>1927</t>
  </si>
  <si>
    <t>5889</t>
  </si>
  <si>
    <t>8627</t>
  </si>
  <si>
    <t>1637</t>
  </si>
  <si>
    <t>3785</t>
  </si>
  <si>
    <t>4363</t>
  </si>
  <si>
    <t>10030</t>
  </si>
  <si>
    <t>13916</t>
  </si>
  <si>
    <t>1407</t>
  </si>
  <si>
    <t>5658</t>
  </si>
  <si>
    <t>3734</t>
  </si>
  <si>
    <t>3710</t>
  </si>
  <si>
    <t>17588</t>
  </si>
  <si>
    <t>10720</t>
  </si>
  <si>
    <t>2489</t>
  </si>
  <si>
    <t>988</t>
  </si>
  <si>
    <t>98270</t>
  </si>
  <si>
    <t>280719</t>
  </si>
  <si>
    <t>6758</t>
  </si>
  <si>
    <t>3672</t>
  </si>
  <si>
    <t>7063</t>
  </si>
  <si>
    <t>2038</t>
  </si>
  <si>
    <t>1991</t>
  </si>
  <si>
    <t>1083</t>
  </si>
  <si>
    <t>2552</t>
  </si>
  <si>
    <t>2439</t>
  </si>
  <si>
    <t>969</t>
  </si>
  <si>
    <t>5838</t>
  </si>
  <si>
    <t>34403</t>
  </si>
  <si>
    <t>38040</t>
  </si>
  <si>
    <t>23217</t>
  </si>
  <si>
    <t>14823</t>
  </si>
  <si>
    <t>4331</t>
  </si>
  <si>
    <t>2542</t>
  </si>
  <si>
    <t>4059</t>
  </si>
  <si>
    <t>945</t>
  </si>
  <si>
    <t>3042</t>
  </si>
  <si>
    <t>2420</t>
  </si>
  <si>
    <t>55379</t>
  </si>
  <si>
    <t>2498</t>
  </si>
  <si>
    <t>2846</t>
  </si>
  <si>
    <t>6600</t>
  </si>
  <si>
    <t>457</t>
  </si>
  <si>
    <t>1395</t>
  </si>
  <si>
    <t>2823</t>
  </si>
  <si>
    <t>2765</t>
  </si>
  <si>
    <t>4017</t>
  </si>
  <si>
    <t>1016</t>
  </si>
  <si>
    <t>3456</t>
  </si>
  <si>
    <t>30425</t>
  </si>
  <si>
    <t>1145</t>
  </si>
  <si>
    <t>1437</t>
  </si>
  <si>
    <t>3809</t>
  </si>
  <si>
    <t>4905</t>
  </si>
  <si>
    <t>1146</t>
  </si>
  <si>
    <t>2613</t>
  </si>
  <si>
    <t>2791</t>
  </si>
  <si>
    <t>6972</t>
  </si>
  <si>
    <t>10248</t>
  </si>
  <si>
    <t>905</t>
  </si>
  <si>
    <t>3875</t>
  </si>
  <si>
    <t>2680</t>
  </si>
  <si>
    <t>2646</t>
  </si>
  <si>
    <t>11759</t>
  </si>
  <si>
    <t>7249</t>
  </si>
  <si>
    <t>2018</t>
  </si>
  <si>
    <t>577</t>
  </si>
  <si>
    <t>66775</t>
  </si>
  <si>
    <t>186982</t>
  </si>
  <si>
    <t>4399</t>
  </si>
  <si>
    <t>1075</t>
  </si>
  <si>
    <t>1002</t>
  </si>
  <si>
    <t>1128</t>
  </si>
  <si>
    <t>474</t>
  </si>
  <si>
    <t>825</t>
  </si>
  <si>
    <t>912</t>
  </si>
  <si>
    <t>541</t>
  </si>
  <si>
    <t>3612</t>
  </si>
  <si>
    <t>17193</t>
  </si>
  <si>
    <t>22697</t>
  </si>
  <si>
    <t>15143</t>
  </si>
  <si>
    <t>7554</t>
  </si>
  <si>
    <t>1891</t>
  </si>
  <si>
    <t>2160</t>
  </si>
  <si>
    <t>476</t>
  </si>
  <si>
    <t>1269</t>
  </si>
  <si>
    <t>31222</t>
  </si>
  <si>
    <t>1349</t>
  </si>
  <si>
    <t>1416</t>
  </si>
  <si>
    <t>2448</t>
  </si>
  <si>
    <t>256</t>
  </si>
  <si>
    <t>1351</t>
  </si>
  <si>
    <t>590</t>
  </si>
  <si>
    <t>1288</t>
  </si>
  <si>
    <t>1480</t>
  </si>
  <si>
    <t>1616</t>
  </si>
  <si>
    <t>599</t>
  </si>
  <si>
    <t>1434</t>
  </si>
  <si>
    <t>13827</t>
  </si>
  <si>
    <t>657</t>
  </si>
  <si>
    <t>490</t>
  </si>
  <si>
    <t>2080</t>
  </si>
  <si>
    <t>3722</t>
  </si>
  <si>
    <t>491</t>
  </si>
  <si>
    <t>1172</t>
  </si>
  <si>
    <t>1572</t>
  </si>
  <si>
    <t>3058</t>
  </si>
  <si>
    <t>3668</t>
  </si>
  <si>
    <t>502</t>
  </si>
  <si>
    <t>1783</t>
  </si>
  <si>
    <t>1054</t>
  </si>
  <si>
    <t>1064</t>
  </si>
  <si>
    <t>5829</t>
  </si>
  <si>
    <t>3471</t>
  </si>
  <si>
    <t>471</t>
  </si>
  <si>
    <t>411</t>
  </si>
  <si>
    <t>31495</t>
  </si>
  <si>
    <t>10097</t>
  </si>
  <si>
    <t>4348</t>
  </si>
  <si>
    <t>9961</t>
  </si>
  <si>
    <t>2689</t>
  </si>
  <si>
    <t>2762</t>
  </si>
  <si>
    <t>1431</t>
  </si>
  <si>
    <t>3117</t>
  </si>
  <si>
    <t>2590</t>
  </si>
  <si>
    <t>1412</t>
  </si>
  <si>
    <t>8659</t>
  </si>
  <si>
    <t>47066</t>
  </si>
  <si>
    <t>56204</t>
  </si>
  <si>
    <t>35942</t>
  </si>
  <si>
    <t>20262</t>
  </si>
  <si>
    <t>5644</t>
  </si>
  <si>
    <t>3678</t>
  </si>
  <si>
    <t>5755</t>
  </si>
  <si>
    <t>1260</t>
  </si>
  <si>
    <t>3442</t>
  </si>
  <si>
    <t>3435</t>
  </si>
  <si>
    <t>79418</t>
  </si>
  <si>
    <t>3438</t>
  </si>
  <si>
    <t>4156</t>
  </si>
  <si>
    <t>8032</t>
  </si>
  <si>
    <t>677</t>
  </si>
  <si>
    <t>3651</t>
  </si>
  <si>
    <t>1703</t>
  </si>
  <si>
    <t>3606</t>
  </si>
  <si>
    <t>3797</t>
  </si>
  <si>
    <t>5030</t>
  </si>
  <si>
    <t>1413</t>
  </si>
  <si>
    <t>4393</t>
  </si>
  <si>
    <t>39896</t>
  </si>
  <si>
    <t>1707</t>
  </si>
  <si>
    <t>1906</t>
  </si>
  <si>
    <t>4897</t>
  </si>
  <si>
    <t>7549</t>
  </si>
  <si>
    <t>1589</t>
  </si>
  <si>
    <t>3428</t>
  </si>
  <si>
    <t>4232</t>
  </si>
  <si>
    <t>9140</t>
  </si>
  <si>
    <t>12405</t>
  </si>
  <si>
    <t>5166</t>
  </si>
  <si>
    <t>3327</t>
  </si>
  <si>
    <t>3207</t>
  </si>
  <si>
    <t>16160</t>
  </si>
  <si>
    <t>9815</t>
  </si>
  <si>
    <t>2455</t>
  </si>
  <si>
    <t>855</t>
  </si>
  <si>
    <t>89139</t>
  </si>
  <si>
    <t>255519</t>
  </si>
  <si>
    <t>6123</t>
  </si>
  <si>
    <t>3378</t>
  </si>
  <si>
    <t>6958</t>
  </si>
  <si>
    <t>1771</t>
  </si>
  <si>
    <t>1800</t>
  </si>
  <si>
    <t>994</t>
  </si>
  <si>
    <t>2391</t>
  </si>
  <si>
    <t>1871</t>
  </si>
  <si>
    <t>873</t>
  </si>
  <si>
    <t>5270</t>
  </si>
  <si>
    <t>31429</t>
  </si>
  <si>
    <t>35024</t>
  </si>
  <si>
    <t>21620</t>
  </si>
  <si>
    <t>13404</t>
  </si>
  <si>
    <t>3930</t>
  </si>
  <si>
    <t>2263</t>
  </si>
  <si>
    <t>3694</t>
  </si>
  <si>
    <t>840</t>
  </si>
  <si>
    <t>2472</t>
  </si>
  <si>
    <t>2251</t>
  </si>
  <si>
    <t>50474</t>
  </si>
  <si>
    <t>2240</t>
  </si>
  <si>
    <t>2828</t>
  </si>
  <si>
    <t>5853</t>
  </si>
  <si>
    <t>397</t>
  </si>
  <si>
    <t>2418</t>
  </si>
  <si>
    <t>1163</t>
  </si>
  <si>
    <t>2464</t>
  </si>
  <si>
    <t>2508</t>
  </si>
  <si>
    <t>3638</t>
  </si>
  <si>
    <t>883</t>
  </si>
  <si>
    <t>3082</t>
  </si>
  <si>
    <t>27474</t>
  </si>
  <si>
    <t>1028</t>
  </si>
  <si>
    <t>1444</t>
  </si>
  <si>
    <t>3124</t>
  </si>
  <si>
    <t>4282</t>
  </si>
  <si>
    <t>1167</t>
  </si>
  <si>
    <t>2332</t>
  </si>
  <si>
    <t>2716</t>
  </si>
  <si>
    <t>6398</t>
  </si>
  <si>
    <t>9075</t>
  </si>
  <si>
    <t>846</t>
  </si>
  <si>
    <t>3511</t>
  </si>
  <si>
    <t>2340</t>
  </si>
  <si>
    <t>2308</t>
  </si>
  <si>
    <t>10937</t>
  </si>
  <si>
    <t>6648</t>
  </si>
  <si>
    <t>2010</t>
  </si>
  <si>
    <t>503</t>
  </si>
  <si>
    <t>60669</t>
  </si>
  <si>
    <t>170046</t>
  </si>
  <si>
    <t>9028</t>
  </si>
  <si>
    <t>3977</t>
  </si>
  <si>
    <t>8937</t>
  </si>
  <si>
    <t>2431</t>
  </si>
  <si>
    <t>2405</t>
  </si>
  <si>
    <t>1295</t>
  </si>
  <si>
    <t>2659</t>
  </si>
  <si>
    <t>2202</t>
  </si>
  <si>
    <t>1212</t>
  </si>
  <si>
    <t>7778</t>
  </si>
  <si>
    <t>41924</t>
  </si>
  <si>
    <t>51403</t>
  </si>
  <si>
    <t>33601</t>
  </si>
  <si>
    <t>17802</t>
  </si>
  <si>
    <t>4811</t>
  </si>
  <si>
    <t>3270</t>
  </si>
  <si>
    <t>5044</t>
  </si>
  <si>
    <t>2668</t>
  </si>
  <si>
    <t>2966</t>
  </si>
  <si>
    <t>71250</t>
  </si>
  <si>
    <t>3061</t>
  </si>
  <si>
    <t>3769</t>
  </si>
  <si>
    <t>6224</t>
  </si>
  <si>
    <t>654</t>
  </si>
  <si>
    <t>3125</t>
  </si>
  <si>
    <t>1491</t>
  </si>
  <si>
    <t>3356</t>
  </si>
  <si>
    <t>3290</t>
  </si>
  <si>
    <t>4514</t>
  </si>
  <si>
    <t>1245</t>
  </si>
  <si>
    <t>3863</t>
  </si>
  <si>
    <t>34592</t>
  </si>
  <si>
    <t>1536</t>
  </si>
  <si>
    <t>1621</t>
  </si>
  <si>
    <t>4306</t>
  </si>
  <si>
    <t>6975</t>
  </si>
  <si>
    <t>1208</t>
  </si>
  <si>
    <t>2934</t>
  </si>
  <si>
    <t>3934</t>
  </si>
  <si>
    <t>7928</t>
  </si>
  <si>
    <t>10836</t>
  </si>
  <si>
    <t>1141</t>
  </si>
  <si>
    <t>4741</t>
  </si>
  <si>
    <t>2855</t>
  </si>
  <si>
    <t>2773</t>
  </si>
  <si>
    <t>13926</t>
  </si>
  <si>
    <t>9005</t>
  </si>
  <si>
    <t>2101</t>
  </si>
  <si>
    <t>801</t>
  </si>
  <si>
    <t>78621</t>
  </si>
  <si>
    <t>226387</t>
  </si>
  <si>
    <t>5388</t>
  </si>
  <si>
    <t>3093</t>
  </si>
  <si>
    <t>6215</t>
  </si>
  <si>
    <t>1612</t>
  </si>
  <si>
    <t>1547</t>
  </si>
  <si>
    <t>2052</t>
  </si>
  <si>
    <t>1601</t>
  </si>
  <si>
    <t>730</t>
  </si>
  <si>
    <t>4661</t>
  </si>
  <si>
    <t>27781</t>
  </si>
  <si>
    <t>31628</t>
  </si>
  <si>
    <t>20038</t>
  </si>
  <si>
    <t>11590</t>
  </si>
  <si>
    <t>3330</t>
  </si>
  <si>
    <t>1959</t>
  </si>
  <si>
    <t>3238</t>
  </si>
  <si>
    <t>720</t>
  </si>
  <si>
    <t>1901</t>
  </si>
  <si>
    <t>1935</t>
  </si>
  <si>
    <t>44711</t>
  </si>
  <si>
    <t>1955</t>
  </si>
  <si>
    <t>2426</t>
  </si>
  <si>
    <t>370</t>
  </si>
  <si>
    <t>1975</t>
  </si>
  <si>
    <t>2171</t>
  </si>
  <si>
    <t>3241</t>
  </si>
  <si>
    <t>2605</t>
  </si>
  <si>
    <t>23121</t>
  </si>
  <si>
    <t>891</t>
  </si>
  <si>
    <t>1203</t>
  </si>
  <si>
    <t>2682</t>
  </si>
  <si>
    <t>3933</t>
  </si>
  <si>
    <t>826</t>
  </si>
  <si>
    <t>2033</t>
  </si>
  <si>
    <t>2507</t>
  </si>
  <si>
    <t>5694</t>
  </si>
  <si>
    <t>7902</t>
  </si>
  <si>
    <t>726</t>
  </si>
  <si>
    <t>3221</t>
  </si>
  <si>
    <t>1943</t>
  </si>
  <si>
    <t>1968</t>
  </si>
  <si>
    <t>9370</t>
  </si>
  <si>
    <t>1739</t>
  </si>
  <si>
    <t>462</t>
  </si>
  <si>
    <t>53110</t>
  </si>
  <si>
    <t>148723</t>
  </si>
  <si>
    <t>3640</t>
  </si>
  <si>
    <t>884</t>
  </si>
  <si>
    <t>2722</t>
  </si>
  <si>
    <t>819</t>
  </si>
  <si>
    <t>858</t>
  </si>
  <si>
    <t>413</t>
  </si>
  <si>
    <t>607</t>
  </si>
  <si>
    <t>601</t>
  </si>
  <si>
    <t>482</t>
  </si>
  <si>
    <t>14143</t>
  </si>
  <si>
    <t>19775</t>
  </si>
  <si>
    <t>13563</t>
  </si>
  <si>
    <t>6212</t>
  </si>
  <si>
    <t>1481</t>
  </si>
  <si>
    <t>1311</t>
  </si>
  <si>
    <t>368</t>
  </si>
  <si>
    <t>767</t>
  </si>
  <si>
    <t>1031</t>
  </si>
  <si>
    <t>26539</t>
  </si>
  <si>
    <t>1106</t>
  </si>
  <si>
    <t>1343</t>
  </si>
  <si>
    <t>1861</t>
  </si>
  <si>
    <t>284</t>
  </si>
  <si>
    <t>1150</t>
  </si>
  <si>
    <t>489</t>
  </si>
  <si>
    <t>1093</t>
  </si>
  <si>
    <t>1119</t>
  </si>
  <si>
    <t>1273</t>
  </si>
  <si>
    <t>495</t>
  </si>
  <si>
    <t>1258</t>
  </si>
  <si>
    <t>11471</t>
  </si>
  <si>
    <t>418</t>
  </si>
  <si>
    <t>1624</t>
  </si>
  <si>
    <t>382</t>
  </si>
  <si>
    <t>901</t>
  </si>
  <si>
    <t>1427</t>
  </si>
  <si>
    <t>2234</t>
  </si>
  <si>
    <t>415</t>
  </si>
  <si>
    <t>1520</t>
  </si>
  <si>
    <t>805</t>
  </si>
  <si>
    <t>4556</t>
  </si>
  <si>
    <t>2995</t>
  </si>
  <si>
    <t>362</t>
  </si>
  <si>
    <t>339</t>
  </si>
  <si>
    <t>25511</t>
  </si>
  <si>
    <t>77664</t>
  </si>
  <si>
    <t>7951</t>
  </si>
  <si>
    <t>3635</t>
  </si>
  <si>
    <t>8705</t>
  </si>
  <si>
    <t>2218</t>
  </si>
  <si>
    <t>2132</t>
  </si>
  <si>
    <t>862</t>
  </si>
  <si>
    <t>2414</t>
  </si>
  <si>
    <t>1899</t>
  </si>
  <si>
    <t>1041</t>
  </si>
  <si>
    <t>7135</t>
  </si>
  <si>
    <t>37992</t>
  </si>
  <si>
    <t>47129</t>
  </si>
  <si>
    <t>31290</t>
  </si>
  <si>
    <t>15839</t>
  </si>
  <si>
    <t>4067</t>
  </si>
  <si>
    <t>3023</t>
  </si>
  <si>
    <t>4436</t>
  </si>
  <si>
    <t>980</t>
  </si>
  <si>
    <t>2642</t>
  </si>
  <si>
    <t>64668</t>
  </si>
  <si>
    <t>2746</t>
  </si>
  <si>
    <t>3391</t>
  </si>
  <si>
    <t>5337</t>
  </si>
  <si>
    <t>521</t>
  </si>
  <si>
    <t>2745</t>
  </si>
  <si>
    <t>1321</t>
  </si>
  <si>
    <t>2984</t>
  </si>
  <si>
    <t>4321</t>
  </si>
  <si>
    <t>1068</t>
  </si>
  <si>
    <t>3287</t>
  </si>
  <si>
    <t>30576</t>
  </si>
  <si>
    <t>1508</t>
  </si>
  <si>
    <t>3802</t>
  </si>
  <si>
    <t>6418</t>
  </si>
  <si>
    <t>1156</t>
  </si>
  <si>
    <t>2769</t>
  </si>
  <si>
    <t>3395</t>
  </si>
  <si>
    <t>6135</t>
  </si>
  <si>
    <t>9390</t>
  </si>
  <si>
    <t>992</t>
  </si>
  <si>
    <t>4464</t>
  </si>
  <si>
    <t>2482</t>
  </si>
  <si>
    <t>2350</t>
  </si>
  <si>
    <t>11933</t>
  </si>
  <si>
    <t>8345</t>
  </si>
  <si>
    <t>1850</t>
  </si>
  <si>
    <t>688</t>
  </si>
  <si>
    <t>69027</t>
  </si>
  <si>
    <t>202263</t>
  </si>
  <si>
    <t>4671</t>
  </si>
  <si>
    <t>2863</t>
  </si>
  <si>
    <t>6078</t>
  </si>
  <si>
    <t>1379</t>
  </si>
  <si>
    <t>509</t>
  </si>
  <si>
    <t>1841</t>
  </si>
  <si>
    <t>635</t>
  </si>
  <si>
    <t>4274</t>
  </si>
  <si>
    <t>25064</t>
  </si>
  <si>
    <t>28379</t>
  </si>
  <si>
    <t>18178</t>
  </si>
  <si>
    <t>10201</t>
  </si>
  <si>
    <t>2806</t>
  </si>
  <si>
    <t>1793</t>
  </si>
  <si>
    <t>2817</t>
  </si>
  <si>
    <t>637</t>
  </si>
  <si>
    <t>1720</t>
  </si>
  <si>
    <t>39853</t>
  </si>
  <si>
    <t>1734</t>
  </si>
  <si>
    <t>2178</t>
  </si>
  <si>
    <t>3666</t>
  </si>
  <si>
    <t>282</t>
  </si>
  <si>
    <t>1676</t>
  </si>
  <si>
    <t>1854</t>
  </si>
  <si>
    <t>3253</t>
  </si>
  <si>
    <t>660</t>
  </si>
  <si>
    <t>2209</t>
  </si>
  <si>
    <t>20392</t>
  </si>
  <si>
    <t>754</t>
  </si>
  <si>
    <t>1127</t>
  </si>
  <si>
    <t>2298</t>
  </si>
  <si>
    <t>3581</t>
  </si>
  <si>
    <t>808</t>
  </si>
  <si>
    <t>1962</t>
  </si>
  <si>
    <t>2094</t>
  </si>
  <si>
    <t>4327</t>
  </si>
  <si>
    <t>6844</t>
  </si>
  <si>
    <t>609</t>
  </si>
  <si>
    <t>2998</t>
  </si>
  <si>
    <t>1663</t>
  </si>
  <si>
    <t>1656</t>
  </si>
  <si>
    <t>8100</t>
  </si>
  <si>
    <t>5481</t>
  </si>
  <si>
    <t>1511</t>
  </si>
  <si>
    <t>396</t>
  </si>
  <si>
    <t>46209</t>
  </si>
  <si>
    <t>131518</t>
  </si>
  <si>
    <t>3280</t>
  </si>
  <si>
    <t>772</t>
  </si>
  <si>
    <t>2627</t>
  </si>
  <si>
    <t>753</t>
  </si>
  <si>
    <t>353</t>
  </si>
  <si>
    <t>573</t>
  </si>
  <si>
    <t>549</t>
  </si>
  <si>
    <t>406</t>
  </si>
  <si>
    <t>2861</t>
  </si>
  <si>
    <t>12928</t>
  </si>
  <si>
    <t>18750</t>
  </si>
  <si>
    <t>13112</t>
  </si>
  <si>
    <t>5638</t>
  </si>
  <si>
    <t>1261</t>
  </si>
  <si>
    <t>1230</t>
  </si>
  <si>
    <t>1619</t>
  </si>
  <si>
    <t>343</t>
  </si>
  <si>
    <t>690</t>
  </si>
  <si>
    <t>922</t>
  </si>
  <si>
    <t>24815</t>
  </si>
  <si>
    <t>1012</t>
  </si>
  <si>
    <t>1213</t>
  </si>
  <si>
    <t>1671</t>
  </si>
  <si>
    <t>239</t>
  </si>
  <si>
    <t>1069</t>
  </si>
  <si>
    <t>416</t>
  </si>
  <si>
    <t>1009</t>
  </si>
  <si>
    <t>1001</t>
  </si>
  <si>
    <t>408</t>
  </si>
  <si>
    <t>1078</t>
  </si>
  <si>
    <t>10184</t>
  </si>
  <si>
    <t>596</t>
  </si>
  <si>
    <t>381</t>
  </si>
  <si>
    <t>1504</t>
  </si>
  <si>
    <t>2837</t>
  </si>
  <si>
    <t>348</t>
  </si>
  <si>
    <t>807</t>
  </si>
  <si>
    <t>1808</t>
  </si>
  <si>
    <t>2546</t>
  </si>
  <si>
    <t>383</t>
  </si>
  <si>
    <t>1466</t>
  </si>
  <si>
    <t>694</t>
  </si>
  <si>
    <t>3833</t>
  </si>
  <si>
    <t>2864</t>
  </si>
  <si>
    <t>292</t>
  </si>
  <si>
    <t>22818</t>
  </si>
  <si>
    <t>70745</t>
  </si>
  <si>
    <t>7339</t>
  </si>
  <si>
    <t>3420</t>
  </si>
  <si>
    <t>8235</t>
  </si>
  <si>
    <t>2136</t>
  </si>
  <si>
    <t>1970</t>
  </si>
  <si>
    <t>712</t>
  </si>
  <si>
    <t>1599</t>
  </si>
  <si>
    <t>885</t>
  </si>
  <si>
    <t>6297</t>
  </si>
  <si>
    <t>34645</t>
  </si>
  <si>
    <t>42697</t>
  </si>
  <si>
    <t>28583</t>
  </si>
  <si>
    <t>14114</t>
  </si>
  <si>
    <t>3781</t>
  </si>
  <si>
    <t>2786</t>
  </si>
  <si>
    <t>3866</t>
  </si>
  <si>
    <t>851</t>
  </si>
  <si>
    <t>2296</t>
  </si>
  <si>
    <t>58315</t>
  </si>
  <si>
    <t>2601</t>
  </si>
  <si>
    <t>2948</t>
  </si>
  <si>
    <t>4482</t>
  </si>
  <si>
    <t>2309</t>
  </si>
  <si>
    <t>2229</t>
  </si>
  <si>
    <t>2484</t>
  </si>
  <si>
    <t>4157</t>
  </si>
  <si>
    <t>962</t>
  </si>
  <si>
    <t>2706</t>
  </si>
  <si>
    <t>26561</t>
  </si>
  <si>
    <t>1165</t>
  </si>
  <si>
    <t>1507</t>
  </si>
  <si>
    <t>3254</t>
  </si>
  <si>
    <t>5656</t>
  </si>
  <si>
    <t>954</t>
  </si>
  <si>
    <t>2321</t>
  </si>
  <si>
    <t>3182</t>
  </si>
  <si>
    <t>5111</t>
  </si>
  <si>
    <t>7801</t>
  </si>
  <si>
    <t>961</t>
  </si>
  <si>
    <t>3906</t>
  </si>
  <si>
    <t>2168</t>
  </si>
  <si>
    <t>2064</t>
  </si>
  <si>
    <t>10321</t>
  </si>
  <si>
    <t>7530</t>
  </si>
  <si>
    <t>1550</t>
  </si>
  <si>
    <t>675</t>
  </si>
  <si>
    <t>60126</t>
  </si>
  <si>
    <t>179647</t>
  </si>
  <si>
    <t>4285</t>
  </si>
  <si>
    <t>5780</t>
  </si>
  <si>
    <t>1406</t>
  </si>
  <si>
    <t>399</t>
  </si>
  <si>
    <t>1540</t>
  </si>
  <si>
    <t>1112</t>
  </si>
  <si>
    <t>529</t>
  </si>
  <si>
    <t>3748</t>
  </si>
  <si>
    <t>22784</t>
  </si>
  <si>
    <t>25611</t>
  </si>
  <si>
    <t>16567</t>
  </si>
  <si>
    <t>9044</t>
  </si>
  <si>
    <t>2662</t>
  </si>
  <si>
    <t>1655</t>
  </si>
  <si>
    <t>2410</t>
  </si>
  <si>
    <t>567</t>
  </si>
  <si>
    <t>1438</t>
  </si>
  <si>
    <t>35837</t>
  </si>
  <si>
    <t>1639</t>
  </si>
  <si>
    <t>1881</t>
  </si>
  <si>
    <t>3072</t>
  </si>
  <si>
    <t>394</t>
  </si>
  <si>
    <t>1378</t>
  </si>
  <si>
    <t>700</t>
  </si>
  <si>
    <t>1487</t>
  </si>
  <si>
    <t>1634</t>
  </si>
  <si>
    <t>3195</t>
  </si>
  <si>
    <t>570</t>
  </si>
  <si>
    <t>1764</t>
  </si>
  <si>
    <t>17714</t>
  </si>
  <si>
    <t>617</t>
  </si>
  <si>
    <t>1196</t>
  </si>
  <si>
    <t>1894</t>
  </si>
  <si>
    <t>3101</t>
  </si>
  <si>
    <t>1570</t>
  </si>
  <si>
    <t>1983</t>
  </si>
  <si>
    <t>3624</t>
  </si>
  <si>
    <t>5793</t>
  </si>
  <si>
    <t>580</t>
  </si>
  <si>
    <t>2577</t>
  </si>
  <si>
    <t>1460</t>
  </si>
  <si>
    <t>1474</t>
  </si>
  <si>
    <t>7130</t>
  </si>
  <si>
    <t>4866</t>
  </si>
  <si>
    <t>1283</t>
  </si>
  <si>
    <t>40153</t>
  </si>
  <si>
    <t>116488</t>
  </si>
  <si>
    <t>3054</t>
  </si>
  <si>
    <t>736</t>
  </si>
  <si>
    <t>669</t>
  </si>
  <si>
    <t>313</t>
  </si>
  <si>
    <t>512</t>
  </si>
  <si>
    <t>487</t>
  </si>
  <si>
    <t>356</t>
  </si>
  <si>
    <t>2549</t>
  </si>
  <si>
    <t>11861</t>
  </si>
  <si>
    <t>17086</t>
  </si>
  <si>
    <t>12016</t>
  </si>
  <si>
    <t>5070</t>
  </si>
  <si>
    <t>1131</t>
  </si>
  <si>
    <t>1456</t>
  </si>
  <si>
    <t>600</t>
  </si>
  <si>
    <t>802</t>
  </si>
  <si>
    <t>22478</t>
  </si>
  <si>
    <t>1067</t>
  </si>
  <si>
    <t>1410</t>
  </si>
  <si>
    <t>235</t>
  </si>
  <si>
    <t>931</t>
  </si>
  <si>
    <t>354</t>
  </si>
  <si>
    <t>742</t>
  </si>
  <si>
    <t>850</t>
  </si>
  <si>
    <t>392</t>
  </si>
  <si>
    <t>942</t>
  </si>
  <si>
    <t>548</t>
  </si>
  <si>
    <t>311</t>
  </si>
  <si>
    <t>1360</t>
  </si>
  <si>
    <t>2555</t>
  </si>
  <si>
    <t>317</t>
  </si>
  <si>
    <t>751</t>
  </si>
  <si>
    <t>1199</t>
  </si>
  <si>
    <t>2008</t>
  </si>
  <si>
    <t>1329</t>
  </si>
  <si>
    <t>708</t>
  </si>
  <si>
    <t>3191</t>
  </si>
  <si>
    <t>2664</t>
  </si>
  <si>
    <t>267</t>
  </si>
  <si>
    <t>307</t>
  </si>
  <si>
    <t>19973</t>
  </si>
  <si>
    <t>63159</t>
  </si>
  <si>
    <t>6498</t>
  </si>
  <si>
    <t>3197</t>
  </si>
  <si>
    <t>7848</t>
  </si>
  <si>
    <t>1933</t>
  </si>
  <si>
    <t>1797</t>
  </si>
  <si>
    <t>676</t>
  </si>
  <si>
    <t>1873</t>
  </si>
  <si>
    <t>784</t>
  </si>
  <si>
    <t>5660</t>
  </si>
  <si>
    <t>31675</t>
  </si>
  <si>
    <t>38784</t>
  </si>
  <si>
    <t>25406</t>
  </si>
  <si>
    <t>13378</t>
  </si>
  <si>
    <t>3017</t>
  </si>
  <si>
    <t>2495</t>
  </si>
  <si>
    <t>3537</t>
  </si>
  <si>
    <t>1920</t>
  </si>
  <si>
    <t>52372</t>
  </si>
  <si>
    <t>2335</t>
  </si>
  <si>
    <t>2772</t>
  </si>
  <si>
    <t>3799</t>
  </si>
  <si>
    <t>2087</t>
  </si>
  <si>
    <t>989</t>
  </si>
  <si>
    <t>2268</t>
  </si>
  <si>
    <t>4176</t>
  </si>
  <si>
    <t>857</t>
  </si>
  <si>
    <t>2427</t>
  </si>
  <si>
    <t>24090</t>
  </si>
  <si>
    <t>2913</t>
  </si>
  <si>
    <t>5043</t>
  </si>
  <si>
    <t>2728</t>
  </si>
  <si>
    <t>4579</t>
  </si>
  <si>
    <t>5620</t>
  </si>
  <si>
    <t>856</t>
  </si>
  <si>
    <t>3298</t>
  </si>
  <si>
    <t>1862</t>
  </si>
  <si>
    <t>1947</t>
  </si>
  <si>
    <t>8767</t>
  </si>
  <si>
    <t>6430</t>
  </si>
  <si>
    <t>1330</t>
  </si>
  <si>
    <t>586</t>
  </si>
  <si>
    <t>51181</t>
  </si>
  <si>
    <t>159318</t>
  </si>
  <si>
    <t>2561</t>
  </si>
  <si>
    <t>5502</t>
  </si>
  <si>
    <t>1202</t>
  </si>
  <si>
    <t>373</t>
  </si>
  <si>
    <t>1400</t>
  </si>
  <si>
    <t>480</t>
  </si>
  <si>
    <t>3317</t>
  </si>
  <si>
    <t>20955</t>
  </si>
  <si>
    <t>23178</t>
  </si>
  <si>
    <t>14610</t>
  </si>
  <si>
    <t>8568</t>
  </si>
  <si>
    <t>2084</t>
  </si>
  <si>
    <t>1452</t>
  </si>
  <si>
    <t>2230</t>
  </si>
  <si>
    <t>557</t>
  </si>
  <si>
    <t>1249</t>
  </si>
  <si>
    <t>1192</t>
  </si>
  <si>
    <t>31942</t>
  </si>
  <si>
    <t>1500</t>
  </si>
  <si>
    <t>1809</t>
  </si>
  <si>
    <t>215</t>
  </si>
  <si>
    <t>1231</t>
  </si>
  <si>
    <t>1339</t>
  </si>
  <si>
    <t>3228</t>
  </si>
  <si>
    <t>501</t>
  </si>
  <si>
    <t>1566</t>
  </si>
  <si>
    <t>16115</t>
  </si>
  <si>
    <t>588</t>
  </si>
  <si>
    <t>984</t>
  </si>
  <si>
    <t>1673</t>
  </si>
  <si>
    <t>499</t>
  </si>
  <si>
    <t>1462</t>
  </si>
  <si>
    <t>1697</t>
  </si>
  <si>
    <t>3248</t>
  </si>
  <si>
    <t>4178</t>
  </si>
  <si>
    <t>508</t>
  </si>
  <si>
    <t>2222</t>
  </si>
  <si>
    <t>1250</t>
  </si>
  <si>
    <t>1328</t>
  </si>
  <si>
    <t>5978</t>
  </si>
  <si>
    <t>4165</t>
  </si>
  <si>
    <t>1110</t>
  </si>
  <si>
    <t>33979</t>
  </si>
  <si>
    <t>102991</t>
  </si>
  <si>
    <t>636</t>
  </si>
  <si>
    <t>2346</t>
  </si>
  <si>
    <t>610</t>
  </si>
  <si>
    <t>595</t>
  </si>
  <si>
    <t>303</t>
  </si>
  <si>
    <t>423</t>
  </si>
  <si>
    <t>304</t>
  </si>
  <si>
    <t>2343</t>
  </si>
  <si>
    <t>15606</t>
  </si>
  <si>
    <t>10796</t>
  </si>
  <si>
    <t>4810</t>
  </si>
  <si>
    <t>933</t>
  </si>
  <si>
    <t>1043</t>
  </si>
  <si>
    <t>1307</t>
  </si>
  <si>
    <t>262</t>
  </si>
  <si>
    <t>551</t>
  </si>
  <si>
    <t>728</t>
  </si>
  <si>
    <t>20430</t>
  </si>
  <si>
    <t>835</t>
  </si>
  <si>
    <t>963</t>
  </si>
  <si>
    <t>147</t>
  </si>
  <si>
    <t>314</t>
  </si>
  <si>
    <t>679</t>
  </si>
  <si>
    <t>758</t>
  </si>
  <si>
    <t>948</t>
  </si>
  <si>
    <t>861</t>
  </si>
  <si>
    <t>7975</t>
  </si>
  <si>
    <t>500</t>
  </si>
  <si>
    <t>246</t>
  </si>
  <si>
    <t>1240</t>
  </si>
  <si>
    <t>2271</t>
  </si>
  <si>
    <t>273</t>
  </si>
  <si>
    <t>670</t>
  </si>
  <si>
    <t>1331</t>
  </si>
  <si>
    <t>1442</t>
  </si>
  <si>
    <t>1076</t>
  </si>
  <si>
    <t>612</t>
  </si>
  <si>
    <t>619</t>
  </si>
  <si>
    <t>2789</t>
  </si>
  <si>
    <t>2265</t>
  </si>
  <si>
    <t>220</t>
  </si>
  <si>
    <t>269</t>
  </si>
  <si>
    <t>17202</t>
  </si>
  <si>
    <t>56327</t>
  </si>
  <si>
    <t>6076</t>
  </si>
  <si>
    <t>3135</t>
  </si>
  <si>
    <t>7609</t>
  </si>
  <si>
    <t>1755</t>
  </si>
  <si>
    <t>1674</t>
  </si>
  <si>
    <t>587</t>
  </si>
  <si>
    <t>734</t>
  </si>
  <si>
    <t>5218</t>
  </si>
  <si>
    <t>29844</t>
  </si>
  <si>
    <t>36262</t>
  </si>
  <si>
    <t>23903</t>
  </si>
  <si>
    <t>12359</t>
  </si>
  <si>
    <t>3331</t>
  </si>
  <si>
    <t>745</t>
  </si>
  <si>
    <t>1777</t>
  </si>
  <si>
    <t>48711</t>
  </si>
  <si>
    <t>2199</t>
  </si>
  <si>
    <t>2483</t>
  </si>
  <si>
    <t>3361</t>
  </si>
  <si>
    <t>1907</t>
  </si>
  <si>
    <t>909</t>
  </si>
  <si>
    <t>1752</t>
  </si>
  <si>
    <t>2105</t>
  </si>
  <si>
    <t>3996</t>
  </si>
  <si>
    <t>752</t>
  </si>
  <si>
    <t>2239</t>
  </si>
  <si>
    <t>22006</t>
  </si>
  <si>
    <t>1104</t>
  </si>
  <si>
    <t>2850</t>
  </si>
  <si>
    <t>5026</t>
  </si>
  <si>
    <t>722</t>
  </si>
  <si>
    <t>1917</t>
  </si>
  <si>
    <t>2155</t>
  </si>
  <si>
    <t>3948</t>
  </si>
  <si>
    <t>4817</t>
  </si>
  <si>
    <t>737</t>
  </si>
  <si>
    <t>3138</t>
  </si>
  <si>
    <t>1804</t>
  </si>
  <si>
    <t>1646</t>
  </si>
  <si>
    <t>7527</t>
  </si>
  <si>
    <t>6068</t>
  </si>
  <si>
    <t>496</t>
  </si>
  <si>
    <t>46230</t>
  </si>
  <si>
    <t>146791</t>
  </si>
  <si>
    <t>3483</t>
  </si>
  <si>
    <t>2514</t>
  </si>
  <si>
    <t>5458</t>
  </si>
  <si>
    <t>1205</t>
  </si>
  <si>
    <t>315</t>
  </si>
  <si>
    <t>926</t>
  </si>
  <si>
    <t>437</t>
  </si>
  <si>
    <t>3075</t>
  </si>
  <si>
    <t>19733</t>
  </si>
  <si>
    <t>21449</t>
  </si>
  <si>
    <t>13643</t>
  </si>
  <si>
    <t>7806</t>
  </si>
  <si>
    <t>1679</t>
  </si>
  <si>
    <t>1381</t>
  </si>
  <si>
    <t>2102</t>
  </si>
  <si>
    <t>1144</t>
  </si>
  <si>
    <t>1129</t>
  </si>
  <si>
    <t>29383</t>
  </si>
  <si>
    <t>1418</t>
  </si>
  <si>
    <t>1529</t>
  </si>
  <si>
    <t>2195</t>
  </si>
  <si>
    <t>183</t>
  </si>
  <si>
    <t>1099</t>
  </si>
  <si>
    <t>1116</t>
  </si>
  <si>
    <t>3142</t>
  </si>
  <si>
    <t>14556</t>
  </si>
  <si>
    <t>515</t>
  </si>
  <si>
    <t>877</t>
  </si>
  <si>
    <t>1654</t>
  </si>
  <si>
    <t>1315</t>
  </si>
  <si>
    <t>435</t>
  </si>
  <si>
    <t>2122</t>
  </si>
  <si>
    <t>1189</t>
  </si>
  <si>
    <t>1111</t>
  </si>
  <si>
    <t>5133</t>
  </si>
  <si>
    <t>3964</t>
  </si>
  <si>
    <t>1014</t>
  </si>
  <si>
    <t>258</t>
  </si>
  <si>
    <t>30367</t>
  </si>
  <si>
    <t>94039</t>
  </si>
  <si>
    <t>2593</t>
  </si>
  <si>
    <t>621</t>
  </si>
  <si>
    <t>2151</t>
  </si>
  <si>
    <t>550</t>
  </si>
  <si>
    <t>591</t>
  </si>
  <si>
    <t>272</t>
  </si>
  <si>
    <t>447</t>
  </si>
  <si>
    <t>395</t>
  </si>
  <si>
    <t>297</t>
  </si>
  <si>
    <t>2143</t>
  </si>
  <si>
    <t>10111</t>
  </si>
  <si>
    <t>14813</t>
  </si>
  <si>
    <t>10260</t>
  </si>
  <si>
    <t>4553</t>
  </si>
  <si>
    <t>860</t>
  </si>
  <si>
    <t>1039</t>
  </si>
  <si>
    <t>1229</t>
  </si>
  <si>
    <t>493</t>
  </si>
  <si>
    <t>648</t>
  </si>
  <si>
    <t>19328</t>
  </si>
  <si>
    <t>781</t>
  </si>
  <si>
    <t>1166</t>
  </si>
  <si>
    <t>120</t>
  </si>
  <si>
    <t>714</t>
  </si>
  <si>
    <t>854</t>
  </si>
  <si>
    <t>7450</t>
  </si>
  <si>
    <t>520</t>
  </si>
  <si>
    <t>227</t>
  </si>
  <si>
    <t>248</t>
  </si>
  <si>
    <t>602</t>
  </si>
  <si>
    <t>1306</t>
  </si>
  <si>
    <t>302</t>
  </si>
  <si>
    <t>615</t>
  </si>
  <si>
    <t>535</t>
  </si>
  <si>
    <t>2394</t>
  </si>
  <si>
    <t>2104</t>
  </si>
  <si>
    <t>226</t>
  </si>
  <si>
    <t>238</t>
  </si>
  <si>
    <t>15863</t>
  </si>
  <si>
    <t>52752</t>
  </si>
  <si>
    <t>5072</t>
  </si>
  <si>
    <t>2783</t>
  </si>
  <si>
    <t>6421</t>
  </si>
  <si>
    <t>1367</t>
  </si>
  <si>
    <t>472</t>
  </si>
  <si>
    <t>1102</t>
  </si>
  <si>
    <t>1168</t>
  </si>
  <si>
    <t>556</t>
  </si>
  <si>
    <t>4656</t>
  </si>
  <si>
    <t>25113</t>
  </si>
  <si>
    <t>31033</t>
  </si>
  <si>
    <t>20895</t>
  </si>
  <si>
    <t>0</t>
  </si>
  <si>
    <t>2922</t>
  </si>
  <si>
    <t>1538</t>
  </si>
  <si>
    <t>41643</t>
  </si>
  <si>
    <t>1680</t>
  </si>
  <si>
    <t>2066</t>
  </si>
  <si>
    <t>2595</t>
  </si>
  <si>
    <t>1670</t>
  </si>
  <si>
    <t>775</t>
  </si>
  <si>
    <t>1726</t>
  </si>
  <si>
    <t>3800</t>
  </si>
  <si>
    <t>18471</t>
  </si>
  <si>
    <t>915</t>
  </si>
  <si>
    <t>4333</t>
  </si>
  <si>
    <t>618</t>
  </si>
  <si>
    <t>1467</t>
  </si>
  <si>
    <t>2649</t>
  </si>
  <si>
    <t>3084</t>
  </si>
  <si>
    <t>544</t>
  </si>
  <si>
    <t>1987</t>
  </si>
  <si>
    <t>1537</t>
  </si>
  <si>
    <t>1372</t>
  </si>
  <si>
    <t>6322</t>
  </si>
  <si>
    <t>4812</t>
  </si>
  <si>
    <t>389</t>
  </si>
  <si>
    <t>35622</t>
  </si>
  <si>
    <t>120849</t>
  </si>
  <si>
    <t>2923</t>
  </si>
  <si>
    <t>2252</t>
  </si>
  <si>
    <t>4848</t>
  </si>
  <si>
    <t>908</t>
  </si>
  <si>
    <t>911</t>
  </si>
  <si>
    <t>251</t>
  </si>
  <si>
    <t>681</t>
  </si>
  <si>
    <t>305</t>
  </si>
  <si>
    <t>2780</t>
  </si>
  <si>
    <t>16687</t>
  </si>
  <si>
    <t>18295</t>
  </si>
  <si>
    <t>11991</t>
  </si>
  <si>
    <t>1364</t>
  </si>
  <si>
    <t>1247</t>
  </si>
  <si>
    <t>1830</t>
  </si>
  <si>
    <t>455</t>
  </si>
  <si>
    <t>865</t>
  </si>
  <si>
    <t>25045</t>
  </si>
  <si>
    <t>100</t>
  </si>
  <si>
    <t>983</t>
  </si>
  <si>
    <t>875</t>
  </si>
  <si>
    <t>1114</t>
  </si>
  <si>
    <t>3172</t>
  </si>
  <si>
    <t>361</t>
  </si>
  <si>
    <t>1264</t>
  </si>
  <si>
    <t>12339</t>
  </si>
  <si>
    <t>715</t>
  </si>
  <si>
    <t>1217</t>
  </si>
  <si>
    <t>2453</t>
  </si>
  <si>
    <t>384</t>
  </si>
  <si>
    <t>993</t>
  </si>
  <si>
    <t>843</t>
  </si>
  <si>
    <t>1960</t>
  </si>
  <si>
    <t>2236</t>
  </si>
  <si>
    <t>300</t>
  </si>
  <si>
    <t>1363</t>
  </si>
  <si>
    <t>917</t>
  </si>
  <si>
    <t>4360</t>
  </si>
  <si>
    <t>3104</t>
  </si>
  <si>
    <t>205</t>
  </si>
  <si>
    <t>23377</t>
  </si>
  <si>
    <t>77448</t>
  </si>
  <si>
    <t>2149</t>
  </si>
  <si>
    <t>531</t>
  </si>
  <si>
    <t>1573</t>
  </si>
  <si>
    <t>459</t>
  </si>
  <si>
    <t>221</t>
  </si>
  <si>
    <t>421</t>
  </si>
  <si>
    <t>363</t>
  </si>
  <si>
    <t>1876</t>
  </si>
  <si>
    <t>8426</t>
  </si>
  <si>
    <t>12738</t>
  </si>
  <si>
    <t>8904</t>
  </si>
  <si>
    <t>1092</t>
  </si>
  <si>
    <t>222</t>
  </si>
  <si>
    <t>380</t>
  </si>
  <si>
    <t>16598</t>
  </si>
  <si>
    <t>821</t>
  </si>
  <si>
    <t>916</t>
  </si>
  <si>
    <t>83</t>
  </si>
  <si>
    <t>687</t>
  </si>
  <si>
    <t>562</t>
  </si>
  <si>
    <t>628</t>
  </si>
  <si>
    <t>6132</t>
  </si>
  <si>
    <t>441</t>
  </si>
  <si>
    <t>194</t>
  </si>
  <si>
    <t>1880</t>
  </si>
  <si>
    <t>234</t>
  </si>
  <si>
    <t>665</t>
  </si>
  <si>
    <t>689</t>
  </si>
  <si>
    <t>848</t>
  </si>
  <si>
    <t>244</t>
  </si>
  <si>
    <t>624</t>
  </si>
  <si>
    <t>438</t>
  </si>
  <si>
    <t>1708</t>
  </si>
  <si>
    <t>177</t>
  </si>
  <si>
    <t>184</t>
  </si>
  <si>
    <t>12245</t>
  </si>
  <si>
    <t>43401</t>
  </si>
  <si>
    <t>24.9111862057014</t>
  </si>
  <si>
    <t>8.99958999589996</t>
  </si>
  <si>
    <t>25.4760341431385</t>
  </si>
  <si>
    <t>17.2858458704329</t>
  </si>
  <si>
    <t>17.5813953488372</t>
  </si>
  <si>
    <t>13.5214579659024</t>
  </si>
  <si>
    <t>10.2166276346604</t>
  </si>
  <si>
    <t>6.65083135391924</t>
  </si>
  <si>
    <t>12.9255989911728</t>
  </si>
  <si>
    <t>28.1806162920777</t>
  </si>
  <si>
    <t>20.4597314180975</t>
  </si>
  <si>
    <t>13.7453697790267</t>
  </si>
  <si>
    <t>17.2278758212031</t>
  </si>
  <si>
    <t>8.06986606205651</t>
  </si>
  <si>
    <t>7.23384895359418</t>
  </si>
  <si>
    <t>11.105722599418</t>
  </si>
  <si>
    <t>18.0776969509364</t>
  </si>
  <si>
    <t>12.6684636118598</t>
  </si>
  <si>
    <t>5.58749137732812</t>
  </si>
  <si>
    <t>8.75194199896427</t>
  </si>
  <si>
    <t>12.8270730453824</t>
  </si>
  <si>
    <t>14.0762463343109</t>
  </si>
  <si>
    <t>6.67730173199635</t>
  </si>
  <si>
    <t>6.95286022388826</t>
  </si>
  <si>
    <t>11.6</t>
  </si>
  <si>
    <t>14.9770759042282</t>
  </si>
  <si>
    <t>11.4851485148515</t>
  </si>
  <si>
    <t>8.92008639308855</t>
  </si>
  <si>
    <t>7.92470369509644</t>
  </si>
  <si>
    <t>9.09090909090909</t>
  </si>
  <si>
    <t>13.3769322235434</t>
  </si>
  <si>
    <t>7.65677740273583</t>
  </si>
  <si>
    <t>9.34915268652591</t>
  </si>
  <si>
    <t>9.97854077253219</t>
  </si>
  <si>
    <t>10.0932528798683</t>
  </si>
  <si>
    <t>18.159688412853</t>
  </si>
  <si>
    <t>11.3258731773483</t>
  </si>
  <si>
    <t>14.7169811320755</t>
  </si>
  <si>
    <t>7.39224656874549</t>
  </si>
  <si>
    <t>9.00576368876081</t>
  </si>
  <si>
    <t>3.16027088036117</t>
  </si>
  <si>
    <t>7.36954633527093</t>
  </si>
  <si>
    <t>12.5328083989501</t>
  </si>
  <si>
    <t>7.11571675302245</t>
  </si>
  <si>
    <t>8.20499203398832</t>
  </si>
  <si>
    <t>5.15356585111921</t>
  </si>
  <si>
    <t>4.55751962500706</t>
  </si>
  <si>
    <t>4.26595269968764</t>
  </si>
  <si>
    <t>6.94610778443114</t>
  </si>
  <si>
    <t>6.81818181818182</t>
  </si>
  <si>
    <t>7.38916740391232</t>
  </si>
  <si>
    <t>11.7689805404257</t>
  </si>
  <si>
    <t>27.9351875920631</t>
  </si>
  <si>
    <t>40.0574005740057</t>
  </si>
  <si>
    <t>32.5297814463934</t>
  </si>
  <si>
    <t>27.5099785078293</t>
  </si>
  <si>
    <t>30.4496124031008</t>
  </si>
  <si>
    <t>43.5626102292769</t>
  </si>
  <si>
    <t>42.7107728337237</t>
  </si>
  <si>
    <t>31.8883610451306</t>
  </si>
  <si>
    <t>40.7313997477932</t>
  </si>
  <si>
    <t>28.6789382690939</t>
  </si>
  <si>
    <t>32.2896794224367</t>
  </si>
  <si>
    <t>32.9432239110998</t>
  </si>
  <si>
    <t>32.3612005667912</t>
  </si>
  <si>
    <t>33.8917579879918</t>
  </si>
  <si>
    <t>32.9542007885957</t>
  </si>
  <si>
    <t>36.905916585839</t>
  </si>
  <si>
    <t>35.5517721714905</t>
  </si>
  <si>
    <t>33.0862533692722</t>
  </si>
  <si>
    <t>24.8562888020235</t>
  </si>
  <si>
    <t>42.9829104091144</t>
  </si>
  <si>
    <t>33.3575402766295</t>
  </si>
  <si>
    <t>30.3519061583578</t>
  </si>
  <si>
    <t>31.0847766636281</t>
  </si>
  <si>
    <t>26.6406490705556</t>
  </si>
  <si>
    <t>31.8666666666667</t>
  </si>
  <si>
    <t>31.3550687722873</t>
  </si>
  <si>
    <t>33.1683168316832</t>
  </si>
  <si>
    <t>35.4859611231102</t>
  </si>
  <si>
    <t>36.3699744364397</t>
  </si>
  <si>
    <t>24.9404153898536</t>
  </si>
  <si>
    <t>35.9690844233056</t>
  </si>
  <si>
    <t>24.0895363297211</t>
  </si>
  <si>
    <t>29.7123174076673</t>
  </si>
  <si>
    <t>31.2768240343348</t>
  </si>
  <si>
    <t>33.2967635765222</t>
  </si>
  <si>
    <t>24.6835443037975</t>
  </si>
  <si>
    <t>30.2249350062168</t>
  </si>
  <si>
    <t>27.3854447439353</t>
  </si>
  <si>
    <t>25.5718757524681</t>
  </si>
  <si>
    <t>27.7137367915466</t>
  </si>
  <si>
    <t>20.372460496614</t>
  </si>
  <si>
    <t>28.1953631322242</t>
  </si>
  <si>
    <t>29.3963254593176</t>
  </si>
  <si>
    <t>36.1830742659758</t>
  </si>
  <si>
    <t>29.9256505576208</t>
  </si>
  <si>
    <t>26.2363352420614</t>
  </si>
  <si>
    <t>22.8892528378607</t>
  </si>
  <si>
    <t>21.5261044176707</t>
  </si>
  <si>
    <t>35.3692614770459</t>
  </si>
  <si>
    <t>24.7835497835498</t>
  </si>
  <si>
    <t>26.2980438415413</t>
  </si>
  <si>
    <t>30.1124658506237</t>
  </si>
  <si>
    <t>23.351529330214</t>
  </si>
  <si>
    <t>21.8327183271833</t>
  </si>
  <si>
    <t>15.2330925804334</t>
  </si>
  <si>
    <t>24.5931839115751</t>
  </si>
  <si>
    <t>26.1395348837209</t>
  </si>
  <si>
    <t>22.8101116990006</t>
  </si>
  <si>
    <t>23.5655737704918</t>
  </si>
  <si>
    <t>28.3254156769596</t>
  </si>
  <si>
    <t>23.8965952080706</t>
  </si>
  <si>
    <t>25.3127224651683</t>
  </si>
  <si>
    <t>22.524595069764</t>
  </si>
  <si>
    <t>27.765359560608</t>
  </si>
  <si>
    <t>27.0539739791318</t>
  </si>
  <si>
    <t>28.9247176386615</t>
  </si>
  <si>
    <t>24.3403093721565</t>
  </si>
  <si>
    <t>28.2735208535403</t>
  </si>
  <si>
    <t>25.4449775576536</t>
  </si>
  <si>
    <t>27.8301886792453</t>
  </si>
  <si>
    <t>30.0988733042079</t>
  </si>
  <si>
    <t>27.4987053340238</t>
  </si>
  <si>
    <t>27.4719013250508</t>
  </si>
  <si>
    <t>31.3782991202346</t>
  </si>
  <si>
    <t>26.1622607110301</t>
  </si>
  <si>
    <t>28.6330491937969</t>
  </si>
  <si>
    <t>16.6666666666667</t>
  </si>
  <si>
    <t>27.1777890983189</t>
  </si>
  <si>
    <t>26.6336633663366</t>
  </si>
  <si>
    <t>26.3714902807775</t>
  </si>
  <si>
    <t>21.7987450615849</t>
  </si>
  <si>
    <t>22.9485869935308</t>
  </si>
  <si>
    <t>22.1165279429251</t>
  </si>
  <si>
    <t>27.8379818795523</t>
  </si>
  <si>
    <t>26.3570836256937</t>
  </si>
  <si>
    <t>32.1351931330472</t>
  </si>
  <si>
    <t>26.3302249040044</t>
  </si>
  <si>
    <t>29.1139240506329</t>
  </si>
  <si>
    <t>32.2934328020798</t>
  </si>
  <si>
    <t>33.4231805929919</t>
  </si>
  <si>
    <t>26.8962196002889</t>
  </si>
  <si>
    <t>27.209414024976</t>
  </si>
  <si>
    <t>30.0884123401053</t>
  </si>
  <si>
    <t>19.8236119462818</t>
  </si>
  <si>
    <t>23.0971128608924</t>
  </si>
  <si>
    <t>22.1070811744387</t>
  </si>
  <si>
    <t>18.4014869888476</t>
  </si>
  <si>
    <t>27.3555439875065</t>
  </si>
  <si>
    <t>25.3741458180381</t>
  </si>
  <si>
    <t>27.2824631860776</t>
  </si>
  <si>
    <t>21.0778443113772</t>
  </si>
  <si>
    <t>18.9393939393939</t>
  </si>
  <si>
    <t>25.9461319178217</t>
  </si>
  <si>
    <t>25.8534344760449</t>
  </si>
  <si>
    <t>23.8020968720215</t>
  </si>
  <si>
    <t>29.110291102911</t>
  </si>
  <si>
    <t>26.7610918300347</t>
  </si>
  <si>
    <t>30.6109917101627</t>
  </si>
  <si>
    <t>25.8294573643411</t>
  </si>
  <si>
    <t>20.1058201058201</t>
  </si>
  <si>
    <t>23.5070257611241</t>
  </si>
  <si>
    <t>33.1353919239905</t>
  </si>
  <si>
    <t>22.4464060529634</t>
  </si>
  <si>
    <t>17.8277229736601</t>
  </si>
  <si>
    <t>24.7259940897019</t>
  </si>
  <si>
    <t>25.5460467492656</t>
  </si>
  <si>
    <t>23.3569496328739</t>
  </si>
  <si>
    <t>29.1136583112903</t>
  </si>
  <si>
    <t>35.4716408856536</t>
  </si>
  <si>
    <t>23.7148399612027</t>
  </si>
  <si>
    <t>20.9255533199195</t>
  </si>
  <si>
    <t>26.4150943396226</t>
  </si>
  <si>
    <t>39.4573465164406</t>
  </si>
  <si>
    <t>20.7664422578975</t>
  </si>
  <si>
    <t>26.3434853529372</t>
  </si>
  <si>
    <t>24.1935483870968</t>
  </si>
  <si>
    <t>36.0756608933455</t>
  </si>
  <si>
    <t>37.7734415117593</t>
  </si>
  <si>
    <t>39.8666666666667</t>
  </si>
  <si>
    <t>26.4900662251656</t>
  </si>
  <si>
    <t>28.7128712871287</t>
  </si>
  <si>
    <t>29.2224622030238</t>
  </si>
  <si>
    <t>33.9065768068789</t>
  </si>
  <si>
    <t>43.0200885257065</t>
  </si>
  <si>
    <t>28.5374554102259</t>
  </si>
  <si>
    <t>40.4157043879908</t>
  </si>
  <si>
    <t>34.5814462801131</t>
  </si>
  <si>
    <t>26.6094420600858</t>
  </si>
  <si>
    <t>30.279758639605</t>
  </si>
  <si>
    <t>28.0428432327166</t>
  </si>
  <si>
    <t>26.1557590143551</t>
  </si>
  <si>
    <t>24.4743935309973</t>
  </si>
  <si>
    <t>40.1396580784975</t>
  </si>
  <si>
    <t>36.0710854947166</t>
  </si>
  <si>
    <t>46.3788562829195</t>
  </si>
  <si>
    <t>44.611478586223</t>
  </si>
  <si>
    <t>34.9737532808399</t>
  </si>
  <si>
    <t>34.594127806563</t>
  </si>
  <si>
    <t>43.4678704195433</t>
  </si>
  <si>
    <t>41.2545549193129</t>
  </si>
  <si>
    <t>47.1790817190941</t>
  </si>
  <si>
    <t>46.925479696564</t>
  </si>
  <si>
    <t>36.6067864271457</t>
  </si>
  <si>
    <t>49.4588744588745</t>
  </si>
  <si>
    <t>40.3666568367247</t>
  </si>
  <si>
    <t>32.2651191329058</t>
  </si>
  <si>
    <t>23.4382002330376</t>
  </si>
  <si>
    <t>8.53170423425321</t>
  </si>
  <si>
    <t>23.9307931570762</t>
  </si>
  <si>
    <t>16.7105263157895</t>
  </si>
  <si>
    <t>16.6720102596986</t>
  </si>
  <si>
    <t>12.7809890815671</t>
  </si>
  <si>
    <t>9.62392656203731</t>
  </si>
  <si>
    <t>6.05789316621904</t>
  </si>
  <si>
    <t>12.7814569536424</t>
  </si>
  <si>
    <t>28.5820105820106</t>
  </si>
  <si>
    <t>19.6352430420963</t>
  </si>
  <si>
    <t>13.2604507960551</t>
  </si>
  <si>
    <t>16.4416058394161</t>
  </si>
  <si>
    <t>7.80712338561916</t>
  </si>
  <si>
    <t>7.03953712632594</t>
  </si>
  <si>
    <t>10.7847976307996</t>
  </si>
  <si>
    <t>16.7390255668114</t>
  </si>
  <si>
    <t>12.7375087966221</t>
  </si>
  <si>
    <t>5.7732926543065</t>
  </si>
  <si>
    <t>8.64732989970182</t>
  </si>
  <si>
    <t>12.3739910624589</t>
  </si>
  <si>
    <t>14.0889004419028</t>
  </si>
  <si>
    <t>6.42890661661192</t>
  </si>
  <si>
    <t>7.04022988505747</t>
  </si>
  <si>
    <t>9.53716690042076</t>
  </si>
  <si>
    <t>13.5536766589803</t>
  </si>
  <si>
    <t>9.42065491183879</t>
  </si>
  <si>
    <t>8.87861834103624</t>
  </si>
  <si>
    <t>7.46760895170789</t>
  </si>
  <si>
    <t>8.29043138647257</t>
  </si>
  <si>
    <t>14.4891640866873</t>
  </si>
  <si>
    <t>8.11860940695296</t>
  </si>
  <si>
    <t>9.07755581668625</t>
  </si>
  <si>
    <t>9.32297447280799</t>
  </si>
  <si>
    <t>9.23715620134925</t>
  </si>
  <si>
    <t>17.7109865851588</t>
  </si>
  <si>
    <t>10.7917004752521</t>
  </si>
  <si>
    <t>15.2107513744655</t>
  </si>
  <si>
    <t>6.86922060766182</t>
  </si>
  <si>
    <t>8.18244327297731</t>
  </si>
  <si>
    <t>3.13060817547358</t>
  </si>
  <si>
    <t>6.61828111526301</t>
  </si>
  <si>
    <t>10.8031272210377</t>
  </si>
  <si>
    <t>6.89289501590668</t>
  </si>
  <si>
    <t>8.11462238885913</t>
  </si>
  <si>
    <t>4.42048517520216</t>
  </si>
  <si>
    <t>4.19604275642484</t>
  </si>
  <si>
    <t>4.41231343283582</t>
  </si>
  <si>
    <t>6.22740056247489</t>
  </si>
  <si>
    <t>5.87044534412955</t>
  </si>
  <si>
    <t>6.97466164648418</t>
  </si>
  <si>
    <t>11.2988433273131</t>
  </si>
  <si>
    <t>27.6866541184906</t>
  </si>
  <si>
    <t>41.0364440699389</t>
  </si>
  <si>
    <t>33.0093312597201</t>
  </si>
  <si>
    <t>25.9868421052632</t>
  </si>
  <si>
    <t>30.5226033985252</t>
  </si>
  <si>
    <t>42.2607578676943</t>
  </si>
  <si>
    <t>44.1516138584542</t>
  </si>
  <si>
    <t>29.3643688451209</t>
  </si>
  <si>
    <t>40.6622516556291</t>
  </si>
  <si>
    <t>28.2645502645503</t>
  </si>
  <si>
    <t>32.1594697263354</t>
  </si>
  <si>
    <t>32.5057213889392</t>
  </si>
  <si>
    <t>31.8508863399374</t>
  </si>
  <si>
    <t>33.6282790365107</t>
  </si>
  <si>
    <t>31.870781099325</t>
  </si>
  <si>
    <t>36.9940769990128</t>
  </si>
  <si>
    <t>34.651873291526</t>
  </si>
  <si>
    <t>32.5826882477129</t>
  </si>
  <si>
    <t>24.5247594461394</t>
  </si>
  <si>
    <t>43.3450799674709</t>
  </si>
  <si>
    <t>32.8945393240263</t>
  </si>
  <si>
    <t>31.0891603847154</t>
  </si>
  <si>
    <t>29.892069450962</t>
  </si>
  <si>
    <t>26.790450928382</t>
  </si>
  <si>
    <t>32.258064516129</t>
  </si>
  <si>
    <t>31.206764027671</t>
  </si>
  <si>
    <t>32.6952141057935</t>
  </si>
  <si>
    <t>35.8793480904889</t>
  </si>
  <si>
    <t>35.9481743227326</t>
  </si>
  <si>
    <t>24.7292739215338</t>
  </si>
  <si>
    <t>35.6037151702786</t>
  </si>
  <si>
    <t>26.40081799591</t>
  </si>
  <si>
    <t>29.9444092922354</t>
  </si>
  <si>
    <t>30.9655937846837</t>
  </si>
  <si>
    <t>33.8349766476388</t>
  </si>
  <si>
    <t>24.9617931737137</t>
  </si>
  <si>
    <t>29.5004057030254</t>
  </si>
  <si>
    <t>29.1386682956628</t>
  </si>
  <si>
    <t>26.1822985468956</t>
  </si>
  <si>
    <t>26.8164107265643</t>
  </si>
  <si>
    <t>20.5084745762712</t>
  </si>
  <si>
    <t>28.3774073009485</t>
  </si>
  <si>
    <t>30.0639658848614</t>
  </si>
  <si>
    <t>37.3453517143867</t>
  </si>
  <si>
    <t>29.5393679700054</t>
  </si>
  <si>
    <t>25.5256064690027</t>
  </si>
  <si>
    <t>22.1742096884239</t>
  </si>
  <si>
    <t>21.1287313432836</t>
  </si>
  <si>
    <t>35.0743270389715</t>
  </si>
  <si>
    <t>22.2672064777328</t>
  </si>
  <si>
    <t>26.1656660221838</t>
  </si>
  <si>
    <t>29.9388356327858</t>
  </si>
  <si>
    <t>23.877386394192</t>
  </si>
  <si>
    <t>22.7933431641036</t>
  </si>
  <si>
    <t>14.7258942457232</t>
  </si>
  <si>
    <t>24.6381578947368</t>
  </si>
  <si>
    <t>25.5530618788073</t>
  </si>
  <si>
    <t>22.4149004495825</t>
  </si>
  <si>
    <t>23.0974237488895</t>
  </si>
  <si>
    <t>28.9167412712623</t>
  </si>
  <si>
    <t>22.7152317880795</t>
  </si>
  <si>
    <t>24.8253968253968</t>
  </si>
  <si>
    <t>22.4707341654392</t>
  </si>
  <si>
    <t>27.5828572369396</t>
  </si>
  <si>
    <t>26.7361835245047</t>
  </si>
  <si>
    <t>29.0342762658086</t>
  </si>
  <si>
    <t>25.2812600450016</t>
  </si>
  <si>
    <t>27.6653504442251</t>
  </si>
  <si>
    <t>25.3738543174144</t>
  </si>
  <si>
    <t>27.8676988036594</t>
  </si>
  <si>
    <t>24.6890401314245</t>
  </si>
  <si>
    <t>26.2401734887503</t>
  </si>
  <si>
    <t>27.0678167688595</t>
  </si>
  <si>
    <t>30.387314790746</t>
  </si>
  <si>
    <t>25.668700140779</t>
  </si>
  <si>
    <t>28.5477453580902</t>
  </si>
  <si>
    <t>17.3913043478261</t>
  </si>
  <si>
    <t>27.3635664873174</t>
  </si>
  <si>
    <t>26.3476070528967</t>
  </si>
  <si>
    <t>23.9601070299197</t>
  </si>
  <si>
    <t>21.4369846878681</t>
  </si>
  <si>
    <t>22.0486419314752</t>
  </si>
  <si>
    <t>22.2291021671827</t>
  </si>
  <si>
    <t>26.0122699386503</t>
  </si>
  <si>
    <t>25.6011027750158</t>
  </si>
  <si>
    <t>28.8568257491676</t>
  </si>
  <si>
    <t>26.4660093409445</t>
  </si>
  <si>
    <t>27.5768381728647</t>
  </si>
  <si>
    <t>32.050539005448</t>
  </si>
  <si>
    <t>30.7269395235186</t>
  </si>
  <si>
    <t>24.8612945838838</t>
  </si>
  <si>
    <t>26.3350905340362</t>
  </si>
  <si>
    <t>28.0059820538385</t>
  </si>
  <si>
    <t>19.1865478585801</t>
  </si>
  <si>
    <t>22.316986496091</t>
  </si>
  <si>
    <t>21.5093672675857</t>
  </si>
  <si>
    <t>16.9523299410819</t>
  </si>
  <si>
    <t>27.0350404312668</t>
  </si>
  <si>
    <t>24.5565158062315</t>
  </si>
  <si>
    <t>27.4067164179104</t>
  </si>
  <si>
    <t>20.3696263559663</t>
  </si>
  <si>
    <t>18.6234817813765</t>
  </si>
  <si>
    <t>25.0391777755164</t>
  </si>
  <si>
    <t>25.2815092672744</t>
  </si>
  <si>
    <t>24.9977592542798</t>
  </si>
  <si>
    <t>27.6385085317042</t>
  </si>
  <si>
    <t>28.3339813374806</t>
  </si>
  <si>
    <t>32.6644736842105</t>
  </si>
  <si>
    <t>27.2523244629689</t>
  </si>
  <si>
    <t>22.5433526011561</t>
  </si>
  <si>
    <t>23.1270358306189</t>
  </si>
  <si>
    <t>35.6609967173978</t>
  </si>
  <si>
    <t>23.841059602649</t>
  </si>
  <si>
    <t>18.3280423280423</t>
  </si>
  <si>
    <t>25.7345530661292</t>
  </si>
  <si>
    <t>26.6509705780661</t>
  </si>
  <si>
    <t>24.9713242961418</t>
  </si>
  <si>
    <t>29.5303213120615</t>
  </si>
  <si>
    <t>35.8084217293475</t>
  </si>
  <si>
    <t>24.5557749259625</t>
  </si>
  <si>
    <t>23.2352468242483</t>
  </si>
  <si>
    <t>26.8121041520056</t>
  </si>
  <si>
    <t>45.0129077681295</t>
  </si>
  <si>
    <t>21.767416644077</t>
  </si>
  <si>
    <t>27.6636528446554</t>
  </si>
  <si>
    <t>24.4346243826358</t>
  </si>
  <si>
    <t>38.0103237916471</t>
  </si>
  <si>
    <t>37.6215738284704</t>
  </si>
  <si>
    <t>40.8134642356241</t>
  </si>
  <si>
    <t>27.8759928260313</t>
  </si>
  <si>
    <t>31.536523929471</t>
  </si>
  <si>
    <t>31.2819265385551</t>
  </si>
  <si>
    <t>35.1472320376914</t>
  </si>
  <si>
    <t>44.9316527605184</t>
  </si>
  <si>
    <t>27.6780185758514</t>
  </si>
  <si>
    <t>39.4683026584867</t>
  </si>
  <si>
    <t>35.3769321160625</t>
  </si>
  <si>
    <t>30.8546059933407</t>
  </si>
  <si>
    <t>30.4618578100675</t>
  </si>
  <si>
    <t>29.7503820682629</t>
  </si>
  <si>
    <t>27.6573548162745</t>
  </si>
  <si>
    <t>24.9236408063531</t>
  </si>
  <si>
    <t>42.0871862615588</t>
  </si>
  <si>
    <t>38.6660554664222</t>
  </si>
  <si>
    <t>48.3549351944167</t>
  </si>
  <si>
    <t>45.8177637252084</t>
  </si>
  <si>
    <t>36.81592039801</t>
  </si>
  <si>
    <t>34.2523860021209</t>
  </si>
  <si>
    <t>45.3936797000536</t>
  </si>
  <si>
    <t>43.0188679245283</t>
  </si>
  <si>
    <t>49.0732317489197</t>
  </si>
  <si>
    <t>47.0522388059701</t>
  </si>
  <si>
    <t>38.3286460425874</t>
  </si>
  <si>
    <t>53.2388663967611</t>
  </si>
  <si>
    <t>41.8204945558156</t>
  </si>
  <si>
    <t>33.4808117726267</t>
  </si>
  <si>
    <t>22.8978904625136</t>
  </si>
  <si>
    <t>7.8196872125115</t>
  </si>
  <si>
    <t>21.9656660977813</t>
  </si>
  <si>
    <t>15.3960580141316</t>
  </si>
  <si>
    <t>16.6183924692252</t>
  </si>
  <si>
    <t>12.7183787561146</t>
  </si>
  <si>
    <t>8.18094321462945</t>
  </si>
  <si>
    <t>6.87258687258687</t>
  </si>
  <si>
    <t>12.1104815864023</t>
  </si>
  <si>
    <t>29.1142164222197</t>
  </si>
  <si>
    <t>19.1645774019462</t>
  </si>
  <si>
    <t>12.7731122340047</t>
  </si>
  <si>
    <t>15.6446497134272</t>
  </si>
  <si>
    <t>7.67939986181028</t>
  </si>
  <si>
    <t>6.7859673990078</t>
  </si>
  <si>
    <t>10.6035889070147</t>
  </si>
  <si>
    <t>15.6385751520417</t>
  </si>
  <si>
    <t>11.1904761904762</t>
  </si>
  <si>
    <t>6.24636839047066</t>
  </si>
  <si>
    <t>8.09315866084425</t>
  </si>
  <si>
    <t>11.9443954770959</t>
  </si>
  <si>
    <t>13.5543920884235</t>
  </si>
  <si>
    <t>6.3041385948027</t>
  </si>
  <si>
    <t>6.76045816733068</t>
  </si>
  <si>
    <t>8.86262924667651</t>
  </si>
  <si>
    <t>13.8592166529718</t>
  </si>
  <si>
    <t>9.98238402818555</t>
  </si>
  <si>
    <t>8.70770937326678</t>
  </si>
  <si>
    <t>7.37424282328154</t>
  </si>
  <si>
    <t>7.71371769383698</t>
  </si>
  <si>
    <t>14.5789101203114</t>
  </si>
  <si>
    <t>8.24038242658775</t>
  </si>
  <si>
    <t>8.91568077000201</t>
  </si>
  <si>
    <t>8.96309314586995</t>
  </si>
  <si>
    <t>8.9716684155299</t>
  </si>
  <si>
    <t>18.6644884623239</t>
  </si>
  <si>
    <t>10.9948337528149</t>
  </si>
  <si>
    <t>13.7822529893014</t>
  </si>
  <si>
    <t>5.8051341890315</t>
  </si>
  <si>
    <t>8.24669187145558</t>
  </si>
  <si>
    <t>2.91028446389497</t>
  </si>
  <si>
    <t>6.53768641676743</t>
  </si>
  <si>
    <t>11.837048424289</t>
  </si>
  <si>
    <t>6.58149438637244</t>
  </si>
  <si>
    <t>8.62639014126841</t>
  </si>
  <si>
    <t>4.20954162768943</t>
  </si>
  <si>
    <t>3.99752475247525</t>
  </si>
  <si>
    <t>4.15690269994906</t>
  </si>
  <si>
    <t>5.66191446028513</t>
  </si>
  <si>
    <t>5.96491228070175</t>
  </si>
  <si>
    <t>6.81183320432134</t>
  </si>
  <si>
    <t>11.0109228667927</t>
  </si>
  <si>
    <t>28.3351490541745</t>
  </si>
  <si>
    <t>41.2833486660534</t>
  </si>
  <si>
    <t>33.9825318743098</t>
  </si>
  <si>
    <t>26.8873187058386</t>
  </si>
  <si>
    <t>31.7885590152064</t>
  </si>
  <si>
    <t>42.3480083857442</t>
  </si>
  <si>
    <t>45.2999679178698</t>
  </si>
  <si>
    <t>33.3204633204633</t>
  </si>
  <si>
    <t>40.2266288951841</t>
  </si>
  <si>
    <t>29.322092620395</t>
  </si>
  <si>
    <t>33.2086856754345</t>
  </si>
  <si>
    <t>32.485232367803</t>
  </si>
  <si>
    <t>32.0738968337878</t>
  </si>
  <si>
    <t>33.2148850064159</t>
  </si>
  <si>
    <t>32.2466335931963</t>
  </si>
  <si>
    <t>37.6291462751495</t>
  </si>
  <si>
    <t>35.4995655951347</t>
  </si>
  <si>
    <t>35.0793650793651</t>
  </si>
  <si>
    <t>26.2638001162115</t>
  </si>
  <si>
    <t>43.5225618631732</t>
  </si>
  <si>
    <t>33.1738396836989</t>
  </si>
  <si>
    <t>33.216986620128</t>
  </si>
  <si>
    <t>28.9461020211742</t>
  </si>
  <si>
    <t>28.2121513944223</t>
  </si>
  <si>
    <t>28.8035450516987</t>
  </si>
  <si>
    <t>31.5529991783073</t>
  </si>
  <si>
    <t>33.3529066353494</t>
  </si>
  <si>
    <t>34.8031059345535</t>
  </si>
  <si>
    <t>36.7922043718725</t>
  </si>
  <si>
    <t>25.3479125248509</t>
  </si>
  <si>
    <t>34.7487615003539</t>
  </si>
  <si>
    <t>26.1780104712042</t>
  </si>
  <si>
    <t>30.3138159213956</t>
  </si>
  <si>
    <t>30.2284710017575</t>
  </si>
  <si>
    <t>35.8866736621196</t>
  </si>
  <si>
    <t>26.6081274249541</t>
  </si>
  <si>
    <t>30.6000794807259</t>
  </si>
  <si>
    <t>28.3826305852738</t>
  </si>
  <si>
    <t>26.9836639439907</t>
  </si>
  <si>
    <t>27.882797731569</t>
  </si>
  <si>
    <t>19.2778993435449</t>
  </si>
  <si>
    <t>30.1007658202338</t>
  </si>
  <si>
    <t>30.8224442736357</t>
  </si>
  <si>
    <t>38.5598141695703</t>
  </si>
  <si>
    <t>29.6363089870754</t>
  </si>
  <si>
    <t>25.1013408169629</t>
  </si>
  <si>
    <t>21.9987623762376</t>
  </si>
  <si>
    <t>22.0275089149261</t>
  </si>
  <si>
    <t>34.5010183299389</t>
  </si>
  <si>
    <t>22.8070175438596</t>
  </si>
  <si>
    <t>26.7088479789991</t>
  </si>
  <si>
    <t>30.4783597305876</t>
  </si>
  <si>
    <t>23.3732791918392</t>
  </si>
  <si>
    <t>23.3440662373505</t>
  </si>
  <si>
    <t>14.1652444533681</t>
  </si>
  <si>
    <t>25.8832279657865</t>
  </si>
  <si>
    <t>23.8595220854453</t>
  </si>
  <si>
    <t>21.3137665967855</t>
  </si>
  <si>
    <t>22.4895733076676</t>
  </si>
  <si>
    <t>30.3861003861004</t>
  </si>
  <si>
    <t>22.5920679886686</t>
  </si>
  <si>
    <t>23.3398775840166</t>
  </si>
  <si>
    <t>21.8289210895338</t>
  </si>
  <si>
    <t>26.6386734040282</t>
  </si>
  <si>
    <t>25.699738467531</t>
  </si>
  <si>
    <t>28.3042147862995</t>
  </si>
  <si>
    <t>23.4939759036145</t>
  </si>
  <si>
    <t>26.3186514410005</t>
  </si>
  <si>
    <t>24.9695916594266</t>
  </si>
  <si>
    <t>28.5714285714286</t>
  </si>
  <si>
    <t>27.3097036606624</t>
  </si>
  <si>
    <t>26.2299854439592</t>
  </si>
  <si>
    <t>26.3214888312473</t>
  </si>
  <si>
    <t>29.086678301338</t>
  </si>
  <si>
    <t>23.7969201154957</t>
  </si>
  <si>
    <t>25.2241035856574</t>
  </si>
  <si>
    <t>19.7932053175775</t>
  </si>
  <si>
    <t>26.3763352506163</t>
  </si>
  <si>
    <t>25.4257193188491</t>
  </si>
  <si>
    <t>22.4625623960067</t>
  </si>
  <si>
    <t>20.8585725572821</t>
  </si>
  <si>
    <t>20.6560636182903</t>
  </si>
  <si>
    <t>19.5329087048832</t>
  </si>
  <si>
    <t>25.9503755975415</t>
  </si>
  <si>
    <t>24.0675756968117</t>
  </si>
  <si>
    <t>27.1236086701816</t>
  </si>
  <si>
    <t>26.495278069255</t>
  </si>
  <si>
    <t>27.1799060649377</t>
  </si>
  <si>
    <t>30.8120280831898</t>
  </si>
  <si>
    <t>27.3757079924481</t>
  </si>
  <si>
    <t>23.0455075845974</t>
  </si>
  <si>
    <t>23.2986767485822</t>
  </si>
  <si>
    <t>26.8271334792123</t>
  </si>
  <si>
    <t>20.2337767029424</t>
  </si>
  <si>
    <t>20.1383551114527</t>
  </si>
  <si>
    <t>20.5962059620596</t>
  </si>
  <si>
    <t>15.419296663661</t>
  </si>
  <si>
    <t>25.1948861864671</t>
  </si>
  <si>
    <t>24.0779702970297</t>
  </si>
  <si>
    <t>25.6749872643912</t>
  </si>
  <si>
    <t>19.6334012219959</t>
  </si>
  <si>
    <t>16.0233918128655</t>
  </si>
  <si>
    <t>24.0915872962452</t>
  </si>
  <si>
    <t>24.364137304858</t>
  </si>
  <si>
    <t>25.3936812914727</t>
  </si>
  <si>
    <t>27.5528978840846</t>
  </si>
  <si>
    <t>29.8865575745407</t>
  </si>
  <si>
    <t>31.8333953142432</t>
  </si>
  <si>
    <t>27.7335264301231</t>
  </si>
  <si>
    <t>23.6198462613557</t>
  </si>
  <si>
    <t>24.0295155598332</t>
  </si>
  <si>
    <t>29.4208494208494</t>
  </si>
  <si>
    <t>25.070821529745</t>
  </si>
  <si>
    <t>18.2238133733687</t>
  </si>
  <si>
    <t>25.7978158330855</t>
  </si>
  <si>
    <t>28.1029819941641</t>
  </si>
  <si>
    <t>26.581714985254</t>
  </si>
  <si>
    <t>30.8015003454743</t>
  </si>
  <si>
    <t>37.4734231041814</t>
  </si>
  <si>
    <t>25.4486133768352</t>
  </si>
  <si>
    <t>23.892267593397</t>
  </si>
  <si>
    <t>25.1587301587302</t>
  </si>
  <si>
    <t>40.1801278326554</t>
  </si>
  <si>
    <t>22.1542940320233</t>
  </si>
  <si>
    <t>28.5602760079579</t>
  </si>
  <si>
    <t>24.1419429901105</t>
  </si>
  <si>
    <t>40.9528392685274</t>
  </si>
  <si>
    <t>39.8032868525896</t>
  </si>
  <si>
    <t>42.5406203840473</t>
  </si>
  <si>
    <t>28.2114489181046</t>
  </si>
  <si>
    <t>31.238990017616</t>
  </si>
  <si>
    <t>34.026622296173</t>
  </si>
  <si>
    <t>34.9749802475639</t>
  </si>
  <si>
    <t>46.2823061630219</t>
  </si>
  <si>
    <t>31.1394196744515</t>
  </si>
  <si>
    <t>39.6312315046665</t>
  </si>
  <si>
    <t>36.7029276117907</t>
  </si>
  <si>
    <t>33.684827182191</t>
  </si>
  <si>
    <t>28.6463798530955</t>
  </si>
  <si>
    <t>27.5474780477844</t>
  </si>
  <si>
    <t>27.5930586832693</t>
  </si>
  <si>
    <t>30.4594084329767</t>
  </si>
  <si>
    <t>44.1656942823804</t>
  </si>
  <si>
    <t>40.5718336483932</t>
  </si>
  <si>
    <t>50.9846827133479</t>
  </si>
  <si>
    <t>43.1277710600564</t>
  </si>
  <si>
    <t>37.2021521906226</t>
  </si>
  <si>
    <t>34.2624854819977</t>
  </si>
  <si>
    <t>46.3180042079952</t>
  </si>
  <si>
    <t>45.4942313688806</t>
  </si>
  <si>
    <t>49.9257425742574</t>
  </si>
  <si>
    <t>48.1406011207336</t>
  </si>
  <si>
    <t>40.20366598778</t>
  </si>
  <si>
    <t>55.2046783625731</t>
  </si>
  <si>
    <t>42.3877315204344</t>
  </si>
  <si>
    <t>34.1465800977618</t>
  </si>
  <si>
    <t>22.1200708905627</t>
  </si>
  <si>
    <t>22.3535328136787</t>
  </si>
  <si>
    <t>12.8119055611503</t>
  </si>
  <si>
    <t>24.8868778280543</t>
  </si>
  <si>
    <t>22.2453222453222</t>
  </si>
  <si>
    <t>20.2316602316602</t>
  </si>
  <si>
    <t>20.0075216246709</t>
  </si>
  <si>
    <t>30.2906448683015</t>
  </si>
  <si>
    <t>21.039603960396</t>
  </si>
  <si>
    <t>23.5921830804834</t>
  </si>
  <si>
    <t>20.8043125655949</t>
  </si>
  <si>
    <t>25.5199112892244</t>
  </si>
  <si>
    <t>24.8861641022589</t>
  </si>
  <si>
    <t>26.7160993146837</t>
  </si>
  <si>
    <t>21.57555601746</t>
  </si>
  <si>
    <t>23.394495412844</t>
  </si>
  <si>
    <t>24.1871530531324</t>
  </si>
  <si>
    <t>27.1139705882353</t>
  </si>
  <si>
    <t>26.7241379310345</t>
  </si>
  <si>
    <t>25.354012137559</t>
  </si>
  <si>
    <t>25.1242105263158</t>
  </si>
  <si>
    <t>28.5200914733747</t>
  </si>
  <si>
    <t>23.0299814274343</t>
  </si>
  <si>
    <t>19.2962724935733</t>
  </si>
  <si>
    <t>16.5137614678899</t>
  </si>
  <si>
    <t>22.656</t>
  </si>
  <si>
    <t>23.2059020791415</t>
  </si>
  <si>
    <t>19.3384982121573</t>
  </si>
  <si>
    <t>21.1246200607903</t>
  </si>
  <si>
    <t>18.3650863978733</t>
  </si>
  <si>
    <t>17.8313253012048</t>
  </si>
  <si>
    <t>25.2135645871085</t>
  </si>
  <si>
    <t>21.6032608695652</t>
  </si>
  <si>
    <t>26.4322916666667</t>
  </si>
  <si>
    <t>23.874151758174</t>
  </si>
  <si>
    <t>23.9897816999536</t>
  </si>
  <si>
    <t>29.2759856630824</t>
  </si>
  <si>
    <t>22.682119205298</t>
  </si>
  <si>
    <t>22.80163599182</t>
  </si>
  <si>
    <t>22.1911540416878</t>
  </si>
  <si>
    <t>25.4036326942482</t>
  </si>
  <si>
    <t>19.2045035068291</t>
  </si>
  <si>
    <t>18.7554776511832</t>
  </si>
  <si>
    <t>18.5403923222949</t>
  </si>
  <si>
    <t>15.69176882662</t>
  </si>
  <si>
    <t>23.5485034258925</t>
  </si>
  <si>
    <t>24.6732730145052</t>
  </si>
  <si>
    <t>24.6529705719045</t>
  </si>
  <si>
    <t>18.4198000951928</t>
  </si>
  <si>
    <t>14.1073657927591</t>
  </si>
  <si>
    <t>23.0587247681917</t>
  </si>
  <si>
    <t>23.0689041331879</t>
  </si>
  <si>
    <t>29.4638901196278</t>
  </si>
  <si>
    <t>42.1674629117425</t>
  </si>
  <si>
    <t>34.2508671813808</t>
  </si>
  <si>
    <t>28.6301933360757</t>
  </si>
  <si>
    <t>30.7276507276507</t>
  </si>
  <si>
    <t>41.8532818532819</t>
  </si>
  <si>
    <t>47.2734110567883</t>
  </si>
  <si>
    <t>34.8319709355132</t>
  </si>
  <si>
    <t>40.7590759075908</t>
  </si>
  <si>
    <t>29.6220107996914</t>
  </si>
  <si>
    <t>33.8636580478962</t>
  </si>
  <si>
    <t>33.0136373363422</t>
  </si>
  <si>
    <t>32.0466652778191</t>
  </si>
  <si>
    <t>34.8387821593079</t>
  </si>
  <si>
    <t>33.2571191020578</t>
  </si>
  <si>
    <t>37.7675840978593</t>
  </si>
  <si>
    <t>37.390959555908</t>
  </si>
  <si>
    <t>35.2022058823529</t>
  </si>
  <si>
    <t>27.023988005997</t>
  </si>
  <si>
    <t>43.391773432232</t>
  </si>
  <si>
    <t>33.799298245614</t>
  </si>
  <si>
    <t>33.3224436458674</t>
  </si>
  <si>
    <t>27.8057840275935</t>
  </si>
  <si>
    <t>29.1613110539846</t>
  </si>
  <si>
    <t>30.1223241590214</t>
  </si>
  <si>
    <t>33.472</t>
  </si>
  <si>
    <t>33.9369550637156</t>
  </si>
  <si>
    <t>37.2169249106079</t>
  </si>
  <si>
    <t>35.7750759878419</t>
  </si>
  <si>
    <t>25.9636685866194</t>
  </si>
  <si>
    <t>32.6907630522088</t>
  </si>
  <si>
    <t>27.4398136163603</t>
  </si>
  <si>
    <t>30.9233348751156</t>
  </si>
  <si>
    <t>30.2734375</t>
  </si>
  <si>
    <t>38.4330660086366</t>
  </si>
  <si>
    <t>27.519739897817</t>
  </si>
  <si>
    <t>31.9139784946237</t>
  </si>
  <si>
    <t>34.3543046357616</t>
  </si>
  <si>
    <t>26.3803680981595</t>
  </si>
  <si>
    <t>29.5882053889171</t>
  </si>
  <si>
    <t>18.5923309788093</t>
  </si>
  <si>
    <t>29.3466223698782</t>
  </si>
  <si>
    <t>29.6231375985977</t>
  </si>
  <si>
    <t>40.5821556633622</t>
  </si>
  <si>
    <t>33.7302977232925</t>
  </si>
  <si>
    <t>26.4334655607645</t>
  </si>
  <si>
    <t>23.6176935229068</t>
  </si>
  <si>
    <t>21.787895613548</t>
  </si>
  <si>
    <t>36.2208472156116</t>
  </si>
  <si>
    <t>21.9725343320849</t>
  </si>
  <si>
    <t>27.5397158519988</t>
  </si>
  <si>
    <t>31.1979044733134</t>
  </si>
  <si>
    <t>22.4412937527692</t>
  </si>
  <si>
    <t>7.0656273573045</t>
  </si>
  <si>
    <t>22.1438961620231</t>
  </si>
  <si>
    <t>14.6441793500617</t>
  </si>
  <si>
    <t>17.962577962578</t>
  </si>
  <si>
    <t>14.0540540540541</t>
  </si>
  <si>
    <t>8.31139526137646</t>
  </si>
  <si>
    <t>6.44868301544051</t>
  </si>
  <si>
    <t>11.1386138613861</t>
  </si>
  <si>
    <t>28.9920287991772</t>
  </si>
  <si>
    <t>19.1036160671692</t>
  </si>
  <si>
    <t>12.528451646791</t>
  </si>
  <si>
    <t>15.2138329216392</t>
  </si>
  <si>
    <t>7.45983597348613</t>
  </si>
  <si>
    <t>7.69070879235086</t>
  </si>
  <si>
    <t>10.7339449541284</t>
  </si>
  <si>
    <t>15.0277557494052</t>
  </si>
  <si>
    <t>11.1213235294118</t>
  </si>
  <si>
    <t>6.78410794602699</t>
  </si>
  <si>
    <t>7.48482805124747</t>
  </si>
  <si>
    <t>11.8498245614035</t>
  </si>
  <si>
    <t>14.2763802678863</t>
  </si>
  <si>
    <t>6.63305916688777</t>
  </si>
  <si>
    <t>6.08933161953727</t>
  </si>
  <si>
    <t>8.56269113149847</t>
  </si>
  <si>
    <t>14.56</t>
  </si>
  <si>
    <t>10.3957075788062</t>
  </si>
  <si>
    <t>8.90941597139452</t>
  </si>
  <si>
    <t>7.53799392097264</t>
  </si>
  <si>
    <t>7.99734160389898</t>
  </si>
  <si>
    <t>16.6265060240964</t>
  </si>
  <si>
    <t>9.24152213305721</t>
  </si>
  <si>
    <t>9.2622571692877</t>
  </si>
  <si>
    <t>8.984375</t>
  </si>
  <si>
    <t>9.87045033929673</t>
  </si>
  <si>
    <t>18.2535996284255</t>
  </si>
  <si>
    <t>10.2652329749104</t>
  </si>
  <si>
    <t>14.9834437086093</t>
  </si>
  <si>
    <t>5.58963871847307</t>
  </si>
  <si>
    <t>8.46466700559227</t>
  </si>
  <si>
    <t>2.90110998990918</t>
  </si>
  <si>
    <t>6.71834625322997</t>
  </si>
  <si>
    <t>11.8317265556529</t>
  </si>
  <si>
    <t>6.30668635309007</t>
  </si>
  <si>
    <t>9.35201401050788</t>
  </si>
  <si>
    <t>4.50775333573747</t>
  </si>
  <si>
    <t>4.31566853367801</t>
  </si>
  <si>
    <t>3.96446418656302</t>
  </si>
  <si>
    <t>6.09233698238934</t>
  </si>
  <si>
    <t>6.11735330836454</t>
  </si>
  <si>
    <t>6.86457816613882</t>
  </si>
  <si>
    <t>11.0664481617761</t>
  </si>
  <si>
    <t>25.9747452370403</t>
  </si>
  <si>
    <t>28.4133769172743</t>
  </si>
  <si>
    <t>30.7933310954459</t>
  </si>
  <si>
    <t>31.8387494858083</t>
  </si>
  <si>
    <t>29.0644490644491</t>
  </si>
  <si>
    <t>23.8610038610039</t>
  </si>
  <si>
    <t>24.4076720571643</t>
  </si>
  <si>
    <t>28.4287011807448</t>
  </si>
  <si>
    <t>27.0627062706271</t>
  </si>
  <si>
    <t>17.793777320648</t>
  </si>
  <si>
    <t>26.2284133193398</t>
  </si>
  <si>
    <t>28.9379997276424</t>
  </si>
  <si>
    <t>27.8533376982828</t>
  </si>
  <si>
    <t>30.9852825525222</t>
  </si>
  <si>
    <t>37.4766160881314</t>
  </si>
  <si>
    <t>28.1039755351682</t>
  </si>
  <si>
    <t>23.3941316415543</t>
  </si>
  <si>
    <t>26.5625</t>
  </si>
  <si>
    <t>39.4677661169415</t>
  </si>
  <si>
    <t>23.7693863789616</t>
  </si>
  <si>
    <t>29.2266666666667</t>
  </si>
  <si>
    <t>23.8810846128716</t>
  </si>
  <si>
    <t>42.5311753780844</t>
  </si>
  <si>
    <t>45.4530848329049</t>
  </si>
  <si>
    <t>44.8012232415902</t>
  </si>
  <si>
    <t>29.312</t>
  </si>
  <si>
    <t>32.4614352783367</t>
  </si>
  <si>
    <t>34.5351609058403</t>
  </si>
  <si>
    <t>35.5623100303951</t>
  </si>
  <si>
    <t>47.6739034116083</t>
  </si>
  <si>
    <t>32.85140562249</t>
  </si>
  <si>
    <t>38.105099663474</t>
  </si>
  <si>
    <t>38.2111470860315</t>
  </si>
  <si>
    <t>34.3098958333333</t>
  </si>
  <si>
    <t>27.8223318938927</t>
  </si>
  <si>
    <t>30.236878773804</t>
  </si>
  <si>
    <t>28.5448028673835</t>
  </si>
  <si>
    <t>27.9801324503311</t>
  </si>
  <si>
    <t>45.2283571915474</t>
  </si>
  <si>
    <t>39.7559735638027</t>
  </si>
  <si>
    <t>53.1029263370333</t>
  </si>
  <si>
    <t>44.7305278700628</t>
  </si>
  <si>
    <t>39.7896581945662</t>
  </si>
  <si>
    <t>34.5707656612529</t>
  </si>
  <si>
    <t>41.2259194395797</t>
  </si>
  <si>
    <t>45.5102776776055</t>
  </si>
  <si>
    <t>47.39336492891</t>
  </si>
  <si>
    <t>49.5946696279845</t>
  </si>
  <si>
    <t>39.2670157068063</t>
  </si>
  <si>
    <t>57.8027465667915</t>
  </si>
  <si>
    <t>42.5369812136707</t>
  </si>
  <si>
    <t>34.6667432317227</t>
  </si>
  <si>
    <t>20.3244874858508</t>
  </si>
  <si>
    <t>22.6685006877579</t>
  </si>
  <si>
    <t>12.5904652498564</t>
  </si>
  <si>
    <t>25.2479711451758</t>
  </si>
  <si>
    <t>20.8255159474672</t>
  </si>
  <si>
    <t>24.7099767981439</t>
  </si>
  <si>
    <t>16.8185584092792</t>
  </si>
  <si>
    <t>28.2253817798842</t>
  </si>
  <si>
    <t>19.40441882805</t>
  </si>
  <si>
    <t>23.3777154870357</t>
  </si>
  <si>
    <t>19.9120867551063</t>
  </si>
  <si>
    <t>25.2265059729678</t>
  </si>
  <si>
    <t>24.7491211249601</t>
  </si>
  <si>
    <t>26.169581412968</t>
  </si>
  <si>
    <t>20.0885173346447</t>
  </si>
  <si>
    <t>22.7588488256699</t>
  </si>
  <si>
    <t>24.3011722272317</t>
  </si>
  <si>
    <t>28.8775510204082</t>
  </si>
  <si>
    <t>26.5161020493517</t>
  </si>
  <si>
    <t>24.7161241483724</t>
  </si>
  <si>
    <t>24.8067050163914</t>
  </si>
  <si>
    <t>27.0939548434086</t>
  </si>
  <si>
    <t>21.6750221173695</t>
  </si>
  <si>
    <t>19.599025669852</t>
  </si>
  <si>
    <t>12.0921305182342</t>
  </si>
  <si>
    <t>21.712204007286</t>
  </si>
  <si>
    <t>24.6782740348221</t>
  </si>
  <si>
    <t>16.8230563002681</t>
  </si>
  <si>
    <t>21.1908931698774</t>
  </si>
  <si>
    <t>15.6676695209442</t>
  </si>
  <si>
    <t>17.9775280898876</t>
  </si>
  <si>
    <t>25.585640401582</t>
  </si>
  <si>
    <t>20.6927001569859</t>
  </si>
  <si>
    <t>26.8888888888889</t>
  </si>
  <si>
    <t>22.7453580901857</t>
  </si>
  <si>
    <t>21.9621251972646</t>
  </si>
  <si>
    <t>27.6098473044562</t>
  </si>
  <si>
    <t>22.6643598615917</t>
  </si>
  <si>
    <t>19.501625135428</t>
  </si>
  <si>
    <t>20.8247422680412</t>
  </si>
  <si>
    <t>25.5256723716381</t>
  </si>
  <si>
    <t>16.9222577209798</t>
  </si>
  <si>
    <t>17.3387096774194</t>
  </si>
  <si>
    <t>17.4059139784946</t>
  </si>
  <si>
    <t>15.3505237711523</t>
  </si>
  <si>
    <t>21.7446808510638</t>
  </si>
  <si>
    <t>25.6683147573955</t>
  </si>
  <si>
    <t>25.8717795086878</t>
  </si>
  <si>
    <t>18.2162162162162</t>
  </si>
  <si>
    <t>11.3372093023256</t>
  </si>
  <si>
    <t>22.3897895026584</t>
  </si>
  <si>
    <t>22.4405847831783</t>
  </si>
  <si>
    <t>31.1407370142121</t>
  </si>
  <si>
    <t>43.4662998624484</t>
  </si>
  <si>
    <t>33.6588167719701</t>
  </si>
  <si>
    <t>28.6744815148783</t>
  </si>
  <si>
    <t>32.5515947467167</t>
  </si>
  <si>
    <t>35.1508120649652</t>
  </si>
  <si>
    <t>49.0886495443248</t>
  </si>
  <si>
    <t>36.3875724065297</t>
  </si>
  <si>
    <t>42.4591738712776</t>
  </si>
  <si>
    <t>29.9649614576034</t>
  </si>
  <si>
    <t>34.4151400294799</t>
  </si>
  <si>
    <t>33.2746292091918</t>
  </si>
  <si>
    <t>32.3362096516459</t>
  </si>
  <si>
    <t>35.1284803333544</t>
  </si>
  <si>
    <t>32.5792967789525</t>
  </si>
  <si>
    <t>39.0340721137942</t>
  </si>
  <si>
    <t>38.2326420198377</t>
  </si>
  <si>
    <t>35.8163265306122</t>
  </si>
  <si>
    <t>27.603513174404</t>
  </si>
  <si>
    <t>42.9220287660863</t>
  </si>
  <si>
    <t>34.0632151914393</t>
  </si>
  <si>
    <t>34.7050254916242</t>
  </si>
  <si>
    <t>29.1064582718962</t>
  </si>
  <si>
    <t>28.5928424208357</t>
  </si>
  <si>
    <t>28.4069097888676</t>
  </si>
  <si>
    <t>34.2440801457195</t>
  </si>
  <si>
    <t>33.2323996971991</t>
  </si>
  <si>
    <t>40.2144772117962</t>
  </si>
  <si>
    <t>36.8126094570928</t>
  </si>
  <si>
    <t>24.3693589446887</t>
  </si>
  <si>
    <t>35.0187265917603</t>
  </si>
  <si>
    <t>29.3276543961059</t>
  </si>
  <si>
    <t>31.511643118786</t>
  </si>
  <si>
    <t>29.4074074074074</t>
  </si>
  <si>
    <t>40.3183023872679</t>
  </si>
  <si>
    <t>28.4850078905839</t>
  </si>
  <si>
    <t>32.7672172016204</t>
  </si>
  <si>
    <t>34.2560553633218</t>
  </si>
  <si>
    <t>25.3159985554352</t>
  </si>
  <si>
    <t>30.0441826215022</t>
  </si>
  <si>
    <t>20.6030969845151</t>
  </si>
  <si>
    <t>29.8615548455804</t>
  </si>
  <si>
    <t>30.0403225806452</t>
  </si>
  <si>
    <t>39.2025089605735</t>
  </si>
  <si>
    <t>32.8767123287671</t>
  </si>
  <si>
    <t>25.1914893617021</t>
  </si>
  <si>
    <t>24.0090505321378</t>
  </si>
  <si>
    <t>37.5675675675676</t>
  </si>
  <si>
    <t>21.3662790697674</t>
  </si>
  <si>
    <t>27.8267924145624</t>
  </si>
  <si>
    <t>31.6152731839239</t>
  </si>
  <si>
    <t>22.2865048421582</t>
  </si>
  <si>
    <t>7.09766162310867</t>
  </si>
  <si>
    <t>22.2400919012062</t>
  </si>
  <si>
    <t>15.3291253381425</t>
  </si>
  <si>
    <t>18.6679174484053</t>
  </si>
  <si>
    <t>15.8932714617169</t>
  </si>
  <si>
    <t>8.74067937033968</t>
  </si>
  <si>
    <t>6.68773038441285</t>
  </si>
  <si>
    <t>10.1825168107589</t>
  </si>
  <si>
    <t>27.4982480728802</t>
  </si>
  <si>
    <t>19.0750684354601</t>
  </si>
  <si>
    <t>12.3766682934075</t>
  </si>
  <si>
    <t>14.9888143176734</t>
  </si>
  <si>
    <t>7.21636466948671</t>
  </si>
  <si>
    <t>7.9419719695107</t>
  </si>
  <si>
    <t>11.1478663579226</t>
  </si>
  <si>
    <t>14.3372407574391</t>
  </si>
  <si>
    <t>12.2448979591837</t>
  </si>
  <si>
    <t>5.77164366373902</t>
  </si>
  <si>
    <t>7.98637395912188</t>
  </si>
  <si>
    <t>11.7492422836643</t>
  </si>
  <si>
    <t>14.5666423889294</t>
  </si>
  <si>
    <t>6.75317015629608</t>
  </si>
  <si>
    <t>5.56492411467116</t>
  </si>
  <si>
    <t>8.25335892514395</t>
  </si>
  <si>
    <t>14.2440801457195</t>
  </si>
  <si>
    <t>8.40272520817562</t>
  </si>
  <si>
    <t>8.81367292225201</t>
  </si>
  <si>
    <t>7.88091068301226</t>
  </si>
  <si>
    <t>7.42883591761166</t>
  </si>
  <si>
    <t>16.2921348314607</t>
  </si>
  <si>
    <t>10.4958929114694</t>
  </si>
  <si>
    <t>9.15423861852433</t>
  </si>
  <si>
    <t>8.66666666666667</t>
  </si>
  <si>
    <t>9.01856763925729</t>
  </si>
  <si>
    <t>17.6486059968438</t>
  </si>
  <si>
    <t>10.0966033032097</t>
  </si>
  <si>
    <t>14.3598615916955</t>
  </si>
  <si>
    <t>5.48934633441676</t>
  </si>
  <si>
    <t>8.36524300441826</t>
  </si>
  <si>
    <t>3.34148329258354</t>
  </si>
  <si>
    <t>6.98615548455804</t>
  </si>
  <si>
    <t>12.2983870967742</t>
  </si>
  <si>
    <t>6.25</t>
  </si>
  <si>
    <t>9.709911361805</t>
  </si>
  <si>
    <t>4.38297872340426</t>
  </si>
  <si>
    <t>4.34090337718931</t>
  </si>
  <si>
    <t>3.9185140802876</t>
  </si>
  <si>
    <t>5.51351351351351</t>
  </si>
  <si>
    <t>6.1046511627907</t>
  </si>
  <si>
    <t>6.90889072391963</t>
  </si>
  <si>
    <t>11.081117159342</t>
  </si>
  <si>
    <t>26.2482706577789</t>
  </si>
  <si>
    <t>26.767537826685</t>
  </si>
  <si>
    <t>31.5106260769673</t>
  </si>
  <si>
    <t>30.7484220018034</t>
  </si>
  <si>
    <t>27.9549718574109</t>
  </si>
  <si>
    <t>24.245939675174</t>
  </si>
  <si>
    <t>25.3521126760563</t>
  </si>
  <si>
    <t>28.6993154291733</t>
  </si>
  <si>
    <t>27.9538904899135</t>
  </si>
  <si>
    <t>19.1590749824807</t>
  </si>
  <si>
    <t>26.5977047799537</t>
  </si>
  <si>
    <t>29.1221965244329</t>
  </si>
  <si>
    <t>27.9258549057207</t>
  </si>
  <si>
    <t>31.4855735841909</t>
  </si>
  <si>
    <t>39.3902139168921</t>
  </si>
  <si>
    <t>27.0592127026133</t>
  </si>
  <si>
    <t>23.1289449954914</t>
  </si>
  <si>
    <t>23.0612244897959</t>
  </si>
  <si>
    <t>40.1087411125052</t>
  </si>
  <si>
    <t>24.3754731264194</t>
  </si>
  <si>
    <t>29.380837508505</t>
  </si>
  <si>
    <t>23.6343772760379</t>
  </si>
  <si>
    <t>42.4653494544382</t>
  </si>
  <si>
    <t>46.2432077946412</t>
  </si>
  <si>
    <t>51.2476007677543</t>
  </si>
  <si>
    <t>29.799635701275</t>
  </si>
  <si>
    <t>33.6866010598032</t>
  </si>
  <si>
    <t>34.1487935656836</t>
  </si>
  <si>
    <t>34.1155866900175</t>
  </si>
  <si>
    <t>52.5341356167554</t>
  </si>
  <si>
    <t>30.7116104868914</t>
  </si>
  <si>
    <t>34.5908122908427</t>
  </si>
  <si>
    <t>38.6414181057038</t>
  </si>
  <si>
    <t>35.037037037037</t>
  </si>
  <si>
    <t>27.9177718832891</t>
  </si>
  <si>
    <t>31.9042609153077</t>
  </si>
  <si>
    <t>29.5263321907136</t>
  </si>
  <si>
    <t>28.719723183391</t>
  </si>
  <si>
    <t>49.6930299747201</t>
  </si>
  <si>
    <t>40.7658321060383</t>
  </si>
  <si>
    <t>50.5297473512632</t>
  </si>
  <si>
    <t>46.2300319488818</t>
  </si>
  <si>
    <t>40.3225806451613</t>
  </si>
  <si>
    <t>37.1415770609319</t>
  </si>
  <si>
    <t>42.0628525382756</t>
  </si>
  <si>
    <t>48.6808510638298</t>
  </si>
  <si>
    <t>45.9817313332775</t>
  </si>
  <si>
    <t>50.2097064110246</t>
  </si>
  <si>
    <t>38.7027027027027</t>
  </si>
  <si>
    <t>61.1918604651163</t>
  </si>
  <si>
    <t>42.8745273588596</t>
  </si>
  <si>
    <t>34.8630248735557</t>
  </si>
  <si>
    <t>22.5643820684017</t>
  </si>
  <si>
    <t>6.37426900584795</t>
  </si>
  <si>
    <t>22.4650880388585</t>
  </si>
  <si>
    <t>15.8707865168539</t>
  </si>
  <si>
    <t>19.5939086294416</t>
  </si>
  <si>
    <t>14.6067415730337</t>
  </si>
  <si>
    <t>8.96686159844054</t>
  </si>
  <si>
    <t>6.25390869293308</t>
  </si>
  <si>
    <t>10.9604519774011</t>
  </si>
  <si>
    <t>27.5845640781324</t>
  </si>
  <si>
    <t>19.2553037956415</t>
  </si>
  <si>
    <t>11.7689767430967</t>
  </si>
  <si>
    <t>14.2987090228457</t>
  </si>
  <si>
    <t>6.64588351990931</t>
  </si>
  <si>
    <t>7.85506479767257</t>
  </si>
  <si>
    <t>10.8040201005025</t>
  </si>
  <si>
    <t>14.4593895499224</t>
  </si>
  <si>
    <t>12.2209165687427</t>
  </si>
  <si>
    <t>5.54465161923454</t>
  </si>
  <si>
    <t>7.6219512195122</t>
  </si>
  <si>
    <t>11.2732573094401</t>
  </si>
  <si>
    <t>14.4944252210688</t>
  </si>
  <si>
    <t>6.2415196743555</t>
  </si>
  <si>
    <t>5.48862115127175</t>
  </si>
  <si>
    <t>5.56438791732909</t>
  </si>
  <si>
    <t>14.9415331312256</t>
  </si>
  <si>
    <t>7.9696394686907</t>
  </si>
  <si>
    <t>10.2736653207716</t>
  </si>
  <si>
    <t>7.72946859903382</t>
  </si>
  <si>
    <t>6.39884532114506</t>
  </si>
  <si>
    <t>16.7359667359667</t>
  </si>
  <si>
    <t>11.9364375461936</t>
  </si>
  <si>
    <t>9.1939309513949</t>
  </si>
  <si>
    <t>8.75536480686695</t>
  </si>
  <si>
    <t>8.09555408095554</t>
  </si>
  <si>
    <t>19.8217578365089</t>
  </si>
  <si>
    <t>10.6966053748232</t>
  </si>
  <si>
    <t>15.0943396226415</t>
  </si>
  <si>
    <t>5.81645842309349</t>
  </si>
  <si>
    <t>6.94531741043369</t>
  </si>
  <si>
    <t>3.22833105067501</t>
  </si>
  <si>
    <t>7.07601589539803</t>
  </si>
  <si>
    <t>9.46930280957336</t>
  </si>
  <si>
    <t>6.47721454173067</t>
  </si>
  <si>
    <t>10.2859778597786</t>
  </si>
  <si>
    <t>4.40891472868217</t>
  </si>
  <si>
    <t>4.26315279527178</t>
  </si>
  <si>
    <t>3.57237715803453</t>
  </si>
  <si>
    <t>5.48387096774194</t>
  </si>
  <si>
    <t>5.77777777777778</t>
  </si>
  <si>
    <t>6.9553936732861</t>
  </si>
  <si>
    <t>11.0600232678531</t>
  </si>
  <si>
    <t>30.4673661261752</t>
  </si>
  <si>
    <t>43.625730994152</t>
  </si>
  <si>
    <t>33.6369156041287</t>
  </si>
  <si>
    <t>27.1535580524345</t>
  </si>
  <si>
    <t>31.3197969543147</t>
  </si>
  <si>
    <t>33.5674157303371</t>
  </si>
  <si>
    <t>51.1695906432749</t>
  </si>
  <si>
    <t>35.7098186366479</t>
  </si>
  <si>
    <t>42.9378531073446</t>
  </si>
  <si>
    <t>18.0403366682547</t>
  </si>
  <si>
    <t>34.1550007216049</t>
  </si>
  <si>
    <t>33.5995503196946</t>
  </si>
  <si>
    <t>32.6137914144771</t>
  </si>
  <si>
    <t>35.5958622644183</t>
  </si>
  <si>
    <t>32.0021158423697</t>
  </si>
  <si>
    <t>38.9447236180905</t>
  </si>
  <si>
    <t>38.6187273667874</t>
  </si>
  <si>
    <t>36.192714453584</t>
  </si>
  <si>
    <t>29.5878312070658</t>
  </si>
  <si>
    <t>39.8519163763066</t>
  </si>
  <si>
    <t>34.2279001972048</t>
  </si>
  <si>
    <t>35.0634371395617</t>
  </si>
  <si>
    <t>30.1560379918589</t>
  </si>
  <si>
    <t>30.0312360553324</t>
  </si>
  <si>
    <t>24.6422893481717</t>
  </si>
  <si>
    <t>34.0840190558683</t>
  </si>
  <si>
    <t>37.9506641366224</t>
  </si>
  <si>
    <t>31.9425751458053</t>
  </si>
  <si>
    <t>37.7214170692432</t>
  </si>
  <si>
    <t>25.0661534760645</t>
  </si>
  <si>
    <t>33.991683991684</t>
  </si>
  <si>
    <t>31.3008130081301</t>
  </si>
  <si>
    <t>31.4521290614058</t>
  </si>
  <si>
    <t>28.412017167382</t>
  </si>
  <si>
    <t>40.9422694094227</t>
  </si>
  <si>
    <t>28.7953288260602</t>
  </si>
  <si>
    <t>32.7086280056577</t>
  </si>
  <si>
    <t>33.3333333333333</t>
  </si>
  <si>
    <t>27.0573028866868</t>
  </si>
  <si>
    <t>30.6096794468887</t>
  </si>
  <si>
    <t>21.3265505771865</t>
  </si>
  <si>
    <t>30.2140751185745</t>
  </si>
  <si>
    <t>30.9053069719043</t>
  </si>
  <si>
    <t>39.7337429595494</t>
  </si>
  <si>
    <t>33.0258302583026</t>
  </si>
  <si>
    <t>23.8856589147287</t>
  </si>
  <si>
    <t>25.5110938862513</t>
  </si>
  <si>
    <t>19.070385126162</t>
  </si>
  <si>
    <t>40.5806451612903</t>
  </si>
  <si>
    <t>22.2222222222222</t>
  </si>
  <si>
    <t>28.2872634134983</t>
  </si>
  <si>
    <t>31.8151708628588</t>
  </si>
  <si>
    <t>20.3161193623109</t>
  </si>
  <si>
    <t>22.4853801169591</t>
  </si>
  <si>
    <t>11.2204007285975</t>
  </si>
  <si>
    <t>25.0468164794007</t>
  </si>
  <si>
    <t>18.7817258883249</t>
  </si>
  <si>
    <t>25.2808988764045</t>
  </si>
  <si>
    <t>16.5692007797271</t>
  </si>
  <si>
    <t>29.3933708567855</t>
  </si>
  <si>
    <t>18.1920903954802</t>
  </si>
  <si>
    <t>14.4195648721613</t>
  </si>
  <si>
    <t>19.4458074758262</t>
  </si>
  <si>
    <t>24.6832330140291</t>
  </si>
  <si>
    <t>24.2486792848896</t>
  </si>
  <si>
    <t>25.5632705115488</t>
  </si>
  <si>
    <t>23.6180904522613</t>
  </si>
  <si>
    <t>22.4694903086863</t>
  </si>
  <si>
    <t>23.9524055871702</t>
  </si>
  <si>
    <t>31.3748531139835</t>
  </si>
  <si>
    <t>26.1040235525025</t>
  </si>
  <si>
    <t>26.3937282229965</t>
  </si>
  <si>
    <t>24.6746120209209</t>
  </si>
  <si>
    <t>25.2979623221838</t>
  </si>
  <si>
    <t>22.3880597014925</t>
  </si>
  <si>
    <t>17.4921909861669</t>
  </si>
  <si>
    <t>8.42607313195549</t>
  </si>
  <si>
    <t>22.3040277176267</t>
  </si>
  <si>
    <t>22.4857685009488</t>
  </si>
  <si>
    <t>19.0219829519964</t>
  </si>
  <si>
    <t>19.4041867954911</t>
  </si>
  <si>
    <t>13.3028626413279</t>
  </si>
  <si>
    <t>16.4241164241164</t>
  </si>
  <si>
    <t>23.1337767923134</t>
  </si>
  <si>
    <t>19.3893302210007</t>
  </si>
  <si>
    <t>25.3218884120172</t>
  </si>
  <si>
    <t>20.9024552090246</t>
  </si>
  <si>
    <t>21.7271051014136</t>
  </si>
  <si>
    <t>28.2178217821782</t>
  </si>
  <si>
    <t>21.4884696016771</t>
  </si>
  <si>
    <t>18.9142610943559</t>
  </si>
  <si>
    <t>19.3588937774984</t>
  </si>
  <si>
    <t>21.5026413617687</t>
  </si>
  <si>
    <t>15.7543904627612</t>
  </si>
  <si>
    <t>19.8751300728408</t>
  </si>
  <si>
    <t>16.8202764976959</t>
  </si>
  <si>
    <t>13.4225092250923</t>
  </si>
  <si>
    <t>20.7364341085271</t>
  </si>
  <si>
    <t>24.7747311307044</t>
  </si>
  <si>
    <t>25.8300132802125</t>
  </si>
  <si>
    <t>19.3548387096774</t>
  </si>
  <si>
    <t>10.6666666666667</t>
  </si>
  <si>
    <t>21.5247979243588</t>
  </si>
  <si>
    <t>21.83058999037</t>
  </si>
  <si>
    <t>26.6521324431121</t>
  </si>
  <si>
    <t>27.5146198830409</t>
  </si>
  <si>
    <t>32.6775956284153</t>
  </si>
  <si>
    <t>31.9288389513109</t>
  </si>
  <si>
    <t>30.3045685279188</t>
  </si>
  <si>
    <t>26.5449438202247</t>
  </si>
  <si>
    <t>23.2943469785575</t>
  </si>
  <si>
    <t>28.6429018136335</t>
  </si>
  <si>
    <t>27.909604519774</t>
  </si>
  <si>
    <t>12.1010004764173</t>
  </si>
  <si>
    <t>27.1438880069274</t>
  </si>
  <si>
    <t>29.9482399231796</t>
  </si>
  <si>
    <t>28.8388202777875</t>
  </si>
  <si>
    <t>32.1949837041236</t>
  </si>
  <si>
    <t>36.5247289076964</t>
  </si>
  <si>
    <t>27.7817659727207</t>
  </si>
  <si>
    <t>22.96947749612</t>
  </si>
  <si>
    <t>20.2115158636898</t>
  </si>
  <si>
    <t>38.7634936211973</t>
  </si>
  <si>
    <t>26.1324041811847</t>
  </si>
  <si>
    <t>29.8242304724342</t>
  </si>
  <si>
    <t>25.1441753171857</t>
  </si>
  <si>
    <t>41.2143826322931</t>
  </si>
  <si>
    <t>46.9879518072289</t>
  </si>
  <si>
    <t>61.3672496025437</t>
  </si>
  <si>
    <t>28.6704200952793</t>
  </si>
  <si>
    <t>31.5939278937381</t>
  </si>
  <si>
    <t>38.7617765814267</t>
  </si>
  <si>
    <t>35.1449275362319</t>
  </si>
  <si>
    <t>55.2321385614626</t>
  </si>
  <si>
    <t>32.8482328482329</t>
  </si>
  <si>
    <t>33.6289726533629</t>
  </si>
  <si>
    <t>39.9646097661986</t>
  </si>
  <si>
    <t>37.5107296137339</t>
  </si>
  <si>
    <t>30.0597213005972</t>
  </si>
  <si>
    <t>29.6558082360172</t>
  </si>
  <si>
    <t>28.3769448373409</t>
  </si>
  <si>
    <t>30.083857442348</t>
  </si>
  <si>
    <t>48.2119775958639</t>
  </si>
  <si>
    <t>43.0861093651791</t>
  </si>
  <si>
    <t>53.9424770103698</t>
  </si>
  <si>
    <t>46.9555185232663</t>
  </si>
  <si>
    <t>39.7502601456816</t>
  </si>
  <si>
    <t>36.9687660010241</t>
  </si>
  <si>
    <t>43.2656826568266</t>
  </si>
  <si>
    <t>50.968992248062</t>
  </si>
  <si>
    <t>45.4510221877725</t>
  </si>
  <si>
    <t>51.527224435591</t>
  </si>
  <si>
    <t>34.5806451612903</t>
  </si>
  <si>
    <t>61.3333333333333</t>
  </si>
  <si>
    <t>43.2325449888567</t>
  </si>
  <si>
    <t>35.2942158789181</t>
  </si>
  <si>
    <t>22.9916897506925</t>
  </si>
  <si>
    <t>6.25586487331874</t>
  </si>
  <si>
    <t>21.0626911314985</t>
  </si>
  <si>
    <t>14.7956544231764</t>
  </si>
  <si>
    <t>19.810795770729</t>
  </si>
  <si>
    <t>13.3136094674556</t>
  </si>
  <si>
    <t>8.38227442605446</t>
  </si>
  <si>
    <t>5.94900849858357</t>
  </si>
  <si>
    <t>10.969387755102</t>
  </si>
  <si>
    <t>28.5335689045936</t>
  </si>
  <si>
    <t>19.0055248618785</t>
  </si>
  <si>
    <t>11.6362417491749</t>
  </si>
  <si>
    <t>14.5320003148862</t>
  </si>
  <si>
    <t>6.13694124682314</t>
  </si>
  <si>
    <t>8.35266821345708</t>
  </si>
  <si>
    <t>10.6613226452906</t>
  </si>
  <si>
    <t>13.7970031099802</t>
  </si>
  <si>
    <t>9.27960927960928</t>
  </si>
  <si>
    <t>5.66666666666667</t>
  </si>
  <si>
    <t>6.92708333333333</t>
  </si>
  <si>
    <t>11.1319025433438</t>
  </si>
  <si>
    <t>14.9036402569593</t>
  </si>
  <si>
    <t>6.02453102453102</t>
  </si>
  <si>
    <t>5.31718873387734</t>
  </si>
  <si>
    <t>6.9060773480663</t>
  </si>
  <si>
    <t>14.8538572113081</t>
  </si>
  <si>
    <t>6.67340748230536</t>
  </si>
  <si>
    <t>9.46481665014866</t>
  </si>
  <si>
    <t>7.49559082892416</t>
  </si>
  <si>
    <t>6.17816091954023</t>
  </si>
  <si>
    <t>14.9358226371062</t>
  </si>
  <si>
    <t>11.701689328389</t>
  </si>
  <si>
    <t>8.92071398920714</t>
  </si>
  <si>
    <t>6.52573529411765</t>
  </si>
  <si>
    <t>8.61788617886179</t>
  </si>
  <si>
    <t>18.5719189838654</t>
  </si>
  <si>
    <t>10.1526868927226</t>
  </si>
  <si>
    <t>16.9689119170984</t>
  </si>
  <si>
    <t>5.0656660412758</t>
  </si>
  <si>
    <t>7.11143695014663</t>
  </si>
  <si>
    <t>3.05743612142389</t>
  </si>
  <si>
    <t>7.97153024911032</t>
  </si>
  <si>
    <t>9.11214953271028</t>
  </si>
  <si>
    <t>6.39781685870224</t>
  </si>
  <si>
    <t>10.4726100966702</t>
  </si>
  <si>
    <t>4.21160760143811</t>
  </si>
  <si>
    <t>4.32302954260294</t>
  </si>
  <si>
    <t>3.950233281493</t>
  </si>
  <si>
    <t>4.81203007518797</t>
  </si>
  <si>
    <t>4.09556313993174</t>
  </si>
  <si>
    <t>6.91272151775073</t>
  </si>
  <si>
    <t>11.0075446591095</t>
  </si>
  <si>
    <t>29.8091720529394</t>
  </si>
  <si>
    <t>42.6337191116672</t>
  </si>
  <si>
    <t>33.6136595310907</t>
  </si>
  <si>
    <t>26.9529229177444</t>
  </si>
  <si>
    <t>31.9421257651642</t>
  </si>
  <si>
    <t>33.5798816568047</t>
  </si>
  <si>
    <t>50.7741591030432</t>
  </si>
  <si>
    <t>35.6232294617564</t>
  </si>
  <si>
    <t>39.4132653061224</t>
  </si>
  <si>
    <t>29.5229681978799</t>
  </si>
  <si>
    <t>33.7647987371744</t>
  </si>
  <si>
    <t>33.3694306930693</t>
  </si>
  <si>
    <t>33.0433755805715</t>
  </si>
  <si>
    <t>33.9886380624907</t>
  </si>
  <si>
    <t>31.554524361949</t>
  </si>
  <si>
    <t>39.5991983967936</t>
  </si>
  <si>
    <t>38.733389878428</t>
  </si>
  <si>
    <t>37.7289377289377</t>
  </si>
  <si>
    <t>30.2222222222222</t>
  </si>
  <si>
    <t>37.8645833333333</t>
  </si>
  <si>
    <t>34.0487283281143</t>
  </si>
  <si>
    <t>34.3040685224839</t>
  </si>
  <si>
    <t>30.2669552669553</t>
  </si>
  <si>
    <t>29.7183469334035</t>
  </si>
  <si>
    <t>34.2541436464088</t>
  </si>
  <si>
    <t>32.8222328701485</t>
  </si>
  <si>
    <t>34.6814964610718</t>
  </si>
  <si>
    <t>31.3181367690783</t>
  </si>
  <si>
    <t>37.2134038800705</t>
  </si>
  <si>
    <t>24.3055555555556</t>
  </si>
  <si>
    <t>34.1890315052509</t>
  </si>
  <si>
    <t>31.5203955500618</t>
  </si>
  <si>
    <t>31.0087173100872</t>
  </si>
  <si>
    <t>40.2439024390244</t>
  </si>
  <si>
    <t>27.9437006522485</t>
  </si>
  <si>
    <t>33.5117985326195</t>
  </si>
  <si>
    <t>35.6217616580311</t>
  </si>
  <si>
    <t>28.0487804878049</t>
  </si>
  <si>
    <t>27.1260997067449</t>
  </si>
  <si>
    <t>20.4193055252238</t>
  </si>
  <si>
    <t>35.5871886120996</t>
  </si>
  <si>
    <t>33.1775700934579</t>
  </si>
  <si>
    <t>42.6318981200728</t>
  </si>
  <si>
    <t>33.2438238453276</t>
  </si>
  <si>
    <t>23.1124807395994</t>
  </si>
  <si>
    <t>24.7861298049504</t>
  </si>
  <si>
    <t>17.293934681182</t>
  </si>
  <si>
    <t>41.1278195488722</t>
  </si>
  <si>
    <t>20.1365187713311</t>
  </si>
  <si>
    <t>28.4304722455599</t>
  </si>
  <si>
    <t>31.7277394895743</t>
  </si>
  <si>
    <t>18.990458602647</t>
  </si>
  <si>
    <t>21.5827338129496</t>
  </si>
  <si>
    <t>11.1493374108053</t>
  </si>
  <si>
    <t>26.4355923435075</t>
  </si>
  <si>
    <t>18.8091263216472</t>
  </si>
  <si>
    <t>24.2603550295858</t>
  </si>
  <si>
    <t>17.4052322477309</t>
  </si>
  <si>
    <t>27.9745042492918</t>
  </si>
  <si>
    <t>18.4948979591837</t>
  </si>
  <si>
    <t>22.4028268551237</t>
  </si>
  <si>
    <t>18.7719021310182</t>
  </si>
  <si>
    <t>24.1001443894389</t>
  </si>
  <si>
    <t>23.6007242383689</t>
  </si>
  <si>
    <t>25.0485872327702</t>
  </si>
  <si>
    <t>20.9148160424263</t>
  </si>
  <si>
    <t>20.8817635270541</t>
  </si>
  <si>
    <t>23.6641221374046</t>
  </si>
  <si>
    <t>31.1355311355311</t>
  </si>
  <si>
    <t>25.6111111111111</t>
  </si>
  <si>
    <t>27.4479166666667</t>
  </si>
  <si>
    <t>24.0185595356297</t>
  </si>
  <si>
    <t>23.6402569593148</t>
  </si>
  <si>
    <t>21.1038961038961</t>
  </si>
  <si>
    <t>18.2153198210055</t>
  </si>
  <si>
    <t>13.2596685082873</t>
  </si>
  <si>
    <t>21.5620507906085</t>
  </si>
  <si>
    <t>24.1658240647118</t>
  </si>
  <si>
    <t>18.3349851337958</t>
  </si>
  <si>
    <t>18.5626102292769</t>
  </si>
  <si>
    <t>11.4224137931034</t>
  </si>
  <si>
    <t>15.4025670945158</t>
  </si>
  <si>
    <t>25.7519571487433</t>
  </si>
  <si>
    <t>19.057700290577</t>
  </si>
  <si>
    <t>26.2867647058824</t>
  </si>
  <si>
    <t>16.7479674796748</t>
  </si>
  <si>
    <t>22.9316855475455</t>
  </si>
  <si>
    <t>26.1748958953004</t>
  </si>
  <si>
    <t>18.6528497409326</t>
  </si>
  <si>
    <t>18.7148217636023</t>
  </si>
  <si>
    <t>18.8782991202346</t>
  </si>
  <si>
    <t>22.4939943219043</t>
  </si>
  <si>
    <t>17.3309608540925</t>
  </si>
  <si>
    <t>19.8598130841121</t>
  </si>
  <si>
    <t>16.0097028502123</t>
  </si>
  <si>
    <t>13.4801288936627</t>
  </si>
  <si>
    <t>31.1248073959938</t>
  </si>
  <si>
    <t>26.8963157294399</t>
  </si>
  <si>
    <t>25.8631415241058</t>
  </si>
  <si>
    <t>20.3759398496241</t>
  </si>
  <si>
    <t>11.2627986348123</t>
  </si>
  <si>
    <t>22.3813524550126</t>
  </si>
  <si>
    <t>21.6993685584805</t>
  </si>
  <si>
    <t>28.2086795937212</t>
  </si>
  <si>
    <t>29.5276822020644</t>
  </si>
  <si>
    <t>34.1743119266055</t>
  </si>
  <si>
    <t>31.8158303155717</t>
  </si>
  <si>
    <t>29.4379521424596</t>
  </si>
  <si>
    <t>28.8461538461539</t>
  </si>
  <si>
    <t>23.4383342231714</t>
  </si>
  <si>
    <t>30.4532577903683</t>
  </si>
  <si>
    <t>31.1224489795918</t>
  </si>
  <si>
    <t>19.5406360424028</t>
  </si>
  <si>
    <t>28.457774269929</t>
  </si>
  <si>
    <t>30.8941831683168</t>
  </si>
  <si>
    <t>28.8238998661733</t>
  </si>
  <si>
    <t>34.825833457916</t>
  </si>
  <si>
    <t>39.1779913821677</t>
  </si>
  <si>
    <t>28.8577154308617</t>
  </si>
  <si>
    <t>23.8054848741872</t>
  </si>
  <si>
    <t>21.8559218559218</t>
  </si>
  <si>
    <t>38.5</t>
  </si>
  <si>
    <t>27.7604166666667</t>
  </si>
  <si>
    <t>30.8008095929123</t>
  </si>
  <si>
    <t>27.152034261242</t>
  </si>
  <si>
    <t>42.6046176046176</t>
  </si>
  <si>
    <t>46.7491445117136</t>
  </si>
  <si>
    <t>45.5801104972376</t>
  </si>
  <si>
    <t>30.7618591279348</t>
  </si>
  <si>
    <t>34.479271991911</t>
  </si>
  <si>
    <t>40.8820614469772</t>
  </si>
  <si>
    <t>36.7283950617284</t>
  </si>
  <si>
    <t>58.0938697318008</t>
  </si>
  <si>
    <t>35.4725787631272</t>
  </si>
  <si>
    <t>31.0259579728059</t>
  </si>
  <si>
    <t>41.0128684101287</t>
  </si>
  <si>
    <t>40.0735294117647</t>
  </si>
  <si>
    <t>34.390243902439</t>
  </si>
  <si>
    <t>30.5526948163405</t>
  </si>
  <si>
    <t>30.1606186793575</t>
  </si>
  <si>
    <t>28.7564766839378</t>
  </si>
  <si>
    <t>48.1707317073171</t>
  </si>
  <si>
    <t>46.8841642228739</t>
  </si>
  <si>
    <t>54.0292640314479</t>
  </si>
  <si>
    <t>39.1103202846975</t>
  </si>
  <si>
    <t>37.8504672897196</t>
  </si>
  <si>
    <t>34.9605821710127</t>
  </si>
  <si>
    <t>42.8034371643394</t>
  </si>
  <si>
    <t>41.5511042629687</t>
  </si>
  <si>
    <t>43.9945249230067</t>
  </si>
  <si>
    <t>52.8926905132193</t>
  </si>
  <si>
    <t>33.6842105263158</t>
  </si>
  <si>
    <t>64.5051194539249</t>
  </si>
  <si>
    <t>42.2754537816768</t>
  </si>
  <si>
    <t>35.5653472928357</t>
  </si>
  <si>
    <t>19.8979591836735</t>
  </si>
  <si>
    <t>5.42264752791069</t>
  </si>
  <si>
    <t>17.1244578788277</t>
  </si>
  <si>
    <t>12.7635327635328</t>
  </si>
  <si>
    <t>20.6093189964158</t>
  </si>
  <si>
    <t>11.4139693356048</t>
  </si>
  <si>
    <t>10.4531722054381</t>
  </si>
  <si>
    <t>5.52611657834974</t>
  </si>
  <si>
    <t>10.8991825613079</t>
  </si>
  <si>
    <t>27.0985051743963</t>
  </si>
  <si>
    <t>16.743734083903</t>
  </si>
  <si>
    <t>9.6961006011803</t>
  </si>
  <si>
    <t>12.2829770321717</t>
  </si>
  <si>
    <t>4.69293632170888</t>
  </si>
  <si>
    <t>8.19220165419456</t>
  </si>
  <si>
    <t>8.01652892561983</t>
  </si>
  <si>
    <t>11.8282797958571</t>
  </si>
  <si>
    <t>9.12751677852349</t>
  </si>
  <si>
    <t>4.88698839340257</t>
  </si>
  <si>
    <t>6.64040517726505</t>
  </si>
  <si>
    <t>9.39828786105808</t>
  </si>
  <si>
    <t>13.0059117780809</t>
  </si>
  <si>
    <t>5.15505436971406</t>
  </si>
  <si>
    <t>3.98690865813746</t>
  </si>
  <si>
    <t>6.27062706270627</t>
  </si>
  <si>
    <t>13.0047194546408</t>
  </si>
  <si>
    <t>4.51045104510451</t>
  </si>
  <si>
    <t>9.18949771689498</t>
  </si>
  <si>
    <t>5.36817102137767</t>
  </si>
  <si>
    <t>6.13113113113113</t>
  </si>
  <si>
    <t>12.5</t>
  </si>
  <si>
    <t>10.4510942384993</t>
  </si>
  <si>
    <t>7.73879850949741</t>
  </si>
  <si>
    <t>4.15458937198068</t>
  </si>
  <si>
    <t>8.15217391304348</t>
  </si>
  <si>
    <t>15.5438596491228</t>
  </si>
  <si>
    <t>9.07282132908874</t>
  </si>
  <si>
    <t>11.4958448753463</t>
  </si>
  <si>
    <t>4.95565988523735</t>
  </si>
  <si>
    <t>6.8677494199536</t>
  </si>
  <si>
    <t>2.27963525835866</t>
  </si>
  <si>
    <t>7.95100685073697</t>
  </si>
  <si>
    <t>8.00542740841248</t>
  </si>
  <si>
    <t>5.35372848948375</t>
  </si>
  <si>
    <t>7.8159645232816</t>
  </si>
  <si>
    <t>3.70595382746051</t>
  </si>
  <si>
    <t>3.70665603826226</t>
  </si>
  <si>
    <t>3.4937376400791</t>
  </si>
  <si>
    <t>4.43548387096774</t>
  </si>
  <si>
    <t>6.11723988751893</t>
  </si>
  <si>
    <t>9.60958096886049</t>
  </si>
  <si>
    <t>26.6458196181698</t>
  </si>
  <si>
    <t>38.8197767145136</t>
  </si>
  <si>
    <t>32.8164016296491</t>
  </si>
  <si>
    <t>23.6467236467236</t>
  </si>
  <si>
    <t>26.6427718040621</t>
  </si>
  <si>
    <t>29.9829642248722</t>
  </si>
  <si>
    <t>44.3504531722054</t>
  </si>
  <si>
    <t>31.9454958364875</t>
  </si>
  <si>
    <t>35.4223433242507</t>
  </si>
  <si>
    <t>29.781525488693</t>
  </si>
  <si>
    <t>30.9073850690256</t>
  </si>
  <si>
    <t>29.2537642711378</t>
  </si>
  <si>
    <t>29.0172781659206</t>
  </si>
  <si>
    <t>29.7111416781293</t>
  </si>
  <si>
    <t>27.0972823946436</t>
  </si>
  <si>
    <t>35.495867768595</t>
  </si>
  <si>
    <t>34.6142299609727</t>
  </si>
  <si>
    <t>35.1677852348993</t>
  </si>
  <si>
    <t>27.3060476481368</t>
  </si>
  <si>
    <t>36.015756893641</t>
  </si>
  <si>
    <t>30.0897127958777</t>
  </si>
  <si>
    <t>31.8326512050932</t>
  </si>
  <si>
    <t>26.2988320579944</t>
  </si>
  <si>
    <t>24.8437964891401</t>
  </si>
  <si>
    <t>34.3234323432343</t>
  </si>
  <si>
    <t>28.2118510749869</t>
  </si>
  <si>
    <t>31.5731573157316</t>
  </si>
  <si>
    <t>27.8538812785388</t>
  </si>
  <si>
    <t>30.0237529691211</t>
  </si>
  <si>
    <t>22.7977977977978</t>
  </si>
  <si>
    <t>29.9202127659574</t>
  </si>
  <si>
    <t>28.2715497990174</t>
  </si>
  <si>
    <t>27.2925565754794</t>
  </si>
  <si>
    <t>23.1884057971014</t>
  </si>
  <si>
    <t>35.054347826087</t>
  </si>
  <si>
    <t>22.280701754386</t>
  </si>
  <si>
    <t>26.0644647831277</t>
  </si>
  <si>
    <t>30.8864265927978</t>
  </si>
  <si>
    <t>23.5263432446531</t>
  </si>
  <si>
    <t>24.2227378190255</t>
  </si>
  <si>
    <t>16.742654508612</t>
  </si>
  <si>
    <t>32.5929001453187</t>
  </si>
  <si>
    <t>25.9158751696065</t>
  </si>
  <si>
    <t>37.6673040152964</t>
  </si>
  <si>
    <t>24.7782705099778</t>
  </si>
  <si>
    <t>20.4738760631835</t>
  </si>
  <si>
    <t>22.4923608343297</t>
  </si>
  <si>
    <t>12.6730388925511</t>
  </si>
  <si>
    <t>40.8870967741936</t>
  </si>
  <si>
    <t>16.3306451612903</t>
  </si>
  <si>
    <t>24.2396712091715</t>
  </si>
  <si>
    <t>27.9942230790716</t>
  </si>
  <si>
    <t>16.919025674786</t>
  </si>
  <si>
    <t>20.7974481658692</t>
  </si>
  <si>
    <t>6.42660007885399</t>
  </si>
  <si>
    <t>26.8376068376068</t>
  </si>
  <si>
    <t>20.4301075268817</t>
  </si>
  <si>
    <t>26.5758091993186</t>
  </si>
  <si>
    <t>17.0392749244713</t>
  </si>
  <si>
    <t>29.1445874337623</t>
  </si>
  <si>
    <t>16.7574931880109</t>
  </si>
  <si>
    <t>22.5756995017248</t>
  </si>
  <si>
    <t>16.9682348210696</t>
  </si>
  <si>
    <t>21.0716452484695</t>
  </si>
  <si>
    <t>21.1479730577752</t>
  </si>
  <si>
    <t>20.9240229792054</t>
  </si>
  <si>
    <t>18.31429696731</t>
  </si>
  <si>
    <t>20.702479338843</t>
  </si>
  <si>
    <t>23.1462023416391</t>
  </si>
  <si>
    <t>31.2751677852349</t>
  </si>
  <si>
    <t>25.0458155161881</t>
  </si>
  <si>
    <t>28.4186831738886</t>
  </si>
  <si>
    <t>21.6090821375049</t>
  </si>
  <si>
    <t>22.737608003638</t>
  </si>
  <si>
    <t>19.0092629883206</t>
  </si>
  <si>
    <t>16.0963998809878</t>
  </si>
  <si>
    <t>10.8910891089109</t>
  </si>
  <si>
    <t>19.6119559517567</t>
  </si>
  <si>
    <t>22.4422442244224</t>
  </si>
  <si>
    <t>17.7511415525114</t>
  </si>
  <si>
    <t>16.9596199524941</t>
  </si>
  <si>
    <t>9.50950950950951</t>
  </si>
  <si>
    <t>11.5691489361702</t>
  </si>
  <si>
    <t>24.4752121482805</t>
  </si>
  <si>
    <t>17.2998273198219</t>
  </si>
  <si>
    <t>18.5507246376812</t>
  </si>
  <si>
    <t>18.6594202898551</t>
  </si>
  <si>
    <t>21.4385964912281</t>
  </si>
  <si>
    <t>22.2244329486669</t>
  </si>
  <si>
    <t>19.9445983379501</t>
  </si>
  <si>
    <t>15.8059467918623</t>
  </si>
  <si>
    <t>18.5614849187935</t>
  </si>
  <si>
    <t>18.0091185410334</t>
  </si>
  <si>
    <t>14.7809840149471</t>
  </si>
  <si>
    <t>17.5033921302578</t>
  </si>
  <si>
    <t>15.4238368387508</t>
  </si>
  <si>
    <t>12.4722838137472</t>
  </si>
  <si>
    <t>27.5212636695018</t>
  </si>
  <si>
    <t>25.6808821575661</t>
  </si>
  <si>
    <t>21.704021094265</t>
  </si>
  <si>
    <t>22.0161290322581</t>
  </si>
  <si>
    <t>9.87903225806452</t>
  </si>
  <si>
    <t>20.0281202682241</t>
  </si>
  <si>
    <t>19.5216327976511</t>
  </si>
  <si>
    <t>36.5371955233706</t>
  </si>
  <si>
    <t>34.9601275917066</t>
  </si>
  <si>
    <t>43.6325404126692</t>
  </si>
  <si>
    <t>36.7521367521367</t>
  </si>
  <si>
    <t>32.3178016726404</t>
  </si>
  <si>
    <t>32.0272572402044</t>
  </si>
  <si>
    <t>28.1570996978852</t>
  </si>
  <si>
    <t>33.3838001514005</t>
  </si>
  <si>
    <t>36.9209809264305</t>
  </si>
  <si>
    <t>20.5442698351859</t>
  </si>
  <si>
    <t>35.3806460260019</t>
  </si>
  <si>
    <t>39.9784898792124</t>
  </si>
  <si>
    <t>37.5517717441325</t>
  </si>
  <si>
    <t>44.6718990209564</t>
  </si>
  <si>
    <t>46.3962189838519</t>
  </si>
  <si>
    <t>35.7851239669422</t>
  </si>
  <si>
    <t>30.4112879015311</t>
  </si>
  <si>
    <t>24.4295302013423</t>
  </si>
  <si>
    <t>42.7611484422725</t>
  </si>
  <si>
    <t>28.9251547552054</t>
  </si>
  <si>
    <t>38.9029172055593</t>
  </si>
  <si>
    <t>32.4238290131878</t>
  </si>
  <si>
    <t>49.536850583971</t>
  </si>
  <si>
    <t>55.0728949717346</t>
  </si>
  <si>
    <t>48.5148514851485</t>
  </si>
  <si>
    <t>39.1714735186156</t>
  </si>
  <si>
    <t>41.4741474147415</t>
  </si>
  <si>
    <t>45.2054794520548</t>
  </si>
  <si>
    <t>47.6484560570071</t>
  </si>
  <si>
    <t>61.5615615615616</t>
  </si>
  <si>
    <t>46.0106382978723</t>
  </si>
  <si>
    <t>36.8021438142028</t>
  </si>
  <si>
    <t>47.6688175952013</t>
  </si>
  <si>
    <t>54.1062801932367</t>
  </si>
  <si>
    <t>38.1340579710145</t>
  </si>
  <si>
    <t>40.7368421052632</t>
  </si>
  <si>
    <t>42.6382809391166</t>
  </si>
  <si>
    <t>37.6731301939058</t>
  </si>
  <si>
    <t>55.7120500782473</t>
  </si>
  <si>
    <t>50.3480278422274</t>
  </si>
  <si>
    <t>62.968591691996</t>
  </si>
  <si>
    <t>44.6751089889973</t>
  </si>
  <si>
    <t>48.5753052917232</t>
  </si>
  <si>
    <t>41.5551306564691</t>
  </si>
  <si>
    <t>54.9334811529934</t>
  </si>
  <si>
    <t>48.2989064398542</t>
  </si>
  <si>
    <t>48.1201009698419</t>
  </si>
  <si>
    <t>62.1292023731048</t>
  </si>
  <si>
    <t>32.6612903225806</t>
  </si>
  <si>
    <t>69.3548387096774</t>
  </si>
  <si>
    <t>49.6149686350854</t>
  </si>
  <si>
    <t>42.8745631544168</t>
  </si>
  <si>
    <t>16.5220820189274</t>
  </si>
  <si>
    <t>3.95256916996047</t>
  </si>
  <si>
    <t>12.6304313969787</t>
  </si>
  <si>
    <t>9.9487929773226</t>
  </si>
  <si>
    <t>18.4921763869132</t>
  </si>
  <si>
    <t>9.74576271186441</t>
  </si>
  <si>
    <t>10.7985480943739</t>
  </si>
  <si>
    <t>4.02397260273973</t>
  </si>
  <si>
    <t>7.73381294964029</t>
  </si>
  <si>
    <t>20.360824742268</t>
  </si>
  <si>
    <t>13.7259586668259</t>
  </si>
  <si>
    <t>8.13972223117327</t>
  </si>
  <si>
    <t>10.284757118928</t>
  </si>
  <si>
    <t>3.71868218583547</t>
  </si>
  <si>
    <t>7.08312838170192</t>
  </si>
  <si>
    <t>5.92255125284738</t>
  </si>
  <si>
    <t>8.38466803559206</t>
  </si>
  <si>
    <t>6.64697193500739</t>
  </si>
  <si>
    <t>3.21285140562249</t>
  </si>
  <si>
    <t>5.2665799739922</t>
  </si>
  <si>
    <t>7.7107797228826</t>
  </si>
  <si>
    <t>12.6785714285714</t>
  </si>
  <si>
    <t>4.01742497579864</t>
  </si>
  <si>
    <t>3.35260115606936</t>
  </si>
  <si>
    <t>7.10382513661202</t>
  </si>
  <si>
    <t>10.1197604790419</t>
  </si>
  <si>
    <t>3.2258064516129</t>
  </si>
  <si>
    <t>6.81976339596381</t>
  </si>
  <si>
    <t>4.63499420625724</t>
  </si>
  <si>
    <t>10.7105263157895</t>
  </si>
  <si>
    <t>9.22818791946309</t>
  </si>
  <si>
    <t>7.82295419454452</t>
  </si>
  <si>
    <t>7.48199880894375</t>
  </si>
  <si>
    <t>3.60655737704918</t>
  </si>
  <si>
    <t>6.6006600660066</t>
  </si>
  <si>
    <t>13.4075723830735</t>
  </si>
  <si>
    <t>7.84675744288022</t>
  </si>
  <si>
    <t>13.915857605178</t>
  </si>
  <si>
    <t>3.68098159509202</t>
  </si>
  <si>
    <t>5.63660477453581</t>
  </si>
  <si>
    <t>2.07625519063798</t>
  </si>
  <si>
    <t>7.4254215304799</t>
  </si>
  <si>
    <t>6.61764705882353</t>
  </si>
  <si>
    <t>4.52944136889784</t>
  </si>
  <si>
    <t>4.94469746258946</t>
  </si>
  <si>
    <t>2.04081632653061</t>
  </si>
  <si>
    <t>3.0211958241063</t>
  </si>
  <si>
    <t>3.26267664172901</t>
  </si>
  <si>
    <t>5.15574650912997</t>
  </si>
  <si>
    <t>5.65552699228792</t>
  </si>
  <si>
    <t>5.30851720846668</t>
  </si>
  <si>
    <t>8.2176931542669</t>
  </si>
  <si>
    <t>26.4195583596215</t>
  </si>
  <si>
    <t>43.3704635285663</t>
  </si>
  <si>
    <t>43.933966671858</t>
  </si>
  <si>
    <t>23.1163130943672</t>
  </si>
  <si>
    <t>26.6002844950213</t>
  </si>
  <si>
    <t>30.9322033898305</t>
  </si>
  <si>
    <t>31.7604355716878</t>
  </si>
  <si>
    <t>27.7397260273973</t>
  </si>
  <si>
    <t>30.3956834532374</t>
  </si>
  <si>
    <t>26.3960481099656</t>
  </si>
  <si>
    <t>33.0307012304384</t>
  </si>
  <si>
    <t>28.9498276028744</t>
  </si>
  <si>
    <t>30.437903804738</t>
  </si>
  <si>
    <t>25.882817123693</t>
  </si>
  <si>
    <t>23.16773241515</t>
  </si>
  <si>
    <t>31.753986332574</t>
  </si>
  <si>
    <t>32.4777549623546</t>
  </si>
  <si>
    <t>31.9054652880355</t>
  </si>
  <si>
    <t>24.0160642570281</t>
  </si>
  <si>
    <t>31.1443433029909</t>
  </si>
  <si>
    <t>29.0444972744519</t>
  </si>
  <si>
    <t>31.3690476190476</t>
  </si>
  <si>
    <t>22.7492739593417</t>
  </si>
  <si>
    <t>20.616570327553</t>
  </si>
  <si>
    <t>28.4153005464481</t>
  </si>
  <si>
    <t>24.4910179640719</t>
  </si>
  <si>
    <t>28.258064516129</t>
  </si>
  <si>
    <t>27.2094641614475</t>
  </si>
  <si>
    <t>26.7091541135574</t>
  </si>
  <si>
    <t>22.9736842105263</t>
  </si>
  <si>
    <t>29.1946308724832</t>
  </si>
  <si>
    <t>24.3952650540401</t>
  </si>
  <si>
    <t>24.822695035461</t>
  </si>
  <si>
    <t>23.1693989071038</t>
  </si>
  <si>
    <t>35.0935093509351</t>
  </si>
  <si>
    <t>23.5189309576837</t>
  </si>
  <si>
    <t>25.571197784445</t>
  </si>
  <si>
    <t>27.831715210356</t>
  </si>
  <si>
    <t>21.1997273346967</t>
  </si>
  <si>
    <t>23.209549071618</t>
  </si>
  <si>
    <t>16.5722914307286</t>
  </si>
  <si>
    <t>35.3761348897536</t>
  </si>
  <si>
    <t>29.9632352941176</t>
  </si>
  <si>
    <t>36.4871665827881</t>
  </si>
  <si>
    <t>22.3812621990891</t>
  </si>
  <si>
    <t>18.3673469387755</t>
  </si>
  <si>
    <t>18.6649794368871</t>
  </si>
  <si>
    <t>10.2036575228595</t>
  </si>
  <si>
    <t>40.0644468313641</t>
  </si>
  <si>
    <t>17.4807197943445</t>
  </si>
  <si>
    <t>22.8117455505025</t>
  </si>
  <si>
    <t>27.3903797300764</t>
  </si>
  <si>
    <t>20.4652996845426</t>
  </si>
  <si>
    <t>33.6687028386633</t>
  </si>
  <si>
    <t>12.9730571562062</t>
  </si>
  <si>
    <t>32.8456474030724</t>
  </si>
  <si>
    <t>19.2745376955903</t>
  </si>
  <si>
    <t>33.3</t>
  </si>
  <si>
    <t>24.9546279491833</t>
  </si>
  <si>
    <t>29.2808219178082</t>
  </si>
  <si>
    <t>20.6834532374101</t>
  </si>
  <si>
    <t>10.3522336769759</t>
  </si>
  <si>
    <t>21.9328634571736</t>
  </si>
  <si>
    <t>22.3568459381948</t>
  </si>
  <si>
    <t>23.1299353912419</t>
  </si>
  <si>
    <t>20.7634641941211</t>
  </si>
  <si>
    <t>19.1834727004427</t>
  </si>
  <si>
    <t>30.1138952164009</t>
  </si>
  <si>
    <t>24.5037645448323</t>
  </si>
  <si>
    <t>36.7799113737075</t>
  </si>
  <si>
    <t>30.2008032128514</t>
  </si>
  <si>
    <t>30.7542262678804</t>
  </si>
  <si>
    <t>23.5405710443532</t>
  </si>
  <si>
    <t>21.9642857142857</t>
  </si>
  <si>
    <t>26.621490803485</t>
  </si>
  <si>
    <t>20.8092485549133</t>
  </si>
  <si>
    <t>11.4754098360656</t>
  </si>
  <si>
    <t>20.8383233532934</t>
  </si>
  <si>
    <t>18.7096774193548</t>
  </si>
  <si>
    <t>27.9053583855254</t>
  </si>
  <si>
    <t>24.449594438007</t>
  </si>
  <si>
    <t>7.81578947368421</t>
  </si>
  <si>
    <t>11.4093959731544</t>
  </si>
  <si>
    <t>33.0931549150798</t>
  </si>
  <si>
    <t>20.5944453467598</t>
  </si>
  <si>
    <t>18.7978142076503</t>
  </si>
  <si>
    <t>16.0616061606161</t>
  </si>
  <si>
    <t>21.2026726057906</t>
  </si>
  <si>
    <t>31.9409185321948</t>
  </si>
  <si>
    <t>20.5501618122977</t>
  </si>
  <si>
    <t>23.7900477164281</t>
  </si>
  <si>
    <t>20.7559681697613</t>
  </si>
  <si>
    <t>25.5190637976595</t>
  </si>
  <si>
    <t>17.8664072632944</t>
  </si>
  <si>
    <t>18.3823529411765</t>
  </si>
  <si>
    <t>20.6844489179668</t>
  </si>
  <si>
    <t>13.4677944046844</t>
  </si>
  <si>
    <t>16.3265306122449</t>
  </si>
  <si>
    <t>36.0487187598861</t>
  </si>
  <si>
    <t>20.8021612635079</t>
  </si>
  <si>
    <t>21.2674543501611</t>
  </si>
  <si>
    <t>24.3080119027567</t>
  </si>
  <si>
    <t>22.9823995233721</t>
  </si>
  <si>
    <t>36.5930599369085</t>
  </si>
  <si>
    <t>19.0082644628099</t>
  </si>
  <si>
    <t>30.4625447749572</t>
  </si>
  <si>
    <t>34.0892465252377</t>
  </si>
  <si>
    <t>35.6330014224751</t>
  </si>
  <si>
    <t>26.0220338983051</t>
  </si>
  <si>
    <t>32.486388384755</t>
  </si>
  <si>
    <t>38.9554794520548</t>
  </si>
  <si>
    <t>41.1870503597122</t>
  </si>
  <si>
    <t>36.4046391752577</t>
  </si>
  <si>
    <t>31.3104766455621</t>
  </si>
  <si>
    <t>40.5536042277575</t>
  </si>
  <si>
    <t>36.1474036850921</t>
  </si>
  <si>
    <t>49.6350364963504</t>
  </si>
  <si>
    <t>50.5656665027054</t>
  </si>
  <si>
    <t>32.2095671981777</t>
  </si>
  <si>
    <t>34.6338124572211</t>
  </si>
  <si>
    <t>24.6676514032496</t>
  </si>
  <si>
    <t>42.570281124498</t>
  </si>
  <si>
    <t>32.8348504551365</t>
  </si>
  <si>
    <t>39.7041519583123</t>
  </si>
  <si>
    <t>33.9880952380952</t>
  </si>
  <si>
    <t>46.6118102613746</t>
  </si>
  <si>
    <t>55.2215799614644</t>
  </si>
  <si>
    <t>53.0054644808743</t>
  </si>
  <si>
    <t>44.5508982035928</t>
  </si>
  <si>
    <t>49.8064516129032</t>
  </si>
  <si>
    <t>38.0654140570633</t>
  </si>
  <si>
    <t>44.2062572421784</t>
  </si>
  <si>
    <t>58.5</t>
  </si>
  <si>
    <t>50.1677852348993</t>
  </si>
  <si>
    <t>34.6886258363356</t>
  </si>
  <si>
    <t>47.1008608088355</t>
  </si>
  <si>
    <t>54.4262295081967</t>
  </si>
  <si>
    <t>42.2442244224422</t>
  </si>
  <si>
    <t>41.8708240534521</t>
  </si>
  <si>
    <t>34.64112624048</t>
  </si>
  <si>
    <t>37.7022653721683</t>
  </si>
  <si>
    <t>51.3292433537832</t>
  </si>
  <si>
    <t>50.3978779840849</t>
  </si>
  <si>
    <t>55.8323895809739</t>
  </si>
  <si>
    <t>39.3320363164721</t>
  </si>
  <si>
    <t>45.0367647058824</t>
  </si>
  <si>
    <t>38.2989431303473</t>
  </si>
  <si>
    <t>59.206245933637</t>
  </si>
  <si>
    <t>63.265306122449</t>
  </si>
  <si>
    <t>42.2651059791205</t>
  </si>
  <si>
    <t>65.7315045719036</t>
  </si>
  <si>
    <t>33.5123523093448</t>
  </si>
  <si>
    <t>47.5717253382741</t>
  </si>
  <si>
    <t>41.4095275922846</t>
  </si>
  <si>
    <t>970</t>
  </si>
  <si>
    <t>3003</t>
  </si>
  <si>
    <t>918</t>
  </si>
  <si>
    <t>719</t>
  </si>
  <si>
    <t>539</t>
  </si>
  <si>
    <t>3389</t>
  </si>
  <si>
    <t>15637</t>
  </si>
  <si>
    <t>21180</t>
  </si>
  <si>
    <t>14322</t>
  </si>
  <si>
    <t>6858</t>
  </si>
  <si>
    <t>1714</t>
  </si>
  <si>
    <t>1415</t>
  </si>
  <si>
    <t>2061</t>
  </si>
  <si>
    <t>420</t>
  </si>
  <si>
    <t>1184</t>
  </si>
  <si>
    <t>28944</t>
  </si>
  <si>
    <t>1198</t>
  </si>
  <si>
    <t>2179</t>
  </si>
  <si>
    <t>280</t>
  </si>
  <si>
    <t>1233</t>
  </si>
  <si>
    <t>540</t>
  </si>
  <si>
    <t>1142</t>
  </si>
  <si>
    <t>1289</t>
  </si>
  <si>
    <t>1392</t>
  </si>
  <si>
    <t>530</t>
  </si>
  <si>
    <t>12422</t>
  </si>
  <si>
    <t>1773</t>
  </si>
  <si>
    <t>3267</t>
  </si>
  <si>
    <t>422</t>
  </si>
  <si>
    <t>1096</t>
  </si>
  <si>
    <t>1516</t>
  </si>
  <si>
    <t>2742</t>
  </si>
  <si>
    <t>987</t>
  </si>
  <si>
    <t>899</t>
  </si>
  <si>
    <t>5223</t>
  </si>
  <si>
    <t>3167</t>
  </si>
  <si>
    <t>445</t>
  </si>
  <si>
    <t>352</t>
  </si>
  <si>
    <t>28470</t>
  </si>
  <si>
    <t>85473</t>
  </si>
  <si>
    <t> gezippte Excel-Datei herunterladen </t>
  </si>
  <si>
    <t>30.06.2016*</t>
  </si>
  <si>
    <t>0 Niedersachsen</t>
  </si>
  <si>
    <t>1 Braunschweig</t>
  </si>
  <si>
    <t>101 Braunschweig,Stadt</t>
  </si>
  <si>
    <t>102 Salzgitter,Stadt</t>
  </si>
  <si>
    <t>103 Wolfsburg,Stadt</t>
  </si>
  <si>
    <t>151 Gifhorn</t>
  </si>
  <si>
    <t>153 Goslar</t>
  </si>
  <si>
    <t>154 Helmstedt</t>
  </si>
  <si>
    <t>155 Northeim</t>
  </si>
  <si>
    <t>157 Peine</t>
  </si>
  <si>
    <t>158 Wolfenbüttel</t>
  </si>
  <si>
    <t>2 Hannover</t>
  </si>
  <si>
    <t>251 Diepholz</t>
  </si>
  <si>
    <t>252 Hameln-Pyrmont</t>
  </si>
  <si>
    <t>254 Hildesheim</t>
  </si>
  <si>
    <t>255 Holzminden</t>
  </si>
  <si>
    <t>256 Nienburg (Weser)</t>
  </si>
  <si>
    <t>257 Schaumburg</t>
  </si>
  <si>
    <t>3 Lüneburg</t>
  </si>
  <si>
    <t>351 Celle</t>
  </si>
  <si>
    <t>352 Cuxhaven</t>
  </si>
  <si>
    <t>353 Harburg</t>
  </si>
  <si>
    <t>354 Lüchow-Dannenberg</t>
  </si>
  <si>
    <t>355 Lüneburg</t>
  </si>
  <si>
    <t>356 Osterholz</t>
  </si>
  <si>
    <t>357 Rotenburg (Wümme)</t>
  </si>
  <si>
    <t>358 Heidekreis</t>
  </si>
  <si>
    <t>359 Stade</t>
  </si>
  <si>
    <t>360 Uelzen</t>
  </si>
  <si>
    <t>361 Verden</t>
  </si>
  <si>
    <t>4 Weser-Ems</t>
  </si>
  <si>
    <t>401 Delmenhorst,Stadt</t>
  </si>
  <si>
    <t>402 Emden,Stadt</t>
  </si>
  <si>
    <t>403 Oldenburg(Oldb),Stadt</t>
  </si>
  <si>
    <t>404 Osnabrück,Stadt</t>
  </si>
  <si>
    <t>405 Wilhelmshaven,Stadt</t>
  </si>
  <si>
    <t>451 Ammerland</t>
  </si>
  <si>
    <t>452 Aurich</t>
  </si>
  <si>
    <t>453 Cloppenburg</t>
  </si>
  <si>
    <t>454 Emsland</t>
  </si>
  <si>
    <t>455 Friesland</t>
  </si>
  <si>
    <t>456 Grafschaft Bentheim</t>
  </si>
  <si>
    <t>457 Leer</t>
  </si>
  <si>
    <t>458 Oldenburg</t>
  </si>
  <si>
    <t>459 Osnabrück</t>
  </si>
  <si>
    <t>460 Vechta</t>
  </si>
  <si>
    <t>461 Wesermarsch</t>
  </si>
  <si>
    <t>462 Wittmund</t>
  </si>
  <si>
    <t>GeoCode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</si>
</sst>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0.0"/>
    <numFmt numFmtId="165" formatCode="###\ ###\ ##0"/>
    <numFmt numFmtId="166" formatCode="###\ ###\ ###.0"/>
    <numFmt numFmtId="167" formatCode="###\ ##0"/>
    <numFmt numFmtId="168" formatCode="mmmm\ yyyy"/>
    <numFmt numFmtId="169" formatCode="* #,##0;* \-#,##0;\-"/>
    <numFmt numFmtId="170" formatCode="* 0.0;* \-0.0;\-"/>
    <numFmt numFmtId="171" formatCode="0.00000000"/>
  </numFmts>
  <fonts count="71">
    <font>
      <sz val="10"/>
      <color theme="1"/>
      <name val="NDSFrutiger 45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NDSFrutiger 45 Ligh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NDSFrutiger 45 Light"/>
      <family val="2"/>
    </font>
    <font>
      <b/>
      <sz val="13"/>
      <color theme="3"/>
      <name val="NDSFrutiger 45 Light"/>
      <family val="2"/>
    </font>
    <font>
      <b/>
      <sz val="11"/>
      <color theme="3"/>
      <name val="NDSFrutiger 45 Light"/>
      <family val="2"/>
    </font>
    <font>
      <sz val="10"/>
      <color rgb="FF006100"/>
      <name val="NDSFrutiger 45 Light"/>
      <family val="2"/>
    </font>
    <font>
      <sz val="10"/>
      <color rgb="FF9C0006"/>
      <name val="NDSFrutiger 45 Light"/>
      <family val="2"/>
    </font>
    <font>
      <sz val="10"/>
      <color rgb="FF9C6500"/>
      <name val="NDSFrutiger 45 Light"/>
      <family val="2"/>
    </font>
    <font>
      <sz val="10"/>
      <color rgb="FF3F3F76"/>
      <name val="NDSFrutiger 45 Light"/>
      <family val="2"/>
    </font>
    <font>
      <b/>
      <sz val="10"/>
      <color rgb="FF3F3F3F"/>
      <name val="NDSFrutiger 45 Light"/>
      <family val="2"/>
    </font>
    <font>
      <b/>
      <sz val="10"/>
      <color rgb="FFFA7D00"/>
      <name val="NDSFrutiger 45 Light"/>
      <family val="2"/>
    </font>
    <font>
      <sz val="10"/>
      <color rgb="FFFA7D00"/>
      <name val="NDSFrutiger 45 Light"/>
      <family val="2"/>
    </font>
    <font>
      <b/>
      <sz val="10"/>
      <color theme="0"/>
      <name val="NDSFrutiger 45 Light"/>
      <family val="2"/>
    </font>
    <font>
      <sz val="10"/>
      <color rgb="FFFF0000"/>
      <name val="NDSFrutiger 45 Light"/>
      <family val="2"/>
    </font>
    <font>
      <i/>
      <sz val="10"/>
      <color rgb="FF7F7F7F"/>
      <name val="NDSFrutiger 45 Light"/>
      <family val="2"/>
    </font>
    <font>
      <b/>
      <sz val="10"/>
      <color theme="1"/>
      <name val="NDSFrutiger 45 Light"/>
      <family val="2"/>
    </font>
    <font>
      <sz val="10"/>
      <color theme="0"/>
      <name val="NDSFrutiger 45 Light"/>
      <family val="2"/>
    </font>
    <font>
      <b/>
      <i/>
      <sz val="10"/>
      <color indexed="8"/>
      <name val="Arial"/>
      <family val="2"/>
    </font>
    <font>
      <sz val="10"/>
      <color indexed="8"/>
      <name val="Arial"/>
      <family val="2"/>
    </font>
    <font>
      <sz val="6"/>
      <name val="NDSFrutiger 45 Light"/>
    </font>
    <font>
      <vertAlign val="superscript"/>
      <sz val="6"/>
      <name val="NDSFrutiger 45 Light"/>
    </font>
    <font>
      <vertAlign val="superscript"/>
      <sz val="6"/>
      <name val="Arial"/>
      <family val="2"/>
    </font>
    <font>
      <sz val="6"/>
      <name val="Arial"/>
      <family val="2"/>
    </font>
    <font>
      <sz val="10"/>
      <name val="Arial"/>
      <family val="2"/>
    </font>
    <font>
      <sz val="6"/>
      <name val="NDSFrutiger 55 Roman"/>
    </font>
    <font>
      <sz val="10"/>
      <color theme="1"/>
      <name val="NDSFrutiger 45 Light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8"/>
      <color theme="1"/>
      <name val="NDSFrutiger 45 Light"/>
    </font>
    <font>
      <sz val="6"/>
      <color theme="1"/>
      <name val="NDSFrutiger 45 Light"/>
      <family val="2"/>
    </font>
    <font>
      <sz val="6"/>
      <color theme="1"/>
      <name val="NDSFrutiger 55 Roman"/>
    </font>
    <font>
      <sz val="10"/>
      <color theme="1"/>
      <name val="NDSFrutiger 55 Roman"/>
    </font>
    <font>
      <sz val="11"/>
      <name val="NDSFrutiger 55 Roman"/>
    </font>
    <font>
      <sz val="9"/>
      <name val="NDSFrutiger 55 Roman"/>
    </font>
    <font>
      <sz val="11"/>
      <color theme="1"/>
      <name val="NDSFrutiger 45 Light"/>
    </font>
    <font>
      <sz val="6"/>
      <color theme="1"/>
      <name val="NDSFrutiger 45 Light"/>
    </font>
    <font>
      <sz val="11"/>
      <color theme="1"/>
      <name val="Calibri  "/>
    </font>
    <font>
      <sz val="10"/>
      <color rgb="FF222222"/>
      <name val="NDSFrutiger 45 Light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sz val="7.5"/>
      <color rgb="FF000080"/>
      <name val="Arial"/>
      <family val="2"/>
    </font>
    <font>
      <b/>
      <sz val="10"/>
      <color rgb="FF000080"/>
      <name val="NDSFrutiger 45 Light"/>
      <family val="2"/>
    </font>
    <font>
      <b/>
      <sz val="10"/>
      <color theme="1"/>
      <name val="NDSFrutiger 45 Light"/>
    </font>
    <font>
      <sz val="11"/>
      <color theme="1"/>
      <name val="Arial"/>
      <family val="2"/>
    </font>
    <font>
      <sz val="10"/>
      <color rgb="FF000000"/>
      <name val="Arial"/>
      <family val="2"/>
    </font>
    <font>
      <u/>
      <sz val="11"/>
      <color theme="10"/>
      <name val="Arial"/>
      <family val="2"/>
    </font>
    <font>
      <u/>
      <sz val="10"/>
      <color indexed="12"/>
      <name val="Arial"/>
      <family val="2"/>
    </font>
    <font>
      <sz val="9"/>
      <color rgb="FF000000"/>
      <name val="Courier New"/>
      <family val="3"/>
    </font>
    <font>
      <b/>
      <sz val="9"/>
      <color rgb="FF000080"/>
      <name val="Courier New"/>
      <family val="3"/>
    </font>
    <font>
      <sz val="9"/>
      <color theme="1"/>
      <name val="Courier New"/>
      <family val="3"/>
    </font>
    <font>
      <b/>
      <sz val="8"/>
      <color theme="1"/>
      <name val="Courier New"/>
      <family val="3"/>
    </font>
    <font>
      <u/>
      <sz val="10"/>
      <color theme="10"/>
      <name val="NDSFrutiger 45 Light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8E8E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F0E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5F5FF"/>
        <bgColor indexed="64"/>
      </patternFill>
    </fill>
  </fills>
  <borders count="9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404040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/>
      <diagonal/>
    </border>
    <border>
      <left/>
      <right/>
      <top style="hair">
        <color indexed="22"/>
      </top>
      <bottom style="hair">
        <color indexed="22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/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/>
      <bottom/>
      <diagonal/>
    </border>
    <border>
      <left/>
      <right style="hair">
        <color indexed="22"/>
      </right>
      <top style="hair">
        <color indexed="22"/>
      </top>
      <bottom/>
      <diagonal/>
    </border>
    <border>
      <left style="hair">
        <color indexed="22"/>
      </left>
      <right/>
      <top style="hair">
        <color indexed="22"/>
      </top>
      <bottom/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/>
      <bottom style="hair">
        <color indexed="22"/>
      </bottom>
      <diagonal/>
    </border>
    <border>
      <left/>
      <right/>
      <top style="hair">
        <color indexed="22"/>
      </top>
      <bottom/>
      <diagonal/>
    </border>
    <border>
      <left style="hair">
        <color indexed="22"/>
      </left>
      <right/>
      <top/>
      <bottom/>
      <diagonal/>
    </border>
    <border>
      <left/>
      <right style="hair">
        <color indexed="22"/>
      </right>
      <top/>
      <bottom/>
      <diagonal/>
    </border>
    <border>
      <left/>
      <right/>
      <top/>
      <bottom style="hair">
        <color indexed="22"/>
      </bottom>
      <diagonal/>
    </border>
    <border>
      <left style="hair">
        <color indexed="22"/>
      </left>
      <right/>
      <top/>
      <bottom style="hair">
        <color indexed="22"/>
      </bottom>
      <diagonal/>
    </border>
    <border>
      <left/>
      <right style="hair">
        <color indexed="22"/>
      </right>
      <top/>
      <bottom style="hair">
        <color indexed="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888888"/>
      </top>
      <bottom/>
      <diagonal/>
    </border>
    <border>
      <left style="medium">
        <color rgb="FF000000"/>
      </left>
      <right/>
      <top style="medium">
        <color rgb="FF888888"/>
      </top>
      <bottom/>
      <diagonal/>
    </border>
    <border>
      <left/>
      <right/>
      <top style="medium">
        <color rgb="FF888888"/>
      </top>
      <bottom/>
      <diagonal/>
    </border>
    <border>
      <left/>
      <right style="medium">
        <color rgb="FF888888"/>
      </right>
      <top style="medium">
        <color rgb="FF888888"/>
      </top>
      <bottom/>
      <diagonal/>
    </border>
    <border>
      <left style="medium">
        <color rgb="FF888888"/>
      </left>
      <right style="medium">
        <color rgb="FF000000"/>
      </right>
      <top/>
      <bottom/>
      <diagonal/>
    </border>
    <border>
      <left/>
      <right style="medium">
        <color rgb="FF888888"/>
      </right>
      <top/>
      <bottom/>
      <diagonal/>
    </border>
    <border>
      <left/>
      <right style="medium">
        <color rgb="FF888888"/>
      </right>
      <top/>
      <bottom style="medium">
        <color rgb="FF000000"/>
      </bottom>
      <diagonal/>
    </border>
    <border>
      <left/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888888"/>
      </left>
      <right/>
      <top/>
      <bottom/>
      <diagonal/>
    </border>
    <border>
      <left style="medium">
        <color rgb="FF888888"/>
      </left>
      <right/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 style="medium">
        <color rgb="FF888888"/>
      </bottom>
      <diagonal/>
    </border>
    <border>
      <left/>
      <right style="medium">
        <color rgb="FF000000"/>
      </right>
      <top/>
      <bottom/>
      <diagonal/>
    </border>
  </borders>
  <cellStyleXfs count="95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0" fillId="32" borderId="0" applyNumberFormat="0" applyBorder="0" applyAlignment="0" applyProtection="0"/>
    <xf numFmtId="0" fontId="4" fillId="0" borderId="0" applyFont="0"/>
    <xf numFmtId="0" fontId="27" fillId="0" borderId="0"/>
    <xf numFmtId="0" fontId="3" fillId="0" borderId="0" applyFont="0"/>
    <xf numFmtId="0" fontId="30" fillId="0" borderId="1" applyNumberFormat="0" applyFill="0" applyAlignment="0" applyProtection="0"/>
    <xf numFmtId="0" fontId="31" fillId="0" borderId="2" applyNumberFormat="0" applyFill="0" applyAlignment="0" applyProtection="0"/>
    <xf numFmtId="0" fontId="32" fillId="0" borderId="3" applyNumberFormat="0" applyFill="0" applyAlignment="0" applyProtection="0"/>
    <xf numFmtId="0" fontId="32" fillId="0" borderId="0" applyNumberFormat="0" applyFill="0" applyBorder="0" applyAlignment="0" applyProtection="0"/>
    <xf numFmtId="0" fontId="33" fillId="2" borderId="0" applyNumberFormat="0" applyBorder="0" applyAlignment="0" applyProtection="0"/>
    <xf numFmtId="0" fontId="34" fillId="3" borderId="0" applyNumberFormat="0" applyBorder="0" applyAlignment="0" applyProtection="0"/>
    <xf numFmtId="0" fontId="35" fillId="4" borderId="0" applyNumberFormat="0" applyBorder="0" applyAlignment="0" applyProtection="0"/>
    <xf numFmtId="0" fontId="36" fillId="5" borderId="4" applyNumberFormat="0" applyAlignment="0" applyProtection="0"/>
    <xf numFmtId="0" fontId="37" fillId="6" borderId="5" applyNumberFormat="0" applyAlignment="0" applyProtection="0"/>
    <xf numFmtId="0" fontId="38" fillId="6" borderId="4" applyNumberFormat="0" applyAlignment="0" applyProtection="0"/>
    <xf numFmtId="0" fontId="39" fillId="0" borderId="6" applyNumberFormat="0" applyFill="0" applyAlignment="0" applyProtection="0"/>
    <xf numFmtId="0" fontId="40" fillId="7" borderId="7" applyNumberFormat="0" applyAlignment="0" applyProtection="0"/>
    <xf numFmtId="0" fontId="41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44" fillId="20" borderId="0" applyNumberFormat="0" applyBorder="0" applyAlignment="0" applyProtection="0"/>
    <xf numFmtId="0" fontId="44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44" fillId="24" borderId="0" applyNumberFormat="0" applyBorder="0" applyAlignment="0" applyProtection="0"/>
    <xf numFmtId="0" fontId="44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4" fillId="28" borderId="0" applyNumberFormat="0" applyBorder="0" applyAlignment="0" applyProtection="0"/>
    <xf numFmtId="0" fontId="44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44" fillId="32" borderId="0" applyNumberFormat="0" applyBorder="0" applyAlignment="0" applyProtection="0"/>
    <xf numFmtId="0" fontId="62" fillId="0" borderId="0"/>
    <xf numFmtId="0" fontId="63" fillId="0" borderId="0"/>
    <xf numFmtId="0" fontId="63" fillId="0" borderId="0"/>
    <xf numFmtId="0" fontId="27" fillId="0" borderId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62" fillId="0" borderId="0"/>
    <xf numFmtId="0" fontId="27" fillId="0" borderId="0"/>
    <xf numFmtId="0" fontId="70" fillId="0" borderId="0" applyNumberFormat="0" applyFill="0" applyBorder="0" applyAlignment="0" applyProtection="0"/>
  </cellStyleXfs>
  <cellXfs count="382">
    <xf numFmtId="0" fontId="0" fillId="0" borderId="0" xfId="0"/>
    <xf numFmtId="0" fontId="0" fillId="0" borderId="0" xfId="42" applyFont="1"/>
    <xf numFmtId="164" fontId="0" fillId="0" borderId="0" xfId="0" applyNumberFormat="1"/>
    <xf numFmtId="0" fontId="0" fillId="0" borderId="0" xfId="42" applyFont="1"/>
    <xf numFmtId="49" fontId="21" fillId="33" borderId="10" xfId="42" applyNumberFormat="1" applyFont="1" applyFill="1" applyBorder="1" applyAlignment="1" applyProtection="1">
      <alignment horizontal="center" vertical="center" wrapText="1"/>
    </xf>
    <xf numFmtId="49" fontId="22" fillId="34" borderId="10" xfId="42" applyNumberFormat="1" applyFont="1" applyFill="1" applyBorder="1" applyAlignment="1" applyProtection="1"/>
    <xf numFmtId="49" fontId="22" fillId="34" borderId="14" xfId="42" applyNumberFormat="1" applyFont="1" applyFill="1" applyBorder="1" applyAlignment="1" applyProtection="1"/>
    <xf numFmtId="49" fontId="22" fillId="34" borderId="15" xfId="42" applyNumberFormat="1" applyFont="1" applyFill="1" applyBorder="1" applyAlignment="1" applyProtection="1"/>
    <xf numFmtId="49" fontId="22" fillId="34" borderId="16" xfId="42" applyNumberFormat="1" applyFont="1" applyFill="1" applyBorder="1" applyAlignment="1" applyProtection="1"/>
    <xf numFmtId="49" fontId="22" fillId="35" borderId="10" xfId="42" applyNumberFormat="1" applyFont="1" applyFill="1" applyBorder="1" applyAlignment="1" applyProtection="1"/>
    <xf numFmtId="1" fontId="22" fillId="35" borderId="10" xfId="42" applyNumberFormat="1" applyFont="1" applyFill="1" applyBorder="1" applyAlignment="1" applyProtection="1">
      <alignment horizontal="right"/>
    </xf>
    <xf numFmtId="1" fontId="22" fillId="34" borderId="10" xfId="42" applyNumberFormat="1" applyFont="1" applyFill="1" applyBorder="1" applyAlignment="1" applyProtection="1">
      <alignment horizontal="right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0" fontId="23" fillId="0" borderId="0" xfId="43" applyFont="1" applyFill="1" applyBorder="1"/>
    <xf numFmtId="165" fontId="23" fillId="0" borderId="0" xfId="0" applyNumberFormat="1" applyFont="1" applyBorder="1" applyAlignment="1">
      <alignment horizontal="right" vertical="top" wrapText="1"/>
    </xf>
    <xf numFmtId="165" fontId="23" fillId="0" borderId="0" xfId="0" applyNumberFormat="1" applyFont="1" applyBorder="1" applyAlignment="1">
      <alignment horizontal="right"/>
    </xf>
    <xf numFmtId="165" fontId="23" fillId="0" borderId="0" xfId="0" applyNumberFormat="1" applyFont="1" applyBorder="1" applyAlignment="1">
      <alignment horizontal="right" wrapText="1"/>
    </xf>
    <xf numFmtId="165" fontId="23" fillId="0" borderId="0" xfId="0" applyNumberFormat="1" applyFont="1" applyAlignment="1">
      <alignment horizontal="right"/>
    </xf>
    <xf numFmtId="0" fontId="28" fillId="0" borderId="0" xfId="43" applyFont="1" applyFill="1" applyBorder="1"/>
    <xf numFmtId="165" fontId="28" fillId="0" borderId="0" xfId="0" applyNumberFormat="1" applyFont="1" applyAlignment="1">
      <alignment horizontal="right"/>
    </xf>
    <xf numFmtId="1" fontId="28" fillId="0" borderId="0" xfId="0" applyNumberFormat="1" applyFont="1" applyBorder="1" applyAlignment="1">
      <alignment horizontal="right" vertical="top" wrapText="1"/>
    </xf>
    <xf numFmtId="0" fontId="26" fillId="0" borderId="0" xfId="0" applyFont="1"/>
    <xf numFmtId="0" fontId="26" fillId="0" borderId="0" xfId="0" applyFont="1" applyBorder="1"/>
    <xf numFmtId="0" fontId="23" fillId="0" borderId="0" xfId="0" applyFont="1" applyAlignment="1">
      <alignment vertical="top"/>
    </xf>
    <xf numFmtId="0" fontId="23" fillId="0" borderId="19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right" vertical="center" wrapText="1"/>
    </xf>
    <xf numFmtId="0" fontId="23" fillId="0" borderId="0" xfId="0" applyFont="1" applyBorder="1" applyAlignment="1">
      <alignment horizontal="left" vertical="top" wrapText="1"/>
    </xf>
    <xf numFmtId="0" fontId="23" fillId="0" borderId="0" xfId="0" applyFont="1" applyAlignment="1">
      <alignment horizontal="left" vertical="top"/>
    </xf>
    <xf numFmtId="0" fontId="23" fillId="0" borderId="22" xfId="0" applyFont="1" applyFill="1" applyBorder="1" applyAlignment="1">
      <alignment horizontal="center" vertical="center" wrapText="1"/>
    </xf>
    <xf numFmtId="0" fontId="29" fillId="0" borderId="0" xfId="0" applyFont="1"/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3" fillId="0" borderId="0" xfId="44"/>
    <xf numFmtId="49" fontId="21" fillId="33" borderId="29" xfId="44" applyNumberFormat="1" applyFont="1" applyFill="1" applyBorder="1" applyAlignment="1" applyProtection="1">
      <alignment horizontal="center" vertical="center" wrapText="1"/>
    </xf>
    <xf numFmtId="49" fontId="22" fillId="35" borderId="29" xfId="44" applyNumberFormat="1" applyFont="1" applyFill="1" applyBorder="1" applyAlignment="1" applyProtection="1"/>
    <xf numFmtId="49" fontId="22" fillId="35" borderId="33" xfId="44" applyNumberFormat="1" applyFont="1" applyFill="1" applyBorder="1" applyAlignment="1" applyProtection="1"/>
    <xf numFmtId="49" fontId="22" fillId="35" borderId="34" xfId="44" applyNumberFormat="1" applyFont="1" applyFill="1" applyBorder="1" applyAlignment="1" applyProtection="1"/>
    <xf numFmtId="49" fontId="22" fillId="35" borderId="35" xfId="44" applyNumberFormat="1" applyFont="1" applyFill="1" applyBorder="1" applyAlignment="1" applyProtection="1"/>
    <xf numFmtId="49" fontId="22" fillId="34" borderId="29" xfId="44" applyNumberFormat="1" applyFont="1" applyFill="1" applyBorder="1" applyAlignment="1" applyProtection="1"/>
    <xf numFmtId="1" fontId="22" fillId="34" borderId="29" xfId="44" applyNumberFormat="1" applyFont="1" applyFill="1" applyBorder="1" applyAlignment="1" applyProtection="1">
      <alignment horizontal="right"/>
    </xf>
    <xf numFmtId="1" fontId="22" fillId="35" borderId="29" xfId="44" applyNumberFormat="1" applyFont="1" applyFill="1" applyBorder="1" applyAlignment="1" applyProtection="1">
      <alignment horizontal="right"/>
    </xf>
    <xf numFmtId="1" fontId="0" fillId="0" borderId="0" xfId="0" applyNumberFormat="1"/>
    <xf numFmtId="1" fontId="22" fillId="36" borderId="29" xfId="44" applyNumberFormat="1" applyFont="1" applyFill="1" applyBorder="1" applyAlignment="1" applyProtection="1">
      <alignment horizontal="right"/>
    </xf>
    <xf numFmtId="49" fontId="22" fillId="36" borderId="35" xfId="44" applyNumberFormat="1" applyFont="1" applyFill="1" applyBorder="1" applyAlignment="1" applyProtection="1"/>
    <xf numFmtId="49" fontId="22" fillId="35" borderId="36" xfId="44" applyNumberFormat="1" applyFont="1" applyFill="1" applyBorder="1" applyAlignment="1" applyProtection="1"/>
    <xf numFmtId="49" fontId="45" fillId="34" borderId="32" xfId="44" applyNumberFormat="1" applyFont="1" applyFill="1" applyBorder="1" applyAlignment="1" applyProtection="1"/>
    <xf numFmtId="0" fontId="46" fillId="0" borderId="0" xfId="0" applyFont="1"/>
    <xf numFmtId="0" fontId="47" fillId="0" borderId="0" xfId="0" applyFont="1"/>
    <xf numFmtId="164" fontId="47" fillId="0" borderId="0" xfId="0" applyNumberFormat="1" applyFont="1"/>
    <xf numFmtId="164" fontId="28" fillId="0" borderId="0" xfId="0" applyNumberFormat="1" applyFont="1" applyBorder="1" applyAlignment="1">
      <alignment horizontal="right" vertical="center" wrapText="1"/>
    </xf>
    <xf numFmtId="0" fontId="49" fillId="0" borderId="0" xfId="0" applyFont="1"/>
    <xf numFmtId="0" fontId="50" fillId="0" borderId="0" xfId="0" applyFont="1" applyAlignment="1" applyProtection="1">
      <alignment vertical="center"/>
      <protection locked="0"/>
    </xf>
    <xf numFmtId="0" fontId="23" fillId="0" borderId="29" xfId="0" applyFont="1" applyBorder="1" applyAlignment="1">
      <alignment horizontal="center" vertical="center" wrapText="1"/>
    </xf>
    <xf numFmtId="165" fontId="23" fillId="0" borderId="0" xfId="0" applyNumberFormat="1" applyFont="1" applyAlignment="1">
      <alignment horizontal="right" vertical="center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3" fillId="0" borderId="0" xfId="0" applyFont="1" applyBorder="1"/>
    <xf numFmtId="0" fontId="51" fillId="0" borderId="0" xfId="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1" fontId="23" fillId="0" borderId="0" xfId="43" applyNumberFormat="1" applyFont="1" applyFill="1" applyBorder="1" applyAlignment="1">
      <alignment horizontal="center" vertical="center"/>
    </xf>
    <xf numFmtId="0" fontId="28" fillId="0" borderId="0" xfId="43" applyFont="1" applyFill="1" applyBorder="1" applyAlignment="1">
      <alignment vertical="center"/>
    </xf>
    <xf numFmtId="164" fontId="28" fillId="0" borderId="0" xfId="43" applyNumberFormat="1" applyFont="1" applyFill="1" applyBorder="1" applyAlignment="1">
      <alignment vertical="center"/>
    </xf>
    <xf numFmtId="165" fontId="28" fillId="0" borderId="0" xfId="0" applyNumberFormat="1" applyFont="1" applyBorder="1" applyAlignment="1">
      <alignment horizontal="right" vertical="center" wrapText="1"/>
    </xf>
    <xf numFmtId="1" fontId="28" fillId="0" borderId="0" xfId="0" applyNumberFormat="1" applyFont="1" applyBorder="1" applyAlignment="1">
      <alignment horizontal="right" vertical="center" wrapText="1"/>
    </xf>
    <xf numFmtId="166" fontId="28" fillId="0" borderId="0" xfId="0" applyNumberFormat="1" applyFont="1" applyAlignment="1">
      <alignment horizontal="right"/>
    </xf>
    <xf numFmtId="0" fontId="52" fillId="0" borderId="0" xfId="0" applyFont="1" applyAlignment="1">
      <alignment horizontal="left"/>
    </xf>
    <xf numFmtId="0" fontId="23" fillId="0" borderId="0" xfId="43" applyFont="1" applyFill="1" applyBorder="1" applyAlignment="1">
      <alignment vertical="center"/>
    </xf>
    <xf numFmtId="164" fontId="23" fillId="0" borderId="0" xfId="43" applyNumberFormat="1" applyFont="1" applyFill="1" applyBorder="1" applyAlignment="1">
      <alignment vertical="center"/>
    </xf>
    <xf numFmtId="165" fontId="23" fillId="0" borderId="0" xfId="0" applyNumberFormat="1" applyFont="1" applyBorder="1" applyAlignment="1">
      <alignment horizontal="right" vertical="center" wrapText="1"/>
    </xf>
    <xf numFmtId="1" fontId="23" fillId="0" borderId="0" xfId="0" applyNumberFormat="1" applyFont="1" applyBorder="1" applyAlignment="1">
      <alignment horizontal="right" vertical="center" wrapText="1"/>
    </xf>
    <xf numFmtId="166" fontId="23" fillId="0" borderId="0" xfId="0" applyNumberFormat="1" applyFont="1" applyAlignment="1">
      <alignment horizontal="right"/>
    </xf>
    <xf numFmtId="164" fontId="23" fillId="0" borderId="0" xfId="43" applyNumberFormat="1" applyFont="1" applyFill="1" applyBorder="1" applyAlignment="1">
      <alignment horizontal="right" vertical="center"/>
    </xf>
    <xf numFmtId="165" fontId="23" fillId="0" borderId="0" xfId="0" applyNumberFormat="1" applyFont="1" applyBorder="1" applyAlignment="1">
      <alignment horizontal="right" vertical="center"/>
    </xf>
    <xf numFmtId="164" fontId="23" fillId="0" borderId="0" xfId="0" applyNumberFormat="1" applyFont="1" applyBorder="1" applyAlignment="1">
      <alignment horizontal="right" vertical="center"/>
    </xf>
    <xf numFmtId="164" fontId="23" fillId="0" borderId="0" xfId="0" applyNumberFormat="1" applyFont="1" applyFill="1" applyBorder="1" applyAlignment="1">
      <alignment horizontal="right" vertical="center"/>
    </xf>
    <xf numFmtId="164" fontId="23" fillId="0" borderId="0" xfId="0" applyNumberFormat="1" applyFont="1" applyAlignment="1">
      <alignment horizontal="right" vertical="center"/>
    </xf>
    <xf numFmtId="0" fontId="28" fillId="0" borderId="0" xfId="43" applyFont="1" applyFill="1" applyBorder="1" applyAlignment="1">
      <alignment vertical="top"/>
    </xf>
    <xf numFmtId="164" fontId="28" fillId="0" borderId="0" xfId="43" applyNumberFormat="1" applyFont="1" applyFill="1" applyBorder="1" applyAlignment="1">
      <alignment vertical="top"/>
    </xf>
    <xf numFmtId="165" fontId="28" fillId="0" borderId="0" xfId="0" applyNumberFormat="1" applyFont="1" applyAlignment="1">
      <alignment vertical="top"/>
    </xf>
    <xf numFmtId="164" fontId="28" fillId="0" borderId="0" xfId="0" applyNumberFormat="1" applyFont="1" applyBorder="1" applyAlignment="1">
      <alignment vertical="top"/>
    </xf>
    <xf numFmtId="164" fontId="28" fillId="0" borderId="0" xfId="0" applyNumberFormat="1" applyFont="1" applyAlignment="1">
      <alignment vertical="top"/>
    </xf>
    <xf numFmtId="166" fontId="28" fillId="0" borderId="0" xfId="0" applyNumberFormat="1" applyFont="1" applyAlignment="1">
      <alignment horizontal="right" vertical="top"/>
    </xf>
    <xf numFmtId="0" fontId="28" fillId="0" borderId="0" xfId="0" applyFont="1" applyAlignment="1">
      <alignment vertical="top"/>
    </xf>
    <xf numFmtId="0" fontId="28" fillId="0" borderId="37" xfId="43" applyFont="1" applyFill="1" applyBorder="1" applyAlignment="1"/>
    <xf numFmtId="0" fontId="28" fillId="0" borderId="0" xfId="43" applyFont="1" applyFill="1" applyBorder="1" applyAlignment="1"/>
    <xf numFmtId="165" fontId="28" fillId="0" borderId="0" xfId="0" applyNumberFormat="1" applyFont="1" applyAlignment="1"/>
    <xf numFmtId="1" fontId="28" fillId="0" borderId="0" xfId="0" applyNumberFormat="1" applyFont="1" applyBorder="1" applyAlignment="1"/>
    <xf numFmtId="164" fontId="28" fillId="0" borderId="0" xfId="0" applyNumberFormat="1" applyFont="1" applyBorder="1" applyAlignment="1"/>
    <xf numFmtId="164" fontId="28" fillId="0" borderId="0" xfId="0" applyNumberFormat="1" applyFont="1" applyAlignment="1"/>
    <xf numFmtId="0" fontId="0" fillId="0" borderId="0" xfId="0" applyAlignment="1"/>
    <xf numFmtId="0" fontId="23" fillId="0" borderId="0" xfId="0" applyFont="1" applyBorder="1" applyAlignment="1">
      <alignment horizontal="left" vertical="center" wrapText="1"/>
    </xf>
    <xf numFmtId="167" fontId="23" fillId="0" borderId="0" xfId="0" applyNumberFormat="1" applyFont="1" applyAlignment="1">
      <alignment vertical="center"/>
    </xf>
    <xf numFmtId="167" fontId="53" fillId="0" borderId="0" xfId="0" applyNumberFormat="1" applyFont="1" applyAlignment="1">
      <alignment vertical="center"/>
    </xf>
    <xf numFmtId="0" fontId="23" fillId="0" borderId="0" xfId="0" applyFont="1" applyFill="1" applyAlignment="1">
      <alignment vertical="center"/>
    </xf>
    <xf numFmtId="0" fontId="53" fillId="0" borderId="0" xfId="0" applyFont="1" applyAlignment="1">
      <alignment vertical="center"/>
    </xf>
    <xf numFmtId="0" fontId="23" fillId="0" borderId="0" xfId="0" applyFont="1" applyAlignment="1"/>
    <xf numFmtId="0" fontId="47" fillId="0" borderId="0" xfId="0" applyFont="1" applyAlignment="1">
      <alignment horizontal="center"/>
    </xf>
    <xf numFmtId="1" fontId="28" fillId="0" borderId="0" xfId="0" applyNumberFormat="1" applyFont="1" applyBorder="1" applyAlignment="1">
      <alignment vertical="top"/>
    </xf>
    <xf numFmtId="0" fontId="49" fillId="0" borderId="0" xfId="0" applyFont="1" applyAlignment="1">
      <alignment vertical="top"/>
    </xf>
    <xf numFmtId="0" fontId="47" fillId="0" borderId="0" xfId="0" applyFont="1" applyAlignment="1">
      <alignment horizontal="right" vertical="top"/>
    </xf>
    <xf numFmtId="0" fontId="48" fillId="0" borderId="0" xfId="0" applyFont="1" applyAlignment="1">
      <alignment horizontal="right" vertical="top"/>
    </xf>
    <xf numFmtId="0" fontId="54" fillId="0" borderId="0" xfId="0" applyFont="1"/>
    <xf numFmtId="164" fontId="54" fillId="0" borderId="0" xfId="0" applyNumberFormat="1" applyFont="1"/>
    <xf numFmtId="165" fontId="28" fillId="0" borderId="0" xfId="43" applyNumberFormat="1" applyFont="1" applyFill="1" applyBorder="1" applyAlignment="1">
      <alignment vertical="center"/>
    </xf>
    <xf numFmtId="165" fontId="23" fillId="0" borderId="0" xfId="43" applyNumberFormat="1" applyFont="1" applyFill="1" applyBorder="1" applyAlignment="1">
      <alignment vertical="center"/>
    </xf>
    <xf numFmtId="165" fontId="28" fillId="0" borderId="0" xfId="43" applyNumberFormat="1" applyFont="1" applyFill="1" applyBorder="1" applyAlignment="1">
      <alignment vertical="top"/>
    </xf>
    <xf numFmtId="165" fontId="23" fillId="0" borderId="0" xfId="43" applyNumberFormat="1" applyFont="1" applyFill="1" applyBorder="1" applyAlignment="1">
      <alignment horizontal="center" vertical="center"/>
    </xf>
    <xf numFmtId="164" fontId="23" fillId="37" borderId="0" xfId="43" applyNumberFormat="1" applyFont="1" applyFill="1" applyBorder="1" applyAlignment="1">
      <alignment vertical="center"/>
    </xf>
    <xf numFmtId="1" fontId="23" fillId="0" borderId="19" xfId="0" applyNumberFormat="1" applyFont="1" applyBorder="1" applyAlignment="1">
      <alignment horizontal="center" vertical="center" wrapText="1"/>
    </xf>
    <xf numFmtId="1" fontId="23" fillId="0" borderId="23" xfId="0" applyNumberFormat="1" applyFont="1" applyBorder="1" applyAlignment="1">
      <alignment horizontal="center" vertical="center" wrapText="1"/>
    </xf>
    <xf numFmtId="1" fontId="23" fillId="0" borderId="24" xfId="0" applyNumberFormat="1" applyFont="1" applyBorder="1" applyAlignment="1">
      <alignment horizontal="center" vertical="center" wrapText="1"/>
    </xf>
    <xf numFmtId="1" fontId="47" fillId="0" borderId="0" xfId="0" applyNumberFormat="1" applyFont="1"/>
    <xf numFmtId="0" fontId="55" fillId="0" borderId="0" xfId="0" applyNumberFormat="1" applyFont="1"/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56" fillId="0" borderId="38" xfId="42" applyFont="1" applyFill="1" applyBorder="1"/>
    <xf numFmtId="0" fontId="27" fillId="0" borderId="38" xfId="42" applyFont="1" applyFill="1" applyBorder="1" applyAlignment="1">
      <alignment horizontal="right" vertical="center"/>
    </xf>
    <xf numFmtId="0" fontId="56" fillId="0" borderId="0" xfId="42" applyFont="1" applyFill="1"/>
    <xf numFmtId="0" fontId="56" fillId="0" borderId="0" xfId="42" applyFont="1" applyFill="1" applyAlignment="1">
      <alignment horizontal="left" vertical="center"/>
    </xf>
    <xf numFmtId="168" fontId="56" fillId="0" borderId="0" xfId="42" applyNumberFormat="1" applyFont="1" applyFill="1" applyAlignment="1">
      <alignment horizontal="left" vertical="center"/>
    </xf>
    <xf numFmtId="0" fontId="56" fillId="0" borderId="44" xfId="42" applyFont="1" applyFill="1" applyBorder="1" applyAlignment="1">
      <alignment horizontal="center" vertical="center" wrapText="1"/>
    </xf>
    <xf numFmtId="0" fontId="56" fillId="0" borderId="45" xfId="42" applyFont="1" applyFill="1" applyBorder="1" applyAlignment="1">
      <alignment horizontal="center" vertical="center" wrapText="1"/>
    </xf>
    <xf numFmtId="0" fontId="56" fillId="0" borderId="41" xfId="42" applyFont="1" applyFill="1" applyBorder="1" applyAlignment="1">
      <alignment horizontal="center" vertical="center" wrapText="1"/>
    </xf>
    <xf numFmtId="0" fontId="56" fillId="0" borderId="46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 vertical="center" wrapText="1"/>
    </xf>
    <xf numFmtId="3" fontId="26" fillId="0" borderId="46" xfId="42" applyNumberFormat="1" applyFont="1" applyFill="1" applyBorder="1" applyAlignment="1">
      <alignment horizontal="center" vertical="center" wrapText="1"/>
    </xf>
    <xf numFmtId="3" fontId="26" fillId="0" borderId="40" xfId="42" applyNumberFormat="1" applyFont="1" applyFill="1" applyBorder="1" applyAlignment="1">
      <alignment horizontal="center" vertical="center" wrapText="1"/>
    </xf>
    <xf numFmtId="3" fontId="26" fillId="0" borderId="41" xfId="42" applyNumberFormat="1" applyFont="1" applyFill="1" applyBorder="1" applyAlignment="1">
      <alignment horizontal="center" vertical="center" wrapText="1"/>
    </xf>
    <xf numFmtId="3" fontId="56" fillId="0" borderId="0" xfId="42" applyNumberFormat="1" applyFont="1" applyFill="1"/>
    <xf numFmtId="0" fontId="56" fillId="0" borderId="39" xfId="42" applyFont="1" applyFill="1" applyBorder="1" applyAlignment="1">
      <alignment horizontal="left"/>
    </xf>
    <xf numFmtId="169" fontId="56" fillId="0" borderId="39" xfId="42" applyNumberFormat="1" applyFont="1" applyFill="1" applyBorder="1" applyAlignment="1">
      <alignment horizontal="right"/>
    </xf>
    <xf numFmtId="169" fontId="56" fillId="0" borderId="48" xfId="42" applyNumberFormat="1" applyFont="1" applyFill="1" applyBorder="1" applyAlignment="1">
      <alignment horizontal="right"/>
    </xf>
    <xf numFmtId="169" fontId="56" fillId="0" borderId="45" xfId="42" applyNumberFormat="1" applyFont="1" applyFill="1" applyBorder="1" applyAlignment="1">
      <alignment horizontal="right"/>
    </xf>
    <xf numFmtId="169" fontId="56" fillId="0" borderId="44" xfId="42" applyNumberFormat="1" applyFont="1" applyFill="1" applyBorder="1" applyAlignment="1">
      <alignment horizontal="right"/>
    </xf>
    <xf numFmtId="170" fontId="56" fillId="0" borderId="45" xfId="42" applyNumberFormat="1" applyFont="1" applyFill="1" applyBorder="1" applyAlignment="1">
      <alignment horizontal="right"/>
    </xf>
    <xf numFmtId="170" fontId="56" fillId="0" borderId="48" xfId="42" applyNumberFormat="1" applyFont="1" applyFill="1" applyBorder="1" applyAlignment="1">
      <alignment horizontal="right"/>
    </xf>
    <xf numFmtId="170" fontId="56" fillId="0" borderId="44" xfId="42" applyNumberFormat="1" applyFont="1" applyFill="1" applyBorder="1" applyAlignment="1">
      <alignment horizontal="right"/>
    </xf>
    <xf numFmtId="169" fontId="56" fillId="0" borderId="43" xfId="42" applyNumberFormat="1" applyFont="1" applyFill="1" applyBorder="1" applyAlignment="1">
      <alignment horizontal="right"/>
    </xf>
    <xf numFmtId="169" fontId="56" fillId="0" borderId="0" xfId="42" applyNumberFormat="1" applyFont="1" applyFill="1" applyBorder="1" applyAlignment="1">
      <alignment horizontal="right"/>
    </xf>
    <xf numFmtId="169" fontId="56" fillId="0" borderId="49" xfId="42" applyNumberFormat="1" applyFont="1" applyFill="1" applyBorder="1" applyAlignment="1">
      <alignment horizontal="right"/>
    </xf>
    <xf numFmtId="169" fontId="56" fillId="0" borderId="5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170" fontId="56" fillId="0" borderId="50" xfId="42" applyNumberFormat="1" applyFont="1" applyFill="1" applyBorder="1" applyAlignment="1">
      <alignment horizontal="right"/>
    </xf>
    <xf numFmtId="0" fontId="56" fillId="0" borderId="43" xfId="42" applyFont="1" applyFill="1" applyBorder="1" applyAlignment="1">
      <alignment horizontal="left" indent="3"/>
    </xf>
    <xf numFmtId="169" fontId="56" fillId="0" borderId="47" xfId="42" applyNumberFormat="1" applyFont="1" applyFill="1" applyBorder="1" applyAlignment="1">
      <alignment horizontal="right"/>
    </xf>
    <xf numFmtId="169" fontId="56" fillId="0" borderId="51" xfId="42" applyNumberFormat="1" applyFont="1" applyFill="1" applyBorder="1" applyAlignment="1">
      <alignment horizontal="right"/>
    </xf>
    <xf numFmtId="169" fontId="56" fillId="0" borderId="52" xfId="42" applyNumberFormat="1" applyFont="1" applyFill="1" applyBorder="1" applyAlignment="1">
      <alignment horizontal="right"/>
    </xf>
    <xf numFmtId="169" fontId="56" fillId="0" borderId="53" xfId="42" applyNumberFormat="1" applyFont="1" applyFill="1" applyBorder="1" applyAlignment="1">
      <alignment horizontal="right"/>
    </xf>
    <xf numFmtId="170" fontId="56" fillId="0" borderId="51" xfId="42" applyNumberFormat="1" applyFont="1" applyFill="1" applyBorder="1" applyAlignment="1">
      <alignment horizontal="right"/>
    </xf>
    <xf numFmtId="170" fontId="56" fillId="0" borderId="53" xfId="42" applyNumberFormat="1" applyFont="1" applyFill="1" applyBorder="1" applyAlignment="1">
      <alignment horizontal="right"/>
    </xf>
    <xf numFmtId="0" fontId="58" fillId="0" borderId="48" xfId="42" applyNumberFormat="1" applyFont="1" applyFill="1" applyBorder="1" applyAlignment="1">
      <alignment horizontal="left" vertical="center"/>
    </xf>
    <xf numFmtId="0" fontId="56" fillId="0" borderId="48" xfId="42" applyFont="1" applyFill="1" applyBorder="1"/>
    <xf numFmtId="0" fontId="58" fillId="0" borderId="48" xfId="42" applyFont="1" applyFill="1" applyBorder="1" applyAlignment="1">
      <alignment horizontal="right" vertical="center"/>
    </xf>
    <xf numFmtId="0" fontId="56" fillId="0" borderId="43" xfId="42" applyFont="1" applyFill="1" applyBorder="1" applyAlignment="1">
      <alignment horizontal="left"/>
    </xf>
    <xf numFmtId="0" fontId="56" fillId="0" borderId="0" xfId="42" applyNumberFormat="1" applyFont="1" applyFill="1"/>
    <xf numFmtId="0" fontId="2" fillId="0" borderId="0" xfId="44" applyFont="1"/>
    <xf numFmtId="0" fontId="59" fillId="0" borderId="0" xfId="0" applyFont="1"/>
    <xf numFmtId="0" fontId="60" fillId="0" borderId="0" xfId="0" applyFont="1"/>
    <xf numFmtId="0" fontId="19" fillId="38" borderId="55" xfId="0" applyFont="1" applyFill="1" applyBorder="1" applyAlignment="1">
      <alignment horizontal="center" vertical="center" wrapText="1"/>
    </xf>
    <xf numFmtId="0" fontId="19" fillId="38" borderId="56" xfId="0" applyFont="1" applyFill="1" applyBorder="1" applyAlignment="1">
      <alignment horizontal="center" vertical="center" wrapText="1"/>
    </xf>
    <xf numFmtId="0" fontId="19" fillId="38" borderId="57" xfId="0" applyFont="1" applyFill="1" applyBorder="1" applyAlignment="1">
      <alignment horizontal="center" vertical="center" wrapText="1"/>
    </xf>
    <xf numFmtId="0" fontId="0" fillId="0" borderId="61" xfId="0" applyBorder="1"/>
    <xf numFmtId="0" fontId="0" fillId="0" borderId="62" xfId="0" applyBorder="1"/>
    <xf numFmtId="0" fontId="19" fillId="38" borderId="54" xfId="0" applyFont="1" applyFill="1" applyBorder="1" applyAlignment="1">
      <alignment horizontal="center" vertical="center" wrapText="1"/>
    </xf>
    <xf numFmtId="0" fontId="0" fillId="0" borderId="54" xfId="0" applyBorder="1" applyAlignment="1">
      <alignment vertical="center" wrapText="1"/>
    </xf>
    <xf numFmtId="0" fontId="50" fillId="0" borderId="0" xfId="0" applyFont="1" applyFill="1" applyAlignment="1" applyProtection="1">
      <alignment vertical="center"/>
      <protection locked="0"/>
    </xf>
    <xf numFmtId="0" fontId="51" fillId="0" borderId="0" xfId="0" applyFont="1" applyFill="1"/>
    <xf numFmtId="0" fontId="0" fillId="0" borderId="0" xfId="0" applyFill="1" applyAlignment="1">
      <alignment horizontal="left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7" xfId="0" applyFont="1" applyFill="1" applyBorder="1" applyAlignment="1">
      <alignment horizontal="center" vertical="center" wrapText="1"/>
    </xf>
    <xf numFmtId="0" fontId="23" fillId="0" borderId="0" xfId="0" applyFont="1" applyFill="1" applyAlignment="1">
      <alignment vertical="top"/>
    </xf>
    <xf numFmtId="0" fontId="0" fillId="0" borderId="0" xfId="0" applyFill="1"/>
    <xf numFmtId="0" fontId="61" fillId="0" borderId="0" xfId="0" applyFont="1"/>
    <xf numFmtId="0" fontId="19" fillId="38" borderId="0" xfId="0" applyFont="1" applyFill="1" applyBorder="1" applyAlignment="1">
      <alignment horizontal="center" vertical="center" wrapText="1"/>
    </xf>
    <xf numFmtId="0" fontId="19" fillId="38" borderId="61" xfId="0" applyFont="1" applyFill="1" applyBorder="1" applyAlignment="1">
      <alignment horizontal="center" vertical="center" wrapText="1"/>
    </xf>
    <xf numFmtId="0" fontId="0" fillId="0" borderId="61" xfId="0" applyFill="1" applyBorder="1" applyAlignment="1">
      <alignment vertical="center" wrapText="1"/>
    </xf>
    <xf numFmtId="1" fontId="23" fillId="0" borderId="0" xfId="43" applyNumberFormat="1" applyFont="1" applyFill="1" applyBorder="1" applyAlignment="1">
      <alignment horizontal="right" vertical="center"/>
    </xf>
    <xf numFmtId="164" fontId="0" fillId="0" borderId="0" xfId="0" applyNumberFormat="1" applyAlignment="1"/>
    <xf numFmtId="165" fontId="23" fillId="37" borderId="0" xfId="43" applyNumberFormat="1" applyFont="1" applyFill="1" applyBorder="1" applyAlignment="1">
      <alignment vertical="center"/>
    </xf>
    <xf numFmtId="165" fontId="23" fillId="37" borderId="0" xfId="43" applyNumberFormat="1" applyFont="1" applyFill="1" applyBorder="1" applyAlignment="1">
      <alignment horizontal="right" vertical="center"/>
    </xf>
    <xf numFmtId="164" fontId="23" fillId="37" borderId="0" xfId="43" applyNumberFormat="1" applyFont="1" applyFill="1" applyBorder="1" applyAlignment="1">
      <alignment horizontal="right" vertical="center"/>
    </xf>
    <xf numFmtId="165" fontId="23" fillId="0" borderId="0" xfId="43" applyNumberFormat="1" applyFont="1" applyFill="1" applyBorder="1" applyAlignment="1">
      <alignment horizontal="right" vertical="center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37" xfId="0" applyFont="1" applyBorder="1" applyAlignment="1">
      <alignment horizontal="center" vertical="center" wrapText="1"/>
    </xf>
    <xf numFmtId="0" fontId="1" fillId="0" borderId="0" xfId="44" applyFont="1"/>
    <xf numFmtId="0" fontId="23" fillId="0" borderId="29" xfId="0" applyFont="1" applyFill="1" applyBorder="1" applyAlignment="1">
      <alignment horizontal="center" vertical="center" wrapText="1"/>
    </xf>
    <xf numFmtId="0" fontId="62" fillId="0" borderId="0" xfId="85"/>
    <xf numFmtId="0" fontId="58" fillId="0" borderId="48" xfId="86" applyFont="1" applyFill="1" applyBorder="1" applyAlignment="1">
      <alignment horizontal="right" vertical="center"/>
    </xf>
    <xf numFmtId="0" fontId="56" fillId="0" borderId="48" xfId="86" applyFont="1" applyFill="1" applyBorder="1"/>
    <xf numFmtId="0" fontId="58" fillId="0" borderId="48" xfId="86" applyNumberFormat="1" applyFont="1" applyFill="1" applyBorder="1" applyAlignment="1">
      <alignment horizontal="left" vertical="center"/>
    </xf>
    <xf numFmtId="169" fontId="56" fillId="0" borderId="43" xfId="86" applyNumberFormat="1" applyFont="1" applyFill="1" applyBorder="1" applyAlignment="1">
      <alignment horizontal="right"/>
    </xf>
    <xf numFmtId="169" fontId="56" fillId="0" borderId="49" xfId="86" applyNumberFormat="1" applyFont="1" applyFill="1" applyBorder="1" applyAlignment="1">
      <alignment horizontal="right"/>
    </xf>
    <xf numFmtId="169" fontId="56" fillId="0" borderId="0" xfId="86" applyNumberFormat="1" applyFont="1" applyFill="1" applyBorder="1" applyAlignment="1">
      <alignment horizontal="right"/>
    </xf>
    <xf numFmtId="169" fontId="56" fillId="0" borderId="39" xfId="86" applyNumberFormat="1" applyFont="1" applyFill="1" applyBorder="1" applyAlignment="1">
      <alignment horizontal="right"/>
    </xf>
    <xf numFmtId="169" fontId="56" fillId="0" borderId="45" xfId="86" applyNumberFormat="1" applyFont="1" applyFill="1" applyBorder="1" applyAlignment="1">
      <alignment horizontal="right"/>
    </xf>
    <xf numFmtId="169" fontId="56" fillId="0" borderId="48" xfId="86" applyNumberFormat="1" applyFont="1" applyFill="1" applyBorder="1" applyAlignment="1">
      <alignment horizontal="right"/>
    </xf>
    <xf numFmtId="3" fontId="26" fillId="0" borderId="46" xfId="86" applyNumberFormat="1" applyFont="1" applyFill="1" applyBorder="1" applyAlignment="1">
      <alignment horizontal="center" vertical="center" wrapText="1"/>
    </xf>
    <xf numFmtId="3" fontId="26" fillId="0" borderId="41" xfId="86" applyNumberFormat="1" applyFont="1" applyFill="1" applyBorder="1" applyAlignment="1">
      <alignment horizontal="center" vertical="center" wrapText="1"/>
    </xf>
    <xf numFmtId="0" fontId="56" fillId="0" borderId="46" xfId="86" applyFont="1" applyFill="1" applyBorder="1" applyAlignment="1">
      <alignment horizontal="center" vertical="center" wrapText="1"/>
    </xf>
    <xf numFmtId="0" fontId="56" fillId="0" borderId="41" xfId="86" applyFont="1" applyFill="1" applyBorder="1" applyAlignment="1">
      <alignment horizontal="center" vertical="center" wrapText="1"/>
    </xf>
    <xf numFmtId="168" fontId="56" fillId="0" borderId="0" xfId="86" applyNumberFormat="1" applyFont="1" applyFill="1" applyAlignment="1">
      <alignment horizontal="left" vertical="center"/>
    </xf>
    <xf numFmtId="0" fontId="56" fillId="0" borderId="0" xfId="86" applyFont="1" applyFill="1" applyAlignment="1">
      <alignment horizontal="left" vertical="center"/>
    </xf>
    <xf numFmtId="0" fontId="27" fillId="0" borderId="38" xfId="86" applyFont="1" applyFill="1" applyBorder="1" applyAlignment="1">
      <alignment horizontal="right" vertical="center"/>
    </xf>
    <xf numFmtId="0" fontId="56" fillId="0" borderId="38" xfId="86" applyFont="1" applyFill="1" applyBorder="1"/>
    <xf numFmtId="0" fontId="56" fillId="0" borderId="39" xfId="86" applyFont="1" applyFill="1" applyBorder="1" applyAlignment="1">
      <alignment horizontal="left"/>
    </xf>
    <xf numFmtId="0" fontId="56" fillId="0" borderId="43" xfId="86" applyFont="1" applyFill="1" applyBorder="1" applyAlignment="1">
      <alignment horizontal="left" indent="1"/>
    </xf>
    <xf numFmtId="0" fontId="56" fillId="0" borderId="43" xfId="86" applyFont="1" applyFill="1" applyBorder="1" applyAlignment="1">
      <alignment horizontal="left" indent="2"/>
    </xf>
    <xf numFmtId="0" fontId="56" fillId="0" borderId="40" xfId="86" applyFont="1" applyFill="1" applyBorder="1" applyAlignment="1">
      <alignment horizontal="center" vertical="center" wrapText="1"/>
    </xf>
    <xf numFmtId="0" fontId="56" fillId="0" borderId="43" xfId="86" applyFont="1" applyFill="1" applyBorder="1" applyAlignment="1">
      <alignment horizontal="left" indent="3"/>
    </xf>
    <xf numFmtId="0" fontId="56" fillId="0" borderId="45" xfId="86" applyFont="1" applyFill="1" applyBorder="1" applyAlignment="1">
      <alignment horizontal="center" vertical="center" wrapText="1"/>
    </xf>
    <xf numFmtId="169" fontId="56" fillId="0" borderId="44" xfId="86" applyNumberFormat="1" applyFont="1" applyFill="1" applyBorder="1" applyAlignment="1">
      <alignment horizontal="right"/>
    </xf>
    <xf numFmtId="169" fontId="56" fillId="0" borderId="50" xfId="86" applyNumberFormat="1" applyFont="1" applyFill="1" applyBorder="1" applyAlignment="1">
      <alignment horizontal="right"/>
    </xf>
    <xf numFmtId="169" fontId="56" fillId="0" borderId="52" xfId="86" applyNumberFormat="1" applyFont="1" applyFill="1" applyBorder="1" applyAlignment="1">
      <alignment horizontal="right"/>
    </xf>
    <xf numFmtId="169" fontId="56" fillId="0" borderId="51" xfId="86" applyNumberFormat="1" applyFont="1" applyFill="1" applyBorder="1" applyAlignment="1">
      <alignment horizontal="right"/>
    </xf>
    <xf numFmtId="169" fontId="56" fillId="0" borderId="53" xfId="86" applyNumberFormat="1" applyFont="1" applyFill="1" applyBorder="1" applyAlignment="1">
      <alignment horizontal="right"/>
    </xf>
    <xf numFmtId="3" fontId="26" fillId="0" borderId="40" xfId="86" applyNumberFormat="1" applyFont="1" applyFill="1" applyBorder="1" applyAlignment="1">
      <alignment horizontal="center" vertical="center" wrapText="1"/>
    </xf>
    <xf numFmtId="0" fontId="56" fillId="0" borderId="44" xfId="86" applyFont="1" applyFill="1" applyBorder="1" applyAlignment="1">
      <alignment horizontal="center" vertical="center" wrapText="1"/>
    </xf>
    <xf numFmtId="169" fontId="56" fillId="0" borderId="47" xfId="86" applyNumberFormat="1" applyFont="1" applyFill="1" applyBorder="1" applyAlignment="1">
      <alignment horizontal="right"/>
    </xf>
    <xf numFmtId="170" fontId="56" fillId="0" borderId="45" xfId="86" applyNumberFormat="1" applyFont="1" applyFill="1" applyBorder="1" applyAlignment="1">
      <alignment horizontal="right"/>
    </xf>
    <xf numFmtId="170" fontId="56" fillId="0" borderId="48" xfId="86" applyNumberFormat="1" applyFont="1" applyFill="1" applyBorder="1" applyAlignment="1">
      <alignment horizontal="right"/>
    </xf>
    <xf numFmtId="170" fontId="56" fillId="0" borderId="44" xfId="86" applyNumberFormat="1" applyFont="1" applyFill="1" applyBorder="1" applyAlignment="1">
      <alignment horizontal="right"/>
    </xf>
    <xf numFmtId="170" fontId="56" fillId="0" borderId="0" xfId="86" applyNumberFormat="1" applyFont="1" applyFill="1" applyBorder="1" applyAlignment="1">
      <alignment horizontal="right"/>
    </xf>
    <xf numFmtId="170" fontId="56" fillId="0" borderId="50" xfId="86" applyNumberFormat="1" applyFont="1" applyFill="1" applyBorder="1" applyAlignment="1">
      <alignment horizontal="right"/>
    </xf>
    <xf numFmtId="170" fontId="56" fillId="0" borderId="51" xfId="86" applyNumberFormat="1" applyFont="1" applyFill="1" applyBorder="1" applyAlignment="1">
      <alignment horizontal="right"/>
    </xf>
    <xf numFmtId="170" fontId="56" fillId="0" borderId="53" xfId="86" applyNumberFormat="1" applyFont="1" applyFill="1" applyBorder="1" applyAlignment="1">
      <alignment horizontal="right"/>
    </xf>
    <xf numFmtId="0" fontId="0" fillId="0" borderId="0" xfId="0" applyAlignment="1">
      <alignment vertical="center"/>
    </xf>
    <xf numFmtId="0" fontId="67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68" fillId="38" borderId="69" xfId="0" applyFont="1" applyFill="1" applyBorder="1" applyAlignment="1">
      <alignment horizontal="center" vertical="center"/>
    </xf>
    <xf numFmtId="0" fontId="69" fillId="38" borderId="69" xfId="0" applyFont="1" applyFill="1" applyBorder="1" applyAlignment="1">
      <alignment horizontal="center" vertical="center"/>
    </xf>
    <xf numFmtId="0" fontId="68" fillId="38" borderId="69" xfId="0" applyFont="1" applyFill="1" applyBorder="1" applyAlignment="1">
      <alignment horizontal="right" vertical="center"/>
    </xf>
    <xf numFmtId="0" fontId="68" fillId="39" borderId="69" xfId="0" applyFont="1" applyFill="1" applyBorder="1" applyAlignment="1">
      <alignment horizontal="right" vertical="center"/>
    </xf>
    <xf numFmtId="0" fontId="68" fillId="38" borderId="76" xfId="0" applyFont="1" applyFill="1" applyBorder="1" applyAlignment="1">
      <alignment horizontal="center" vertical="center"/>
    </xf>
    <xf numFmtId="0" fontId="68" fillId="38" borderId="80" xfId="0" applyFont="1" applyFill="1" applyBorder="1" applyAlignment="1">
      <alignment horizontal="center" vertical="center"/>
    </xf>
    <xf numFmtId="0" fontId="0" fillId="0" borderId="81" xfId="0" applyBorder="1"/>
    <xf numFmtId="0" fontId="68" fillId="38" borderId="84" xfId="0" applyFont="1" applyFill="1" applyBorder="1" applyAlignment="1">
      <alignment horizontal="center" vertical="center"/>
    </xf>
    <xf numFmtId="0" fontId="68" fillId="38" borderId="85" xfId="0" applyFont="1" applyFill="1" applyBorder="1" applyAlignment="1">
      <alignment horizontal="center" vertical="center"/>
    </xf>
    <xf numFmtId="0" fontId="69" fillId="38" borderId="84" xfId="0" applyFont="1" applyFill="1" applyBorder="1" applyAlignment="1">
      <alignment horizontal="center" vertical="center"/>
    </xf>
    <xf numFmtId="0" fontId="0" fillId="0" borderId="86" xfId="0" applyBorder="1"/>
    <xf numFmtId="0" fontId="68" fillId="38" borderId="88" xfId="0" applyFont="1" applyFill="1" applyBorder="1" applyAlignment="1">
      <alignment horizontal="left" vertical="center"/>
    </xf>
    <xf numFmtId="0" fontId="68" fillId="38" borderId="84" xfId="0" applyFont="1" applyFill="1" applyBorder="1" applyAlignment="1">
      <alignment horizontal="right" vertical="center"/>
    </xf>
    <xf numFmtId="0" fontId="68" fillId="39" borderId="88" xfId="0" applyFont="1" applyFill="1" applyBorder="1" applyAlignment="1">
      <alignment horizontal="left" vertical="center"/>
    </xf>
    <xf numFmtId="0" fontId="68" fillId="39" borderId="84" xfId="0" applyFont="1" applyFill="1" applyBorder="1" applyAlignment="1">
      <alignment horizontal="right" vertical="center"/>
    </xf>
    <xf numFmtId="0" fontId="68" fillId="38" borderId="89" xfId="0" applyFont="1" applyFill="1" applyBorder="1" applyAlignment="1">
      <alignment horizontal="left" vertical="center"/>
    </xf>
    <xf numFmtId="0" fontId="68" fillId="38" borderId="90" xfId="0" applyFont="1" applyFill="1" applyBorder="1" applyAlignment="1">
      <alignment horizontal="right" vertical="center"/>
    </xf>
    <xf numFmtId="0" fontId="68" fillId="38" borderId="91" xfId="0" applyFont="1" applyFill="1" applyBorder="1" applyAlignment="1">
      <alignment horizontal="right" vertical="center"/>
    </xf>
    <xf numFmtId="0" fontId="68" fillId="39" borderId="80" xfId="0" applyFont="1" applyFill="1" applyBorder="1" applyAlignment="1">
      <alignment horizontal="left" vertical="center"/>
    </xf>
    <xf numFmtId="171" fontId="0" fillId="0" borderId="0" xfId="0" applyNumberFormat="1"/>
    <xf numFmtId="49" fontId="0" fillId="0" borderId="0" xfId="0" applyNumberFormat="1"/>
    <xf numFmtId="0" fontId="70" fillId="0" borderId="0" xfId="94"/>
    <xf numFmtId="0" fontId="68" fillId="39" borderId="87" xfId="0" applyFont="1" applyFill="1" applyBorder="1" applyAlignment="1">
      <alignment vertical="center"/>
    </xf>
    <xf numFmtId="0" fontId="68" fillId="39" borderId="74" xfId="0" applyFont="1" applyFill="1" applyBorder="1" applyAlignment="1">
      <alignment vertical="center"/>
    </xf>
    <xf numFmtId="0" fontId="68" fillId="39" borderId="83" xfId="0" applyFont="1" applyFill="1" applyBorder="1" applyAlignment="1">
      <alignment vertical="center"/>
    </xf>
    <xf numFmtId="0" fontId="68" fillId="38" borderId="87" xfId="0" applyFont="1" applyFill="1" applyBorder="1" applyAlignment="1">
      <alignment horizontal="left" vertical="center"/>
    </xf>
    <xf numFmtId="0" fontId="68" fillId="38" borderId="74" xfId="0" applyFont="1" applyFill="1" applyBorder="1" applyAlignment="1">
      <alignment horizontal="right" vertical="center"/>
    </xf>
    <xf numFmtId="0" fontId="68" fillId="38" borderId="83" xfId="0" applyFont="1" applyFill="1" applyBorder="1" applyAlignment="1">
      <alignment horizontal="right" vertical="center"/>
    </xf>
    <xf numFmtId="0" fontId="68" fillId="39" borderId="92" xfId="0" applyFont="1" applyFill="1" applyBorder="1" applyAlignment="1">
      <alignment horizontal="left" vertical="center"/>
    </xf>
    <xf numFmtId="0" fontId="68" fillId="38" borderId="80" xfId="0" applyFont="1" applyFill="1" applyBorder="1" applyAlignment="1">
      <alignment horizontal="left" vertical="center"/>
    </xf>
    <xf numFmtId="0" fontId="0" fillId="0" borderId="0" xfId="0" applyNumberFormat="1"/>
    <xf numFmtId="0" fontId="23" fillId="0" borderId="33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3" xfId="0" applyFont="1" applyFill="1" applyBorder="1" applyAlignment="1">
      <alignment horizontal="center" vertical="center"/>
    </xf>
    <xf numFmtId="0" fontId="23" fillId="0" borderId="35" xfId="0" applyFont="1" applyFill="1" applyBorder="1" applyAlignment="1">
      <alignment horizontal="center" vertical="center"/>
    </xf>
    <xf numFmtId="0" fontId="23" fillId="0" borderId="34" xfId="0" applyFont="1" applyFill="1" applyBorder="1" applyAlignment="1">
      <alignment horizontal="center" vertical="center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3" xfId="0" applyFont="1" applyFill="1" applyBorder="1" applyAlignment="1">
      <alignment horizontal="center" vertical="center" wrapText="1"/>
    </xf>
    <xf numFmtId="0" fontId="23" fillId="0" borderId="35" xfId="0" applyFont="1" applyFill="1" applyBorder="1" applyAlignment="1">
      <alignment horizontal="center" vertical="center" wrapText="1"/>
    </xf>
    <xf numFmtId="0" fontId="23" fillId="0" borderId="34" xfId="0" applyFont="1" applyFill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3" fillId="0" borderId="0" xfId="0" applyFont="1" applyBorder="1" applyAlignment="1">
      <alignment horizontal="left" vertical="center" wrapText="1"/>
    </xf>
    <xf numFmtId="0" fontId="47" fillId="0" borderId="19" xfId="0" applyFont="1" applyBorder="1" applyAlignment="1">
      <alignment horizontal="center" vertical="center"/>
    </xf>
    <xf numFmtId="0" fontId="47" fillId="0" borderId="36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57" fillId="0" borderId="0" xfId="86" applyFont="1" applyFill="1" applyAlignment="1">
      <alignment horizontal="left" vertical="center" wrapText="1"/>
    </xf>
    <xf numFmtId="0" fontId="63" fillId="0" borderId="0" xfId="87" applyAlignment="1">
      <alignment horizontal="left" vertical="center" wrapText="1"/>
    </xf>
    <xf numFmtId="0" fontId="56" fillId="0" borderId="39" xfId="86" applyFont="1" applyFill="1" applyBorder="1" applyAlignment="1">
      <alignment horizontal="center" vertical="center" wrapText="1"/>
    </xf>
    <xf numFmtId="0" fontId="56" fillId="0" borderId="43" xfId="86" applyFont="1" applyFill="1" applyBorder="1" applyAlignment="1">
      <alignment horizontal="center" vertical="center" wrapText="1"/>
    </xf>
    <xf numFmtId="0" fontId="56" fillId="0" borderId="40" xfId="86" applyFont="1" applyFill="1" applyBorder="1" applyAlignment="1">
      <alignment horizontal="center"/>
    </xf>
    <xf numFmtId="0" fontId="56" fillId="0" borderId="40" xfId="86" applyFont="1" applyFill="1" applyBorder="1" applyAlignment="1">
      <alignment horizontal="center" vertical="center" wrapText="1"/>
    </xf>
    <xf numFmtId="0" fontId="56" fillId="0" borderId="42" xfId="86" applyFont="1" applyFill="1" applyBorder="1" applyAlignment="1">
      <alignment horizontal="center" vertical="center" wrapText="1"/>
    </xf>
    <xf numFmtId="0" fontId="56" fillId="0" borderId="47" xfId="86" applyFont="1" applyFill="1" applyBorder="1" applyAlignment="1">
      <alignment horizontal="center" vertical="center" wrapText="1"/>
    </xf>
    <xf numFmtId="0" fontId="56" fillId="0" borderId="41" xfId="86" applyFont="1" applyFill="1" applyBorder="1" applyAlignment="1">
      <alignment horizontal="center" vertical="center" wrapText="1"/>
    </xf>
    <xf numFmtId="0" fontId="68" fillId="39" borderId="87" xfId="0" applyFont="1" applyFill="1" applyBorder="1" applyAlignment="1">
      <alignment horizontal="left" vertical="center"/>
    </xf>
    <xf numFmtId="0" fontId="68" fillId="39" borderId="74" xfId="0" applyFont="1" applyFill="1" applyBorder="1" applyAlignment="1">
      <alignment horizontal="left" vertical="center"/>
    </xf>
    <xf numFmtId="0" fontId="68" fillId="39" borderId="83" xfId="0" applyFont="1" applyFill="1" applyBorder="1" applyAlignment="1">
      <alignment horizontal="left" vertical="center"/>
    </xf>
    <xf numFmtId="0" fontId="68" fillId="38" borderId="77" xfId="0" applyFont="1" applyFill="1" applyBorder="1" applyAlignment="1">
      <alignment horizontal="center" vertical="center"/>
    </xf>
    <xf numFmtId="0" fontId="68" fillId="38" borderId="78" xfId="0" applyFont="1" applyFill="1" applyBorder="1" applyAlignment="1">
      <alignment horizontal="center" vertical="center"/>
    </xf>
    <xf numFmtId="0" fontId="68" fillId="38" borderId="79" xfId="0" applyFont="1" applyFill="1" applyBorder="1" applyAlignment="1">
      <alignment horizontal="center" vertical="center"/>
    </xf>
    <xf numFmtId="0" fontId="68" fillId="38" borderId="70" xfId="0" applyFont="1" applyFill="1" applyBorder="1" applyAlignment="1">
      <alignment horizontal="center" vertical="center"/>
    </xf>
    <xf numFmtId="0" fontId="68" fillId="38" borderId="0" xfId="0" applyFont="1" applyFill="1" applyBorder="1" applyAlignment="1">
      <alignment horizontal="center" vertical="center"/>
    </xf>
    <xf numFmtId="0" fontId="68" fillId="38" borderId="81" xfId="0" applyFont="1" applyFill="1" applyBorder="1" applyAlignment="1">
      <alignment horizontal="center" vertical="center"/>
    </xf>
    <xf numFmtId="0" fontId="68" fillId="38" borderId="71" xfId="0" applyFont="1" applyFill="1" applyBorder="1" applyAlignment="1">
      <alignment horizontal="center" vertical="center"/>
    </xf>
    <xf numFmtId="0" fontId="68" fillId="38" borderId="72" xfId="0" applyFont="1" applyFill="1" applyBorder="1" applyAlignment="1">
      <alignment horizontal="center" vertical="center"/>
    </xf>
    <xf numFmtId="0" fontId="68" fillId="38" borderId="82" xfId="0" applyFont="1" applyFill="1" applyBorder="1" applyAlignment="1">
      <alignment horizontal="center" vertical="center"/>
    </xf>
    <xf numFmtId="0" fontId="68" fillId="38" borderId="73" xfId="0" applyFont="1" applyFill="1" applyBorder="1" applyAlignment="1">
      <alignment horizontal="center" vertical="center"/>
    </xf>
    <xf numFmtId="0" fontId="68" fillId="38" borderId="74" xfId="0" applyFont="1" applyFill="1" applyBorder="1" applyAlignment="1">
      <alignment horizontal="center" vertical="center"/>
    </xf>
    <xf numFmtId="0" fontId="68" fillId="38" borderId="75" xfId="0" applyFont="1" applyFill="1" applyBorder="1" applyAlignment="1">
      <alignment horizontal="center" vertical="center"/>
    </xf>
    <xf numFmtId="0" fontId="68" fillId="38" borderId="83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57" fillId="0" borderId="0" xfId="42" applyFont="1" applyFill="1" applyAlignment="1">
      <alignment horizontal="left" vertical="center" wrapText="1"/>
    </xf>
    <xf numFmtId="0" fontId="3" fillId="0" borderId="0" xfId="44" applyAlignment="1">
      <alignment horizontal="left" vertical="center" wrapText="1"/>
    </xf>
    <xf numFmtId="0" fontId="56" fillId="0" borderId="39" xfId="42" applyFont="1" applyFill="1" applyBorder="1" applyAlignment="1">
      <alignment horizontal="center" vertical="center" wrapText="1"/>
    </xf>
    <xf numFmtId="0" fontId="56" fillId="0" borderId="43" xfId="42" applyFont="1" applyFill="1" applyBorder="1" applyAlignment="1">
      <alignment horizontal="center" vertical="center" wrapText="1"/>
    </xf>
    <xf numFmtId="0" fontId="56" fillId="0" borderId="47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/>
    </xf>
    <xf numFmtId="0" fontId="56" fillId="0" borderId="41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 vertical="center" wrapText="1"/>
    </xf>
    <xf numFmtId="0" fontId="56" fillId="0" borderId="42" xfId="42" applyFont="1" applyFill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0" fontId="0" fillId="0" borderId="66" xfId="0" applyBorder="1" applyAlignment="1">
      <alignment vertical="center" wrapText="1"/>
    </xf>
    <xf numFmtId="0" fontId="0" fillId="0" borderId="67" xfId="0" applyBorder="1" applyAlignment="1">
      <alignment vertical="center" wrapText="1"/>
    </xf>
    <xf numFmtId="0" fontId="0" fillId="0" borderId="68" xfId="0" applyBorder="1" applyAlignment="1">
      <alignment vertical="center" wrapText="1"/>
    </xf>
    <xf numFmtId="0" fontId="19" fillId="38" borderId="58" xfId="0" applyFont="1" applyFill="1" applyBorder="1" applyAlignment="1">
      <alignment horizontal="center" vertical="center" wrapText="1"/>
    </xf>
    <xf numFmtId="0" fontId="19" fillId="38" borderId="59" xfId="0" applyFont="1" applyFill="1" applyBorder="1" applyAlignment="1">
      <alignment horizontal="center" vertical="center" wrapText="1"/>
    </xf>
    <xf numFmtId="0" fontId="19" fillId="38" borderId="60" xfId="0" applyFont="1" applyFill="1" applyBorder="1" applyAlignment="1">
      <alignment horizontal="center" vertical="center" wrapText="1"/>
    </xf>
    <xf numFmtId="0" fontId="19" fillId="38" borderId="61" xfId="0" applyFont="1" applyFill="1" applyBorder="1" applyAlignment="1">
      <alignment horizontal="center" vertical="center" wrapText="1"/>
    </xf>
    <xf numFmtId="0" fontId="19" fillId="38" borderId="0" xfId="0" applyFont="1" applyFill="1" applyBorder="1" applyAlignment="1">
      <alignment horizontal="center" vertical="center" wrapText="1"/>
    </xf>
    <xf numFmtId="0" fontId="19" fillId="38" borderId="62" xfId="0" applyFont="1" applyFill="1" applyBorder="1" applyAlignment="1">
      <alignment horizontal="center" vertical="center" wrapText="1"/>
    </xf>
    <xf numFmtId="0" fontId="19" fillId="38" borderId="63" xfId="0" applyFont="1" applyFill="1" applyBorder="1" applyAlignment="1">
      <alignment horizontal="center" vertical="center" wrapText="1"/>
    </xf>
    <xf numFmtId="0" fontId="19" fillId="38" borderId="64" xfId="0" applyFont="1" applyFill="1" applyBorder="1" applyAlignment="1">
      <alignment horizontal="center" vertical="center" wrapText="1"/>
    </xf>
    <xf numFmtId="0" fontId="19" fillId="38" borderId="65" xfId="0" applyFont="1" applyFill="1" applyBorder="1" applyAlignment="1">
      <alignment horizontal="center" vertical="center" wrapText="1"/>
    </xf>
    <xf numFmtId="0" fontId="19" fillId="38" borderId="66" xfId="0" applyFont="1" applyFill="1" applyBorder="1" applyAlignment="1">
      <alignment horizontal="center" vertical="center" wrapText="1"/>
    </xf>
    <xf numFmtId="0" fontId="19" fillId="38" borderId="67" xfId="0" applyFont="1" applyFill="1" applyBorder="1" applyAlignment="1">
      <alignment horizontal="center" vertical="center" wrapText="1"/>
    </xf>
    <xf numFmtId="0" fontId="19" fillId="38" borderId="68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21" fillId="33" borderId="30" xfId="44" applyNumberFormat="1" applyFont="1" applyFill="1" applyBorder="1" applyAlignment="1" applyProtection="1">
      <alignment horizontal="center" vertical="center" wrapText="1"/>
    </xf>
    <xf numFmtId="49" fontId="21" fillId="33" borderId="32" xfId="44" applyNumberFormat="1" applyFont="1" applyFill="1" applyBorder="1" applyAlignment="1" applyProtection="1">
      <alignment horizontal="center" vertical="center" wrapText="1"/>
    </xf>
    <xf numFmtId="49" fontId="21" fillId="33" borderId="31" xfId="44" applyNumberFormat="1" applyFont="1" applyFill="1" applyBorder="1" applyAlignment="1" applyProtection="1">
      <alignment horizontal="center" vertical="center" wrapText="1"/>
    </xf>
    <xf numFmtId="49" fontId="21" fillId="33" borderId="33" xfId="44" applyNumberFormat="1" applyFont="1" applyFill="1" applyBorder="1" applyAlignment="1" applyProtection="1">
      <alignment horizontal="center" vertical="center" wrapText="1"/>
    </xf>
    <xf numFmtId="49" fontId="21" fillId="33" borderId="35" xfId="44" applyNumberFormat="1" applyFont="1" applyFill="1" applyBorder="1" applyAlignment="1" applyProtection="1">
      <alignment horizontal="center" vertical="center" wrapText="1"/>
    </xf>
    <xf numFmtId="49" fontId="21" fillId="33" borderId="34" xfId="44" applyNumberFormat="1" applyFont="1" applyFill="1" applyBorder="1" applyAlignment="1" applyProtection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 wrapText="1"/>
    </xf>
    <xf numFmtId="0" fontId="23" fillId="0" borderId="28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49" fontId="22" fillId="35" borderId="33" xfId="44" applyNumberFormat="1" applyFont="1" applyFill="1" applyBorder="1" applyAlignment="1" applyProtection="1"/>
    <xf numFmtId="49" fontId="22" fillId="35" borderId="35" xfId="44" applyNumberFormat="1" applyFont="1" applyFill="1" applyBorder="1" applyAlignment="1" applyProtection="1"/>
    <xf numFmtId="49" fontId="22" fillId="35" borderId="34" xfId="44" applyNumberFormat="1" applyFont="1" applyFill="1" applyBorder="1" applyAlignment="1" applyProtection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21" fillId="33" borderId="11" xfId="42" applyNumberFormat="1" applyFont="1" applyFill="1" applyBorder="1" applyAlignment="1" applyProtection="1">
      <alignment horizontal="center" vertical="center" wrapText="1"/>
    </xf>
    <xf numFmtId="49" fontId="21" fillId="33" borderId="13" xfId="42" applyNumberFormat="1" applyFont="1" applyFill="1" applyBorder="1" applyAlignment="1" applyProtection="1">
      <alignment horizontal="center" vertical="center" wrapText="1"/>
    </xf>
    <xf numFmtId="49" fontId="21" fillId="33" borderId="12" xfId="42" applyNumberFormat="1" applyFont="1" applyFill="1" applyBorder="1" applyAlignment="1" applyProtection="1">
      <alignment horizontal="center" vertical="center" wrapText="1"/>
    </xf>
    <xf numFmtId="49" fontId="21" fillId="33" borderId="14" xfId="42" applyNumberFormat="1" applyFont="1" applyFill="1" applyBorder="1" applyAlignment="1" applyProtection="1">
      <alignment horizontal="center" vertical="center" wrapText="1"/>
    </xf>
    <xf numFmtId="49" fontId="21" fillId="33" borderId="16" xfId="42" applyNumberFormat="1" applyFont="1" applyFill="1" applyBorder="1" applyAlignment="1" applyProtection="1">
      <alignment horizontal="center" vertical="center" wrapText="1"/>
    </xf>
    <xf numFmtId="49" fontId="21" fillId="33" borderId="15" xfId="42" applyNumberFormat="1" applyFont="1" applyFill="1" applyBorder="1" applyAlignment="1" applyProtection="1">
      <alignment horizontal="center" vertical="center" wrapText="1"/>
    </xf>
    <xf numFmtId="49" fontId="22" fillId="34" borderId="14" xfId="42" applyNumberFormat="1" applyFont="1" applyFill="1" applyBorder="1" applyAlignment="1" applyProtection="1"/>
    <xf numFmtId="49" fontId="22" fillId="34" borderId="16" xfId="42" applyNumberFormat="1" applyFont="1" applyFill="1" applyBorder="1" applyAlignment="1" applyProtection="1"/>
    <xf numFmtId="49" fontId="22" fillId="34" borderId="15" xfId="42" applyNumberFormat="1" applyFont="1" applyFill="1" applyBorder="1" applyAlignment="1" applyProtection="1"/>
  </cellXfs>
  <cellStyles count="95">
    <cellStyle name="20 % - Akzent1" xfId="19" builtinId="30" customBuiltin="1"/>
    <cellStyle name="20 % - Akzent1 2" xfId="62" xr:uid="{00000000-0005-0000-0000-000001000000}"/>
    <cellStyle name="20 % - Akzent2" xfId="23" builtinId="34" customBuiltin="1"/>
    <cellStyle name="20 % - Akzent2 2" xfId="66" xr:uid="{00000000-0005-0000-0000-000003000000}"/>
    <cellStyle name="20 % - Akzent3" xfId="27" builtinId="38" customBuiltin="1"/>
    <cellStyle name="20 % - Akzent3 2" xfId="70" xr:uid="{00000000-0005-0000-0000-000005000000}"/>
    <cellStyle name="20 % - Akzent4" xfId="31" builtinId="42" customBuiltin="1"/>
    <cellStyle name="20 % - Akzent4 2" xfId="74" xr:uid="{00000000-0005-0000-0000-000007000000}"/>
    <cellStyle name="20 % - Akzent5" xfId="35" builtinId="46" customBuiltin="1"/>
    <cellStyle name="20 % - Akzent5 2" xfId="78" xr:uid="{00000000-0005-0000-0000-000009000000}"/>
    <cellStyle name="20 % - Akzent6" xfId="39" builtinId="50" customBuiltin="1"/>
    <cellStyle name="20 % - Akzent6 2" xfId="82" xr:uid="{00000000-0005-0000-0000-00000B000000}"/>
    <cellStyle name="40 % - Akzent1" xfId="20" builtinId="31" customBuiltin="1"/>
    <cellStyle name="40 % - Akzent1 2" xfId="63" xr:uid="{00000000-0005-0000-0000-00000D000000}"/>
    <cellStyle name="40 % - Akzent2" xfId="24" builtinId="35" customBuiltin="1"/>
    <cellStyle name="40 % - Akzent2 2" xfId="67" xr:uid="{00000000-0005-0000-0000-00000F000000}"/>
    <cellStyle name="40 % - Akzent3" xfId="28" builtinId="39" customBuiltin="1"/>
    <cellStyle name="40 % - Akzent3 2" xfId="71" xr:uid="{00000000-0005-0000-0000-000011000000}"/>
    <cellStyle name="40 % - Akzent4" xfId="32" builtinId="43" customBuiltin="1"/>
    <cellStyle name="40 % - Akzent4 2" xfId="75" xr:uid="{00000000-0005-0000-0000-000013000000}"/>
    <cellStyle name="40 % - Akzent5" xfId="36" builtinId="47" customBuiltin="1"/>
    <cellStyle name="40 % - Akzent5 2" xfId="79" xr:uid="{00000000-0005-0000-0000-000015000000}"/>
    <cellStyle name="40 % - Akzent6" xfId="40" builtinId="51" customBuiltin="1"/>
    <cellStyle name="40 % - Akzent6 2" xfId="83" xr:uid="{00000000-0005-0000-0000-000017000000}"/>
    <cellStyle name="60 % - Akzent1" xfId="21" builtinId="32" customBuiltin="1"/>
    <cellStyle name="60 % - Akzent1 2" xfId="64" xr:uid="{00000000-0005-0000-0000-000019000000}"/>
    <cellStyle name="60 % - Akzent2" xfId="25" builtinId="36" customBuiltin="1"/>
    <cellStyle name="60 % - Akzent2 2" xfId="68" xr:uid="{00000000-0005-0000-0000-00001B000000}"/>
    <cellStyle name="60 % - Akzent3" xfId="29" builtinId="40" customBuiltin="1"/>
    <cellStyle name="60 % - Akzent3 2" xfId="72" xr:uid="{00000000-0005-0000-0000-00001D000000}"/>
    <cellStyle name="60 % - Akzent4" xfId="33" builtinId="44" customBuiltin="1"/>
    <cellStyle name="60 % - Akzent4 2" xfId="76" xr:uid="{00000000-0005-0000-0000-00001F000000}"/>
    <cellStyle name="60 % - Akzent5" xfId="37" builtinId="48" customBuiltin="1"/>
    <cellStyle name="60 % - Akzent5 2" xfId="80" xr:uid="{00000000-0005-0000-0000-000021000000}"/>
    <cellStyle name="60 % - Akzent6" xfId="41" builtinId="52" customBuiltin="1"/>
    <cellStyle name="60 % - Akzent6 2" xfId="84" xr:uid="{00000000-0005-0000-0000-000023000000}"/>
    <cellStyle name="Akzent1" xfId="18" builtinId="29" customBuiltin="1"/>
    <cellStyle name="Akzent1 2" xfId="61" xr:uid="{00000000-0005-0000-0000-000025000000}"/>
    <cellStyle name="Akzent2" xfId="22" builtinId="33" customBuiltin="1"/>
    <cellStyle name="Akzent2 2" xfId="65" xr:uid="{00000000-0005-0000-0000-000027000000}"/>
    <cellStyle name="Akzent3" xfId="26" builtinId="37" customBuiltin="1"/>
    <cellStyle name="Akzent3 2" xfId="69" xr:uid="{00000000-0005-0000-0000-000029000000}"/>
    <cellStyle name="Akzent4" xfId="30" builtinId="41" customBuiltin="1"/>
    <cellStyle name="Akzent4 2" xfId="73" xr:uid="{00000000-0005-0000-0000-00002B000000}"/>
    <cellStyle name="Akzent5" xfId="34" builtinId="45" customBuiltin="1"/>
    <cellStyle name="Akzent5 2" xfId="77" xr:uid="{00000000-0005-0000-0000-00002D000000}"/>
    <cellStyle name="Akzent6" xfId="38" builtinId="49" customBuiltin="1"/>
    <cellStyle name="Akzent6 2" xfId="81" xr:uid="{00000000-0005-0000-0000-00002F000000}"/>
    <cellStyle name="Ausgabe" xfId="10" builtinId="21" customBuiltin="1"/>
    <cellStyle name="Ausgabe 2" xfId="53" xr:uid="{00000000-0005-0000-0000-000031000000}"/>
    <cellStyle name="Berechnung" xfId="11" builtinId="22" customBuiltin="1"/>
    <cellStyle name="Berechnung 2" xfId="54" xr:uid="{00000000-0005-0000-0000-000033000000}"/>
    <cellStyle name="Eingabe" xfId="9" builtinId="20" customBuiltin="1"/>
    <cellStyle name="Eingabe 2" xfId="52" xr:uid="{00000000-0005-0000-0000-000035000000}"/>
    <cellStyle name="Ergebnis" xfId="17" builtinId="25" customBuiltin="1"/>
    <cellStyle name="Ergebnis 2" xfId="60" xr:uid="{00000000-0005-0000-0000-000037000000}"/>
    <cellStyle name="Erklärender Text" xfId="16" builtinId="53" customBuiltin="1"/>
    <cellStyle name="Erklärender Text 2" xfId="59" xr:uid="{00000000-0005-0000-0000-000039000000}"/>
    <cellStyle name="Gut" xfId="6" builtinId="26" customBuiltin="1"/>
    <cellStyle name="Gut 2" xfId="49" xr:uid="{00000000-0005-0000-0000-00003B000000}"/>
    <cellStyle name="Hyperlink 3 3" xfId="89" xr:uid="{00000000-0005-0000-0000-000000000000}"/>
    <cellStyle name="Link" xfId="94" builtinId="8"/>
    <cellStyle name="Link 2" xfId="90" xr:uid="{00000000-0005-0000-0000-000002000000}"/>
    <cellStyle name="Neutral" xfId="8" builtinId="28" customBuiltin="1"/>
    <cellStyle name="Neutral 2" xfId="51" xr:uid="{00000000-0005-0000-0000-00003D000000}"/>
    <cellStyle name="Notiz" xfId="15" builtinId="10" customBuiltin="1"/>
    <cellStyle name="Notiz 2" xfId="58" xr:uid="{00000000-0005-0000-0000-00003F000000}"/>
    <cellStyle name="Schlecht" xfId="7" builtinId="27" customBuiltin="1"/>
    <cellStyle name="Schlecht 2" xfId="50" xr:uid="{00000000-0005-0000-0000-000041000000}"/>
    <cellStyle name="Standard" xfId="0" builtinId="0"/>
    <cellStyle name="Standard 2" xfId="42" xr:uid="{00000000-0005-0000-0000-000043000000}"/>
    <cellStyle name="Standard 2 2" xfId="91" xr:uid="{00000000-0005-0000-0000-000005000000}"/>
    <cellStyle name="Standard 2 3" xfId="88" xr:uid="{00000000-0005-0000-0000-000006000000}"/>
    <cellStyle name="Standard 2 4" xfId="92" xr:uid="{00000000-0005-0000-0000-000007000000}"/>
    <cellStyle name="Standard 2 5" xfId="86" xr:uid="{00000000-0005-0000-0000-000004000000}"/>
    <cellStyle name="Standard 3" xfId="44" xr:uid="{00000000-0005-0000-0000-000044000000}"/>
    <cellStyle name="Standard 3 2" xfId="87" xr:uid="{00000000-0005-0000-0000-000008000000}"/>
    <cellStyle name="Standard 4" xfId="93" xr:uid="{00000000-0005-0000-0000-000009000000}"/>
    <cellStyle name="Standard 5" xfId="85" xr:uid="{00000000-0005-0000-0000-00005D000000}"/>
    <cellStyle name="Standard_PT_4_2_1" xfId="43" xr:uid="{00000000-0005-0000-0000-000045000000}"/>
    <cellStyle name="Überschrift" xfId="1" builtinId="15" customBuiltin="1"/>
    <cellStyle name="Überschrift 1" xfId="2" builtinId="16" customBuiltin="1"/>
    <cellStyle name="Überschrift 1 2" xfId="45" xr:uid="{00000000-0005-0000-0000-000048000000}"/>
    <cellStyle name="Überschrift 2" xfId="3" builtinId="17" customBuiltin="1"/>
    <cellStyle name="Überschrift 2 2" xfId="46" xr:uid="{00000000-0005-0000-0000-00004A000000}"/>
    <cellStyle name="Überschrift 3" xfId="4" builtinId="18" customBuiltin="1"/>
    <cellStyle name="Überschrift 3 2" xfId="47" xr:uid="{00000000-0005-0000-0000-00004C000000}"/>
    <cellStyle name="Überschrift 4" xfId="5" builtinId="19" customBuiltin="1"/>
    <cellStyle name="Überschrift 4 2" xfId="48" xr:uid="{00000000-0005-0000-0000-00004E000000}"/>
    <cellStyle name="Verknüpfte Zelle" xfId="12" builtinId="24" customBuiltin="1"/>
    <cellStyle name="Verknüpfte Zelle 2" xfId="55" xr:uid="{00000000-0005-0000-0000-000050000000}"/>
    <cellStyle name="Warnender Text" xfId="14" builtinId="11" customBuiltin="1"/>
    <cellStyle name="Warnender Text 2" xfId="57" xr:uid="{00000000-0005-0000-0000-000052000000}"/>
    <cellStyle name="Zelle überprüfen" xfId="13" builtinId="23" customBuiltin="1"/>
    <cellStyle name="Zelle überprüfen 2" xfId="56" xr:uid="{00000000-0005-0000-0000-000054000000}"/>
  </cellStyles>
  <dxfs count="70">
    <dxf>
      <font>
        <color theme="8"/>
      </font>
    </dxf>
    <dxf>
      <font>
        <color theme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6" formatCode="###\ ###\ ###.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NDSFrutiger 45 Light"/>
        <family val="2"/>
        <scheme val="none"/>
      </font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</font>
    </dxf>
  </dxfs>
  <tableStyles count="2" defaultTableStyle="TableStyleMedium2" defaultPivotStyle="PivotStyleLight16">
    <tableStyle name="Tabellenformat 1" pivot="0" count="0" xr9:uid="{00000000-0011-0000-FFFF-FFFF00000000}"/>
    <tableStyle name="Tabellenformat 1 2" pivot="0" count="1" xr9:uid="{00000000-0011-0000-FFFF-FFFF01000000}">
      <tableStyleElement type="wholeTable" dxfId="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lpers/AGS_Name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eoCodes/AGS_Geco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>
        <row r="1">
          <cell r="A1">
            <v>101</v>
          </cell>
          <cell r="B1" t="str">
            <v>Braunschweig  Stadt</v>
          </cell>
        </row>
        <row r="2">
          <cell r="A2">
            <v>102</v>
          </cell>
          <cell r="B2" t="str">
            <v>Salzgitter  Stadt</v>
          </cell>
        </row>
        <row r="3">
          <cell r="A3">
            <v>103</v>
          </cell>
          <cell r="B3" t="str">
            <v>Wolfsburg  Stadt</v>
          </cell>
        </row>
        <row r="4">
          <cell r="A4">
            <v>151</v>
          </cell>
          <cell r="B4" t="str">
            <v>Gifhorn</v>
          </cell>
        </row>
        <row r="5">
          <cell r="A5">
            <v>152</v>
          </cell>
          <cell r="B5" t="str">
            <v>Göttingen</v>
          </cell>
        </row>
        <row r="6">
          <cell r="A6">
            <v>152012</v>
          </cell>
          <cell r="B6" t="str">
            <v xml:space="preserve">   dav. Göttingen  Stadt</v>
          </cell>
        </row>
        <row r="7">
          <cell r="A7">
            <v>152999</v>
          </cell>
          <cell r="B7" t="str">
            <v xml:space="preserve">   dav. Göttingen  Umland</v>
          </cell>
        </row>
        <row r="8">
          <cell r="A8">
            <v>153</v>
          </cell>
          <cell r="B8" t="str">
            <v>Goslar</v>
          </cell>
        </row>
        <row r="9">
          <cell r="A9">
            <v>154</v>
          </cell>
          <cell r="B9" t="str">
            <v>Helmstedt</v>
          </cell>
        </row>
        <row r="10">
          <cell r="A10">
            <v>155</v>
          </cell>
          <cell r="B10" t="str">
            <v>Northeim</v>
          </cell>
        </row>
        <row r="11">
          <cell r="A11">
            <v>156</v>
          </cell>
          <cell r="B11" t="str">
            <v>Osterode</v>
          </cell>
        </row>
        <row r="12">
          <cell r="A12">
            <v>157</v>
          </cell>
          <cell r="B12" t="str">
            <v>Peine</v>
          </cell>
        </row>
        <row r="13">
          <cell r="A13">
            <v>158</v>
          </cell>
          <cell r="B13" t="str">
            <v>Wolfenbüttel</v>
          </cell>
        </row>
        <row r="14">
          <cell r="A14">
            <v>159</v>
          </cell>
          <cell r="B14" t="str">
            <v>Göttingen</v>
          </cell>
        </row>
        <row r="15">
          <cell r="A15">
            <v>159016</v>
          </cell>
          <cell r="B15" t="str">
            <v xml:space="preserve">   dav. Göttingen  Stadt</v>
          </cell>
        </row>
        <row r="16">
          <cell r="A16">
            <v>159999</v>
          </cell>
          <cell r="B16" t="str">
            <v xml:space="preserve">   dav. Göttingen  Umland</v>
          </cell>
        </row>
        <row r="17">
          <cell r="A17">
            <v>1</v>
          </cell>
          <cell r="B17" t="str">
            <v>Stat. Region Braunschweig</v>
          </cell>
        </row>
        <row r="18">
          <cell r="A18">
            <v>241</v>
          </cell>
          <cell r="B18" t="str">
            <v>Hannover  Region</v>
          </cell>
        </row>
        <row r="19">
          <cell r="A19">
            <v>241001</v>
          </cell>
          <cell r="B19" t="str">
            <v>dav. Hannover  Lhst.</v>
          </cell>
        </row>
        <row r="20">
          <cell r="A20">
            <v>241999</v>
          </cell>
          <cell r="B20" t="str">
            <v>dav. Hannover  Umland</v>
          </cell>
        </row>
        <row r="21">
          <cell r="A21">
            <v>251</v>
          </cell>
          <cell r="B21" t="str">
            <v>Diepholz</v>
          </cell>
        </row>
        <row r="22">
          <cell r="A22">
            <v>252</v>
          </cell>
          <cell r="B22" t="str">
            <v>Hameln-Pyrmont</v>
          </cell>
        </row>
        <row r="23">
          <cell r="A23">
            <v>254</v>
          </cell>
          <cell r="B23" t="str">
            <v>Hildesheim</v>
          </cell>
        </row>
        <row r="24">
          <cell r="A24">
            <v>254021</v>
          </cell>
          <cell r="B24" t="str">
            <v xml:space="preserve">   dav. Hildesheim  Stadt</v>
          </cell>
        </row>
        <row r="25">
          <cell r="A25">
            <v>254999</v>
          </cell>
          <cell r="B25" t="str">
            <v xml:space="preserve">   dav. Hildesheim  Umland</v>
          </cell>
        </row>
        <row r="26">
          <cell r="A26">
            <v>255</v>
          </cell>
          <cell r="B26" t="str">
            <v>Holzminden</v>
          </cell>
        </row>
        <row r="27">
          <cell r="A27">
            <v>256</v>
          </cell>
          <cell r="B27" t="str">
            <v>Nienburg (Weser)</v>
          </cell>
        </row>
        <row r="28">
          <cell r="A28">
            <v>257</v>
          </cell>
          <cell r="B28" t="str">
            <v>Schaumburg</v>
          </cell>
        </row>
        <row r="29">
          <cell r="A29">
            <v>2</v>
          </cell>
          <cell r="B29" t="str">
            <v>Stat. Region Hannover</v>
          </cell>
        </row>
        <row r="30">
          <cell r="A30">
            <v>351</v>
          </cell>
          <cell r="B30" t="str">
            <v>Celle</v>
          </cell>
        </row>
        <row r="31">
          <cell r="A31">
            <v>352</v>
          </cell>
          <cell r="B31" t="str">
            <v>Cuxhaven</v>
          </cell>
        </row>
        <row r="32">
          <cell r="A32">
            <v>353</v>
          </cell>
          <cell r="B32" t="str">
            <v>Harburg</v>
          </cell>
        </row>
        <row r="33">
          <cell r="A33">
            <v>354</v>
          </cell>
          <cell r="B33" t="str">
            <v>Lüchow-Dannenberg</v>
          </cell>
        </row>
        <row r="34">
          <cell r="A34">
            <v>354360</v>
          </cell>
          <cell r="B34" t="str">
            <v>Lüchow-Dannenberg / Uelzen</v>
          </cell>
        </row>
        <row r="35">
          <cell r="A35" t="str">
            <v>360/ 354</v>
          </cell>
          <cell r="B35" t="str">
            <v>Uelzen
Lüchow-Dannenberg</v>
          </cell>
        </row>
        <row r="36">
          <cell r="A36">
            <v>355</v>
          </cell>
          <cell r="B36" t="str">
            <v>Lüneburg</v>
          </cell>
        </row>
        <row r="37">
          <cell r="A37">
            <v>356</v>
          </cell>
          <cell r="B37" t="str">
            <v>Osterholz</v>
          </cell>
        </row>
        <row r="38">
          <cell r="A38">
            <v>357</v>
          </cell>
          <cell r="B38" t="str">
            <v>Rotenburg (Wümme)</v>
          </cell>
        </row>
        <row r="39">
          <cell r="A39">
            <v>358</v>
          </cell>
          <cell r="B39" t="str">
            <v>Heidekreis</v>
          </cell>
        </row>
        <row r="40">
          <cell r="A40">
            <v>359</v>
          </cell>
          <cell r="B40" t="str">
            <v>Stade</v>
          </cell>
        </row>
        <row r="41">
          <cell r="A41">
            <v>360</v>
          </cell>
          <cell r="B41" t="str">
            <v>Uelzen</v>
          </cell>
        </row>
        <row r="42">
          <cell r="A42">
            <v>361</v>
          </cell>
          <cell r="B42" t="str">
            <v>Verden</v>
          </cell>
        </row>
        <row r="43">
          <cell r="A43">
            <v>3</v>
          </cell>
          <cell r="B43" t="str">
            <v>Stat. Region Lüneburg</v>
          </cell>
        </row>
        <row r="44">
          <cell r="A44">
            <v>401</v>
          </cell>
          <cell r="B44" t="str">
            <v>Delmenhorst  Stadt</v>
          </cell>
        </row>
        <row r="45">
          <cell r="A45">
            <v>402457</v>
          </cell>
          <cell r="B45" t="str">
            <v>Emden  Stadt / Leer</v>
          </cell>
        </row>
        <row r="46">
          <cell r="A46">
            <v>455462</v>
          </cell>
          <cell r="B46" t="str">
            <v>Friesland / Wittmund</v>
          </cell>
        </row>
        <row r="47">
          <cell r="A47">
            <v>402</v>
          </cell>
          <cell r="B47" t="str">
            <v>Emden  Stadt</v>
          </cell>
        </row>
        <row r="48">
          <cell r="A48" t="str">
            <v>402 / 457</v>
          </cell>
          <cell r="B48" t="str">
            <v>Emden  Stadt / Leer</v>
          </cell>
        </row>
        <row r="49">
          <cell r="A49" t="str">
            <v>402 / 457</v>
          </cell>
          <cell r="B49" t="str">
            <v>Leer / Emden  Stadt</v>
          </cell>
        </row>
        <row r="50">
          <cell r="A50">
            <v>403</v>
          </cell>
          <cell r="B50" t="str">
            <v>Oldenburg(Oldb)  Stadt</v>
          </cell>
        </row>
        <row r="51">
          <cell r="A51">
            <v>404</v>
          </cell>
          <cell r="B51" t="str">
            <v>Osnabrück  Stadt</v>
          </cell>
        </row>
        <row r="52">
          <cell r="A52">
            <v>405</v>
          </cell>
          <cell r="B52" t="str">
            <v>Wilhelmshaven  Stadt</v>
          </cell>
        </row>
        <row r="53">
          <cell r="A53">
            <v>451</v>
          </cell>
          <cell r="B53" t="str">
            <v>Ammerland</v>
          </cell>
        </row>
        <row r="54">
          <cell r="A54">
            <v>452</v>
          </cell>
          <cell r="B54" t="str">
            <v>Aurich</v>
          </cell>
        </row>
        <row r="55">
          <cell r="A55">
            <v>453</v>
          </cell>
          <cell r="B55" t="str">
            <v>Cloppenburg</v>
          </cell>
        </row>
        <row r="56">
          <cell r="A56">
            <v>454</v>
          </cell>
          <cell r="B56" t="str">
            <v>Emsland</v>
          </cell>
        </row>
        <row r="57">
          <cell r="A57">
            <v>455</v>
          </cell>
          <cell r="B57" t="str">
            <v>Friesland</v>
          </cell>
        </row>
        <row r="58">
          <cell r="A58" t="str">
            <v>455 / 462</v>
          </cell>
          <cell r="B58" t="str">
            <v>Friesland / Wittmund</v>
          </cell>
        </row>
        <row r="59">
          <cell r="A59" t="str">
            <v>455 / 462</v>
          </cell>
          <cell r="B59" t="str">
            <v>Wittmund / Friesland</v>
          </cell>
        </row>
        <row r="60">
          <cell r="A60">
            <v>456</v>
          </cell>
          <cell r="B60" t="str">
            <v>Grafschaft Bentheim</v>
          </cell>
        </row>
        <row r="61">
          <cell r="A61">
            <v>457</v>
          </cell>
          <cell r="B61" t="str">
            <v>Leer</v>
          </cell>
        </row>
        <row r="62">
          <cell r="A62">
            <v>458</v>
          </cell>
          <cell r="B62" t="str">
            <v>Oldenburg</v>
          </cell>
        </row>
        <row r="63">
          <cell r="A63">
            <v>459</v>
          </cell>
          <cell r="B63" t="str">
            <v>Osnabrück</v>
          </cell>
        </row>
        <row r="64">
          <cell r="A64">
            <v>460</v>
          </cell>
          <cell r="B64" t="str">
            <v>Vechta</v>
          </cell>
        </row>
        <row r="65">
          <cell r="A65">
            <v>461</v>
          </cell>
          <cell r="B65" t="str">
            <v>Wesermarsch</v>
          </cell>
        </row>
        <row r="66">
          <cell r="A66">
            <v>462</v>
          </cell>
          <cell r="B66" t="str">
            <v>Wittmund</v>
          </cell>
        </row>
        <row r="67">
          <cell r="A67">
            <v>4</v>
          </cell>
          <cell r="B67" t="str">
            <v>Stat. Region Weser-Ems</v>
          </cell>
        </row>
        <row r="68">
          <cell r="A68">
            <v>0</v>
          </cell>
          <cell r="B68" t="str">
            <v>Niedersachsen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reise"/>
      <sheetName val="Kreise_MZ"/>
    </sheetNames>
    <sheetDataSet>
      <sheetData sheetId="0">
        <row r="2">
          <cell r="A2">
            <v>101</v>
          </cell>
          <cell r="B2" t="str">
            <v>Braunschweig Stadt</v>
          </cell>
          <cell r="C2" t="str">
            <v>K03101</v>
          </cell>
        </row>
        <row r="3">
          <cell r="A3">
            <v>102</v>
          </cell>
          <cell r="B3" t="str">
            <v>Salzgitter Stadt</v>
          </cell>
          <cell r="C3" t="str">
            <v>K03102</v>
          </cell>
        </row>
        <row r="4">
          <cell r="A4">
            <v>103</v>
          </cell>
          <cell r="B4" t="str">
            <v>Wolfsburg Stadt</v>
          </cell>
          <cell r="C4" t="str">
            <v>K03103</v>
          </cell>
        </row>
        <row r="5">
          <cell r="A5">
            <v>151</v>
          </cell>
          <cell r="B5" t="str">
            <v>Gifhorn</v>
          </cell>
          <cell r="C5" t="str">
            <v>K03151</v>
          </cell>
        </row>
        <row r="6">
          <cell r="A6">
            <v>153</v>
          </cell>
          <cell r="B6" t="str">
            <v>Goslar</v>
          </cell>
          <cell r="C6" t="str">
            <v>K03153</v>
          </cell>
        </row>
        <row r="7">
          <cell r="A7">
            <v>154</v>
          </cell>
          <cell r="B7" t="str">
            <v>Helmstedt</v>
          </cell>
          <cell r="C7" t="str">
            <v>K03154</v>
          </cell>
        </row>
        <row r="8">
          <cell r="A8">
            <v>155</v>
          </cell>
          <cell r="B8" t="str">
            <v>Northeim</v>
          </cell>
          <cell r="C8" t="str">
            <v>K03155</v>
          </cell>
        </row>
        <row r="9">
          <cell r="A9">
            <v>157</v>
          </cell>
          <cell r="B9" t="str">
            <v>Peine</v>
          </cell>
          <cell r="C9" t="str">
            <v>K03157</v>
          </cell>
        </row>
        <row r="10">
          <cell r="A10">
            <v>158</v>
          </cell>
          <cell r="B10" t="str">
            <v>Wolfenbüttel</v>
          </cell>
          <cell r="C10" t="str">
            <v>K03158</v>
          </cell>
        </row>
        <row r="11">
          <cell r="A11">
            <v>159</v>
          </cell>
          <cell r="B11" t="str">
            <v>Göttingen</v>
          </cell>
          <cell r="C11" t="str">
            <v>K03159</v>
          </cell>
        </row>
        <row r="12">
          <cell r="A12">
            <v>1</v>
          </cell>
          <cell r="B12" t="str">
            <v>Statistische Region Braunschweig</v>
          </cell>
          <cell r="C12" t="str">
            <v>K031</v>
          </cell>
        </row>
        <row r="13">
          <cell r="A13">
            <v>241</v>
          </cell>
          <cell r="B13" t="str">
            <v>Hannover Region</v>
          </cell>
          <cell r="C13" t="str">
            <v>K03241</v>
          </cell>
        </row>
        <row r="14">
          <cell r="A14">
            <v>241001</v>
          </cell>
          <cell r="B14" t="str">
            <v>Hannover Landeshauptstadt</v>
          </cell>
          <cell r="C14" t="str">
            <v>K03241001</v>
          </cell>
        </row>
        <row r="15">
          <cell r="A15">
            <v>241999</v>
          </cell>
          <cell r="C15" t="str">
            <v>K03241999</v>
          </cell>
        </row>
        <row r="16">
          <cell r="A16">
            <v>251</v>
          </cell>
          <cell r="B16" t="str">
            <v>Diepholz</v>
          </cell>
          <cell r="C16" t="str">
            <v>K03251</v>
          </cell>
        </row>
        <row r="17">
          <cell r="A17">
            <v>252</v>
          </cell>
          <cell r="B17" t="str">
            <v>Hameln-Pyrmont</v>
          </cell>
          <cell r="C17" t="str">
            <v>K03252</v>
          </cell>
        </row>
        <row r="18">
          <cell r="A18">
            <v>254</v>
          </cell>
          <cell r="B18" t="str">
            <v>Hildesheim</v>
          </cell>
          <cell r="C18" t="str">
            <v>K03254</v>
          </cell>
        </row>
        <row r="19">
          <cell r="A19">
            <v>255</v>
          </cell>
          <cell r="B19" t="str">
            <v>Holzminden</v>
          </cell>
          <cell r="C19" t="str">
            <v>K03255</v>
          </cell>
        </row>
        <row r="20">
          <cell r="A20">
            <v>256</v>
          </cell>
          <cell r="B20" t="str">
            <v>Nienburg (Weser)</v>
          </cell>
          <cell r="C20" t="str">
            <v>K03256</v>
          </cell>
        </row>
        <row r="21">
          <cell r="A21">
            <v>257</v>
          </cell>
          <cell r="B21" t="str">
            <v>Schaumburg</v>
          </cell>
          <cell r="C21" t="str">
            <v>K03257</v>
          </cell>
        </row>
        <row r="22">
          <cell r="A22">
            <v>2</v>
          </cell>
          <cell r="B22" t="str">
            <v>Statistische Region Hannover</v>
          </cell>
          <cell r="C22" t="str">
            <v>K032</v>
          </cell>
        </row>
        <row r="23">
          <cell r="A23">
            <v>351</v>
          </cell>
          <cell r="B23" t="str">
            <v>Celle</v>
          </cell>
          <cell r="C23" t="str">
            <v>K03351</v>
          </cell>
        </row>
        <row r="24">
          <cell r="A24">
            <v>352</v>
          </cell>
          <cell r="B24" t="str">
            <v>Cuxhaven</v>
          </cell>
          <cell r="C24" t="str">
            <v>K03352</v>
          </cell>
        </row>
        <row r="25">
          <cell r="A25">
            <v>353</v>
          </cell>
          <cell r="B25" t="str">
            <v>Harburg</v>
          </cell>
          <cell r="C25" t="str">
            <v>K03353</v>
          </cell>
        </row>
        <row r="26">
          <cell r="A26">
            <v>354</v>
          </cell>
          <cell r="B26" t="str">
            <v>Lüchow-Dannenberg</v>
          </cell>
          <cell r="C26" t="str">
            <v>K03354</v>
          </cell>
        </row>
        <row r="27">
          <cell r="A27">
            <v>355</v>
          </cell>
          <cell r="B27" t="str">
            <v>Lüneburg</v>
          </cell>
          <cell r="C27" t="str">
            <v>K03355</v>
          </cell>
        </row>
        <row r="28">
          <cell r="A28">
            <v>356</v>
          </cell>
          <cell r="B28" t="str">
            <v>Osterholz</v>
          </cell>
          <cell r="C28" t="str">
            <v>K03356</v>
          </cell>
        </row>
        <row r="29">
          <cell r="A29">
            <v>357</v>
          </cell>
          <cell r="B29" t="str">
            <v>Rotenburg (Wümme)</v>
          </cell>
          <cell r="C29" t="str">
            <v>K03357</v>
          </cell>
        </row>
        <row r="30">
          <cell r="A30">
            <v>358</v>
          </cell>
          <cell r="B30" t="str">
            <v>Heidekreis</v>
          </cell>
          <cell r="C30" t="str">
            <v>K03358</v>
          </cell>
        </row>
        <row r="31">
          <cell r="A31">
            <v>359</v>
          </cell>
          <cell r="B31" t="str">
            <v>Stade</v>
          </cell>
          <cell r="C31" t="str">
            <v>K03359</v>
          </cell>
        </row>
        <row r="32">
          <cell r="A32">
            <v>360</v>
          </cell>
          <cell r="B32" t="str">
            <v>Uelzen</v>
          </cell>
          <cell r="C32" t="str">
            <v>K03360</v>
          </cell>
        </row>
        <row r="33">
          <cell r="A33">
            <v>361</v>
          </cell>
          <cell r="B33" t="str">
            <v>Verden</v>
          </cell>
          <cell r="C33" t="str">
            <v>K03361</v>
          </cell>
        </row>
        <row r="34">
          <cell r="A34">
            <v>3</v>
          </cell>
          <cell r="B34" t="str">
            <v>Statistische Region Lüneburg</v>
          </cell>
          <cell r="C34" t="str">
            <v>K033</v>
          </cell>
        </row>
        <row r="35">
          <cell r="A35">
            <v>401</v>
          </cell>
          <cell r="B35" t="str">
            <v>Delmenhorst Stadt</v>
          </cell>
          <cell r="C35" t="str">
            <v>K03401</v>
          </cell>
        </row>
        <row r="36">
          <cell r="A36">
            <v>402</v>
          </cell>
          <cell r="B36" t="str">
            <v>Emden Stadt</v>
          </cell>
          <cell r="C36" t="str">
            <v>K03402</v>
          </cell>
        </row>
        <row r="37">
          <cell r="A37">
            <v>403</v>
          </cell>
          <cell r="B37" t="str">
            <v>Oldenburg (Oldb) Stadt</v>
          </cell>
          <cell r="C37" t="str">
            <v>K03403</v>
          </cell>
        </row>
        <row r="38">
          <cell r="A38">
            <v>404</v>
          </cell>
          <cell r="B38" t="str">
            <v>Osnabrück Stadt</v>
          </cell>
          <cell r="C38" t="str">
            <v>K03404</v>
          </cell>
        </row>
        <row r="39">
          <cell r="A39">
            <v>405</v>
          </cell>
          <cell r="B39" t="str">
            <v>Wilhelmshaven Stadt</v>
          </cell>
          <cell r="C39" t="str">
            <v>K03405</v>
          </cell>
        </row>
        <row r="40">
          <cell r="A40">
            <v>451</v>
          </cell>
          <cell r="B40" t="str">
            <v>Ammerland</v>
          </cell>
          <cell r="C40" t="str">
            <v>K03451</v>
          </cell>
        </row>
        <row r="41">
          <cell r="A41">
            <v>452</v>
          </cell>
          <cell r="B41" t="str">
            <v>Aurich</v>
          </cell>
          <cell r="C41" t="str">
            <v>K03452</v>
          </cell>
        </row>
        <row r="42">
          <cell r="A42">
            <v>453</v>
          </cell>
          <cell r="B42" t="str">
            <v>Cloppenburg</v>
          </cell>
          <cell r="C42" t="str">
            <v>K03453</v>
          </cell>
        </row>
        <row r="43">
          <cell r="A43">
            <v>454</v>
          </cell>
          <cell r="B43" t="str">
            <v>Emsland</v>
          </cell>
          <cell r="C43" t="str">
            <v>K03454</v>
          </cell>
        </row>
        <row r="44">
          <cell r="A44">
            <v>455</v>
          </cell>
          <cell r="B44" t="str">
            <v>Friesland</v>
          </cell>
          <cell r="C44" t="str">
            <v>K03455</v>
          </cell>
        </row>
        <row r="45">
          <cell r="A45">
            <v>456</v>
          </cell>
          <cell r="B45" t="str">
            <v>Grafschaft Bentheim</v>
          </cell>
          <cell r="C45" t="str">
            <v>K03456</v>
          </cell>
        </row>
        <row r="46">
          <cell r="A46">
            <v>457</v>
          </cell>
          <cell r="B46" t="str">
            <v>Leer</v>
          </cell>
          <cell r="C46" t="str">
            <v>K03457</v>
          </cell>
        </row>
        <row r="47">
          <cell r="A47">
            <v>458</v>
          </cell>
          <cell r="B47" t="str">
            <v>Oldenburg</v>
          </cell>
          <cell r="C47" t="str">
            <v>K03458</v>
          </cell>
        </row>
        <row r="48">
          <cell r="A48">
            <v>459</v>
          </cell>
          <cell r="B48" t="str">
            <v>Osnabrück</v>
          </cell>
          <cell r="C48" t="str">
            <v>K03459</v>
          </cell>
        </row>
        <row r="49">
          <cell r="A49">
            <v>460</v>
          </cell>
          <cell r="B49" t="str">
            <v>Vechta</v>
          </cell>
          <cell r="C49" t="str">
            <v>K03460</v>
          </cell>
        </row>
        <row r="50">
          <cell r="A50">
            <v>461</v>
          </cell>
          <cell r="B50" t="str">
            <v>Wesermarsch</v>
          </cell>
          <cell r="C50" t="str">
            <v>K03461</v>
          </cell>
        </row>
        <row r="51">
          <cell r="A51">
            <v>462</v>
          </cell>
          <cell r="B51" t="str">
            <v>Wittmund</v>
          </cell>
          <cell r="C51" t="str">
            <v>K03462</v>
          </cell>
        </row>
        <row r="52">
          <cell r="A52">
            <v>4</v>
          </cell>
          <cell r="B52" t="str">
            <v>Statistische Region Weser-Ems</v>
          </cell>
          <cell r="C52" t="str">
            <v>K034</v>
          </cell>
        </row>
        <row r="53">
          <cell r="A53">
            <v>0</v>
          </cell>
          <cell r="B53" t="str">
            <v>Niedersachsen</v>
          </cell>
          <cell r="C53" t="str">
            <v>K030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1F5FFE6-6AB8-46F1-B919-EBC3A0B73953}" name="Tabelle4" displayName="Tabelle4" ref="A9:BM61" totalsRowShown="0" headerRowDxfId="68" dataDxfId="67" headerRowCellStyle="Standard_PT_4_2_1">
  <autoFilter ref="A9:BM61" xr:uid="{23083F7D-4E91-4DFA-80E3-352770F02452}"/>
  <tableColumns count="65">
    <tableColumn id="1" xr3:uid="{4E3B2A0D-048F-4140-ACCF-5EE5219B53D8}" name="1" dataDxfId="66"/>
    <tableColumn id="2" xr3:uid="{63E977A4-47C2-4239-B7CE-CA7B812FA002}" name="2" dataDxfId="65" dataCellStyle="Standard_PT_4_2_1"/>
    <tableColumn id="3" xr3:uid="{A8290584-329A-4B83-AF3C-9B5DAAB33849}" name="3" dataDxfId="64" dataCellStyle="Standard_PT_4_2_1">
      <calculatedColumnFormula>VLOOKUP((A10),'2019_C4_Rohdaten_BA'!$A$10:$O$59,5,FALSE)</calculatedColumnFormula>
    </tableColumn>
    <tableColumn id="4" xr3:uid="{0566C1C4-DCEB-42A8-8E8A-0E797266F204}" name="4" dataDxfId="63" dataCellStyle="Standard_PT_4_2_1">
      <calculatedColumnFormula>VLOOKUP((A10),'2019_C4_Rohdaten_BA'!$A$10:$O$59,6,FALSE)</calculatedColumnFormula>
    </tableColumn>
    <tableColumn id="5" xr3:uid="{AC767508-3F6C-4BB4-AB54-7FC21E247CF2}" name="5" dataDxfId="62" dataCellStyle="Standard_PT_4_2_1">
      <calculatedColumnFormula>VLOOKUP((A10),'2019_C4_Rohdaten_BA'!$A$10:$O$59,7,FALSE)</calculatedColumnFormula>
    </tableColumn>
    <tableColumn id="6" xr3:uid="{30190870-1695-4383-8F4C-54AB81EEBBB8}" name="6" dataDxfId="61" dataCellStyle="Standard_PT_4_2_1">
      <calculatedColumnFormula>VLOOKUP((A10),'2019_C4_Rohdaten_BA'!$A$10:$O$59,12,FALSE)</calculatedColumnFormula>
    </tableColumn>
    <tableColumn id="7" xr3:uid="{2110D79F-6E35-491F-9637-ABB5C64C8C64}" name="7" dataDxfId="60" dataCellStyle="Standard_PT_4_2_1">
      <calculatedColumnFormula>VLOOKUP((A10),'2019_C4_Rohdaten_BA'!$A$10:$O$59,13,FALSE)</calculatedColumnFormula>
    </tableColumn>
    <tableColumn id="8" xr3:uid="{FDE16B11-285E-475D-8112-34EBB715F92C}" name="8" dataDxfId="59" dataCellStyle="Standard_PT_4_2_1">
      <calculatedColumnFormula>VLOOKUP((A10),'2019_C4_Rohdaten_BA'!$A$10:$O$59,14,FALSE)</calculatedColumnFormula>
    </tableColumn>
    <tableColumn id="9" xr3:uid="{13CB2158-95FC-44C6-9C59-593BBAEF1BB8}" name="9" dataDxfId="58" dataCellStyle="Standard_PT_4_2_1">
      <calculatedColumnFormula>VLOOKUP((A10),'2019_C4_Rohdaten_BA'!$A$10:$O$59,15,FALSE)</calculatedColumnFormula>
    </tableColumn>
    <tableColumn id="10" xr3:uid="{317FFF87-ED3A-4972-8FDA-326B64EFA2FE}" name="10" dataDxfId="57" dataCellStyle="Standard_PT_4_2_1"/>
    <tableColumn id="11" xr3:uid="{131F716E-8C52-4FE6-8DA6-54E9174139D4}" name="11" dataDxfId="56" dataCellStyle="Standard_PT_4_2_1"/>
    <tableColumn id="12" xr3:uid="{70D13ACB-1DDA-4701-AC21-F956D462C7EA}" name="12" dataDxfId="55" dataCellStyle="Standard_PT_4_2_1"/>
    <tableColumn id="13" xr3:uid="{C1F6ED18-EF76-4FE0-8C5B-970CE6082B71}" name="13" dataDxfId="54" dataCellStyle="Standard_PT_4_2_1"/>
    <tableColumn id="14" xr3:uid="{56E39D8A-1183-4B52-AD41-5D49AEFF142F}" name="14" dataDxfId="53" dataCellStyle="Standard_PT_4_2_1"/>
    <tableColumn id="15" xr3:uid="{EB84BC8B-A1A3-4025-B6DB-3C62B775B2C0}" name="15" dataDxfId="52" dataCellStyle="Standard_PT_4_2_1"/>
    <tableColumn id="16" xr3:uid="{C595DCEF-5011-46F2-80CE-20DB8A821FD6}" name="16" dataDxfId="51" dataCellStyle="Standard_PT_4_2_1"/>
    <tableColumn id="17" xr3:uid="{F217ED80-1430-4F45-A67A-1168613E4587}" name="17" dataDxfId="50" dataCellStyle="Standard_PT_4_2_1"/>
    <tableColumn id="18" xr3:uid="{C5878465-5837-4A6C-B327-F4736FDD7F71}" name="18" dataDxfId="49" dataCellStyle="Standard_PT_4_2_1"/>
    <tableColumn id="19" xr3:uid="{8050C7A2-722F-4695-B567-44B9BB5AC2AE}" name="19" dataDxfId="48" dataCellStyle="Standard_PT_4_2_1"/>
    <tableColumn id="20" xr3:uid="{8CF40DA1-A041-4C42-8477-F377014C7222}" name="20" dataDxfId="47" dataCellStyle="Standard_PT_4_2_1"/>
    <tableColumn id="21" xr3:uid="{55B0EDA9-3159-4A72-9559-83ACCF3BF828}" name="21" dataDxfId="46" dataCellStyle="Standard_PT_4_2_1"/>
    <tableColumn id="22" xr3:uid="{E73C78EC-3497-4C3C-83BF-BB26A331D115}" name="22" dataDxfId="45" dataCellStyle="Standard_PT_4_2_1"/>
    <tableColumn id="23" xr3:uid="{635BC6DC-8F7D-4EC7-AD94-8C53863E2ADA}" name="23" dataDxfId="44" dataCellStyle="Standard_PT_4_2_1"/>
    <tableColumn id="24" xr3:uid="{59654907-6299-4A06-94CD-2361703A5368}" name="24" dataDxfId="43" dataCellStyle="Standard_PT_4_2_1"/>
    <tableColumn id="25" xr3:uid="{575DF7E3-6FCD-4204-A8B1-31284671C438}" name="25" dataDxfId="42" dataCellStyle="Standard_PT_4_2_1"/>
    <tableColumn id="26" xr3:uid="{C18916FD-46F2-4ABB-AB0E-A1935A19CC30}" name="26" dataDxfId="41" dataCellStyle="Standard_PT_4_2_1"/>
    <tableColumn id="27" xr3:uid="{4E2FC2C1-9ECB-4BD0-B5AD-13A013F72FEC}" name="27" dataDxfId="40" dataCellStyle="Standard_PT_4_2_1"/>
    <tableColumn id="28" xr3:uid="{6D1D3B18-9A62-4F67-8FF2-9CC479106F9D}" name="28" dataDxfId="39" dataCellStyle="Standard_PT_4_2_1"/>
    <tableColumn id="29" xr3:uid="{37F637E0-9280-4CB1-97FE-0EC47D5ADC21}" name="29" dataDxfId="38" dataCellStyle="Standard_PT_4_2_1"/>
    <tableColumn id="30" xr3:uid="{A9F49956-0CB1-432E-A112-57F3C1382D4A}" name="30" dataDxfId="37" dataCellStyle="Standard_PT_4_2_1"/>
    <tableColumn id="31" xr3:uid="{80E9355B-4058-4240-B26F-EAE67E419938}" name="31" dataDxfId="36"/>
    <tableColumn id="32" xr3:uid="{31B8BD61-0293-4992-9EED-6DEB80E92F37}" name="32" dataDxfId="35"/>
    <tableColumn id="33" xr3:uid="{A03FF45A-B081-437D-9586-09AEF865B1F2}" name="33" dataDxfId="34"/>
    <tableColumn id="34" xr3:uid="{915B682E-C9B3-4A87-B895-FEA400164504}" name="34" dataDxfId="33"/>
    <tableColumn id="35" xr3:uid="{6378E484-9DC8-4CD6-AA21-36C0960FFBB0}" name="35" dataDxfId="32"/>
    <tableColumn id="36" xr3:uid="{09BC7EE2-16FA-4B6E-A44E-FFC327CB1FC9}" name="36" dataDxfId="31"/>
    <tableColumn id="37" xr3:uid="{1EF1023F-600B-4B25-90CB-0B6B28041410}" name="37" dataDxfId="30"/>
    <tableColumn id="38" xr3:uid="{3B9091EC-1130-4060-AE7E-6EF35A0C3C81}" name="38" dataDxfId="29"/>
    <tableColumn id="39" xr3:uid="{B14F5833-5CD1-45EE-B92A-37E39071FEEB}" name="39" dataDxfId="28"/>
    <tableColumn id="40" xr3:uid="{4B1CD8A8-1AB5-460F-82B8-4A58214A25EC}" name="40" dataDxfId="27"/>
    <tableColumn id="41" xr3:uid="{570A320D-C9CF-43F4-9138-8DA24913FEE0}" name="41" dataDxfId="26"/>
    <tableColumn id="42" xr3:uid="{629BC9A5-43B6-49E5-BC30-0A830F0AE3BA}" name="42" dataDxfId="25"/>
    <tableColumn id="43" xr3:uid="{DC3A6474-2382-482B-9D0A-CACC2DC02AF4}" name="43" dataDxfId="24"/>
    <tableColumn id="44" xr3:uid="{392248E6-D76C-402B-8082-0F6CFB6C124F}" name="44" dataDxfId="23"/>
    <tableColumn id="45" xr3:uid="{87786E20-A1D9-4EE3-B4A4-34893BF1566D}" name="45" dataDxfId="22"/>
    <tableColumn id="46" xr3:uid="{DE35A32A-3CCB-4D3A-83BC-65ED7A87237C}" name="46" dataDxfId="21"/>
    <tableColumn id="47" xr3:uid="{C7CDC8AE-D3CE-4BE8-8C94-347F0BE87512}" name="47" dataDxfId="20"/>
    <tableColumn id="48" xr3:uid="{8B298BC7-FDBF-4FEB-8BDE-D6A86913300B}" name="48" dataDxfId="19"/>
    <tableColumn id="49" xr3:uid="{83A9AE1C-C036-4F50-A8C8-A74C6AE7C8F4}" name="49" dataDxfId="18"/>
    <tableColumn id="50" xr3:uid="{25F44953-FA53-4374-9850-9644CA1F75DD}" name="50" dataDxfId="17"/>
    <tableColumn id="51" xr3:uid="{0C90C103-E96D-4FB9-BB98-0E7623FEDDF2}" name="51" dataDxfId="16"/>
    <tableColumn id="52" xr3:uid="{91540C3F-8594-45D4-9390-29D6A0840F8B}" name="52" dataDxfId="15"/>
    <tableColumn id="53" xr3:uid="{D0DF96A5-A356-440B-B876-507E19D1E1A1}" name="53" dataDxfId="14"/>
    <tableColumn id="54" xr3:uid="{B91FC51B-3B7E-4E7C-BA57-FB34D42599B1}" name="54" dataDxfId="13"/>
    <tableColumn id="55" xr3:uid="{5B8D6C22-D685-4F77-A225-2536BB62B242}" name="55" dataDxfId="12"/>
    <tableColumn id="56" xr3:uid="{E3970AB8-B751-4235-83DF-4869BDA1651A}" name="56" dataDxfId="11"/>
    <tableColumn id="57" xr3:uid="{C69FAEA1-918F-410F-816D-9CDF5A1F82F7}" name="57" dataDxfId="10"/>
    <tableColumn id="58" xr3:uid="{8FB141B4-D6B7-4694-90E1-07B9A6F22E3D}" name="58" dataDxfId="9"/>
    <tableColumn id="59" xr3:uid="{B12FFAF8-FD92-4B3D-834D-8DE54688B3D0}" name="59" dataDxfId="8"/>
    <tableColumn id="60" xr3:uid="{2D6CAFBA-70B3-4F3C-BA0D-2FD4227CF4B9}" name="60" dataDxfId="7"/>
    <tableColumn id="61" xr3:uid="{B84820E5-2E58-4903-BC32-CC5139B0AB00}" name="61" dataDxfId="6"/>
    <tableColumn id="62" xr3:uid="{0D3DB772-E445-4C90-8EFB-0E1E47D3CEE7}" name="62" dataDxfId="5"/>
    <tableColumn id="63" xr3:uid="{855F7F44-8199-4265-B03A-3234D4DE6FA8}" name="63" dataDxfId="4"/>
    <tableColumn id="64" xr3:uid="{4C832EBA-1CAB-4DB9-B0B7-0B41B1523E13}" name="64" dataDxfId="3"/>
    <tableColumn id="65" xr3:uid="{D88609FB-324D-4E41-9649-8F8A92FDC142}" name="65" dataDxfId="2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70I5520/K70I5520_000017BEE956AD3346CDC0C3439D9EB60C30E4BA89FB02B0C3D3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/>
  </sheetPr>
  <dimension ref="A1:BN66"/>
  <sheetViews>
    <sheetView topLeftCell="B1" zoomScale="175" zoomScaleNormal="175" workbookViewId="0">
      <selection activeCell="S2" sqref="S2"/>
    </sheetView>
  </sheetViews>
  <sheetFormatPr baseColWidth="10" defaultRowHeight="13.5"/>
  <cols>
    <col min="2" max="2" width="28.5" bestFit="1" customWidth="1"/>
    <col min="3" max="9" width="11" customWidth="1"/>
    <col min="10" max="16" width="11" style="186"/>
  </cols>
  <sheetData>
    <row r="1" spans="1:66" ht="30" customHeight="1">
      <c r="A1" s="55" t="s">
        <v>161</v>
      </c>
      <c r="J1" s="180"/>
      <c r="K1" s="180"/>
      <c r="L1" s="180"/>
      <c r="M1" s="180"/>
      <c r="N1" s="180"/>
      <c r="O1" s="180"/>
      <c r="P1" s="180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8"/>
      <c r="AG1" s="58"/>
      <c r="AH1" s="58"/>
      <c r="AI1" s="58"/>
      <c r="AJ1" s="58"/>
      <c r="AK1" s="58"/>
      <c r="AL1" s="58"/>
      <c r="AM1" s="58"/>
      <c r="AN1" s="58"/>
      <c r="AO1" s="59"/>
      <c r="AS1" s="60"/>
    </row>
    <row r="2" spans="1:66" ht="30" customHeight="1">
      <c r="A2" s="61" t="s">
        <v>164</v>
      </c>
      <c r="J2" s="181"/>
      <c r="K2" s="181"/>
      <c r="L2" s="181"/>
      <c r="M2" s="181"/>
      <c r="N2" s="181"/>
      <c r="O2" s="181"/>
      <c r="P2" s="18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S2" s="60"/>
    </row>
    <row r="3" spans="1:66">
      <c r="B3" s="62"/>
      <c r="C3" s="62"/>
      <c r="D3" s="62"/>
      <c r="E3" s="62"/>
      <c r="F3" s="62"/>
      <c r="G3" s="62"/>
      <c r="H3" s="62"/>
      <c r="I3" s="62"/>
      <c r="J3" s="182"/>
      <c r="K3" s="182"/>
      <c r="L3" s="182"/>
      <c r="M3" s="182"/>
      <c r="N3" s="182"/>
      <c r="O3" s="182"/>
      <c r="P3" s="18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0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</row>
    <row r="4" spans="1:66">
      <c r="B4" s="62"/>
      <c r="C4" s="62"/>
      <c r="D4" s="62"/>
      <c r="E4" s="62"/>
      <c r="F4" s="62"/>
      <c r="G4" s="62"/>
      <c r="H4" s="62"/>
      <c r="I4" s="62"/>
      <c r="J4" s="182"/>
      <c r="K4" s="182"/>
      <c r="L4" s="182"/>
      <c r="M4" s="182"/>
      <c r="N4" s="182"/>
      <c r="O4" s="182"/>
      <c r="P4" s="18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0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</row>
    <row r="5" spans="1:66" ht="8.25" customHeight="1">
      <c r="A5" s="298" t="s">
        <v>220</v>
      </c>
      <c r="B5" s="285" t="s">
        <v>86</v>
      </c>
      <c r="C5" s="288">
        <v>2019</v>
      </c>
      <c r="D5" s="289"/>
      <c r="E5" s="289"/>
      <c r="F5" s="289"/>
      <c r="G5" s="289"/>
      <c r="H5" s="289"/>
      <c r="I5" s="290"/>
      <c r="J5" s="288">
        <v>2018</v>
      </c>
      <c r="K5" s="289"/>
      <c r="L5" s="289"/>
      <c r="M5" s="289"/>
      <c r="N5" s="289"/>
      <c r="O5" s="289"/>
      <c r="P5" s="290"/>
      <c r="Q5" s="278">
        <v>2017</v>
      </c>
      <c r="R5" s="279"/>
      <c r="S5" s="279"/>
      <c r="T5" s="279"/>
      <c r="U5" s="279"/>
      <c r="V5" s="279"/>
      <c r="W5" s="280"/>
      <c r="X5" s="278">
        <v>2016</v>
      </c>
      <c r="Y5" s="279"/>
      <c r="Z5" s="279"/>
      <c r="AA5" s="279"/>
      <c r="AB5" s="279"/>
      <c r="AC5" s="279"/>
      <c r="AD5" s="280"/>
      <c r="AE5" s="278">
        <v>2015</v>
      </c>
      <c r="AF5" s="279"/>
      <c r="AG5" s="279"/>
      <c r="AH5" s="279"/>
      <c r="AI5" s="279"/>
      <c r="AJ5" s="279"/>
      <c r="AK5" s="280"/>
      <c r="AL5" s="278">
        <v>2014</v>
      </c>
      <c r="AM5" s="279"/>
      <c r="AN5" s="279"/>
      <c r="AO5" s="279"/>
      <c r="AP5" s="279"/>
      <c r="AQ5" s="279"/>
      <c r="AR5" s="280"/>
      <c r="AS5" s="278">
        <v>2013</v>
      </c>
      <c r="AT5" s="279"/>
      <c r="AU5" s="279"/>
      <c r="AV5" s="279"/>
      <c r="AW5" s="279"/>
      <c r="AX5" s="279"/>
      <c r="AY5" s="280"/>
      <c r="AZ5" s="278">
        <v>2011</v>
      </c>
      <c r="BA5" s="279"/>
      <c r="BB5" s="279"/>
      <c r="BC5" s="279"/>
      <c r="BD5" s="279"/>
      <c r="BE5" s="279"/>
      <c r="BF5" s="280"/>
      <c r="BG5" s="296">
        <v>2010</v>
      </c>
      <c r="BH5" s="296"/>
      <c r="BI5" s="296"/>
      <c r="BJ5" s="296"/>
      <c r="BK5" s="296"/>
      <c r="BL5" s="296"/>
      <c r="BM5" s="278"/>
      <c r="BN5" s="63"/>
    </row>
    <row r="6" spans="1:66" ht="8.25" customHeight="1">
      <c r="A6" s="299"/>
      <c r="B6" s="286"/>
      <c r="C6" s="291" t="s">
        <v>160</v>
      </c>
      <c r="D6" s="291"/>
      <c r="E6" s="291"/>
      <c r="F6" s="292" t="s">
        <v>223</v>
      </c>
      <c r="G6" s="293"/>
      <c r="H6" s="293"/>
      <c r="I6" s="294"/>
      <c r="J6" s="291" t="s">
        <v>160</v>
      </c>
      <c r="K6" s="291"/>
      <c r="L6" s="291"/>
      <c r="M6" s="292" t="s">
        <v>223</v>
      </c>
      <c r="N6" s="293"/>
      <c r="O6" s="293"/>
      <c r="P6" s="294"/>
      <c r="Q6" s="284" t="s">
        <v>160</v>
      </c>
      <c r="R6" s="284"/>
      <c r="S6" s="284"/>
      <c r="T6" s="281" t="s">
        <v>223</v>
      </c>
      <c r="U6" s="282"/>
      <c r="V6" s="282"/>
      <c r="W6" s="283"/>
      <c r="X6" s="284" t="s">
        <v>160</v>
      </c>
      <c r="Y6" s="284"/>
      <c r="Z6" s="284"/>
      <c r="AA6" s="281" t="s">
        <v>223</v>
      </c>
      <c r="AB6" s="282"/>
      <c r="AC6" s="282"/>
      <c r="AD6" s="283"/>
      <c r="AE6" s="284" t="s">
        <v>160</v>
      </c>
      <c r="AF6" s="284"/>
      <c r="AG6" s="284"/>
      <c r="AH6" s="281" t="s">
        <v>223</v>
      </c>
      <c r="AI6" s="282"/>
      <c r="AJ6" s="282"/>
      <c r="AK6" s="283"/>
      <c r="AL6" s="284" t="s">
        <v>160</v>
      </c>
      <c r="AM6" s="284"/>
      <c r="AN6" s="284"/>
      <c r="AO6" s="281" t="s">
        <v>223</v>
      </c>
      <c r="AP6" s="282"/>
      <c r="AQ6" s="282"/>
      <c r="AR6" s="283"/>
      <c r="AS6" s="284" t="s">
        <v>160</v>
      </c>
      <c r="AT6" s="284"/>
      <c r="AU6" s="284"/>
      <c r="AV6" s="281" t="s">
        <v>223</v>
      </c>
      <c r="AW6" s="282"/>
      <c r="AX6" s="282"/>
      <c r="AY6" s="283"/>
      <c r="AZ6" s="284" t="s">
        <v>160</v>
      </c>
      <c r="BA6" s="284"/>
      <c r="BB6" s="284"/>
      <c r="BC6" s="281" t="s">
        <v>223</v>
      </c>
      <c r="BD6" s="282"/>
      <c r="BE6" s="282"/>
      <c r="BF6" s="283"/>
      <c r="BG6" s="295" t="s">
        <v>160</v>
      </c>
      <c r="BH6" s="295"/>
      <c r="BI6" s="295"/>
      <c r="BJ6" s="281" t="s">
        <v>223</v>
      </c>
      <c r="BK6" s="282"/>
      <c r="BL6" s="282"/>
      <c r="BM6" s="283"/>
      <c r="BN6" s="62"/>
    </row>
    <row r="7" spans="1:66" ht="8.25" customHeight="1">
      <c r="A7" s="299"/>
      <c r="B7" s="286"/>
      <c r="C7" s="183" t="s">
        <v>28</v>
      </c>
      <c r="D7" s="183" t="s">
        <v>89</v>
      </c>
      <c r="E7" s="183" t="s">
        <v>90</v>
      </c>
      <c r="F7" s="183" t="s">
        <v>91</v>
      </c>
      <c r="G7" s="183" t="s">
        <v>92</v>
      </c>
      <c r="H7" s="183" t="s">
        <v>93</v>
      </c>
      <c r="I7" s="183" t="s">
        <v>131</v>
      </c>
      <c r="J7" s="183" t="s">
        <v>28</v>
      </c>
      <c r="K7" s="183" t="s">
        <v>89</v>
      </c>
      <c r="L7" s="183" t="s">
        <v>90</v>
      </c>
      <c r="M7" s="183" t="s">
        <v>91</v>
      </c>
      <c r="N7" s="183" t="s">
        <v>92</v>
      </c>
      <c r="O7" s="183" t="s">
        <v>93</v>
      </c>
      <c r="P7" s="183" t="s">
        <v>131</v>
      </c>
      <c r="Q7" s="56" t="s">
        <v>28</v>
      </c>
      <c r="R7" s="56" t="s">
        <v>89</v>
      </c>
      <c r="S7" s="56" t="s">
        <v>90</v>
      </c>
      <c r="T7" s="56" t="s">
        <v>91</v>
      </c>
      <c r="U7" s="56" t="s">
        <v>92</v>
      </c>
      <c r="V7" s="56" t="s">
        <v>93</v>
      </c>
      <c r="W7" s="56" t="s">
        <v>131</v>
      </c>
      <c r="X7" s="56" t="s">
        <v>28</v>
      </c>
      <c r="Y7" s="56" t="s">
        <v>89</v>
      </c>
      <c r="Z7" s="56" t="s">
        <v>90</v>
      </c>
      <c r="AA7" s="56" t="s">
        <v>91</v>
      </c>
      <c r="AB7" s="56" t="s">
        <v>92</v>
      </c>
      <c r="AC7" s="56" t="s">
        <v>93</v>
      </c>
      <c r="AD7" s="56" t="s">
        <v>131</v>
      </c>
      <c r="AE7" s="56" t="s">
        <v>28</v>
      </c>
      <c r="AF7" s="56" t="s">
        <v>89</v>
      </c>
      <c r="AG7" s="56" t="s">
        <v>90</v>
      </c>
      <c r="AH7" s="56" t="s">
        <v>91</v>
      </c>
      <c r="AI7" s="56" t="s">
        <v>92</v>
      </c>
      <c r="AJ7" s="56" t="s">
        <v>93</v>
      </c>
      <c r="AK7" s="56" t="s">
        <v>131</v>
      </c>
      <c r="AL7" s="56" t="s">
        <v>28</v>
      </c>
      <c r="AM7" s="56" t="s">
        <v>89</v>
      </c>
      <c r="AN7" s="56" t="s">
        <v>90</v>
      </c>
      <c r="AO7" s="56" t="s">
        <v>91</v>
      </c>
      <c r="AP7" s="56" t="s">
        <v>92</v>
      </c>
      <c r="AQ7" s="56" t="s">
        <v>93</v>
      </c>
      <c r="AR7" s="56" t="s">
        <v>131</v>
      </c>
      <c r="AS7" s="56" t="s">
        <v>28</v>
      </c>
      <c r="AT7" s="56" t="s">
        <v>89</v>
      </c>
      <c r="AU7" s="56" t="s">
        <v>90</v>
      </c>
      <c r="AV7" s="56" t="s">
        <v>91</v>
      </c>
      <c r="AW7" s="56" t="s">
        <v>92</v>
      </c>
      <c r="AX7" s="56" t="s">
        <v>93</v>
      </c>
      <c r="AY7" s="56" t="s">
        <v>131</v>
      </c>
      <c r="AZ7" s="56" t="s">
        <v>28</v>
      </c>
      <c r="BA7" s="56" t="s">
        <v>89</v>
      </c>
      <c r="BB7" s="56" t="s">
        <v>90</v>
      </c>
      <c r="BC7" s="56" t="s">
        <v>91</v>
      </c>
      <c r="BD7" s="56" t="s">
        <v>92</v>
      </c>
      <c r="BE7" s="56" t="s">
        <v>93</v>
      </c>
      <c r="BF7" s="56" t="s">
        <v>131</v>
      </c>
      <c r="BG7" s="56" t="s">
        <v>28</v>
      </c>
      <c r="BH7" s="56" t="s">
        <v>89</v>
      </c>
      <c r="BI7" s="56" t="s">
        <v>90</v>
      </c>
      <c r="BJ7" s="56" t="s">
        <v>91</v>
      </c>
      <c r="BK7" s="56" t="s">
        <v>92</v>
      </c>
      <c r="BL7" s="64" t="s">
        <v>93</v>
      </c>
      <c r="BM7" s="64" t="s">
        <v>131</v>
      </c>
      <c r="BN7" s="62"/>
    </row>
    <row r="8" spans="1:66" ht="8.25" customHeight="1">
      <c r="A8" s="300"/>
      <c r="B8" s="287"/>
      <c r="C8" s="291" t="s">
        <v>84</v>
      </c>
      <c r="D8" s="291"/>
      <c r="E8" s="291"/>
      <c r="F8" s="291" t="s">
        <v>85</v>
      </c>
      <c r="G8" s="291"/>
      <c r="H8" s="292"/>
      <c r="I8" s="184"/>
      <c r="J8" s="291" t="s">
        <v>84</v>
      </c>
      <c r="K8" s="291"/>
      <c r="L8" s="291"/>
      <c r="M8" s="291" t="s">
        <v>85</v>
      </c>
      <c r="N8" s="291"/>
      <c r="O8" s="292"/>
      <c r="P8" s="184"/>
      <c r="Q8" s="284" t="s">
        <v>84</v>
      </c>
      <c r="R8" s="284"/>
      <c r="S8" s="284"/>
      <c r="T8" s="284" t="s">
        <v>85</v>
      </c>
      <c r="U8" s="284"/>
      <c r="V8" s="281"/>
      <c r="W8" s="65"/>
      <c r="X8" s="284" t="s">
        <v>84</v>
      </c>
      <c r="Y8" s="284"/>
      <c r="Z8" s="284"/>
      <c r="AA8" s="284" t="s">
        <v>85</v>
      </c>
      <c r="AB8" s="284"/>
      <c r="AC8" s="281"/>
      <c r="AD8" s="65"/>
      <c r="AE8" s="284" t="s">
        <v>84</v>
      </c>
      <c r="AF8" s="284"/>
      <c r="AG8" s="284"/>
      <c r="AH8" s="284" t="s">
        <v>85</v>
      </c>
      <c r="AI8" s="284"/>
      <c r="AJ8" s="281"/>
      <c r="AK8" s="66"/>
      <c r="AL8" s="283" t="s">
        <v>84</v>
      </c>
      <c r="AM8" s="284"/>
      <c r="AN8" s="284"/>
      <c r="AO8" s="281" t="s">
        <v>85</v>
      </c>
      <c r="AP8" s="282"/>
      <c r="AQ8" s="282"/>
      <c r="AR8" s="282"/>
      <c r="AS8" s="283" t="s">
        <v>84</v>
      </c>
      <c r="AT8" s="284"/>
      <c r="AU8" s="284"/>
      <c r="AV8" s="281" t="s">
        <v>85</v>
      </c>
      <c r="AW8" s="282"/>
      <c r="AX8" s="282"/>
      <c r="AY8" s="282"/>
      <c r="AZ8" s="283" t="s">
        <v>84</v>
      </c>
      <c r="BA8" s="284"/>
      <c r="BB8" s="284"/>
      <c r="BC8" s="281" t="s">
        <v>85</v>
      </c>
      <c r="BD8" s="282"/>
      <c r="BE8" s="282"/>
      <c r="BF8" s="282"/>
      <c r="BG8" s="283" t="s">
        <v>84</v>
      </c>
      <c r="BH8" s="284"/>
      <c r="BI8" s="284"/>
      <c r="BJ8" s="284" t="s">
        <v>85</v>
      </c>
      <c r="BK8" s="284"/>
      <c r="BL8" s="281"/>
      <c r="BM8" s="62"/>
      <c r="BN8" s="62"/>
    </row>
    <row r="9" spans="1:66" ht="8.25" customHeight="1">
      <c r="A9" s="67" t="s">
        <v>18</v>
      </c>
      <c r="B9" s="67" t="s">
        <v>19</v>
      </c>
      <c r="C9" s="67"/>
      <c r="D9" s="67"/>
      <c r="E9" s="67"/>
      <c r="F9" s="67"/>
      <c r="G9" s="67"/>
      <c r="H9" s="67"/>
      <c r="I9" s="67"/>
      <c r="J9" s="67" t="s">
        <v>20</v>
      </c>
      <c r="K9" s="67" t="s">
        <v>21</v>
      </c>
      <c r="L9" s="67" t="s">
        <v>22</v>
      </c>
      <c r="M9" s="67" t="s">
        <v>23</v>
      </c>
      <c r="N9" s="67" t="s">
        <v>24</v>
      </c>
      <c r="O9" s="67" t="s">
        <v>25</v>
      </c>
      <c r="P9" s="67" t="s">
        <v>26</v>
      </c>
      <c r="Q9" s="67" t="s">
        <v>165</v>
      </c>
      <c r="R9" s="67" t="s">
        <v>166</v>
      </c>
      <c r="S9" s="67" t="s">
        <v>167</v>
      </c>
      <c r="T9" s="67" t="s">
        <v>168</v>
      </c>
      <c r="U9" s="67" t="s">
        <v>169</v>
      </c>
      <c r="V9" s="67" t="s">
        <v>170</v>
      </c>
      <c r="W9" s="67" t="s">
        <v>171</v>
      </c>
      <c r="X9" s="114" t="s">
        <v>172</v>
      </c>
      <c r="Y9" s="114" t="s">
        <v>173</v>
      </c>
      <c r="Z9" s="114" t="s">
        <v>174</v>
      </c>
      <c r="AA9" s="67" t="s">
        <v>175</v>
      </c>
      <c r="AB9" s="67" t="s">
        <v>176</v>
      </c>
      <c r="AC9" s="67" t="s">
        <v>177</v>
      </c>
      <c r="AD9" s="67" t="s">
        <v>178</v>
      </c>
      <c r="AE9" s="67" t="s">
        <v>179</v>
      </c>
      <c r="AF9" s="67" t="s">
        <v>180</v>
      </c>
      <c r="AG9" s="67" t="s">
        <v>181</v>
      </c>
      <c r="AH9" s="67" t="s">
        <v>182</v>
      </c>
      <c r="AI9" s="67" t="s">
        <v>183</v>
      </c>
      <c r="AJ9" s="67" t="s">
        <v>184</v>
      </c>
      <c r="AK9" s="67" t="s">
        <v>185</v>
      </c>
      <c r="AL9" s="67" t="s">
        <v>186</v>
      </c>
      <c r="AM9" s="67" t="s">
        <v>187</v>
      </c>
      <c r="AN9" s="67" t="s">
        <v>188</v>
      </c>
      <c r="AO9" s="67" t="s">
        <v>189</v>
      </c>
      <c r="AP9" s="67" t="s">
        <v>190</v>
      </c>
      <c r="AQ9" s="67" t="s">
        <v>191</v>
      </c>
      <c r="AR9" s="67" t="s">
        <v>192</v>
      </c>
      <c r="AS9" s="67" t="s">
        <v>193</v>
      </c>
      <c r="AT9" s="67" t="s">
        <v>194</v>
      </c>
      <c r="AU9" s="67" t="s">
        <v>195</v>
      </c>
      <c r="AV9" s="67" t="s">
        <v>196</v>
      </c>
      <c r="AW9" s="67" t="s">
        <v>197</v>
      </c>
      <c r="AX9" s="67" t="s">
        <v>198</v>
      </c>
      <c r="AY9" s="67" t="s">
        <v>199</v>
      </c>
      <c r="AZ9" s="67" t="s">
        <v>200</v>
      </c>
      <c r="BA9" s="67" t="s">
        <v>201</v>
      </c>
      <c r="BB9" s="67" t="s">
        <v>202</v>
      </c>
      <c r="BC9" s="67" t="s">
        <v>203</v>
      </c>
      <c r="BD9" s="67" t="s">
        <v>204</v>
      </c>
      <c r="BE9" s="67" t="s">
        <v>205</v>
      </c>
      <c r="BF9" s="67" t="s">
        <v>206</v>
      </c>
      <c r="BG9" s="67" t="s">
        <v>207</v>
      </c>
      <c r="BH9" s="67" t="s">
        <v>208</v>
      </c>
      <c r="BI9" s="67" t="s">
        <v>209</v>
      </c>
      <c r="BJ9" s="67" t="s">
        <v>210</v>
      </c>
      <c r="BK9" s="67" t="s">
        <v>211</v>
      </c>
      <c r="BL9" s="67" t="s">
        <v>212</v>
      </c>
      <c r="BM9" s="104">
        <v>58</v>
      </c>
      <c r="BN9" s="62"/>
    </row>
    <row r="10" spans="1:66" ht="8.25" customHeight="1">
      <c r="A10" s="107">
        <v>101</v>
      </c>
      <c r="B10" s="74" t="s">
        <v>215</v>
      </c>
      <c r="C10" s="193">
        <f>VLOOKUP(A10,'C4_Berechnung'!$A$10:I$61,3,FALSE)</f>
        <v>11157</v>
      </c>
      <c r="D10" s="193">
        <f>VLOOKUP(A10,'C4_Berechnung'!$A$10:$I$61,4,FALSE)</f>
        <v>6758</v>
      </c>
      <c r="E10" s="193">
        <f>VLOOKUP(A10,'C4_Berechnung'!$A$10:$I$61,5,FALSE)</f>
        <v>4399</v>
      </c>
      <c r="F10" s="115">
        <f>VLOOKUP(A10,'C4_Berechnung'!$A$10:$I$61,6,FALSE)</f>
        <v>23.438200233037556</v>
      </c>
      <c r="G10" s="115">
        <f>VLOOKUP(A10,'C4_Berechnung'!$A$10:$I$61,7,FALSE)</f>
        <v>27.686654118490633</v>
      </c>
      <c r="H10" s="115">
        <f>VLOOKUP(A10,'C4_Berechnung'!$A$10:$I$61,8,FALSE)</f>
        <v>23.877386394191987</v>
      </c>
      <c r="I10" s="115">
        <f>VLOOKUP(A10,'C4_Berechnung'!$A$10:$I$61,9,FALSE)</f>
        <v>24.997759254279824</v>
      </c>
      <c r="J10" s="111">
        <v>10097</v>
      </c>
      <c r="K10" s="111">
        <v>6123</v>
      </c>
      <c r="L10" s="111">
        <v>3974</v>
      </c>
      <c r="M10" s="69">
        <v>22.897890462513619</v>
      </c>
      <c r="N10" s="69">
        <v>28.335149054174508</v>
      </c>
      <c r="O10" s="69">
        <v>23.37327919183916</v>
      </c>
      <c r="P10" s="69">
        <v>25.393681291472713</v>
      </c>
      <c r="Q10" s="111">
        <v>9028</v>
      </c>
      <c r="R10" s="111">
        <v>5388</v>
      </c>
      <c r="S10" s="112">
        <v>3640</v>
      </c>
      <c r="T10" s="75">
        <f>VLOOKUP(A10,'2017_C4'!$A$5:$I$56,6,FALSE)</f>
        <v>22.441293752769162</v>
      </c>
      <c r="U10" s="75">
        <f>VLOOKUP(A10,'2017_C4'!$A$5:$I$56,7,FALSE)</f>
        <v>29.463890119627823</v>
      </c>
      <c r="V10" s="75">
        <f>VLOOKUP(A10,'2017_C4'!$A$5:$I$56,8,FALSE)</f>
        <v>22.120070890562694</v>
      </c>
      <c r="W10" s="75">
        <f>VLOOKUP(A10,'2017_C4'!$A$5:$I$56,9,FALSE)</f>
        <v>25.97474523704032</v>
      </c>
      <c r="X10" s="111">
        <v>7951</v>
      </c>
      <c r="Y10" s="111">
        <v>4671</v>
      </c>
      <c r="Z10" s="111">
        <v>3280</v>
      </c>
      <c r="AA10" s="69">
        <f>VLOOKUP(A10,'2016_bearbeitet'!$A$7:$T$308,17,FALSE)</f>
        <v>22.286504842158219</v>
      </c>
      <c r="AB10" s="69">
        <f>VLOOKUP(A10,'2016_bearbeitet'!$A$7:$T$308,18,FALSE)</f>
        <v>31.14073701421205</v>
      </c>
      <c r="AC10" s="69">
        <f>VLOOKUP(A10,'2016_bearbeitet'!$A$7:$T$308,19,FALSE)</f>
        <v>20.324487485850838</v>
      </c>
      <c r="AD10" s="69">
        <f>VLOOKUP(A10,'2016_bearbeitet'!$A$7:$T$308,20,FALSE)</f>
        <v>26.248270657778892</v>
      </c>
      <c r="AE10" s="70">
        <v>7339</v>
      </c>
      <c r="AF10" s="70">
        <v>4285</v>
      </c>
      <c r="AG10" s="70">
        <v>3054</v>
      </c>
      <c r="AH10" s="53">
        <v>22.564382068401688</v>
      </c>
      <c r="AI10" s="53">
        <v>30.467366126175229</v>
      </c>
      <c r="AJ10" s="53">
        <v>20.316119362310943</v>
      </c>
      <c r="AK10" s="71">
        <v>26.652132443112141</v>
      </c>
      <c r="AL10" s="70">
        <v>6498</v>
      </c>
      <c r="AM10" s="70">
        <v>3809</v>
      </c>
      <c r="AN10" s="70">
        <v>2689</v>
      </c>
      <c r="AO10" s="53">
        <v>22.991689750692519</v>
      </c>
      <c r="AP10" s="53">
        <v>29.809172052939363</v>
      </c>
      <c r="AQ10" s="53">
        <v>18.990458602646967</v>
      </c>
      <c r="AR10" s="53">
        <v>28.208679593721154</v>
      </c>
      <c r="AS10" s="70">
        <v>6076</v>
      </c>
      <c r="AT10" s="70">
        <v>3483</v>
      </c>
      <c r="AU10" s="70">
        <v>2593</v>
      </c>
      <c r="AV10" s="53">
        <v>19.897959183673468</v>
      </c>
      <c r="AW10" s="53">
        <v>26.645819618169845</v>
      </c>
      <c r="AX10" s="53">
        <v>16.919025674786042</v>
      </c>
      <c r="AY10" s="53">
        <v>36.537195523370642</v>
      </c>
      <c r="AZ10" s="70">
        <v>5072</v>
      </c>
      <c r="BA10" s="70">
        <v>2923</v>
      </c>
      <c r="BB10" s="70">
        <v>2149</v>
      </c>
      <c r="BC10" s="53">
        <v>16.522082018927446</v>
      </c>
      <c r="BD10" s="53">
        <v>26.419558359621455</v>
      </c>
      <c r="BE10" s="53">
        <v>20.465299684542586</v>
      </c>
      <c r="BF10" s="53">
        <v>36.593059936908517</v>
      </c>
      <c r="BG10" s="70">
        <v>4884</v>
      </c>
      <c r="BH10" s="70">
        <v>2877</v>
      </c>
      <c r="BI10" s="70">
        <v>2007</v>
      </c>
      <c r="BJ10" s="53">
        <v>16.461916461916463</v>
      </c>
      <c r="BK10" s="53">
        <v>26.801801801801801</v>
      </c>
      <c r="BL10" s="53">
        <v>21.703521703521702</v>
      </c>
      <c r="BM10" s="72">
        <v>35.032760032760038</v>
      </c>
      <c r="BN10" s="73"/>
    </row>
    <row r="11" spans="1:66" ht="8.25" customHeight="1">
      <c r="A11" s="107">
        <v>102</v>
      </c>
      <c r="B11" s="74" t="s">
        <v>216</v>
      </c>
      <c r="C11" s="193">
        <f>VLOOKUP(A11,'C4_Berechnung'!$A$10:I$61,3,FALSE)</f>
        <v>4747</v>
      </c>
      <c r="D11" s="193">
        <f>VLOOKUP(A11,'C4_Berechnung'!$A$10:$I$61,4,FALSE)</f>
        <v>3672</v>
      </c>
      <c r="E11" s="193">
        <f>VLOOKUP(A11,'C4_Berechnung'!$A$10:$I$61,5,FALSE)</f>
        <v>1075</v>
      </c>
      <c r="F11" s="115">
        <f>VLOOKUP(A11,'C4_Berechnung'!$A$10:$I$61,6,FALSE)</f>
        <v>8.5317042342532119</v>
      </c>
      <c r="G11" s="115">
        <f>VLOOKUP(A11,'C4_Berechnung'!$A$10:$I$61,7,FALSE)</f>
        <v>41.036444069938909</v>
      </c>
      <c r="H11" s="115">
        <f>VLOOKUP(A11,'C4_Berechnung'!$A$10:$I$61,8,FALSE)</f>
        <v>22.793343164103643</v>
      </c>
      <c r="I11" s="115">
        <f>VLOOKUP(A11,'C4_Berechnung'!$A$10:$I$61,9,FALSE)</f>
        <v>27.638508531704232</v>
      </c>
      <c r="J11" s="112">
        <v>4348</v>
      </c>
      <c r="K11" s="112">
        <v>3378</v>
      </c>
      <c r="L11" s="112">
        <v>970</v>
      </c>
      <c r="M11" s="75">
        <v>7.8196872125115</v>
      </c>
      <c r="N11" s="75">
        <v>41.283348666053357</v>
      </c>
      <c r="O11" s="75">
        <v>23.344066237350507</v>
      </c>
      <c r="P11" s="75">
        <v>27.552897884084636</v>
      </c>
      <c r="Q11" s="112">
        <v>3977</v>
      </c>
      <c r="R11" s="112">
        <v>3093</v>
      </c>
      <c r="S11" s="112">
        <v>884</v>
      </c>
      <c r="T11" s="75">
        <f>VLOOKUP(A11,'2017_C4'!$A$5:$I$56,6,FALSE)</f>
        <v>7.0656273573045008</v>
      </c>
      <c r="U11" s="75">
        <f>VLOOKUP(A11,'2017_C4'!$A$5:$I$56,7,FALSE)</f>
        <v>42.167462911742518</v>
      </c>
      <c r="V11" s="75">
        <f>VLOOKUP(A11,'2017_C4'!$A$5:$I$56,8,FALSE)</f>
        <v>22.353532813678655</v>
      </c>
      <c r="W11" s="75">
        <f>VLOOKUP(A11,'2017_C4'!$A$5:$I$56,9,FALSE)</f>
        <v>28.413376917274331</v>
      </c>
      <c r="X11" s="112">
        <v>3635</v>
      </c>
      <c r="Y11" s="112">
        <v>2863</v>
      </c>
      <c r="Z11" s="112">
        <v>772</v>
      </c>
      <c r="AA11" s="69">
        <f>VLOOKUP(A11,'2016_bearbeitet'!$A$7:$T$308,17,FALSE)</f>
        <v>7.0976616231086656</v>
      </c>
      <c r="AB11" s="69">
        <f>VLOOKUP(A11,'2016_bearbeitet'!$A$7:$T$308,18,FALSE)</f>
        <v>43.466299862448423</v>
      </c>
      <c r="AC11" s="69">
        <f>VLOOKUP(A11,'2016_bearbeitet'!$A$7:$T$308,19,FALSE)</f>
        <v>22.668500687757909</v>
      </c>
      <c r="AD11" s="69">
        <f>VLOOKUP(A11,'2016_bearbeitet'!$A$7:$T$308,20,FALSE)</f>
        <v>26.767537826685007</v>
      </c>
      <c r="AE11" s="76">
        <v>3420</v>
      </c>
      <c r="AF11" s="76">
        <v>2684</v>
      </c>
      <c r="AG11" s="76">
        <v>736</v>
      </c>
      <c r="AH11" s="29">
        <v>6.3742690058479532</v>
      </c>
      <c r="AI11" s="29">
        <v>43.625730994152043</v>
      </c>
      <c r="AJ11" s="29">
        <v>22.485380116959064</v>
      </c>
      <c r="AK11" s="77">
        <v>27.51461988304094</v>
      </c>
      <c r="AL11" s="76">
        <v>3197</v>
      </c>
      <c r="AM11" s="76">
        <v>2561</v>
      </c>
      <c r="AN11" s="76">
        <v>636</v>
      </c>
      <c r="AO11" s="29">
        <v>6.2558648733187363</v>
      </c>
      <c r="AP11" s="29">
        <v>42.63371911166719</v>
      </c>
      <c r="AQ11" s="29">
        <v>21.582733812949641</v>
      </c>
      <c r="AR11" s="29">
        <v>29.527682202064433</v>
      </c>
      <c r="AS11" s="76">
        <v>3135</v>
      </c>
      <c r="AT11" s="76">
        <v>2514</v>
      </c>
      <c r="AU11" s="76">
        <v>621</v>
      </c>
      <c r="AV11" s="29">
        <v>5.4226475279106863</v>
      </c>
      <c r="AW11" s="29">
        <v>38.819776714513551</v>
      </c>
      <c r="AX11" s="29">
        <v>20.797448165869216</v>
      </c>
      <c r="AY11" s="29">
        <v>34.960127591706552</v>
      </c>
      <c r="AZ11" s="76">
        <v>2783</v>
      </c>
      <c r="BA11" s="76">
        <v>2252</v>
      </c>
      <c r="BB11" s="76">
        <v>531</v>
      </c>
      <c r="BC11" s="29">
        <v>3.9525691699604746</v>
      </c>
      <c r="BD11" s="29">
        <v>43.370463528566297</v>
      </c>
      <c r="BE11" s="29">
        <v>33.668702838663314</v>
      </c>
      <c r="BF11" s="29">
        <v>19.008264462809919</v>
      </c>
      <c r="BG11" s="76">
        <v>2640</v>
      </c>
      <c r="BH11" s="76">
        <v>2180</v>
      </c>
      <c r="BI11" s="76">
        <v>460</v>
      </c>
      <c r="BJ11" s="29">
        <v>3.75</v>
      </c>
      <c r="BK11" s="29">
        <v>44.393939393939398</v>
      </c>
      <c r="BL11" s="29">
        <v>33.06818181818182</v>
      </c>
      <c r="BM11" s="78">
        <v>18.787878787878789</v>
      </c>
      <c r="BN11" s="62"/>
    </row>
    <row r="12" spans="1:66" ht="8.25" customHeight="1">
      <c r="A12" s="107">
        <v>103</v>
      </c>
      <c r="B12" s="74" t="s">
        <v>217</v>
      </c>
      <c r="C12" s="193">
        <f>VLOOKUP(A12,'C4_Berechnung'!$A$10:I$61,3,FALSE)</f>
        <v>10288</v>
      </c>
      <c r="D12" s="193">
        <f>VLOOKUP(A12,'C4_Berechnung'!$A$10:$I$61,4,FALSE)</f>
        <v>7063</v>
      </c>
      <c r="E12" s="193">
        <f>VLOOKUP(A12,'C4_Berechnung'!$A$10:$I$61,5,FALSE)</f>
        <v>3225</v>
      </c>
      <c r="F12" s="115">
        <f>VLOOKUP(A12,'C4_Berechnung'!$A$10:$I$61,6,FALSE)</f>
        <v>23.930793157076206</v>
      </c>
      <c r="G12" s="115">
        <f>VLOOKUP(A12,'C4_Berechnung'!$A$10:$I$61,7,FALSE)</f>
        <v>33.009331259720064</v>
      </c>
      <c r="H12" s="115">
        <f>VLOOKUP(A12,'C4_Berechnung'!$A$10:$I$61,8,FALSE)</f>
        <v>14.725894245723172</v>
      </c>
      <c r="I12" s="115">
        <f>VLOOKUP(A12,'C4_Berechnung'!$A$10:$I$61,9,FALSE)</f>
        <v>28.333981337480559</v>
      </c>
      <c r="J12" s="112">
        <v>9961</v>
      </c>
      <c r="K12" s="112">
        <v>6958</v>
      </c>
      <c r="L12" s="112">
        <v>3003</v>
      </c>
      <c r="M12" s="75">
        <v>21.965666097781348</v>
      </c>
      <c r="N12" s="75">
        <v>33.982531874309807</v>
      </c>
      <c r="O12" s="75">
        <v>14.165244453368137</v>
      </c>
      <c r="P12" s="75">
        <v>29.886557574540706</v>
      </c>
      <c r="Q12" s="112">
        <v>8937</v>
      </c>
      <c r="R12" s="112">
        <v>6215</v>
      </c>
      <c r="S12" s="112">
        <v>2722</v>
      </c>
      <c r="T12" s="75">
        <f>VLOOKUP(A12,'2017_C4'!$A$5:$I$56,6,FALSE)</f>
        <v>22.143896162023051</v>
      </c>
      <c r="U12" s="75">
        <f>VLOOKUP(A12,'2017_C4'!$A$5:$I$56,7,FALSE)</f>
        <v>34.250867181380777</v>
      </c>
      <c r="V12" s="75">
        <f>VLOOKUP(A12,'2017_C4'!$A$5:$I$56,8,FALSE)</f>
        <v>12.811905561150274</v>
      </c>
      <c r="W12" s="75">
        <f>VLOOKUP(A12,'2017_C4'!$A$5:$I$56,9,FALSE)</f>
        <v>30.793331095445897</v>
      </c>
      <c r="X12" s="112">
        <v>8705</v>
      </c>
      <c r="Y12" s="112">
        <v>6078</v>
      </c>
      <c r="Z12" s="112">
        <v>2627</v>
      </c>
      <c r="AA12" s="69">
        <f>VLOOKUP(A12,'2016_bearbeitet'!$A$7:$T$308,17,FALSE)</f>
        <v>22.240091901206203</v>
      </c>
      <c r="AB12" s="69">
        <f>VLOOKUP(A12,'2016_bearbeitet'!$A$7:$T$308,18,FALSE)</f>
        <v>33.658816771970137</v>
      </c>
      <c r="AC12" s="69">
        <f>VLOOKUP(A12,'2016_bearbeitet'!$A$7:$T$308,19,FALSE)</f>
        <v>12.590465249856406</v>
      </c>
      <c r="AD12" s="69">
        <f>VLOOKUP(A12,'2016_bearbeitet'!$A$7:$T$308,20,FALSE)</f>
        <v>31.510626076967256</v>
      </c>
      <c r="AE12" s="76">
        <v>8235</v>
      </c>
      <c r="AF12" s="76">
        <v>5780</v>
      </c>
      <c r="AG12" s="76">
        <v>2455</v>
      </c>
      <c r="AH12" s="29">
        <v>22.465088038858529</v>
      </c>
      <c r="AI12" s="29">
        <v>33.636915604128717</v>
      </c>
      <c r="AJ12" s="29">
        <v>11.220400728597451</v>
      </c>
      <c r="AK12" s="77">
        <v>32.677595628415304</v>
      </c>
      <c r="AL12" s="76">
        <v>7848</v>
      </c>
      <c r="AM12" s="76">
        <v>5502</v>
      </c>
      <c r="AN12" s="76">
        <v>2346</v>
      </c>
      <c r="AO12" s="29">
        <v>21.062691131498472</v>
      </c>
      <c r="AP12" s="29">
        <v>33.613659531090725</v>
      </c>
      <c r="AQ12" s="29">
        <v>11.1493374108053</v>
      </c>
      <c r="AR12" s="29">
        <v>34.174311926605498</v>
      </c>
      <c r="AS12" s="76">
        <v>7609</v>
      </c>
      <c r="AT12" s="76">
        <v>5458</v>
      </c>
      <c r="AU12" s="76">
        <v>2151</v>
      </c>
      <c r="AV12" s="29">
        <v>17.124457878827705</v>
      </c>
      <c r="AW12" s="29">
        <v>32.8164016296491</v>
      </c>
      <c r="AX12" s="29">
        <v>6.4266000788539888</v>
      </c>
      <c r="AY12" s="29">
        <v>43.632540412669201</v>
      </c>
      <c r="AZ12" s="76">
        <v>6421</v>
      </c>
      <c r="BA12" s="76">
        <v>4848</v>
      </c>
      <c r="BB12" s="76">
        <v>1573</v>
      </c>
      <c r="BC12" s="29">
        <v>12.630431396978665</v>
      </c>
      <c r="BD12" s="29">
        <v>43.933966671857966</v>
      </c>
      <c r="BE12" s="29">
        <v>12.973057156206199</v>
      </c>
      <c r="BF12" s="29">
        <v>30.462544774957173</v>
      </c>
      <c r="BG12" s="76">
        <v>5540</v>
      </c>
      <c r="BH12" s="76">
        <v>4151</v>
      </c>
      <c r="BI12" s="76">
        <v>1389</v>
      </c>
      <c r="BJ12" s="29">
        <v>12.942238267148015</v>
      </c>
      <c r="BK12" s="29">
        <v>49.422382671480143</v>
      </c>
      <c r="BL12" s="29">
        <v>14.458483754512635</v>
      </c>
      <c r="BM12" s="78">
        <v>23.176895306859215</v>
      </c>
      <c r="BN12" s="62"/>
    </row>
    <row r="13" spans="1:66" ht="8.25" customHeight="1">
      <c r="A13" s="107">
        <v>151</v>
      </c>
      <c r="B13" s="74" t="s">
        <v>94</v>
      </c>
      <c r="C13" s="193">
        <f>VLOOKUP(A13,'C4_Berechnung'!$A$10:I$61,3,FALSE)</f>
        <v>3040</v>
      </c>
      <c r="D13" s="193">
        <f>VLOOKUP(A13,'C4_Berechnung'!$A$10:$I$61,4,FALSE)</f>
        <v>2038</v>
      </c>
      <c r="E13" s="193">
        <f>VLOOKUP(A13,'C4_Berechnung'!$A$10:$I$61,5,FALSE)</f>
        <v>1002</v>
      </c>
      <c r="F13" s="115">
        <f>VLOOKUP(A13,'C4_Berechnung'!$A$10:$I$61,6,FALSE)</f>
        <v>16.710526315789473</v>
      </c>
      <c r="G13" s="115">
        <f>VLOOKUP(A13,'C4_Berechnung'!$A$10:$I$61,7,FALSE)</f>
        <v>25.986842105263158</v>
      </c>
      <c r="H13" s="115">
        <f>VLOOKUP(A13,'C4_Berechnung'!$A$10:$I$61,8,FALSE)</f>
        <v>24.638157894736842</v>
      </c>
      <c r="I13" s="115">
        <f>VLOOKUP(A13,'C4_Berechnung'!$A$10:$I$61,9,FALSE)</f>
        <v>32.664473684210527</v>
      </c>
      <c r="J13" s="112">
        <v>2689</v>
      </c>
      <c r="K13" s="112">
        <v>1771</v>
      </c>
      <c r="L13" s="112">
        <v>918</v>
      </c>
      <c r="M13" s="75">
        <v>15.396058014131647</v>
      </c>
      <c r="N13" s="75">
        <v>26.887318705838602</v>
      </c>
      <c r="O13" s="75">
        <v>25.883227965786539</v>
      </c>
      <c r="P13" s="75">
        <v>31.833395314243212</v>
      </c>
      <c r="Q13" s="112">
        <v>2431</v>
      </c>
      <c r="R13" s="112">
        <v>1612</v>
      </c>
      <c r="S13" s="112">
        <v>819</v>
      </c>
      <c r="T13" s="75">
        <f>VLOOKUP(A13,'2017_C4'!$A$5:$I$56,6,FALSE)</f>
        <v>14.644179350061703</v>
      </c>
      <c r="U13" s="75">
        <f>VLOOKUP(A13,'2017_C4'!$A$5:$I$56,7,FALSE)</f>
        <v>28.630193336075688</v>
      </c>
      <c r="V13" s="75">
        <f>VLOOKUP(A13,'2017_C4'!$A$5:$I$56,8,FALSE)</f>
        <v>24.886877828054299</v>
      </c>
      <c r="W13" s="75">
        <f>VLOOKUP(A13,'2017_C4'!$A$5:$I$56,9,FALSE)</f>
        <v>31.838749485808311</v>
      </c>
      <c r="X13" s="112">
        <v>2218</v>
      </c>
      <c r="Y13" s="112">
        <v>1464</v>
      </c>
      <c r="Z13" s="112">
        <v>754</v>
      </c>
      <c r="AA13" s="69">
        <f>VLOOKUP(A13,'2016_bearbeitet'!$A$7:$T$308,17,FALSE)</f>
        <v>15.329125338142472</v>
      </c>
      <c r="AB13" s="69">
        <f>VLOOKUP(A13,'2016_bearbeitet'!$A$7:$T$308,18,FALSE)</f>
        <v>28.67448151487827</v>
      </c>
      <c r="AC13" s="69">
        <f>VLOOKUP(A13,'2016_bearbeitet'!$A$7:$T$308,19,FALSE)</f>
        <v>25.247971145175836</v>
      </c>
      <c r="AD13" s="69">
        <f>VLOOKUP(A13,'2016_bearbeitet'!$A$7:$T$308,20,FALSE)</f>
        <v>30.748422001803426</v>
      </c>
      <c r="AE13" s="76">
        <v>2136</v>
      </c>
      <c r="AF13" s="76">
        <v>1406</v>
      </c>
      <c r="AG13" s="76">
        <v>730</v>
      </c>
      <c r="AH13" s="29">
        <v>15.870786516853933</v>
      </c>
      <c r="AI13" s="29">
        <v>27.153558052434455</v>
      </c>
      <c r="AJ13" s="29">
        <v>25.046816479400746</v>
      </c>
      <c r="AK13" s="77">
        <v>31.928838951310865</v>
      </c>
      <c r="AL13" s="76">
        <v>1933</v>
      </c>
      <c r="AM13" s="76">
        <v>1323</v>
      </c>
      <c r="AN13" s="76">
        <v>610</v>
      </c>
      <c r="AO13" s="29">
        <v>14.79565442317641</v>
      </c>
      <c r="AP13" s="29">
        <v>26.952922917744438</v>
      </c>
      <c r="AQ13" s="29">
        <v>26.435592343507501</v>
      </c>
      <c r="AR13" s="29">
        <v>31.81583031557166</v>
      </c>
      <c r="AS13" s="76">
        <v>1755</v>
      </c>
      <c r="AT13" s="76">
        <v>1205</v>
      </c>
      <c r="AU13" s="76">
        <v>550</v>
      </c>
      <c r="AV13" s="29">
        <v>12.763532763532764</v>
      </c>
      <c r="AW13" s="29">
        <v>23.646723646723647</v>
      </c>
      <c r="AX13" s="29">
        <v>26.837606837606838</v>
      </c>
      <c r="AY13" s="29">
        <v>36.752136752136749</v>
      </c>
      <c r="AZ13" s="76">
        <v>1367</v>
      </c>
      <c r="BA13" s="76">
        <v>908</v>
      </c>
      <c r="BB13" s="76">
        <v>459</v>
      </c>
      <c r="BC13" s="29">
        <v>9.9487929773226043</v>
      </c>
      <c r="BD13" s="29">
        <v>23.116313094367229</v>
      </c>
      <c r="BE13" s="29">
        <v>32.845647403072419</v>
      </c>
      <c r="BF13" s="29">
        <v>34.089246525237748</v>
      </c>
      <c r="BG13" s="76">
        <v>1266</v>
      </c>
      <c r="BH13" s="76">
        <v>848</v>
      </c>
      <c r="BI13" s="76">
        <v>418</v>
      </c>
      <c r="BJ13" s="29">
        <v>10.821484992101107</v>
      </c>
      <c r="BK13" s="29">
        <v>23.696682464454977</v>
      </c>
      <c r="BL13" s="29">
        <v>32.227488151658768</v>
      </c>
      <c r="BM13" s="78">
        <v>33.254344391785139</v>
      </c>
      <c r="BN13" s="62"/>
    </row>
    <row r="14" spans="1:66" ht="8.25" customHeight="1">
      <c r="A14" s="107">
        <v>153</v>
      </c>
      <c r="B14" s="74" t="s">
        <v>96</v>
      </c>
      <c r="C14" s="193">
        <f>VLOOKUP(A14,'C4_Berechnung'!$A$10:I$61,3,FALSE)</f>
        <v>3119</v>
      </c>
      <c r="D14" s="193">
        <f>VLOOKUP(A14,'C4_Berechnung'!$A$10:$I$61,4,FALSE)</f>
        <v>1991</v>
      </c>
      <c r="E14" s="193">
        <f>VLOOKUP(A14,'C4_Berechnung'!$A$10:$I$61,5,FALSE)</f>
        <v>1128</v>
      </c>
      <c r="F14" s="115">
        <f>VLOOKUP(A14,'C4_Berechnung'!$A$10:$I$61,6,FALSE)</f>
        <v>16.67201025969862</v>
      </c>
      <c r="G14" s="115">
        <f>VLOOKUP(A14,'C4_Berechnung'!$A$10:$I$61,7,FALSE)</f>
        <v>30.522603398525167</v>
      </c>
      <c r="H14" s="115">
        <f>VLOOKUP(A14,'C4_Berechnung'!$A$10:$I$61,8,FALSE)</f>
        <v>25.553061878807309</v>
      </c>
      <c r="I14" s="115">
        <f>VLOOKUP(A14,'C4_Berechnung'!$A$10:$I$61,9,FALSE)</f>
        <v>27.2523244629689</v>
      </c>
      <c r="J14" s="112">
        <v>2762</v>
      </c>
      <c r="K14" s="112">
        <v>1800</v>
      </c>
      <c r="L14" s="112">
        <v>962</v>
      </c>
      <c r="M14" s="75">
        <v>16.618392469225199</v>
      </c>
      <c r="N14" s="75">
        <v>31.788559015206374</v>
      </c>
      <c r="O14" s="75">
        <v>23.859522085445327</v>
      </c>
      <c r="P14" s="75">
        <v>27.733526430123099</v>
      </c>
      <c r="Q14" s="112">
        <v>2405</v>
      </c>
      <c r="R14" s="112">
        <v>1547</v>
      </c>
      <c r="S14" s="112">
        <v>858</v>
      </c>
      <c r="T14" s="75">
        <f>VLOOKUP(A14,'2017_C4'!$A$5:$I$56,6,FALSE)</f>
        <v>17.962577962577964</v>
      </c>
      <c r="U14" s="75">
        <f>VLOOKUP(A14,'2017_C4'!$A$5:$I$56,7,FALSE)</f>
        <v>30.72765072765073</v>
      </c>
      <c r="V14" s="75">
        <f>VLOOKUP(A14,'2017_C4'!$A$5:$I$56,8,FALSE)</f>
        <v>22.245322245322246</v>
      </c>
      <c r="W14" s="75">
        <f>VLOOKUP(A14,'2017_C4'!$A$5:$I$56,9,FALSE)</f>
        <v>29.064449064449065</v>
      </c>
      <c r="X14" s="112">
        <v>2132</v>
      </c>
      <c r="Y14" s="112">
        <v>1379</v>
      </c>
      <c r="Z14" s="112">
        <v>753</v>
      </c>
      <c r="AA14" s="69">
        <f>VLOOKUP(A14,'2016_bearbeitet'!$A$7:$T$308,17,FALSE)</f>
        <v>18.667917448405252</v>
      </c>
      <c r="AB14" s="69">
        <f>VLOOKUP(A14,'2016_bearbeitet'!$A$7:$T$308,18,FALSE)</f>
        <v>32.551594746716702</v>
      </c>
      <c r="AC14" s="69">
        <f>VLOOKUP(A14,'2016_bearbeitet'!$A$7:$T$308,19,FALSE)</f>
        <v>20.825515947467167</v>
      </c>
      <c r="AD14" s="69">
        <f>VLOOKUP(A14,'2016_bearbeitet'!$A$7:$T$308,20,FALSE)</f>
        <v>27.954971857410882</v>
      </c>
      <c r="AE14" s="76">
        <v>1970</v>
      </c>
      <c r="AF14" s="76">
        <v>1301</v>
      </c>
      <c r="AG14" s="76">
        <v>669</v>
      </c>
      <c r="AH14" s="29">
        <v>19.593908629441625</v>
      </c>
      <c r="AI14" s="29">
        <v>31.319796954314722</v>
      </c>
      <c r="AJ14" s="29">
        <v>18.781725888324875</v>
      </c>
      <c r="AK14" s="77">
        <v>30.304568527918779</v>
      </c>
      <c r="AL14" s="76">
        <v>1797</v>
      </c>
      <c r="AM14" s="76">
        <v>1202</v>
      </c>
      <c r="AN14" s="76">
        <v>595</v>
      </c>
      <c r="AO14" s="29">
        <v>19.810795770728991</v>
      </c>
      <c r="AP14" s="29">
        <v>31.942125765164164</v>
      </c>
      <c r="AQ14" s="29">
        <v>18.809126321647192</v>
      </c>
      <c r="AR14" s="29">
        <v>29.437952142459647</v>
      </c>
      <c r="AS14" s="76">
        <v>1674</v>
      </c>
      <c r="AT14" s="76">
        <v>1083</v>
      </c>
      <c r="AU14" s="76">
        <v>591</v>
      </c>
      <c r="AV14" s="29">
        <v>20.609318996415769</v>
      </c>
      <c r="AW14" s="29">
        <v>26.642771804062125</v>
      </c>
      <c r="AX14" s="29">
        <v>20.43010752688172</v>
      </c>
      <c r="AY14" s="29">
        <v>32.317801672640385</v>
      </c>
      <c r="AZ14" s="76">
        <v>1406</v>
      </c>
      <c r="BA14" s="76">
        <v>911</v>
      </c>
      <c r="BB14" s="76">
        <v>495</v>
      </c>
      <c r="BC14" s="29">
        <v>18.492176386913229</v>
      </c>
      <c r="BD14" s="29">
        <v>26.600284495021338</v>
      </c>
      <c r="BE14" s="29">
        <v>19.274537695590325</v>
      </c>
      <c r="BF14" s="29">
        <v>35.633001422475104</v>
      </c>
      <c r="BG14" s="76">
        <v>1324</v>
      </c>
      <c r="BH14" s="76">
        <v>868</v>
      </c>
      <c r="BI14" s="76">
        <v>456</v>
      </c>
      <c r="BJ14" s="29">
        <v>18.126888217522659</v>
      </c>
      <c r="BK14" s="29">
        <v>27.265861027190329</v>
      </c>
      <c r="BL14" s="29">
        <v>18.806646525679756</v>
      </c>
      <c r="BM14" s="78">
        <v>35.800604229607259</v>
      </c>
      <c r="BN14" s="62"/>
    </row>
    <row r="15" spans="1:66" ht="8.25" customHeight="1">
      <c r="A15" s="107">
        <v>154</v>
      </c>
      <c r="B15" s="74" t="s">
        <v>97</v>
      </c>
      <c r="C15" s="193">
        <f>VLOOKUP(A15,'C4_Berechnung'!$A$10:I$61,3,FALSE)</f>
        <v>1557</v>
      </c>
      <c r="D15" s="193">
        <f>VLOOKUP(A15,'C4_Berechnung'!$A$10:$I$61,4,FALSE)</f>
        <v>1083</v>
      </c>
      <c r="E15" s="193">
        <f>VLOOKUP(A15,'C4_Berechnung'!$A$10:$I$61,5,FALSE)</f>
        <v>474</v>
      </c>
      <c r="F15" s="115">
        <f>VLOOKUP(A15,'C4_Berechnung'!$A$10:$I$61,6,FALSE)</f>
        <v>12.780989081567116</v>
      </c>
      <c r="G15" s="115">
        <f>VLOOKUP(A15,'C4_Berechnung'!$A$10:$I$61,7,FALSE)</f>
        <v>42.260757867694281</v>
      </c>
      <c r="H15" s="115">
        <f>VLOOKUP(A15,'C4_Berechnung'!$A$10:$I$61,8,FALSE)</f>
        <v>22.414900449582529</v>
      </c>
      <c r="I15" s="115">
        <f>VLOOKUP(A15,'C4_Berechnung'!$A$10:$I$61,9,FALSE)</f>
        <v>22.543352601156069</v>
      </c>
      <c r="J15" s="112">
        <v>1431</v>
      </c>
      <c r="K15" s="112">
        <v>994</v>
      </c>
      <c r="L15" s="112">
        <v>437</v>
      </c>
      <c r="M15" s="75">
        <v>12.718378756114603</v>
      </c>
      <c r="N15" s="75">
        <v>42.348008385744237</v>
      </c>
      <c r="O15" s="75">
        <v>21.313766596785463</v>
      </c>
      <c r="P15" s="75">
        <v>23.619846261355697</v>
      </c>
      <c r="Q15" s="112">
        <v>1295</v>
      </c>
      <c r="R15" s="112">
        <v>882</v>
      </c>
      <c r="S15" s="112">
        <v>413</v>
      </c>
      <c r="T15" s="75">
        <f>VLOOKUP(A15,'2017_C4'!$A$5:$I$56,6,FALSE)</f>
        <v>14.054054054054054</v>
      </c>
      <c r="U15" s="75">
        <f>VLOOKUP(A15,'2017_C4'!$A$5:$I$56,7,FALSE)</f>
        <v>41.853281853281857</v>
      </c>
      <c r="V15" s="75">
        <f>VLOOKUP(A15,'2017_C4'!$A$5:$I$56,8,FALSE)</f>
        <v>20.231660231660232</v>
      </c>
      <c r="W15" s="75">
        <f>VLOOKUP(A15,'2017_C4'!$A$5:$I$56,9,FALSE)</f>
        <v>23.861003861003859</v>
      </c>
      <c r="X15" s="112">
        <v>862</v>
      </c>
      <c r="Y15" s="112">
        <v>509</v>
      </c>
      <c r="Z15" s="112">
        <v>353</v>
      </c>
      <c r="AA15" s="69">
        <f>VLOOKUP(A15,'2016_bearbeitet'!$A$7:$T$308,17,FALSE)</f>
        <v>15.893271461716937</v>
      </c>
      <c r="AB15" s="69">
        <f>VLOOKUP(A15,'2016_bearbeitet'!$A$7:$T$308,18,FALSE)</f>
        <v>35.150812064965194</v>
      </c>
      <c r="AC15" s="69">
        <f>VLOOKUP(A15,'2016_bearbeitet'!$A$7:$T$308,19,FALSE)</f>
        <v>24.709976798143853</v>
      </c>
      <c r="AD15" s="69">
        <f>VLOOKUP(A15,'2016_bearbeitet'!$A$7:$T$308,20,FALSE)</f>
        <v>24.245939675174014</v>
      </c>
      <c r="AE15" s="76">
        <v>712</v>
      </c>
      <c r="AF15" s="76">
        <v>399</v>
      </c>
      <c r="AG15" s="76">
        <v>313</v>
      </c>
      <c r="AH15" s="29">
        <v>14.606741573033707</v>
      </c>
      <c r="AI15" s="29">
        <v>33.567415730337082</v>
      </c>
      <c r="AJ15" s="29">
        <v>25.280898876404496</v>
      </c>
      <c r="AK15" s="77">
        <v>26.544943820224717</v>
      </c>
      <c r="AL15" s="80">
        <v>676</v>
      </c>
      <c r="AM15" s="80">
        <v>373</v>
      </c>
      <c r="AN15" s="80">
        <v>303</v>
      </c>
      <c r="AO15" s="29">
        <v>13.313609467455622</v>
      </c>
      <c r="AP15" s="29">
        <v>33.57988165680473</v>
      </c>
      <c r="AQ15" s="29">
        <v>24.260355029585799</v>
      </c>
      <c r="AR15" s="29">
        <v>28.846153846153854</v>
      </c>
      <c r="AS15" s="80">
        <v>587</v>
      </c>
      <c r="AT15" s="80">
        <v>315</v>
      </c>
      <c r="AU15" s="80">
        <v>272</v>
      </c>
      <c r="AV15" s="29">
        <v>11.41396933560477</v>
      </c>
      <c r="AW15" s="29">
        <v>29.982964224872234</v>
      </c>
      <c r="AX15" s="29">
        <v>26.575809199318567</v>
      </c>
      <c r="AY15" s="29">
        <v>32.027257240204428</v>
      </c>
      <c r="AZ15" s="80">
        <v>472</v>
      </c>
      <c r="BA15" s="80">
        <v>251</v>
      </c>
      <c r="BB15" s="80">
        <v>221</v>
      </c>
      <c r="BC15" s="81">
        <v>9.7457627118644066</v>
      </c>
      <c r="BD15" s="81">
        <v>30.932203389830509</v>
      </c>
      <c r="BE15" s="82">
        <v>33.299999999999997</v>
      </c>
      <c r="BF15" s="81">
        <v>26.022033898305089</v>
      </c>
      <c r="BG15" s="80">
        <v>418</v>
      </c>
      <c r="BH15" s="80">
        <v>230</v>
      </c>
      <c r="BI15" s="80">
        <v>188</v>
      </c>
      <c r="BJ15" s="81">
        <v>10.526315789473683</v>
      </c>
      <c r="BK15" s="81">
        <v>33.253588516746412</v>
      </c>
      <c r="BL15" s="81">
        <v>25.837320574162682</v>
      </c>
      <c r="BM15" s="78">
        <v>30.382775119617229</v>
      </c>
      <c r="BN15" s="62"/>
    </row>
    <row r="16" spans="1:66" ht="8.25" customHeight="1">
      <c r="A16" s="107">
        <v>155</v>
      </c>
      <c r="B16" s="74" t="s">
        <v>98</v>
      </c>
      <c r="C16" s="193">
        <f>VLOOKUP(A16,'C4_Berechnung'!$A$10:I$61,3,FALSE)</f>
        <v>3377</v>
      </c>
      <c r="D16" s="193">
        <f>VLOOKUP(A16,'C4_Berechnung'!$A$10:$I$61,4,FALSE)</f>
        <v>2552</v>
      </c>
      <c r="E16" s="193">
        <f>VLOOKUP(A16,'C4_Berechnung'!$A$10:$I$61,5,FALSE)</f>
        <v>825</v>
      </c>
      <c r="F16" s="115">
        <f>VLOOKUP(A16,'C4_Berechnung'!$A$10:$I$61,6,FALSE)</f>
        <v>9.6239265620373118</v>
      </c>
      <c r="G16" s="115">
        <f>VLOOKUP(A16,'C4_Berechnung'!$A$10:$I$61,7,FALSE)</f>
        <v>44.151613858454247</v>
      </c>
      <c r="H16" s="115">
        <f>VLOOKUP(A16,'C4_Berechnung'!$A$10:$I$61,8,FALSE)</f>
        <v>23.097423748889547</v>
      </c>
      <c r="I16" s="115">
        <f>VLOOKUP(A16,'C4_Berechnung'!$A$10:$I$61,9,FALSE)</f>
        <v>23.127035830618894</v>
      </c>
      <c r="J16" s="112">
        <v>3117</v>
      </c>
      <c r="K16" s="112">
        <v>2391</v>
      </c>
      <c r="L16" s="112">
        <v>726</v>
      </c>
      <c r="M16" s="75">
        <v>8.1809432146294512</v>
      </c>
      <c r="N16" s="75">
        <v>45.299967917869751</v>
      </c>
      <c r="O16" s="75">
        <v>22.48957330766763</v>
      </c>
      <c r="P16" s="75">
        <v>24.029515559833172</v>
      </c>
      <c r="Q16" s="112">
        <v>2659</v>
      </c>
      <c r="R16" s="112">
        <v>2052</v>
      </c>
      <c r="S16" s="112">
        <v>607</v>
      </c>
      <c r="T16" s="75">
        <f>VLOOKUP(A16,'2017_C4'!$A$5:$I$56,6,FALSE)</f>
        <v>8.3113952613764575</v>
      </c>
      <c r="U16" s="75">
        <f>VLOOKUP(A16,'2017_C4'!$A$5:$I$56,7,FALSE)</f>
        <v>47.273411056788269</v>
      </c>
      <c r="V16" s="75">
        <f>VLOOKUP(A16,'2017_C4'!$A$5:$I$56,8,FALSE)</f>
        <v>20.007521624670929</v>
      </c>
      <c r="W16" s="75">
        <f>VLOOKUP(A16,'2017_C4'!$A$5:$I$56,9,FALSE)</f>
        <v>24.407672057164348</v>
      </c>
      <c r="X16" s="112">
        <v>2414</v>
      </c>
      <c r="Y16" s="112">
        <v>1841</v>
      </c>
      <c r="Z16" s="112">
        <v>573</v>
      </c>
      <c r="AA16" s="69">
        <f>VLOOKUP(A16,'2016_bearbeitet'!$A$7:$T$308,17,FALSE)</f>
        <v>8.7406793703396843</v>
      </c>
      <c r="AB16" s="69">
        <f>VLOOKUP(A16,'2016_bearbeitet'!$A$7:$T$308,18,FALSE)</f>
        <v>49.088649544324767</v>
      </c>
      <c r="AC16" s="69">
        <f>VLOOKUP(A16,'2016_bearbeitet'!$A$7:$T$308,19,FALSE)</f>
        <v>16.818558409279206</v>
      </c>
      <c r="AD16" s="69">
        <f>VLOOKUP(A16,'2016_bearbeitet'!$A$7:$T$308,20,FALSE)</f>
        <v>25.352112676056336</v>
      </c>
      <c r="AE16" s="80">
        <v>2052</v>
      </c>
      <c r="AF16" s="80">
        <v>1540</v>
      </c>
      <c r="AG16" s="80">
        <v>512</v>
      </c>
      <c r="AH16" s="29">
        <v>8.9668615984405449</v>
      </c>
      <c r="AI16" s="29">
        <v>51.169590643274852</v>
      </c>
      <c r="AJ16" s="29">
        <v>16.569200779727094</v>
      </c>
      <c r="AK16" s="77">
        <v>23.294346978557506</v>
      </c>
      <c r="AL16" s="80">
        <v>1873</v>
      </c>
      <c r="AM16" s="80">
        <v>1400</v>
      </c>
      <c r="AN16" s="80">
        <v>473</v>
      </c>
      <c r="AO16" s="29">
        <v>8.3822744260544582</v>
      </c>
      <c r="AP16" s="29">
        <v>50.774159103043246</v>
      </c>
      <c r="AQ16" s="29">
        <v>17.405232247730911</v>
      </c>
      <c r="AR16" s="29">
        <v>23.438334223171388</v>
      </c>
      <c r="AS16" s="80">
        <v>1655</v>
      </c>
      <c r="AT16" s="80">
        <v>1208</v>
      </c>
      <c r="AU16" s="80">
        <v>447</v>
      </c>
      <c r="AV16" s="29">
        <v>10.453172205438065</v>
      </c>
      <c r="AW16" s="29">
        <v>44.350453172205441</v>
      </c>
      <c r="AX16" s="29">
        <v>17.039274924471297</v>
      </c>
      <c r="AY16" s="29">
        <v>28.157099697885194</v>
      </c>
      <c r="AZ16" s="80">
        <v>1102</v>
      </c>
      <c r="BA16" s="80">
        <v>681</v>
      </c>
      <c r="BB16" s="80">
        <v>421</v>
      </c>
      <c r="BC16" s="81">
        <v>10.798548094373865</v>
      </c>
      <c r="BD16" s="81">
        <v>31.760435571687839</v>
      </c>
      <c r="BE16" s="81">
        <v>24.954627949183301</v>
      </c>
      <c r="BF16" s="81">
        <v>32.486388384754996</v>
      </c>
      <c r="BG16" s="80">
        <v>1003</v>
      </c>
      <c r="BH16" s="80">
        <v>643</v>
      </c>
      <c r="BI16" s="80">
        <v>360</v>
      </c>
      <c r="BJ16" s="81">
        <v>9.5712861415752748</v>
      </c>
      <c r="BK16" s="81">
        <v>34.097706879361915</v>
      </c>
      <c r="BL16" s="81">
        <v>24.32701894317049</v>
      </c>
      <c r="BM16" s="78">
        <v>32.00398803589232</v>
      </c>
      <c r="BN16" s="62"/>
    </row>
    <row r="17" spans="1:66" ht="8.25" customHeight="1">
      <c r="A17" s="107">
        <v>157</v>
      </c>
      <c r="B17" s="74" t="s">
        <v>99</v>
      </c>
      <c r="C17" s="193">
        <f>VLOOKUP(A17,'C4_Berechnung'!$A$10:I$61,3,FALSE)</f>
        <v>3351</v>
      </c>
      <c r="D17" s="193">
        <f>VLOOKUP(A17,'C4_Berechnung'!$A$10:$I$61,4,FALSE)</f>
        <v>2439</v>
      </c>
      <c r="E17" s="193">
        <f>VLOOKUP(A17,'C4_Berechnung'!$A$10:$I$61,5,FALSE)</f>
        <v>912</v>
      </c>
      <c r="F17" s="115">
        <f>VLOOKUP(A17,'C4_Berechnung'!$A$10:$I$61,6,FALSE)</f>
        <v>6.0578931662190394</v>
      </c>
      <c r="G17" s="115">
        <f>VLOOKUP(A17,'C4_Berechnung'!$A$10:$I$61,7,FALSE)</f>
        <v>29.364368845120861</v>
      </c>
      <c r="H17" s="115">
        <f>VLOOKUP(A17,'C4_Berechnung'!$A$10:$I$61,8,FALSE)</f>
        <v>28.91674127126231</v>
      </c>
      <c r="I17" s="115">
        <f>VLOOKUP(A17,'C4_Berechnung'!$A$10:$I$61,9,FALSE)</f>
        <v>35.660996717397794</v>
      </c>
      <c r="J17" s="112">
        <v>2590</v>
      </c>
      <c r="K17" s="112">
        <v>1871</v>
      </c>
      <c r="L17" s="112">
        <v>719</v>
      </c>
      <c r="M17" s="75">
        <v>6.8725868725868722</v>
      </c>
      <c r="N17" s="75">
        <v>33.320463320463325</v>
      </c>
      <c r="O17" s="75">
        <v>30.386100386100384</v>
      </c>
      <c r="P17" s="75">
        <v>29.420849420849422</v>
      </c>
      <c r="Q17" s="112">
        <v>2202</v>
      </c>
      <c r="R17" s="112">
        <v>1601</v>
      </c>
      <c r="S17" s="112">
        <v>601</v>
      </c>
      <c r="T17" s="75">
        <f>VLOOKUP(A17,'2017_C4'!$A$5:$I$56,6,FALSE)</f>
        <v>6.4486830154405084</v>
      </c>
      <c r="U17" s="75">
        <f>VLOOKUP(A17,'2017_C4'!$A$5:$I$56,7,FALSE)</f>
        <v>34.831970935513169</v>
      </c>
      <c r="V17" s="75">
        <f>VLOOKUP(A17,'2017_C4'!$A$5:$I$56,8,FALSE)</f>
        <v>30.290644868301541</v>
      </c>
      <c r="W17" s="75">
        <f>VLOOKUP(A17,'2017_C4'!$A$5:$I$56,9,FALSE)</f>
        <v>28.428701180744774</v>
      </c>
      <c r="X17" s="112">
        <v>1899</v>
      </c>
      <c r="Y17" s="112">
        <v>1350</v>
      </c>
      <c r="Z17" s="112">
        <v>549</v>
      </c>
      <c r="AA17" s="69">
        <f>VLOOKUP(A17,'2016_bearbeitet'!$A$7:$T$308,17,FALSE)</f>
        <v>6.6877303844128484</v>
      </c>
      <c r="AB17" s="69">
        <f>VLOOKUP(A17,'2016_bearbeitet'!$A$7:$T$308,18,FALSE)</f>
        <v>36.387572406529749</v>
      </c>
      <c r="AC17" s="69">
        <f>VLOOKUP(A17,'2016_bearbeitet'!$A$7:$T$308,19,FALSE)</f>
        <v>28.225381779884152</v>
      </c>
      <c r="AD17" s="69">
        <f>VLOOKUP(A17,'2016_bearbeitet'!$A$7:$T$308,20,FALSE)</f>
        <v>28.69931542917325</v>
      </c>
      <c r="AE17" s="76">
        <v>1599</v>
      </c>
      <c r="AF17" s="76">
        <v>1112</v>
      </c>
      <c r="AG17" s="76">
        <v>487</v>
      </c>
      <c r="AH17" s="29">
        <v>6.2539086929330825</v>
      </c>
      <c r="AI17" s="29">
        <v>35.709818636647903</v>
      </c>
      <c r="AJ17" s="29">
        <v>29.393370856785488</v>
      </c>
      <c r="AK17" s="77">
        <v>28.642901813633536</v>
      </c>
      <c r="AL17" s="57">
        <v>1412</v>
      </c>
      <c r="AM17" s="57">
        <v>989</v>
      </c>
      <c r="AN17" s="57">
        <v>423</v>
      </c>
      <c r="AO17" s="29">
        <v>5.9490084985835701</v>
      </c>
      <c r="AP17" s="29">
        <v>35.623229461756374</v>
      </c>
      <c r="AQ17" s="29">
        <v>27.974504249291787</v>
      </c>
      <c r="AR17" s="29">
        <v>30.453257790368273</v>
      </c>
      <c r="AS17" s="57">
        <v>1321</v>
      </c>
      <c r="AT17" s="57">
        <v>926</v>
      </c>
      <c r="AU17" s="57">
        <v>395</v>
      </c>
      <c r="AV17" s="29">
        <v>5.5261165783497352</v>
      </c>
      <c r="AW17" s="29">
        <v>31.94549583648751</v>
      </c>
      <c r="AX17" s="29">
        <v>29.144587433762304</v>
      </c>
      <c r="AY17" s="29">
        <v>33.383800151400457</v>
      </c>
      <c r="AZ17" s="57">
        <v>1168</v>
      </c>
      <c r="BA17" s="57">
        <v>805</v>
      </c>
      <c r="BB17" s="57">
        <v>363</v>
      </c>
      <c r="BC17" s="83">
        <v>4.0239726027397262</v>
      </c>
      <c r="BD17" s="83">
        <v>27.739726027397261</v>
      </c>
      <c r="BE17" s="83">
        <v>29.280821917808218</v>
      </c>
      <c r="BF17" s="83">
        <v>38.955479452054789</v>
      </c>
      <c r="BG17" s="57">
        <v>1069</v>
      </c>
      <c r="BH17" s="57">
        <v>741</v>
      </c>
      <c r="BI17" s="57">
        <v>328</v>
      </c>
      <c r="BJ17" s="83">
        <v>3.3676333021515439</v>
      </c>
      <c r="BK17" s="83">
        <v>30.589335827876518</v>
      </c>
      <c r="BL17" s="83">
        <v>30.589335827876518</v>
      </c>
      <c r="BM17" s="78">
        <v>35.453695042095426</v>
      </c>
      <c r="BN17" s="62"/>
    </row>
    <row r="18" spans="1:66" ht="8.25" customHeight="1">
      <c r="A18" s="107">
        <v>158</v>
      </c>
      <c r="B18" s="74" t="s">
        <v>100</v>
      </c>
      <c r="C18" s="193">
        <f>VLOOKUP(A18,'C4_Berechnung'!$A$10:I$61,3,FALSE)</f>
        <v>1510</v>
      </c>
      <c r="D18" s="193">
        <f>VLOOKUP(A18,'C4_Berechnung'!$A$10:$I$61,4,FALSE)</f>
        <v>969</v>
      </c>
      <c r="E18" s="193">
        <f>VLOOKUP(A18,'C4_Berechnung'!$A$10:$I$61,5,FALSE)</f>
        <v>541</v>
      </c>
      <c r="F18" s="115">
        <f>VLOOKUP(A18,'C4_Berechnung'!$A$10:$I$61,6,FALSE)</f>
        <v>12.781456953642385</v>
      </c>
      <c r="G18" s="115">
        <f>VLOOKUP(A18,'C4_Berechnung'!$A$10:$I$61,7,FALSE)</f>
        <v>40.662251655629142</v>
      </c>
      <c r="H18" s="115">
        <f>VLOOKUP(A18,'C4_Berechnung'!$A$10:$I$61,8,FALSE)</f>
        <v>22.715231788079471</v>
      </c>
      <c r="I18" s="115">
        <f>VLOOKUP(A18,'C4_Berechnung'!$A$10:$I$61,9,FALSE)</f>
        <v>23.841059602649008</v>
      </c>
      <c r="J18" s="112">
        <v>1412</v>
      </c>
      <c r="K18" s="112">
        <v>873</v>
      </c>
      <c r="L18" s="112">
        <v>539</v>
      </c>
      <c r="M18" s="75">
        <v>12.110481586402265</v>
      </c>
      <c r="N18" s="75">
        <v>40.226628895184135</v>
      </c>
      <c r="O18" s="75">
        <v>22.592067988668553</v>
      </c>
      <c r="P18" s="75">
        <v>25.070821529745039</v>
      </c>
      <c r="Q18" s="112">
        <v>1212</v>
      </c>
      <c r="R18" s="112">
        <v>730</v>
      </c>
      <c r="S18" s="112">
        <v>482</v>
      </c>
      <c r="T18" s="75">
        <f>VLOOKUP(A18,'2017_C4'!$A$5:$I$56,6,FALSE)</f>
        <v>11.138613861386139</v>
      </c>
      <c r="U18" s="75">
        <f>VLOOKUP(A18,'2017_C4'!$A$5:$I$56,7,FALSE)</f>
        <v>40.759075907590756</v>
      </c>
      <c r="V18" s="75">
        <f>VLOOKUP(A18,'2017_C4'!$A$5:$I$56,8,FALSE)</f>
        <v>21.03960396039604</v>
      </c>
      <c r="W18" s="75">
        <f>VLOOKUP(A18,'2017_C4'!$A$5:$I$56,9,FALSE)</f>
        <v>27.062706270627064</v>
      </c>
      <c r="X18" s="112">
        <v>1041</v>
      </c>
      <c r="Y18" s="112">
        <v>635</v>
      </c>
      <c r="Z18" s="112">
        <v>406</v>
      </c>
      <c r="AA18" s="69">
        <f>VLOOKUP(A18,'2016_bearbeitet'!$A$7:$T$308,17,FALSE)</f>
        <v>10.182516810758885</v>
      </c>
      <c r="AB18" s="69">
        <f>VLOOKUP(A18,'2016_bearbeitet'!$A$7:$T$308,18,FALSE)</f>
        <v>42.459173871277613</v>
      </c>
      <c r="AC18" s="69">
        <f>VLOOKUP(A18,'2016_bearbeitet'!$A$7:$T$308,19,FALSE)</f>
        <v>19.404418828049952</v>
      </c>
      <c r="AD18" s="69">
        <f>VLOOKUP(A18,'2016_bearbeitet'!$A$7:$T$308,20,FALSE)</f>
        <v>27.953890489913547</v>
      </c>
      <c r="AE18" s="57">
        <v>885</v>
      </c>
      <c r="AF18" s="57">
        <v>529</v>
      </c>
      <c r="AG18" s="57">
        <v>356</v>
      </c>
      <c r="AH18" s="29">
        <v>10.96045197740113</v>
      </c>
      <c r="AI18" s="29">
        <v>42.93785310734463</v>
      </c>
      <c r="AJ18" s="29">
        <v>18.192090395480225</v>
      </c>
      <c r="AK18" s="77">
        <v>27.909604519774021</v>
      </c>
      <c r="AL18" s="57">
        <v>784</v>
      </c>
      <c r="AM18" s="57">
        <v>480</v>
      </c>
      <c r="AN18" s="57">
        <v>304</v>
      </c>
      <c r="AO18" s="29">
        <v>10.969387755102041</v>
      </c>
      <c r="AP18" s="29">
        <v>39.413265306122447</v>
      </c>
      <c r="AQ18" s="29">
        <v>18.494897959183675</v>
      </c>
      <c r="AR18" s="29">
        <v>31.122448979591837</v>
      </c>
      <c r="AS18" s="57">
        <v>734</v>
      </c>
      <c r="AT18" s="57">
        <v>437</v>
      </c>
      <c r="AU18" s="57">
        <v>297</v>
      </c>
      <c r="AV18" s="29">
        <v>10.899182561307901</v>
      </c>
      <c r="AW18" s="29">
        <v>35.422343324250683</v>
      </c>
      <c r="AX18" s="29">
        <v>16.757493188010901</v>
      </c>
      <c r="AY18" s="29">
        <v>36.920980926430516</v>
      </c>
      <c r="AZ18" s="57">
        <v>556</v>
      </c>
      <c r="BA18" s="57">
        <v>305</v>
      </c>
      <c r="BB18" s="57">
        <v>251</v>
      </c>
      <c r="BC18" s="83">
        <v>7.7338129496402885</v>
      </c>
      <c r="BD18" s="83">
        <v>30.39568345323741</v>
      </c>
      <c r="BE18" s="83">
        <v>20.68345323741007</v>
      </c>
      <c r="BF18" s="83">
        <v>41.187050359712224</v>
      </c>
      <c r="BG18" s="57">
        <v>541</v>
      </c>
      <c r="BH18" s="57">
        <v>313</v>
      </c>
      <c r="BI18" s="57">
        <v>228</v>
      </c>
      <c r="BJ18" s="83">
        <v>7.9482439926062849</v>
      </c>
      <c r="BK18" s="83">
        <v>28.650646950092423</v>
      </c>
      <c r="BL18" s="83">
        <v>21.256931608133087</v>
      </c>
      <c r="BM18" s="78">
        <v>42.144177449168204</v>
      </c>
      <c r="BN18" s="62"/>
    </row>
    <row r="19" spans="1:66" ht="8.25" customHeight="1">
      <c r="A19" s="107">
        <v>159</v>
      </c>
      <c r="B19" s="74" t="s">
        <v>95</v>
      </c>
      <c r="C19" s="193">
        <f>VLOOKUP(A19,'C4_Berechnung'!$A$10:I$61,3,FALSE)</f>
        <v>9450</v>
      </c>
      <c r="D19" s="193">
        <f>VLOOKUP(A19,'C4_Berechnung'!$A$10:$I$61,4,FALSE)</f>
        <v>5838</v>
      </c>
      <c r="E19" s="193">
        <f>VLOOKUP(A19,'C4_Berechnung'!$A$10:$I$61,5,FALSE)</f>
        <v>3612</v>
      </c>
      <c r="F19" s="115">
        <f>VLOOKUP(A19,'C4_Berechnung'!$A$10:$I$61,6,FALSE)</f>
        <v>28.582010582010582</v>
      </c>
      <c r="G19" s="115">
        <f>VLOOKUP(A19,'C4_Berechnung'!$A$10:$I$61,7,FALSE)</f>
        <v>28.264550264550266</v>
      </c>
      <c r="H19" s="115">
        <f>VLOOKUP(A19,'C4_Berechnung'!$A$10:$I$61,8,FALSE)</f>
        <v>24.825396825396826</v>
      </c>
      <c r="I19" s="115">
        <f>VLOOKUP(A19,'C4_Berechnung'!$A$10:$I$61,9,FALSE)</f>
        <v>18.328042328042329</v>
      </c>
      <c r="J19" s="112">
        <v>8659</v>
      </c>
      <c r="K19" s="112">
        <v>5270</v>
      </c>
      <c r="L19" s="112">
        <v>3389</v>
      </c>
      <c r="M19" s="75">
        <v>29.114216422219659</v>
      </c>
      <c r="N19" s="75">
        <v>29.322092620394962</v>
      </c>
      <c r="O19" s="75">
        <v>23.33987758401663</v>
      </c>
      <c r="P19" s="75">
        <v>18.223813373368749</v>
      </c>
      <c r="Q19" s="112">
        <v>7778</v>
      </c>
      <c r="R19" s="112">
        <v>4661</v>
      </c>
      <c r="S19" s="112">
        <v>3117</v>
      </c>
      <c r="T19" s="75">
        <f>VLOOKUP(A19,'2017_C4'!$A$5:$I$56,6,FALSE)</f>
        <v>28.992028799177167</v>
      </c>
      <c r="U19" s="75">
        <f>VLOOKUP(A19,'2017_C4'!$A$5:$I$56,7,FALSE)</f>
        <v>29.622010799691438</v>
      </c>
      <c r="V19" s="75">
        <f>VLOOKUP(A19,'2017_C4'!$A$5:$I$56,8,FALSE)</f>
        <v>23.592183080483416</v>
      </c>
      <c r="W19" s="75">
        <f>VLOOKUP(A19,'2017_C4'!$A$5:$I$56,9,FALSE)</f>
        <v>17.793777320647983</v>
      </c>
      <c r="X19" s="112">
        <v>7135</v>
      </c>
      <c r="Y19" s="112">
        <v>4274</v>
      </c>
      <c r="Z19" s="112">
        <v>2861</v>
      </c>
      <c r="AA19" s="69">
        <f>VLOOKUP(A19,'2016_bearbeitet'!$A$7:$T$308,17,FALSE)</f>
        <v>27.498248072880166</v>
      </c>
      <c r="AB19" s="69">
        <f>VLOOKUP(A19,'2016_bearbeitet'!$A$7:$T$308,18,FALSE)</f>
        <v>29.964961457603362</v>
      </c>
      <c r="AC19" s="69">
        <f>VLOOKUP(A19,'2016_bearbeitet'!$A$7:$T$308,19,FALSE)</f>
        <v>23.37771548703574</v>
      </c>
      <c r="AD19" s="69">
        <f>VLOOKUP(A19,'2016_bearbeitet'!$A$7:$T$308,20,FALSE)</f>
        <v>19.159074982480728</v>
      </c>
      <c r="AE19" s="191">
        <f>Tabelle4[[#This Row],[31]]</f>
        <v>6297</v>
      </c>
      <c r="AF19" s="191">
        <f>Tabelle4[[#This Row],[32]]</f>
        <v>3748</v>
      </c>
      <c r="AG19" s="191">
        <f>Tabelle4[[#This Row],[33]]</f>
        <v>2549</v>
      </c>
      <c r="AH19" s="79">
        <f>Tabelle4[[#This Row],[34]]</f>
        <v>27.584564078132445</v>
      </c>
      <c r="AI19" s="79">
        <f>Tabelle4[[#This Row],[35]]</f>
        <v>18.040336668254724</v>
      </c>
      <c r="AJ19" s="79">
        <f>Tabelle4[[#This Row],[36]]</f>
        <v>14.419564872161347</v>
      </c>
      <c r="AK19" s="79">
        <f>Tabelle4[[#This Row],[37]]</f>
        <v>12.10100047641734</v>
      </c>
      <c r="AL19" s="191">
        <f>Tabelle4[[#This Row],[38]]</f>
        <v>5660</v>
      </c>
      <c r="AM19" s="191">
        <f>Tabelle4[[#This Row],[39]]</f>
        <v>3317</v>
      </c>
      <c r="AN19" s="191">
        <f>Tabelle4[[#This Row],[40]]</f>
        <v>2343</v>
      </c>
      <c r="AO19" s="79">
        <f>Tabelle4[[#This Row],[41]]</f>
        <v>28.533568904593636</v>
      </c>
      <c r="AP19" s="79">
        <f>Tabelle4[[#This Row],[42]]</f>
        <v>29.522968197879855</v>
      </c>
      <c r="AQ19" s="79">
        <f>Tabelle4[[#This Row],[43]]</f>
        <v>22.402826855123674</v>
      </c>
      <c r="AR19" s="79">
        <f>Tabelle4[[#This Row],[44]]</f>
        <v>19.540636042402827</v>
      </c>
      <c r="AS19" s="191">
        <f>Tabelle4[[#This Row],[45]]</f>
        <v>5218</v>
      </c>
      <c r="AT19" s="191">
        <f>Tabelle4[[#This Row],[46]]</f>
        <v>3075</v>
      </c>
      <c r="AU19" s="191">
        <f>Tabelle4[[#This Row],[47]]</f>
        <v>2143</v>
      </c>
      <c r="AV19" s="79">
        <f>Tabelle4[[#This Row],[48]]</f>
        <v>27.098505174396319</v>
      </c>
      <c r="AW19" s="79">
        <f>Tabelle4[[#This Row],[49]]</f>
        <v>29.781525488692985</v>
      </c>
      <c r="AX19" s="79">
        <f>Tabelle4[[#This Row],[50]]</f>
        <v>22.575699501724799</v>
      </c>
      <c r="AY19" s="79">
        <f>Tabelle4[[#This Row],[51]]</f>
        <v>20.544269835185894</v>
      </c>
      <c r="AZ19" s="191">
        <f>Tabelle4[[#This Row],[52]]</f>
        <v>4656</v>
      </c>
      <c r="BA19" s="191">
        <f>Tabelle4[[#This Row],[53]]</f>
        <v>2780</v>
      </c>
      <c r="BB19" s="191">
        <f>Tabelle4[[#This Row],[54]]</f>
        <v>1876</v>
      </c>
      <c r="BC19" s="79">
        <f>Tabelle4[[#This Row],[55]]</f>
        <v>20.36082474226804</v>
      </c>
      <c r="BD19" s="79">
        <f>Tabelle4[[#This Row],[56]]</f>
        <v>26.396048109965637</v>
      </c>
      <c r="BE19" s="79">
        <f>Tabelle4[[#This Row],[57]]</f>
        <v>10.352233676975946</v>
      </c>
      <c r="BF19" s="79">
        <f>Tabelle4[[#This Row],[58]]</f>
        <v>36.404639175257728</v>
      </c>
      <c r="BG19" s="191">
        <f>Tabelle4[[#This Row],[59]]</f>
        <v>4434</v>
      </c>
      <c r="BH19" s="191">
        <f>Tabelle4[[#This Row],[60]]</f>
        <v>2611</v>
      </c>
      <c r="BI19" s="191">
        <f>Tabelle4[[#This Row],[61]]</f>
        <v>1823</v>
      </c>
      <c r="BJ19" s="79">
        <f>Tabelle4[[#This Row],[62]]</f>
        <v>20.365358592692829</v>
      </c>
      <c r="BK19" s="79">
        <f>Tabelle4[[#This Row],[63]]</f>
        <v>27.06359945872801</v>
      </c>
      <c r="BL19" s="79">
        <f>Tabelle4[[#This Row],[64]]</f>
        <v>25.146594497068108</v>
      </c>
      <c r="BM19" s="79">
        <f>Tabelle4[[#This Row],[65]]</f>
        <v>27.424447451511057</v>
      </c>
      <c r="BN19" s="62"/>
    </row>
    <row r="20" spans="1:66" s="54" customFormat="1" ht="16.5" customHeight="1">
      <c r="A20" s="108">
        <v>1</v>
      </c>
      <c r="B20" s="84" t="s">
        <v>154</v>
      </c>
      <c r="C20" s="193">
        <f>VLOOKUP(A20,'C4_Berechnung'!$A$10:I$61,3,FALSE)</f>
        <v>51596</v>
      </c>
      <c r="D20" s="193">
        <f>VLOOKUP(A20,'C4_Berechnung'!$A$10:$I$61,4,FALSE)</f>
        <v>34403</v>
      </c>
      <c r="E20" s="193">
        <f>VLOOKUP(A20,'C4_Berechnung'!$A$10:$I$61,5,FALSE)</f>
        <v>17193</v>
      </c>
      <c r="F20" s="115">
        <f>VLOOKUP(A20,'C4_Berechnung'!$A$10:$I$61,6,FALSE)</f>
        <v>19.635243042096288</v>
      </c>
      <c r="G20" s="115">
        <f>VLOOKUP(A20,'C4_Berechnung'!$A$10:$I$61,7,FALSE)</f>
        <v>32.159469726335374</v>
      </c>
      <c r="H20" s="115">
        <f>VLOOKUP(A20,'C4_Berechnung'!$A$10:$I$61,8,FALSE)</f>
        <v>22.470734165439183</v>
      </c>
      <c r="I20" s="115">
        <f>VLOOKUP(A20,'C4_Berechnung'!$A$10:$I$61,9,FALSE)</f>
        <v>25.734553066129159</v>
      </c>
      <c r="J20" s="113">
        <v>47066</v>
      </c>
      <c r="K20" s="113">
        <v>31429</v>
      </c>
      <c r="L20" s="113">
        <v>15637</v>
      </c>
      <c r="M20" s="85">
        <v>19.164577401946204</v>
      </c>
      <c r="N20" s="85">
        <v>33.208685675434495</v>
      </c>
      <c r="O20" s="85">
        <v>21.828921089533846</v>
      </c>
      <c r="P20" s="85">
        <v>25.797815833085451</v>
      </c>
      <c r="Q20" s="113">
        <v>41924</v>
      </c>
      <c r="R20" s="113">
        <v>27781</v>
      </c>
      <c r="S20" s="113">
        <v>14143</v>
      </c>
      <c r="T20" s="85">
        <f>VLOOKUP(A20,'2017_C4'!$A$5:$I$56,6,FALSE)</f>
        <v>19.103616067169163</v>
      </c>
      <c r="U20" s="85">
        <f>VLOOKUP(A20,'2017_C4'!$A$5:$I$56,7,FALSE)</f>
        <v>33.863658047896195</v>
      </c>
      <c r="V20" s="85">
        <f>VLOOKUP(A20,'2017_C4'!$A$5:$I$56,8,FALSE)</f>
        <v>20.804312565594884</v>
      </c>
      <c r="W20" s="85">
        <f>VLOOKUP(A20,'2017_C4'!$A$5:$I$56,9,FALSE)</f>
        <v>26.228413319339754</v>
      </c>
      <c r="X20" s="113">
        <v>37992</v>
      </c>
      <c r="Y20" s="113">
        <v>25064</v>
      </c>
      <c r="Z20" s="113">
        <v>12928</v>
      </c>
      <c r="AA20" s="69">
        <f>VLOOKUP(A20,'2016_bearbeitet'!$A$7:$T$308,17,FALSE)</f>
        <v>19.075068435460096</v>
      </c>
      <c r="AB20" s="69">
        <f>VLOOKUP(A20,'2016_bearbeitet'!$A$7:$T$308,18,FALSE)</f>
        <v>34.415140029479893</v>
      </c>
      <c r="AC20" s="69">
        <f>VLOOKUP(A20,'2016_bearbeitet'!$A$7:$T$308,19,FALSE)</f>
        <v>19.912086755106337</v>
      </c>
      <c r="AD20" s="69">
        <f>VLOOKUP(A20,'2016_bearbeitet'!$A$7:$T$308,20,FALSE)</f>
        <v>26.597704779953673</v>
      </c>
      <c r="AE20" s="86">
        <v>34645</v>
      </c>
      <c r="AF20" s="86">
        <v>22784</v>
      </c>
      <c r="AG20" s="86">
        <v>11861</v>
      </c>
      <c r="AH20" s="87">
        <v>19.255303795641499</v>
      </c>
      <c r="AI20" s="87">
        <v>34.15500072160485</v>
      </c>
      <c r="AJ20" s="87">
        <v>19.445807475826239</v>
      </c>
      <c r="AK20" s="105">
        <v>27.143888006927408</v>
      </c>
      <c r="AL20" s="86">
        <v>31675</v>
      </c>
      <c r="AM20" s="86">
        <v>20955</v>
      </c>
      <c r="AN20" s="86">
        <v>10720</v>
      </c>
      <c r="AO20" s="87">
        <v>19.005524861878452</v>
      </c>
      <c r="AP20" s="87">
        <v>33.764798737174431</v>
      </c>
      <c r="AQ20" s="87">
        <v>18.771902131018152</v>
      </c>
      <c r="AR20" s="87">
        <v>28.457774269928965</v>
      </c>
      <c r="AS20" s="86">
        <v>29844</v>
      </c>
      <c r="AT20" s="86">
        <v>19733</v>
      </c>
      <c r="AU20" s="86">
        <v>10111</v>
      </c>
      <c r="AV20" s="87">
        <v>16.743734083902961</v>
      </c>
      <c r="AW20" s="87">
        <v>30.907385069025601</v>
      </c>
      <c r="AX20" s="87">
        <v>16.968234821069561</v>
      </c>
      <c r="AY20" s="87">
        <v>35.380646026001884</v>
      </c>
      <c r="AZ20" s="86">
        <v>25113</v>
      </c>
      <c r="BA20" s="86">
        <v>16687</v>
      </c>
      <c r="BB20" s="86">
        <v>8426</v>
      </c>
      <c r="BC20" s="88">
        <v>13.725958666825946</v>
      </c>
      <c r="BD20" s="88">
        <v>33.030701230438417</v>
      </c>
      <c r="BE20" s="88">
        <v>21.932863457173575</v>
      </c>
      <c r="BF20" s="88">
        <v>31.310476645562069</v>
      </c>
      <c r="BG20" s="86">
        <v>23119</v>
      </c>
      <c r="BH20" s="86">
        <v>15462</v>
      </c>
      <c r="BI20" s="86">
        <v>7657</v>
      </c>
      <c r="BJ20" s="88">
        <v>13.491067952766123</v>
      </c>
      <c r="BK20" s="88">
        <v>34.789567022795104</v>
      </c>
      <c r="BL20" s="88">
        <v>22.924866992516975</v>
      </c>
      <c r="BM20" s="89">
        <v>28.794498031921805</v>
      </c>
      <c r="BN20" s="106"/>
    </row>
    <row r="21" spans="1:66" ht="8.25" customHeight="1">
      <c r="A21" s="107">
        <v>241</v>
      </c>
      <c r="B21" s="74" t="s">
        <v>137</v>
      </c>
      <c r="C21" s="193">
        <f>VLOOKUP(A21,'C4_Berechnung'!$A$10:I$61,3,FALSE)</f>
        <v>60737</v>
      </c>
      <c r="D21" s="193">
        <f>VLOOKUP(A21,'C4_Berechnung'!$A$10:$I$61,4,FALSE)</f>
        <v>38040</v>
      </c>
      <c r="E21" s="193">
        <f>VLOOKUP(A21,'C4_Berechnung'!$A$10:$I$61,5,FALSE)</f>
        <v>22697</v>
      </c>
      <c r="F21" s="115">
        <f>VLOOKUP(A21,'C4_Berechnung'!$A$10:$I$61,6,FALSE)</f>
        <v>13.260450796055123</v>
      </c>
      <c r="G21" s="115">
        <f>VLOOKUP(A21,'C4_Berechnung'!$A$10:$I$61,7,FALSE)</f>
        <v>32.5057213889392</v>
      </c>
      <c r="H21" s="115">
        <f>VLOOKUP(A21,'C4_Berechnung'!$A$10:$I$61,8,FALSE)</f>
        <v>27.582857236939592</v>
      </c>
      <c r="I21" s="115">
        <f>VLOOKUP(A21,'C4_Berechnung'!$A$10:$I$61,9,FALSE)</f>
        <v>26.650970578066087</v>
      </c>
      <c r="J21" s="112">
        <v>56204</v>
      </c>
      <c r="K21" s="112">
        <v>35024</v>
      </c>
      <c r="L21" s="112">
        <v>21180</v>
      </c>
      <c r="M21" s="75">
        <v>12.773112234004696</v>
      </c>
      <c r="N21" s="75">
        <v>32.485232367803</v>
      </c>
      <c r="O21" s="75">
        <v>26.638673404028186</v>
      </c>
      <c r="P21" s="75">
        <v>28.102981994164118</v>
      </c>
      <c r="Q21" s="112">
        <v>51403</v>
      </c>
      <c r="R21" s="112">
        <v>31628</v>
      </c>
      <c r="S21" s="112">
        <v>19775</v>
      </c>
      <c r="T21" s="75">
        <f>VLOOKUP(A21,'2017_C4'!$A$5:$I$56,6,FALSE)</f>
        <v>12.528451646791044</v>
      </c>
      <c r="U21" s="75">
        <f>VLOOKUP(A21,'2017_C4'!$A$5:$I$56,7,FALSE)</f>
        <v>33.013637336342242</v>
      </c>
      <c r="V21" s="75">
        <f>VLOOKUP(A21,'2017_C4'!$A$5:$I$56,8,FALSE)</f>
        <v>25.51991128922436</v>
      </c>
      <c r="W21" s="75">
        <f>VLOOKUP(A21,'2017_C4'!$A$5:$I$56,9,FALSE)</f>
        <v>28.937999727642357</v>
      </c>
      <c r="X21" s="112">
        <v>47129</v>
      </c>
      <c r="Y21" s="112">
        <v>28379</v>
      </c>
      <c r="Z21" s="112">
        <v>18750</v>
      </c>
      <c r="AA21" s="69">
        <f>VLOOKUP(A21,'2016_bearbeitet'!$A$7:$T$308,17,FALSE)</f>
        <v>12.376668293407455</v>
      </c>
      <c r="AB21" s="69">
        <f>VLOOKUP(A21,'2016_bearbeitet'!$A$7:$T$308,18,FALSE)</f>
        <v>33.274629209191794</v>
      </c>
      <c r="AC21" s="69">
        <f>VLOOKUP(A21,'2016_bearbeitet'!$A$7:$T$308,19,FALSE)</f>
        <v>25.226505972967811</v>
      </c>
      <c r="AD21" s="69">
        <f>VLOOKUP(A21,'2016_bearbeitet'!$A$7:$T$308,20,FALSE)</f>
        <v>29.12219652443294</v>
      </c>
      <c r="AE21" s="57">
        <v>42697</v>
      </c>
      <c r="AF21" s="57">
        <v>25611</v>
      </c>
      <c r="AG21" s="57">
        <v>17086</v>
      </c>
      <c r="AH21" s="29">
        <v>11.768976743096704</v>
      </c>
      <c r="AI21" s="29">
        <v>33.599550319694593</v>
      </c>
      <c r="AJ21" s="29">
        <v>24.683233014029089</v>
      </c>
      <c r="AK21" s="77">
        <v>29.948239923179617</v>
      </c>
      <c r="AL21" s="57">
        <v>38784</v>
      </c>
      <c r="AM21" s="57">
        <v>23178</v>
      </c>
      <c r="AN21" s="57">
        <v>15606</v>
      </c>
      <c r="AO21" s="29">
        <v>11.636241749174918</v>
      </c>
      <c r="AP21" s="29">
        <v>33.369430693069305</v>
      </c>
      <c r="AQ21" s="29">
        <v>24.100144389438942</v>
      </c>
      <c r="AR21" s="29">
        <v>30.89418316831684</v>
      </c>
      <c r="AS21" s="57">
        <v>36262</v>
      </c>
      <c r="AT21" s="57">
        <v>21449</v>
      </c>
      <c r="AU21" s="57">
        <v>14813</v>
      </c>
      <c r="AV21" s="29">
        <v>9.6961006011802997</v>
      </c>
      <c r="AW21" s="29">
        <v>29.253764271137829</v>
      </c>
      <c r="AX21" s="29">
        <v>21.071645248469473</v>
      </c>
      <c r="AY21" s="29">
        <v>39.978489879212397</v>
      </c>
      <c r="AZ21" s="57">
        <v>31033</v>
      </c>
      <c r="BA21" s="57">
        <v>18295</v>
      </c>
      <c r="BB21" s="57">
        <v>12738</v>
      </c>
      <c r="BC21" s="83">
        <v>8.139722231173268</v>
      </c>
      <c r="BD21" s="83">
        <v>28.949827602874361</v>
      </c>
      <c r="BE21" s="83">
        <v>22.356845938194823</v>
      </c>
      <c r="BF21" s="83">
        <v>40.553604227757546</v>
      </c>
      <c r="BG21" s="57">
        <v>29580</v>
      </c>
      <c r="BH21" s="57">
        <v>17491</v>
      </c>
      <c r="BI21" s="57">
        <v>12089</v>
      </c>
      <c r="BJ21" s="83">
        <v>7.873563218390804</v>
      </c>
      <c r="BK21" s="83">
        <v>29.486139283299529</v>
      </c>
      <c r="BL21" s="83">
        <v>22.809330628803245</v>
      </c>
      <c r="BM21" s="78">
        <v>39.830966869506412</v>
      </c>
      <c r="BN21" s="62"/>
    </row>
    <row r="22" spans="1:66" ht="8.25" customHeight="1">
      <c r="A22" s="107">
        <v>241001</v>
      </c>
      <c r="B22" s="74" t="s">
        <v>218</v>
      </c>
      <c r="C22" s="193">
        <f>VLOOKUP(A22,'C4_Berechnung'!$A$10:I$61,3,FALSE)</f>
        <v>38360</v>
      </c>
      <c r="D22" s="193">
        <f>VLOOKUP(A22,'C4_Berechnung'!$A$10:$I$61,4,FALSE)</f>
        <v>23217</v>
      </c>
      <c r="E22" s="193">
        <f>VLOOKUP(A22,'C4_Berechnung'!$A$10:$I$61,5,FALSE)</f>
        <v>15143</v>
      </c>
      <c r="F22" s="115">
        <f>VLOOKUP(A22,'C4_Berechnung'!$A$10:$I$61,6,FALSE)</f>
        <v>16.441605839416059</v>
      </c>
      <c r="G22" s="115">
        <f>VLOOKUP(A22,'C4_Berechnung'!$A$10:$I$61,7,FALSE)</f>
        <v>31.850886339937436</v>
      </c>
      <c r="H22" s="115">
        <f>VLOOKUP(A22,'C4_Berechnung'!$A$10:$I$61,8,FALSE)</f>
        <v>26.736183524504693</v>
      </c>
      <c r="I22" s="115">
        <f>VLOOKUP(A22,'C4_Berechnung'!$A$10:$I$61,9,FALSE)</f>
        <v>24.971324296141812</v>
      </c>
      <c r="J22" s="112">
        <v>35942</v>
      </c>
      <c r="K22" s="112">
        <v>21620</v>
      </c>
      <c r="L22" s="112">
        <v>14322</v>
      </c>
      <c r="M22" s="75">
        <v>15.644649713427189</v>
      </c>
      <c r="N22" s="75">
        <v>32.073896833787771</v>
      </c>
      <c r="O22" s="75">
        <v>25.699738467531024</v>
      </c>
      <c r="P22" s="75">
        <v>26.581714985254017</v>
      </c>
      <c r="Q22" s="112">
        <v>33601</v>
      </c>
      <c r="R22" s="112">
        <v>20038</v>
      </c>
      <c r="S22" s="112">
        <v>13563</v>
      </c>
      <c r="T22" s="75">
        <f>VLOOKUP(A22,'2017_C4'!$A$5:$I$56,6,FALSE)</f>
        <v>15.213832921639236</v>
      </c>
      <c r="U22" s="75">
        <f>VLOOKUP(A22,'2017_C4'!$A$5:$I$56,7,FALSE)</f>
        <v>32.046665277819116</v>
      </c>
      <c r="V22" s="75">
        <f>VLOOKUP(A22,'2017_C4'!$A$5:$I$56,8,FALSE)</f>
        <v>24.886164102258864</v>
      </c>
      <c r="W22" s="75">
        <f>VLOOKUP(A22,'2017_C4'!$A$5:$I$56,9,FALSE)</f>
        <v>27.853337698282786</v>
      </c>
      <c r="X22" s="112">
        <v>31290</v>
      </c>
      <c r="Y22" s="112">
        <v>18178</v>
      </c>
      <c r="Z22" s="112">
        <v>13112</v>
      </c>
      <c r="AA22" s="69">
        <f>VLOOKUP(A22,'2016_bearbeitet'!$A$7:$T$308,17,FALSE)</f>
        <v>14.988814317673377</v>
      </c>
      <c r="AB22" s="69">
        <f>VLOOKUP(A22,'2016_bearbeitet'!$A$7:$T$308,18,FALSE)</f>
        <v>32.336209651645895</v>
      </c>
      <c r="AC22" s="69">
        <f>VLOOKUP(A22,'2016_bearbeitet'!$A$7:$T$308,19,FALSE)</f>
        <v>24.749121124960052</v>
      </c>
      <c r="AD22" s="69">
        <f>VLOOKUP(A22,'2016_bearbeitet'!$A$7:$T$308,20,FALSE)</f>
        <v>27.925854905720676</v>
      </c>
      <c r="AE22" s="57">
        <v>28583</v>
      </c>
      <c r="AF22" s="57">
        <v>16567</v>
      </c>
      <c r="AG22" s="57">
        <v>12016</v>
      </c>
      <c r="AH22" s="29">
        <v>14.298709022845749</v>
      </c>
      <c r="AI22" s="29">
        <v>32.613791414477141</v>
      </c>
      <c r="AJ22" s="29">
        <v>24.248679284889622</v>
      </c>
      <c r="AK22" s="77">
        <v>28.838820277787491</v>
      </c>
      <c r="AL22" s="57">
        <v>25406</v>
      </c>
      <c r="AM22" s="57">
        <v>14610</v>
      </c>
      <c r="AN22" s="57">
        <v>10796</v>
      </c>
      <c r="AO22" s="29">
        <v>14.532000314886249</v>
      </c>
      <c r="AP22" s="29">
        <v>33.043375580571521</v>
      </c>
      <c r="AQ22" s="29">
        <v>23.60072423836889</v>
      </c>
      <c r="AR22" s="29">
        <v>28.823899866173349</v>
      </c>
      <c r="AS22" s="57">
        <v>23903</v>
      </c>
      <c r="AT22" s="57">
        <v>13643</v>
      </c>
      <c r="AU22" s="57">
        <v>10260</v>
      </c>
      <c r="AV22" s="29">
        <v>12.282977032171694</v>
      </c>
      <c r="AW22" s="29">
        <v>29.017278165920597</v>
      </c>
      <c r="AX22" s="29">
        <v>21.147973057775175</v>
      </c>
      <c r="AY22" s="29">
        <v>37.55177174413253</v>
      </c>
      <c r="AZ22" s="57">
        <v>20895</v>
      </c>
      <c r="BA22" s="57">
        <v>11991</v>
      </c>
      <c r="BB22" s="57">
        <v>8904</v>
      </c>
      <c r="BC22" s="83">
        <v>10.284757118927972</v>
      </c>
      <c r="BD22" s="83">
        <v>30.437903804737974</v>
      </c>
      <c r="BE22" s="83">
        <v>23.129935391241922</v>
      </c>
      <c r="BF22" s="83">
        <v>36.147403685092129</v>
      </c>
      <c r="BG22" s="57">
        <v>20029</v>
      </c>
      <c r="BH22" s="57">
        <v>11533</v>
      </c>
      <c r="BI22" s="57">
        <v>8496</v>
      </c>
      <c r="BJ22" s="83">
        <v>10.000499276049728</v>
      </c>
      <c r="BK22" s="83">
        <v>31.149832742523344</v>
      </c>
      <c r="BL22" s="83">
        <v>23.106495581406961</v>
      </c>
      <c r="BM22" s="78">
        <v>35.743172400019965</v>
      </c>
      <c r="BN22" s="62"/>
    </row>
    <row r="23" spans="1:66" ht="8.25" customHeight="1">
      <c r="A23" s="107">
        <v>241999</v>
      </c>
      <c r="B23" s="74" t="s">
        <v>219</v>
      </c>
      <c r="C23" s="193">
        <f>VLOOKUP(A23,'C4_Berechnung'!$A$10:I$61,3,FALSE)</f>
        <v>22377</v>
      </c>
      <c r="D23" s="193">
        <f>VLOOKUP(A23,'C4_Berechnung'!$A$10:$I$61,4,FALSE)</f>
        <v>14823</v>
      </c>
      <c r="E23" s="193">
        <f>VLOOKUP(A23,'C4_Berechnung'!$A$10:$I$61,5,FALSE)</f>
        <v>7554</v>
      </c>
      <c r="F23" s="115">
        <f>VLOOKUP(A23,'C4_Berechnung'!$A$10:$I$61,6,FALSE)</f>
        <v>7.8071233856191622</v>
      </c>
      <c r="G23" s="115">
        <f>VLOOKUP(A23,'C4_Berechnung'!$A$10:$I$61,7,FALSE)</f>
        <v>33.628279036510705</v>
      </c>
      <c r="H23" s="115">
        <f>VLOOKUP(A23,'C4_Berechnung'!$A$10:$I$61,8,FALSE)</f>
        <v>29.034276265808646</v>
      </c>
      <c r="I23" s="115">
        <f>VLOOKUP(A23,'C4_Berechnung'!$A$10:$I$61,9,FALSE)</f>
        <v>29.530321312061492</v>
      </c>
      <c r="J23" s="112">
        <v>20262</v>
      </c>
      <c r="K23" s="112">
        <v>13404</v>
      </c>
      <c r="L23" s="112">
        <v>6858</v>
      </c>
      <c r="M23" s="75">
        <v>7.6793998618102846</v>
      </c>
      <c r="N23" s="75">
        <v>33.214885006415948</v>
      </c>
      <c r="O23" s="75">
        <v>28.304214786299475</v>
      </c>
      <c r="P23" s="75">
        <v>30.801500345474288</v>
      </c>
      <c r="Q23" s="112">
        <v>17802</v>
      </c>
      <c r="R23" s="112">
        <v>11590</v>
      </c>
      <c r="S23" s="112">
        <v>6212</v>
      </c>
      <c r="T23" s="75">
        <f>VLOOKUP(A23,'2017_C4'!$A$5:$I$56,6,FALSE)</f>
        <v>7.4598359734861255</v>
      </c>
      <c r="U23" s="75">
        <f>VLOOKUP(A23,'2017_C4'!$A$5:$I$56,7,FALSE)</f>
        <v>34.838782159307939</v>
      </c>
      <c r="V23" s="75">
        <f>VLOOKUP(A23,'2017_C4'!$A$5:$I$56,8,FALSE)</f>
        <v>26.716099314683746</v>
      </c>
      <c r="W23" s="75">
        <f>VLOOKUP(A23,'2017_C4'!$A$5:$I$56,9,FALSE)</f>
        <v>30.985282552522186</v>
      </c>
      <c r="X23" s="112">
        <v>15839</v>
      </c>
      <c r="Y23" s="112">
        <v>10201</v>
      </c>
      <c r="Z23" s="112">
        <v>5638</v>
      </c>
      <c r="AA23" s="69">
        <f>VLOOKUP(A23,'2016_bearbeitet'!$A$7:$T$308,17,FALSE)</f>
        <v>7.216364669486711</v>
      </c>
      <c r="AB23" s="69">
        <f>VLOOKUP(A23,'2016_bearbeitet'!$A$7:$T$308,18,FALSE)</f>
        <v>35.128480333354375</v>
      </c>
      <c r="AC23" s="69">
        <f>VLOOKUP(A23,'2016_bearbeitet'!$A$7:$T$308,19,FALSE)</f>
        <v>26.16958141296799</v>
      </c>
      <c r="AD23" s="69">
        <f>VLOOKUP(A23,'2016_bearbeitet'!$A$7:$T$308,20,FALSE)</f>
        <v>31.485573584190924</v>
      </c>
      <c r="AE23" s="57">
        <v>14114</v>
      </c>
      <c r="AF23" s="57">
        <v>9044</v>
      </c>
      <c r="AG23" s="57">
        <v>5070</v>
      </c>
      <c r="AH23" s="29">
        <v>6.6458835199093098</v>
      </c>
      <c r="AI23" s="29">
        <v>35.595862264418308</v>
      </c>
      <c r="AJ23" s="29">
        <v>25.563270511548819</v>
      </c>
      <c r="AK23" s="77">
        <v>32.194983704123558</v>
      </c>
      <c r="AL23" s="57">
        <v>13378</v>
      </c>
      <c r="AM23" s="57">
        <v>8568</v>
      </c>
      <c r="AN23" s="57">
        <v>4810</v>
      </c>
      <c r="AO23" s="29">
        <v>6.1369412468231426</v>
      </c>
      <c r="AP23" s="29">
        <v>33.988638062490658</v>
      </c>
      <c r="AQ23" s="29">
        <v>25.04858723277022</v>
      </c>
      <c r="AR23" s="29">
        <v>34.825833457915984</v>
      </c>
      <c r="AS23" s="57">
        <v>12359</v>
      </c>
      <c r="AT23" s="57">
        <v>7806</v>
      </c>
      <c r="AU23" s="57">
        <v>4553</v>
      </c>
      <c r="AV23" s="29">
        <v>4.692936321708876</v>
      </c>
      <c r="AW23" s="29">
        <v>29.711141678129298</v>
      </c>
      <c r="AX23" s="29">
        <v>20.924022979205436</v>
      </c>
      <c r="AY23" s="29">
        <v>44.671899020956396</v>
      </c>
      <c r="AZ23" s="57"/>
      <c r="BA23" s="57"/>
      <c r="BB23" s="57"/>
      <c r="BC23" s="83">
        <v>3.7186821858354699</v>
      </c>
      <c r="BD23" s="83">
        <v>25.882817123693037</v>
      </c>
      <c r="BE23" s="83">
        <v>20.763464194121127</v>
      </c>
      <c r="BF23" s="83">
        <v>49.635036496350367</v>
      </c>
      <c r="BG23" s="57">
        <v>9551</v>
      </c>
      <c r="BH23" s="57">
        <v>5958</v>
      </c>
      <c r="BI23" s="57">
        <v>3593</v>
      </c>
      <c r="BJ23" s="83">
        <v>3.4132551565281126</v>
      </c>
      <c r="BK23" s="83">
        <v>25.997277771961052</v>
      </c>
      <c r="BL23" s="83">
        <v>22.18615851743273</v>
      </c>
      <c r="BM23" s="78">
        <v>48.403308554078109</v>
      </c>
      <c r="BN23" s="62"/>
    </row>
    <row r="24" spans="1:66" ht="8.25" customHeight="1">
      <c r="A24" s="107">
        <v>251</v>
      </c>
      <c r="B24" s="74" t="s">
        <v>101</v>
      </c>
      <c r="C24" s="193">
        <f>VLOOKUP(A24,'C4_Berechnung'!$A$10:I$61,3,FALSE)</f>
        <v>6222</v>
      </c>
      <c r="D24" s="193">
        <f>VLOOKUP(A24,'C4_Berechnung'!$A$10:$I$61,4,FALSE)</f>
        <v>4331</v>
      </c>
      <c r="E24" s="193">
        <f>VLOOKUP(A24,'C4_Berechnung'!$A$10:$I$61,5,FALSE)</f>
        <v>1891</v>
      </c>
      <c r="F24" s="115">
        <f>VLOOKUP(A24,'C4_Berechnung'!$A$10:$I$61,6,FALSE)</f>
        <v>7.0395371263259401</v>
      </c>
      <c r="G24" s="115">
        <f>VLOOKUP(A24,'C4_Berechnung'!$A$10:$I$61,7,FALSE)</f>
        <v>31.870781099324976</v>
      </c>
      <c r="H24" s="115">
        <f>VLOOKUP(A24,'C4_Berechnung'!$A$10:$I$61,8,FALSE)</f>
        <v>25.281260045001606</v>
      </c>
      <c r="I24" s="115">
        <f>VLOOKUP(A24,'C4_Berechnung'!$A$10:$I$61,9,FALSE)</f>
        <v>35.808421729347479</v>
      </c>
      <c r="J24" s="112">
        <v>5644</v>
      </c>
      <c r="K24" s="112">
        <v>3930</v>
      </c>
      <c r="L24" s="112">
        <v>1714</v>
      </c>
      <c r="M24" s="75">
        <v>6.785967399007796</v>
      </c>
      <c r="N24" s="75">
        <v>32.246633593196314</v>
      </c>
      <c r="O24" s="75">
        <v>23.493975903614459</v>
      </c>
      <c r="P24" s="75">
        <v>37.473423104181428</v>
      </c>
      <c r="Q24" s="112">
        <v>4811</v>
      </c>
      <c r="R24" s="112">
        <v>3330</v>
      </c>
      <c r="S24" s="112">
        <v>1481</v>
      </c>
      <c r="T24" s="75">
        <f>VLOOKUP(A24,'2017_C4'!$A$5:$I$56,6,FALSE)</f>
        <v>7.690708792350863</v>
      </c>
      <c r="U24" s="75">
        <f>VLOOKUP(A24,'2017_C4'!$A$5:$I$56,7,FALSE)</f>
        <v>33.257119102057786</v>
      </c>
      <c r="V24" s="75">
        <f>VLOOKUP(A24,'2017_C4'!$A$5:$I$56,8,FALSE)</f>
        <v>21.575556017459988</v>
      </c>
      <c r="W24" s="75">
        <f>VLOOKUP(A24,'2017_C4'!$A$5:$I$56,9,FALSE)</f>
        <v>37.476616088131365</v>
      </c>
      <c r="X24" s="112">
        <v>4067</v>
      </c>
      <c r="Y24" s="112">
        <v>2806</v>
      </c>
      <c r="Z24" s="112">
        <v>1261</v>
      </c>
      <c r="AA24" s="69">
        <f>VLOOKUP(A24,'2016_bearbeitet'!$A$7:$T$308,17,FALSE)</f>
        <v>7.9419719695106954</v>
      </c>
      <c r="AB24" s="69">
        <f>VLOOKUP(A24,'2016_bearbeitet'!$A$7:$T$308,18,FALSE)</f>
        <v>32.579296778952546</v>
      </c>
      <c r="AC24" s="69">
        <f>VLOOKUP(A24,'2016_bearbeitet'!$A$7:$T$308,19,FALSE)</f>
        <v>20.088517334644703</v>
      </c>
      <c r="AD24" s="69">
        <f>VLOOKUP(A24,'2016_bearbeitet'!$A$7:$T$308,20,FALSE)</f>
        <v>39.390213916892058</v>
      </c>
      <c r="AE24" s="57">
        <v>3781</v>
      </c>
      <c r="AF24" s="57">
        <v>2662</v>
      </c>
      <c r="AG24" s="57">
        <v>1119</v>
      </c>
      <c r="AH24" s="29">
        <v>7.8550647976725729</v>
      </c>
      <c r="AI24" s="29">
        <v>32.002115842369747</v>
      </c>
      <c r="AJ24" s="29">
        <v>23.618090452261306</v>
      </c>
      <c r="AK24" s="77">
        <v>36.524728907696378</v>
      </c>
      <c r="AL24" s="57">
        <v>3017</v>
      </c>
      <c r="AM24" s="57">
        <v>2084</v>
      </c>
      <c r="AN24" s="57">
        <v>933</v>
      </c>
      <c r="AO24" s="29">
        <v>8.3526682134570756</v>
      </c>
      <c r="AP24" s="29">
        <v>31.554524361948953</v>
      </c>
      <c r="AQ24" s="29">
        <v>20.914816042426253</v>
      </c>
      <c r="AR24" s="29">
        <v>39.177991382167718</v>
      </c>
      <c r="AS24" s="57">
        <v>2539</v>
      </c>
      <c r="AT24" s="57">
        <v>1679</v>
      </c>
      <c r="AU24" s="57">
        <v>860</v>
      </c>
      <c r="AV24" s="29">
        <v>8.1922016541945641</v>
      </c>
      <c r="AW24" s="29">
        <v>27.097282394643564</v>
      </c>
      <c r="AX24" s="29">
        <v>18.314296967309964</v>
      </c>
      <c r="AY24" s="29">
        <v>46.396218983851917</v>
      </c>
      <c r="AZ24" s="57">
        <v>2033</v>
      </c>
      <c r="BA24" s="57">
        <v>1364</v>
      </c>
      <c r="BB24" s="57">
        <v>669</v>
      </c>
      <c r="BC24" s="83">
        <v>7.0831283817019184</v>
      </c>
      <c r="BD24" s="83">
        <v>23.167732415150024</v>
      </c>
      <c r="BE24" s="83">
        <v>19.183472700442692</v>
      </c>
      <c r="BF24" s="83">
        <v>50.565666502705362</v>
      </c>
      <c r="BG24" s="57">
        <v>1832</v>
      </c>
      <c r="BH24" s="57">
        <v>1217</v>
      </c>
      <c r="BI24" s="57">
        <v>615</v>
      </c>
      <c r="BJ24" s="83">
        <v>6.3864628820960698</v>
      </c>
      <c r="BK24" s="83">
        <v>22.816593886462883</v>
      </c>
      <c r="BL24" s="83">
        <v>19.432314410480352</v>
      </c>
      <c r="BM24" s="78">
        <v>51.364628820960689</v>
      </c>
      <c r="BN24" s="62"/>
    </row>
    <row r="25" spans="1:66" ht="8.25" customHeight="1">
      <c r="A25" s="107">
        <v>252</v>
      </c>
      <c r="B25" s="74" t="s">
        <v>102</v>
      </c>
      <c r="C25" s="193">
        <f>VLOOKUP(A25,'C4_Berechnung'!$A$10:I$61,3,FALSE)</f>
        <v>4052</v>
      </c>
      <c r="D25" s="193">
        <f>VLOOKUP(A25,'C4_Berechnung'!$A$10:$I$61,4,FALSE)</f>
        <v>2542</v>
      </c>
      <c r="E25" s="193">
        <f>VLOOKUP(A25,'C4_Berechnung'!$A$10:$I$61,5,FALSE)</f>
        <v>1510</v>
      </c>
      <c r="F25" s="115">
        <f>VLOOKUP(A25,'C4_Berechnung'!$A$10:$I$61,6,FALSE)</f>
        <v>10.784797630799606</v>
      </c>
      <c r="G25" s="115">
        <f>VLOOKUP(A25,'C4_Berechnung'!$A$10:$I$61,7,FALSE)</f>
        <v>36.994076999012833</v>
      </c>
      <c r="H25" s="115">
        <f>VLOOKUP(A25,'C4_Berechnung'!$A$10:$I$61,8,FALSE)</f>
        <v>27.665350444225073</v>
      </c>
      <c r="I25" s="115">
        <f>VLOOKUP(A25,'C4_Berechnung'!$A$10:$I$61,9,FALSE)</f>
        <v>24.555774925962488</v>
      </c>
      <c r="J25" s="112">
        <v>3678</v>
      </c>
      <c r="K25" s="112">
        <v>2263</v>
      </c>
      <c r="L25" s="112">
        <v>1415</v>
      </c>
      <c r="M25" s="75">
        <v>10.60358890701468</v>
      </c>
      <c r="N25" s="75">
        <v>37.629146275149537</v>
      </c>
      <c r="O25" s="75">
        <v>26.318651441000547</v>
      </c>
      <c r="P25" s="75">
        <v>25.44861337683524</v>
      </c>
      <c r="Q25" s="112">
        <v>3270</v>
      </c>
      <c r="R25" s="112">
        <v>1959</v>
      </c>
      <c r="S25" s="112">
        <v>1311</v>
      </c>
      <c r="T25" s="75">
        <f>VLOOKUP(A25,'2017_C4'!$A$5:$I$56,6,FALSE)</f>
        <v>10.733944954128441</v>
      </c>
      <c r="U25" s="75">
        <f>VLOOKUP(A25,'2017_C4'!$A$5:$I$56,7,FALSE)</f>
        <v>37.767584097859327</v>
      </c>
      <c r="V25" s="75">
        <f>VLOOKUP(A25,'2017_C4'!$A$5:$I$56,8,FALSE)</f>
        <v>23.394495412844037</v>
      </c>
      <c r="W25" s="75">
        <f>VLOOKUP(A25,'2017_C4'!$A$5:$I$56,9,FALSE)</f>
        <v>28.103975535168196</v>
      </c>
      <c r="X25" s="112">
        <v>3023</v>
      </c>
      <c r="Y25" s="112">
        <v>1793</v>
      </c>
      <c r="Z25" s="112">
        <v>1230</v>
      </c>
      <c r="AA25" s="69">
        <f>VLOOKUP(A25,'2016_bearbeitet'!$A$7:$T$308,17,FALSE)</f>
        <v>11.147866357922593</v>
      </c>
      <c r="AB25" s="69">
        <f>VLOOKUP(A25,'2016_bearbeitet'!$A$7:$T$308,18,FALSE)</f>
        <v>39.034072113794245</v>
      </c>
      <c r="AC25" s="69">
        <f>VLOOKUP(A25,'2016_bearbeitet'!$A$7:$T$308,19,FALSE)</f>
        <v>22.758848825669865</v>
      </c>
      <c r="AD25" s="69">
        <f>VLOOKUP(A25,'2016_bearbeitet'!$A$7:$T$308,20,FALSE)</f>
        <v>27.059212702613301</v>
      </c>
      <c r="AE25" s="57">
        <v>2786</v>
      </c>
      <c r="AF25" s="57">
        <v>1655</v>
      </c>
      <c r="AG25" s="57">
        <v>1131</v>
      </c>
      <c r="AH25" s="29">
        <v>10.804020100502512</v>
      </c>
      <c r="AI25" s="29">
        <v>38.944723618090457</v>
      </c>
      <c r="AJ25" s="29">
        <v>22.469490308686289</v>
      </c>
      <c r="AK25" s="77">
        <v>27.781765972720741</v>
      </c>
      <c r="AL25" s="57">
        <v>2495</v>
      </c>
      <c r="AM25" s="57">
        <v>1452</v>
      </c>
      <c r="AN25" s="57">
        <v>1043</v>
      </c>
      <c r="AO25" s="29">
        <v>10.661322645290582</v>
      </c>
      <c r="AP25" s="29">
        <v>39.599198396793589</v>
      </c>
      <c r="AQ25" s="29">
        <v>20.881763527054108</v>
      </c>
      <c r="AR25" s="29">
        <v>28.857715430861724</v>
      </c>
      <c r="AS25" s="57">
        <v>2420</v>
      </c>
      <c r="AT25" s="57">
        <v>1381</v>
      </c>
      <c r="AU25" s="57">
        <v>1039</v>
      </c>
      <c r="AV25" s="29">
        <v>8.0165289256198342</v>
      </c>
      <c r="AW25" s="29">
        <v>35.495867768595041</v>
      </c>
      <c r="AX25" s="29">
        <v>20.702479338842974</v>
      </c>
      <c r="AY25" s="29">
        <v>35.785123966942152</v>
      </c>
      <c r="AZ25" s="57">
        <v>2195</v>
      </c>
      <c r="BA25" s="57">
        <v>1247</v>
      </c>
      <c r="BB25" s="57">
        <v>948</v>
      </c>
      <c r="BC25" s="83">
        <v>5.9225512528473807</v>
      </c>
      <c r="BD25" s="83">
        <v>31.75398633257403</v>
      </c>
      <c r="BE25" s="83">
        <v>30.113895216400909</v>
      </c>
      <c r="BF25" s="83">
        <v>32.20956719817768</v>
      </c>
      <c r="BG25" s="57">
        <v>2106</v>
      </c>
      <c r="BH25" s="57">
        <v>1190</v>
      </c>
      <c r="BI25" s="57">
        <v>916</v>
      </c>
      <c r="BJ25" s="83">
        <v>5.3181386514719851</v>
      </c>
      <c r="BK25" s="83">
        <v>31.861348528015192</v>
      </c>
      <c r="BL25" s="83">
        <v>31.481481481481481</v>
      </c>
      <c r="BM25" s="78">
        <v>31.339031339031344</v>
      </c>
      <c r="BN25" s="62"/>
    </row>
    <row r="26" spans="1:66" ht="8.25" customHeight="1">
      <c r="A26" s="107">
        <v>254</v>
      </c>
      <c r="B26" s="74" t="s">
        <v>103</v>
      </c>
      <c r="C26" s="193">
        <f>VLOOKUP(A26,'C4_Berechnung'!$A$10:I$61,3,FALSE)</f>
        <v>6219</v>
      </c>
      <c r="D26" s="193">
        <f>VLOOKUP(A26,'C4_Berechnung'!$A$10:$I$61,4,FALSE)</f>
        <v>4059</v>
      </c>
      <c r="E26" s="193">
        <f>VLOOKUP(A26,'C4_Berechnung'!$A$10:$I$61,5,FALSE)</f>
        <v>2160</v>
      </c>
      <c r="F26" s="115">
        <f>VLOOKUP(A26,'C4_Berechnung'!$A$10:$I$61,6,FALSE)</f>
        <v>16.739025566811385</v>
      </c>
      <c r="G26" s="115">
        <f>VLOOKUP(A26,'C4_Berechnung'!$A$10:$I$61,7,FALSE)</f>
        <v>34.651873291525966</v>
      </c>
      <c r="H26" s="115">
        <f>VLOOKUP(A26,'C4_Berechnung'!$A$10:$I$61,8,FALSE)</f>
        <v>25.373854317414374</v>
      </c>
      <c r="I26" s="115">
        <f>VLOOKUP(A26,'C4_Berechnung'!$A$10:$I$61,9,FALSE)</f>
        <v>23.235246824248271</v>
      </c>
      <c r="J26" s="112">
        <v>5755</v>
      </c>
      <c r="K26" s="112">
        <v>3694</v>
      </c>
      <c r="L26" s="112">
        <v>2061</v>
      </c>
      <c r="M26" s="75">
        <v>15.638575152041703</v>
      </c>
      <c r="N26" s="75">
        <v>35.499565595134662</v>
      </c>
      <c r="O26" s="75">
        <v>24.969591659426584</v>
      </c>
      <c r="P26" s="75">
        <v>23.892267593397047</v>
      </c>
      <c r="Q26" s="112">
        <v>5044</v>
      </c>
      <c r="R26" s="112">
        <v>3238</v>
      </c>
      <c r="S26" s="112">
        <v>1806</v>
      </c>
      <c r="T26" s="75">
        <f>VLOOKUP(A26,'2017_C4'!$A$5:$I$56,6,FALSE)</f>
        <v>15.027755749405234</v>
      </c>
      <c r="U26" s="75">
        <f>VLOOKUP(A26,'2017_C4'!$A$5:$I$56,7,FALSE)</f>
        <v>37.390959555908012</v>
      </c>
      <c r="V26" s="75">
        <f>VLOOKUP(A26,'2017_C4'!$A$5:$I$56,8,FALSE)</f>
        <v>24.187153053132434</v>
      </c>
      <c r="W26" s="75">
        <f>VLOOKUP(A26,'2017_C4'!$A$5:$I$56,9,FALSE)</f>
        <v>23.394131641554321</v>
      </c>
      <c r="X26" s="112">
        <v>4436</v>
      </c>
      <c r="Y26" s="112">
        <v>2817</v>
      </c>
      <c r="Z26" s="112">
        <v>1619</v>
      </c>
      <c r="AA26" s="69">
        <f>VLOOKUP(A26,'2016_bearbeitet'!$A$7:$T$308,17,FALSE)</f>
        <v>14.337240757439135</v>
      </c>
      <c r="AB26" s="69">
        <f>VLOOKUP(A26,'2016_bearbeitet'!$A$7:$T$308,18,FALSE)</f>
        <v>38.232642019837691</v>
      </c>
      <c r="AC26" s="69">
        <f>VLOOKUP(A26,'2016_bearbeitet'!$A$7:$T$308,19,FALSE)</f>
        <v>24.301172227231742</v>
      </c>
      <c r="AD26" s="69">
        <f>VLOOKUP(A26,'2016_bearbeitet'!$A$7:$T$308,20,FALSE)</f>
        <v>23.128944995491434</v>
      </c>
      <c r="AE26" s="57">
        <v>3866</v>
      </c>
      <c r="AF26" s="57">
        <v>2410</v>
      </c>
      <c r="AG26" s="57">
        <v>1456</v>
      </c>
      <c r="AH26" s="29">
        <v>14.459389549922399</v>
      </c>
      <c r="AI26" s="29">
        <v>38.618727366787375</v>
      </c>
      <c r="AJ26" s="29">
        <v>23.952405587170205</v>
      </c>
      <c r="AK26" s="77">
        <v>22.969477496120021</v>
      </c>
      <c r="AL26" s="57">
        <v>3537</v>
      </c>
      <c r="AM26" s="57">
        <v>2230</v>
      </c>
      <c r="AN26" s="57">
        <v>1307</v>
      </c>
      <c r="AO26" s="29">
        <v>13.79700310998021</v>
      </c>
      <c r="AP26" s="29">
        <v>38.733389878428049</v>
      </c>
      <c r="AQ26" s="29">
        <v>23.664122137404579</v>
      </c>
      <c r="AR26" s="29">
        <v>23.805484874187165</v>
      </c>
      <c r="AS26" s="57">
        <v>3331</v>
      </c>
      <c r="AT26" s="57">
        <v>2102</v>
      </c>
      <c r="AU26" s="57">
        <v>1229</v>
      </c>
      <c r="AV26" s="29">
        <v>11.8282797958571</v>
      </c>
      <c r="AW26" s="29">
        <v>34.614229960972679</v>
      </c>
      <c r="AX26" s="29">
        <v>23.146202341639146</v>
      </c>
      <c r="AY26" s="29">
        <v>30.411287901531082</v>
      </c>
      <c r="AZ26" s="57">
        <v>2922</v>
      </c>
      <c r="BA26" s="57">
        <v>1830</v>
      </c>
      <c r="BB26" s="57">
        <v>1092</v>
      </c>
      <c r="BC26" s="83">
        <v>8.3846680355920604</v>
      </c>
      <c r="BD26" s="83">
        <v>32.477754962354553</v>
      </c>
      <c r="BE26" s="83">
        <v>24.503764544832308</v>
      </c>
      <c r="BF26" s="83">
        <v>34.633812457221083</v>
      </c>
      <c r="BG26" s="57">
        <v>2768</v>
      </c>
      <c r="BH26" s="57">
        <v>1739</v>
      </c>
      <c r="BI26" s="57">
        <v>1029</v>
      </c>
      <c r="BJ26" s="83">
        <v>8.2369942196531785</v>
      </c>
      <c r="BK26" s="83">
        <v>32.080924855491325</v>
      </c>
      <c r="BL26" s="83">
        <v>24.638728323699421</v>
      </c>
      <c r="BM26" s="78">
        <v>35.043352601156073</v>
      </c>
      <c r="BN26" s="62"/>
    </row>
    <row r="27" spans="1:66" ht="8.25" customHeight="1">
      <c r="A27" s="107">
        <v>255</v>
      </c>
      <c r="B27" s="74" t="s">
        <v>104</v>
      </c>
      <c r="C27" s="193">
        <f>VLOOKUP(A27,'C4_Berechnung'!$A$10:I$61,3,FALSE)</f>
        <v>1421</v>
      </c>
      <c r="D27" s="193">
        <f>VLOOKUP(A27,'C4_Berechnung'!$A$10:$I$61,4,FALSE)</f>
        <v>945</v>
      </c>
      <c r="E27" s="193">
        <f>VLOOKUP(A27,'C4_Berechnung'!$A$10:$I$61,5,FALSE)</f>
        <v>476</v>
      </c>
      <c r="F27" s="115">
        <f>VLOOKUP(A27,'C4_Berechnung'!$A$10:$I$61,6,FALSE)</f>
        <v>12.737508796622096</v>
      </c>
      <c r="G27" s="115">
        <f>VLOOKUP(A27,'C4_Berechnung'!$A$10:$I$61,7,FALSE)</f>
        <v>32.582688247712881</v>
      </c>
      <c r="H27" s="115">
        <f>VLOOKUP(A27,'C4_Berechnung'!$A$10:$I$61,8,FALSE)</f>
        <v>27.867698803659394</v>
      </c>
      <c r="I27" s="115">
        <f>VLOOKUP(A27,'C4_Berechnung'!$A$10:$I$61,9,FALSE)</f>
        <v>26.812104152005631</v>
      </c>
      <c r="J27" s="112">
        <v>1260</v>
      </c>
      <c r="K27" s="112">
        <v>840</v>
      </c>
      <c r="L27" s="112">
        <v>420</v>
      </c>
      <c r="M27" s="75">
        <v>11.190476190476192</v>
      </c>
      <c r="N27" s="75">
        <v>35.079365079365076</v>
      </c>
      <c r="O27" s="75">
        <v>28.571428571428569</v>
      </c>
      <c r="P27" s="75">
        <v>25.158730158730158</v>
      </c>
      <c r="Q27" s="112">
        <v>1088</v>
      </c>
      <c r="R27" s="112">
        <v>720</v>
      </c>
      <c r="S27" s="112">
        <v>368</v>
      </c>
      <c r="T27" s="75">
        <f>VLOOKUP(A27,'2017_C4'!$A$5:$I$56,6,FALSE)</f>
        <v>11.121323529411764</v>
      </c>
      <c r="U27" s="75">
        <f>VLOOKUP(A27,'2017_C4'!$A$5:$I$56,7,FALSE)</f>
        <v>35.202205882352942</v>
      </c>
      <c r="V27" s="75">
        <f>VLOOKUP(A27,'2017_C4'!$A$5:$I$56,8,FALSE)</f>
        <v>27.113970588235293</v>
      </c>
      <c r="W27" s="75">
        <f>VLOOKUP(A27,'2017_C4'!$A$5:$I$56,9,FALSE)</f>
        <v>26.5625</v>
      </c>
      <c r="X27" s="112">
        <v>980</v>
      </c>
      <c r="Y27" s="112">
        <v>637</v>
      </c>
      <c r="Z27" s="112">
        <v>343</v>
      </c>
      <c r="AA27" s="69">
        <f>VLOOKUP(A27,'2016_bearbeitet'!$A$7:$T$308,17,FALSE)</f>
        <v>12.244897959183673</v>
      </c>
      <c r="AB27" s="69">
        <f>VLOOKUP(A27,'2016_bearbeitet'!$A$7:$T$308,18,FALSE)</f>
        <v>35.816326530612244</v>
      </c>
      <c r="AC27" s="69">
        <f>VLOOKUP(A27,'2016_bearbeitet'!$A$7:$T$308,19,FALSE)</f>
        <v>28.877551020408166</v>
      </c>
      <c r="AD27" s="69">
        <f>VLOOKUP(A27,'2016_bearbeitet'!$A$7:$T$308,20,FALSE)</f>
        <v>23.061224489795919</v>
      </c>
      <c r="AE27" s="57">
        <v>851</v>
      </c>
      <c r="AF27" s="57">
        <v>567</v>
      </c>
      <c r="AG27" s="57">
        <v>284</v>
      </c>
      <c r="AH27" s="29">
        <v>12.220916568742656</v>
      </c>
      <c r="AI27" s="29">
        <v>36.192714453584017</v>
      </c>
      <c r="AJ27" s="29">
        <v>31.374853113983548</v>
      </c>
      <c r="AK27" s="77">
        <v>20.21151586368978</v>
      </c>
      <c r="AL27" s="57">
        <v>819</v>
      </c>
      <c r="AM27" s="57">
        <v>557</v>
      </c>
      <c r="AN27" s="57">
        <v>262</v>
      </c>
      <c r="AO27" s="29">
        <v>9.2796092796092804</v>
      </c>
      <c r="AP27" s="29">
        <v>37.72893772893773</v>
      </c>
      <c r="AQ27" s="29">
        <v>31.135531135531135</v>
      </c>
      <c r="AR27" s="29">
        <v>21.855921855921849</v>
      </c>
      <c r="AS27" s="57">
        <v>745</v>
      </c>
      <c r="AT27" s="57">
        <v>499</v>
      </c>
      <c r="AU27" s="57">
        <v>246</v>
      </c>
      <c r="AV27" s="29">
        <v>9.1275167785234892</v>
      </c>
      <c r="AW27" s="29">
        <v>35.167785234899327</v>
      </c>
      <c r="AX27" s="29">
        <v>31.275167785234899</v>
      </c>
      <c r="AY27" s="29">
        <v>24.429530201342285</v>
      </c>
      <c r="AZ27" s="57">
        <v>677</v>
      </c>
      <c r="BA27" s="57">
        <v>455</v>
      </c>
      <c r="BB27" s="57">
        <v>222</v>
      </c>
      <c r="BC27" s="83">
        <v>6.6469719350073859</v>
      </c>
      <c r="BD27" s="83">
        <v>31.905465288035451</v>
      </c>
      <c r="BE27" s="83">
        <v>36.779911373707534</v>
      </c>
      <c r="BF27" s="83">
        <v>24.667651403249629</v>
      </c>
      <c r="BG27" s="57">
        <v>663</v>
      </c>
      <c r="BH27" s="57">
        <v>447</v>
      </c>
      <c r="BI27" s="57">
        <v>216</v>
      </c>
      <c r="BJ27" s="83">
        <v>6.6365007541478134</v>
      </c>
      <c r="BK27" s="83">
        <v>31.372549019607842</v>
      </c>
      <c r="BL27" s="83">
        <v>37.858220211161388</v>
      </c>
      <c r="BM27" s="78">
        <v>24.132730015082956</v>
      </c>
      <c r="BN27" s="62"/>
    </row>
    <row r="28" spans="1:66" ht="8.25" customHeight="1">
      <c r="A28" s="107">
        <v>256</v>
      </c>
      <c r="B28" s="74" t="s">
        <v>105</v>
      </c>
      <c r="C28" s="193">
        <f>VLOOKUP(A28,'C4_Berechnung'!$A$10:I$61,3,FALSE)</f>
        <v>4261</v>
      </c>
      <c r="D28" s="193">
        <f>VLOOKUP(A28,'C4_Berechnung'!$A$10:$I$61,4,FALSE)</f>
        <v>3042</v>
      </c>
      <c r="E28" s="193">
        <f>VLOOKUP(A28,'C4_Berechnung'!$A$10:$I$61,5,FALSE)</f>
        <v>1219</v>
      </c>
      <c r="F28" s="115">
        <f>VLOOKUP(A28,'C4_Berechnung'!$A$10:$I$61,6,FALSE)</f>
        <v>5.7732926543065011</v>
      </c>
      <c r="G28" s="115">
        <f>VLOOKUP(A28,'C4_Berechnung'!$A$10:$I$61,7,FALSE)</f>
        <v>24.524759446139402</v>
      </c>
      <c r="H28" s="115">
        <f>VLOOKUP(A28,'C4_Berechnung'!$A$10:$I$61,8,FALSE)</f>
        <v>24.689040131424548</v>
      </c>
      <c r="I28" s="115">
        <f>VLOOKUP(A28,'C4_Berechnung'!$A$10:$I$61,9,FALSE)</f>
        <v>45.012907768129544</v>
      </c>
      <c r="J28" s="112">
        <v>3442</v>
      </c>
      <c r="K28" s="112">
        <v>2472</v>
      </c>
      <c r="L28" s="112">
        <v>970</v>
      </c>
      <c r="M28" s="75">
        <v>6.2463683904706562</v>
      </c>
      <c r="N28" s="75">
        <v>26.263800116211506</v>
      </c>
      <c r="O28" s="75">
        <v>27.309703660662404</v>
      </c>
      <c r="P28" s="75">
        <v>40.18012783265543</v>
      </c>
      <c r="Q28" s="112">
        <v>2668</v>
      </c>
      <c r="R28" s="112">
        <v>1901</v>
      </c>
      <c r="S28" s="112">
        <v>767</v>
      </c>
      <c r="T28" s="75">
        <f>VLOOKUP(A28,'2017_C4'!$A$5:$I$56,6,FALSE)</f>
        <v>6.7841079460269862</v>
      </c>
      <c r="U28" s="75">
        <f>VLOOKUP(A28,'2017_C4'!$A$5:$I$56,7,FALSE)</f>
        <v>27.023988005997001</v>
      </c>
      <c r="V28" s="75">
        <f>VLOOKUP(A28,'2017_C4'!$A$5:$I$56,8,FALSE)</f>
        <v>26.72413793103448</v>
      </c>
      <c r="W28" s="75">
        <f>VLOOKUP(A28,'2017_C4'!$A$5:$I$56,9,FALSE)</f>
        <v>39.467766116941526</v>
      </c>
      <c r="X28" s="112">
        <v>2391</v>
      </c>
      <c r="Y28" s="112">
        <v>1701</v>
      </c>
      <c r="Z28" s="112">
        <v>690</v>
      </c>
      <c r="AA28" s="69">
        <f>VLOOKUP(A28,'2016_bearbeitet'!$A$7:$T$308,17,FALSE)</f>
        <v>5.7716436637390212</v>
      </c>
      <c r="AB28" s="69">
        <f>VLOOKUP(A28,'2016_bearbeitet'!$A$7:$T$308,18,FALSE)</f>
        <v>27.603513174404014</v>
      </c>
      <c r="AC28" s="69">
        <f>VLOOKUP(A28,'2016_bearbeitet'!$A$7:$T$308,19,FALSE)</f>
        <v>26.516102049351737</v>
      </c>
      <c r="AD28" s="69">
        <f>VLOOKUP(A28,'2016_bearbeitet'!$A$7:$T$308,20,FALSE)</f>
        <v>40.108741112505228</v>
      </c>
      <c r="AE28" s="57">
        <v>2038</v>
      </c>
      <c r="AF28" s="57">
        <v>1438</v>
      </c>
      <c r="AG28" s="57">
        <v>600</v>
      </c>
      <c r="AH28" s="29">
        <v>5.5446516192345436</v>
      </c>
      <c r="AI28" s="29">
        <v>29.587831207065751</v>
      </c>
      <c r="AJ28" s="29">
        <v>26.104023552502454</v>
      </c>
      <c r="AK28" s="77">
        <v>38.763493621197256</v>
      </c>
      <c r="AL28" s="57">
        <v>1800</v>
      </c>
      <c r="AM28" s="57">
        <v>1249</v>
      </c>
      <c r="AN28" s="57">
        <v>551</v>
      </c>
      <c r="AO28" s="29">
        <v>5.6666666666666661</v>
      </c>
      <c r="AP28" s="29">
        <v>30.222222222222221</v>
      </c>
      <c r="AQ28" s="29">
        <v>25.611111111111111</v>
      </c>
      <c r="AR28" s="29">
        <v>38.5</v>
      </c>
      <c r="AS28" s="57">
        <v>1637</v>
      </c>
      <c r="AT28" s="57">
        <v>1144</v>
      </c>
      <c r="AU28" s="57">
        <v>493</v>
      </c>
      <c r="AV28" s="29">
        <v>4.8869883934025662</v>
      </c>
      <c r="AW28" s="29">
        <v>27.306047648136833</v>
      </c>
      <c r="AX28" s="29">
        <v>25.045815516188146</v>
      </c>
      <c r="AY28" s="29">
        <v>42.761148442272457</v>
      </c>
      <c r="AZ28" s="57">
        <v>1245</v>
      </c>
      <c r="BA28" s="57">
        <v>865</v>
      </c>
      <c r="BB28" s="57">
        <v>380</v>
      </c>
      <c r="BC28" s="83">
        <v>3.2128514056224895</v>
      </c>
      <c r="BD28" s="83">
        <v>24.016064257028113</v>
      </c>
      <c r="BE28" s="83">
        <v>30.200803212851408</v>
      </c>
      <c r="BF28" s="83">
        <v>42.570281124497988</v>
      </c>
      <c r="BG28" s="57">
        <v>1148</v>
      </c>
      <c r="BH28" s="57">
        <v>822</v>
      </c>
      <c r="BI28" s="57">
        <v>326</v>
      </c>
      <c r="BJ28" s="83">
        <v>3.3972125435540068</v>
      </c>
      <c r="BK28" s="83">
        <v>23.780487804878049</v>
      </c>
      <c r="BL28" s="83">
        <v>30.923344947735192</v>
      </c>
      <c r="BM28" s="78">
        <v>41.898954703832757</v>
      </c>
      <c r="BN28" s="62"/>
    </row>
    <row r="29" spans="1:66" ht="8.25" customHeight="1">
      <c r="A29" s="107">
        <v>257</v>
      </c>
      <c r="B29" s="74" t="s">
        <v>106</v>
      </c>
      <c r="C29" s="193">
        <f>VLOOKUP(A29,'C4_Berechnung'!$A$10:I$61,3,FALSE)</f>
        <v>3689</v>
      </c>
      <c r="D29" s="193">
        <f>VLOOKUP(A29,'C4_Berechnung'!$A$10:$I$61,4,FALSE)</f>
        <v>2420</v>
      </c>
      <c r="E29" s="193">
        <f>VLOOKUP(A29,'C4_Berechnung'!$A$10:$I$61,5,FALSE)</f>
        <v>1269</v>
      </c>
      <c r="F29" s="115">
        <f>VLOOKUP(A29,'C4_Berechnung'!$A$10:$I$61,6,FALSE)</f>
        <v>8.6473298997018162</v>
      </c>
      <c r="G29" s="115">
        <f>VLOOKUP(A29,'C4_Berechnung'!$A$10:$I$61,7,FALSE)</f>
        <v>43.345079967470859</v>
      </c>
      <c r="H29" s="115">
        <f>VLOOKUP(A29,'C4_Berechnung'!$A$10:$I$61,8,FALSE)</f>
        <v>26.24017348875034</v>
      </c>
      <c r="I29" s="115">
        <f>VLOOKUP(A29,'C4_Berechnung'!$A$10:$I$61,9,FALSE)</f>
        <v>21.767416644076985</v>
      </c>
      <c r="J29" s="112">
        <v>3435</v>
      </c>
      <c r="K29" s="112">
        <v>2251</v>
      </c>
      <c r="L29" s="112">
        <v>1184</v>
      </c>
      <c r="M29" s="75">
        <v>8.0931586608442512</v>
      </c>
      <c r="N29" s="75">
        <v>43.522561863173216</v>
      </c>
      <c r="O29" s="75">
        <v>26.22998544395924</v>
      </c>
      <c r="P29" s="75">
        <v>22.154294032023287</v>
      </c>
      <c r="Q29" s="112">
        <v>2966</v>
      </c>
      <c r="R29" s="112">
        <v>1935</v>
      </c>
      <c r="S29" s="112">
        <v>1031</v>
      </c>
      <c r="T29" s="75">
        <f>VLOOKUP(A29,'2017_C4'!$A$5:$I$56,6,FALSE)</f>
        <v>7.4848280512474723</v>
      </c>
      <c r="U29" s="75">
        <f>VLOOKUP(A29,'2017_C4'!$A$5:$I$56,7,FALSE)</f>
        <v>43.391773432231965</v>
      </c>
      <c r="V29" s="75">
        <f>VLOOKUP(A29,'2017_C4'!$A$5:$I$56,8,FALSE)</f>
        <v>25.354012137559</v>
      </c>
      <c r="W29" s="75">
        <f>VLOOKUP(A29,'2017_C4'!$A$5:$I$56,9,FALSE)</f>
        <v>23.769386378961567</v>
      </c>
      <c r="X29" s="112">
        <v>2642</v>
      </c>
      <c r="Y29" s="112">
        <v>1720</v>
      </c>
      <c r="Z29" s="112">
        <v>922</v>
      </c>
      <c r="AA29" s="69">
        <f>VLOOKUP(A29,'2016_bearbeitet'!$A$7:$T$308,17,FALSE)</f>
        <v>7.9863739591218774</v>
      </c>
      <c r="AB29" s="69">
        <f>VLOOKUP(A29,'2016_bearbeitet'!$A$7:$T$308,18,FALSE)</f>
        <v>42.922028766086299</v>
      </c>
      <c r="AC29" s="69">
        <f>VLOOKUP(A29,'2016_bearbeitet'!$A$7:$T$308,19,FALSE)</f>
        <v>24.716124148372444</v>
      </c>
      <c r="AD29" s="69">
        <f>VLOOKUP(A29,'2016_bearbeitet'!$A$7:$T$308,20,FALSE)</f>
        <v>24.375473126419379</v>
      </c>
      <c r="AE29" s="57">
        <v>2296</v>
      </c>
      <c r="AF29" s="57">
        <v>1494</v>
      </c>
      <c r="AG29" s="57">
        <v>802</v>
      </c>
      <c r="AH29" s="29">
        <v>7.6219512195121952</v>
      </c>
      <c r="AI29" s="29">
        <v>39.851916376306619</v>
      </c>
      <c r="AJ29" s="29">
        <v>26.393728222996515</v>
      </c>
      <c r="AK29" s="29">
        <v>26.132404181184672</v>
      </c>
      <c r="AL29" s="57">
        <v>1920</v>
      </c>
      <c r="AM29" s="57">
        <v>1192</v>
      </c>
      <c r="AN29" s="57">
        <v>728</v>
      </c>
      <c r="AO29" s="29">
        <v>6.9270833333333339</v>
      </c>
      <c r="AP29" s="29">
        <v>37.864583333333336</v>
      </c>
      <c r="AQ29" s="29">
        <v>27.447916666666668</v>
      </c>
      <c r="AR29" s="29">
        <v>27.760416666666657</v>
      </c>
      <c r="AS29" s="57">
        <v>1777</v>
      </c>
      <c r="AT29" s="57">
        <v>1129</v>
      </c>
      <c r="AU29" s="57">
        <v>648</v>
      </c>
      <c r="AV29" s="29">
        <v>6.6404051772650536</v>
      </c>
      <c r="AW29" s="29">
        <v>36.015756893640969</v>
      </c>
      <c r="AX29" s="29">
        <v>28.418683173888574</v>
      </c>
      <c r="AY29" s="29">
        <v>28.925154755205398</v>
      </c>
      <c r="AZ29" s="57">
        <v>1538</v>
      </c>
      <c r="BA29" s="57">
        <v>989</v>
      </c>
      <c r="BB29" s="57">
        <v>549</v>
      </c>
      <c r="BC29" s="83">
        <v>5.2665799739921981</v>
      </c>
      <c r="BD29" s="83">
        <v>31.144343302990897</v>
      </c>
      <c r="BE29" s="83">
        <v>30.754226267880362</v>
      </c>
      <c r="BF29" s="83">
        <v>32.834850455136532</v>
      </c>
      <c r="BG29" s="57">
        <v>1505</v>
      </c>
      <c r="BH29" s="57">
        <v>990</v>
      </c>
      <c r="BI29" s="57">
        <v>515</v>
      </c>
      <c r="BJ29" s="83">
        <v>5.249169435215947</v>
      </c>
      <c r="BK29" s="83">
        <v>30.963455149501662</v>
      </c>
      <c r="BL29" s="83">
        <v>33.02325581395349</v>
      </c>
      <c r="BM29" s="78">
        <v>30.764119601328908</v>
      </c>
      <c r="BN29" s="62"/>
    </row>
    <row r="30" spans="1:66" s="54" customFormat="1" ht="16.5" customHeight="1">
      <c r="A30" s="108">
        <v>2</v>
      </c>
      <c r="B30" s="84" t="s">
        <v>155</v>
      </c>
      <c r="C30" s="193">
        <f>VLOOKUP(A30,'C4_Berechnung'!$A$10:I$61,3,FALSE)</f>
        <v>86601</v>
      </c>
      <c r="D30" s="193">
        <f>VLOOKUP(A30,'C4_Berechnung'!$A$10:$I$61,4,FALSE)</f>
        <v>55379</v>
      </c>
      <c r="E30" s="193">
        <f>VLOOKUP(A30,'C4_Berechnung'!$A$10:$I$61,5,FALSE)</f>
        <v>31222</v>
      </c>
      <c r="F30" s="115">
        <f>VLOOKUP(A30,'C4_Berechnung'!$A$10:$I$61,6,FALSE)</f>
        <v>12.373991062458863</v>
      </c>
      <c r="G30" s="115">
        <f>VLOOKUP(A30,'C4_Berechnung'!$A$10:$I$61,7,FALSE)</f>
        <v>32.894539324026283</v>
      </c>
      <c r="H30" s="115">
        <f>VLOOKUP(A30,'C4_Berechnung'!$A$10:$I$61,8,FALSE)</f>
        <v>27.067816768859483</v>
      </c>
      <c r="I30" s="115">
        <f>VLOOKUP(A30,'C4_Berechnung'!$A$10:$I$61,9,FALSE)</f>
        <v>27.663652844655374</v>
      </c>
      <c r="J30" s="113">
        <v>79418</v>
      </c>
      <c r="K30" s="113">
        <v>50474</v>
      </c>
      <c r="L30" s="113">
        <v>28944</v>
      </c>
      <c r="M30" s="85">
        <v>11.944395477095872</v>
      </c>
      <c r="N30" s="85">
        <v>33.173839683698908</v>
      </c>
      <c r="O30" s="85">
        <v>26.321488831247326</v>
      </c>
      <c r="P30" s="85">
        <v>28.560276007957892</v>
      </c>
      <c r="Q30" s="113">
        <v>71250</v>
      </c>
      <c r="R30" s="113">
        <v>44711</v>
      </c>
      <c r="S30" s="113">
        <v>26539</v>
      </c>
      <c r="T30" s="85">
        <f>VLOOKUP(A30,'2017_C4'!$A$5:$I$56,6,FALSE)</f>
        <v>11.849824561403508</v>
      </c>
      <c r="U30" s="85">
        <f>VLOOKUP(A30,'2017_C4'!$A$5:$I$56,7,FALSE)</f>
        <v>33.799298245614033</v>
      </c>
      <c r="V30" s="85">
        <f>VLOOKUP(A30,'2017_C4'!$A$5:$I$56,8,FALSE)</f>
        <v>25.124210526315789</v>
      </c>
      <c r="W30" s="85">
        <f>VLOOKUP(A30,'2017_C4'!$A$5:$I$56,9,FALSE)</f>
        <v>29.226666666666667</v>
      </c>
      <c r="X30" s="113">
        <v>64668</v>
      </c>
      <c r="Y30" s="113">
        <v>39853</v>
      </c>
      <c r="Z30" s="113">
        <v>24815</v>
      </c>
      <c r="AA30" s="69">
        <f>VLOOKUP(A30,'2016_bearbeitet'!$A$7:$T$308,17,FALSE)</f>
        <v>11.749242283664255</v>
      </c>
      <c r="AB30" s="69">
        <f>VLOOKUP(A30,'2016_bearbeitet'!$A$7:$T$308,18,FALSE)</f>
        <v>34.063215191439348</v>
      </c>
      <c r="AC30" s="69">
        <f>VLOOKUP(A30,'2016_bearbeitet'!$A$7:$T$308,19,FALSE)</f>
        <v>24.806705016391415</v>
      </c>
      <c r="AD30" s="69">
        <f>VLOOKUP(A30,'2016_bearbeitet'!$A$7:$T$308,20,FALSE)</f>
        <v>29.380837508504982</v>
      </c>
      <c r="AE30" s="86">
        <v>58315</v>
      </c>
      <c r="AF30" s="86">
        <v>35837</v>
      </c>
      <c r="AG30" s="86">
        <v>22478</v>
      </c>
      <c r="AH30" s="87">
        <v>11.27325730944011</v>
      </c>
      <c r="AI30" s="87">
        <v>34.227900197204839</v>
      </c>
      <c r="AJ30" s="87">
        <v>24.674612020920861</v>
      </c>
      <c r="AK30" s="87">
        <v>29.824230472434188</v>
      </c>
      <c r="AL30" s="86">
        <v>52372</v>
      </c>
      <c r="AM30" s="86">
        <v>31942</v>
      </c>
      <c r="AN30" s="86">
        <v>20430</v>
      </c>
      <c r="AO30" s="87">
        <v>11.131902543343772</v>
      </c>
      <c r="AP30" s="87">
        <v>34.048728328114258</v>
      </c>
      <c r="AQ30" s="87">
        <v>24.018559535629727</v>
      </c>
      <c r="AR30" s="87">
        <v>30.800809592912252</v>
      </c>
      <c r="AS30" s="86">
        <v>48711</v>
      </c>
      <c r="AT30" s="86">
        <v>29383</v>
      </c>
      <c r="AU30" s="86">
        <v>19328</v>
      </c>
      <c r="AV30" s="87">
        <v>9.398287861058078</v>
      </c>
      <c r="AW30" s="87">
        <v>30.089712795877727</v>
      </c>
      <c r="AX30" s="87">
        <v>21.609082137504878</v>
      </c>
      <c r="AY30" s="87">
        <v>38.902917205559305</v>
      </c>
      <c r="AZ30" s="86">
        <v>41643</v>
      </c>
      <c r="BA30" s="86">
        <v>25045</v>
      </c>
      <c r="BB30" s="86">
        <v>16598</v>
      </c>
      <c r="BC30" s="88">
        <v>7.7107797228825978</v>
      </c>
      <c r="BD30" s="88">
        <v>29.044497274451892</v>
      </c>
      <c r="BE30" s="88">
        <v>23.540571044353193</v>
      </c>
      <c r="BF30" s="88">
        <v>39.704151958312323</v>
      </c>
      <c r="BG30" s="86">
        <v>39602</v>
      </c>
      <c r="BH30" s="86">
        <v>23896</v>
      </c>
      <c r="BI30" s="86">
        <v>15706</v>
      </c>
      <c r="BJ30" s="88">
        <v>7.444068481389829</v>
      </c>
      <c r="BK30" s="88">
        <v>29.407605676480987</v>
      </c>
      <c r="BL30" s="88">
        <v>24.117468814706328</v>
      </c>
      <c r="BM30" s="89">
        <v>39.030857027422861</v>
      </c>
      <c r="BN30" s="106"/>
    </row>
    <row r="31" spans="1:66" ht="8.25" customHeight="1">
      <c r="A31" s="107">
        <v>351</v>
      </c>
      <c r="B31" s="74" t="s">
        <v>107</v>
      </c>
      <c r="C31" s="193">
        <f>VLOOKUP(A31,'C4_Berechnung'!$A$10:I$61,3,FALSE)</f>
        <v>3847</v>
      </c>
      <c r="D31" s="193">
        <f>VLOOKUP(A31,'C4_Berechnung'!$A$10:$I$61,4,FALSE)</f>
        <v>2498</v>
      </c>
      <c r="E31" s="193">
        <f>VLOOKUP(A31,'C4_Berechnung'!$A$10:$I$61,5,FALSE)</f>
        <v>1349</v>
      </c>
      <c r="F31" s="115">
        <f>VLOOKUP(A31,'C4_Berechnung'!$A$10:$I$61,6,FALSE)</f>
        <v>14.088900441902782</v>
      </c>
      <c r="G31" s="115">
        <f>VLOOKUP(A31,'C4_Berechnung'!$A$10:$I$61,7,FALSE)</f>
        <v>31.089160384715363</v>
      </c>
      <c r="H31" s="115">
        <f>VLOOKUP(A31,'C4_Berechnung'!$A$10:$I$61,8,FALSE)</f>
        <v>30.387314790746036</v>
      </c>
      <c r="I31" s="115">
        <f>VLOOKUP(A31,'C4_Berechnung'!$A$10:$I$61,9,FALSE)</f>
        <v>24.434624382635821</v>
      </c>
      <c r="J31" s="112">
        <v>3438</v>
      </c>
      <c r="K31" s="112">
        <v>2240</v>
      </c>
      <c r="L31" s="112">
        <v>1198</v>
      </c>
      <c r="M31" s="75">
        <v>13.554392088423503</v>
      </c>
      <c r="N31" s="75">
        <v>33.216986620127983</v>
      </c>
      <c r="O31" s="75">
        <v>29.086678301337987</v>
      </c>
      <c r="P31" s="75">
        <v>24.141942990110529</v>
      </c>
      <c r="Q31" s="112">
        <v>3061</v>
      </c>
      <c r="R31" s="112">
        <v>1955</v>
      </c>
      <c r="S31" s="112">
        <v>1106</v>
      </c>
      <c r="T31" s="75">
        <f>VLOOKUP(A31,'2017_C4'!$A$5:$I$56,6,FALSE)</f>
        <v>14.276380267886314</v>
      </c>
      <c r="U31" s="75">
        <f>VLOOKUP(A31,'2017_C4'!$A$5:$I$56,7,FALSE)</f>
        <v>33.322443645867359</v>
      </c>
      <c r="V31" s="75">
        <f>VLOOKUP(A31,'2017_C4'!$A$5:$I$56,8,FALSE)</f>
        <v>28.520091473374716</v>
      </c>
      <c r="W31" s="75">
        <f>VLOOKUP(A31,'2017_C4'!$A$5:$I$56,9,FALSE)</f>
        <v>23.881084612871611</v>
      </c>
      <c r="X31" s="112">
        <v>2746</v>
      </c>
      <c r="Y31" s="112">
        <v>1734</v>
      </c>
      <c r="Z31" s="112">
        <v>1012</v>
      </c>
      <c r="AA31" s="69">
        <f>VLOOKUP(A31,'2016_bearbeitet'!$A$7:$T$308,17,FALSE)</f>
        <v>14.566642388929353</v>
      </c>
      <c r="AB31" s="69">
        <f>VLOOKUP(A31,'2016_bearbeitet'!$A$7:$T$308,18,FALSE)</f>
        <v>34.705025491624184</v>
      </c>
      <c r="AC31" s="69">
        <f>VLOOKUP(A31,'2016_bearbeitet'!$A$7:$T$308,19,FALSE)</f>
        <v>27.093954843408596</v>
      </c>
      <c r="AD31" s="69">
        <f>VLOOKUP(A31,'2016_bearbeitet'!$A$7:$T$308,20,FALSE)</f>
        <v>23.634377276037874</v>
      </c>
      <c r="AE31" s="57">
        <v>2601</v>
      </c>
      <c r="AF31" s="57">
        <v>1639</v>
      </c>
      <c r="AG31" s="57">
        <v>962</v>
      </c>
      <c r="AH31" s="29">
        <v>14.494425221068818</v>
      </c>
      <c r="AI31" s="29">
        <v>35.063437139561707</v>
      </c>
      <c r="AJ31" s="29">
        <v>25.297962322183775</v>
      </c>
      <c r="AK31" s="29">
        <v>25.144175317185699</v>
      </c>
      <c r="AL31" s="57">
        <v>2335</v>
      </c>
      <c r="AM31" s="57">
        <v>1500</v>
      </c>
      <c r="AN31" s="57">
        <v>835</v>
      </c>
      <c r="AO31" s="29">
        <v>14.903640256959314</v>
      </c>
      <c r="AP31" s="29">
        <v>34.304068522483938</v>
      </c>
      <c r="AQ31" s="29">
        <v>23.640256959314776</v>
      </c>
      <c r="AR31" s="29">
        <v>27.15203426124198</v>
      </c>
      <c r="AS31" s="57">
        <v>2199</v>
      </c>
      <c r="AT31" s="57">
        <v>1418</v>
      </c>
      <c r="AU31" s="57">
        <v>781</v>
      </c>
      <c r="AV31" s="29">
        <v>13.005911778080945</v>
      </c>
      <c r="AW31" s="29">
        <v>31.832651205093228</v>
      </c>
      <c r="AX31" s="29">
        <v>22.737608003638019</v>
      </c>
      <c r="AY31" s="29">
        <v>32.423829013187813</v>
      </c>
      <c r="AZ31" s="57">
        <v>1680</v>
      </c>
      <c r="BA31" s="57">
        <v>1043</v>
      </c>
      <c r="BB31" s="57">
        <v>637</v>
      </c>
      <c r="BC31" s="83">
        <v>12.678571428571427</v>
      </c>
      <c r="BD31" s="83">
        <v>31.36904761904762</v>
      </c>
      <c r="BE31" s="83">
        <v>21.964285714285715</v>
      </c>
      <c r="BF31" s="83">
        <v>33.988095238095227</v>
      </c>
      <c r="BG31" s="57">
        <v>1592</v>
      </c>
      <c r="BH31" s="57">
        <v>981</v>
      </c>
      <c r="BI31" s="57">
        <v>611</v>
      </c>
      <c r="BJ31" s="83">
        <v>12.751256281407036</v>
      </c>
      <c r="BK31" s="83">
        <v>33.479899497487438</v>
      </c>
      <c r="BL31" s="83">
        <v>21.482412060301506</v>
      </c>
      <c r="BM31" s="78">
        <v>32.286432160804026</v>
      </c>
      <c r="BN31" s="62"/>
    </row>
    <row r="32" spans="1:66" ht="8.25" customHeight="1">
      <c r="A32" s="107">
        <v>352</v>
      </c>
      <c r="B32" s="74" t="s">
        <v>108</v>
      </c>
      <c r="C32" s="193">
        <f>VLOOKUP(A32,'C4_Berechnung'!$A$10:I$61,3,FALSE)</f>
        <v>4262</v>
      </c>
      <c r="D32" s="193">
        <f>VLOOKUP(A32,'C4_Berechnung'!$A$10:$I$61,4,FALSE)</f>
        <v>2846</v>
      </c>
      <c r="E32" s="193">
        <f>VLOOKUP(A32,'C4_Berechnung'!$A$10:$I$61,5,FALSE)</f>
        <v>1416</v>
      </c>
      <c r="F32" s="115">
        <f>VLOOKUP(A32,'C4_Berechnung'!$A$10:$I$61,6,FALSE)</f>
        <v>6.4289066166119193</v>
      </c>
      <c r="G32" s="115">
        <f>VLOOKUP(A32,'C4_Berechnung'!$A$10:$I$61,7,FALSE)</f>
        <v>29.892069450961991</v>
      </c>
      <c r="H32" s="115">
        <f>VLOOKUP(A32,'C4_Berechnung'!$A$10:$I$61,8,FALSE)</f>
        <v>25.668700140778977</v>
      </c>
      <c r="I32" s="115">
        <f>VLOOKUP(A32,'C4_Berechnung'!$A$10:$I$61,9,FALSE)</f>
        <v>38.010323791647117</v>
      </c>
      <c r="J32" s="112">
        <v>4156</v>
      </c>
      <c r="K32" s="112">
        <v>2828</v>
      </c>
      <c r="L32" s="112">
        <v>1328</v>
      </c>
      <c r="M32" s="75">
        <v>6.3041385948026951</v>
      </c>
      <c r="N32" s="75">
        <v>28.946102021174209</v>
      </c>
      <c r="O32" s="75">
        <v>23.796920115495666</v>
      </c>
      <c r="P32" s="75">
        <v>40.952839268527427</v>
      </c>
      <c r="Q32" s="112">
        <v>3769</v>
      </c>
      <c r="R32" s="112">
        <v>2426</v>
      </c>
      <c r="S32" s="112">
        <v>1343</v>
      </c>
      <c r="T32" s="75">
        <f>VLOOKUP(A32,'2017_C4'!$A$5:$I$56,6,FALSE)</f>
        <v>6.6330591668877688</v>
      </c>
      <c r="U32" s="75">
        <f>VLOOKUP(A32,'2017_C4'!$A$5:$I$56,7,FALSE)</f>
        <v>27.805784027593528</v>
      </c>
      <c r="V32" s="75">
        <f>VLOOKUP(A32,'2017_C4'!$A$5:$I$56,8,FALSE)</f>
        <v>23.029981427434333</v>
      </c>
      <c r="W32" s="75">
        <f>VLOOKUP(A32,'2017_C4'!$A$5:$I$56,9,FALSE)</f>
        <v>42.53117537808437</v>
      </c>
      <c r="X32" s="112">
        <v>3391</v>
      </c>
      <c r="Y32" s="112">
        <v>2178</v>
      </c>
      <c r="Z32" s="112">
        <v>1213</v>
      </c>
      <c r="AA32" s="69">
        <f>VLOOKUP(A32,'2016_bearbeitet'!$A$7:$T$308,17,FALSE)</f>
        <v>6.7531701562960773</v>
      </c>
      <c r="AB32" s="69">
        <f>VLOOKUP(A32,'2016_bearbeitet'!$A$7:$T$308,18,FALSE)</f>
        <v>29.106458271896194</v>
      </c>
      <c r="AC32" s="69">
        <f>VLOOKUP(A32,'2016_bearbeitet'!$A$7:$T$308,19,FALSE)</f>
        <v>21.675022117369508</v>
      </c>
      <c r="AD32" s="69">
        <f>VLOOKUP(A32,'2016_bearbeitet'!$A$7:$T$308,20,FALSE)</f>
        <v>42.465349454438218</v>
      </c>
      <c r="AE32" s="57">
        <v>2948</v>
      </c>
      <c r="AF32" s="57">
        <v>1881</v>
      </c>
      <c r="AG32" s="57">
        <v>1067</v>
      </c>
      <c r="AH32" s="29">
        <v>6.2415196743554953</v>
      </c>
      <c r="AI32" s="29">
        <v>30.156037991858888</v>
      </c>
      <c r="AJ32" s="29">
        <v>22.388059701492537</v>
      </c>
      <c r="AK32" s="29">
        <v>41.214382632293081</v>
      </c>
      <c r="AL32" s="57">
        <v>2772</v>
      </c>
      <c r="AM32" s="57">
        <v>1809</v>
      </c>
      <c r="AN32" s="57">
        <v>963</v>
      </c>
      <c r="AO32" s="29">
        <v>6.0245310245310248</v>
      </c>
      <c r="AP32" s="29">
        <v>30.266955266955264</v>
      </c>
      <c r="AQ32" s="29">
        <v>21.103896103896101</v>
      </c>
      <c r="AR32" s="29">
        <v>42.604617604617609</v>
      </c>
      <c r="AS32" s="57">
        <v>2483</v>
      </c>
      <c r="AT32" s="57">
        <v>1529</v>
      </c>
      <c r="AU32" s="57">
        <v>954</v>
      </c>
      <c r="AV32" s="29">
        <v>5.1550543697140556</v>
      </c>
      <c r="AW32" s="29">
        <v>26.29883205799436</v>
      </c>
      <c r="AX32" s="29">
        <v>19.009262988320579</v>
      </c>
      <c r="AY32" s="29">
        <v>49.536850583970995</v>
      </c>
      <c r="AZ32" s="57">
        <v>2066</v>
      </c>
      <c r="BA32" s="57">
        <v>1245</v>
      </c>
      <c r="BB32" s="57">
        <v>821</v>
      </c>
      <c r="BC32" s="83">
        <v>4.0174249757986447</v>
      </c>
      <c r="BD32" s="83">
        <v>22.749273959341725</v>
      </c>
      <c r="BE32" s="83">
        <v>26.621490803484992</v>
      </c>
      <c r="BF32" s="83">
        <v>46.611810261374643</v>
      </c>
      <c r="BG32" s="57">
        <v>1926</v>
      </c>
      <c r="BH32" s="57">
        <v>1130</v>
      </c>
      <c r="BI32" s="57">
        <v>796</v>
      </c>
      <c r="BJ32" s="83">
        <v>4.5171339563862922</v>
      </c>
      <c r="BK32" s="83">
        <v>22.689511941848391</v>
      </c>
      <c r="BL32" s="83">
        <v>27.414330218068532</v>
      </c>
      <c r="BM32" s="78">
        <v>45.379023883696789</v>
      </c>
      <c r="BN32" s="62"/>
    </row>
    <row r="33" spans="1:66" ht="8.25" customHeight="1">
      <c r="A33" s="107">
        <v>353</v>
      </c>
      <c r="B33" s="74" t="s">
        <v>109</v>
      </c>
      <c r="C33" s="193">
        <f>VLOOKUP(A33,'C4_Berechnung'!$A$10:I$61,3,FALSE)</f>
        <v>9048</v>
      </c>
      <c r="D33" s="193">
        <f>VLOOKUP(A33,'C4_Berechnung'!$A$10:$I$61,4,FALSE)</f>
        <v>6600</v>
      </c>
      <c r="E33" s="193">
        <f>VLOOKUP(A33,'C4_Berechnung'!$A$10:$I$61,5,FALSE)</f>
        <v>2448</v>
      </c>
      <c r="F33" s="115">
        <f>VLOOKUP(A33,'C4_Berechnung'!$A$10:$I$61,6,FALSE)</f>
        <v>7.0402298850574709</v>
      </c>
      <c r="G33" s="115">
        <f>VLOOKUP(A33,'C4_Berechnung'!$A$10:$I$61,7,FALSE)</f>
        <v>26.790450928381961</v>
      </c>
      <c r="H33" s="115">
        <f>VLOOKUP(A33,'C4_Berechnung'!$A$10:$I$61,8,FALSE)</f>
        <v>28.547745358090186</v>
      </c>
      <c r="I33" s="115">
        <f>VLOOKUP(A33,'C4_Berechnung'!$A$10:$I$61,9,FALSE)</f>
        <v>37.621573828470382</v>
      </c>
      <c r="J33" s="112">
        <v>8032</v>
      </c>
      <c r="K33" s="112">
        <v>5853</v>
      </c>
      <c r="L33" s="112">
        <v>2179</v>
      </c>
      <c r="M33" s="75">
        <v>6.7604581673306772</v>
      </c>
      <c r="N33" s="75">
        <v>28.212151394422314</v>
      </c>
      <c r="O33" s="75">
        <v>25.224103585657371</v>
      </c>
      <c r="P33" s="75">
        <v>39.803286852589643</v>
      </c>
      <c r="Q33" s="112">
        <v>6224</v>
      </c>
      <c r="R33" s="112">
        <v>4363</v>
      </c>
      <c r="S33" s="112">
        <v>1861</v>
      </c>
      <c r="T33" s="75">
        <f>VLOOKUP(A33,'2017_C4'!$A$5:$I$56,6,FALSE)</f>
        <v>6.0893316195372744</v>
      </c>
      <c r="U33" s="75">
        <f>VLOOKUP(A33,'2017_C4'!$A$5:$I$56,7,FALSE)</f>
        <v>29.161311053984573</v>
      </c>
      <c r="V33" s="75">
        <f>VLOOKUP(A33,'2017_C4'!$A$5:$I$56,8,FALSE)</f>
        <v>19.296272493573266</v>
      </c>
      <c r="W33" s="75">
        <f>VLOOKUP(A33,'2017_C4'!$A$5:$I$56,9,FALSE)</f>
        <v>45.453084832904885</v>
      </c>
      <c r="X33" s="112">
        <v>5337</v>
      </c>
      <c r="Y33" s="112">
        <v>3666</v>
      </c>
      <c r="Z33" s="112">
        <v>1671</v>
      </c>
      <c r="AA33" s="69">
        <f>VLOOKUP(A33,'2016_bearbeitet'!$A$7:$T$308,17,FALSE)</f>
        <v>5.5649241146711637</v>
      </c>
      <c r="AB33" s="69">
        <f>VLOOKUP(A33,'2016_bearbeitet'!$A$7:$T$308,18,FALSE)</f>
        <v>28.592842420835673</v>
      </c>
      <c r="AC33" s="69">
        <f>VLOOKUP(A33,'2016_bearbeitet'!$A$7:$T$308,19,FALSE)</f>
        <v>19.599025669851976</v>
      </c>
      <c r="AD33" s="69">
        <f>VLOOKUP(A33,'2016_bearbeitet'!$A$7:$T$308,20,FALSE)</f>
        <v>46.243207794641187</v>
      </c>
      <c r="AE33" s="57">
        <v>4482</v>
      </c>
      <c r="AF33" s="57">
        <v>3072</v>
      </c>
      <c r="AG33" s="57">
        <v>1410</v>
      </c>
      <c r="AH33" s="29">
        <v>5.4886211512717535</v>
      </c>
      <c r="AI33" s="29">
        <v>30.031236055332439</v>
      </c>
      <c r="AJ33" s="29">
        <v>17.492190986166889</v>
      </c>
      <c r="AK33" s="29">
        <v>46.987951807228917</v>
      </c>
      <c r="AL33" s="57">
        <v>3799</v>
      </c>
      <c r="AM33" s="57">
        <v>2541</v>
      </c>
      <c r="AN33" s="57">
        <v>1258</v>
      </c>
      <c r="AO33" s="29">
        <v>5.3171887338773365</v>
      </c>
      <c r="AP33" s="29">
        <v>29.718346933403527</v>
      </c>
      <c r="AQ33" s="29">
        <v>18.215319821005526</v>
      </c>
      <c r="AR33" s="29">
        <v>46.749144511713617</v>
      </c>
      <c r="AS33" s="57">
        <v>3361</v>
      </c>
      <c r="AT33" s="57">
        <v>2195</v>
      </c>
      <c r="AU33" s="57">
        <v>1166</v>
      </c>
      <c r="AV33" s="29">
        <v>3.9869086581374593</v>
      </c>
      <c r="AW33" s="29">
        <v>24.843796489140139</v>
      </c>
      <c r="AX33" s="29">
        <v>16.096399880987803</v>
      </c>
      <c r="AY33" s="29">
        <v>55.072894971734598</v>
      </c>
      <c r="AZ33" s="57">
        <v>2595</v>
      </c>
      <c r="BA33" s="57">
        <v>1679</v>
      </c>
      <c r="BB33" s="57">
        <v>916</v>
      </c>
      <c r="BC33" s="83">
        <v>3.352601156069364</v>
      </c>
      <c r="BD33" s="83">
        <v>20.616570327552985</v>
      </c>
      <c r="BE33" s="83">
        <v>20.809248554913296</v>
      </c>
      <c r="BF33" s="83">
        <v>55.221579961464357</v>
      </c>
      <c r="BG33" s="57">
        <v>2320</v>
      </c>
      <c r="BH33" s="57">
        <v>1480</v>
      </c>
      <c r="BI33" s="57">
        <v>840</v>
      </c>
      <c r="BJ33" s="83">
        <v>3.6206896551724141</v>
      </c>
      <c r="BK33" s="83">
        <v>20.517241379310345</v>
      </c>
      <c r="BL33" s="83">
        <v>20.431034482758619</v>
      </c>
      <c r="BM33" s="78">
        <v>55.431034482758619</v>
      </c>
      <c r="BN33" s="62"/>
    </row>
    <row r="34" spans="1:66" ht="8.25" customHeight="1">
      <c r="A34" s="107">
        <v>354</v>
      </c>
      <c r="B34" s="74" t="s">
        <v>110</v>
      </c>
      <c r="C34" s="193">
        <f>VLOOKUP(A34,'C4_Berechnung'!$A$10:I$61,3,FALSE)</f>
        <v>713</v>
      </c>
      <c r="D34" s="193">
        <f>VLOOKUP(A34,'C4_Berechnung'!$A$10:$I$61,4,FALSE)</f>
        <v>457</v>
      </c>
      <c r="E34" s="193">
        <f>VLOOKUP(A34,'C4_Berechnung'!$A$10:$I$61,5,FALSE)</f>
        <v>256</v>
      </c>
      <c r="F34" s="115">
        <f>VLOOKUP(A34,'C4_Berechnung'!$A$10:$I$61,6,FALSE)</f>
        <v>9.5371669004207575</v>
      </c>
      <c r="G34" s="115">
        <f>VLOOKUP(A34,'C4_Berechnung'!$A$10:$I$61,7,FALSE)</f>
        <v>32.258064516129032</v>
      </c>
      <c r="H34" s="115">
        <f>VLOOKUP(A34,'C4_Berechnung'!$A$10:$I$61,8,FALSE)</f>
        <v>17.391304347826086</v>
      </c>
      <c r="I34" s="115">
        <f>VLOOKUP(A34,'C4_Berechnung'!$A$10:$I$61,9,FALSE)</f>
        <v>40.813464235624124</v>
      </c>
      <c r="J34" s="112">
        <v>677</v>
      </c>
      <c r="K34" s="112">
        <v>397</v>
      </c>
      <c r="L34" s="112">
        <v>280</v>
      </c>
      <c r="M34" s="75">
        <v>8.862629246676514</v>
      </c>
      <c r="N34" s="75">
        <v>28.80354505169867</v>
      </c>
      <c r="O34" s="75">
        <v>19.793205317577549</v>
      </c>
      <c r="P34" s="75">
        <v>42.540620384047266</v>
      </c>
      <c r="Q34" s="112">
        <v>654</v>
      </c>
      <c r="R34" s="112">
        <v>370</v>
      </c>
      <c r="S34" s="112">
        <v>284</v>
      </c>
      <c r="T34" s="75">
        <f>VLOOKUP(A34,'2017_C4'!$A$5:$I$56,6,FALSE)</f>
        <v>8.5626911314984699</v>
      </c>
      <c r="U34" s="75">
        <f>VLOOKUP(A34,'2017_C4'!$A$5:$I$56,7,FALSE)</f>
        <v>30.122324159021407</v>
      </c>
      <c r="V34" s="75">
        <f>VLOOKUP(A34,'2017_C4'!$A$5:$I$56,8,FALSE)</f>
        <v>16.513761467889911</v>
      </c>
      <c r="W34" s="75">
        <f>VLOOKUP(A34,'2017_C4'!$A$5:$I$56,9,FALSE)</f>
        <v>44.801223241590215</v>
      </c>
      <c r="X34" s="112">
        <v>521</v>
      </c>
      <c r="Y34" s="112">
        <v>282</v>
      </c>
      <c r="Z34" s="112">
        <v>239</v>
      </c>
      <c r="AA34" s="69">
        <f>VLOOKUP(A34,'2016_bearbeitet'!$A$7:$T$308,17,FALSE)</f>
        <v>8.2533589251439547</v>
      </c>
      <c r="AB34" s="69">
        <f>VLOOKUP(A34,'2016_bearbeitet'!$A$7:$T$308,18,FALSE)</f>
        <v>28.406909788867562</v>
      </c>
      <c r="AC34" s="69">
        <f>VLOOKUP(A34,'2016_bearbeitet'!$A$7:$T$308,19,FALSE)</f>
        <v>12.092130518234164</v>
      </c>
      <c r="AD34" s="69">
        <f>VLOOKUP(A34,'2016_bearbeitet'!$A$7:$T$308,20,FALSE)</f>
        <v>51.247600767754321</v>
      </c>
      <c r="AE34" s="57">
        <v>629</v>
      </c>
      <c r="AF34" s="57">
        <v>394</v>
      </c>
      <c r="AG34" s="57">
        <v>235</v>
      </c>
      <c r="AH34" s="29">
        <v>5.5643879173290935</v>
      </c>
      <c r="AI34" s="29">
        <v>24.642289348171701</v>
      </c>
      <c r="AJ34" s="29">
        <v>8.4260731319554854</v>
      </c>
      <c r="AK34" s="29">
        <v>61.367249602543716</v>
      </c>
      <c r="AL34" s="57">
        <v>362</v>
      </c>
      <c r="AM34" s="57">
        <v>215</v>
      </c>
      <c r="AN34" s="57">
        <v>147</v>
      </c>
      <c r="AO34" s="29">
        <v>6.9060773480662991</v>
      </c>
      <c r="AP34" s="29">
        <v>34.254143646408842</v>
      </c>
      <c r="AQ34" s="29">
        <v>13.259668508287293</v>
      </c>
      <c r="AR34" s="29">
        <v>45.58011049723757</v>
      </c>
      <c r="AS34" s="57">
        <v>303</v>
      </c>
      <c r="AT34" s="57">
        <v>183</v>
      </c>
      <c r="AU34" s="57">
        <v>120</v>
      </c>
      <c r="AV34" s="29">
        <v>6.2706270627062706</v>
      </c>
      <c r="AW34" s="29">
        <v>34.323432343234323</v>
      </c>
      <c r="AX34" s="29">
        <v>10.891089108910892</v>
      </c>
      <c r="AY34" s="29">
        <v>48.514851485148519</v>
      </c>
      <c r="AZ34" s="57">
        <v>183</v>
      </c>
      <c r="BA34" s="57">
        <v>100</v>
      </c>
      <c r="BB34" s="57">
        <v>83</v>
      </c>
      <c r="BC34" s="83">
        <v>7.1038251366120218</v>
      </c>
      <c r="BD34" s="83">
        <v>28.415300546448087</v>
      </c>
      <c r="BE34" s="83">
        <v>11.475409836065573</v>
      </c>
      <c r="BF34" s="83">
        <v>53.005464480874309</v>
      </c>
      <c r="BG34" s="57">
        <v>158</v>
      </c>
      <c r="BH34" s="57">
        <v>77</v>
      </c>
      <c r="BI34" s="57">
        <v>81</v>
      </c>
      <c r="BJ34" s="83">
        <v>6.962025316455696</v>
      </c>
      <c r="BK34" s="83">
        <v>32.911392405063289</v>
      </c>
      <c r="BL34" s="83" t="s">
        <v>214</v>
      </c>
      <c r="BM34" s="78" t="s">
        <v>214</v>
      </c>
      <c r="BN34" s="62"/>
    </row>
    <row r="35" spans="1:66" ht="8.25" customHeight="1">
      <c r="A35" s="107">
        <v>355</v>
      </c>
      <c r="B35" s="74" t="s">
        <v>111</v>
      </c>
      <c r="C35" s="193">
        <f>VLOOKUP(A35,'C4_Berechnung'!$A$10:I$61,3,FALSE)</f>
        <v>3903</v>
      </c>
      <c r="D35" s="193">
        <f>VLOOKUP(A35,'C4_Berechnung'!$A$10:$I$61,4,FALSE)</f>
        <v>2552</v>
      </c>
      <c r="E35" s="193">
        <f>VLOOKUP(A35,'C4_Berechnung'!$A$10:$I$61,5,FALSE)</f>
        <v>1351</v>
      </c>
      <c r="F35" s="115">
        <f>VLOOKUP(A35,'C4_Berechnung'!$A$10:$I$61,6,FALSE)</f>
        <v>13.553676658980272</v>
      </c>
      <c r="G35" s="115">
        <f>VLOOKUP(A35,'C4_Berechnung'!$A$10:$I$61,7,FALSE)</f>
        <v>31.206764027671021</v>
      </c>
      <c r="H35" s="115">
        <f>VLOOKUP(A35,'C4_Berechnung'!$A$10:$I$61,8,FALSE)</f>
        <v>27.363566487317449</v>
      </c>
      <c r="I35" s="115">
        <f>VLOOKUP(A35,'C4_Berechnung'!$A$10:$I$61,9,FALSE)</f>
        <v>27.875992826031258</v>
      </c>
      <c r="J35" s="112">
        <v>3651</v>
      </c>
      <c r="K35" s="112">
        <v>2418</v>
      </c>
      <c r="L35" s="112">
        <v>1233</v>
      </c>
      <c r="M35" s="75">
        <v>13.85921665297179</v>
      </c>
      <c r="N35" s="75">
        <v>31.55299917830731</v>
      </c>
      <c r="O35" s="75">
        <v>26.376335250616268</v>
      </c>
      <c r="P35" s="75">
        <v>28.21144891810463</v>
      </c>
      <c r="Q35" s="112">
        <v>3125</v>
      </c>
      <c r="R35" s="112">
        <v>1975</v>
      </c>
      <c r="S35" s="112">
        <v>1150</v>
      </c>
      <c r="T35" s="75">
        <f>VLOOKUP(A35,'2017_C4'!$A$5:$I$56,6,FALSE)</f>
        <v>14.56</v>
      </c>
      <c r="U35" s="75">
        <f>VLOOKUP(A35,'2017_C4'!$A$5:$I$56,7,FALSE)</f>
        <v>33.472000000000001</v>
      </c>
      <c r="V35" s="75">
        <f>VLOOKUP(A35,'2017_C4'!$A$5:$I$56,8,FALSE)</f>
        <v>22.656000000000002</v>
      </c>
      <c r="W35" s="75">
        <f>VLOOKUP(A35,'2017_C4'!$A$5:$I$56,9,FALSE)</f>
        <v>29.311999999999998</v>
      </c>
      <c r="X35" s="112">
        <v>2745</v>
      </c>
      <c r="Y35" s="112">
        <v>1676</v>
      </c>
      <c r="Z35" s="112">
        <v>1069</v>
      </c>
      <c r="AA35" s="69">
        <f>VLOOKUP(A35,'2016_bearbeitet'!$A$7:$T$308,17,FALSE)</f>
        <v>14.24408014571949</v>
      </c>
      <c r="AB35" s="69">
        <f>VLOOKUP(A35,'2016_bearbeitet'!$A$7:$T$308,18,FALSE)</f>
        <v>34.244080145719494</v>
      </c>
      <c r="AC35" s="69">
        <f>VLOOKUP(A35,'2016_bearbeitet'!$A$7:$T$308,19,FALSE)</f>
        <v>21.712204007285973</v>
      </c>
      <c r="AD35" s="69">
        <f>VLOOKUP(A35,'2016_bearbeitet'!$A$7:$T$308,20,FALSE)</f>
        <v>29.799635701275047</v>
      </c>
      <c r="AE35" s="57">
        <v>2309</v>
      </c>
      <c r="AF35" s="57">
        <v>1378</v>
      </c>
      <c r="AG35" s="57">
        <v>931</v>
      </c>
      <c r="AH35" s="29">
        <v>14.94153313122564</v>
      </c>
      <c r="AI35" s="29">
        <v>34.084019055868339</v>
      </c>
      <c r="AJ35" s="29">
        <v>22.304027717626678</v>
      </c>
      <c r="AK35" s="29">
        <v>28.67042009527934</v>
      </c>
      <c r="AL35" s="57">
        <v>2087</v>
      </c>
      <c r="AM35" s="57">
        <v>1231</v>
      </c>
      <c r="AN35" s="57">
        <v>856</v>
      </c>
      <c r="AO35" s="29">
        <v>14.853857211308096</v>
      </c>
      <c r="AP35" s="29">
        <v>32.82223287014854</v>
      </c>
      <c r="AQ35" s="29">
        <v>21.562050790608527</v>
      </c>
      <c r="AR35" s="29">
        <v>30.761859127934841</v>
      </c>
      <c r="AS35" s="57">
        <v>1907</v>
      </c>
      <c r="AT35" s="57">
        <v>1099</v>
      </c>
      <c r="AU35" s="57">
        <v>808</v>
      </c>
      <c r="AV35" s="29">
        <v>13.004719454640798</v>
      </c>
      <c r="AW35" s="29">
        <v>28.211851074986889</v>
      </c>
      <c r="AX35" s="29">
        <v>19.611955951756684</v>
      </c>
      <c r="AY35" s="29">
        <v>39.171473518615628</v>
      </c>
      <c r="AZ35" s="57">
        <v>1670</v>
      </c>
      <c r="BA35" s="57">
        <v>983</v>
      </c>
      <c r="BB35" s="57">
        <v>687</v>
      </c>
      <c r="BC35" s="83">
        <v>10.119760479041915</v>
      </c>
      <c r="BD35" s="83">
        <v>24.491017964071858</v>
      </c>
      <c r="BE35" s="83">
        <v>20.838323353293415</v>
      </c>
      <c r="BF35" s="83">
        <v>44.550898203592808</v>
      </c>
      <c r="BG35" s="57">
        <v>1501</v>
      </c>
      <c r="BH35" s="57">
        <v>882</v>
      </c>
      <c r="BI35" s="57">
        <v>619</v>
      </c>
      <c r="BJ35" s="83">
        <v>9.7268487674883417</v>
      </c>
      <c r="BK35" s="83">
        <v>24.5836109260493</v>
      </c>
      <c r="BL35" s="83">
        <v>21.71885409726849</v>
      </c>
      <c r="BM35" s="78">
        <v>43.970686209193865</v>
      </c>
      <c r="BN35" s="62"/>
    </row>
    <row r="36" spans="1:66" ht="8.25" customHeight="1">
      <c r="A36" s="107">
        <v>356</v>
      </c>
      <c r="B36" s="74" t="s">
        <v>112</v>
      </c>
      <c r="C36" s="193">
        <f>VLOOKUP(A36,'C4_Berechnung'!$A$10:I$61,3,FALSE)</f>
        <v>1985</v>
      </c>
      <c r="D36" s="193">
        <f>VLOOKUP(A36,'C4_Berechnung'!$A$10:$I$61,4,FALSE)</f>
        <v>1395</v>
      </c>
      <c r="E36" s="193">
        <f>VLOOKUP(A36,'C4_Berechnung'!$A$10:$I$61,5,FALSE)</f>
        <v>590</v>
      </c>
      <c r="F36" s="115">
        <f>VLOOKUP(A36,'C4_Berechnung'!$A$10:$I$61,6,FALSE)</f>
        <v>9.4206549118387901</v>
      </c>
      <c r="G36" s="115">
        <f>VLOOKUP(A36,'C4_Berechnung'!$A$10:$I$61,7,FALSE)</f>
        <v>32.695214105793454</v>
      </c>
      <c r="H36" s="115">
        <f>VLOOKUP(A36,'C4_Berechnung'!$A$10:$I$61,8,FALSE)</f>
        <v>26.347607052896727</v>
      </c>
      <c r="I36" s="115">
        <f>VLOOKUP(A36,'C4_Berechnung'!$A$10:$I$61,9,FALSE)</f>
        <v>31.536523929471034</v>
      </c>
      <c r="J36" s="112">
        <v>1703</v>
      </c>
      <c r="K36" s="112">
        <v>1163</v>
      </c>
      <c r="L36" s="112">
        <v>540</v>
      </c>
      <c r="M36" s="75">
        <v>9.9823840281855549</v>
      </c>
      <c r="N36" s="75">
        <v>33.352906635349385</v>
      </c>
      <c r="O36" s="75">
        <v>25.425719318849087</v>
      </c>
      <c r="P36" s="75">
        <v>31.238990017615968</v>
      </c>
      <c r="Q36" s="112">
        <v>1491</v>
      </c>
      <c r="R36" s="112">
        <v>1002</v>
      </c>
      <c r="S36" s="112">
        <v>489</v>
      </c>
      <c r="T36" s="75">
        <f>VLOOKUP(A36,'2017_C4'!$A$5:$I$56,6,FALSE)</f>
        <v>10.395707578806171</v>
      </c>
      <c r="U36" s="75">
        <f>VLOOKUP(A36,'2017_C4'!$A$5:$I$56,7,FALSE)</f>
        <v>33.936955063715629</v>
      </c>
      <c r="V36" s="75">
        <f>VLOOKUP(A36,'2017_C4'!$A$5:$I$56,8,FALSE)</f>
        <v>23.205902079141516</v>
      </c>
      <c r="W36" s="75">
        <f>VLOOKUP(A36,'2017_C4'!$A$5:$I$56,9,FALSE)</f>
        <v>32.461435278336687</v>
      </c>
      <c r="X36" s="112">
        <v>1321</v>
      </c>
      <c r="Y36" s="112">
        <v>905</v>
      </c>
      <c r="Z36" s="112">
        <v>416</v>
      </c>
      <c r="AA36" s="69">
        <f>VLOOKUP(A36,'2016_bearbeitet'!$A$7:$T$308,17,FALSE)</f>
        <v>8.4027252081756245</v>
      </c>
      <c r="AB36" s="69">
        <f>VLOOKUP(A36,'2016_bearbeitet'!$A$7:$T$308,18,FALSE)</f>
        <v>33.232399697199092</v>
      </c>
      <c r="AC36" s="69">
        <f>VLOOKUP(A36,'2016_bearbeitet'!$A$7:$T$308,19,FALSE)</f>
        <v>24.678274034822103</v>
      </c>
      <c r="AD36" s="69">
        <f>VLOOKUP(A36,'2016_bearbeitet'!$A$7:$T$308,20,FALSE)</f>
        <v>33.686601059803181</v>
      </c>
      <c r="AE36" s="57">
        <v>1054</v>
      </c>
      <c r="AF36" s="57">
        <v>700</v>
      </c>
      <c r="AG36" s="57">
        <v>354</v>
      </c>
      <c r="AH36" s="29">
        <v>7.9696394686907022</v>
      </c>
      <c r="AI36" s="29">
        <v>37.950664136622393</v>
      </c>
      <c r="AJ36" s="29">
        <v>22.485768500948765</v>
      </c>
      <c r="AK36" s="29">
        <v>31.59392789373814</v>
      </c>
      <c r="AL36" s="57">
        <v>989</v>
      </c>
      <c r="AM36" s="57">
        <v>675</v>
      </c>
      <c r="AN36" s="57">
        <v>314</v>
      </c>
      <c r="AO36" s="29">
        <v>6.6734074823053584</v>
      </c>
      <c r="AP36" s="29">
        <v>34.681496461071795</v>
      </c>
      <c r="AQ36" s="29">
        <v>24.165824064711831</v>
      </c>
      <c r="AR36" s="29">
        <v>34.47927199191102</v>
      </c>
      <c r="AS36" s="57">
        <v>909</v>
      </c>
      <c r="AT36" s="57">
        <v>612</v>
      </c>
      <c r="AU36" s="57">
        <v>297</v>
      </c>
      <c r="AV36" s="29">
        <v>4.5104510451045101</v>
      </c>
      <c r="AW36" s="29">
        <v>31.573157315731574</v>
      </c>
      <c r="AX36" s="29">
        <v>22.442244224422442</v>
      </c>
      <c r="AY36" s="29">
        <v>41.474147414741473</v>
      </c>
      <c r="AZ36" s="57">
        <v>775</v>
      </c>
      <c r="BA36" s="57">
        <v>503</v>
      </c>
      <c r="BB36" s="57">
        <v>272</v>
      </c>
      <c r="BC36" s="83">
        <v>3.225806451612903</v>
      </c>
      <c r="BD36" s="83">
        <v>28.258064516129032</v>
      </c>
      <c r="BE36" s="83">
        <v>18.70967741935484</v>
      </c>
      <c r="BF36" s="83">
        <v>49.806451612903217</v>
      </c>
      <c r="BG36" s="57">
        <v>645</v>
      </c>
      <c r="BH36" s="57">
        <v>403</v>
      </c>
      <c r="BI36" s="57">
        <v>242</v>
      </c>
      <c r="BJ36" s="83">
        <v>2.3255813953488373</v>
      </c>
      <c r="BK36" s="83">
        <v>25.736434108527135</v>
      </c>
      <c r="BL36" s="83">
        <v>19.224806201550386</v>
      </c>
      <c r="BM36" s="78">
        <v>52.713178294573638</v>
      </c>
      <c r="BN36" s="62"/>
    </row>
    <row r="37" spans="1:66" ht="8.25" customHeight="1">
      <c r="A37" s="107">
        <v>357</v>
      </c>
      <c r="B37" s="74" t="s">
        <v>113</v>
      </c>
      <c r="C37" s="193">
        <f>VLOOKUP(A37,'C4_Berechnung'!$A$10:I$61,3,FALSE)</f>
        <v>4111</v>
      </c>
      <c r="D37" s="193">
        <f>VLOOKUP(A37,'C4_Berechnung'!$A$10:$I$61,4,FALSE)</f>
        <v>2823</v>
      </c>
      <c r="E37" s="193">
        <f>VLOOKUP(A37,'C4_Berechnung'!$A$10:$I$61,5,FALSE)</f>
        <v>1288</v>
      </c>
      <c r="F37" s="115">
        <f>VLOOKUP(A37,'C4_Berechnung'!$A$10:$I$61,6,FALSE)</f>
        <v>8.878618341036244</v>
      </c>
      <c r="G37" s="115">
        <f>VLOOKUP(A37,'C4_Berechnung'!$A$10:$I$61,7,FALSE)</f>
        <v>35.879348090488932</v>
      </c>
      <c r="H37" s="115">
        <f>VLOOKUP(A37,'C4_Berechnung'!$A$10:$I$61,8,FALSE)</f>
        <v>23.960107029919726</v>
      </c>
      <c r="I37" s="115">
        <f>VLOOKUP(A37,'C4_Berechnung'!$A$10:$I$61,9,FALSE)</f>
        <v>31.281926538555098</v>
      </c>
      <c r="J37" s="112">
        <v>3606</v>
      </c>
      <c r="K37" s="112">
        <v>2464</v>
      </c>
      <c r="L37" s="112">
        <v>1142</v>
      </c>
      <c r="M37" s="75">
        <v>8.7077093732667787</v>
      </c>
      <c r="N37" s="75">
        <v>34.803105934553521</v>
      </c>
      <c r="O37" s="75">
        <v>22.462562396006653</v>
      </c>
      <c r="P37" s="75">
        <v>34.026622296173045</v>
      </c>
      <c r="Q37" s="112">
        <v>3356</v>
      </c>
      <c r="R37" s="112">
        <v>2263</v>
      </c>
      <c r="S37" s="112">
        <v>1093</v>
      </c>
      <c r="T37" s="75">
        <f>VLOOKUP(A37,'2017_C4'!$A$5:$I$56,6,FALSE)</f>
        <v>8.9094159713945178</v>
      </c>
      <c r="U37" s="75">
        <f>VLOOKUP(A37,'2017_C4'!$A$5:$I$56,7,FALSE)</f>
        <v>37.216924910607865</v>
      </c>
      <c r="V37" s="75">
        <f>VLOOKUP(A37,'2017_C4'!$A$5:$I$56,8,FALSE)</f>
        <v>19.338498212157329</v>
      </c>
      <c r="W37" s="75">
        <f>VLOOKUP(A37,'2017_C4'!$A$5:$I$56,9,FALSE)</f>
        <v>34.535160905840286</v>
      </c>
      <c r="X37" s="112">
        <v>2984</v>
      </c>
      <c r="Y37" s="112">
        <v>1975</v>
      </c>
      <c r="Z37" s="112">
        <v>1009</v>
      </c>
      <c r="AA37" s="69">
        <f>VLOOKUP(A37,'2016_bearbeitet'!$A$7:$T$308,17,FALSE)</f>
        <v>8.8136729222520103</v>
      </c>
      <c r="AB37" s="69">
        <f>VLOOKUP(A37,'2016_bearbeitet'!$A$7:$T$308,18,FALSE)</f>
        <v>40.214477211796243</v>
      </c>
      <c r="AC37" s="69">
        <f>VLOOKUP(A37,'2016_bearbeitet'!$A$7:$T$308,19,FALSE)</f>
        <v>16.823056300268096</v>
      </c>
      <c r="AD37" s="69">
        <f>VLOOKUP(A37,'2016_bearbeitet'!$A$7:$T$308,20,FALSE)</f>
        <v>34.148793565683647</v>
      </c>
      <c r="AE37" s="57">
        <v>2229</v>
      </c>
      <c r="AF37" s="57">
        <v>1487</v>
      </c>
      <c r="AG37" s="57">
        <v>742</v>
      </c>
      <c r="AH37" s="29">
        <v>10.273665320771647</v>
      </c>
      <c r="AI37" s="29">
        <v>31.942575145805296</v>
      </c>
      <c r="AJ37" s="29">
        <v>19.02198295199641</v>
      </c>
      <c r="AK37" s="29">
        <v>38.761776581426652</v>
      </c>
      <c r="AL37" s="57">
        <v>2018</v>
      </c>
      <c r="AM37" s="57">
        <v>1339</v>
      </c>
      <c r="AN37" s="57">
        <v>679</v>
      </c>
      <c r="AO37" s="29">
        <v>9.4648166501486628</v>
      </c>
      <c r="AP37" s="29">
        <v>31.318136769078297</v>
      </c>
      <c r="AQ37" s="29">
        <v>18.334985133795836</v>
      </c>
      <c r="AR37" s="29">
        <v>40.882061446977204</v>
      </c>
      <c r="AS37" s="57">
        <v>1752</v>
      </c>
      <c r="AT37" s="57">
        <v>1116</v>
      </c>
      <c r="AU37" s="57">
        <v>636</v>
      </c>
      <c r="AV37" s="29">
        <v>9.1894977168949765</v>
      </c>
      <c r="AW37" s="29">
        <v>27.853881278538811</v>
      </c>
      <c r="AX37" s="29">
        <v>17.751141552511417</v>
      </c>
      <c r="AY37" s="29">
        <v>45.205479452054803</v>
      </c>
      <c r="AZ37" s="57">
        <v>1437</v>
      </c>
      <c r="BA37" s="57">
        <v>875</v>
      </c>
      <c r="BB37" s="57">
        <v>562</v>
      </c>
      <c r="BC37" s="83">
        <v>6.8197633959638138</v>
      </c>
      <c r="BD37" s="83">
        <v>27.20946416144746</v>
      </c>
      <c r="BE37" s="83">
        <v>27.905358385525403</v>
      </c>
      <c r="BF37" s="83">
        <v>38.065414057063329</v>
      </c>
      <c r="BG37" s="57">
        <v>1295</v>
      </c>
      <c r="BH37" s="57">
        <v>791</v>
      </c>
      <c r="BI37" s="57">
        <v>504</v>
      </c>
      <c r="BJ37" s="83">
        <v>6.2548262548262556</v>
      </c>
      <c r="BK37" s="83">
        <v>28.108108108108109</v>
      </c>
      <c r="BL37" s="83">
        <v>32.972972972972975</v>
      </c>
      <c r="BM37" s="78">
        <v>32.664092664092664</v>
      </c>
      <c r="BN37" s="62"/>
    </row>
    <row r="38" spans="1:66" ht="8.25" customHeight="1">
      <c r="A38" s="107">
        <v>358</v>
      </c>
      <c r="B38" s="74" t="s">
        <v>114</v>
      </c>
      <c r="C38" s="193">
        <f>VLOOKUP(A38,'C4_Berechnung'!$A$10:I$61,3,FALSE)</f>
        <v>4245</v>
      </c>
      <c r="D38" s="193">
        <f>VLOOKUP(A38,'C4_Berechnung'!$A$10:$I$61,4,FALSE)</f>
        <v>2765</v>
      </c>
      <c r="E38" s="193">
        <f>VLOOKUP(A38,'C4_Berechnung'!$A$10:$I$61,5,FALSE)</f>
        <v>1480</v>
      </c>
      <c r="F38" s="115">
        <f>VLOOKUP(A38,'C4_Berechnung'!$A$10:$I$61,6,FALSE)</f>
        <v>7.4676089517078914</v>
      </c>
      <c r="G38" s="115">
        <f>VLOOKUP(A38,'C4_Berechnung'!$A$10:$I$61,7,FALSE)</f>
        <v>35.948174322732626</v>
      </c>
      <c r="H38" s="115">
        <f>VLOOKUP(A38,'C4_Berechnung'!$A$10:$I$61,8,FALSE)</f>
        <v>21.43698468786808</v>
      </c>
      <c r="I38" s="115">
        <f>VLOOKUP(A38,'C4_Berechnung'!$A$10:$I$61,9,FALSE)</f>
        <v>35.147232037691403</v>
      </c>
      <c r="J38" s="112">
        <v>3797</v>
      </c>
      <c r="K38" s="112">
        <v>2508</v>
      </c>
      <c r="L38" s="112">
        <v>1289</v>
      </c>
      <c r="M38" s="75">
        <v>7.3742428232815378</v>
      </c>
      <c r="N38" s="75">
        <v>36.792204371872536</v>
      </c>
      <c r="O38" s="75">
        <v>20.858572557282066</v>
      </c>
      <c r="P38" s="75">
        <v>34.974980247563863</v>
      </c>
      <c r="Q38" s="112">
        <v>3290</v>
      </c>
      <c r="R38" s="112">
        <v>2171</v>
      </c>
      <c r="S38" s="112">
        <v>1119</v>
      </c>
      <c r="T38" s="75">
        <f>VLOOKUP(A38,'2017_C4'!$A$5:$I$56,6,FALSE)</f>
        <v>7.5379939209726441</v>
      </c>
      <c r="U38" s="75">
        <f>VLOOKUP(A38,'2017_C4'!$A$5:$I$56,7,FALSE)</f>
        <v>35.775075987841944</v>
      </c>
      <c r="V38" s="75">
        <f>VLOOKUP(A38,'2017_C4'!$A$5:$I$56,8,FALSE)</f>
        <v>21.124620060790271</v>
      </c>
      <c r="W38" s="75">
        <f>VLOOKUP(A38,'2017_C4'!$A$5:$I$56,9,FALSE)</f>
        <v>35.562310030395139</v>
      </c>
      <c r="X38" s="112">
        <v>2855</v>
      </c>
      <c r="Y38" s="112">
        <v>1854</v>
      </c>
      <c r="Z38" s="112">
        <v>1001</v>
      </c>
      <c r="AA38" s="69">
        <f>VLOOKUP(A38,'2016_bearbeitet'!$A$7:$T$308,17,FALSE)</f>
        <v>7.8809106830122584</v>
      </c>
      <c r="AB38" s="69">
        <f>VLOOKUP(A38,'2016_bearbeitet'!$A$7:$T$308,18,FALSE)</f>
        <v>36.812609457092819</v>
      </c>
      <c r="AC38" s="69">
        <f>VLOOKUP(A38,'2016_bearbeitet'!$A$7:$T$308,19,FALSE)</f>
        <v>21.190893169877409</v>
      </c>
      <c r="AD38" s="69">
        <f>VLOOKUP(A38,'2016_bearbeitet'!$A$7:$T$308,20,FALSE)</f>
        <v>34.115586690017516</v>
      </c>
      <c r="AE38" s="57">
        <v>2484</v>
      </c>
      <c r="AF38" s="57">
        <v>1634</v>
      </c>
      <c r="AG38" s="57">
        <v>850</v>
      </c>
      <c r="AH38" s="29">
        <v>7.7294685990338161</v>
      </c>
      <c r="AI38" s="29">
        <v>37.721417069243159</v>
      </c>
      <c r="AJ38" s="29">
        <v>19.404186795491142</v>
      </c>
      <c r="AK38" s="29">
        <v>35.144927536231883</v>
      </c>
      <c r="AL38" s="57">
        <v>2268</v>
      </c>
      <c r="AM38" s="57">
        <v>1510</v>
      </c>
      <c r="AN38" s="57">
        <v>758</v>
      </c>
      <c r="AO38" s="29">
        <v>7.4955908289241622</v>
      </c>
      <c r="AP38" s="29">
        <v>37.213403880070544</v>
      </c>
      <c r="AQ38" s="29">
        <v>18.562610229276896</v>
      </c>
      <c r="AR38" s="29">
        <v>36.728395061728392</v>
      </c>
      <c r="AS38" s="57">
        <v>2105</v>
      </c>
      <c r="AT38" s="57">
        <v>1391</v>
      </c>
      <c r="AU38" s="57">
        <v>714</v>
      </c>
      <c r="AV38" s="29">
        <v>5.3681710213776723</v>
      </c>
      <c r="AW38" s="29">
        <v>30.023752969121141</v>
      </c>
      <c r="AX38" s="29">
        <v>16.959619952494062</v>
      </c>
      <c r="AY38" s="29">
        <v>47.648456057007124</v>
      </c>
      <c r="AZ38" s="57">
        <v>1726</v>
      </c>
      <c r="BA38" s="57">
        <v>1114</v>
      </c>
      <c r="BB38" s="57">
        <v>612</v>
      </c>
      <c r="BC38" s="83">
        <v>4.6349942062572422</v>
      </c>
      <c r="BD38" s="83">
        <v>26.709154113557361</v>
      </c>
      <c r="BE38" s="83">
        <v>24.449594438006951</v>
      </c>
      <c r="BF38" s="83">
        <v>44.206257242178445</v>
      </c>
      <c r="BG38" s="57">
        <v>1605</v>
      </c>
      <c r="BH38" s="57">
        <v>1029</v>
      </c>
      <c r="BI38" s="57">
        <v>576</v>
      </c>
      <c r="BJ38" s="83">
        <v>3.0529595015576323</v>
      </c>
      <c r="BK38" s="83">
        <v>26.915887850467289</v>
      </c>
      <c r="BL38" s="83">
        <v>25.420560747663551</v>
      </c>
      <c r="BM38" s="78">
        <v>44.610591900311526</v>
      </c>
      <c r="BN38" s="62"/>
    </row>
    <row r="39" spans="1:66" ht="8.25" customHeight="1">
      <c r="A39" s="107">
        <v>359</v>
      </c>
      <c r="B39" s="74" t="s">
        <v>115</v>
      </c>
      <c r="C39" s="193">
        <f>VLOOKUP(A39,'C4_Berechnung'!$A$10:I$61,3,FALSE)</f>
        <v>5633</v>
      </c>
      <c r="D39" s="193">
        <f>VLOOKUP(A39,'C4_Berechnung'!$A$10:$I$61,4,FALSE)</f>
        <v>4017</v>
      </c>
      <c r="E39" s="193">
        <f>VLOOKUP(A39,'C4_Berechnung'!$A$10:$I$61,5,FALSE)</f>
        <v>1616</v>
      </c>
      <c r="F39" s="115">
        <f>VLOOKUP(A39,'C4_Berechnung'!$A$10:$I$61,6,FALSE)</f>
        <v>8.2904313864725729</v>
      </c>
      <c r="G39" s="115">
        <f>VLOOKUP(A39,'C4_Berechnung'!$A$10:$I$61,7,FALSE)</f>
        <v>24.729273921533817</v>
      </c>
      <c r="H39" s="115">
        <f>VLOOKUP(A39,'C4_Berechnung'!$A$10:$I$61,8,FALSE)</f>
        <v>22.048641931475235</v>
      </c>
      <c r="I39" s="115">
        <f>VLOOKUP(A39,'C4_Berechnung'!$A$10:$I$61,9,FALSE)</f>
        <v>44.931652760518375</v>
      </c>
      <c r="J39" s="112">
        <v>5030</v>
      </c>
      <c r="K39" s="112">
        <v>3638</v>
      </c>
      <c r="L39" s="112">
        <v>1392</v>
      </c>
      <c r="M39" s="75">
        <v>7.7137176938369789</v>
      </c>
      <c r="N39" s="75">
        <v>25.347912524850898</v>
      </c>
      <c r="O39" s="75">
        <v>20.656063618290258</v>
      </c>
      <c r="P39" s="75">
        <v>46.282306163021872</v>
      </c>
      <c r="Q39" s="112">
        <v>4514</v>
      </c>
      <c r="R39" s="112">
        <v>3241</v>
      </c>
      <c r="S39" s="112">
        <v>1273</v>
      </c>
      <c r="T39" s="75">
        <f>VLOOKUP(A39,'2017_C4'!$A$5:$I$56,6,FALSE)</f>
        <v>7.9973416038989802</v>
      </c>
      <c r="U39" s="75">
        <f>VLOOKUP(A39,'2017_C4'!$A$5:$I$56,7,FALSE)</f>
        <v>25.963668586619406</v>
      </c>
      <c r="V39" s="75">
        <f>VLOOKUP(A39,'2017_C4'!$A$5:$I$56,8,FALSE)</f>
        <v>18.365086397873284</v>
      </c>
      <c r="W39" s="75">
        <f>VLOOKUP(A39,'2017_C4'!$A$5:$I$56,9,FALSE)</f>
        <v>47.673903411608329</v>
      </c>
      <c r="X39" s="112">
        <v>4321</v>
      </c>
      <c r="Y39" s="112">
        <v>3253</v>
      </c>
      <c r="Z39" s="112">
        <v>1068</v>
      </c>
      <c r="AA39" s="69">
        <f>VLOOKUP(A39,'2016_bearbeitet'!$A$7:$T$308,17,FALSE)</f>
        <v>7.4288359176116634</v>
      </c>
      <c r="AB39" s="69">
        <f>VLOOKUP(A39,'2016_bearbeitet'!$A$7:$T$308,18,FALSE)</f>
        <v>24.369358944688731</v>
      </c>
      <c r="AC39" s="69">
        <f>VLOOKUP(A39,'2016_bearbeitet'!$A$7:$T$308,19,FALSE)</f>
        <v>15.667669520944225</v>
      </c>
      <c r="AD39" s="69">
        <f>VLOOKUP(A39,'2016_bearbeitet'!$A$7:$T$308,20,FALSE)</f>
        <v>52.534135616755385</v>
      </c>
      <c r="AE39" s="57">
        <v>4157</v>
      </c>
      <c r="AF39" s="57">
        <v>3195</v>
      </c>
      <c r="AG39" s="57">
        <v>962</v>
      </c>
      <c r="AH39" s="29">
        <v>6.3988453211450569</v>
      </c>
      <c r="AI39" s="29">
        <v>25.066153476064468</v>
      </c>
      <c r="AJ39" s="29">
        <v>13.302862641327881</v>
      </c>
      <c r="AK39" s="29">
        <v>55.232138561462591</v>
      </c>
      <c r="AL39" s="57">
        <v>4176</v>
      </c>
      <c r="AM39" s="57">
        <v>3228</v>
      </c>
      <c r="AN39" s="57">
        <v>948</v>
      </c>
      <c r="AO39" s="29">
        <v>6.1781609195402298</v>
      </c>
      <c r="AP39" s="29">
        <v>24.305555555555554</v>
      </c>
      <c r="AQ39" s="29">
        <v>11.422413793103448</v>
      </c>
      <c r="AR39" s="29">
        <v>58.093869731800766</v>
      </c>
      <c r="AS39" s="57">
        <v>3996</v>
      </c>
      <c r="AT39" s="57">
        <v>3142</v>
      </c>
      <c r="AU39" s="57">
        <v>854</v>
      </c>
      <c r="AV39" s="29">
        <v>6.1311311311311307</v>
      </c>
      <c r="AW39" s="29">
        <v>22.797797797797799</v>
      </c>
      <c r="AX39" s="29">
        <v>9.5095095095095097</v>
      </c>
      <c r="AY39" s="29">
        <v>61.561561561561561</v>
      </c>
      <c r="AZ39" s="57">
        <v>3800</v>
      </c>
      <c r="BA39" s="57">
        <v>3172</v>
      </c>
      <c r="BB39" s="57">
        <v>628</v>
      </c>
      <c r="BC39" s="83">
        <v>10.710526315789473</v>
      </c>
      <c r="BD39" s="83">
        <v>22.973684210526315</v>
      </c>
      <c r="BE39" s="83">
        <v>7.8157894736842106</v>
      </c>
      <c r="BF39" s="83">
        <v>58.500000000000007</v>
      </c>
      <c r="BG39" s="57">
        <v>3469</v>
      </c>
      <c r="BH39" s="57">
        <v>2915</v>
      </c>
      <c r="BI39" s="57">
        <v>554</v>
      </c>
      <c r="BJ39" s="83">
        <v>9.7722686653214179</v>
      </c>
      <c r="BK39" s="83">
        <v>23.320841741135773</v>
      </c>
      <c r="BL39" s="83">
        <v>8.8209858748918997</v>
      </c>
      <c r="BM39" s="78">
        <v>58.085903718650897</v>
      </c>
      <c r="BN39" s="62"/>
    </row>
    <row r="40" spans="1:66" ht="8.25" customHeight="1">
      <c r="A40" s="107">
        <v>360</v>
      </c>
      <c r="B40" s="74" t="s">
        <v>116</v>
      </c>
      <c r="C40" s="193">
        <f>VLOOKUP(A40,'C4_Berechnung'!$A$10:I$61,3,FALSE)</f>
        <v>1615</v>
      </c>
      <c r="D40" s="193">
        <f>VLOOKUP(A40,'C4_Berechnung'!$A$10:$I$61,4,FALSE)</f>
        <v>1016</v>
      </c>
      <c r="E40" s="193">
        <f>VLOOKUP(A40,'C4_Berechnung'!$A$10:$I$61,5,FALSE)</f>
        <v>599</v>
      </c>
      <c r="F40" s="115">
        <f>VLOOKUP(A40,'C4_Berechnung'!$A$10:$I$61,6,FALSE)</f>
        <v>14.489164086687307</v>
      </c>
      <c r="G40" s="115">
        <f>VLOOKUP(A40,'C4_Berechnung'!$A$10:$I$61,7,FALSE)</f>
        <v>35.60371517027864</v>
      </c>
      <c r="H40" s="115">
        <f>VLOOKUP(A40,'C4_Berechnung'!$A$10:$I$61,8,FALSE)</f>
        <v>22.229102167182663</v>
      </c>
      <c r="I40" s="115">
        <f>VLOOKUP(A40,'C4_Berechnung'!$A$10:$I$61,9,FALSE)</f>
        <v>27.678018575851393</v>
      </c>
      <c r="J40" s="112">
        <v>1413</v>
      </c>
      <c r="K40" s="112">
        <v>883</v>
      </c>
      <c r="L40" s="112">
        <v>530</v>
      </c>
      <c r="M40" s="75">
        <v>14.578910120311395</v>
      </c>
      <c r="N40" s="75">
        <v>34.748761500353858</v>
      </c>
      <c r="O40" s="75">
        <v>19.53290870488323</v>
      </c>
      <c r="P40" s="75">
        <v>31.139419674451524</v>
      </c>
      <c r="Q40" s="112">
        <v>1245</v>
      </c>
      <c r="R40" s="112">
        <v>750</v>
      </c>
      <c r="S40" s="112">
        <v>495</v>
      </c>
      <c r="T40" s="75">
        <f>VLOOKUP(A40,'2017_C4'!$A$5:$I$56,6,FALSE)</f>
        <v>16.626506024096386</v>
      </c>
      <c r="U40" s="75">
        <f>VLOOKUP(A40,'2017_C4'!$A$5:$I$56,7,FALSE)</f>
        <v>32.690763052208837</v>
      </c>
      <c r="V40" s="75">
        <f>VLOOKUP(A40,'2017_C4'!$A$5:$I$56,8,FALSE)</f>
        <v>17.831325301204821</v>
      </c>
      <c r="W40" s="75">
        <f>VLOOKUP(A40,'2017_C4'!$A$5:$I$56,9,FALSE)</f>
        <v>32.851405622489963</v>
      </c>
      <c r="X40" s="112">
        <v>1068</v>
      </c>
      <c r="Y40" s="112">
        <v>660</v>
      </c>
      <c r="Z40" s="112">
        <v>408</v>
      </c>
      <c r="AA40" s="69">
        <f>VLOOKUP(A40,'2016_bearbeitet'!$A$7:$T$308,17,FALSE)</f>
        <v>16.292134831460675</v>
      </c>
      <c r="AB40" s="69">
        <f>VLOOKUP(A40,'2016_bearbeitet'!$A$7:$T$308,18,FALSE)</f>
        <v>35.018726591760299</v>
      </c>
      <c r="AC40" s="69">
        <f>VLOOKUP(A40,'2016_bearbeitet'!$A$7:$T$308,19,FALSE)</f>
        <v>17.977528089887642</v>
      </c>
      <c r="AD40" s="69">
        <f>VLOOKUP(A40,'2016_bearbeitet'!$A$7:$T$308,20,FALSE)</f>
        <v>30.711610486891384</v>
      </c>
      <c r="AE40" s="57">
        <v>962</v>
      </c>
      <c r="AF40" s="57">
        <v>570</v>
      </c>
      <c r="AG40" s="57">
        <v>392</v>
      </c>
      <c r="AH40" s="29">
        <v>16.735966735966738</v>
      </c>
      <c r="AI40" s="29">
        <v>33.991683991683992</v>
      </c>
      <c r="AJ40" s="29">
        <v>16.424116424116423</v>
      </c>
      <c r="AK40" s="29">
        <v>32.848232848232854</v>
      </c>
      <c r="AL40" s="57">
        <v>857</v>
      </c>
      <c r="AM40" s="57">
        <v>501</v>
      </c>
      <c r="AN40" s="57">
        <v>356</v>
      </c>
      <c r="AO40" s="29">
        <v>14.935822637106183</v>
      </c>
      <c r="AP40" s="29">
        <v>34.189031505250881</v>
      </c>
      <c r="AQ40" s="29">
        <v>15.402567094515755</v>
      </c>
      <c r="AR40" s="29">
        <v>35.472578763127174</v>
      </c>
      <c r="AS40" s="57">
        <v>752</v>
      </c>
      <c r="AT40" s="57">
        <v>437</v>
      </c>
      <c r="AU40" s="57">
        <v>315</v>
      </c>
      <c r="AV40" s="29">
        <v>12.5</v>
      </c>
      <c r="AW40" s="29">
        <v>29.920212765957448</v>
      </c>
      <c r="AX40" s="29">
        <v>11.569148936170212</v>
      </c>
      <c r="AY40" s="29">
        <v>46.010638297872347</v>
      </c>
      <c r="AZ40" s="57">
        <v>596</v>
      </c>
      <c r="BA40" s="57">
        <v>361</v>
      </c>
      <c r="BB40" s="57">
        <v>235</v>
      </c>
      <c r="BC40" s="83">
        <v>9.2281879194630871</v>
      </c>
      <c r="BD40" s="83">
        <v>29.194630872483224</v>
      </c>
      <c r="BE40" s="83">
        <v>11.409395973154362</v>
      </c>
      <c r="BF40" s="83">
        <v>50.167785234899327</v>
      </c>
      <c r="BG40" s="57">
        <v>523</v>
      </c>
      <c r="BH40" s="57">
        <v>310</v>
      </c>
      <c r="BI40" s="57">
        <v>213</v>
      </c>
      <c r="BJ40" s="83">
        <v>7.4569789674952203</v>
      </c>
      <c r="BK40" s="83">
        <v>31.166347992351817</v>
      </c>
      <c r="BL40" s="83">
        <v>12.619502868068832</v>
      </c>
      <c r="BM40" s="78">
        <v>48.75717017208413</v>
      </c>
      <c r="BN40" s="62"/>
    </row>
    <row r="41" spans="1:66" ht="8.25" customHeight="1">
      <c r="A41" s="107">
        <v>361</v>
      </c>
      <c r="B41" s="74" t="s">
        <v>117</v>
      </c>
      <c r="C41" s="193">
        <f>VLOOKUP(A41,'C4_Berechnung'!$A$10:I$61,3,FALSE)</f>
        <v>4890</v>
      </c>
      <c r="D41" s="193">
        <f>VLOOKUP(A41,'C4_Berechnung'!$A$10:$I$61,4,FALSE)</f>
        <v>3456</v>
      </c>
      <c r="E41" s="193">
        <f>VLOOKUP(A41,'C4_Berechnung'!$A$10:$I$61,5,FALSE)</f>
        <v>1434</v>
      </c>
      <c r="F41" s="115">
        <f>VLOOKUP(A41,'C4_Berechnung'!$A$10:$I$61,6,FALSE)</f>
        <v>8.1186094069529648</v>
      </c>
      <c r="G41" s="115">
        <f>VLOOKUP(A41,'C4_Berechnung'!$A$10:$I$61,7,FALSE)</f>
        <v>26.400817995910021</v>
      </c>
      <c r="H41" s="115">
        <f>VLOOKUP(A41,'C4_Berechnung'!$A$10:$I$61,8,FALSE)</f>
        <v>26.012269938650306</v>
      </c>
      <c r="I41" s="115">
        <f>VLOOKUP(A41,'C4_Berechnung'!$A$10:$I$61,9,FALSE)</f>
        <v>39.468302658486706</v>
      </c>
      <c r="J41" s="112">
        <v>4393</v>
      </c>
      <c r="K41" s="112">
        <v>3082</v>
      </c>
      <c r="L41" s="112">
        <v>1311</v>
      </c>
      <c r="M41" s="75">
        <v>8.2403824265877521</v>
      </c>
      <c r="N41" s="75">
        <v>26.178010471204189</v>
      </c>
      <c r="O41" s="75">
        <v>25.950375597541541</v>
      </c>
      <c r="P41" s="75">
        <v>39.631231504666516</v>
      </c>
      <c r="Q41" s="112">
        <v>3863</v>
      </c>
      <c r="R41" s="112">
        <v>2605</v>
      </c>
      <c r="S41" s="112">
        <v>1258</v>
      </c>
      <c r="T41" s="75">
        <f>VLOOKUP(A41,'2017_C4'!$A$5:$I$56,6,FALSE)</f>
        <v>9.2415221330572095</v>
      </c>
      <c r="U41" s="75">
        <f>VLOOKUP(A41,'2017_C4'!$A$5:$I$56,7,FALSE)</f>
        <v>27.439813616360343</v>
      </c>
      <c r="V41" s="75">
        <f>VLOOKUP(A41,'2017_C4'!$A$5:$I$56,8,FALSE)</f>
        <v>25.213564587108468</v>
      </c>
      <c r="W41" s="75">
        <f>VLOOKUP(A41,'2017_C4'!$A$5:$I$56,9,FALSE)</f>
        <v>38.105099663473986</v>
      </c>
      <c r="X41" s="112">
        <v>3287</v>
      </c>
      <c r="Y41" s="112">
        <v>2209</v>
      </c>
      <c r="Z41" s="112">
        <v>1078</v>
      </c>
      <c r="AA41" s="69">
        <f>VLOOKUP(A41,'2016_bearbeitet'!$A$7:$T$308,17,FALSE)</f>
        <v>10.495892911469424</v>
      </c>
      <c r="AB41" s="69">
        <f>VLOOKUP(A41,'2016_bearbeitet'!$A$7:$T$308,18,FALSE)</f>
        <v>29.327654396105874</v>
      </c>
      <c r="AC41" s="69">
        <f>VLOOKUP(A41,'2016_bearbeitet'!$A$7:$T$308,19,FALSE)</f>
        <v>25.585640401581987</v>
      </c>
      <c r="AD41" s="69">
        <f>VLOOKUP(A41,'2016_bearbeitet'!$A$7:$T$308,20,FALSE)</f>
        <v>34.590812290842713</v>
      </c>
      <c r="AE41" s="57">
        <v>2706</v>
      </c>
      <c r="AF41" s="57">
        <v>1764</v>
      </c>
      <c r="AG41" s="57">
        <v>942</v>
      </c>
      <c r="AH41" s="29">
        <v>11.936437546193645</v>
      </c>
      <c r="AI41" s="29">
        <v>31.300813008130078</v>
      </c>
      <c r="AJ41" s="29">
        <v>23.133776792313377</v>
      </c>
      <c r="AK41" s="29">
        <v>33.628972653362908</v>
      </c>
      <c r="AL41" s="57">
        <v>2427</v>
      </c>
      <c r="AM41" s="57">
        <v>1566</v>
      </c>
      <c r="AN41" s="57">
        <v>861</v>
      </c>
      <c r="AO41" s="29">
        <v>11.701689328388957</v>
      </c>
      <c r="AP41" s="29">
        <v>31.520395550061803</v>
      </c>
      <c r="AQ41" s="29">
        <v>25.751957148743305</v>
      </c>
      <c r="AR41" s="29">
        <v>31.025957972805934</v>
      </c>
      <c r="AS41" s="57">
        <v>2239</v>
      </c>
      <c r="AT41" s="57">
        <v>1434</v>
      </c>
      <c r="AU41" s="57">
        <v>805</v>
      </c>
      <c r="AV41" s="29">
        <v>10.45109423849933</v>
      </c>
      <c r="AW41" s="29">
        <v>28.271549799017421</v>
      </c>
      <c r="AX41" s="29">
        <v>24.47521214828048</v>
      </c>
      <c r="AY41" s="29">
        <v>36.802143814202772</v>
      </c>
      <c r="AZ41" s="57">
        <v>1943</v>
      </c>
      <c r="BA41" s="57">
        <v>1264</v>
      </c>
      <c r="BB41" s="57">
        <v>679</v>
      </c>
      <c r="BC41" s="83">
        <v>7.8229541945445193</v>
      </c>
      <c r="BD41" s="83">
        <v>24.395265054040145</v>
      </c>
      <c r="BE41" s="83">
        <v>33.093154915079772</v>
      </c>
      <c r="BF41" s="83">
        <v>34.688625836335568</v>
      </c>
      <c r="BG41" s="57">
        <v>1820</v>
      </c>
      <c r="BH41" s="57">
        <v>1195</v>
      </c>
      <c r="BI41" s="57">
        <v>625</v>
      </c>
      <c r="BJ41" s="83">
        <v>7.9670329670329663</v>
      </c>
      <c r="BK41" s="83">
        <v>24.945054945054945</v>
      </c>
      <c r="BL41" s="83">
        <v>36.483516483516482</v>
      </c>
      <c r="BM41" s="78">
        <v>30.604395604395602</v>
      </c>
      <c r="BN41" s="62"/>
    </row>
    <row r="42" spans="1:66" s="54" customFormat="1" ht="16.5" customHeight="1">
      <c r="A42" s="108">
        <v>3</v>
      </c>
      <c r="B42" s="84" t="s">
        <v>156</v>
      </c>
      <c r="C42" s="193">
        <f>VLOOKUP(A42,'C4_Berechnung'!$A$10:I$61,3,FALSE)</f>
        <v>44252</v>
      </c>
      <c r="D42" s="193">
        <f>VLOOKUP(A42,'C4_Berechnung'!$A$10:$I$61,4,FALSE)</f>
        <v>30425</v>
      </c>
      <c r="E42" s="193">
        <f>VLOOKUP(A42,'C4_Berechnung'!$A$10:$I$61,5,FALSE)</f>
        <v>13827</v>
      </c>
      <c r="F42" s="115">
        <f>VLOOKUP(A42,'C4_Berechnung'!$A$10:$I$61,6,FALSE)</f>
        <v>9.0775558166862513</v>
      </c>
      <c r="G42" s="115">
        <f>VLOOKUP(A42,'C4_Berechnung'!$A$10:$I$61,7,FALSE)</f>
        <v>29.944409292235378</v>
      </c>
      <c r="H42" s="115">
        <f>VLOOKUP(A42,'C4_Berechnung'!$A$10:$I$61,8,FALSE)</f>
        <v>25.601102775015818</v>
      </c>
      <c r="I42" s="115">
        <f>VLOOKUP(A42,'C4_Berechnung'!$A$10:$I$61,9,FALSE)</f>
        <v>35.376932116062548</v>
      </c>
      <c r="J42" s="113">
        <v>39896</v>
      </c>
      <c r="K42" s="113">
        <v>27474</v>
      </c>
      <c r="L42" s="113">
        <v>12422</v>
      </c>
      <c r="M42" s="85">
        <v>8.9156807700020053</v>
      </c>
      <c r="N42" s="85">
        <v>30.313815921395626</v>
      </c>
      <c r="O42" s="85">
        <v>24.067575696811712</v>
      </c>
      <c r="P42" s="85">
        <v>36.702927611790656</v>
      </c>
      <c r="Q42" s="113">
        <v>34592</v>
      </c>
      <c r="R42" s="113">
        <v>23121</v>
      </c>
      <c r="S42" s="113">
        <v>11471</v>
      </c>
      <c r="T42" s="85">
        <f>VLOOKUP(A42,'2017_C4'!$A$5:$I$56,6,FALSE)</f>
        <v>9.2622571692876967</v>
      </c>
      <c r="U42" s="85">
        <f>VLOOKUP(A42,'2017_C4'!$A$5:$I$56,7,FALSE)</f>
        <v>30.923334875115632</v>
      </c>
      <c r="V42" s="85">
        <f>VLOOKUP(A42,'2017_C4'!$A$5:$I$56,8,FALSE)</f>
        <v>21.603260869565215</v>
      </c>
      <c r="W42" s="85">
        <f>VLOOKUP(A42,'2017_C4'!$A$5:$I$56,9,FALSE)</f>
        <v>38.211147086031453</v>
      </c>
      <c r="X42" s="113">
        <v>30576</v>
      </c>
      <c r="Y42" s="113">
        <v>20392</v>
      </c>
      <c r="Z42" s="113">
        <v>10184</v>
      </c>
      <c r="AA42" s="69">
        <f>VLOOKUP(A42,'2016_bearbeitet'!$A$7:$T$308,17,FALSE)</f>
        <v>9.1542386185243316</v>
      </c>
      <c r="AB42" s="69">
        <f>VLOOKUP(A42,'2016_bearbeitet'!$A$7:$T$308,18,FALSE)</f>
        <v>31.511643118785976</v>
      </c>
      <c r="AC42" s="69">
        <f>VLOOKUP(A42,'2016_bearbeitet'!$A$7:$T$308,19,FALSE)</f>
        <v>20.692700156985872</v>
      </c>
      <c r="AD42" s="69">
        <f>VLOOKUP(A42,'2016_bearbeitet'!$A$7:$T$308,20,FALSE)</f>
        <v>38.641418105703821</v>
      </c>
      <c r="AE42" s="86">
        <v>26561</v>
      </c>
      <c r="AF42" s="86">
        <v>17714</v>
      </c>
      <c r="AG42" s="86">
        <v>8847</v>
      </c>
      <c r="AH42" s="87">
        <v>9.1939309513949024</v>
      </c>
      <c r="AI42" s="87">
        <v>31.45212906140582</v>
      </c>
      <c r="AJ42" s="87">
        <v>19.389330221000716</v>
      </c>
      <c r="AK42" s="87">
        <v>39.964609766198556</v>
      </c>
      <c r="AL42" s="86">
        <v>24090</v>
      </c>
      <c r="AM42" s="86">
        <v>16115</v>
      </c>
      <c r="AN42" s="86">
        <v>7975</v>
      </c>
      <c r="AO42" s="87">
        <v>8.9207139892071385</v>
      </c>
      <c r="AP42" s="87">
        <v>31.008717310087174</v>
      </c>
      <c r="AQ42" s="87">
        <v>19.057700290577003</v>
      </c>
      <c r="AR42" s="87">
        <v>41.012868410128682</v>
      </c>
      <c r="AS42" s="86">
        <v>22006</v>
      </c>
      <c r="AT42" s="86">
        <v>14556</v>
      </c>
      <c r="AU42" s="86">
        <v>7450</v>
      </c>
      <c r="AV42" s="87">
        <v>7.7387985094974105</v>
      </c>
      <c r="AW42" s="87">
        <v>27.292556575479416</v>
      </c>
      <c r="AX42" s="87">
        <v>17.299827319821866</v>
      </c>
      <c r="AY42" s="87">
        <v>47.668817595201304</v>
      </c>
      <c r="AZ42" s="86">
        <v>18471</v>
      </c>
      <c r="BA42" s="86">
        <v>12339</v>
      </c>
      <c r="BB42" s="86">
        <v>6132</v>
      </c>
      <c r="BC42" s="88">
        <v>7.4819988089437501</v>
      </c>
      <c r="BD42" s="88">
        <v>24.822695035460992</v>
      </c>
      <c r="BE42" s="88">
        <v>20.594445346759784</v>
      </c>
      <c r="BF42" s="88">
        <v>47.100860808835471</v>
      </c>
      <c r="BG42" s="86">
        <v>16854</v>
      </c>
      <c r="BH42" s="86">
        <v>11193</v>
      </c>
      <c r="BI42" s="86">
        <v>5661</v>
      </c>
      <c r="BJ42" s="88">
        <v>7.1140382105138249</v>
      </c>
      <c r="BK42" s="88">
        <v>25.246232348403939</v>
      </c>
      <c r="BL42" s="88">
        <v>21.870179185949922</v>
      </c>
      <c r="BM42" s="89">
        <v>45.769550255132316</v>
      </c>
      <c r="BN42" s="106"/>
    </row>
    <row r="43" spans="1:66" ht="8.25" customHeight="1">
      <c r="A43" s="107">
        <v>401</v>
      </c>
      <c r="B43" s="74" t="s">
        <v>139</v>
      </c>
      <c r="C43" s="193">
        <f>VLOOKUP(A43,'C4_Berechnung'!$A$10:I$61,3,FALSE)</f>
        <v>1802</v>
      </c>
      <c r="D43" s="193">
        <f>VLOOKUP(A43,'C4_Berechnung'!$A$10:$I$61,4,FALSE)</f>
        <v>1145</v>
      </c>
      <c r="E43" s="193">
        <f>VLOOKUP(A43,'C4_Berechnung'!$A$10:$I$61,5,FALSE)</f>
        <v>657</v>
      </c>
      <c r="F43" s="115">
        <f>VLOOKUP(A43,'C4_Berechnung'!$A$10:$I$61,6,FALSE)</f>
        <v>9.3229744728079904</v>
      </c>
      <c r="G43" s="115">
        <f>VLOOKUP(A43,'C4_Berechnung'!$A$10:$I$61,7,FALSE)</f>
        <v>30.965593784683684</v>
      </c>
      <c r="H43" s="115">
        <f>VLOOKUP(A43,'C4_Berechnung'!$A$10:$I$61,8,FALSE)</f>
        <v>28.856825749167591</v>
      </c>
      <c r="I43" s="115">
        <f>VLOOKUP(A43,'C4_Berechnung'!$A$10:$I$61,9,FALSE)</f>
        <v>30.854605993340734</v>
      </c>
      <c r="J43" s="112">
        <v>1707</v>
      </c>
      <c r="K43" s="112">
        <v>1028</v>
      </c>
      <c r="L43" s="112">
        <v>679</v>
      </c>
      <c r="M43" s="75">
        <v>8.9630931458699479</v>
      </c>
      <c r="N43" s="75">
        <v>30.228471001757466</v>
      </c>
      <c r="O43" s="75">
        <v>27.123608670181603</v>
      </c>
      <c r="P43" s="75">
        <v>33.684827182190979</v>
      </c>
      <c r="Q43" s="112">
        <v>1536</v>
      </c>
      <c r="R43" s="112">
        <v>891</v>
      </c>
      <c r="S43" s="112">
        <v>645</v>
      </c>
      <c r="T43" s="75">
        <f>VLOOKUP(A43,'2017_C4'!$A$5:$I$56,6,FALSE)</f>
        <v>8.984375</v>
      </c>
      <c r="U43" s="75">
        <f>VLOOKUP(A43,'2017_C4'!$A$5:$I$56,7,FALSE)</f>
        <v>30.2734375</v>
      </c>
      <c r="V43" s="75">
        <f>VLOOKUP(A43,'2017_C4'!$A$5:$I$56,8,FALSE)</f>
        <v>26.432291666666668</v>
      </c>
      <c r="W43" s="75">
        <f>VLOOKUP(A43,'2017_C4'!$A$5:$I$56,9,FALSE)</f>
        <v>34.309895833333329</v>
      </c>
      <c r="X43" s="112">
        <v>1350</v>
      </c>
      <c r="Y43" s="112">
        <v>754</v>
      </c>
      <c r="Z43" s="112">
        <v>596</v>
      </c>
      <c r="AA43" s="69">
        <f>VLOOKUP(A43,'2016_bearbeitet'!$A$7:$T$308,17,FALSE)</f>
        <v>8.6666666666666679</v>
      </c>
      <c r="AB43" s="69">
        <f>VLOOKUP(A43,'2016_bearbeitet'!$A$7:$T$308,18,FALSE)</f>
        <v>29.407407407407408</v>
      </c>
      <c r="AC43" s="69">
        <f>VLOOKUP(A43,'2016_bearbeitet'!$A$7:$T$308,19,FALSE)</f>
        <v>26.888888888888889</v>
      </c>
      <c r="AD43" s="69">
        <f>VLOOKUP(A43,'2016_bearbeitet'!$A$7:$T$308,20,FALSE)</f>
        <v>35.037037037037038</v>
      </c>
      <c r="AE43" s="57">
        <v>1165</v>
      </c>
      <c r="AF43" s="57">
        <v>617</v>
      </c>
      <c r="AG43" s="57">
        <v>548</v>
      </c>
      <c r="AH43" s="29">
        <v>8.7553648068669521</v>
      </c>
      <c r="AI43" s="29">
        <v>28.412017167381975</v>
      </c>
      <c r="AJ43" s="29">
        <v>25.321888412017167</v>
      </c>
      <c r="AK43" s="29">
        <v>37.510729613733915</v>
      </c>
      <c r="AL43" s="57">
        <v>1088</v>
      </c>
      <c r="AM43" s="57">
        <v>588</v>
      </c>
      <c r="AN43" s="57">
        <v>500</v>
      </c>
      <c r="AO43" s="29">
        <v>6.5257352941176476</v>
      </c>
      <c r="AP43" s="29">
        <v>27.113970588235293</v>
      </c>
      <c r="AQ43" s="29">
        <v>26.286764705882355</v>
      </c>
      <c r="AR43" s="29">
        <v>40.073529411764717</v>
      </c>
      <c r="AS43" s="57">
        <v>1035</v>
      </c>
      <c r="AT43" s="57">
        <v>515</v>
      </c>
      <c r="AU43" s="57">
        <v>520</v>
      </c>
      <c r="AV43" s="29">
        <v>4.1545893719806761</v>
      </c>
      <c r="AW43" s="29">
        <v>23.188405797101449</v>
      </c>
      <c r="AX43" s="29">
        <v>18.55072463768116</v>
      </c>
      <c r="AY43" s="29">
        <v>54.106280193236714</v>
      </c>
      <c r="AZ43" s="57">
        <v>915</v>
      </c>
      <c r="BA43" s="57">
        <v>474</v>
      </c>
      <c r="BB43" s="57">
        <v>441</v>
      </c>
      <c r="BC43" s="83">
        <v>3.6065573770491808</v>
      </c>
      <c r="BD43" s="83">
        <v>23.169398907103826</v>
      </c>
      <c r="BE43" s="83">
        <v>18.797814207650273</v>
      </c>
      <c r="BF43" s="83">
        <v>54.42622950819672</v>
      </c>
      <c r="BG43" s="57">
        <v>774</v>
      </c>
      <c r="BH43" s="57">
        <v>404</v>
      </c>
      <c r="BI43" s="57">
        <v>370</v>
      </c>
      <c r="BJ43" s="83">
        <v>3.6175710594315245</v>
      </c>
      <c r="BK43" s="83">
        <v>25.710594315245476</v>
      </c>
      <c r="BL43" s="83">
        <v>18.475452196382431</v>
      </c>
      <c r="BM43" s="78">
        <v>52.196382428940566</v>
      </c>
      <c r="BN43" s="62"/>
    </row>
    <row r="44" spans="1:66" ht="8.25" customHeight="1">
      <c r="A44" s="107">
        <v>402</v>
      </c>
      <c r="B44" s="74" t="s">
        <v>140</v>
      </c>
      <c r="C44" s="193">
        <f>VLOOKUP(A44,'C4_Berechnung'!$A$10:I$61,3,FALSE)</f>
        <v>1927</v>
      </c>
      <c r="D44" s="193">
        <f>VLOOKUP(A44,'C4_Berechnung'!$A$10:$I$61,4,FALSE)</f>
        <v>1437</v>
      </c>
      <c r="E44" s="193">
        <f>VLOOKUP(A44,'C4_Berechnung'!$A$10:$I$61,5,FALSE)</f>
        <v>490</v>
      </c>
      <c r="F44" s="115">
        <f>VLOOKUP(A44,'C4_Berechnung'!$A$10:$I$61,6,FALSE)</f>
        <v>9.2371562013492472</v>
      </c>
      <c r="G44" s="115">
        <f>VLOOKUP(A44,'C4_Berechnung'!$A$10:$I$61,7,FALSE)</f>
        <v>33.834976647638818</v>
      </c>
      <c r="H44" s="115">
        <f>VLOOKUP(A44,'C4_Berechnung'!$A$10:$I$61,8,FALSE)</f>
        <v>26.466009340944474</v>
      </c>
      <c r="I44" s="115">
        <f>VLOOKUP(A44,'C4_Berechnung'!$A$10:$I$61,9,FALSE)</f>
        <v>30.461857810067464</v>
      </c>
      <c r="J44" s="112">
        <v>1906</v>
      </c>
      <c r="K44" s="112">
        <v>1444</v>
      </c>
      <c r="L44" s="112">
        <v>462</v>
      </c>
      <c r="M44" s="75">
        <v>8.9716684155299049</v>
      </c>
      <c r="N44" s="75">
        <v>35.88667366211962</v>
      </c>
      <c r="O44" s="75">
        <v>26.495278069254987</v>
      </c>
      <c r="P44" s="75">
        <v>28.646379853095489</v>
      </c>
      <c r="Q44" s="112">
        <v>1621</v>
      </c>
      <c r="R44" s="112">
        <v>1203</v>
      </c>
      <c r="S44" s="112">
        <v>418</v>
      </c>
      <c r="T44" s="75">
        <f>VLOOKUP(A44,'2017_C4'!$A$5:$I$56,6,FALSE)</f>
        <v>9.8704503392967311</v>
      </c>
      <c r="U44" s="75">
        <f>VLOOKUP(A44,'2017_C4'!$A$5:$I$56,7,FALSE)</f>
        <v>38.433066008636644</v>
      </c>
      <c r="V44" s="75">
        <f>VLOOKUP(A44,'2017_C4'!$A$5:$I$56,8,FALSE)</f>
        <v>23.874151758173966</v>
      </c>
      <c r="W44" s="75">
        <f>VLOOKUP(A44,'2017_C4'!$A$5:$I$56,9,FALSE)</f>
        <v>27.82233189389266</v>
      </c>
      <c r="X44" s="112">
        <v>1508</v>
      </c>
      <c r="Y44" s="112">
        <v>1127</v>
      </c>
      <c r="Z44" s="112">
        <v>381</v>
      </c>
      <c r="AA44" s="69">
        <f>VLOOKUP(A44,'2016_bearbeitet'!$A$7:$T$308,17,FALSE)</f>
        <v>9.0185676392572933</v>
      </c>
      <c r="AB44" s="69">
        <f>VLOOKUP(A44,'2016_bearbeitet'!$A$7:$T$308,18,FALSE)</f>
        <v>40.318302387267906</v>
      </c>
      <c r="AC44" s="69">
        <f>VLOOKUP(A44,'2016_bearbeitet'!$A$7:$T$308,19,FALSE)</f>
        <v>22.745358090185679</v>
      </c>
      <c r="AD44" s="69">
        <f>VLOOKUP(A44,'2016_bearbeitet'!$A$7:$T$308,20,FALSE)</f>
        <v>27.91777188328912</v>
      </c>
      <c r="AE44" s="57">
        <v>1507</v>
      </c>
      <c r="AF44" s="57">
        <v>1196</v>
      </c>
      <c r="AG44" s="57">
        <v>311</v>
      </c>
      <c r="AH44" s="29">
        <v>8.0955540809555409</v>
      </c>
      <c r="AI44" s="29">
        <v>40.942269409422693</v>
      </c>
      <c r="AJ44" s="29">
        <v>20.902455209024552</v>
      </c>
      <c r="AK44" s="29">
        <v>30.059721300597214</v>
      </c>
      <c r="AL44" s="57">
        <v>1230</v>
      </c>
      <c r="AM44" s="57">
        <v>984</v>
      </c>
      <c r="AN44" s="57">
        <v>246</v>
      </c>
      <c r="AO44" s="29">
        <v>8.617886178861788</v>
      </c>
      <c r="AP44" s="29">
        <v>40.243902439024396</v>
      </c>
      <c r="AQ44" s="29">
        <v>16.747967479674799</v>
      </c>
      <c r="AR44" s="29">
        <v>34.390243902439018</v>
      </c>
      <c r="AS44" s="57">
        <v>1104</v>
      </c>
      <c r="AT44" s="57">
        <v>877</v>
      </c>
      <c r="AU44" s="57">
        <v>227</v>
      </c>
      <c r="AV44" s="29">
        <v>8.1521739130434785</v>
      </c>
      <c r="AW44" s="29">
        <v>35.054347826086953</v>
      </c>
      <c r="AX44" s="29">
        <v>18.659420289855071</v>
      </c>
      <c r="AY44" s="29">
        <v>38.134057971014506</v>
      </c>
      <c r="AZ44" s="57">
        <v>909</v>
      </c>
      <c r="BA44" s="57">
        <v>715</v>
      </c>
      <c r="BB44" s="57">
        <v>194</v>
      </c>
      <c r="BC44" s="83">
        <v>6.6006600660065997</v>
      </c>
      <c r="BD44" s="83">
        <v>35.093509350935093</v>
      </c>
      <c r="BE44" s="83">
        <v>16.061606160616062</v>
      </c>
      <c r="BF44" s="83">
        <v>42.244224422442244</v>
      </c>
      <c r="BG44" s="57">
        <v>791</v>
      </c>
      <c r="BH44" s="57">
        <v>612</v>
      </c>
      <c r="BI44" s="57">
        <v>179</v>
      </c>
      <c r="BJ44" s="83">
        <v>7.8381795195954496</v>
      </c>
      <c r="BK44" s="83">
        <v>39.443742098609356</v>
      </c>
      <c r="BL44" s="83">
        <v>15.802781289506953</v>
      </c>
      <c r="BM44" s="78">
        <v>36.915297092288242</v>
      </c>
      <c r="BN44" s="62"/>
    </row>
    <row r="45" spans="1:66" ht="8.25" customHeight="1">
      <c r="A45" s="107">
        <v>403</v>
      </c>
      <c r="B45" s="74" t="s">
        <v>141</v>
      </c>
      <c r="C45" s="193">
        <f>VLOOKUP(A45,'C4_Berechnung'!$A$10:I$61,3,FALSE)</f>
        <v>5889</v>
      </c>
      <c r="D45" s="193">
        <f>VLOOKUP(A45,'C4_Berechnung'!$A$10:$I$61,4,FALSE)</f>
        <v>3809</v>
      </c>
      <c r="E45" s="193">
        <f>VLOOKUP(A45,'C4_Berechnung'!$A$10:$I$61,5,FALSE)</f>
        <v>2080</v>
      </c>
      <c r="F45" s="115">
        <f>VLOOKUP(A45,'C4_Berechnung'!$A$10:$I$61,6,FALSE)</f>
        <v>17.710986585158771</v>
      </c>
      <c r="G45" s="115">
        <f>VLOOKUP(A45,'C4_Berechnung'!$A$10:$I$61,7,FALSE)</f>
        <v>24.961793173713705</v>
      </c>
      <c r="H45" s="115">
        <f>VLOOKUP(A45,'C4_Berechnung'!$A$10:$I$61,8,FALSE)</f>
        <v>27.576838172864662</v>
      </c>
      <c r="I45" s="115">
        <f>VLOOKUP(A45,'C4_Berechnung'!$A$10:$I$61,9,FALSE)</f>
        <v>29.750382068262862</v>
      </c>
      <c r="J45" s="112">
        <v>4897</v>
      </c>
      <c r="K45" s="112">
        <v>3124</v>
      </c>
      <c r="L45" s="112">
        <v>1773</v>
      </c>
      <c r="M45" s="75">
        <v>18.664488462323874</v>
      </c>
      <c r="N45" s="75">
        <v>26.608127424954052</v>
      </c>
      <c r="O45" s="75">
        <v>27.179906064937715</v>
      </c>
      <c r="P45" s="75">
        <v>27.547478047784356</v>
      </c>
      <c r="Q45" s="112">
        <v>4306</v>
      </c>
      <c r="R45" s="112">
        <v>2682</v>
      </c>
      <c r="S45" s="112">
        <v>1624</v>
      </c>
      <c r="T45" s="75">
        <f>VLOOKUP(A45,'2017_C4'!$A$5:$I$56,6,FALSE)</f>
        <v>18.253599628425452</v>
      </c>
      <c r="U45" s="75">
        <f>VLOOKUP(A45,'2017_C4'!$A$5:$I$56,7,FALSE)</f>
        <v>27.519739897816997</v>
      </c>
      <c r="V45" s="75">
        <f>VLOOKUP(A45,'2017_C4'!$A$5:$I$56,8,FALSE)</f>
        <v>23.989781699953554</v>
      </c>
      <c r="W45" s="75">
        <f>VLOOKUP(A45,'2017_C4'!$A$5:$I$56,9,FALSE)</f>
        <v>30.236878773803994</v>
      </c>
      <c r="X45" s="112">
        <v>3802</v>
      </c>
      <c r="Y45" s="112">
        <v>2298</v>
      </c>
      <c r="Z45" s="112">
        <v>1504</v>
      </c>
      <c r="AA45" s="69">
        <f>VLOOKUP(A45,'2016_bearbeitet'!$A$7:$T$308,17,FALSE)</f>
        <v>17.648605996843767</v>
      </c>
      <c r="AB45" s="69">
        <f>VLOOKUP(A45,'2016_bearbeitet'!$A$7:$T$308,18,FALSE)</f>
        <v>28.485007890583901</v>
      </c>
      <c r="AC45" s="69">
        <f>VLOOKUP(A45,'2016_bearbeitet'!$A$7:$T$308,19,FALSE)</f>
        <v>21.962125197264598</v>
      </c>
      <c r="AD45" s="69">
        <f>VLOOKUP(A45,'2016_bearbeitet'!$A$7:$T$308,20,FALSE)</f>
        <v>31.904260915307731</v>
      </c>
      <c r="AE45" s="57">
        <v>3254</v>
      </c>
      <c r="AF45" s="57">
        <v>1894</v>
      </c>
      <c r="AG45" s="57">
        <v>1360</v>
      </c>
      <c r="AH45" s="29">
        <v>19.821757836508912</v>
      </c>
      <c r="AI45" s="29">
        <v>28.795328826060235</v>
      </c>
      <c r="AJ45" s="29">
        <v>21.727105101413642</v>
      </c>
      <c r="AK45" s="29">
        <v>29.655808236017211</v>
      </c>
      <c r="AL45" s="57">
        <v>2913</v>
      </c>
      <c r="AM45" s="57">
        <v>1673</v>
      </c>
      <c r="AN45" s="57">
        <v>1240</v>
      </c>
      <c r="AO45" s="29">
        <v>18.57191898386543</v>
      </c>
      <c r="AP45" s="29">
        <v>27.943700652248545</v>
      </c>
      <c r="AQ45" s="29">
        <v>22.931685547545484</v>
      </c>
      <c r="AR45" s="29">
        <v>30.552694816340541</v>
      </c>
      <c r="AS45" s="57">
        <v>2850</v>
      </c>
      <c r="AT45" s="57">
        <v>1654</v>
      </c>
      <c r="AU45" s="57">
        <v>1196</v>
      </c>
      <c r="AV45" s="29">
        <v>15.543859649122806</v>
      </c>
      <c r="AW45" s="29">
        <v>22.280701754385966</v>
      </c>
      <c r="AX45" s="29">
        <v>21.438596491228072</v>
      </c>
      <c r="AY45" s="29">
        <v>40.736842105263158</v>
      </c>
      <c r="AZ45" s="57">
        <v>2245</v>
      </c>
      <c r="BA45" s="57">
        <v>1217</v>
      </c>
      <c r="BB45" s="57">
        <v>1028</v>
      </c>
      <c r="BC45" s="83">
        <v>13.407572383073497</v>
      </c>
      <c r="BD45" s="83">
        <v>23.518930957683743</v>
      </c>
      <c r="BE45" s="83">
        <v>21.202672605790646</v>
      </c>
      <c r="BF45" s="83">
        <v>41.870824053452125</v>
      </c>
      <c r="BG45" s="57">
        <v>1976</v>
      </c>
      <c r="BH45" s="57">
        <v>1070</v>
      </c>
      <c r="BI45" s="57">
        <v>906</v>
      </c>
      <c r="BJ45" s="83">
        <v>13.056680161943321</v>
      </c>
      <c r="BK45" s="83">
        <v>24.898785425101213</v>
      </c>
      <c r="BL45" s="83">
        <v>20.141700404858302</v>
      </c>
      <c r="BM45" s="78">
        <v>41.902834008097173</v>
      </c>
      <c r="BN45" s="62"/>
    </row>
    <row r="46" spans="1:66" ht="8.25" customHeight="1">
      <c r="A46" s="107">
        <v>404</v>
      </c>
      <c r="B46" s="74" t="s">
        <v>142</v>
      </c>
      <c r="C46" s="193">
        <f>VLOOKUP(A46,'C4_Berechnung'!$A$10:I$61,3,FALSE)</f>
        <v>8627</v>
      </c>
      <c r="D46" s="193">
        <f>VLOOKUP(A46,'C4_Berechnung'!$A$10:$I$61,4,FALSE)</f>
        <v>4905</v>
      </c>
      <c r="E46" s="193">
        <f>VLOOKUP(A46,'C4_Berechnung'!$A$10:$I$61,5,FALSE)</f>
        <v>3722</v>
      </c>
      <c r="F46" s="115">
        <f>VLOOKUP(A46,'C4_Berechnung'!$A$10:$I$61,6,FALSE)</f>
        <v>10.791700475252116</v>
      </c>
      <c r="G46" s="115">
        <f>VLOOKUP(A46,'C4_Berechnung'!$A$10:$I$61,7,FALSE)</f>
        <v>29.500405703025386</v>
      </c>
      <c r="H46" s="115">
        <f>VLOOKUP(A46,'C4_Berechnung'!$A$10:$I$61,8,FALSE)</f>
        <v>32.050539005448009</v>
      </c>
      <c r="I46" s="115">
        <f>VLOOKUP(A46,'C4_Berechnung'!$A$10:$I$61,9,FALSE)</f>
        <v>27.657354816274488</v>
      </c>
      <c r="J46" s="112">
        <v>7549</v>
      </c>
      <c r="K46" s="112">
        <v>4282</v>
      </c>
      <c r="L46" s="112">
        <v>3267</v>
      </c>
      <c r="M46" s="75">
        <v>10.994833752814943</v>
      </c>
      <c r="N46" s="75">
        <v>30.600079480725924</v>
      </c>
      <c r="O46" s="75">
        <v>30.812028083189823</v>
      </c>
      <c r="P46" s="75">
        <v>27.593058683269305</v>
      </c>
      <c r="Q46" s="112">
        <v>6975</v>
      </c>
      <c r="R46" s="112">
        <v>3933</v>
      </c>
      <c r="S46" s="112">
        <v>3042</v>
      </c>
      <c r="T46" s="75">
        <f>VLOOKUP(A46,'2017_C4'!$A$5:$I$56,6,FALSE)</f>
        <v>10.265232974910395</v>
      </c>
      <c r="U46" s="75">
        <f>VLOOKUP(A46,'2017_C4'!$A$5:$I$56,7,FALSE)</f>
        <v>31.913978494623656</v>
      </c>
      <c r="V46" s="75">
        <f>VLOOKUP(A46,'2017_C4'!$A$5:$I$56,8,FALSE)</f>
        <v>29.275985663082437</v>
      </c>
      <c r="W46" s="75">
        <f>VLOOKUP(A46,'2017_C4'!$A$5:$I$56,9,FALSE)</f>
        <v>28.544802867383513</v>
      </c>
      <c r="X46" s="112">
        <v>6418</v>
      </c>
      <c r="Y46" s="112">
        <v>3581</v>
      </c>
      <c r="Z46" s="112">
        <v>2837</v>
      </c>
      <c r="AA46" s="69">
        <f>VLOOKUP(A46,'2016_bearbeitet'!$A$7:$T$308,17,FALSE)</f>
        <v>10.096603303209722</v>
      </c>
      <c r="AB46" s="69">
        <f>VLOOKUP(A46,'2016_bearbeitet'!$A$7:$T$308,18,FALSE)</f>
        <v>32.76721720162044</v>
      </c>
      <c r="AC46" s="69">
        <f>VLOOKUP(A46,'2016_bearbeitet'!$A$7:$T$308,19,FALSE)</f>
        <v>27.609847304456213</v>
      </c>
      <c r="AD46" s="69">
        <f>VLOOKUP(A46,'2016_bearbeitet'!$A$7:$T$308,20,FALSE)</f>
        <v>29.526332190713617</v>
      </c>
      <c r="AE46" s="57">
        <v>5656</v>
      </c>
      <c r="AF46" s="57">
        <v>3101</v>
      </c>
      <c r="AG46" s="57">
        <v>2555</v>
      </c>
      <c r="AH46" s="29">
        <v>10.696605374823196</v>
      </c>
      <c r="AI46" s="29">
        <v>32.708628005657708</v>
      </c>
      <c r="AJ46" s="29">
        <v>28.217821782178216</v>
      </c>
      <c r="AK46" s="29">
        <v>28.376944837340876</v>
      </c>
      <c r="AL46" s="57">
        <v>5043</v>
      </c>
      <c r="AM46" s="57">
        <v>2772</v>
      </c>
      <c r="AN46" s="57">
        <v>2271</v>
      </c>
      <c r="AO46" s="29">
        <v>10.152686892722587</v>
      </c>
      <c r="AP46" s="29">
        <v>33.511798532619473</v>
      </c>
      <c r="AQ46" s="29">
        <v>26.174895895300416</v>
      </c>
      <c r="AR46" s="29">
        <v>30.160618679357533</v>
      </c>
      <c r="AS46" s="57">
        <v>5026</v>
      </c>
      <c r="AT46" s="57">
        <v>2728</v>
      </c>
      <c r="AU46" s="57">
        <v>2298</v>
      </c>
      <c r="AV46" s="29">
        <v>9.0728213290887378</v>
      </c>
      <c r="AW46" s="29">
        <v>26.064464783127733</v>
      </c>
      <c r="AX46" s="29">
        <v>22.22443294866693</v>
      </c>
      <c r="AY46" s="29">
        <v>42.638280939116598</v>
      </c>
      <c r="AZ46" s="57">
        <v>4333</v>
      </c>
      <c r="BA46" s="57">
        <v>2453</v>
      </c>
      <c r="BB46" s="57">
        <v>1880</v>
      </c>
      <c r="BC46" s="83">
        <v>7.8467574428802216</v>
      </c>
      <c r="BD46" s="83">
        <v>25.571197784444959</v>
      </c>
      <c r="BE46" s="83">
        <v>31.940918532194786</v>
      </c>
      <c r="BF46" s="83">
        <v>34.641126240480034</v>
      </c>
      <c r="BG46" s="57">
        <v>4024</v>
      </c>
      <c r="BH46" s="57">
        <v>2226</v>
      </c>
      <c r="BI46" s="57">
        <v>1798</v>
      </c>
      <c r="BJ46" s="83">
        <v>7.6540755467196826</v>
      </c>
      <c r="BK46" s="83">
        <v>27.236580516898606</v>
      </c>
      <c r="BL46" s="83">
        <v>31.088469184890656</v>
      </c>
      <c r="BM46" s="78">
        <v>34.020874751491057</v>
      </c>
      <c r="BN46" s="62"/>
    </row>
    <row r="47" spans="1:66" ht="8.25" customHeight="1">
      <c r="A47" s="107">
        <v>405</v>
      </c>
      <c r="B47" s="74" t="s">
        <v>143</v>
      </c>
      <c r="C47" s="193">
        <f>VLOOKUP(A47,'C4_Berechnung'!$A$10:I$61,3,FALSE)</f>
        <v>1637</v>
      </c>
      <c r="D47" s="193">
        <f>VLOOKUP(A47,'C4_Berechnung'!$A$10:$I$61,4,FALSE)</f>
        <v>1146</v>
      </c>
      <c r="E47" s="193">
        <f>VLOOKUP(A47,'C4_Berechnung'!$A$10:$I$61,5,FALSE)</f>
        <v>491</v>
      </c>
      <c r="F47" s="115">
        <f>VLOOKUP(A47,'C4_Berechnung'!$A$10:$I$61,6,FALSE)</f>
        <v>15.210751374465486</v>
      </c>
      <c r="G47" s="115">
        <f>VLOOKUP(A47,'C4_Berechnung'!$A$10:$I$61,7,FALSE)</f>
        <v>29.138668295662796</v>
      </c>
      <c r="H47" s="115">
        <f>VLOOKUP(A47,'C4_Berechnung'!$A$10:$I$61,8,FALSE)</f>
        <v>30.726939523518631</v>
      </c>
      <c r="I47" s="115">
        <f>VLOOKUP(A47,'C4_Berechnung'!$A$10:$I$61,9,FALSE)</f>
        <v>24.923640806353085</v>
      </c>
      <c r="J47" s="112">
        <v>1589</v>
      </c>
      <c r="K47" s="112">
        <v>1167</v>
      </c>
      <c r="L47" s="112">
        <v>422</v>
      </c>
      <c r="M47" s="75">
        <v>13.782252989301448</v>
      </c>
      <c r="N47" s="75">
        <v>28.382630585273755</v>
      </c>
      <c r="O47" s="75">
        <v>27.375707992448078</v>
      </c>
      <c r="P47" s="75">
        <v>30.459408432976716</v>
      </c>
      <c r="Q47" s="112">
        <v>1208</v>
      </c>
      <c r="R47" s="112">
        <v>826</v>
      </c>
      <c r="S47" s="112">
        <v>382</v>
      </c>
      <c r="T47" s="75">
        <f>VLOOKUP(A47,'2017_C4'!$A$5:$I$56,6,FALSE)</f>
        <v>14.98344370860927</v>
      </c>
      <c r="U47" s="75">
        <f>VLOOKUP(A47,'2017_C4'!$A$5:$I$56,7,FALSE)</f>
        <v>34.354304635761594</v>
      </c>
      <c r="V47" s="75">
        <f>VLOOKUP(A47,'2017_C4'!$A$5:$I$56,8,FALSE)</f>
        <v>22.682119205298012</v>
      </c>
      <c r="W47" s="75">
        <f>VLOOKUP(A47,'2017_C4'!$A$5:$I$56,9,FALSE)</f>
        <v>27.980132450331123</v>
      </c>
      <c r="X47" s="112">
        <v>1156</v>
      </c>
      <c r="Y47" s="112">
        <v>808</v>
      </c>
      <c r="Z47" s="112">
        <v>348</v>
      </c>
      <c r="AA47" s="69">
        <f>VLOOKUP(A47,'2016_bearbeitet'!$A$7:$T$308,17,FALSE)</f>
        <v>14.359861591695502</v>
      </c>
      <c r="AB47" s="69">
        <f>VLOOKUP(A47,'2016_bearbeitet'!$A$7:$T$308,18,FALSE)</f>
        <v>34.256055363321799</v>
      </c>
      <c r="AC47" s="69">
        <f>VLOOKUP(A47,'2016_bearbeitet'!$A$7:$T$308,19,FALSE)</f>
        <v>22.664359861591695</v>
      </c>
      <c r="AD47" s="69">
        <f>VLOOKUP(A47,'2016_bearbeitet'!$A$7:$T$308,20,FALSE)</f>
        <v>28.719723183391004</v>
      </c>
      <c r="AE47" s="57">
        <v>954</v>
      </c>
      <c r="AF47" s="57">
        <v>637</v>
      </c>
      <c r="AG47" s="57">
        <v>317</v>
      </c>
      <c r="AH47" s="29">
        <v>15.09433962264151</v>
      </c>
      <c r="AI47" s="29">
        <v>33.333333333333329</v>
      </c>
      <c r="AJ47" s="29">
        <v>21.488469601677149</v>
      </c>
      <c r="AK47" s="29">
        <v>30.083857442348009</v>
      </c>
      <c r="AL47" s="57">
        <v>772</v>
      </c>
      <c r="AM47" s="57">
        <v>499</v>
      </c>
      <c r="AN47" s="57">
        <v>273</v>
      </c>
      <c r="AO47" s="29">
        <v>16.968911917098445</v>
      </c>
      <c r="AP47" s="29">
        <v>35.62176165803109</v>
      </c>
      <c r="AQ47" s="29">
        <v>18.652849740932641</v>
      </c>
      <c r="AR47" s="29">
        <v>28.756476683937827</v>
      </c>
      <c r="AS47" s="57">
        <v>722</v>
      </c>
      <c r="AT47" s="57">
        <v>474</v>
      </c>
      <c r="AU47" s="57">
        <v>248</v>
      </c>
      <c r="AV47" s="29">
        <v>11.495844875346259</v>
      </c>
      <c r="AW47" s="29">
        <v>30.886426592797783</v>
      </c>
      <c r="AX47" s="29">
        <v>19.94459833795014</v>
      </c>
      <c r="AY47" s="29">
        <v>37.67313019390582</v>
      </c>
      <c r="AZ47" s="57">
        <v>618</v>
      </c>
      <c r="BA47" s="57">
        <v>384</v>
      </c>
      <c r="BB47" s="57">
        <v>234</v>
      </c>
      <c r="BC47" s="83">
        <v>13.915857605177994</v>
      </c>
      <c r="BD47" s="83">
        <v>27.831715210355988</v>
      </c>
      <c r="BE47" s="83">
        <v>20.550161812297734</v>
      </c>
      <c r="BF47" s="83">
        <v>37.702265372168284</v>
      </c>
      <c r="BG47" s="57">
        <v>581</v>
      </c>
      <c r="BH47" s="57">
        <v>354</v>
      </c>
      <c r="BI47" s="57">
        <v>227</v>
      </c>
      <c r="BJ47" s="83">
        <v>13.253012048192772</v>
      </c>
      <c r="BK47" s="83">
        <v>27.538726333907054</v>
      </c>
      <c r="BL47" s="83">
        <v>24.096385542168676</v>
      </c>
      <c r="BM47" s="78">
        <v>35.111876075731502</v>
      </c>
      <c r="BN47" s="62"/>
    </row>
    <row r="48" spans="1:66" ht="8.25" customHeight="1">
      <c r="A48" s="107">
        <v>451</v>
      </c>
      <c r="B48" s="74" t="s">
        <v>118</v>
      </c>
      <c r="C48" s="193">
        <f>VLOOKUP(A48,'C4_Berechnung'!$A$10:I$61,3,FALSE)</f>
        <v>3785</v>
      </c>
      <c r="D48" s="193">
        <f>VLOOKUP(A48,'C4_Berechnung'!$A$10:$I$61,4,FALSE)</f>
        <v>2613</v>
      </c>
      <c r="E48" s="193">
        <f>VLOOKUP(A48,'C4_Berechnung'!$A$10:$I$61,5,FALSE)</f>
        <v>1172</v>
      </c>
      <c r="F48" s="115">
        <f>VLOOKUP(A48,'C4_Berechnung'!$A$10:$I$61,6,FALSE)</f>
        <v>6.8692206076618234</v>
      </c>
      <c r="G48" s="115">
        <f>VLOOKUP(A48,'C4_Berechnung'!$A$10:$I$61,7,FALSE)</f>
        <v>26.182298546895641</v>
      </c>
      <c r="H48" s="115">
        <f>VLOOKUP(A48,'C4_Berechnung'!$A$10:$I$61,8,FALSE)</f>
        <v>24.861294583883751</v>
      </c>
      <c r="I48" s="115">
        <f>VLOOKUP(A48,'C4_Berechnung'!$A$10:$I$61,9,FALSE)</f>
        <v>42.087186261558784</v>
      </c>
      <c r="J48" s="112">
        <v>3428</v>
      </c>
      <c r="K48" s="112">
        <v>2332</v>
      </c>
      <c r="L48" s="112">
        <v>1096</v>
      </c>
      <c r="M48" s="75">
        <v>5.8051341890315049</v>
      </c>
      <c r="N48" s="75">
        <v>26.983663943990667</v>
      </c>
      <c r="O48" s="75">
        <v>23.045507584597434</v>
      </c>
      <c r="P48" s="75">
        <v>44.1656942823804</v>
      </c>
      <c r="Q48" s="112">
        <v>2934</v>
      </c>
      <c r="R48" s="112">
        <v>2033</v>
      </c>
      <c r="S48" s="112">
        <v>901</v>
      </c>
      <c r="T48" s="75">
        <f>VLOOKUP(A48,'2017_C4'!$A$5:$I$56,6,FALSE)</f>
        <v>5.5896387184730747</v>
      </c>
      <c r="U48" s="75">
        <f>VLOOKUP(A48,'2017_C4'!$A$5:$I$56,7,FALSE)</f>
        <v>26.380368098159508</v>
      </c>
      <c r="V48" s="75">
        <f>VLOOKUP(A48,'2017_C4'!$A$5:$I$56,8,FALSE)</f>
        <v>22.801635991820042</v>
      </c>
      <c r="W48" s="75">
        <f>VLOOKUP(A48,'2017_C4'!$A$5:$I$56,9,FALSE)</f>
        <v>45.228357191547374</v>
      </c>
      <c r="X48" s="112">
        <v>2769</v>
      </c>
      <c r="Y48" s="112">
        <v>1962</v>
      </c>
      <c r="Z48" s="112">
        <v>807</v>
      </c>
      <c r="AA48" s="69">
        <f>VLOOKUP(A48,'2016_bearbeitet'!$A$7:$T$308,17,FALSE)</f>
        <v>5.4893463344167577</v>
      </c>
      <c r="AB48" s="69">
        <f>VLOOKUP(A48,'2016_bearbeitet'!$A$7:$T$308,18,FALSE)</f>
        <v>25.315998555435176</v>
      </c>
      <c r="AC48" s="69">
        <f>VLOOKUP(A48,'2016_bearbeitet'!$A$7:$T$308,19,FALSE)</f>
        <v>19.501625135427954</v>
      </c>
      <c r="AD48" s="69">
        <f>VLOOKUP(A48,'2016_bearbeitet'!$A$7:$T$308,20,FALSE)</f>
        <v>49.693029974720119</v>
      </c>
      <c r="AE48" s="57">
        <v>2321</v>
      </c>
      <c r="AF48" s="57">
        <v>1570</v>
      </c>
      <c r="AG48" s="57">
        <v>751</v>
      </c>
      <c r="AH48" s="29">
        <v>5.8164584230934944</v>
      </c>
      <c r="AI48" s="29">
        <v>27.057302886686774</v>
      </c>
      <c r="AJ48" s="29">
        <v>18.914261094355879</v>
      </c>
      <c r="AK48" s="29">
        <v>48.211977595863857</v>
      </c>
      <c r="AL48" s="57">
        <v>2132</v>
      </c>
      <c r="AM48" s="57">
        <v>1462</v>
      </c>
      <c r="AN48" s="57">
        <v>670</v>
      </c>
      <c r="AO48" s="29">
        <v>5.0656660412757972</v>
      </c>
      <c r="AP48" s="29">
        <v>28.04878048780488</v>
      </c>
      <c r="AQ48" s="29">
        <v>18.714821763602252</v>
      </c>
      <c r="AR48" s="29">
        <v>48.170731707317067</v>
      </c>
      <c r="AS48" s="57">
        <v>1917</v>
      </c>
      <c r="AT48" s="57">
        <v>1315</v>
      </c>
      <c r="AU48" s="57">
        <v>602</v>
      </c>
      <c r="AV48" s="29">
        <v>4.9556598852373499</v>
      </c>
      <c r="AW48" s="29">
        <v>23.526343244653102</v>
      </c>
      <c r="AX48" s="29">
        <v>15.805946791862285</v>
      </c>
      <c r="AY48" s="29">
        <v>55.712050078247259</v>
      </c>
      <c r="AZ48" s="57">
        <v>1467</v>
      </c>
      <c r="BA48" s="57">
        <v>993</v>
      </c>
      <c r="BB48" s="57">
        <v>474</v>
      </c>
      <c r="BC48" s="83">
        <v>3.6809815950920246</v>
      </c>
      <c r="BD48" s="83">
        <v>21.199727334696661</v>
      </c>
      <c r="BE48" s="83">
        <v>23.790047716428084</v>
      </c>
      <c r="BF48" s="83">
        <v>51.329243353783227</v>
      </c>
      <c r="BG48" s="57">
        <v>1243</v>
      </c>
      <c r="BH48" s="57">
        <v>851</v>
      </c>
      <c r="BI48" s="57">
        <v>392</v>
      </c>
      <c r="BJ48" s="83">
        <v>4.1029766693483509</v>
      </c>
      <c r="BK48" s="83">
        <v>23.008849557522122</v>
      </c>
      <c r="BL48" s="83">
        <v>27.755430410297667</v>
      </c>
      <c r="BM48" s="78">
        <v>45.13274336283186</v>
      </c>
      <c r="BN48" s="62"/>
    </row>
    <row r="49" spans="1:66" ht="8.25" customHeight="1">
      <c r="A49" s="107">
        <v>452</v>
      </c>
      <c r="B49" s="74" t="s">
        <v>119</v>
      </c>
      <c r="C49" s="193">
        <f>VLOOKUP(A49,'C4_Berechnung'!$A$10:I$61,3,FALSE)</f>
        <v>4363</v>
      </c>
      <c r="D49" s="193">
        <f>VLOOKUP(A49,'C4_Berechnung'!$A$10:$I$61,4,FALSE)</f>
        <v>2791</v>
      </c>
      <c r="E49" s="193">
        <f>VLOOKUP(A49,'C4_Berechnung'!$A$10:$I$61,5,FALSE)</f>
        <v>1572</v>
      </c>
      <c r="F49" s="115">
        <f>VLOOKUP(A49,'C4_Berechnung'!$A$10:$I$61,6,FALSE)</f>
        <v>8.1824432729773093</v>
      </c>
      <c r="G49" s="115">
        <f>VLOOKUP(A49,'C4_Berechnung'!$A$10:$I$61,7,FALSE)</f>
        <v>26.816410726564289</v>
      </c>
      <c r="H49" s="115">
        <f>VLOOKUP(A49,'C4_Berechnung'!$A$10:$I$61,8,FALSE)</f>
        <v>26.335090534036215</v>
      </c>
      <c r="I49" s="115">
        <f>VLOOKUP(A49,'C4_Berechnung'!$A$10:$I$61,9,FALSE)</f>
        <v>38.666055466422186</v>
      </c>
      <c r="J49" s="112">
        <v>4232</v>
      </c>
      <c r="K49" s="112">
        <v>2716</v>
      </c>
      <c r="L49" s="112">
        <v>1516</v>
      </c>
      <c r="M49" s="75">
        <v>8.2466918714555764</v>
      </c>
      <c r="N49" s="75">
        <v>27.882797731568999</v>
      </c>
      <c r="O49" s="75">
        <v>23.298676748582231</v>
      </c>
      <c r="P49" s="75">
        <v>40.571833648393195</v>
      </c>
      <c r="Q49" s="112">
        <v>3934</v>
      </c>
      <c r="R49" s="112">
        <v>2507</v>
      </c>
      <c r="S49" s="112">
        <v>1427</v>
      </c>
      <c r="T49" s="75">
        <f>VLOOKUP(A49,'2017_C4'!$A$5:$I$56,6,FALSE)</f>
        <v>8.4646670055922719</v>
      </c>
      <c r="U49" s="75">
        <f>VLOOKUP(A49,'2017_C4'!$A$5:$I$56,7,FALSE)</f>
        <v>29.588205388917132</v>
      </c>
      <c r="V49" s="75">
        <f>VLOOKUP(A49,'2017_C4'!$A$5:$I$56,8,FALSE)</f>
        <v>22.191154041687849</v>
      </c>
      <c r="W49" s="75">
        <f>VLOOKUP(A49,'2017_C4'!$A$5:$I$56,9,FALSE)</f>
        <v>39.755973563802741</v>
      </c>
      <c r="X49" s="112">
        <v>3395</v>
      </c>
      <c r="Y49" s="112">
        <v>2094</v>
      </c>
      <c r="Z49" s="112">
        <v>1301</v>
      </c>
      <c r="AA49" s="69">
        <f>VLOOKUP(A49,'2016_bearbeitet'!$A$7:$T$308,17,FALSE)</f>
        <v>8.3652430044182609</v>
      </c>
      <c r="AB49" s="69">
        <f>VLOOKUP(A49,'2016_bearbeitet'!$A$7:$T$308,18,FALSE)</f>
        <v>30.044182621502209</v>
      </c>
      <c r="AC49" s="69">
        <f>VLOOKUP(A49,'2016_bearbeitet'!$A$7:$T$308,19,FALSE)</f>
        <v>20.824742268041238</v>
      </c>
      <c r="AD49" s="69">
        <f>VLOOKUP(A49,'2016_bearbeitet'!$A$7:$T$308,20,FALSE)</f>
        <v>40.765832106038289</v>
      </c>
      <c r="AE49" s="57">
        <v>3182</v>
      </c>
      <c r="AF49" s="57">
        <v>1983</v>
      </c>
      <c r="AG49" s="57">
        <v>1199</v>
      </c>
      <c r="AH49" s="29">
        <v>6.945317410433689</v>
      </c>
      <c r="AI49" s="29">
        <v>30.609679446888748</v>
      </c>
      <c r="AJ49" s="29">
        <v>19.35889377749843</v>
      </c>
      <c r="AK49" s="29">
        <v>43.086109365179141</v>
      </c>
      <c r="AL49" s="57">
        <v>2728</v>
      </c>
      <c r="AM49" s="57">
        <v>1697</v>
      </c>
      <c r="AN49" s="57">
        <v>1031</v>
      </c>
      <c r="AO49" s="29">
        <v>7.1114369501466284</v>
      </c>
      <c r="AP49" s="29">
        <v>27.126099706744867</v>
      </c>
      <c r="AQ49" s="29">
        <v>18.878299120234605</v>
      </c>
      <c r="AR49" s="29">
        <v>46.884164222873906</v>
      </c>
      <c r="AS49" s="57">
        <v>2155</v>
      </c>
      <c r="AT49" s="57">
        <v>1250</v>
      </c>
      <c r="AU49" s="57">
        <v>905</v>
      </c>
      <c r="AV49" s="29">
        <v>6.8677494199535962</v>
      </c>
      <c r="AW49" s="29">
        <v>24.222737819025522</v>
      </c>
      <c r="AX49" s="29">
        <v>18.561484918793504</v>
      </c>
      <c r="AY49" s="29">
        <v>50.348027842227381</v>
      </c>
      <c r="AZ49" s="57">
        <v>1508</v>
      </c>
      <c r="BA49" s="57">
        <v>843</v>
      </c>
      <c r="BB49" s="57">
        <v>665</v>
      </c>
      <c r="BC49" s="83">
        <v>5.636604774535809</v>
      </c>
      <c r="BD49" s="83">
        <v>23.209549071618039</v>
      </c>
      <c r="BE49" s="83">
        <v>20.755968169761275</v>
      </c>
      <c r="BF49" s="83">
        <v>50.397877984084872</v>
      </c>
      <c r="BG49" s="57">
        <v>1373</v>
      </c>
      <c r="BH49" s="57">
        <v>801</v>
      </c>
      <c r="BI49" s="57">
        <v>572</v>
      </c>
      <c r="BJ49" s="83">
        <v>5.7538237436270938</v>
      </c>
      <c r="BK49" s="83">
        <v>21.849963583394029</v>
      </c>
      <c r="BL49" s="83">
        <v>19.592134013109977</v>
      </c>
      <c r="BM49" s="78">
        <v>52.804078659868892</v>
      </c>
      <c r="BN49" s="62"/>
    </row>
    <row r="50" spans="1:66" ht="8.25" customHeight="1">
      <c r="A50" s="107">
        <v>453</v>
      </c>
      <c r="B50" s="74" t="s">
        <v>120</v>
      </c>
      <c r="C50" s="193">
        <f>VLOOKUP(A50,'C4_Berechnung'!$A$10:I$61,3,FALSE)</f>
        <v>10030</v>
      </c>
      <c r="D50" s="193">
        <f>VLOOKUP(A50,'C4_Berechnung'!$A$10:$I$61,4,FALSE)</f>
        <v>6972</v>
      </c>
      <c r="E50" s="193">
        <f>VLOOKUP(A50,'C4_Berechnung'!$A$10:$I$61,5,FALSE)</f>
        <v>3058</v>
      </c>
      <c r="F50" s="115">
        <f>VLOOKUP(A50,'C4_Berechnung'!$A$10:$I$61,6,FALSE)</f>
        <v>3.1306081754735793</v>
      </c>
      <c r="G50" s="115">
        <f>VLOOKUP(A50,'C4_Berechnung'!$A$10:$I$61,7,FALSE)</f>
        <v>20.508474576271187</v>
      </c>
      <c r="H50" s="115">
        <f>VLOOKUP(A50,'C4_Berechnung'!$A$10:$I$61,8,FALSE)</f>
        <v>28.005982053838483</v>
      </c>
      <c r="I50" s="115">
        <f>VLOOKUP(A50,'C4_Berechnung'!$A$10:$I$61,9,FALSE)</f>
        <v>48.354935194416747</v>
      </c>
      <c r="J50" s="112">
        <v>9140</v>
      </c>
      <c r="K50" s="112">
        <v>6398</v>
      </c>
      <c r="L50" s="112">
        <v>2742</v>
      </c>
      <c r="M50" s="75">
        <v>2.9102844638949672</v>
      </c>
      <c r="N50" s="75">
        <v>19.277899343544856</v>
      </c>
      <c r="O50" s="75">
        <v>26.827133479212257</v>
      </c>
      <c r="P50" s="75">
        <v>50.984682713347915</v>
      </c>
      <c r="Q50" s="112">
        <v>7928</v>
      </c>
      <c r="R50" s="112">
        <v>5694</v>
      </c>
      <c r="S50" s="112">
        <v>2234</v>
      </c>
      <c r="T50" s="75">
        <f>VLOOKUP(A50,'2017_C4'!$A$5:$I$56,6,FALSE)</f>
        <v>2.9011099899091826</v>
      </c>
      <c r="U50" s="75">
        <f>VLOOKUP(A50,'2017_C4'!$A$5:$I$56,7,FALSE)</f>
        <v>18.592330978809283</v>
      </c>
      <c r="V50" s="75">
        <f>VLOOKUP(A50,'2017_C4'!$A$5:$I$56,8,FALSE)</f>
        <v>25.403632694248234</v>
      </c>
      <c r="W50" s="75">
        <f>VLOOKUP(A50,'2017_C4'!$A$5:$I$56,9,FALSE)</f>
        <v>53.102926337033296</v>
      </c>
      <c r="X50" s="112">
        <v>6135</v>
      </c>
      <c r="Y50" s="112">
        <v>4327</v>
      </c>
      <c r="Z50" s="112">
        <v>1808</v>
      </c>
      <c r="AA50" s="69">
        <f>VLOOKUP(A50,'2016_bearbeitet'!$A$7:$T$308,17,FALSE)</f>
        <v>3.3414832925835372</v>
      </c>
      <c r="AB50" s="69">
        <f>VLOOKUP(A50,'2016_bearbeitet'!$A$7:$T$308,18,FALSE)</f>
        <v>20.603096984515076</v>
      </c>
      <c r="AC50" s="69">
        <f>VLOOKUP(A50,'2016_bearbeitet'!$A$7:$T$308,19,FALSE)</f>
        <v>25.525672371638141</v>
      </c>
      <c r="AD50" s="69">
        <f>VLOOKUP(A50,'2016_bearbeitet'!$A$7:$T$308,20,FALSE)</f>
        <v>50.529747351263246</v>
      </c>
      <c r="AE50" s="57">
        <v>5111</v>
      </c>
      <c r="AF50" s="57">
        <v>3624</v>
      </c>
      <c r="AG50" s="57">
        <v>1487</v>
      </c>
      <c r="AH50" s="29">
        <v>3.2283310506750142</v>
      </c>
      <c r="AI50" s="29">
        <v>21.32655057718646</v>
      </c>
      <c r="AJ50" s="29">
        <v>21.502641361768735</v>
      </c>
      <c r="AK50" s="29">
        <v>53.942477010369785</v>
      </c>
      <c r="AL50" s="57">
        <v>4579</v>
      </c>
      <c r="AM50" s="57">
        <v>3248</v>
      </c>
      <c r="AN50" s="57">
        <v>1331</v>
      </c>
      <c r="AO50" s="29">
        <v>3.0574361214238914</v>
      </c>
      <c r="AP50" s="29">
        <v>20.419305525223848</v>
      </c>
      <c r="AQ50" s="29">
        <v>22.493994321904346</v>
      </c>
      <c r="AR50" s="29">
        <v>54.029264031447909</v>
      </c>
      <c r="AS50" s="57">
        <v>3948</v>
      </c>
      <c r="AT50" s="57">
        <v>2817</v>
      </c>
      <c r="AU50" s="57">
        <v>1131</v>
      </c>
      <c r="AV50" s="29">
        <v>2.2796352583586628</v>
      </c>
      <c r="AW50" s="29">
        <v>16.742654508611956</v>
      </c>
      <c r="AX50" s="29">
        <v>18.009118541033434</v>
      </c>
      <c r="AY50" s="29">
        <v>62.968591691995961</v>
      </c>
      <c r="AZ50" s="57">
        <v>2649</v>
      </c>
      <c r="BA50" s="57">
        <v>1960</v>
      </c>
      <c r="BB50" s="57">
        <v>689</v>
      </c>
      <c r="BC50" s="83">
        <v>2.0762551906379767</v>
      </c>
      <c r="BD50" s="83">
        <v>16.572291430728576</v>
      </c>
      <c r="BE50" s="83">
        <v>25.519063797659491</v>
      </c>
      <c r="BF50" s="83">
        <v>55.832389580973945</v>
      </c>
      <c r="BG50" s="57">
        <v>2434</v>
      </c>
      <c r="BH50" s="57">
        <v>1793</v>
      </c>
      <c r="BI50" s="57">
        <v>641</v>
      </c>
      <c r="BJ50" s="83">
        <v>1.9720624486442069</v>
      </c>
      <c r="BK50" s="83">
        <v>21.405094494658996</v>
      </c>
      <c r="BL50" s="83">
        <v>31.34757600657354</v>
      </c>
      <c r="BM50" s="78">
        <v>45.275267050123247</v>
      </c>
      <c r="BN50" s="62"/>
    </row>
    <row r="51" spans="1:66" ht="8.25" customHeight="1">
      <c r="A51" s="107">
        <v>454</v>
      </c>
      <c r="B51" s="74" t="s">
        <v>121</v>
      </c>
      <c r="C51" s="193">
        <f>VLOOKUP(A51,'C4_Berechnung'!$A$10:I$61,3,FALSE)</f>
        <v>13916</v>
      </c>
      <c r="D51" s="193">
        <f>VLOOKUP(A51,'C4_Berechnung'!$A$10:$I$61,4,FALSE)</f>
        <v>10248</v>
      </c>
      <c r="E51" s="193">
        <f>VLOOKUP(A51,'C4_Berechnung'!$A$10:$I$61,5,FALSE)</f>
        <v>3668</v>
      </c>
      <c r="F51" s="115">
        <f>VLOOKUP(A51,'C4_Berechnung'!$A$10:$I$61,6,FALSE)</f>
        <v>6.6182811152630068</v>
      </c>
      <c r="G51" s="115">
        <f>VLOOKUP(A51,'C4_Berechnung'!$A$10:$I$61,7,FALSE)</f>
        <v>28.377407300948548</v>
      </c>
      <c r="H51" s="115">
        <f>VLOOKUP(A51,'C4_Berechnung'!$A$10:$I$61,8,FALSE)</f>
        <v>19.186547858580052</v>
      </c>
      <c r="I51" s="115">
        <f>VLOOKUP(A51,'C4_Berechnung'!$A$10:$I$61,9,FALSE)</f>
        <v>45.817763725208394</v>
      </c>
      <c r="J51" s="112">
        <v>12405</v>
      </c>
      <c r="K51" s="112">
        <v>9075</v>
      </c>
      <c r="L51" s="112">
        <v>3330</v>
      </c>
      <c r="M51" s="75">
        <v>6.5376864167674329</v>
      </c>
      <c r="N51" s="75">
        <v>30.100765820233775</v>
      </c>
      <c r="O51" s="75">
        <v>20.233776702942365</v>
      </c>
      <c r="P51" s="75">
        <v>43.127771060056432</v>
      </c>
      <c r="Q51" s="112">
        <v>10836</v>
      </c>
      <c r="R51" s="112">
        <v>7902</v>
      </c>
      <c r="S51" s="112">
        <v>2934</v>
      </c>
      <c r="T51" s="75">
        <f>VLOOKUP(A51,'2017_C4'!$A$5:$I$56,6,FALSE)</f>
        <v>6.7183462532299743</v>
      </c>
      <c r="U51" s="75">
        <f>VLOOKUP(A51,'2017_C4'!$A$5:$I$56,7,FALSE)</f>
        <v>29.346622369878183</v>
      </c>
      <c r="V51" s="75">
        <f>VLOOKUP(A51,'2017_C4'!$A$5:$I$56,8,FALSE)</f>
        <v>19.204503506829088</v>
      </c>
      <c r="W51" s="75">
        <f>VLOOKUP(A51,'2017_C4'!$A$5:$I$56,9,FALSE)</f>
        <v>44.730527870062751</v>
      </c>
      <c r="X51" s="112">
        <v>9390</v>
      </c>
      <c r="Y51" s="112">
        <v>6844</v>
      </c>
      <c r="Z51" s="112">
        <v>2546</v>
      </c>
      <c r="AA51" s="69">
        <f>VLOOKUP(A51,'2016_bearbeitet'!$A$7:$T$308,17,FALSE)</f>
        <v>6.98615548455804</v>
      </c>
      <c r="AB51" s="69">
        <f>VLOOKUP(A51,'2016_bearbeitet'!$A$7:$T$308,18,FALSE)</f>
        <v>29.861554845580407</v>
      </c>
      <c r="AC51" s="69">
        <f>VLOOKUP(A51,'2016_bearbeitet'!$A$7:$T$308,19,FALSE)</f>
        <v>16.922257720979765</v>
      </c>
      <c r="AD51" s="69">
        <f>VLOOKUP(A51,'2016_bearbeitet'!$A$7:$T$308,20,FALSE)</f>
        <v>46.230031948881788</v>
      </c>
      <c r="AE51" s="57">
        <v>7801</v>
      </c>
      <c r="AF51" s="57">
        <v>5793</v>
      </c>
      <c r="AG51" s="57">
        <v>2008</v>
      </c>
      <c r="AH51" s="29">
        <v>7.0760158953980259</v>
      </c>
      <c r="AI51" s="29">
        <v>30.214075118574542</v>
      </c>
      <c r="AJ51" s="29">
        <v>15.754390462761183</v>
      </c>
      <c r="AK51" s="29">
        <v>46.95551852326625</v>
      </c>
      <c r="AL51" s="57">
        <v>5620</v>
      </c>
      <c r="AM51" s="57">
        <v>4178</v>
      </c>
      <c r="AN51" s="57">
        <v>1442</v>
      </c>
      <c r="AO51" s="29">
        <v>7.9715302491103204</v>
      </c>
      <c r="AP51" s="29">
        <v>35.587188612099645</v>
      </c>
      <c r="AQ51" s="29">
        <v>17.330960854092528</v>
      </c>
      <c r="AR51" s="29">
        <v>39.110320284697508</v>
      </c>
      <c r="AS51" s="57">
        <v>4817</v>
      </c>
      <c r="AT51" s="57">
        <v>3511</v>
      </c>
      <c r="AU51" s="57">
        <v>1306</v>
      </c>
      <c r="AV51" s="29">
        <v>7.9510068507369729</v>
      </c>
      <c r="AW51" s="29">
        <v>32.592900145318666</v>
      </c>
      <c r="AX51" s="29">
        <v>14.780984014947062</v>
      </c>
      <c r="AY51" s="29">
        <v>44.675108988997295</v>
      </c>
      <c r="AZ51" s="57">
        <v>3084</v>
      </c>
      <c r="BA51" s="57">
        <v>2236</v>
      </c>
      <c r="BB51" s="57">
        <v>848</v>
      </c>
      <c r="BC51" s="83">
        <v>7.4254215304798965</v>
      </c>
      <c r="BD51" s="83">
        <v>35.376134889753565</v>
      </c>
      <c r="BE51" s="83">
        <v>17.866407263294423</v>
      </c>
      <c r="BF51" s="83">
        <v>39.33203631647212</v>
      </c>
      <c r="BG51" s="57">
        <v>2771</v>
      </c>
      <c r="BH51" s="57">
        <v>2047</v>
      </c>
      <c r="BI51" s="57">
        <v>724</v>
      </c>
      <c r="BJ51" s="83">
        <v>7.0371706964994587</v>
      </c>
      <c r="BK51" s="83">
        <v>37.748105377120176</v>
      </c>
      <c r="BL51" s="83">
        <v>18.765788523998555</v>
      </c>
      <c r="BM51" s="78">
        <v>36.448935402381814</v>
      </c>
      <c r="BN51" s="62"/>
    </row>
    <row r="52" spans="1:66" ht="8.25" customHeight="1">
      <c r="A52" s="107">
        <v>455</v>
      </c>
      <c r="B52" s="74" t="s">
        <v>122</v>
      </c>
      <c r="C52" s="193">
        <f>VLOOKUP(A52,'C4_Berechnung'!$A$10:I$61,3,FALSE)</f>
        <v>1407</v>
      </c>
      <c r="D52" s="193">
        <f>VLOOKUP(A52,'C4_Berechnung'!$A$10:$I$61,4,FALSE)</f>
        <v>905</v>
      </c>
      <c r="E52" s="193">
        <f>VLOOKUP(A52,'C4_Berechnung'!$A$10:$I$61,5,FALSE)</f>
        <v>502</v>
      </c>
      <c r="F52" s="115">
        <f>VLOOKUP(A52,'C4_Berechnung'!$A$10:$I$61,6,FALSE)</f>
        <v>10.803127221037668</v>
      </c>
      <c r="G52" s="115">
        <f>VLOOKUP(A52,'C4_Berechnung'!$A$10:$I$61,7,FALSE)</f>
        <v>30.063965884861407</v>
      </c>
      <c r="H52" s="115">
        <f>VLOOKUP(A52,'C4_Berechnung'!$A$10:$I$61,8,FALSE)</f>
        <v>22.316986496090973</v>
      </c>
      <c r="I52" s="115">
        <f>VLOOKUP(A52,'C4_Berechnung'!$A$10:$I$61,9,FALSE)</f>
        <v>36.815920398009951</v>
      </c>
      <c r="J52" s="112">
        <v>1301</v>
      </c>
      <c r="K52" s="112">
        <v>846</v>
      </c>
      <c r="L52" s="112">
        <v>455</v>
      </c>
      <c r="M52" s="75">
        <v>11.837048424289009</v>
      </c>
      <c r="N52" s="75">
        <v>30.822444273635664</v>
      </c>
      <c r="O52" s="75">
        <v>20.138355111452729</v>
      </c>
      <c r="P52" s="75">
        <v>37.202152190622598</v>
      </c>
      <c r="Q52" s="112">
        <v>1141</v>
      </c>
      <c r="R52" s="112">
        <v>726</v>
      </c>
      <c r="S52" s="112">
        <v>415</v>
      </c>
      <c r="T52" s="75">
        <f>VLOOKUP(A52,'2017_C4'!$A$5:$I$56,6,FALSE)</f>
        <v>11.831726555652935</v>
      </c>
      <c r="U52" s="75">
        <f>VLOOKUP(A52,'2017_C4'!$A$5:$I$56,7,FALSE)</f>
        <v>29.623137598597722</v>
      </c>
      <c r="V52" s="75">
        <f>VLOOKUP(A52,'2017_C4'!$A$5:$I$56,8,FALSE)</f>
        <v>18.75547765118317</v>
      </c>
      <c r="W52" s="75">
        <f>VLOOKUP(A52,'2017_C4'!$A$5:$I$56,9,FALSE)</f>
        <v>39.789658194566172</v>
      </c>
      <c r="X52" s="112">
        <v>992</v>
      </c>
      <c r="Y52" s="112">
        <v>609</v>
      </c>
      <c r="Z52" s="112">
        <v>383</v>
      </c>
      <c r="AA52" s="69">
        <f>VLOOKUP(A52,'2016_bearbeitet'!$A$7:$T$308,17,FALSE)</f>
        <v>12.298387096774194</v>
      </c>
      <c r="AB52" s="69">
        <f>VLOOKUP(A52,'2016_bearbeitet'!$A$7:$T$308,18,FALSE)</f>
        <v>30.040322580645164</v>
      </c>
      <c r="AC52" s="69">
        <f>VLOOKUP(A52,'2016_bearbeitet'!$A$7:$T$308,19,FALSE)</f>
        <v>17.338709677419356</v>
      </c>
      <c r="AD52" s="69">
        <f>VLOOKUP(A52,'2016_bearbeitet'!$A$7:$T$308,20,FALSE)</f>
        <v>40.322580645161288</v>
      </c>
      <c r="AE52" s="57">
        <v>961</v>
      </c>
      <c r="AF52" s="57">
        <v>580</v>
      </c>
      <c r="AG52" s="57">
        <v>381</v>
      </c>
      <c r="AH52" s="29">
        <v>9.469302809573362</v>
      </c>
      <c r="AI52" s="29">
        <v>30.905306971904267</v>
      </c>
      <c r="AJ52" s="29">
        <v>19.87513007284079</v>
      </c>
      <c r="AK52" s="29">
        <v>39.75026014568158</v>
      </c>
      <c r="AL52" s="57">
        <v>856</v>
      </c>
      <c r="AM52" s="57">
        <v>508</v>
      </c>
      <c r="AN52" s="57">
        <v>348</v>
      </c>
      <c r="AO52" s="29">
        <v>9.1121495327102799</v>
      </c>
      <c r="AP52" s="29">
        <v>33.177570093457945</v>
      </c>
      <c r="AQ52" s="29">
        <v>19.859813084112147</v>
      </c>
      <c r="AR52" s="29">
        <v>37.850467289719631</v>
      </c>
      <c r="AS52" s="57">
        <v>737</v>
      </c>
      <c r="AT52" s="57">
        <v>435</v>
      </c>
      <c r="AU52" s="57">
        <v>302</v>
      </c>
      <c r="AV52" s="29">
        <v>8.0054274084124835</v>
      </c>
      <c r="AW52" s="29">
        <v>25.915875169606512</v>
      </c>
      <c r="AX52" s="29">
        <v>17.503392130257804</v>
      </c>
      <c r="AY52" s="29">
        <v>48.575305291723197</v>
      </c>
      <c r="AZ52" s="57">
        <v>544</v>
      </c>
      <c r="BA52" s="57">
        <v>300</v>
      </c>
      <c r="BB52" s="57">
        <v>244</v>
      </c>
      <c r="BC52" s="83">
        <v>6.6176470588235299</v>
      </c>
      <c r="BD52" s="83">
        <v>29.963235294117645</v>
      </c>
      <c r="BE52" s="83">
        <v>18.382352941176471</v>
      </c>
      <c r="BF52" s="83">
        <v>45.036764705882362</v>
      </c>
      <c r="BG52" s="57">
        <v>506</v>
      </c>
      <c r="BH52" s="57">
        <v>300</v>
      </c>
      <c r="BI52" s="57">
        <v>206</v>
      </c>
      <c r="BJ52" s="83">
        <v>3.9525691699604746</v>
      </c>
      <c r="BK52" s="83">
        <v>32.411067193675891</v>
      </c>
      <c r="BL52" s="83">
        <v>19.762845849802371</v>
      </c>
      <c r="BM52" s="78">
        <v>43.873517786561258</v>
      </c>
      <c r="BN52" s="62"/>
    </row>
    <row r="53" spans="1:66" ht="8.25" customHeight="1">
      <c r="A53" s="107">
        <v>456</v>
      </c>
      <c r="B53" s="74" t="s">
        <v>123</v>
      </c>
      <c r="C53" s="193">
        <f>VLOOKUP(A53,'C4_Berechnung'!$A$10:I$61,3,FALSE)</f>
        <v>5658</v>
      </c>
      <c r="D53" s="193">
        <f>VLOOKUP(A53,'C4_Berechnung'!$A$10:$I$61,4,FALSE)</f>
        <v>3875</v>
      </c>
      <c r="E53" s="193">
        <f>VLOOKUP(A53,'C4_Berechnung'!$A$10:$I$61,5,FALSE)</f>
        <v>1783</v>
      </c>
      <c r="F53" s="115">
        <f>VLOOKUP(A53,'C4_Berechnung'!$A$10:$I$61,6,FALSE)</f>
        <v>6.8928950159066806</v>
      </c>
      <c r="G53" s="115">
        <f>VLOOKUP(A53,'C4_Berechnung'!$A$10:$I$61,7,FALSE)</f>
        <v>37.345351714386709</v>
      </c>
      <c r="H53" s="115">
        <f>VLOOKUP(A53,'C4_Berechnung'!$A$10:$I$61,8,FALSE)</f>
        <v>21.50936726758572</v>
      </c>
      <c r="I53" s="115">
        <f>VLOOKUP(A53,'C4_Berechnung'!$A$10:$I$61,9,FALSE)</f>
        <v>34.252386002120893</v>
      </c>
      <c r="J53" s="112">
        <v>5166</v>
      </c>
      <c r="K53" s="112">
        <v>3511</v>
      </c>
      <c r="L53" s="112">
        <v>1655</v>
      </c>
      <c r="M53" s="75">
        <v>6.5814943863724356</v>
      </c>
      <c r="N53" s="75">
        <v>38.559814169570267</v>
      </c>
      <c r="O53" s="75">
        <v>20.596205962059621</v>
      </c>
      <c r="P53" s="75">
        <v>34.262485481997679</v>
      </c>
      <c r="Q53" s="112">
        <v>4741</v>
      </c>
      <c r="R53" s="112">
        <v>3221</v>
      </c>
      <c r="S53" s="112">
        <v>1520</v>
      </c>
      <c r="T53" s="75">
        <f>VLOOKUP(A53,'2017_C4'!$A$5:$I$56,6,FALSE)</f>
        <v>6.3066863530900656</v>
      </c>
      <c r="U53" s="75">
        <f>VLOOKUP(A53,'2017_C4'!$A$5:$I$56,7,FALSE)</f>
        <v>40.582155663362158</v>
      </c>
      <c r="V53" s="75">
        <f>VLOOKUP(A53,'2017_C4'!$A$5:$I$56,8,FALSE)</f>
        <v>18.540392322294874</v>
      </c>
      <c r="W53" s="75">
        <f>VLOOKUP(A53,'2017_C4'!$A$5:$I$56,9,FALSE)</f>
        <v>34.570765661252899</v>
      </c>
      <c r="X53" s="112">
        <v>4464</v>
      </c>
      <c r="Y53" s="112">
        <v>2998</v>
      </c>
      <c r="Z53" s="112">
        <v>1466</v>
      </c>
      <c r="AA53" s="69">
        <f>VLOOKUP(A53,'2016_bearbeitet'!$A$7:$T$308,17,FALSE)</f>
        <v>6.25</v>
      </c>
      <c r="AB53" s="69">
        <f>VLOOKUP(A53,'2016_bearbeitet'!$A$7:$T$308,18,FALSE)</f>
        <v>39.202508960573482</v>
      </c>
      <c r="AC53" s="69">
        <f>VLOOKUP(A53,'2016_bearbeitet'!$A$7:$T$308,19,FALSE)</f>
        <v>17.405913978494624</v>
      </c>
      <c r="AD53" s="69">
        <f>VLOOKUP(A53,'2016_bearbeitet'!$A$7:$T$308,20,FALSE)</f>
        <v>37.141577060931901</v>
      </c>
      <c r="AE53" s="57">
        <v>3906</v>
      </c>
      <c r="AF53" s="57">
        <v>2577</v>
      </c>
      <c r="AG53" s="57">
        <v>1329</v>
      </c>
      <c r="AH53" s="29">
        <v>6.477214541730671</v>
      </c>
      <c r="AI53" s="29">
        <v>39.73374295954941</v>
      </c>
      <c r="AJ53" s="29">
        <v>16.820276497695851</v>
      </c>
      <c r="AK53" s="29">
        <v>36.968766001024065</v>
      </c>
      <c r="AL53" s="57">
        <v>3298</v>
      </c>
      <c r="AM53" s="57">
        <v>2222</v>
      </c>
      <c r="AN53" s="57">
        <v>1076</v>
      </c>
      <c r="AO53" s="29">
        <v>6.3978168587022433</v>
      </c>
      <c r="AP53" s="29">
        <v>42.631898120072769</v>
      </c>
      <c r="AQ53" s="29">
        <v>16.00970285021225</v>
      </c>
      <c r="AR53" s="29">
        <v>34.960582171012739</v>
      </c>
      <c r="AS53" s="57">
        <v>3138</v>
      </c>
      <c r="AT53" s="57">
        <v>2122</v>
      </c>
      <c r="AU53" s="57">
        <v>1016</v>
      </c>
      <c r="AV53" s="29">
        <v>5.353728489483748</v>
      </c>
      <c r="AW53" s="29">
        <v>37.667304015296367</v>
      </c>
      <c r="AX53" s="29">
        <v>15.423836838750796</v>
      </c>
      <c r="AY53" s="29">
        <v>41.555130656469082</v>
      </c>
      <c r="AZ53" s="57">
        <v>1987</v>
      </c>
      <c r="BA53" s="57">
        <v>1363</v>
      </c>
      <c r="BB53" s="57">
        <v>624</v>
      </c>
      <c r="BC53" s="83">
        <v>4.5294413688978361</v>
      </c>
      <c r="BD53" s="83">
        <v>36.48716658278812</v>
      </c>
      <c r="BE53" s="83">
        <v>20.684448917966783</v>
      </c>
      <c r="BF53" s="83">
        <v>38.298943130347254</v>
      </c>
      <c r="BG53" s="57">
        <v>1685</v>
      </c>
      <c r="BH53" s="57">
        <v>1137</v>
      </c>
      <c r="BI53" s="57">
        <v>548</v>
      </c>
      <c r="BJ53" s="83">
        <v>4.9258160237388724</v>
      </c>
      <c r="BK53" s="83">
        <v>39.169139465875368</v>
      </c>
      <c r="BL53" s="83">
        <v>19.465875370919878</v>
      </c>
      <c r="BM53" s="78">
        <v>36.439169139465882</v>
      </c>
      <c r="BN53" s="62"/>
    </row>
    <row r="54" spans="1:66" ht="8.25" customHeight="1">
      <c r="A54" s="107">
        <v>457</v>
      </c>
      <c r="B54" s="74" t="s">
        <v>124</v>
      </c>
      <c r="C54" s="193">
        <f>VLOOKUP(A54,'C4_Berechnung'!$A$10:I$61,3,FALSE)</f>
        <v>3734</v>
      </c>
      <c r="D54" s="193">
        <f>VLOOKUP(A54,'C4_Berechnung'!$A$10:$I$61,4,FALSE)</f>
        <v>2680</v>
      </c>
      <c r="E54" s="193">
        <f>VLOOKUP(A54,'C4_Berechnung'!$A$10:$I$61,5,FALSE)</f>
        <v>1054</v>
      </c>
      <c r="F54" s="115">
        <f>VLOOKUP(A54,'C4_Berechnung'!$A$10:$I$61,6,FALSE)</f>
        <v>8.1146223888591322</v>
      </c>
      <c r="G54" s="115">
        <f>VLOOKUP(A54,'C4_Berechnung'!$A$10:$I$61,7,FALSE)</f>
        <v>29.539367970005355</v>
      </c>
      <c r="H54" s="115">
        <f>VLOOKUP(A54,'C4_Berechnung'!$A$10:$I$61,8,FALSE)</f>
        <v>16.952329941081949</v>
      </c>
      <c r="I54" s="115">
        <f>VLOOKUP(A54,'C4_Berechnung'!$A$10:$I$61,9,FALSE)</f>
        <v>45.393679700053561</v>
      </c>
      <c r="J54" s="112">
        <v>3327</v>
      </c>
      <c r="K54" s="112">
        <v>2340</v>
      </c>
      <c r="L54" s="112">
        <v>987</v>
      </c>
      <c r="M54" s="75">
        <v>8.6263901412684092</v>
      </c>
      <c r="N54" s="75">
        <v>29.636308987075445</v>
      </c>
      <c r="O54" s="75">
        <v>15.419296663660957</v>
      </c>
      <c r="P54" s="75">
        <v>46.318004207995187</v>
      </c>
      <c r="Q54" s="112">
        <v>2855</v>
      </c>
      <c r="R54" s="112">
        <v>1943</v>
      </c>
      <c r="S54" s="112">
        <v>912</v>
      </c>
      <c r="T54" s="75">
        <f>VLOOKUP(A54,'2017_C4'!$A$5:$I$56,6,FALSE)</f>
        <v>9.3520140105078813</v>
      </c>
      <c r="U54" s="75">
        <f>VLOOKUP(A54,'2017_C4'!$A$5:$I$56,7,FALSE)</f>
        <v>33.730297723292466</v>
      </c>
      <c r="V54" s="75">
        <f>VLOOKUP(A54,'2017_C4'!$A$5:$I$56,8,FALSE)</f>
        <v>15.691768826619965</v>
      </c>
      <c r="W54" s="75">
        <f>VLOOKUP(A54,'2017_C4'!$A$5:$I$56,9,FALSE)</f>
        <v>41.225919439579684</v>
      </c>
      <c r="X54" s="112">
        <v>2482</v>
      </c>
      <c r="Y54" s="112">
        <v>1663</v>
      </c>
      <c r="Z54" s="112">
        <v>819</v>
      </c>
      <c r="AA54" s="69">
        <f>VLOOKUP(A54,'2016_bearbeitet'!$A$7:$T$308,17,FALSE)</f>
        <v>9.7099113618049966</v>
      </c>
      <c r="AB54" s="69">
        <f>VLOOKUP(A54,'2016_bearbeitet'!$A$7:$T$308,18,FALSE)</f>
        <v>32.87671232876712</v>
      </c>
      <c r="AC54" s="69">
        <f>VLOOKUP(A54,'2016_bearbeitet'!$A$7:$T$308,19,FALSE)</f>
        <v>15.350523771152297</v>
      </c>
      <c r="AD54" s="69">
        <f>VLOOKUP(A54,'2016_bearbeitet'!$A$7:$T$308,20,FALSE)</f>
        <v>42.062852538275585</v>
      </c>
      <c r="AE54" s="57">
        <v>2168</v>
      </c>
      <c r="AF54" s="57">
        <v>1460</v>
      </c>
      <c r="AG54" s="57">
        <v>708</v>
      </c>
      <c r="AH54" s="29">
        <v>10.285977859778598</v>
      </c>
      <c r="AI54" s="29">
        <v>33.025830258302584</v>
      </c>
      <c r="AJ54" s="29">
        <v>13.422509225092252</v>
      </c>
      <c r="AK54" s="29">
        <v>43.265682656826563</v>
      </c>
      <c r="AL54" s="57">
        <v>1862</v>
      </c>
      <c r="AM54" s="57">
        <v>1250</v>
      </c>
      <c r="AN54" s="57">
        <v>612</v>
      </c>
      <c r="AO54" s="29">
        <v>10.472610096670246</v>
      </c>
      <c r="AP54" s="29">
        <v>33.243823845327604</v>
      </c>
      <c r="AQ54" s="29">
        <v>13.48012889366273</v>
      </c>
      <c r="AR54" s="29">
        <v>42.803437164339414</v>
      </c>
      <c r="AS54" s="57">
        <v>1804</v>
      </c>
      <c r="AT54" s="57">
        <v>1189</v>
      </c>
      <c r="AU54" s="57">
        <v>615</v>
      </c>
      <c r="AV54" s="29">
        <v>7.815964523281596</v>
      </c>
      <c r="AW54" s="29">
        <v>24.778270509977826</v>
      </c>
      <c r="AX54" s="29">
        <v>12.472283813747229</v>
      </c>
      <c r="AY54" s="29">
        <v>54.933481152993352</v>
      </c>
      <c r="AZ54" s="57">
        <v>1537</v>
      </c>
      <c r="BA54" s="57">
        <v>1099</v>
      </c>
      <c r="BB54" s="57">
        <v>438</v>
      </c>
      <c r="BC54" s="83">
        <v>4.9446974625894597</v>
      </c>
      <c r="BD54" s="83">
        <v>22.381262199089136</v>
      </c>
      <c r="BE54" s="83">
        <v>13.467794404684449</v>
      </c>
      <c r="BF54" s="83">
        <v>59.20624593363695</v>
      </c>
      <c r="BG54" s="57">
        <v>1352</v>
      </c>
      <c r="BH54" s="57">
        <v>970</v>
      </c>
      <c r="BI54" s="57">
        <v>382</v>
      </c>
      <c r="BJ54" s="83">
        <v>4.7337278106508878</v>
      </c>
      <c r="BK54" s="83">
        <v>24.630177514792901</v>
      </c>
      <c r="BL54" s="83">
        <v>12.278106508875739</v>
      </c>
      <c r="BM54" s="78">
        <v>58.357988165680467</v>
      </c>
      <c r="BN54" s="62"/>
    </row>
    <row r="55" spans="1:66" ht="8.25" customHeight="1">
      <c r="A55" s="107">
        <v>458</v>
      </c>
      <c r="B55" s="74" t="s">
        <v>125</v>
      </c>
      <c r="C55" s="193">
        <f>VLOOKUP(A55,'C4_Berechnung'!$A$10:I$61,3,FALSE)</f>
        <v>3710</v>
      </c>
      <c r="D55" s="193">
        <f>VLOOKUP(A55,'C4_Berechnung'!$A$10:$I$61,4,FALSE)</f>
        <v>2646</v>
      </c>
      <c r="E55" s="193">
        <f>VLOOKUP(A55,'C4_Berechnung'!$A$10:$I$61,5,FALSE)</f>
        <v>1064</v>
      </c>
      <c r="F55" s="115">
        <f>VLOOKUP(A55,'C4_Berechnung'!$A$10:$I$61,6,FALSE)</f>
        <v>4.4204851752021561</v>
      </c>
      <c r="G55" s="115">
        <f>VLOOKUP(A55,'C4_Berechnung'!$A$10:$I$61,7,FALSE)</f>
        <v>25.525606469002696</v>
      </c>
      <c r="H55" s="115">
        <f>VLOOKUP(A55,'C4_Berechnung'!$A$10:$I$61,8,FALSE)</f>
        <v>27.035040431266847</v>
      </c>
      <c r="I55" s="115">
        <f>VLOOKUP(A55,'C4_Berechnung'!$A$10:$I$61,9,FALSE)</f>
        <v>43.018867924528301</v>
      </c>
      <c r="J55" s="112">
        <v>3207</v>
      </c>
      <c r="K55" s="112">
        <v>2308</v>
      </c>
      <c r="L55" s="112">
        <v>899</v>
      </c>
      <c r="M55" s="75">
        <v>4.20954162768943</v>
      </c>
      <c r="N55" s="75">
        <v>25.101340816962892</v>
      </c>
      <c r="O55" s="75">
        <v>25.194886186467102</v>
      </c>
      <c r="P55" s="75">
        <v>45.49423136888057</v>
      </c>
      <c r="Q55" s="112">
        <v>2773</v>
      </c>
      <c r="R55" s="112">
        <v>1968</v>
      </c>
      <c r="S55" s="112">
        <v>805</v>
      </c>
      <c r="T55" s="75">
        <f>VLOOKUP(A55,'2017_C4'!$A$5:$I$56,6,FALSE)</f>
        <v>4.5077533357374682</v>
      </c>
      <c r="U55" s="75">
        <f>VLOOKUP(A55,'2017_C4'!$A$5:$I$56,7,FALSE)</f>
        <v>26.433465560764514</v>
      </c>
      <c r="V55" s="75">
        <f>VLOOKUP(A55,'2017_C4'!$A$5:$I$56,8,FALSE)</f>
        <v>23.548503425892537</v>
      </c>
      <c r="W55" s="75">
        <f>VLOOKUP(A55,'2017_C4'!$A$5:$I$56,9,FALSE)</f>
        <v>45.51027767760548</v>
      </c>
      <c r="X55" s="112">
        <v>2350</v>
      </c>
      <c r="Y55" s="112">
        <v>1656</v>
      </c>
      <c r="Z55" s="112">
        <v>694</v>
      </c>
      <c r="AA55" s="69">
        <f>VLOOKUP(A55,'2016_bearbeitet'!$A$7:$T$308,17,FALSE)</f>
        <v>4.3829787234042552</v>
      </c>
      <c r="AB55" s="69">
        <f>VLOOKUP(A55,'2016_bearbeitet'!$A$7:$T$308,18,FALSE)</f>
        <v>25.191489361702128</v>
      </c>
      <c r="AC55" s="69">
        <f>VLOOKUP(A55,'2016_bearbeitet'!$A$7:$T$308,19,FALSE)</f>
        <v>21.74468085106383</v>
      </c>
      <c r="AD55" s="69">
        <f>VLOOKUP(A55,'2016_bearbeitet'!$A$7:$T$308,20,FALSE)</f>
        <v>48.680851063829792</v>
      </c>
      <c r="AE55" s="57">
        <v>2064</v>
      </c>
      <c r="AF55" s="57">
        <v>1474</v>
      </c>
      <c r="AG55" s="57">
        <v>590</v>
      </c>
      <c r="AH55" s="29">
        <v>4.4089147286821708</v>
      </c>
      <c r="AI55" s="29">
        <v>23.885658914728683</v>
      </c>
      <c r="AJ55" s="29">
        <v>20.736434108527131</v>
      </c>
      <c r="AK55" s="29">
        <v>50.968992248062015</v>
      </c>
      <c r="AL55" s="57">
        <v>1947</v>
      </c>
      <c r="AM55" s="57">
        <v>1328</v>
      </c>
      <c r="AN55" s="57">
        <v>619</v>
      </c>
      <c r="AO55" s="29">
        <v>4.2116076014381099</v>
      </c>
      <c r="AP55" s="29">
        <v>23.112480739599384</v>
      </c>
      <c r="AQ55" s="29">
        <v>31.124807395993837</v>
      </c>
      <c r="AR55" s="29">
        <v>41.551104262968664</v>
      </c>
      <c r="AS55" s="57">
        <v>1646</v>
      </c>
      <c r="AT55" s="57">
        <v>1111</v>
      </c>
      <c r="AU55" s="57">
        <v>535</v>
      </c>
      <c r="AV55" s="29">
        <v>3.7059538274605104</v>
      </c>
      <c r="AW55" s="29">
        <v>20.473876063183475</v>
      </c>
      <c r="AX55" s="29">
        <v>27.52126366950182</v>
      </c>
      <c r="AY55" s="29">
        <v>48.298906439854193</v>
      </c>
      <c r="AZ55" s="57">
        <v>1372</v>
      </c>
      <c r="BA55" s="57">
        <v>917</v>
      </c>
      <c r="BB55" s="57">
        <v>455</v>
      </c>
      <c r="BC55" s="83">
        <v>2.0408163265306123</v>
      </c>
      <c r="BD55" s="83">
        <v>18.367346938775512</v>
      </c>
      <c r="BE55" s="83">
        <v>16.326530612244898</v>
      </c>
      <c r="BF55" s="83">
        <v>63.265306122448983</v>
      </c>
      <c r="BG55" s="57">
        <v>1320</v>
      </c>
      <c r="BH55" s="57">
        <v>916</v>
      </c>
      <c r="BI55" s="57">
        <v>404</v>
      </c>
      <c r="BJ55" s="83">
        <v>2.1212121212121215</v>
      </c>
      <c r="BK55" s="83">
        <v>16.666666666666664</v>
      </c>
      <c r="BL55" s="83">
        <v>15.681818181818183</v>
      </c>
      <c r="BM55" s="78">
        <v>65.530303030303031</v>
      </c>
      <c r="BN55" s="62"/>
    </row>
    <row r="56" spans="1:66" ht="8.25" customHeight="1">
      <c r="A56" s="107">
        <v>459</v>
      </c>
      <c r="B56" s="74" t="s">
        <v>126</v>
      </c>
      <c r="C56" s="193">
        <f>VLOOKUP(A56,'C4_Berechnung'!$A$10:I$61,3,FALSE)</f>
        <v>17588</v>
      </c>
      <c r="D56" s="193">
        <f>VLOOKUP(A56,'C4_Berechnung'!$A$10:$I$61,4,FALSE)</f>
        <v>11759</v>
      </c>
      <c r="E56" s="193">
        <f>VLOOKUP(A56,'C4_Berechnung'!$A$10:$I$61,5,FALSE)</f>
        <v>5829</v>
      </c>
      <c r="F56" s="115">
        <f>VLOOKUP(A56,'C4_Berechnung'!$A$10:$I$61,6,FALSE)</f>
        <v>4.196042756424835</v>
      </c>
      <c r="G56" s="115">
        <f>VLOOKUP(A56,'C4_Berechnung'!$A$10:$I$61,7,FALSE)</f>
        <v>22.174209688423925</v>
      </c>
      <c r="H56" s="115">
        <f>VLOOKUP(A56,'C4_Berechnung'!$A$10:$I$61,8,FALSE)</f>
        <v>24.55651580623152</v>
      </c>
      <c r="I56" s="115">
        <f>VLOOKUP(A56,'C4_Berechnung'!$A$10:$I$61,9,FALSE)</f>
        <v>49.073231748919717</v>
      </c>
      <c r="J56" s="112">
        <v>16160</v>
      </c>
      <c r="K56" s="112">
        <v>10937</v>
      </c>
      <c r="L56" s="112">
        <v>5223</v>
      </c>
      <c r="M56" s="75">
        <v>3.9975247524752477</v>
      </c>
      <c r="N56" s="75">
        <v>21.998762376237625</v>
      </c>
      <c r="O56" s="75">
        <v>24.077970297029701</v>
      </c>
      <c r="P56" s="75">
        <v>49.925742574257427</v>
      </c>
      <c r="Q56" s="112">
        <v>13926</v>
      </c>
      <c r="R56" s="112">
        <v>9370</v>
      </c>
      <c r="S56" s="112">
        <v>4556</v>
      </c>
      <c r="T56" s="75">
        <f>VLOOKUP(A56,'2017_C4'!$A$5:$I$56,6,FALSE)</f>
        <v>4.3156685336780125</v>
      </c>
      <c r="U56" s="75">
        <f>VLOOKUP(A56,'2017_C4'!$A$5:$I$56,7,FALSE)</f>
        <v>23.617693522906794</v>
      </c>
      <c r="V56" s="75">
        <f>VLOOKUP(A56,'2017_C4'!$A$5:$I$56,8,FALSE)</f>
        <v>24.673273014505241</v>
      </c>
      <c r="W56" s="75">
        <f>VLOOKUP(A56,'2017_C4'!$A$5:$I$56,9,FALSE)</f>
        <v>47.393364928909953</v>
      </c>
      <c r="X56" s="112">
        <v>11933</v>
      </c>
      <c r="Y56" s="112">
        <v>8100</v>
      </c>
      <c r="Z56" s="112">
        <v>3833</v>
      </c>
      <c r="AA56" s="69">
        <f>VLOOKUP(A56,'2016_bearbeitet'!$A$7:$T$308,17,FALSE)</f>
        <v>4.3409033771893073</v>
      </c>
      <c r="AB56" s="69">
        <f>VLOOKUP(A56,'2016_bearbeitet'!$A$7:$T$308,18,FALSE)</f>
        <v>24.009050532137767</v>
      </c>
      <c r="AC56" s="69">
        <f>VLOOKUP(A56,'2016_bearbeitet'!$A$7:$T$308,19,FALSE)</f>
        <v>25.668314757395461</v>
      </c>
      <c r="AD56" s="69">
        <f>VLOOKUP(A56,'2016_bearbeitet'!$A$7:$T$308,20,FALSE)</f>
        <v>45.981731333277466</v>
      </c>
      <c r="AE56" s="57">
        <v>10321</v>
      </c>
      <c r="AF56" s="57">
        <v>7130</v>
      </c>
      <c r="AG56" s="57">
        <v>3191</v>
      </c>
      <c r="AH56" s="29">
        <v>4.2631527952717763</v>
      </c>
      <c r="AI56" s="29">
        <v>25.511093886251334</v>
      </c>
      <c r="AJ56" s="29">
        <v>24.774731130704389</v>
      </c>
      <c r="AK56" s="29">
        <v>45.451022187772494</v>
      </c>
      <c r="AL56" s="57">
        <v>8767</v>
      </c>
      <c r="AM56" s="57">
        <v>5978</v>
      </c>
      <c r="AN56" s="57">
        <v>2789</v>
      </c>
      <c r="AO56" s="29">
        <v>4.323029542602943</v>
      </c>
      <c r="AP56" s="29">
        <v>24.786129804950381</v>
      </c>
      <c r="AQ56" s="29">
        <v>26.896315729439944</v>
      </c>
      <c r="AR56" s="29">
        <v>43.994524923006729</v>
      </c>
      <c r="AS56" s="57">
        <v>7527</v>
      </c>
      <c r="AT56" s="57">
        <v>5133</v>
      </c>
      <c r="AU56" s="57">
        <v>2394</v>
      </c>
      <c r="AV56" s="29">
        <v>3.7066560382622558</v>
      </c>
      <c r="AW56" s="29">
        <v>22.492360834329748</v>
      </c>
      <c r="AX56" s="29">
        <v>25.680882157566092</v>
      </c>
      <c r="AY56" s="29">
        <v>48.120100969841914</v>
      </c>
      <c r="AZ56" s="57">
        <v>6322</v>
      </c>
      <c r="BA56" s="57">
        <v>4360</v>
      </c>
      <c r="BB56" s="57">
        <v>1962</v>
      </c>
      <c r="BC56" s="83">
        <v>3.0211958241062953</v>
      </c>
      <c r="BD56" s="83">
        <v>18.664979436887062</v>
      </c>
      <c r="BE56" s="83">
        <v>36.048718759886114</v>
      </c>
      <c r="BF56" s="83">
        <v>42.265105979120527</v>
      </c>
      <c r="BG56" s="57">
        <v>5311</v>
      </c>
      <c r="BH56" s="57">
        <v>3710</v>
      </c>
      <c r="BI56" s="57">
        <v>1601</v>
      </c>
      <c r="BJ56" s="83">
        <v>2.9749576350969686</v>
      </c>
      <c r="BK56" s="83">
        <v>20.12803615138392</v>
      </c>
      <c r="BL56" s="83">
        <v>43.268687629448316</v>
      </c>
      <c r="BM56" s="78">
        <v>33.628318584070797</v>
      </c>
      <c r="BN56" s="62"/>
    </row>
    <row r="57" spans="1:66" ht="8.25" customHeight="1">
      <c r="A57" s="107">
        <v>460</v>
      </c>
      <c r="B57" s="74" t="s">
        <v>127</v>
      </c>
      <c r="C57" s="193">
        <f>VLOOKUP(A57,'C4_Berechnung'!$A$10:I$61,3,FALSE)</f>
        <v>10720</v>
      </c>
      <c r="D57" s="193">
        <f>VLOOKUP(A57,'C4_Berechnung'!$A$10:$I$61,4,FALSE)</f>
        <v>7249</v>
      </c>
      <c r="E57" s="193">
        <f>VLOOKUP(A57,'C4_Berechnung'!$A$10:$I$61,5,FALSE)</f>
        <v>3471</v>
      </c>
      <c r="F57" s="115">
        <f>VLOOKUP(A57,'C4_Berechnung'!$A$10:$I$61,6,FALSE)</f>
        <v>4.4123134328358207</v>
      </c>
      <c r="G57" s="115">
        <f>VLOOKUP(A57,'C4_Berechnung'!$A$10:$I$61,7,FALSE)</f>
        <v>21.128731343283583</v>
      </c>
      <c r="H57" s="115">
        <f>VLOOKUP(A57,'C4_Berechnung'!$A$10:$I$61,8,FALSE)</f>
        <v>27.406716417910449</v>
      </c>
      <c r="I57" s="115">
        <f>VLOOKUP(A57,'C4_Berechnung'!$A$10:$I$61,9,FALSE)</f>
        <v>47.052238805970148</v>
      </c>
      <c r="J57" s="112">
        <v>9815</v>
      </c>
      <c r="K57" s="112">
        <v>6648</v>
      </c>
      <c r="L57" s="112">
        <v>3167</v>
      </c>
      <c r="M57" s="75">
        <v>4.1569026999490575</v>
      </c>
      <c r="N57" s="75">
        <v>22.027508914926134</v>
      </c>
      <c r="O57" s="75">
        <v>25.674987264391234</v>
      </c>
      <c r="P57" s="75">
        <v>48.140601120733571</v>
      </c>
      <c r="Q57" s="112">
        <v>9005</v>
      </c>
      <c r="R57" s="112">
        <v>6010</v>
      </c>
      <c r="S57" s="112">
        <v>2995</v>
      </c>
      <c r="T57" s="75">
        <f>VLOOKUP(A57,'2017_C4'!$A$5:$I$56,6,FALSE)</f>
        <v>3.9644641865630206</v>
      </c>
      <c r="U57" s="75">
        <f>VLOOKUP(A57,'2017_C4'!$A$5:$I$56,7,FALSE)</f>
        <v>21.787895613548027</v>
      </c>
      <c r="V57" s="75">
        <f>VLOOKUP(A57,'2017_C4'!$A$5:$I$56,8,FALSE)</f>
        <v>24.652970571904497</v>
      </c>
      <c r="W57" s="75">
        <f>VLOOKUP(A57,'2017_C4'!$A$5:$I$56,9,FALSE)</f>
        <v>49.594669627984459</v>
      </c>
      <c r="X57" s="112">
        <v>8345</v>
      </c>
      <c r="Y57" s="112">
        <v>5481</v>
      </c>
      <c r="Z57" s="112">
        <v>2864</v>
      </c>
      <c r="AA57" s="69">
        <f>VLOOKUP(A57,'2016_bearbeitet'!$A$7:$T$308,17,FALSE)</f>
        <v>3.9185140802875975</v>
      </c>
      <c r="AB57" s="69">
        <f>VLOOKUP(A57,'2016_bearbeitet'!$A$7:$T$308,18,FALSE)</f>
        <v>20</v>
      </c>
      <c r="AC57" s="69">
        <f>VLOOKUP(A57,'2016_bearbeitet'!$A$7:$T$308,19,FALSE)</f>
        <v>25.871779508687837</v>
      </c>
      <c r="AD57" s="69">
        <f>VLOOKUP(A57,'2016_bearbeitet'!$A$7:$T$308,20,FALSE)</f>
        <v>50.20970641102457</v>
      </c>
      <c r="AE57" s="57">
        <v>7530</v>
      </c>
      <c r="AF57" s="57">
        <v>4866</v>
      </c>
      <c r="AG57" s="57">
        <v>2664</v>
      </c>
      <c r="AH57" s="29">
        <v>3.5723771580345289</v>
      </c>
      <c r="AI57" s="29">
        <v>19.070385126162019</v>
      </c>
      <c r="AJ57" s="29">
        <v>25.830013280212484</v>
      </c>
      <c r="AK57" s="29">
        <v>51.527224435590966</v>
      </c>
      <c r="AL57" s="57">
        <v>6430</v>
      </c>
      <c r="AM57" s="57">
        <v>4165</v>
      </c>
      <c r="AN57" s="57">
        <v>2265</v>
      </c>
      <c r="AO57" s="29">
        <v>3.9502332814930012</v>
      </c>
      <c r="AP57" s="29">
        <v>17.293934681181959</v>
      </c>
      <c r="AQ57" s="29">
        <v>25.863141524105753</v>
      </c>
      <c r="AR57" s="29">
        <v>52.892690513219286</v>
      </c>
      <c r="AS57" s="57">
        <v>6068</v>
      </c>
      <c r="AT57" s="57">
        <v>3964</v>
      </c>
      <c r="AU57" s="57">
        <v>2104</v>
      </c>
      <c r="AV57" s="29">
        <v>3.4937376400791038</v>
      </c>
      <c r="AW57" s="29">
        <v>12.673038892551089</v>
      </c>
      <c r="AX57" s="29">
        <v>21.704021094264998</v>
      </c>
      <c r="AY57" s="29">
        <v>62.129202373104803</v>
      </c>
      <c r="AZ57" s="57">
        <v>4812</v>
      </c>
      <c r="BA57" s="57">
        <v>3104</v>
      </c>
      <c r="BB57" s="57">
        <v>1708</v>
      </c>
      <c r="BC57" s="83">
        <v>3.2626766417290107</v>
      </c>
      <c r="BD57" s="83">
        <v>10.203657522859517</v>
      </c>
      <c r="BE57" s="83">
        <v>20.802161263507895</v>
      </c>
      <c r="BF57" s="83">
        <v>65.731504571903571</v>
      </c>
      <c r="BG57" s="57">
        <v>3764</v>
      </c>
      <c r="BH57" s="57">
        <v>2398</v>
      </c>
      <c r="BI57" s="57">
        <v>1366</v>
      </c>
      <c r="BJ57" s="83">
        <v>3.6131774707757707</v>
      </c>
      <c r="BK57" s="83">
        <v>11.955366631243358</v>
      </c>
      <c r="BL57" s="83">
        <v>26.886291179596171</v>
      </c>
      <c r="BM57" s="78">
        <v>57.545164718384697</v>
      </c>
      <c r="BN57" s="62"/>
    </row>
    <row r="58" spans="1:66" ht="8.25" customHeight="1">
      <c r="A58" s="107">
        <v>461</v>
      </c>
      <c r="B58" s="74" t="s">
        <v>128</v>
      </c>
      <c r="C58" s="193">
        <f>VLOOKUP(A58,'C4_Berechnung'!$A$10:I$61,3,FALSE)</f>
        <v>2489</v>
      </c>
      <c r="D58" s="193">
        <f>VLOOKUP(A58,'C4_Berechnung'!$A$10:$I$61,4,FALSE)</f>
        <v>2018</v>
      </c>
      <c r="E58" s="193">
        <f>VLOOKUP(A58,'C4_Berechnung'!$A$10:$I$61,5,FALSE)</f>
        <v>471</v>
      </c>
      <c r="F58" s="115">
        <f>VLOOKUP(A58,'C4_Berechnung'!$A$10:$I$61,6,FALSE)</f>
        <v>6.2274005624748892</v>
      </c>
      <c r="G58" s="115">
        <f>VLOOKUP(A58,'C4_Berechnung'!$A$10:$I$61,7,FALSE)</f>
        <v>35.074327038971475</v>
      </c>
      <c r="H58" s="115">
        <f>VLOOKUP(A58,'C4_Berechnung'!$A$10:$I$61,8,FALSE)</f>
        <v>20.36962635596625</v>
      </c>
      <c r="I58" s="115">
        <f>VLOOKUP(A58,'C4_Berechnung'!$A$10:$I$61,9,FALSE)</f>
        <v>38.328646042587387</v>
      </c>
      <c r="J58" s="112">
        <v>2455</v>
      </c>
      <c r="K58" s="112">
        <v>2010</v>
      </c>
      <c r="L58" s="112">
        <v>445</v>
      </c>
      <c r="M58" s="75">
        <v>5.6619144602851321</v>
      </c>
      <c r="N58" s="75">
        <v>34.501018329938901</v>
      </c>
      <c r="O58" s="75">
        <v>19.633401221995928</v>
      </c>
      <c r="P58" s="75">
        <v>40.203665987780042</v>
      </c>
      <c r="Q58" s="112">
        <v>2101</v>
      </c>
      <c r="R58" s="112">
        <v>1739</v>
      </c>
      <c r="S58" s="112">
        <v>362</v>
      </c>
      <c r="T58" s="75">
        <f>VLOOKUP(A58,'2017_C4'!$A$5:$I$56,6,FALSE)</f>
        <v>6.0923369823893383</v>
      </c>
      <c r="U58" s="75">
        <f>VLOOKUP(A58,'2017_C4'!$A$5:$I$56,7,FALSE)</f>
        <v>36.220847215611613</v>
      </c>
      <c r="V58" s="75">
        <f>VLOOKUP(A58,'2017_C4'!$A$5:$I$56,8,FALSE)</f>
        <v>18.419800095192766</v>
      </c>
      <c r="W58" s="75">
        <f>VLOOKUP(A58,'2017_C4'!$A$5:$I$56,9,FALSE)</f>
        <v>39.267015706806284</v>
      </c>
      <c r="X58" s="112">
        <v>1850</v>
      </c>
      <c r="Y58" s="112">
        <v>1511</v>
      </c>
      <c r="Z58" s="112">
        <v>339</v>
      </c>
      <c r="AA58" s="69">
        <f>VLOOKUP(A58,'2016_bearbeitet'!$A$7:$T$308,17,FALSE)</f>
        <v>5.5135135135135132</v>
      </c>
      <c r="AB58" s="69">
        <f>VLOOKUP(A58,'2016_bearbeitet'!$A$7:$T$308,18,FALSE)</f>
        <v>37.567567567567565</v>
      </c>
      <c r="AC58" s="69">
        <f>VLOOKUP(A58,'2016_bearbeitet'!$A$7:$T$308,19,FALSE)</f>
        <v>18.216216216216218</v>
      </c>
      <c r="AD58" s="69">
        <f>VLOOKUP(A58,'2016_bearbeitet'!$A$7:$T$308,20,FALSE)</f>
        <v>38.702702702702702</v>
      </c>
      <c r="AE58" s="57">
        <v>1550</v>
      </c>
      <c r="AF58" s="57">
        <v>1283</v>
      </c>
      <c r="AG58" s="57">
        <v>267</v>
      </c>
      <c r="AH58" s="29">
        <v>5.4838709677419359</v>
      </c>
      <c r="AI58" s="29">
        <v>40.580645161290327</v>
      </c>
      <c r="AJ58" s="29">
        <v>19.35483870967742</v>
      </c>
      <c r="AK58" s="29">
        <v>34.580645161290313</v>
      </c>
      <c r="AL58" s="57">
        <v>1330</v>
      </c>
      <c r="AM58" s="57">
        <v>1110</v>
      </c>
      <c r="AN58" s="57">
        <v>220</v>
      </c>
      <c r="AO58" s="29">
        <v>4.8120300751879705</v>
      </c>
      <c r="AP58" s="29">
        <v>41.127819548872182</v>
      </c>
      <c r="AQ58" s="29">
        <v>20.375939849624061</v>
      </c>
      <c r="AR58" s="29">
        <v>33.684210526315788</v>
      </c>
      <c r="AS58" s="57">
        <v>1240</v>
      </c>
      <c r="AT58" s="57">
        <v>1014</v>
      </c>
      <c r="AU58" s="57">
        <v>226</v>
      </c>
      <c r="AV58" s="29">
        <v>4.435483870967742</v>
      </c>
      <c r="AW58" s="29">
        <v>40.887096774193552</v>
      </c>
      <c r="AX58" s="29">
        <v>22.016129032258064</v>
      </c>
      <c r="AY58" s="29">
        <v>32.661290322580641</v>
      </c>
      <c r="AZ58" s="57">
        <v>931</v>
      </c>
      <c r="BA58" s="57">
        <v>754</v>
      </c>
      <c r="BB58" s="57">
        <v>177</v>
      </c>
      <c r="BC58" s="83">
        <v>5.1557465091299681</v>
      </c>
      <c r="BD58" s="83">
        <v>40.064446831364123</v>
      </c>
      <c r="BE58" s="83">
        <v>21.267454350161117</v>
      </c>
      <c r="BF58" s="83">
        <v>33.512352309344791</v>
      </c>
      <c r="BG58" s="57">
        <v>842</v>
      </c>
      <c r="BH58" s="57">
        <v>691</v>
      </c>
      <c r="BI58" s="57">
        <v>151</v>
      </c>
      <c r="BJ58" s="83">
        <v>5.225653206650831</v>
      </c>
      <c r="BK58" s="83">
        <v>41.567695961995248</v>
      </c>
      <c r="BL58" s="83">
        <v>25.059382422802852</v>
      </c>
      <c r="BM58" s="78">
        <v>28.147268408551064</v>
      </c>
      <c r="BN58" s="62"/>
    </row>
    <row r="59" spans="1:66" ht="8.25" customHeight="1">
      <c r="A59" s="107">
        <v>462</v>
      </c>
      <c r="B59" s="74" t="s">
        <v>129</v>
      </c>
      <c r="C59" s="193">
        <f>VLOOKUP(A59,'C4_Berechnung'!$A$10:I$61,3,FALSE)</f>
        <v>988</v>
      </c>
      <c r="D59" s="193">
        <f>VLOOKUP(A59,'C4_Berechnung'!$A$10:$I$61,4,FALSE)</f>
        <v>577</v>
      </c>
      <c r="E59" s="193">
        <f>VLOOKUP(A59,'C4_Berechnung'!$A$10:$I$61,5,FALSE)</f>
        <v>411</v>
      </c>
      <c r="F59" s="115">
        <f>VLOOKUP(A59,'C4_Berechnung'!$A$10:$I$61,6,FALSE)</f>
        <v>5.8704453441295543</v>
      </c>
      <c r="G59" s="115">
        <f>VLOOKUP(A59,'C4_Berechnung'!$A$10:$I$61,7,FALSE)</f>
        <v>22.267206477732792</v>
      </c>
      <c r="H59" s="115">
        <f>VLOOKUP(A59,'C4_Berechnung'!$A$10:$I$61,8,FALSE)</f>
        <v>18.623481781376519</v>
      </c>
      <c r="I59" s="115">
        <f>VLOOKUP(A59,'C4_Berechnung'!$A$10:$I$61,9,FALSE)</f>
        <v>53.238866396761132</v>
      </c>
      <c r="J59" s="112">
        <v>855</v>
      </c>
      <c r="K59" s="112">
        <v>503</v>
      </c>
      <c r="L59" s="112">
        <v>352</v>
      </c>
      <c r="M59" s="75">
        <v>5.9649122807017543</v>
      </c>
      <c r="N59" s="75">
        <v>22.807017543859647</v>
      </c>
      <c r="O59" s="75">
        <v>16.023391812865498</v>
      </c>
      <c r="P59" s="75">
        <v>55.204678362573098</v>
      </c>
      <c r="Q59" s="112">
        <v>801</v>
      </c>
      <c r="R59" s="112">
        <v>462</v>
      </c>
      <c r="S59" s="112">
        <v>339</v>
      </c>
      <c r="T59" s="75">
        <f>VLOOKUP(A59,'2017_C4'!$A$5:$I$56,6,FALSE)</f>
        <v>6.1173533083645442</v>
      </c>
      <c r="U59" s="75">
        <f>VLOOKUP(A59,'2017_C4'!$A$5:$I$56,7,FALSE)</f>
        <v>21.972534332084894</v>
      </c>
      <c r="V59" s="75">
        <f>VLOOKUP(A59,'2017_C4'!$A$5:$I$56,8,FALSE)</f>
        <v>14.107365792759053</v>
      </c>
      <c r="W59" s="75">
        <f>VLOOKUP(A59,'2017_C4'!$A$5:$I$56,9,FALSE)</f>
        <v>57.802746566791505</v>
      </c>
      <c r="X59" s="112">
        <v>688</v>
      </c>
      <c r="Y59" s="112">
        <v>396</v>
      </c>
      <c r="Z59" s="112">
        <v>292</v>
      </c>
      <c r="AA59" s="69">
        <f>VLOOKUP(A59,'2016_bearbeitet'!$A$7:$T$308,17,FALSE)</f>
        <v>6.104651162790697</v>
      </c>
      <c r="AB59" s="69">
        <f>VLOOKUP(A59,'2016_bearbeitet'!$A$7:$T$308,18,FALSE)</f>
        <v>21.36627906976744</v>
      </c>
      <c r="AC59" s="69">
        <f>VLOOKUP(A59,'2016_bearbeitet'!$A$7:$T$308,19,FALSE)</f>
        <v>11.337209302325581</v>
      </c>
      <c r="AD59" s="69">
        <f>VLOOKUP(A59,'2016_bearbeitet'!$A$7:$T$308,20,FALSE)</f>
        <v>61.191860465116278</v>
      </c>
      <c r="AE59" s="57">
        <v>675</v>
      </c>
      <c r="AF59" s="57">
        <v>368</v>
      </c>
      <c r="AG59" s="57">
        <v>307</v>
      </c>
      <c r="AH59" s="29">
        <v>5.7777777777777777</v>
      </c>
      <c r="AI59" s="29">
        <v>22.222222222222221</v>
      </c>
      <c r="AJ59" s="29">
        <v>10.666666666666668</v>
      </c>
      <c r="AK59" s="29">
        <v>61.333333333333336</v>
      </c>
      <c r="AL59" s="57">
        <v>586</v>
      </c>
      <c r="AM59" s="57">
        <v>317</v>
      </c>
      <c r="AN59" s="57">
        <v>269</v>
      </c>
      <c r="AO59" s="29">
        <v>4.0955631399317403</v>
      </c>
      <c r="AP59" s="29">
        <v>20.136518771331058</v>
      </c>
      <c r="AQ59" s="29">
        <v>11.262798634812286</v>
      </c>
      <c r="AR59" s="29">
        <v>64.50511945392492</v>
      </c>
      <c r="AS59" s="57">
        <v>496</v>
      </c>
      <c r="AT59" s="57">
        <v>258</v>
      </c>
      <c r="AU59" s="57">
        <v>238</v>
      </c>
      <c r="AV59" s="29">
        <v>4.435483870967742</v>
      </c>
      <c r="AW59" s="29">
        <v>16.33064516129032</v>
      </c>
      <c r="AX59" s="29">
        <v>9.879032258064516</v>
      </c>
      <c r="AY59" s="29">
        <v>69.354838709677423</v>
      </c>
      <c r="AZ59" s="57">
        <v>389</v>
      </c>
      <c r="BA59" s="57">
        <v>205</v>
      </c>
      <c r="BB59" s="57">
        <v>184</v>
      </c>
      <c r="BC59" s="83">
        <v>5.6555269922879177</v>
      </c>
      <c r="BD59" s="83">
        <v>17.480719794344473</v>
      </c>
      <c r="BE59" s="83" t="s">
        <v>214</v>
      </c>
      <c r="BF59" s="83" t="s">
        <v>214</v>
      </c>
      <c r="BG59" s="57">
        <v>293</v>
      </c>
      <c r="BH59" s="57">
        <v>149</v>
      </c>
      <c r="BI59" s="57">
        <v>144</v>
      </c>
      <c r="BJ59" s="83">
        <v>5.4607508532423212</v>
      </c>
      <c r="BK59" s="83" t="s">
        <v>214</v>
      </c>
      <c r="BL59" s="83" t="s">
        <v>214</v>
      </c>
      <c r="BM59" s="78" t="s">
        <v>214</v>
      </c>
      <c r="BN59" s="62"/>
    </row>
    <row r="60" spans="1:66" s="54" customFormat="1" ht="16.5" customHeight="1">
      <c r="A60" s="108">
        <v>4</v>
      </c>
      <c r="B60" s="84" t="s">
        <v>157</v>
      </c>
      <c r="C60" s="193">
        <f>VLOOKUP(A60,'C4_Berechnung'!$A$10:I$61,3,FALSE)</f>
        <v>98270</v>
      </c>
      <c r="D60" s="193">
        <f>VLOOKUP(A60,'C4_Berechnung'!$A$10:$I$61,4,FALSE)</f>
        <v>66775</v>
      </c>
      <c r="E60" s="193">
        <f>VLOOKUP(A60,'C4_Berechnung'!$A$10:$I$61,5,FALSE)</f>
        <v>31495</v>
      </c>
      <c r="F60" s="115">
        <f>VLOOKUP(A60,'C4_Berechnung'!$A$10:$I$61,6,FALSE)</f>
        <v>6.9746616464841766</v>
      </c>
      <c r="G60" s="115">
        <f>VLOOKUP(A60,'C4_Berechnung'!$A$10:$I$61,7,FALSE)</f>
        <v>26.165666022183778</v>
      </c>
      <c r="H60" s="115">
        <f>VLOOKUP(A60,'C4_Berechnung'!$A$10:$I$61,8,FALSE)</f>
        <v>25.039177775516436</v>
      </c>
      <c r="I60" s="115">
        <f>VLOOKUP(A60,'C4_Berechnung'!$A$10:$I$61,9,FALSE)</f>
        <v>41.820494555815607</v>
      </c>
      <c r="J60" s="113">
        <v>89139</v>
      </c>
      <c r="K60" s="113">
        <v>60669</v>
      </c>
      <c r="L60" s="113">
        <v>28470</v>
      </c>
      <c r="M60" s="85">
        <v>6.8118332043213412</v>
      </c>
      <c r="N60" s="85">
        <v>26.708847978999088</v>
      </c>
      <c r="O60" s="85">
        <v>24.091587296245191</v>
      </c>
      <c r="P60" s="85">
        <v>42.387731520434379</v>
      </c>
      <c r="Q60" s="113">
        <v>78621</v>
      </c>
      <c r="R60" s="113">
        <v>53110</v>
      </c>
      <c r="S60" s="113">
        <v>25511</v>
      </c>
      <c r="T60" s="85">
        <f>VLOOKUP(A60,'2017_C4'!$A$5:$I$56,6,FALSE)</f>
        <v>6.8645781661388181</v>
      </c>
      <c r="U60" s="85">
        <f>VLOOKUP(A60,'2017_C4'!$A$5:$I$56,7,FALSE)</f>
        <v>27.539715851998832</v>
      </c>
      <c r="V60" s="85">
        <f>VLOOKUP(A60,'2017_C4'!$A$5:$I$56,8,FALSE)</f>
        <v>23.058724768191706</v>
      </c>
      <c r="W60" s="85">
        <f>VLOOKUP(A60,'2017_C4'!$A$5:$I$56,9,FALSE)</f>
        <v>42.53698121367065</v>
      </c>
      <c r="X60" s="113">
        <v>69027</v>
      </c>
      <c r="Y60" s="113">
        <v>46209</v>
      </c>
      <c r="Z60" s="113">
        <v>22818</v>
      </c>
      <c r="AA60" s="69">
        <f>VLOOKUP(A60,'2016_bearbeitet'!$A$7:$T$308,17,FALSE)</f>
        <v>6.9088907239196251</v>
      </c>
      <c r="AB60" s="69">
        <f>VLOOKUP(A60,'2016_bearbeitet'!$A$7:$T$308,18,FALSE)</f>
        <v>27.826792414562419</v>
      </c>
      <c r="AC60" s="69">
        <f>VLOOKUP(A60,'2016_bearbeitet'!$A$7:$T$308,19,FALSE)</f>
        <v>22.389789502658381</v>
      </c>
      <c r="AD60" s="69">
        <f>VLOOKUP(A60,'2016_bearbeitet'!$A$7:$T$308,20,FALSE)</f>
        <v>42.874527358859574</v>
      </c>
      <c r="AE60" s="86">
        <v>60126</v>
      </c>
      <c r="AF60" s="86">
        <v>40153</v>
      </c>
      <c r="AG60" s="86">
        <v>19973</v>
      </c>
      <c r="AH60" s="87">
        <v>6.9553936732860988</v>
      </c>
      <c r="AI60" s="87">
        <v>28.287263413498319</v>
      </c>
      <c r="AJ60" s="87">
        <v>21.524797924358847</v>
      </c>
      <c r="AK60" s="87">
        <v>43.232544988856731</v>
      </c>
      <c r="AL60" s="86">
        <v>51181</v>
      </c>
      <c r="AM60" s="86">
        <v>33979</v>
      </c>
      <c r="AN60" s="86">
        <v>17202</v>
      </c>
      <c r="AO60" s="87">
        <v>6.912721517750728</v>
      </c>
      <c r="AP60" s="87">
        <v>28.430472245559873</v>
      </c>
      <c r="AQ60" s="87">
        <v>22.3813524550126</v>
      </c>
      <c r="AR60" s="87">
        <v>42.275453781676802</v>
      </c>
      <c r="AS60" s="86">
        <v>46230</v>
      </c>
      <c r="AT60" s="86">
        <v>30367</v>
      </c>
      <c r="AU60" s="86">
        <v>15863</v>
      </c>
      <c r="AV60" s="87">
        <v>6.1172398875189273</v>
      </c>
      <c r="AW60" s="87">
        <v>24.239671209171533</v>
      </c>
      <c r="AX60" s="87">
        <v>20.028120268224097</v>
      </c>
      <c r="AY60" s="87">
        <v>49.61496863508544</v>
      </c>
      <c r="AZ60" s="86">
        <v>35622</v>
      </c>
      <c r="BA60" s="86">
        <v>23377</v>
      </c>
      <c r="BB60" s="86">
        <v>12245</v>
      </c>
      <c r="BC60" s="88">
        <v>5.3085172084666779</v>
      </c>
      <c r="BD60" s="88">
        <v>22.811745550502501</v>
      </c>
      <c r="BE60" s="88">
        <v>24.308011902756725</v>
      </c>
      <c r="BF60" s="88">
        <v>47.571725338274092</v>
      </c>
      <c r="BG60" s="86">
        <v>31040</v>
      </c>
      <c r="BH60" s="86">
        <v>20429</v>
      </c>
      <c r="BI60" s="86">
        <v>10611</v>
      </c>
      <c r="BJ60" s="88">
        <v>5.331829896907216</v>
      </c>
      <c r="BK60" s="88">
        <v>24.871134020618555</v>
      </c>
      <c r="BL60" s="88">
        <v>26.794458762886599</v>
      </c>
      <c r="BM60" s="89">
        <v>43.002577319587637</v>
      </c>
      <c r="BN60" s="106"/>
    </row>
    <row r="61" spans="1:66" s="54" customFormat="1" ht="16.5" customHeight="1">
      <c r="A61" s="108">
        <v>0</v>
      </c>
      <c r="B61" s="84" t="s">
        <v>130</v>
      </c>
      <c r="C61" s="193">
        <f>VLOOKUP(A61,'C4_Berechnung'!$A$10:I$61,3,FALSE)</f>
        <v>280719</v>
      </c>
      <c r="D61" s="193">
        <f>VLOOKUP(A61,'C4_Berechnung'!$A$10:$I$61,4,FALSE)</f>
        <v>186982</v>
      </c>
      <c r="E61" s="193">
        <f>VLOOKUP(A61,'C4_Berechnung'!$A$10:$I$61,5,FALSE)</f>
        <v>93737</v>
      </c>
      <c r="F61" s="115">
        <f>VLOOKUP(A61,'C4_Berechnung'!$A$10:$I$61,6,FALSE)</f>
        <v>11.298843327313078</v>
      </c>
      <c r="G61" s="115">
        <f>VLOOKUP(A61,'C4_Berechnung'!$A$10:$I$61,7,FALSE)</f>
        <v>29.938835632785811</v>
      </c>
      <c r="H61" s="115">
        <f>VLOOKUP(A61,'C4_Berechnung'!$A$10:$I$61,8,FALSE)</f>
        <v>25.281509267274391</v>
      </c>
      <c r="I61" s="115">
        <f>VLOOKUP(A61,'C4_Berechnung'!$A$10:$I$61,9,FALSE)</f>
        <v>33.480811772626723</v>
      </c>
      <c r="J61" s="113">
        <v>255519</v>
      </c>
      <c r="K61" s="113">
        <v>170046</v>
      </c>
      <c r="L61" s="113">
        <v>85473</v>
      </c>
      <c r="M61" s="85">
        <v>11.010922866792685</v>
      </c>
      <c r="N61" s="85">
        <v>30.478359730587552</v>
      </c>
      <c r="O61" s="85">
        <v>24.364137304858001</v>
      </c>
      <c r="P61" s="85">
        <v>34.146580097761806</v>
      </c>
      <c r="Q61" s="113">
        <v>226387</v>
      </c>
      <c r="R61" s="113">
        <v>148723</v>
      </c>
      <c r="S61" s="113">
        <v>77664</v>
      </c>
      <c r="T61" s="85">
        <f>VLOOKUP(A61,'2017_C4'!$A$5:$I$56,6,FALSE)</f>
        <v>11.066448161776075</v>
      </c>
      <c r="U61" s="85">
        <f>VLOOKUP(A61,'2017_C4'!$A$5:$I$56,7,FALSE)</f>
        <v>31.197904473313397</v>
      </c>
      <c r="V61" s="85">
        <f>VLOOKUP(A61,'2017_C4'!$A$5:$I$56,8,FALSE)</f>
        <v>23.068904133187861</v>
      </c>
      <c r="W61" s="85">
        <f>VLOOKUP(A61,'2017_C4'!$A$5:$I$56,9,FALSE)</f>
        <v>34.66674323172267</v>
      </c>
      <c r="X61" s="113">
        <v>202263</v>
      </c>
      <c r="Y61" s="113">
        <v>131518</v>
      </c>
      <c r="Z61" s="113">
        <v>70745</v>
      </c>
      <c r="AA61" s="69">
        <f>VLOOKUP(A61,'2016_bearbeitet'!$A$7:$T$308,17,FALSE)</f>
        <v>11.081117159342044</v>
      </c>
      <c r="AB61" s="69">
        <f>VLOOKUP(A61,'2016_bearbeitet'!$A$7:$T$308,18,FALSE)</f>
        <v>31.615273183923904</v>
      </c>
      <c r="AC61" s="69">
        <f>VLOOKUP(A61,'2016_bearbeitet'!$A$7:$T$308,19,FALSE)</f>
        <v>22.440584783178338</v>
      </c>
      <c r="AD61" s="69">
        <f>VLOOKUP(A61,'2016_bearbeitet'!$A$7:$T$308,20,FALSE)</f>
        <v>34.863024873555716</v>
      </c>
      <c r="AE61" s="86">
        <v>179647</v>
      </c>
      <c r="AF61" s="86">
        <v>116488</v>
      </c>
      <c r="AG61" s="86">
        <v>63159</v>
      </c>
      <c r="AH61" s="87">
        <v>11.060023267853067</v>
      </c>
      <c r="AI61" s="87">
        <v>31.815170862858828</v>
      </c>
      <c r="AJ61" s="87">
        <v>21.830589990370004</v>
      </c>
      <c r="AK61" s="87">
        <v>35.294215878918102</v>
      </c>
      <c r="AL61" s="86">
        <v>159318</v>
      </c>
      <c r="AM61" s="86">
        <v>102991</v>
      </c>
      <c r="AN61" s="86">
        <v>56327</v>
      </c>
      <c r="AO61" s="87">
        <v>11.007544659109454</v>
      </c>
      <c r="AP61" s="87">
        <v>31.727739489574308</v>
      </c>
      <c r="AQ61" s="87">
        <v>21.699368558480522</v>
      </c>
      <c r="AR61" s="87">
        <v>35.56534729283571</v>
      </c>
      <c r="AS61" s="86">
        <v>146791</v>
      </c>
      <c r="AT61" s="86">
        <v>94039</v>
      </c>
      <c r="AU61" s="86">
        <v>52752</v>
      </c>
      <c r="AV61" s="87">
        <v>9.6095809688604881</v>
      </c>
      <c r="AW61" s="87">
        <v>27.994223079071606</v>
      </c>
      <c r="AX61" s="87">
        <v>19.52163279765108</v>
      </c>
      <c r="AY61" s="87">
        <v>42.874563154416833</v>
      </c>
      <c r="AZ61" s="86">
        <v>120849</v>
      </c>
      <c r="BA61" s="86">
        <v>77448</v>
      </c>
      <c r="BB61" s="86">
        <v>43401</v>
      </c>
      <c r="BC61" s="88">
        <v>8.217693154266895</v>
      </c>
      <c r="BD61" s="88">
        <v>27.390379730076376</v>
      </c>
      <c r="BE61" s="88">
        <v>22.982399523372145</v>
      </c>
      <c r="BF61" s="88">
        <v>41.409527592284576</v>
      </c>
      <c r="BG61" s="86">
        <v>110615</v>
      </c>
      <c r="BH61" s="86">
        <v>70980</v>
      </c>
      <c r="BI61" s="86">
        <v>39635</v>
      </c>
      <c r="BJ61" s="88">
        <v>8.0649098223568227</v>
      </c>
      <c r="BK61" s="88">
        <v>28.625412466663651</v>
      </c>
      <c r="BL61" s="88">
        <v>24.276996790670342</v>
      </c>
      <c r="BM61" s="89">
        <v>39.03268092030919</v>
      </c>
      <c r="BN61" s="90"/>
    </row>
    <row r="62" spans="1:66" ht="8.25" customHeight="1">
      <c r="B62" s="91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3"/>
      <c r="AF62" s="93"/>
      <c r="AG62" s="93"/>
      <c r="AH62" s="94"/>
      <c r="AI62" s="94"/>
      <c r="AJ62" s="94"/>
      <c r="AK62" s="94"/>
      <c r="AL62" s="93"/>
      <c r="AM62" s="93"/>
      <c r="AN62" s="93"/>
      <c r="AO62" s="95"/>
      <c r="AP62" s="95"/>
      <c r="AQ62" s="95"/>
      <c r="AR62" s="95"/>
      <c r="AS62" s="93"/>
      <c r="AT62" s="93"/>
      <c r="AU62" s="93"/>
      <c r="AV62" s="95"/>
      <c r="AW62" s="95"/>
      <c r="AX62" s="95"/>
      <c r="AY62" s="95"/>
      <c r="AZ62" s="93"/>
      <c r="BA62" s="93"/>
      <c r="BB62" s="93"/>
      <c r="BC62" s="96"/>
      <c r="BD62" s="96"/>
      <c r="BE62" s="96"/>
      <c r="BF62" s="96"/>
      <c r="BG62" s="93"/>
      <c r="BH62" s="93"/>
      <c r="BI62" s="93"/>
      <c r="BJ62" s="96"/>
      <c r="BK62" s="96"/>
      <c r="BL62" s="96"/>
      <c r="BM62" s="97"/>
      <c r="BN62" s="97"/>
    </row>
    <row r="63" spans="1:66" ht="8.25" customHeight="1">
      <c r="B63" s="297" t="s">
        <v>158</v>
      </c>
      <c r="C63" s="297"/>
      <c r="D63" s="297"/>
      <c r="E63" s="297"/>
      <c r="F63" s="297"/>
      <c r="G63" s="297"/>
      <c r="H63" s="297"/>
      <c r="I63" s="297"/>
      <c r="J63" s="297"/>
      <c r="K63" s="297"/>
      <c r="L63" s="297"/>
      <c r="M63" s="297"/>
      <c r="N63" s="297"/>
      <c r="O63" s="297"/>
      <c r="P63" s="297"/>
      <c r="Q63" s="297"/>
      <c r="R63" s="297"/>
      <c r="S63" s="297"/>
      <c r="T63" s="297"/>
      <c r="U63" s="297"/>
      <c r="V63" s="297"/>
      <c r="W63" s="297"/>
      <c r="X63" s="297"/>
      <c r="Y63" s="297"/>
      <c r="Z63" s="297"/>
      <c r="AA63" s="297"/>
      <c r="AB63" s="297"/>
      <c r="AC63" s="297"/>
      <c r="AD63" s="297"/>
      <c r="AE63" s="297"/>
      <c r="AF63" s="297"/>
      <c r="AG63" s="297"/>
      <c r="AH63" s="297"/>
      <c r="AI63" s="297"/>
      <c r="AJ63" s="297"/>
      <c r="AK63" s="98"/>
      <c r="AL63" s="99"/>
      <c r="AM63" s="100"/>
      <c r="AN63" s="99"/>
      <c r="AO63" s="99"/>
      <c r="AP63" s="99"/>
      <c r="AQ63" s="99"/>
      <c r="AR63" s="99"/>
    </row>
    <row r="64" spans="1:66" ht="8.25" customHeight="1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2"/>
      <c r="AF64" s="99"/>
      <c r="AG64" s="99"/>
      <c r="AH64" s="99"/>
      <c r="AI64" s="99"/>
      <c r="AJ64" s="99"/>
      <c r="AK64" s="99"/>
      <c r="AL64" s="99"/>
      <c r="AM64" s="100"/>
      <c r="AN64" s="99"/>
      <c r="AO64" s="99"/>
      <c r="AP64" s="99"/>
      <c r="AQ64" s="99"/>
      <c r="AR64" s="99"/>
    </row>
    <row r="65" spans="2:44" ht="8.25" customHeight="1">
      <c r="B65" s="25" t="s">
        <v>159</v>
      </c>
      <c r="C65" s="25"/>
      <c r="D65" s="25"/>
      <c r="E65" s="25"/>
      <c r="F65" s="25"/>
      <c r="G65" s="25"/>
      <c r="H65" s="25"/>
      <c r="I65" s="25"/>
      <c r="J65" s="185"/>
      <c r="K65" s="185"/>
      <c r="L65" s="185"/>
      <c r="M65" s="185"/>
      <c r="N65" s="185"/>
      <c r="O65" s="185"/>
      <c r="P65" s="18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103"/>
      <c r="AF65" s="103"/>
      <c r="AG65" s="103"/>
      <c r="AH65" s="103"/>
      <c r="AI65" s="103"/>
      <c r="AJ65" s="103"/>
      <c r="AK65" s="103"/>
      <c r="AL65" s="99"/>
      <c r="AM65" s="100"/>
      <c r="AN65" s="99"/>
      <c r="AO65" s="99"/>
      <c r="AP65" s="99"/>
      <c r="AQ65" s="99"/>
      <c r="AR65" s="99"/>
    </row>
    <row r="66" spans="2:44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2"/>
      <c r="AF66" s="99"/>
      <c r="AG66" s="99"/>
      <c r="AH66" s="99"/>
      <c r="AI66" s="99"/>
      <c r="AJ66" s="99"/>
      <c r="AK66" s="99"/>
      <c r="AL66" s="99"/>
      <c r="AM66" s="100"/>
      <c r="AN66" s="99"/>
      <c r="AO66" s="99"/>
      <c r="AP66" s="99"/>
      <c r="AQ66" s="99"/>
      <c r="AR66" s="99"/>
    </row>
  </sheetData>
  <autoFilter ref="A9:BM9" xr:uid="{00000000-0009-0000-0000-000000000000}"/>
  <mergeCells count="48">
    <mergeCell ref="C8:E8"/>
    <mergeCell ref="F8:H8"/>
    <mergeCell ref="BC8:BF8"/>
    <mergeCell ref="BC6:BF6"/>
    <mergeCell ref="AA6:AD6"/>
    <mergeCell ref="AE6:AG6"/>
    <mergeCell ref="BG8:BI8"/>
    <mergeCell ref="BJ8:BL8"/>
    <mergeCell ref="B63:AJ63"/>
    <mergeCell ref="A5:A8"/>
    <mergeCell ref="J8:L8"/>
    <mergeCell ref="M8:O8"/>
    <mergeCell ref="Q8:S8"/>
    <mergeCell ref="AH8:AJ8"/>
    <mergeCell ref="AL8:AN8"/>
    <mergeCell ref="AO8:AR8"/>
    <mergeCell ref="AS8:AU8"/>
    <mergeCell ref="AV8:AY8"/>
    <mergeCell ref="AZ8:BB8"/>
    <mergeCell ref="AS6:AU6"/>
    <mergeCell ref="AV6:AY6"/>
    <mergeCell ref="AZ6:BB6"/>
    <mergeCell ref="BG6:BI6"/>
    <mergeCell ref="BJ6:BM6"/>
    <mergeCell ref="AS5:AY5"/>
    <mergeCell ref="AZ5:BF5"/>
    <mergeCell ref="BG5:BM5"/>
    <mergeCell ref="B5:B8"/>
    <mergeCell ref="J5:P5"/>
    <mergeCell ref="Q5:W5"/>
    <mergeCell ref="X5:AD5"/>
    <mergeCell ref="AE5:AK5"/>
    <mergeCell ref="J6:L6"/>
    <mergeCell ref="M6:P6"/>
    <mergeCell ref="Q6:S6"/>
    <mergeCell ref="T6:W6"/>
    <mergeCell ref="X6:Z6"/>
    <mergeCell ref="T8:V8"/>
    <mergeCell ref="X8:Z8"/>
    <mergeCell ref="AA8:AC8"/>
    <mergeCell ref="C5:I5"/>
    <mergeCell ref="C6:E6"/>
    <mergeCell ref="F6:I6"/>
    <mergeCell ref="AL5:AR5"/>
    <mergeCell ref="AH6:AK6"/>
    <mergeCell ref="AL6:AN6"/>
    <mergeCell ref="AO6:AR6"/>
    <mergeCell ref="AE8:AG8"/>
  </mergeCells>
  <pageMargins left="0.7" right="0.7" top="0.78740157499999996" bottom="0.78740157499999996" header="0.3" footer="0.3"/>
  <pageSetup paperSize="9" orientation="portrait" r:id="rId1"/>
  <ignoredErrors>
    <ignoredError sqref="J9:BL9 A9:B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643D-09BF-4CED-A707-67A65753EE7A}">
  <sheetPr codeName="Tabelle13"/>
  <dimension ref="B1:BV66"/>
  <sheetViews>
    <sheetView topLeftCell="T25" zoomScale="115" zoomScaleNormal="115" workbookViewId="0">
      <selection activeCell="AB10" sqref="AB10"/>
    </sheetView>
  </sheetViews>
  <sheetFormatPr baseColWidth="10" defaultRowHeight="13.5"/>
  <cols>
    <col min="3" max="3" width="28.5" bestFit="1" customWidth="1"/>
    <col min="4" max="10" width="12.375" customWidth="1"/>
    <col min="18" max="24" width="11" style="186"/>
  </cols>
  <sheetData>
    <row r="1" spans="2:74" ht="30" customHeight="1">
      <c r="B1" s="55" t="s">
        <v>343</v>
      </c>
      <c r="R1" s="180"/>
      <c r="S1" s="180"/>
      <c r="T1" s="180"/>
      <c r="U1" s="180"/>
      <c r="V1" s="180"/>
      <c r="W1" s="180"/>
      <c r="X1" s="180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8"/>
      <c r="AO1" s="58"/>
      <c r="AP1" s="58"/>
      <c r="AQ1" s="58"/>
      <c r="AR1" s="58"/>
      <c r="AS1" s="58"/>
      <c r="AT1" s="58"/>
      <c r="AU1" s="58"/>
      <c r="AV1" s="58"/>
      <c r="AW1" s="59"/>
      <c r="BA1" s="60"/>
    </row>
    <row r="2" spans="2:74" ht="30" customHeight="1">
      <c r="B2" s="61" t="s">
        <v>344</v>
      </c>
      <c r="R2" s="181"/>
      <c r="S2" s="181"/>
      <c r="T2" s="181"/>
      <c r="U2" s="181"/>
      <c r="V2" s="181"/>
      <c r="W2" s="181"/>
      <c r="X2" s="18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BA2" s="60"/>
    </row>
    <row r="3" spans="2:74"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182"/>
      <c r="S3" s="182"/>
      <c r="T3" s="182"/>
      <c r="U3" s="182"/>
      <c r="V3" s="182"/>
      <c r="W3" s="182"/>
      <c r="X3" s="18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0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</row>
    <row r="4" spans="2:74"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182"/>
      <c r="S4" s="182"/>
      <c r="T4" s="182"/>
      <c r="U4" s="182"/>
      <c r="V4" s="182"/>
      <c r="W4" s="182"/>
      <c r="X4" s="18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0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</row>
    <row r="5" spans="2:74" ht="8.25" customHeight="1">
      <c r="B5" s="298" t="s">
        <v>220</v>
      </c>
      <c r="C5" s="285" t="s">
        <v>86</v>
      </c>
      <c r="D5" s="288">
        <v>2020</v>
      </c>
      <c r="E5" s="289"/>
      <c r="F5" s="289"/>
      <c r="G5" s="289"/>
      <c r="H5" s="289"/>
      <c r="I5" s="289"/>
      <c r="J5" s="290"/>
      <c r="K5" s="288">
        <v>2019</v>
      </c>
      <c r="L5" s="289"/>
      <c r="M5" s="289"/>
      <c r="N5" s="289"/>
      <c r="O5" s="289"/>
      <c r="P5" s="289"/>
      <c r="Q5" s="290"/>
      <c r="R5" s="288">
        <v>2018</v>
      </c>
      <c r="S5" s="289"/>
      <c r="T5" s="289"/>
      <c r="U5" s="289"/>
      <c r="V5" s="289"/>
      <c r="W5" s="289"/>
      <c r="X5" s="290"/>
      <c r="Y5" s="278">
        <v>2017</v>
      </c>
      <c r="Z5" s="279"/>
      <c r="AA5" s="279"/>
      <c r="AB5" s="279"/>
      <c r="AC5" s="279"/>
      <c r="AD5" s="279"/>
      <c r="AE5" s="280"/>
      <c r="AF5" s="278">
        <v>2016</v>
      </c>
      <c r="AG5" s="279"/>
      <c r="AH5" s="279"/>
      <c r="AI5" s="279"/>
      <c r="AJ5" s="279"/>
      <c r="AK5" s="279"/>
      <c r="AL5" s="280"/>
      <c r="AM5" s="278">
        <v>2015</v>
      </c>
      <c r="AN5" s="279"/>
      <c r="AO5" s="279"/>
      <c r="AP5" s="279"/>
      <c r="AQ5" s="279"/>
      <c r="AR5" s="279"/>
      <c r="AS5" s="280"/>
      <c r="AT5" s="278">
        <v>2014</v>
      </c>
      <c r="AU5" s="279"/>
      <c r="AV5" s="279"/>
      <c r="AW5" s="279"/>
      <c r="AX5" s="279"/>
      <c r="AY5" s="279"/>
      <c r="AZ5" s="280"/>
      <c r="BA5" s="278">
        <v>2013</v>
      </c>
      <c r="BB5" s="279"/>
      <c r="BC5" s="279"/>
      <c r="BD5" s="279"/>
      <c r="BE5" s="279"/>
      <c r="BF5" s="279"/>
      <c r="BG5" s="280"/>
      <c r="BH5" s="278">
        <v>2011</v>
      </c>
      <c r="BI5" s="279"/>
      <c r="BJ5" s="279"/>
      <c r="BK5" s="279"/>
      <c r="BL5" s="279"/>
      <c r="BM5" s="279"/>
      <c r="BN5" s="280"/>
      <c r="BO5" s="296">
        <v>2010</v>
      </c>
      <c r="BP5" s="296"/>
      <c r="BQ5" s="296"/>
      <c r="BR5" s="296"/>
      <c r="BS5" s="296"/>
      <c r="BT5" s="296"/>
      <c r="BU5" s="278"/>
      <c r="BV5" s="63"/>
    </row>
    <row r="6" spans="2:74" ht="8.25" customHeight="1">
      <c r="B6" s="299"/>
      <c r="C6" s="286"/>
      <c r="D6" s="292" t="s">
        <v>160</v>
      </c>
      <c r="E6" s="293"/>
      <c r="F6" s="294"/>
      <c r="G6" s="292" t="s">
        <v>223</v>
      </c>
      <c r="H6" s="293"/>
      <c r="I6" s="293"/>
      <c r="J6" s="294"/>
      <c r="K6" s="291" t="s">
        <v>160</v>
      </c>
      <c r="L6" s="291"/>
      <c r="M6" s="291"/>
      <c r="N6" s="292" t="s">
        <v>223</v>
      </c>
      <c r="O6" s="293"/>
      <c r="P6" s="293"/>
      <c r="Q6" s="294"/>
      <c r="R6" s="291" t="s">
        <v>160</v>
      </c>
      <c r="S6" s="291"/>
      <c r="T6" s="291"/>
      <c r="U6" s="292" t="s">
        <v>223</v>
      </c>
      <c r="V6" s="293"/>
      <c r="W6" s="293"/>
      <c r="X6" s="294"/>
      <c r="Y6" s="284" t="s">
        <v>160</v>
      </c>
      <c r="Z6" s="284"/>
      <c r="AA6" s="284"/>
      <c r="AB6" s="281" t="s">
        <v>223</v>
      </c>
      <c r="AC6" s="282"/>
      <c r="AD6" s="282"/>
      <c r="AE6" s="283"/>
      <c r="AF6" s="284" t="s">
        <v>160</v>
      </c>
      <c r="AG6" s="284"/>
      <c r="AH6" s="284"/>
      <c r="AI6" s="281" t="s">
        <v>223</v>
      </c>
      <c r="AJ6" s="282"/>
      <c r="AK6" s="282"/>
      <c r="AL6" s="283"/>
      <c r="AM6" s="284" t="s">
        <v>160</v>
      </c>
      <c r="AN6" s="284"/>
      <c r="AO6" s="284"/>
      <c r="AP6" s="281" t="s">
        <v>223</v>
      </c>
      <c r="AQ6" s="282"/>
      <c r="AR6" s="282"/>
      <c r="AS6" s="283"/>
      <c r="AT6" s="284" t="s">
        <v>160</v>
      </c>
      <c r="AU6" s="284"/>
      <c r="AV6" s="284"/>
      <c r="AW6" s="281" t="s">
        <v>223</v>
      </c>
      <c r="AX6" s="282"/>
      <c r="AY6" s="282"/>
      <c r="AZ6" s="283"/>
      <c r="BA6" s="284" t="s">
        <v>160</v>
      </c>
      <c r="BB6" s="284"/>
      <c r="BC6" s="284"/>
      <c r="BD6" s="281" t="s">
        <v>223</v>
      </c>
      <c r="BE6" s="282"/>
      <c r="BF6" s="282"/>
      <c r="BG6" s="283"/>
      <c r="BH6" s="284" t="s">
        <v>160</v>
      </c>
      <c r="BI6" s="284"/>
      <c r="BJ6" s="284"/>
      <c r="BK6" s="281" t="s">
        <v>223</v>
      </c>
      <c r="BL6" s="282"/>
      <c r="BM6" s="282"/>
      <c r="BN6" s="283"/>
      <c r="BO6" s="295" t="s">
        <v>160</v>
      </c>
      <c r="BP6" s="295"/>
      <c r="BQ6" s="295"/>
      <c r="BR6" s="281" t="s">
        <v>223</v>
      </c>
      <c r="BS6" s="282"/>
      <c r="BT6" s="282"/>
      <c r="BU6" s="283"/>
      <c r="BV6" s="62"/>
    </row>
    <row r="7" spans="2:74" ht="8.25" customHeight="1">
      <c r="B7" s="299"/>
      <c r="C7" s="286"/>
      <c r="D7" s="197" t="s">
        <v>28</v>
      </c>
      <c r="E7" s="197" t="s">
        <v>89</v>
      </c>
      <c r="F7" s="197" t="s">
        <v>90</v>
      </c>
      <c r="G7" s="197" t="s">
        <v>91</v>
      </c>
      <c r="H7" s="197" t="s">
        <v>92</v>
      </c>
      <c r="I7" s="197" t="s">
        <v>93</v>
      </c>
      <c r="J7" s="197" t="s">
        <v>131</v>
      </c>
      <c r="K7" s="197" t="s">
        <v>28</v>
      </c>
      <c r="L7" s="197" t="s">
        <v>89</v>
      </c>
      <c r="M7" s="197" t="s">
        <v>90</v>
      </c>
      <c r="N7" s="197" t="s">
        <v>91</v>
      </c>
      <c r="O7" s="197" t="s">
        <v>92</v>
      </c>
      <c r="P7" s="197" t="s">
        <v>93</v>
      </c>
      <c r="Q7" s="197" t="s">
        <v>131</v>
      </c>
      <c r="R7" s="197" t="s">
        <v>28</v>
      </c>
      <c r="S7" s="197" t="s">
        <v>89</v>
      </c>
      <c r="T7" s="197" t="s">
        <v>90</v>
      </c>
      <c r="U7" s="197" t="s">
        <v>91</v>
      </c>
      <c r="V7" s="197" t="s">
        <v>92</v>
      </c>
      <c r="W7" s="197" t="s">
        <v>93</v>
      </c>
      <c r="X7" s="197" t="s">
        <v>131</v>
      </c>
      <c r="Y7" s="200" t="s">
        <v>28</v>
      </c>
      <c r="Z7" s="200" t="s">
        <v>89</v>
      </c>
      <c r="AA7" s="200" t="s">
        <v>90</v>
      </c>
      <c r="AB7" s="200" t="s">
        <v>91</v>
      </c>
      <c r="AC7" s="200" t="s">
        <v>92</v>
      </c>
      <c r="AD7" s="200" t="s">
        <v>93</v>
      </c>
      <c r="AE7" s="200" t="s">
        <v>131</v>
      </c>
      <c r="AF7" s="200" t="s">
        <v>28</v>
      </c>
      <c r="AG7" s="200" t="s">
        <v>89</v>
      </c>
      <c r="AH7" s="200" t="s">
        <v>90</v>
      </c>
      <c r="AI7" s="200" t="s">
        <v>91</v>
      </c>
      <c r="AJ7" s="200" t="s">
        <v>92</v>
      </c>
      <c r="AK7" s="200" t="s">
        <v>93</v>
      </c>
      <c r="AL7" s="200" t="s">
        <v>131</v>
      </c>
      <c r="AM7" s="200" t="s">
        <v>28</v>
      </c>
      <c r="AN7" s="200" t="s">
        <v>89</v>
      </c>
      <c r="AO7" s="200" t="s">
        <v>90</v>
      </c>
      <c r="AP7" s="200" t="s">
        <v>91</v>
      </c>
      <c r="AQ7" s="200" t="s">
        <v>92</v>
      </c>
      <c r="AR7" s="200" t="s">
        <v>93</v>
      </c>
      <c r="AS7" s="200" t="s">
        <v>131</v>
      </c>
      <c r="AT7" s="200" t="s">
        <v>28</v>
      </c>
      <c r="AU7" s="200" t="s">
        <v>89</v>
      </c>
      <c r="AV7" s="200" t="s">
        <v>90</v>
      </c>
      <c r="AW7" s="200" t="s">
        <v>91</v>
      </c>
      <c r="AX7" s="200" t="s">
        <v>92</v>
      </c>
      <c r="AY7" s="200" t="s">
        <v>93</v>
      </c>
      <c r="AZ7" s="200" t="s">
        <v>131</v>
      </c>
      <c r="BA7" s="200" t="s">
        <v>28</v>
      </c>
      <c r="BB7" s="200" t="s">
        <v>89</v>
      </c>
      <c r="BC7" s="200" t="s">
        <v>90</v>
      </c>
      <c r="BD7" s="200" t="s">
        <v>91</v>
      </c>
      <c r="BE7" s="200" t="s">
        <v>92</v>
      </c>
      <c r="BF7" s="200" t="s">
        <v>93</v>
      </c>
      <c r="BG7" s="200" t="s">
        <v>131</v>
      </c>
      <c r="BH7" s="200" t="s">
        <v>28</v>
      </c>
      <c r="BI7" s="200" t="s">
        <v>89</v>
      </c>
      <c r="BJ7" s="200" t="s">
        <v>90</v>
      </c>
      <c r="BK7" s="200" t="s">
        <v>91</v>
      </c>
      <c r="BL7" s="200" t="s">
        <v>92</v>
      </c>
      <c r="BM7" s="200" t="s">
        <v>93</v>
      </c>
      <c r="BN7" s="200" t="s">
        <v>131</v>
      </c>
      <c r="BO7" s="200" t="s">
        <v>28</v>
      </c>
      <c r="BP7" s="200" t="s">
        <v>89</v>
      </c>
      <c r="BQ7" s="200" t="s">
        <v>90</v>
      </c>
      <c r="BR7" s="200" t="s">
        <v>91</v>
      </c>
      <c r="BS7" s="200" t="s">
        <v>92</v>
      </c>
      <c r="BT7" s="198" t="s">
        <v>93</v>
      </c>
      <c r="BU7" s="198" t="s">
        <v>131</v>
      </c>
      <c r="BV7" s="62"/>
    </row>
    <row r="8" spans="2:74" ht="8.25" customHeight="1">
      <c r="B8" s="300"/>
      <c r="C8" s="287"/>
      <c r="D8" s="292" t="s">
        <v>84</v>
      </c>
      <c r="E8" s="293"/>
      <c r="F8" s="294"/>
      <c r="G8" s="292" t="s">
        <v>85</v>
      </c>
      <c r="H8" s="293"/>
      <c r="I8" s="293"/>
      <c r="J8" s="294"/>
      <c r="K8" s="291" t="s">
        <v>84</v>
      </c>
      <c r="L8" s="291"/>
      <c r="M8" s="291"/>
      <c r="N8" s="291" t="s">
        <v>85</v>
      </c>
      <c r="O8" s="291"/>
      <c r="P8" s="292"/>
      <c r="Q8" s="184"/>
      <c r="R8" s="291" t="s">
        <v>84</v>
      </c>
      <c r="S8" s="291"/>
      <c r="T8" s="291"/>
      <c r="U8" s="291" t="s">
        <v>85</v>
      </c>
      <c r="V8" s="291"/>
      <c r="W8" s="292"/>
      <c r="X8" s="184"/>
      <c r="Y8" s="284" t="s">
        <v>84</v>
      </c>
      <c r="Z8" s="284"/>
      <c r="AA8" s="284"/>
      <c r="AB8" s="284" t="s">
        <v>85</v>
      </c>
      <c r="AC8" s="284"/>
      <c r="AD8" s="281"/>
      <c r="AE8" s="202"/>
      <c r="AF8" s="284" t="s">
        <v>84</v>
      </c>
      <c r="AG8" s="284"/>
      <c r="AH8" s="284"/>
      <c r="AI8" s="284" t="s">
        <v>85</v>
      </c>
      <c r="AJ8" s="284"/>
      <c r="AK8" s="281"/>
      <c r="AL8" s="202"/>
      <c r="AM8" s="284" t="s">
        <v>84</v>
      </c>
      <c r="AN8" s="284"/>
      <c r="AO8" s="284"/>
      <c r="AP8" s="284" t="s">
        <v>85</v>
      </c>
      <c r="AQ8" s="284"/>
      <c r="AR8" s="281"/>
      <c r="AS8" s="199"/>
      <c r="AT8" s="283" t="s">
        <v>84</v>
      </c>
      <c r="AU8" s="284"/>
      <c r="AV8" s="284"/>
      <c r="AW8" s="281" t="s">
        <v>85</v>
      </c>
      <c r="AX8" s="282"/>
      <c r="AY8" s="282"/>
      <c r="AZ8" s="282"/>
      <c r="BA8" s="283" t="s">
        <v>84</v>
      </c>
      <c r="BB8" s="284"/>
      <c r="BC8" s="284"/>
      <c r="BD8" s="281" t="s">
        <v>85</v>
      </c>
      <c r="BE8" s="282"/>
      <c r="BF8" s="282"/>
      <c r="BG8" s="282"/>
      <c r="BH8" s="283" t="s">
        <v>84</v>
      </c>
      <c r="BI8" s="284"/>
      <c r="BJ8" s="284"/>
      <c r="BK8" s="281" t="s">
        <v>85</v>
      </c>
      <c r="BL8" s="282"/>
      <c r="BM8" s="282"/>
      <c r="BN8" s="282"/>
      <c r="BO8" s="283" t="s">
        <v>84</v>
      </c>
      <c r="BP8" s="284"/>
      <c r="BQ8" s="284"/>
      <c r="BR8" s="284" t="s">
        <v>85</v>
      </c>
      <c r="BS8" s="284"/>
      <c r="BT8" s="281"/>
      <c r="BU8" s="62"/>
      <c r="BV8" s="62"/>
    </row>
    <row r="9" spans="2:74" ht="8.25" customHeight="1">
      <c r="B9" s="67" t="s">
        <v>18</v>
      </c>
      <c r="C9" s="67" t="s">
        <v>19</v>
      </c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 t="s">
        <v>20</v>
      </c>
      <c r="S9" s="67" t="s">
        <v>21</v>
      </c>
      <c r="T9" s="67" t="s">
        <v>22</v>
      </c>
      <c r="U9" s="67" t="s">
        <v>23</v>
      </c>
      <c r="V9" s="67" t="s">
        <v>24</v>
      </c>
      <c r="W9" s="67" t="s">
        <v>25</v>
      </c>
      <c r="X9" s="67" t="s">
        <v>26</v>
      </c>
      <c r="Y9" s="67" t="s">
        <v>165</v>
      </c>
      <c r="Z9" s="67" t="s">
        <v>166</v>
      </c>
      <c r="AA9" s="67" t="s">
        <v>167</v>
      </c>
      <c r="AB9" s="67" t="s">
        <v>168</v>
      </c>
      <c r="AC9" s="67" t="s">
        <v>169</v>
      </c>
      <c r="AD9" s="67" t="s">
        <v>170</v>
      </c>
      <c r="AE9" s="67" t="s">
        <v>171</v>
      </c>
      <c r="AF9" s="114" t="s">
        <v>172</v>
      </c>
      <c r="AG9" s="114" t="s">
        <v>173</v>
      </c>
      <c r="AH9" s="114" t="s">
        <v>174</v>
      </c>
      <c r="AI9" s="67" t="s">
        <v>175</v>
      </c>
      <c r="AJ9" s="67" t="s">
        <v>176</v>
      </c>
      <c r="AK9" s="67" t="s">
        <v>177</v>
      </c>
      <c r="AL9" s="67" t="s">
        <v>178</v>
      </c>
      <c r="AM9" s="67" t="s">
        <v>179</v>
      </c>
      <c r="AN9" s="67" t="s">
        <v>180</v>
      </c>
      <c r="AO9" s="67" t="s">
        <v>181</v>
      </c>
      <c r="AP9" s="67" t="s">
        <v>182</v>
      </c>
      <c r="AQ9" s="67" t="s">
        <v>183</v>
      </c>
      <c r="AR9" s="67" t="s">
        <v>184</v>
      </c>
      <c r="AS9" s="67" t="s">
        <v>185</v>
      </c>
      <c r="AT9" s="67" t="s">
        <v>186</v>
      </c>
      <c r="AU9" s="67" t="s">
        <v>187</v>
      </c>
      <c r="AV9" s="67" t="s">
        <v>188</v>
      </c>
      <c r="AW9" s="67" t="s">
        <v>189</v>
      </c>
      <c r="AX9" s="67" t="s">
        <v>190</v>
      </c>
      <c r="AY9" s="67" t="s">
        <v>191</v>
      </c>
      <c r="AZ9" s="67" t="s">
        <v>192</v>
      </c>
      <c r="BA9" s="67" t="s">
        <v>193</v>
      </c>
      <c r="BB9" s="67" t="s">
        <v>194</v>
      </c>
      <c r="BC9" s="67" t="s">
        <v>195</v>
      </c>
      <c r="BD9" s="67" t="s">
        <v>196</v>
      </c>
      <c r="BE9" s="67" t="s">
        <v>197</v>
      </c>
      <c r="BF9" s="67" t="s">
        <v>198</v>
      </c>
      <c r="BG9" s="67" t="s">
        <v>199</v>
      </c>
      <c r="BH9" s="67" t="s">
        <v>200</v>
      </c>
      <c r="BI9" s="67" t="s">
        <v>201</v>
      </c>
      <c r="BJ9" s="67" t="s">
        <v>202</v>
      </c>
      <c r="BK9" s="67" t="s">
        <v>203</v>
      </c>
      <c r="BL9" s="67" t="s">
        <v>204</v>
      </c>
      <c r="BM9" s="67" t="s">
        <v>205</v>
      </c>
      <c r="BN9" s="67" t="s">
        <v>206</v>
      </c>
      <c r="BO9" s="67" t="s">
        <v>207</v>
      </c>
      <c r="BP9" s="67" t="s">
        <v>208</v>
      </c>
      <c r="BQ9" s="67" t="s">
        <v>209</v>
      </c>
      <c r="BR9" s="67" t="s">
        <v>210</v>
      </c>
      <c r="BS9" s="67" t="s">
        <v>211</v>
      </c>
      <c r="BT9" s="67" t="s">
        <v>212</v>
      </c>
      <c r="BU9" s="104">
        <v>58</v>
      </c>
      <c r="BV9" s="62"/>
    </row>
    <row r="10" spans="2:74" ht="8.25" customHeight="1">
      <c r="B10" s="107">
        <v>101</v>
      </c>
      <c r="C10" s="74" t="s">
        <v>215</v>
      </c>
      <c r="D10" s="74">
        <f>VLOOKUP(B10,'2020_Rohdaten_BA'!$A$10:$E$59,3,FALSE)</f>
        <v>11541</v>
      </c>
      <c r="E10" s="74">
        <f>VLOOKUP(B10,'2020_Rohdaten_BA'!$A$10:$E$59,4,FALSE)</f>
        <v>6997</v>
      </c>
      <c r="F10" s="74">
        <f>VLOOKUP(B10,'2020_Rohdaten_BA'!$A$10:$E$59,5,FALSE)</f>
        <v>4544</v>
      </c>
      <c r="G10" s="74">
        <f>VLOOKUP(B10,'2020_Rohdaten_BA'!$A$10:$M$59,12,FALSE)</f>
        <v>24.911186205701412</v>
      </c>
      <c r="H10" s="74">
        <f>VLOOKUP(B10,'2020_Rohdaten_BA'!$A$10:$M$59,11,FALSE)</f>
        <v>27.93518759206308</v>
      </c>
      <c r="I10" s="74">
        <f>VLOOKUP(B10,'2020_Rohdaten_BA'!$A$10:$M$59,10,FALSE)</f>
        <v>23.351529330214021</v>
      </c>
      <c r="J10" s="74">
        <f>VLOOKUP(B10,'2020_Rohdaten_BA'!$A$10:$M$59,13,FALSE)</f>
        <v>23.80209687202149</v>
      </c>
      <c r="K10" s="193">
        <f>'2019_C4_Zeitreihe'!C10</f>
        <v>11157</v>
      </c>
      <c r="L10" s="193">
        <f>'2019_C4_Zeitreihe'!D10</f>
        <v>6758</v>
      </c>
      <c r="M10" s="193">
        <f>'2019_C4_Zeitreihe'!E10</f>
        <v>4399</v>
      </c>
      <c r="N10" s="115">
        <f>'2019_C4_Zeitreihe'!F10</f>
        <v>23.438200233037556</v>
      </c>
      <c r="O10" s="115">
        <f>'2019_C4_Zeitreihe'!G10</f>
        <v>27.686654118490633</v>
      </c>
      <c r="P10" s="115">
        <f>'2019_C4_Zeitreihe'!H10</f>
        <v>23.877386394191987</v>
      </c>
      <c r="Q10" s="115">
        <f>'2019_C4_Zeitreihe'!I10</f>
        <v>24.997759254279824</v>
      </c>
      <c r="R10" s="111">
        <f>'2019_C4_Zeitreihe'!J10</f>
        <v>10097</v>
      </c>
      <c r="S10" s="111">
        <f>'2019_C4_Zeitreihe'!K10</f>
        <v>6123</v>
      </c>
      <c r="T10" s="111">
        <f>'2019_C4_Zeitreihe'!L10</f>
        <v>3974</v>
      </c>
      <c r="U10" s="69">
        <f>'2019_C4_Zeitreihe'!M10</f>
        <v>22.897890462513619</v>
      </c>
      <c r="V10" s="69">
        <f>'2019_C4_Zeitreihe'!N10</f>
        <v>28.335149054174508</v>
      </c>
      <c r="W10" s="69">
        <f>'2019_C4_Zeitreihe'!O10</f>
        <v>23.37327919183916</v>
      </c>
      <c r="X10" s="69">
        <f>'2019_C4_Zeitreihe'!P10</f>
        <v>25.393681291472713</v>
      </c>
      <c r="Y10" s="111">
        <f>'2019_C4_Zeitreihe'!Q10</f>
        <v>9028</v>
      </c>
      <c r="Z10" s="111">
        <f>'2019_C4_Zeitreihe'!R10</f>
        <v>5388</v>
      </c>
      <c r="AA10" s="111">
        <f>'2019_C4_Zeitreihe'!S10</f>
        <v>3640</v>
      </c>
      <c r="AB10" s="69">
        <f>'2019_C4_Zeitreihe'!T10</f>
        <v>22.441293752769162</v>
      </c>
      <c r="AC10" s="69">
        <f>'2019_C4_Zeitreihe'!U10</f>
        <v>29.463890119627823</v>
      </c>
      <c r="AD10" s="69">
        <f>'2019_C4_Zeitreihe'!V10</f>
        <v>22.120070890562694</v>
      </c>
      <c r="AE10" s="69">
        <f>'2019_C4_Zeitreihe'!W10</f>
        <v>25.97474523704032</v>
      </c>
      <c r="AF10" s="111">
        <f>'2019_C4_Zeitreihe'!X10</f>
        <v>7951</v>
      </c>
      <c r="AG10" s="111">
        <f>'2019_C4_Zeitreihe'!Y10</f>
        <v>4671</v>
      </c>
      <c r="AH10" s="111">
        <f>'2019_C4_Zeitreihe'!Z10</f>
        <v>3280</v>
      </c>
      <c r="AI10" s="69">
        <f>'2019_C4_Zeitreihe'!AA10</f>
        <v>22.286504842158219</v>
      </c>
      <c r="AJ10" s="69">
        <f>'2019_C4_Zeitreihe'!AB10</f>
        <v>31.14073701421205</v>
      </c>
      <c r="AK10" s="69">
        <f>'2019_C4_Zeitreihe'!AC10</f>
        <v>20.324487485850838</v>
      </c>
      <c r="AL10" s="69">
        <f>'2019_C4_Zeitreihe'!AD10</f>
        <v>26.248270657778892</v>
      </c>
      <c r="AM10" s="70">
        <f>'2019_C4_Zeitreihe'!AE10</f>
        <v>7339</v>
      </c>
      <c r="AN10" s="70">
        <f>'2019_C4_Zeitreihe'!AF10</f>
        <v>4285</v>
      </c>
      <c r="AO10" s="70">
        <f>'2019_C4_Zeitreihe'!AG10</f>
        <v>3054</v>
      </c>
      <c r="AP10" s="53">
        <f>'2019_C4_Zeitreihe'!AH10</f>
        <v>22.564382068401688</v>
      </c>
      <c r="AQ10" s="53">
        <f>'2019_C4_Zeitreihe'!AI10</f>
        <v>30.467366126175229</v>
      </c>
      <c r="AR10" s="53">
        <f>'2019_C4_Zeitreihe'!AJ10</f>
        <v>20.316119362310943</v>
      </c>
      <c r="AS10" s="53">
        <f>'2019_C4_Zeitreihe'!AK10</f>
        <v>26.652132443112141</v>
      </c>
      <c r="AT10" s="70">
        <f>'2019_C4_Zeitreihe'!AL10</f>
        <v>6498</v>
      </c>
      <c r="AU10" s="70">
        <f>'2019_C4_Zeitreihe'!AM10</f>
        <v>3809</v>
      </c>
      <c r="AV10" s="70">
        <f>'2019_C4_Zeitreihe'!AN10</f>
        <v>2689</v>
      </c>
      <c r="AW10" s="53">
        <f>'2019_C4_Zeitreihe'!AO10</f>
        <v>22.991689750692519</v>
      </c>
      <c r="AX10" s="53">
        <f>'2019_C4_Zeitreihe'!AP10</f>
        <v>29.809172052939363</v>
      </c>
      <c r="AY10" s="53">
        <f>'2019_C4_Zeitreihe'!AQ10</f>
        <v>18.990458602646967</v>
      </c>
      <c r="AZ10" s="53">
        <f>'2019_C4_Zeitreihe'!AR10</f>
        <v>28.208679593721154</v>
      </c>
      <c r="BA10" s="70">
        <f>'2019_C4_Zeitreihe'!AS10</f>
        <v>6076</v>
      </c>
      <c r="BB10" s="70">
        <f>'2019_C4_Zeitreihe'!AT10</f>
        <v>3483</v>
      </c>
      <c r="BC10" s="70">
        <f>'2019_C4_Zeitreihe'!AU10</f>
        <v>2593</v>
      </c>
      <c r="BD10" s="53">
        <f>'2019_C4_Zeitreihe'!AV10</f>
        <v>19.897959183673468</v>
      </c>
      <c r="BE10" s="53">
        <f>'2019_C4_Zeitreihe'!AW10</f>
        <v>26.645819618169845</v>
      </c>
      <c r="BF10" s="53">
        <f>'2019_C4_Zeitreihe'!AX10</f>
        <v>16.919025674786042</v>
      </c>
      <c r="BG10" s="53">
        <f>'2019_C4_Zeitreihe'!AY10</f>
        <v>36.537195523370642</v>
      </c>
      <c r="BH10" s="70">
        <f>'2019_C4_Zeitreihe'!AZ10</f>
        <v>5072</v>
      </c>
      <c r="BI10" s="70">
        <f>'2019_C4_Zeitreihe'!BA10</f>
        <v>2923</v>
      </c>
      <c r="BJ10" s="70">
        <f>'2019_C4_Zeitreihe'!BB10</f>
        <v>2149</v>
      </c>
      <c r="BK10" s="53">
        <f>'2019_C4_Zeitreihe'!BC10</f>
        <v>16.522082018927446</v>
      </c>
      <c r="BL10" s="53">
        <f>'2019_C4_Zeitreihe'!BD10</f>
        <v>26.419558359621455</v>
      </c>
      <c r="BM10" s="53">
        <f>'2019_C4_Zeitreihe'!BE10</f>
        <v>20.465299684542586</v>
      </c>
      <c r="BN10" s="53">
        <f>'2019_C4_Zeitreihe'!BF10</f>
        <v>36.593059936908517</v>
      </c>
      <c r="BO10" s="70">
        <f>'2019_C4_Zeitreihe'!BG10</f>
        <v>4884</v>
      </c>
      <c r="BP10" s="70">
        <f>'2019_C4_Zeitreihe'!BH10</f>
        <v>2877</v>
      </c>
      <c r="BQ10" s="70">
        <f>'2019_C4_Zeitreihe'!BI10</f>
        <v>2007</v>
      </c>
      <c r="BR10" s="53">
        <f>'2019_C4_Zeitreihe'!BJ10</f>
        <v>16.461916461916463</v>
      </c>
      <c r="BS10" s="53">
        <f>'2019_C4_Zeitreihe'!BK10</f>
        <v>26.801801801801801</v>
      </c>
      <c r="BT10" s="53">
        <f>'2019_C4_Zeitreihe'!BL10</f>
        <v>21.703521703521702</v>
      </c>
      <c r="BU10" s="72">
        <f>'2019_C4_Zeitreihe'!BM10</f>
        <v>35.032760032760038</v>
      </c>
      <c r="BV10" s="73"/>
    </row>
    <row r="11" spans="2:74" ht="8.25" customHeight="1">
      <c r="B11" s="107">
        <v>102</v>
      </c>
      <c r="C11" s="74" t="s">
        <v>216</v>
      </c>
      <c r="D11" s="74">
        <f>VLOOKUP(B11,'2020_Rohdaten_BA'!$A$10:$E$59,3,FALSE)</f>
        <v>4878</v>
      </c>
      <c r="E11" s="74">
        <f>VLOOKUP(B11,'2020_Rohdaten_BA'!$A$10:$E$59,4,FALSE)</f>
        <v>3738</v>
      </c>
      <c r="F11" s="74">
        <f>VLOOKUP(B11,'2020_Rohdaten_BA'!$A$10:$E$59,5,FALSE)</f>
        <v>1140</v>
      </c>
      <c r="G11" s="74">
        <f>VLOOKUP(B11,'2020_Rohdaten_BA'!$A$10:$M$59,12,FALSE)</f>
        <v>8.9995899958999583</v>
      </c>
      <c r="H11" s="74">
        <f>VLOOKUP(B11,'2020_Rohdaten_BA'!$A$10:$M$59,11,FALSE)</f>
        <v>40.05740057400574</v>
      </c>
      <c r="I11" s="74">
        <f>VLOOKUP(B11,'2020_Rohdaten_BA'!$A$10:$M$59,10,FALSE)</f>
        <v>21.832718327183272</v>
      </c>
      <c r="J11" s="74">
        <f>VLOOKUP(B11,'2020_Rohdaten_BA'!$A$10:$M$59,13,FALSE)</f>
        <v>29.110291102911027</v>
      </c>
      <c r="K11" s="193">
        <f>'2019_C4_Zeitreihe'!C11</f>
        <v>4747</v>
      </c>
      <c r="L11" s="193">
        <f>'2019_C4_Zeitreihe'!D11</f>
        <v>3672</v>
      </c>
      <c r="M11" s="193">
        <f>'2019_C4_Zeitreihe'!E11</f>
        <v>1075</v>
      </c>
      <c r="N11" s="115">
        <f>'2019_C4_Zeitreihe'!F11</f>
        <v>8.5317042342532119</v>
      </c>
      <c r="O11" s="115">
        <f>'2019_C4_Zeitreihe'!G11</f>
        <v>41.036444069938909</v>
      </c>
      <c r="P11" s="115">
        <f>'2019_C4_Zeitreihe'!H11</f>
        <v>22.793343164103643</v>
      </c>
      <c r="Q11" s="115">
        <f>'2019_C4_Zeitreihe'!I11</f>
        <v>27.638508531704232</v>
      </c>
      <c r="R11" s="112">
        <f>'2019_C4_Zeitreihe'!J11</f>
        <v>4348</v>
      </c>
      <c r="S11" s="112">
        <f>'2019_C4_Zeitreihe'!K11</f>
        <v>3378</v>
      </c>
      <c r="T11" s="112">
        <f>'2019_C4_Zeitreihe'!L11</f>
        <v>970</v>
      </c>
      <c r="U11" s="75">
        <f>'2019_C4_Zeitreihe'!M11</f>
        <v>7.8196872125115</v>
      </c>
      <c r="V11" s="75">
        <f>'2019_C4_Zeitreihe'!N11</f>
        <v>41.283348666053357</v>
      </c>
      <c r="W11" s="75">
        <f>'2019_C4_Zeitreihe'!O11</f>
        <v>23.344066237350507</v>
      </c>
      <c r="X11" s="75">
        <f>'2019_C4_Zeitreihe'!P11</f>
        <v>27.552897884084636</v>
      </c>
      <c r="Y11" s="112">
        <f>'2019_C4_Zeitreihe'!Q11</f>
        <v>3977</v>
      </c>
      <c r="Z11" s="112">
        <f>'2019_C4_Zeitreihe'!R11</f>
        <v>3093</v>
      </c>
      <c r="AA11" s="112">
        <f>'2019_C4_Zeitreihe'!S11</f>
        <v>884</v>
      </c>
      <c r="AB11" s="75">
        <f>'2019_C4_Zeitreihe'!T11</f>
        <v>7.0656273573045008</v>
      </c>
      <c r="AC11" s="75">
        <f>'2019_C4_Zeitreihe'!U11</f>
        <v>42.167462911742518</v>
      </c>
      <c r="AD11" s="75">
        <f>'2019_C4_Zeitreihe'!V11</f>
        <v>22.353532813678655</v>
      </c>
      <c r="AE11" s="75">
        <f>'2019_C4_Zeitreihe'!W11</f>
        <v>28.413376917274331</v>
      </c>
      <c r="AF11" s="112">
        <f>'2019_C4_Zeitreihe'!X11</f>
        <v>3635</v>
      </c>
      <c r="AG11" s="112">
        <f>'2019_C4_Zeitreihe'!Y11</f>
        <v>2863</v>
      </c>
      <c r="AH11" s="112">
        <f>'2019_C4_Zeitreihe'!Z11</f>
        <v>772</v>
      </c>
      <c r="AI11" s="75">
        <f>'2019_C4_Zeitreihe'!AA11</f>
        <v>7.0976616231086656</v>
      </c>
      <c r="AJ11" s="75">
        <f>'2019_C4_Zeitreihe'!AB11</f>
        <v>43.466299862448423</v>
      </c>
      <c r="AK11" s="75">
        <f>'2019_C4_Zeitreihe'!AC11</f>
        <v>22.668500687757909</v>
      </c>
      <c r="AL11" s="75">
        <f>'2019_C4_Zeitreihe'!AD11</f>
        <v>26.767537826685007</v>
      </c>
      <c r="AM11" s="76">
        <f>'2019_C4_Zeitreihe'!AE11</f>
        <v>3420</v>
      </c>
      <c r="AN11" s="76">
        <f>'2019_C4_Zeitreihe'!AF11</f>
        <v>2684</v>
      </c>
      <c r="AO11" s="76">
        <f>'2019_C4_Zeitreihe'!AG11</f>
        <v>736</v>
      </c>
      <c r="AP11" s="29">
        <f>'2019_C4_Zeitreihe'!AH11</f>
        <v>6.3742690058479532</v>
      </c>
      <c r="AQ11" s="29">
        <f>'2019_C4_Zeitreihe'!AI11</f>
        <v>43.625730994152043</v>
      </c>
      <c r="AR11" s="29">
        <f>'2019_C4_Zeitreihe'!AJ11</f>
        <v>22.485380116959064</v>
      </c>
      <c r="AS11" s="29">
        <f>'2019_C4_Zeitreihe'!AK11</f>
        <v>27.51461988304094</v>
      </c>
      <c r="AT11" s="76">
        <f>'2019_C4_Zeitreihe'!AL11</f>
        <v>3197</v>
      </c>
      <c r="AU11" s="76">
        <f>'2019_C4_Zeitreihe'!AM11</f>
        <v>2561</v>
      </c>
      <c r="AV11" s="76">
        <f>'2019_C4_Zeitreihe'!AN11</f>
        <v>636</v>
      </c>
      <c r="AW11" s="29">
        <f>'2019_C4_Zeitreihe'!AO11</f>
        <v>6.2558648733187363</v>
      </c>
      <c r="AX11" s="29">
        <f>'2019_C4_Zeitreihe'!AP11</f>
        <v>42.63371911166719</v>
      </c>
      <c r="AY11" s="29">
        <f>'2019_C4_Zeitreihe'!AQ11</f>
        <v>21.582733812949641</v>
      </c>
      <c r="AZ11" s="29">
        <f>'2019_C4_Zeitreihe'!AR11</f>
        <v>29.527682202064433</v>
      </c>
      <c r="BA11" s="76">
        <f>'2019_C4_Zeitreihe'!AS11</f>
        <v>3135</v>
      </c>
      <c r="BB11" s="76">
        <f>'2019_C4_Zeitreihe'!AT11</f>
        <v>2514</v>
      </c>
      <c r="BC11" s="76">
        <f>'2019_C4_Zeitreihe'!AU11</f>
        <v>621</v>
      </c>
      <c r="BD11" s="29">
        <f>'2019_C4_Zeitreihe'!AV11</f>
        <v>5.4226475279106863</v>
      </c>
      <c r="BE11" s="29">
        <f>'2019_C4_Zeitreihe'!AW11</f>
        <v>38.819776714513551</v>
      </c>
      <c r="BF11" s="29">
        <f>'2019_C4_Zeitreihe'!AX11</f>
        <v>20.797448165869216</v>
      </c>
      <c r="BG11" s="29">
        <f>'2019_C4_Zeitreihe'!AY11</f>
        <v>34.960127591706552</v>
      </c>
      <c r="BH11" s="76">
        <f>'2019_C4_Zeitreihe'!AZ11</f>
        <v>2783</v>
      </c>
      <c r="BI11" s="76">
        <f>'2019_C4_Zeitreihe'!BA11</f>
        <v>2252</v>
      </c>
      <c r="BJ11" s="76">
        <f>'2019_C4_Zeitreihe'!BB11</f>
        <v>531</v>
      </c>
      <c r="BK11" s="29">
        <f>'2019_C4_Zeitreihe'!BC11</f>
        <v>3.9525691699604746</v>
      </c>
      <c r="BL11" s="29">
        <f>'2019_C4_Zeitreihe'!BD11</f>
        <v>43.370463528566297</v>
      </c>
      <c r="BM11" s="29">
        <f>'2019_C4_Zeitreihe'!BE11</f>
        <v>33.668702838663314</v>
      </c>
      <c r="BN11" s="29">
        <f>'2019_C4_Zeitreihe'!BF11</f>
        <v>19.008264462809919</v>
      </c>
      <c r="BO11" s="76">
        <f>'2019_C4_Zeitreihe'!BG11</f>
        <v>2640</v>
      </c>
      <c r="BP11" s="76">
        <f>'2019_C4_Zeitreihe'!BH11</f>
        <v>2180</v>
      </c>
      <c r="BQ11" s="76">
        <f>'2019_C4_Zeitreihe'!BI11</f>
        <v>460</v>
      </c>
      <c r="BR11" s="29">
        <f>'2019_C4_Zeitreihe'!BJ11</f>
        <v>3.75</v>
      </c>
      <c r="BS11" s="29">
        <f>'2019_C4_Zeitreihe'!BK11</f>
        <v>44.393939393939398</v>
      </c>
      <c r="BT11" s="29">
        <f>'2019_C4_Zeitreihe'!BL11</f>
        <v>33.06818181818182</v>
      </c>
      <c r="BU11" s="78">
        <f>'2019_C4_Zeitreihe'!BM11</f>
        <v>18.787878787878789</v>
      </c>
      <c r="BV11" s="62"/>
    </row>
    <row r="12" spans="2:74" ht="8.25" customHeight="1">
      <c r="B12" s="107">
        <v>103</v>
      </c>
      <c r="C12" s="74" t="s">
        <v>217</v>
      </c>
      <c r="D12" s="74">
        <f>VLOOKUP(B12,'2020_Rohdaten_BA'!$A$10:$E$59,3,FALSE)</f>
        <v>10661</v>
      </c>
      <c r="E12" s="74">
        <f>VLOOKUP(B12,'2020_Rohdaten_BA'!$A$10:$E$59,4,FALSE)</f>
        <v>7333</v>
      </c>
      <c r="F12" s="74">
        <f>VLOOKUP(B12,'2020_Rohdaten_BA'!$A$10:$E$59,5,FALSE)</f>
        <v>3328</v>
      </c>
      <c r="G12" s="74">
        <f>VLOOKUP(B12,'2020_Rohdaten_BA'!$A$10:$M$59,12,FALSE)</f>
        <v>25.476034143138541</v>
      </c>
      <c r="H12" s="74">
        <f>VLOOKUP(B12,'2020_Rohdaten_BA'!$A$10:$M$59,11,FALSE)</f>
        <v>32.529781446393393</v>
      </c>
      <c r="I12" s="74">
        <f>VLOOKUP(B12,'2020_Rohdaten_BA'!$A$10:$M$59,10,FALSE)</f>
        <v>15.233092580433356</v>
      </c>
      <c r="J12" s="74">
        <f>VLOOKUP(B12,'2020_Rohdaten_BA'!$A$10:$M$59,13,FALSE)</f>
        <v>26.761091830034704</v>
      </c>
      <c r="K12" s="193">
        <f>'2019_C4_Zeitreihe'!C12</f>
        <v>10288</v>
      </c>
      <c r="L12" s="193">
        <f>'2019_C4_Zeitreihe'!D12</f>
        <v>7063</v>
      </c>
      <c r="M12" s="193">
        <f>'2019_C4_Zeitreihe'!E12</f>
        <v>3225</v>
      </c>
      <c r="N12" s="115">
        <f>'2019_C4_Zeitreihe'!F12</f>
        <v>23.930793157076206</v>
      </c>
      <c r="O12" s="115">
        <f>'2019_C4_Zeitreihe'!G12</f>
        <v>33.009331259720064</v>
      </c>
      <c r="P12" s="115">
        <f>'2019_C4_Zeitreihe'!H12</f>
        <v>14.725894245723172</v>
      </c>
      <c r="Q12" s="115">
        <f>'2019_C4_Zeitreihe'!I12</f>
        <v>28.333981337480559</v>
      </c>
      <c r="R12" s="112">
        <f>'2019_C4_Zeitreihe'!J12</f>
        <v>9961</v>
      </c>
      <c r="S12" s="112">
        <f>'2019_C4_Zeitreihe'!K12</f>
        <v>6958</v>
      </c>
      <c r="T12" s="112">
        <f>'2019_C4_Zeitreihe'!L12</f>
        <v>3003</v>
      </c>
      <c r="U12" s="75">
        <f>'2019_C4_Zeitreihe'!M12</f>
        <v>21.965666097781348</v>
      </c>
      <c r="V12" s="75">
        <f>'2019_C4_Zeitreihe'!N12</f>
        <v>33.982531874309807</v>
      </c>
      <c r="W12" s="75">
        <f>'2019_C4_Zeitreihe'!O12</f>
        <v>14.165244453368137</v>
      </c>
      <c r="X12" s="75">
        <f>'2019_C4_Zeitreihe'!P12</f>
        <v>29.886557574540706</v>
      </c>
      <c r="Y12" s="112">
        <f>'2019_C4_Zeitreihe'!Q12</f>
        <v>8937</v>
      </c>
      <c r="Z12" s="112">
        <f>'2019_C4_Zeitreihe'!R12</f>
        <v>6215</v>
      </c>
      <c r="AA12" s="112">
        <f>'2019_C4_Zeitreihe'!S12</f>
        <v>2722</v>
      </c>
      <c r="AB12" s="75">
        <f>'2019_C4_Zeitreihe'!T12</f>
        <v>22.143896162023051</v>
      </c>
      <c r="AC12" s="75">
        <f>'2019_C4_Zeitreihe'!U12</f>
        <v>34.250867181380777</v>
      </c>
      <c r="AD12" s="75">
        <f>'2019_C4_Zeitreihe'!V12</f>
        <v>12.811905561150274</v>
      </c>
      <c r="AE12" s="75">
        <f>'2019_C4_Zeitreihe'!W12</f>
        <v>30.793331095445897</v>
      </c>
      <c r="AF12" s="112">
        <f>'2019_C4_Zeitreihe'!X12</f>
        <v>8705</v>
      </c>
      <c r="AG12" s="112">
        <f>'2019_C4_Zeitreihe'!Y12</f>
        <v>6078</v>
      </c>
      <c r="AH12" s="112">
        <f>'2019_C4_Zeitreihe'!Z12</f>
        <v>2627</v>
      </c>
      <c r="AI12" s="75">
        <f>'2019_C4_Zeitreihe'!AA12</f>
        <v>22.240091901206203</v>
      </c>
      <c r="AJ12" s="75">
        <f>'2019_C4_Zeitreihe'!AB12</f>
        <v>33.658816771970137</v>
      </c>
      <c r="AK12" s="75">
        <f>'2019_C4_Zeitreihe'!AC12</f>
        <v>12.590465249856406</v>
      </c>
      <c r="AL12" s="75">
        <f>'2019_C4_Zeitreihe'!AD12</f>
        <v>31.510626076967256</v>
      </c>
      <c r="AM12" s="76">
        <f>'2019_C4_Zeitreihe'!AE12</f>
        <v>8235</v>
      </c>
      <c r="AN12" s="76">
        <f>'2019_C4_Zeitreihe'!AF12</f>
        <v>5780</v>
      </c>
      <c r="AO12" s="76">
        <f>'2019_C4_Zeitreihe'!AG12</f>
        <v>2455</v>
      </c>
      <c r="AP12" s="29">
        <f>'2019_C4_Zeitreihe'!AH12</f>
        <v>22.465088038858529</v>
      </c>
      <c r="AQ12" s="29">
        <f>'2019_C4_Zeitreihe'!AI12</f>
        <v>33.636915604128717</v>
      </c>
      <c r="AR12" s="29">
        <f>'2019_C4_Zeitreihe'!AJ12</f>
        <v>11.220400728597451</v>
      </c>
      <c r="AS12" s="29">
        <f>'2019_C4_Zeitreihe'!AK12</f>
        <v>32.677595628415304</v>
      </c>
      <c r="AT12" s="76">
        <f>'2019_C4_Zeitreihe'!AL12</f>
        <v>7848</v>
      </c>
      <c r="AU12" s="76">
        <f>'2019_C4_Zeitreihe'!AM12</f>
        <v>5502</v>
      </c>
      <c r="AV12" s="76">
        <f>'2019_C4_Zeitreihe'!AN12</f>
        <v>2346</v>
      </c>
      <c r="AW12" s="29">
        <f>'2019_C4_Zeitreihe'!AO12</f>
        <v>21.062691131498472</v>
      </c>
      <c r="AX12" s="29">
        <f>'2019_C4_Zeitreihe'!AP12</f>
        <v>33.613659531090725</v>
      </c>
      <c r="AY12" s="29">
        <f>'2019_C4_Zeitreihe'!AQ12</f>
        <v>11.1493374108053</v>
      </c>
      <c r="AZ12" s="29">
        <f>'2019_C4_Zeitreihe'!AR12</f>
        <v>34.174311926605498</v>
      </c>
      <c r="BA12" s="76">
        <f>'2019_C4_Zeitreihe'!AS12</f>
        <v>7609</v>
      </c>
      <c r="BB12" s="76">
        <f>'2019_C4_Zeitreihe'!AT12</f>
        <v>5458</v>
      </c>
      <c r="BC12" s="76">
        <f>'2019_C4_Zeitreihe'!AU12</f>
        <v>2151</v>
      </c>
      <c r="BD12" s="29">
        <f>'2019_C4_Zeitreihe'!AV12</f>
        <v>17.124457878827705</v>
      </c>
      <c r="BE12" s="29">
        <f>'2019_C4_Zeitreihe'!AW12</f>
        <v>32.8164016296491</v>
      </c>
      <c r="BF12" s="29">
        <f>'2019_C4_Zeitreihe'!AX12</f>
        <v>6.4266000788539888</v>
      </c>
      <c r="BG12" s="29">
        <f>'2019_C4_Zeitreihe'!AY12</f>
        <v>43.632540412669201</v>
      </c>
      <c r="BH12" s="76">
        <f>'2019_C4_Zeitreihe'!AZ12</f>
        <v>6421</v>
      </c>
      <c r="BI12" s="76">
        <f>'2019_C4_Zeitreihe'!BA12</f>
        <v>4848</v>
      </c>
      <c r="BJ12" s="76">
        <f>'2019_C4_Zeitreihe'!BB12</f>
        <v>1573</v>
      </c>
      <c r="BK12" s="29">
        <f>'2019_C4_Zeitreihe'!BC12</f>
        <v>12.630431396978665</v>
      </c>
      <c r="BL12" s="29">
        <f>'2019_C4_Zeitreihe'!BD12</f>
        <v>43.933966671857966</v>
      </c>
      <c r="BM12" s="29">
        <f>'2019_C4_Zeitreihe'!BE12</f>
        <v>12.973057156206199</v>
      </c>
      <c r="BN12" s="29">
        <f>'2019_C4_Zeitreihe'!BF12</f>
        <v>30.462544774957173</v>
      </c>
      <c r="BO12" s="76">
        <f>'2019_C4_Zeitreihe'!BG12</f>
        <v>5540</v>
      </c>
      <c r="BP12" s="76">
        <f>'2019_C4_Zeitreihe'!BH12</f>
        <v>4151</v>
      </c>
      <c r="BQ12" s="76">
        <f>'2019_C4_Zeitreihe'!BI12</f>
        <v>1389</v>
      </c>
      <c r="BR12" s="29">
        <f>'2019_C4_Zeitreihe'!BJ12</f>
        <v>12.942238267148015</v>
      </c>
      <c r="BS12" s="29">
        <f>'2019_C4_Zeitreihe'!BK12</f>
        <v>49.422382671480143</v>
      </c>
      <c r="BT12" s="29">
        <f>'2019_C4_Zeitreihe'!BL12</f>
        <v>14.458483754512635</v>
      </c>
      <c r="BU12" s="78">
        <f>'2019_C4_Zeitreihe'!BM12</f>
        <v>23.176895306859215</v>
      </c>
      <c r="BV12" s="62"/>
    </row>
    <row r="13" spans="2:74" ht="8.25" customHeight="1">
      <c r="B13" s="107">
        <v>151</v>
      </c>
      <c r="C13" s="74" t="s">
        <v>94</v>
      </c>
      <c r="D13" s="74">
        <f>VLOOKUP(B13,'2020_Rohdaten_BA'!$A$10:$E$59,3,FALSE)</f>
        <v>3257</v>
      </c>
      <c r="E13" s="74">
        <f>VLOOKUP(B13,'2020_Rohdaten_BA'!$A$10:$E$59,4,FALSE)</f>
        <v>2169</v>
      </c>
      <c r="F13" s="74">
        <f>VLOOKUP(B13,'2020_Rohdaten_BA'!$A$10:$E$59,5,FALSE)</f>
        <v>1088</v>
      </c>
      <c r="G13" s="74">
        <f>VLOOKUP(B13,'2020_Rohdaten_BA'!$A$10:$M$59,12,FALSE)</f>
        <v>17.285845870432915</v>
      </c>
      <c r="H13" s="74">
        <f>VLOOKUP(B13,'2020_Rohdaten_BA'!$A$10:$M$59,11,FALSE)</f>
        <v>27.509978507829292</v>
      </c>
      <c r="I13" s="74">
        <f>VLOOKUP(B13,'2020_Rohdaten_BA'!$A$10:$M$59,10,FALSE)</f>
        <v>24.593183911575068</v>
      </c>
      <c r="J13" s="74">
        <f>VLOOKUP(B13,'2020_Rohdaten_BA'!$A$10:$M$59,13,FALSE)</f>
        <v>30.610991710162725</v>
      </c>
      <c r="K13" s="193">
        <f>'2019_C4_Zeitreihe'!C13</f>
        <v>3040</v>
      </c>
      <c r="L13" s="193">
        <f>'2019_C4_Zeitreihe'!D13</f>
        <v>2038</v>
      </c>
      <c r="M13" s="193">
        <f>'2019_C4_Zeitreihe'!E13</f>
        <v>1002</v>
      </c>
      <c r="N13" s="115">
        <f>'2019_C4_Zeitreihe'!F13</f>
        <v>16.710526315789473</v>
      </c>
      <c r="O13" s="115">
        <f>'2019_C4_Zeitreihe'!G13</f>
        <v>25.986842105263158</v>
      </c>
      <c r="P13" s="115">
        <f>'2019_C4_Zeitreihe'!H13</f>
        <v>24.638157894736842</v>
      </c>
      <c r="Q13" s="115">
        <f>'2019_C4_Zeitreihe'!I13</f>
        <v>32.664473684210527</v>
      </c>
      <c r="R13" s="112">
        <f>'2019_C4_Zeitreihe'!J13</f>
        <v>2689</v>
      </c>
      <c r="S13" s="112">
        <f>'2019_C4_Zeitreihe'!K13</f>
        <v>1771</v>
      </c>
      <c r="T13" s="112">
        <f>'2019_C4_Zeitreihe'!L13</f>
        <v>918</v>
      </c>
      <c r="U13" s="75">
        <f>'2019_C4_Zeitreihe'!M13</f>
        <v>15.396058014131647</v>
      </c>
      <c r="V13" s="75">
        <f>'2019_C4_Zeitreihe'!N13</f>
        <v>26.887318705838602</v>
      </c>
      <c r="W13" s="75">
        <f>'2019_C4_Zeitreihe'!O13</f>
        <v>25.883227965786539</v>
      </c>
      <c r="X13" s="75">
        <f>'2019_C4_Zeitreihe'!P13</f>
        <v>31.833395314243212</v>
      </c>
      <c r="Y13" s="112">
        <f>'2019_C4_Zeitreihe'!Q13</f>
        <v>2431</v>
      </c>
      <c r="Z13" s="112">
        <f>'2019_C4_Zeitreihe'!R13</f>
        <v>1612</v>
      </c>
      <c r="AA13" s="112">
        <f>'2019_C4_Zeitreihe'!S13</f>
        <v>819</v>
      </c>
      <c r="AB13" s="75">
        <f>'2019_C4_Zeitreihe'!T13</f>
        <v>14.644179350061703</v>
      </c>
      <c r="AC13" s="75">
        <f>'2019_C4_Zeitreihe'!U13</f>
        <v>28.630193336075688</v>
      </c>
      <c r="AD13" s="75">
        <f>'2019_C4_Zeitreihe'!V13</f>
        <v>24.886877828054299</v>
      </c>
      <c r="AE13" s="75">
        <f>'2019_C4_Zeitreihe'!W13</f>
        <v>31.838749485808311</v>
      </c>
      <c r="AF13" s="112">
        <f>'2019_C4_Zeitreihe'!X13</f>
        <v>2218</v>
      </c>
      <c r="AG13" s="112">
        <f>'2019_C4_Zeitreihe'!Y13</f>
        <v>1464</v>
      </c>
      <c r="AH13" s="112">
        <f>'2019_C4_Zeitreihe'!Z13</f>
        <v>754</v>
      </c>
      <c r="AI13" s="75">
        <f>'2019_C4_Zeitreihe'!AA13</f>
        <v>15.329125338142472</v>
      </c>
      <c r="AJ13" s="75">
        <f>'2019_C4_Zeitreihe'!AB13</f>
        <v>28.67448151487827</v>
      </c>
      <c r="AK13" s="75">
        <f>'2019_C4_Zeitreihe'!AC13</f>
        <v>25.247971145175836</v>
      </c>
      <c r="AL13" s="75">
        <f>'2019_C4_Zeitreihe'!AD13</f>
        <v>30.748422001803426</v>
      </c>
      <c r="AM13" s="76">
        <f>'2019_C4_Zeitreihe'!AE13</f>
        <v>2136</v>
      </c>
      <c r="AN13" s="76">
        <f>'2019_C4_Zeitreihe'!AF13</f>
        <v>1406</v>
      </c>
      <c r="AO13" s="76">
        <f>'2019_C4_Zeitreihe'!AG13</f>
        <v>730</v>
      </c>
      <c r="AP13" s="29">
        <f>'2019_C4_Zeitreihe'!AH13</f>
        <v>15.870786516853933</v>
      </c>
      <c r="AQ13" s="29">
        <f>'2019_C4_Zeitreihe'!AI13</f>
        <v>27.153558052434455</v>
      </c>
      <c r="AR13" s="29">
        <f>'2019_C4_Zeitreihe'!AJ13</f>
        <v>25.046816479400746</v>
      </c>
      <c r="AS13" s="29">
        <f>'2019_C4_Zeitreihe'!AK13</f>
        <v>31.928838951310865</v>
      </c>
      <c r="AT13" s="76">
        <f>'2019_C4_Zeitreihe'!AL13</f>
        <v>1933</v>
      </c>
      <c r="AU13" s="76">
        <f>'2019_C4_Zeitreihe'!AM13</f>
        <v>1323</v>
      </c>
      <c r="AV13" s="76">
        <f>'2019_C4_Zeitreihe'!AN13</f>
        <v>610</v>
      </c>
      <c r="AW13" s="29">
        <f>'2019_C4_Zeitreihe'!AO13</f>
        <v>14.79565442317641</v>
      </c>
      <c r="AX13" s="29">
        <f>'2019_C4_Zeitreihe'!AP13</f>
        <v>26.952922917744438</v>
      </c>
      <c r="AY13" s="29">
        <f>'2019_C4_Zeitreihe'!AQ13</f>
        <v>26.435592343507501</v>
      </c>
      <c r="AZ13" s="29">
        <f>'2019_C4_Zeitreihe'!AR13</f>
        <v>31.81583031557166</v>
      </c>
      <c r="BA13" s="76">
        <f>'2019_C4_Zeitreihe'!AS13</f>
        <v>1755</v>
      </c>
      <c r="BB13" s="76">
        <f>'2019_C4_Zeitreihe'!AT13</f>
        <v>1205</v>
      </c>
      <c r="BC13" s="76">
        <f>'2019_C4_Zeitreihe'!AU13</f>
        <v>550</v>
      </c>
      <c r="BD13" s="29">
        <f>'2019_C4_Zeitreihe'!AV13</f>
        <v>12.763532763532764</v>
      </c>
      <c r="BE13" s="29">
        <f>'2019_C4_Zeitreihe'!AW13</f>
        <v>23.646723646723647</v>
      </c>
      <c r="BF13" s="29">
        <f>'2019_C4_Zeitreihe'!AX13</f>
        <v>26.837606837606838</v>
      </c>
      <c r="BG13" s="29">
        <f>'2019_C4_Zeitreihe'!AY13</f>
        <v>36.752136752136749</v>
      </c>
      <c r="BH13" s="76">
        <f>'2019_C4_Zeitreihe'!AZ13</f>
        <v>1367</v>
      </c>
      <c r="BI13" s="76">
        <f>'2019_C4_Zeitreihe'!BA13</f>
        <v>908</v>
      </c>
      <c r="BJ13" s="76">
        <f>'2019_C4_Zeitreihe'!BB13</f>
        <v>459</v>
      </c>
      <c r="BK13" s="29">
        <f>'2019_C4_Zeitreihe'!BC13</f>
        <v>9.9487929773226043</v>
      </c>
      <c r="BL13" s="29">
        <f>'2019_C4_Zeitreihe'!BD13</f>
        <v>23.116313094367229</v>
      </c>
      <c r="BM13" s="29">
        <f>'2019_C4_Zeitreihe'!BE13</f>
        <v>32.845647403072419</v>
      </c>
      <c r="BN13" s="29">
        <f>'2019_C4_Zeitreihe'!BF13</f>
        <v>34.089246525237748</v>
      </c>
      <c r="BO13" s="76">
        <f>'2019_C4_Zeitreihe'!BG13</f>
        <v>1266</v>
      </c>
      <c r="BP13" s="76">
        <f>'2019_C4_Zeitreihe'!BH13</f>
        <v>848</v>
      </c>
      <c r="BQ13" s="76">
        <f>'2019_C4_Zeitreihe'!BI13</f>
        <v>418</v>
      </c>
      <c r="BR13" s="29">
        <f>'2019_C4_Zeitreihe'!BJ13</f>
        <v>10.821484992101107</v>
      </c>
      <c r="BS13" s="29">
        <f>'2019_C4_Zeitreihe'!BK13</f>
        <v>23.696682464454977</v>
      </c>
      <c r="BT13" s="29">
        <f>'2019_C4_Zeitreihe'!BL13</f>
        <v>32.227488151658768</v>
      </c>
      <c r="BU13" s="78">
        <f>'2019_C4_Zeitreihe'!BM13</f>
        <v>33.254344391785139</v>
      </c>
      <c r="BV13" s="62"/>
    </row>
    <row r="14" spans="2:74" ht="8.25" customHeight="1">
      <c r="B14" s="107">
        <v>153</v>
      </c>
      <c r="C14" s="74" t="s">
        <v>96</v>
      </c>
      <c r="D14" s="74">
        <f>VLOOKUP(B14,'2020_Rohdaten_BA'!$A$10:$E$59,3,FALSE)</f>
        <v>3225</v>
      </c>
      <c r="E14" s="74">
        <f>VLOOKUP(B14,'2020_Rohdaten_BA'!$A$10:$E$59,4,FALSE)</f>
        <v>2090</v>
      </c>
      <c r="F14" s="74">
        <f>VLOOKUP(B14,'2020_Rohdaten_BA'!$A$10:$E$59,5,FALSE)</f>
        <v>1135</v>
      </c>
      <c r="G14" s="74">
        <f>VLOOKUP(B14,'2020_Rohdaten_BA'!$A$10:$M$59,12,FALSE)</f>
        <v>17.581395348837209</v>
      </c>
      <c r="H14" s="74">
        <f>VLOOKUP(B14,'2020_Rohdaten_BA'!$A$10:$M$59,11,FALSE)</f>
        <v>30.449612403100776</v>
      </c>
      <c r="I14" s="74">
        <f>VLOOKUP(B14,'2020_Rohdaten_BA'!$A$10:$M$59,10,FALSE)</f>
        <v>26.13953488372093</v>
      </c>
      <c r="J14" s="74">
        <f>VLOOKUP(B14,'2020_Rohdaten_BA'!$A$10:$M$59,13,FALSE)</f>
        <v>25.829457364341085</v>
      </c>
      <c r="K14" s="193">
        <f>'2019_C4_Zeitreihe'!C14</f>
        <v>3119</v>
      </c>
      <c r="L14" s="193">
        <f>'2019_C4_Zeitreihe'!D14</f>
        <v>1991</v>
      </c>
      <c r="M14" s="193">
        <f>'2019_C4_Zeitreihe'!E14</f>
        <v>1128</v>
      </c>
      <c r="N14" s="115">
        <f>'2019_C4_Zeitreihe'!F14</f>
        <v>16.67201025969862</v>
      </c>
      <c r="O14" s="115">
        <f>'2019_C4_Zeitreihe'!G14</f>
        <v>30.522603398525167</v>
      </c>
      <c r="P14" s="115">
        <f>'2019_C4_Zeitreihe'!H14</f>
        <v>25.553061878807309</v>
      </c>
      <c r="Q14" s="115">
        <f>'2019_C4_Zeitreihe'!I14</f>
        <v>27.2523244629689</v>
      </c>
      <c r="R14" s="112">
        <f>'2019_C4_Zeitreihe'!J14</f>
        <v>2762</v>
      </c>
      <c r="S14" s="112">
        <f>'2019_C4_Zeitreihe'!K14</f>
        <v>1800</v>
      </c>
      <c r="T14" s="112">
        <f>'2019_C4_Zeitreihe'!L14</f>
        <v>962</v>
      </c>
      <c r="U14" s="75">
        <f>'2019_C4_Zeitreihe'!M14</f>
        <v>16.618392469225199</v>
      </c>
      <c r="V14" s="75">
        <f>'2019_C4_Zeitreihe'!N14</f>
        <v>31.788559015206374</v>
      </c>
      <c r="W14" s="75">
        <f>'2019_C4_Zeitreihe'!O14</f>
        <v>23.859522085445327</v>
      </c>
      <c r="X14" s="75">
        <f>'2019_C4_Zeitreihe'!P14</f>
        <v>27.733526430123099</v>
      </c>
      <c r="Y14" s="112">
        <f>'2019_C4_Zeitreihe'!Q14</f>
        <v>2405</v>
      </c>
      <c r="Z14" s="112">
        <f>'2019_C4_Zeitreihe'!R14</f>
        <v>1547</v>
      </c>
      <c r="AA14" s="112">
        <f>'2019_C4_Zeitreihe'!S14</f>
        <v>858</v>
      </c>
      <c r="AB14" s="75">
        <f>'2019_C4_Zeitreihe'!T14</f>
        <v>17.962577962577964</v>
      </c>
      <c r="AC14" s="75">
        <f>'2019_C4_Zeitreihe'!U14</f>
        <v>30.72765072765073</v>
      </c>
      <c r="AD14" s="75">
        <f>'2019_C4_Zeitreihe'!V14</f>
        <v>22.245322245322246</v>
      </c>
      <c r="AE14" s="75">
        <f>'2019_C4_Zeitreihe'!W14</f>
        <v>29.064449064449065</v>
      </c>
      <c r="AF14" s="112">
        <f>'2019_C4_Zeitreihe'!X14</f>
        <v>2132</v>
      </c>
      <c r="AG14" s="112">
        <f>'2019_C4_Zeitreihe'!Y14</f>
        <v>1379</v>
      </c>
      <c r="AH14" s="112">
        <f>'2019_C4_Zeitreihe'!Z14</f>
        <v>753</v>
      </c>
      <c r="AI14" s="75">
        <f>'2019_C4_Zeitreihe'!AA14</f>
        <v>18.667917448405252</v>
      </c>
      <c r="AJ14" s="75">
        <f>'2019_C4_Zeitreihe'!AB14</f>
        <v>32.551594746716702</v>
      </c>
      <c r="AK14" s="75">
        <f>'2019_C4_Zeitreihe'!AC14</f>
        <v>20.825515947467167</v>
      </c>
      <c r="AL14" s="75">
        <f>'2019_C4_Zeitreihe'!AD14</f>
        <v>27.954971857410882</v>
      </c>
      <c r="AM14" s="76">
        <f>'2019_C4_Zeitreihe'!AE14</f>
        <v>1970</v>
      </c>
      <c r="AN14" s="76">
        <f>'2019_C4_Zeitreihe'!AF14</f>
        <v>1301</v>
      </c>
      <c r="AO14" s="76">
        <f>'2019_C4_Zeitreihe'!AG14</f>
        <v>669</v>
      </c>
      <c r="AP14" s="29">
        <f>'2019_C4_Zeitreihe'!AH14</f>
        <v>19.593908629441625</v>
      </c>
      <c r="AQ14" s="29">
        <f>'2019_C4_Zeitreihe'!AI14</f>
        <v>31.319796954314722</v>
      </c>
      <c r="AR14" s="29">
        <f>'2019_C4_Zeitreihe'!AJ14</f>
        <v>18.781725888324875</v>
      </c>
      <c r="AS14" s="29">
        <f>'2019_C4_Zeitreihe'!AK14</f>
        <v>30.304568527918779</v>
      </c>
      <c r="AT14" s="76">
        <f>'2019_C4_Zeitreihe'!AL14</f>
        <v>1797</v>
      </c>
      <c r="AU14" s="76">
        <f>'2019_C4_Zeitreihe'!AM14</f>
        <v>1202</v>
      </c>
      <c r="AV14" s="76">
        <f>'2019_C4_Zeitreihe'!AN14</f>
        <v>595</v>
      </c>
      <c r="AW14" s="29">
        <f>'2019_C4_Zeitreihe'!AO14</f>
        <v>19.810795770728991</v>
      </c>
      <c r="AX14" s="29">
        <f>'2019_C4_Zeitreihe'!AP14</f>
        <v>31.942125765164164</v>
      </c>
      <c r="AY14" s="29">
        <f>'2019_C4_Zeitreihe'!AQ14</f>
        <v>18.809126321647192</v>
      </c>
      <c r="AZ14" s="29">
        <f>'2019_C4_Zeitreihe'!AR14</f>
        <v>29.437952142459647</v>
      </c>
      <c r="BA14" s="76">
        <f>'2019_C4_Zeitreihe'!AS14</f>
        <v>1674</v>
      </c>
      <c r="BB14" s="76">
        <f>'2019_C4_Zeitreihe'!AT14</f>
        <v>1083</v>
      </c>
      <c r="BC14" s="76">
        <f>'2019_C4_Zeitreihe'!AU14</f>
        <v>591</v>
      </c>
      <c r="BD14" s="29">
        <f>'2019_C4_Zeitreihe'!AV14</f>
        <v>20.609318996415769</v>
      </c>
      <c r="BE14" s="29">
        <f>'2019_C4_Zeitreihe'!AW14</f>
        <v>26.642771804062125</v>
      </c>
      <c r="BF14" s="29">
        <f>'2019_C4_Zeitreihe'!AX14</f>
        <v>20.43010752688172</v>
      </c>
      <c r="BG14" s="29">
        <f>'2019_C4_Zeitreihe'!AY14</f>
        <v>32.317801672640385</v>
      </c>
      <c r="BH14" s="76">
        <f>'2019_C4_Zeitreihe'!AZ14</f>
        <v>1406</v>
      </c>
      <c r="BI14" s="76">
        <f>'2019_C4_Zeitreihe'!BA14</f>
        <v>911</v>
      </c>
      <c r="BJ14" s="76">
        <f>'2019_C4_Zeitreihe'!BB14</f>
        <v>495</v>
      </c>
      <c r="BK14" s="29">
        <f>'2019_C4_Zeitreihe'!BC14</f>
        <v>18.492176386913229</v>
      </c>
      <c r="BL14" s="29">
        <f>'2019_C4_Zeitreihe'!BD14</f>
        <v>26.600284495021338</v>
      </c>
      <c r="BM14" s="29">
        <f>'2019_C4_Zeitreihe'!BE14</f>
        <v>19.274537695590325</v>
      </c>
      <c r="BN14" s="29">
        <f>'2019_C4_Zeitreihe'!BF14</f>
        <v>35.633001422475104</v>
      </c>
      <c r="BO14" s="76">
        <f>'2019_C4_Zeitreihe'!BG14</f>
        <v>1324</v>
      </c>
      <c r="BP14" s="76">
        <f>'2019_C4_Zeitreihe'!BH14</f>
        <v>868</v>
      </c>
      <c r="BQ14" s="76">
        <f>'2019_C4_Zeitreihe'!BI14</f>
        <v>456</v>
      </c>
      <c r="BR14" s="29">
        <f>'2019_C4_Zeitreihe'!BJ14</f>
        <v>18.126888217522659</v>
      </c>
      <c r="BS14" s="29">
        <f>'2019_C4_Zeitreihe'!BK14</f>
        <v>27.265861027190329</v>
      </c>
      <c r="BT14" s="29">
        <f>'2019_C4_Zeitreihe'!BL14</f>
        <v>18.806646525679756</v>
      </c>
      <c r="BU14" s="78">
        <f>'2019_C4_Zeitreihe'!BM14</f>
        <v>35.800604229607259</v>
      </c>
      <c r="BV14" s="62"/>
    </row>
    <row r="15" spans="2:74" ht="8.25" customHeight="1">
      <c r="B15" s="107">
        <v>154</v>
      </c>
      <c r="C15" s="74" t="s">
        <v>97</v>
      </c>
      <c r="D15" s="74">
        <f>VLOOKUP(B15,'2020_Rohdaten_BA'!$A$10:$E$59,3,FALSE)</f>
        <v>1701</v>
      </c>
      <c r="E15" s="74">
        <f>VLOOKUP(B15,'2020_Rohdaten_BA'!$A$10:$E$59,4,FALSE)</f>
        <v>1149</v>
      </c>
      <c r="F15" s="74">
        <f>VLOOKUP(B15,'2020_Rohdaten_BA'!$A$10:$E$59,5,FALSE)</f>
        <v>552</v>
      </c>
      <c r="G15" s="74">
        <f>VLOOKUP(B15,'2020_Rohdaten_BA'!$A$10:$M$59,12,FALSE)</f>
        <v>13.52145796590241</v>
      </c>
      <c r="H15" s="74">
        <f>VLOOKUP(B15,'2020_Rohdaten_BA'!$A$10:$M$59,11,FALSE)</f>
        <v>43.562610229276899</v>
      </c>
      <c r="I15" s="74">
        <f>VLOOKUP(B15,'2020_Rohdaten_BA'!$A$10:$M$59,10,FALSE)</f>
        <v>22.810111699000586</v>
      </c>
      <c r="J15" s="74">
        <f>VLOOKUP(B15,'2020_Rohdaten_BA'!$A$10:$M$59,13,FALSE)</f>
        <v>20.105820105820104</v>
      </c>
      <c r="K15" s="193">
        <f>'2019_C4_Zeitreihe'!C15</f>
        <v>1557</v>
      </c>
      <c r="L15" s="193">
        <f>'2019_C4_Zeitreihe'!D15</f>
        <v>1083</v>
      </c>
      <c r="M15" s="193">
        <f>'2019_C4_Zeitreihe'!E15</f>
        <v>474</v>
      </c>
      <c r="N15" s="115">
        <f>'2019_C4_Zeitreihe'!F15</f>
        <v>12.780989081567116</v>
      </c>
      <c r="O15" s="115">
        <f>'2019_C4_Zeitreihe'!G15</f>
        <v>42.260757867694281</v>
      </c>
      <c r="P15" s="115">
        <f>'2019_C4_Zeitreihe'!H15</f>
        <v>22.414900449582529</v>
      </c>
      <c r="Q15" s="115">
        <f>'2019_C4_Zeitreihe'!I15</f>
        <v>22.543352601156069</v>
      </c>
      <c r="R15" s="112">
        <f>'2019_C4_Zeitreihe'!J15</f>
        <v>1431</v>
      </c>
      <c r="S15" s="112">
        <f>'2019_C4_Zeitreihe'!K15</f>
        <v>994</v>
      </c>
      <c r="T15" s="112">
        <f>'2019_C4_Zeitreihe'!L15</f>
        <v>437</v>
      </c>
      <c r="U15" s="75">
        <f>'2019_C4_Zeitreihe'!M15</f>
        <v>12.718378756114603</v>
      </c>
      <c r="V15" s="75">
        <f>'2019_C4_Zeitreihe'!N15</f>
        <v>42.348008385744237</v>
      </c>
      <c r="W15" s="75">
        <f>'2019_C4_Zeitreihe'!O15</f>
        <v>21.313766596785463</v>
      </c>
      <c r="X15" s="75">
        <f>'2019_C4_Zeitreihe'!P15</f>
        <v>23.619846261355697</v>
      </c>
      <c r="Y15" s="112">
        <f>'2019_C4_Zeitreihe'!Q15</f>
        <v>1295</v>
      </c>
      <c r="Z15" s="112">
        <f>'2019_C4_Zeitreihe'!R15</f>
        <v>882</v>
      </c>
      <c r="AA15" s="112">
        <f>'2019_C4_Zeitreihe'!S15</f>
        <v>413</v>
      </c>
      <c r="AB15" s="75">
        <f>'2019_C4_Zeitreihe'!T15</f>
        <v>14.054054054054054</v>
      </c>
      <c r="AC15" s="75">
        <f>'2019_C4_Zeitreihe'!U15</f>
        <v>41.853281853281857</v>
      </c>
      <c r="AD15" s="75">
        <f>'2019_C4_Zeitreihe'!V15</f>
        <v>20.231660231660232</v>
      </c>
      <c r="AE15" s="75">
        <f>'2019_C4_Zeitreihe'!W15</f>
        <v>23.861003861003859</v>
      </c>
      <c r="AF15" s="112">
        <f>'2019_C4_Zeitreihe'!X15</f>
        <v>862</v>
      </c>
      <c r="AG15" s="112">
        <f>'2019_C4_Zeitreihe'!Y15</f>
        <v>509</v>
      </c>
      <c r="AH15" s="112">
        <f>'2019_C4_Zeitreihe'!Z15</f>
        <v>353</v>
      </c>
      <c r="AI15" s="75">
        <f>'2019_C4_Zeitreihe'!AA15</f>
        <v>15.893271461716937</v>
      </c>
      <c r="AJ15" s="75">
        <f>'2019_C4_Zeitreihe'!AB15</f>
        <v>35.150812064965194</v>
      </c>
      <c r="AK15" s="75">
        <f>'2019_C4_Zeitreihe'!AC15</f>
        <v>24.709976798143853</v>
      </c>
      <c r="AL15" s="75">
        <f>'2019_C4_Zeitreihe'!AD15</f>
        <v>24.245939675174014</v>
      </c>
      <c r="AM15" s="76">
        <f>'2019_C4_Zeitreihe'!AE15</f>
        <v>712</v>
      </c>
      <c r="AN15" s="76">
        <f>'2019_C4_Zeitreihe'!AF15</f>
        <v>399</v>
      </c>
      <c r="AO15" s="76">
        <f>'2019_C4_Zeitreihe'!AG15</f>
        <v>313</v>
      </c>
      <c r="AP15" s="29">
        <f>'2019_C4_Zeitreihe'!AH15</f>
        <v>14.606741573033707</v>
      </c>
      <c r="AQ15" s="29">
        <f>'2019_C4_Zeitreihe'!AI15</f>
        <v>33.567415730337082</v>
      </c>
      <c r="AR15" s="29">
        <f>'2019_C4_Zeitreihe'!AJ15</f>
        <v>25.280898876404496</v>
      </c>
      <c r="AS15" s="29">
        <f>'2019_C4_Zeitreihe'!AK15</f>
        <v>26.544943820224717</v>
      </c>
      <c r="AT15" s="80">
        <f>'2019_C4_Zeitreihe'!AL15</f>
        <v>676</v>
      </c>
      <c r="AU15" s="80">
        <f>'2019_C4_Zeitreihe'!AM15</f>
        <v>373</v>
      </c>
      <c r="AV15" s="80">
        <f>'2019_C4_Zeitreihe'!AN15</f>
        <v>303</v>
      </c>
      <c r="AW15" s="29">
        <f>'2019_C4_Zeitreihe'!AO15</f>
        <v>13.313609467455622</v>
      </c>
      <c r="AX15" s="29">
        <f>'2019_C4_Zeitreihe'!AP15</f>
        <v>33.57988165680473</v>
      </c>
      <c r="AY15" s="29">
        <f>'2019_C4_Zeitreihe'!AQ15</f>
        <v>24.260355029585799</v>
      </c>
      <c r="AZ15" s="29">
        <f>'2019_C4_Zeitreihe'!AR15</f>
        <v>28.846153846153854</v>
      </c>
      <c r="BA15" s="80">
        <f>'2019_C4_Zeitreihe'!AS15</f>
        <v>587</v>
      </c>
      <c r="BB15" s="80">
        <f>'2019_C4_Zeitreihe'!AT15</f>
        <v>315</v>
      </c>
      <c r="BC15" s="80">
        <f>'2019_C4_Zeitreihe'!AU15</f>
        <v>272</v>
      </c>
      <c r="BD15" s="29">
        <f>'2019_C4_Zeitreihe'!AV15</f>
        <v>11.41396933560477</v>
      </c>
      <c r="BE15" s="29">
        <f>'2019_C4_Zeitreihe'!AW15</f>
        <v>29.982964224872234</v>
      </c>
      <c r="BF15" s="29">
        <f>'2019_C4_Zeitreihe'!AX15</f>
        <v>26.575809199318567</v>
      </c>
      <c r="BG15" s="29">
        <f>'2019_C4_Zeitreihe'!AY15</f>
        <v>32.027257240204428</v>
      </c>
      <c r="BH15" s="80">
        <f>'2019_C4_Zeitreihe'!AZ15</f>
        <v>472</v>
      </c>
      <c r="BI15" s="80">
        <f>'2019_C4_Zeitreihe'!BA15</f>
        <v>251</v>
      </c>
      <c r="BJ15" s="80">
        <f>'2019_C4_Zeitreihe'!BB15</f>
        <v>221</v>
      </c>
      <c r="BK15" s="81">
        <f>'2019_C4_Zeitreihe'!BC15</f>
        <v>9.7457627118644066</v>
      </c>
      <c r="BL15" s="81">
        <f>'2019_C4_Zeitreihe'!BD15</f>
        <v>30.932203389830509</v>
      </c>
      <c r="BM15" s="82">
        <f>'2019_C4_Zeitreihe'!BE15</f>
        <v>33.299999999999997</v>
      </c>
      <c r="BN15" s="81">
        <f>'2019_C4_Zeitreihe'!BF15</f>
        <v>26.022033898305089</v>
      </c>
      <c r="BO15" s="80">
        <f>'2019_C4_Zeitreihe'!BG15</f>
        <v>418</v>
      </c>
      <c r="BP15" s="80">
        <f>'2019_C4_Zeitreihe'!BH15</f>
        <v>230</v>
      </c>
      <c r="BQ15" s="80">
        <f>'2019_C4_Zeitreihe'!BI15</f>
        <v>188</v>
      </c>
      <c r="BR15" s="81">
        <f>'2019_C4_Zeitreihe'!BJ15</f>
        <v>10.526315789473683</v>
      </c>
      <c r="BS15" s="81">
        <f>'2019_C4_Zeitreihe'!BK15</f>
        <v>33.253588516746412</v>
      </c>
      <c r="BT15" s="81">
        <f>'2019_C4_Zeitreihe'!BL15</f>
        <v>25.837320574162682</v>
      </c>
      <c r="BU15" s="78">
        <f>'2019_C4_Zeitreihe'!BM15</f>
        <v>30.382775119617229</v>
      </c>
      <c r="BV15" s="62"/>
    </row>
    <row r="16" spans="2:74" ht="8.25" customHeight="1">
      <c r="B16" s="107">
        <v>155</v>
      </c>
      <c r="C16" s="74" t="s">
        <v>98</v>
      </c>
      <c r="D16" s="74">
        <f>VLOOKUP(B16,'2020_Rohdaten_BA'!$A$10:$E$59,3,FALSE)</f>
        <v>3416</v>
      </c>
      <c r="E16" s="74">
        <f>VLOOKUP(B16,'2020_Rohdaten_BA'!$A$10:$E$59,4,FALSE)</f>
        <v>2534</v>
      </c>
      <c r="F16" s="74">
        <f>VLOOKUP(B16,'2020_Rohdaten_BA'!$A$10:$E$59,5,FALSE)</f>
        <v>882</v>
      </c>
      <c r="G16" s="74">
        <f>VLOOKUP(B16,'2020_Rohdaten_BA'!$A$10:$M$59,12,FALSE)</f>
        <v>10.216627634660421</v>
      </c>
      <c r="H16" s="74">
        <f>VLOOKUP(B16,'2020_Rohdaten_BA'!$A$10:$M$59,11,FALSE)</f>
        <v>42.710772833723652</v>
      </c>
      <c r="I16" s="74">
        <f>VLOOKUP(B16,'2020_Rohdaten_BA'!$A$10:$M$59,10,FALSE)</f>
        <v>23.565573770491802</v>
      </c>
      <c r="J16" s="74">
        <f>VLOOKUP(B16,'2020_Rohdaten_BA'!$A$10:$M$59,13,FALSE)</f>
        <v>23.507025761124122</v>
      </c>
      <c r="K16" s="193">
        <f>'2019_C4_Zeitreihe'!C16</f>
        <v>3377</v>
      </c>
      <c r="L16" s="193">
        <f>'2019_C4_Zeitreihe'!D16</f>
        <v>2552</v>
      </c>
      <c r="M16" s="193">
        <f>'2019_C4_Zeitreihe'!E16</f>
        <v>825</v>
      </c>
      <c r="N16" s="115">
        <f>'2019_C4_Zeitreihe'!F16</f>
        <v>9.6239265620373118</v>
      </c>
      <c r="O16" s="115">
        <f>'2019_C4_Zeitreihe'!G16</f>
        <v>44.151613858454247</v>
      </c>
      <c r="P16" s="115">
        <f>'2019_C4_Zeitreihe'!H16</f>
        <v>23.097423748889547</v>
      </c>
      <c r="Q16" s="115">
        <f>'2019_C4_Zeitreihe'!I16</f>
        <v>23.127035830618894</v>
      </c>
      <c r="R16" s="112">
        <f>'2019_C4_Zeitreihe'!J16</f>
        <v>3117</v>
      </c>
      <c r="S16" s="112">
        <f>'2019_C4_Zeitreihe'!K16</f>
        <v>2391</v>
      </c>
      <c r="T16" s="112">
        <f>'2019_C4_Zeitreihe'!L16</f>
        <v>726</v>
      </c>
      <c r="U16" s="75">
        <f>'2019_C4_Zeitreihe'!M16</f>
        <v>8.1809432146294512</v>
      </c>
      <c r="V16" s="75">
        <f>'2019_C4_Zeitreihe'!N16</f>
        <v>45.299967917869751</v>
      </c>
      <c r="W16" s="75">
        <f>'2019_C4_Zeitreihe'!O16</f>
        <v>22.48957330766763</v>
      </c>
      <c r="X16" s="75">
        <f>'2019_C4_Zeitreihe'!P16</f>
        <v>24.029515559833172</v>
      </c>
      <c r="Y16" s="112">
        <f>'2019_C4_Zeitreihe'!Q16</f>
        <v>2659</v>
      </c>
      <c r="Z16" s="112">
        <f>'2019_C4_Zeitreihe'!R16</f>
        <v>2052</v>
      </c>
      <c r="AA16" s="112">
        <f>'2019_C4_Zeitreihe'!S16</f>
        <v>607</v>
      </c>
      <c r="AB16" s="75">
        <f>'2019_C4_Zeitreihe'!T16</f>
        <v>8.3113952613764575</v>
      </c>
      <c r="AC16" s="75">
        <f>'2019_C4_Zeitreihe'!U16</f>
        <v>47.273411056788269</v>
      </c>
      <c r="AD16" s="75">
        <f>'2019_C4_Zeitreihe'!V16</f>
        <v>20.007521624670929</v>
      </c>
      <c r="AE16" s="75">
        <f>'2019_C4_Zeitreihe'!W16</f>
        <v>24.407672057164348</v>
      </c>
      <c r="AF16" s="112">
        <f>'2019_C4_Zeitreihe'!X16</f>
        <v>2414</v>
      </c>
      <c r="AG16" s="112">
        <f>'2019_C4_Zeitreihe'!Y16</f>
        <v>1841</v>
      </c>
      <c r="AH16" s="112">
        <f>'2019_C4_Zeitreihe'!Z16</f>
        <v>573</v>
      </c>
      <c r="AI16" s="75">
        <f>'2019_C4_Zeitreihe'!AA16</f>
        <v>8.7406793703396843</v>
      </c>
      <c r="AJ16" s="75">
        <f>'2019_C4_Zeitreihe'!AB16</f>
        <v>49.088649544324767</v>
      </c>
      <c r="AK16" s="75">
        <f>'2019_C4_Zeitreihe'!AC16</f>
        <v>16.818558409279206</v>
      </c>
      <c r="AL16" s="75">
        <f>'2019_C4_Zeitreihe'!AD16</f>
        <v>25.352112676056336</v>
      </c>
      <c r="AM16" s="80">
        <f>'2019_C4_Zeitreihe'!AE16</f>
        <v>2052</v>
      </c>
      <c r="AN16" s="80">
        <f>'2019_C4_Zeitreihe'!AF16</f>
        <v>1540</v>
      </c>
      <c r="AO16" s="80">
        <f>'2019_C4_Zeitreihe'!AG16</f>
        <v>512</v>
      </c>
      <c r="AP16" s="29">
        <f>'2019_C4_Zeitreihe'!AH16</f>
        <v>8.9668615984405449</v>
      </c>
      <c r="AQ16" s="29">
        <f>'2019_C4_Zeitreihe'!AI16</f>
        <v>51.169590643274852</v>
      </c>
      <c r="AR16" s="29">
        <f>'2019_C4_Zeitreihe'!AJ16</f>
        <v>16.569200779727094</v>
      </c>
      <c r="AS16" s="29">
        <f>'2019_C4_Zeitreihe'!AK16</f>
        <v>23.294346978557506</v>
      </c>
      <c r="AT16" s="80">
        <f>'2019_C4_Zeitreihe'!AL16</f>
        <v>1873</v>
      </c>
      <c r="AU16" s="80">
        <f>'2019_C4_Zeitreihe'!AM16</f>
        <v>1400</v>
      </c>
      <c r="AV16" s="80">
        <f>'2019_C4_Zeitreihe'!AN16</f>
        <v>473</v>
      </c>
      <c r="AW16" s="29">
        <f>'2019_C4_Zeitreihe'!AO16</f>
        <v>8.3822744260544582</v>
      </c>
      <c r="AX16" s="29">
        <f>'2019_C4_Zeitreihe'!AP16</f>
        <v>50.774159103043246</v>
      </c>
      <c r="AY16" s="29">
        <f>'2019_C4_Zeitreihe'!AQ16</f>
        <v>17.405232247730911</v>
      </c>
      <c r="AZ16" s="29">
        <f>'2019_C4_Zeitreihe'!AR16</f>
        <v>23.438334223171388</v>
      </c>
      <c r="BA16" s="80">
        <f>'2019_C4_Zeitreihe'!AS16</f>
        <v>1655</v>
      </c>
      <c r="BB16" s="80">
        <f>'2019_C4_Zeitreihe'!AT16</f>
        <v>1208</v>
      </c>
      <c r="BC16" s="80">
        <f>'2019_C4_Zeitreihe'!AU16</f>
        <v>447</v>
      </c>
      <c r="BD16" s="29">
        <f>'2019_C4_Zeitreihe'!AV16</f>
        <v>10.453172205438065</v>
      </c>
      <c r="BE16" s="29">
        <f>'2019_C4_Zeitreihe'!AW16</f>
        <v>44.350453172205441</v>
      </c>
      <c r="BF16" s="29">
        <f>'2019_C4_Zeitreihe'!AX16</f>
        <v>17.039274924471297</v>
      </c>
      <c r="BG16" s="29">
        <f>'2019_C4_Zeitreihe'!AY16</f>
        <v>28.157099697885194</v>
      </c>
      <c r="BH16" s="80">
        <f>'2019_C4_Zeitreihe'!AZ16</f>
        <v>1102</v>
      </c>
      <c r="BI16" s="80">
        <f>'2019_C4_Zeitreihe'!BA16</f>
        <v>681</v>
      </c>
      <c r="BJ16" s="80">
        <f>'2019_C4_Zeitreihe'!BB16</f>
        <v>421</v>
      </c>
      <c r="BK16" s="81">
        <f>'2019_C4_Zeitreihe'!BC16</f>
        <v>10.798548094373865</v>
      </c>
      <c r="BL16" s="81">
        <f>'2019_C4_Zeitreihe'!BD16</f>
        <v>31.760435571687839</v>
      </c>
      <c r="BM16" s="81">
        <f>'2019_C4_Zeitreihe'!BE16</f>
        <v>24.954627949183301</v>
      </c>
      <c r="BN16" s="81">
        <f>'2019_C4_Zeitreihe'!BF16</f>
        <v>32.486388384754996</v>
      </c>
      <c r="BO16" s="80">
        <f>'2019_C4_Zeitreihe'!BG16</f>
        <v>1003</v>
      </c>
      <c r="BP16" s="80">
        <f>'2019_C4_Zeitreihe'!BH16</f>
        <v>643</v>
      </c>
      <c r="BQ16" s="80">
        <f>'2019_C4_Zeitreihe'!BI16</f>
        <v>360</v>
      </c>
      <c r="BR16" s="81">
        <f>'2019_C4_Zeitreihe'!BJ16</f>
        <v>9.5712861415752748</v>
      </c>
      <c r="BS16" s="81">
        <f>'2019_C4_Zeitreihe'!BK16</f>
        <v>34.097706879361915</v>
      </c>
      <c r="BT16" s="81">
        <f>'2019_C4_Zeitreihe'!BL16</f>
        <v>24.32701894317049</v>
      </c>
      <c r="BU16" s="78">
        <f>'2019_C4_Zeitreihe'!BM16</f>
        <v>32.00398803589232</v>
      </c>
      <c r="BV16" s="62"/>
    </row>
    <row r="17" spans="2:74" ht="8.25" customHeight="1">
      <c r="B17" s="107">
        <v>157</v>
      </c>
      <c r="C17" s="74" t="s">
        <v>99</v>
      </c>
      <c r="D17" s="74">
        <f>VLOOKUP(B17,'2020_Rohdaten_BA'!$A$10:$E$59,3,FALSE)</f>
        <v>3368</v>
      </c>
      <c r="E17" s="74">
        <f>VLOOKUP(B17,'2020_Rohdaten_BA'!$A$10:$E$59,4,FALSE)</f>
        <v>2434</v>
      </c>
      <c r="F17" s="74">
        <f>VLOOKUP(B17,'2020_Rohdaten_BA'!$A$10:$E$59,5,FALSE)</f>
        <v>934</v>
      </c>
      <c r="G17" s="74">
        <f>VLOOKUP(B17,'2020_Rohdaten_BA'!$A$10:$M$59,12,FALSE)</f>
        <v>6.6508313539192399</v>
      </c>
      <c r="H17" s="74">
        <f>VLOOKUP(B17,'2020_Rohdaten_BA'!$A$10:$M$59,11,FALSE)</f>
        <v>31.88836104513064</v>
      </c>
      <c r="I17" s="74">
        <f>VLOOKUP(B17,'2020_Rohdaten_BA'!$A$10:$M$59,10,FALSE)</f>
        <v>28.325415676959619</v>
      </c>
      <c r="J17" s="74">
        <f>VLOOKUP(B17,'2020_Rohdaten_BA'!$A$10:$M$59,13,FALSE)</f>
        <v>33.135391923990497</v>
      </c>
      <c r="K17" s="193">
        <f>'2019_C4_Zeitreihe'!C17</f>
        <v>3351</v>
      </c>
      <c r="L17" s="193">
        <f>'2019_C4_Zeitreihe'!D17</f>
        <v>2439</v>
      </c>
      <c r="M17" s="193">
        <f>'2019_C4_Zeitreihe'!E17</f>
        <v>912</v>
      </c>
      <c r="N17" s="115">
        <f>'2019_C4_Zeitreihe'!F17</f>
        <v>6.0578931662190394</v>
      </c>
      <c r="O17" s="115">
        <f>'2019_C4_Zeitreihe'!G17</f>
        <v>29.364368845120861</v>
      </c>
      <c r="P17" s="115">
        <f>'2019_C4_Zeitreihe'!H17</f>
        <v>28.91674127126231</v>
      </c>
      <c r="Q17" s="115">
        <f>'2019_C4_Zeitreihe'!I17</f>
        <v>35.660996717397794</v>
      </c>
      <c r="R17" s="112">
        <f>'2019_C4_Zeitreihe'!J17</f>
        <v>2590</v>
      </c>
      <c r="S17" s="112">
        <f>'2019_C4_Zeitreihe'!K17</f>
        <v>1871</v>
      </c>
      <c r="T17" s="112">
        <f>'2019_C4_Zeitreihe'!L17</f>
        <v>719</v>
      </c>
      <c r="U17" s="75">
        <f>'2019_C4_Zeitreihe'!M17</f>
        <v>6.8725868725868722</v>
      </c>
      <c r="V17" s="75">
        <f>'2019_C4_Zeitreihe'!N17</f>
        <v>33.320463320463325</v>
      </c>
      <c r="W17" s="75">
        <f>'2019_C4_Zeitreihe'!O17</f>
        <v>30.386100386100384</v>
      </c>
      <c r="X17" s="75">
        <f>'2019_C4_Zeitreihe'!P17</f>
        <v>29.420849420849422</v>
      </c>
      <c r="Y17" s="112">
        <f>'2019_C4_Zeitreihe'!Q17</f>
        <v>2202</v>
      </c>
      <c r="Z17" s="112">
        <f>'2019_C4_Zeitreihe'!R17</f>
        <v>1601</v>
      </c>
      <c r="AA17" s="112">
        <f>'2019_C4_Zeitreihe'!S17</f>
        <v>601</v>
      </c>
      <c r="AB17" s="75">
        <f>'2019_C4_Zeitreihe'!T17</f>
        <v>6.4486830154405084</v>
      </c>
      <c r="AC17" s="75">
        <f>'2019_C4_Zeitreihe'!U17</f>
        <v>34.831970935513169</v>
      </c>
      <c r="AD17" s="75">
        <f>'2019_C4_Zeitreihe'!V17</f>
        <v>30.290644868301541</v>
      </c>
      <c r="AE17" s="75">
        <f>'2019_C4_Zeitreihe'!W17</f>
        <v>28.428701180744774</v>
      </c>
      <c r="AF17" s="112">
        <f>'2019_C4_Zeitreihe'!X17</f>
        <v>1899</v>
      </c>
      <c r="AG17" s="112">
        <f>'2019_C4_Zeitreihe'!Y17</f>
        <v>1350</v>
      </c>
      <c r="AH17" s="112">
        <f>'2019_C4_Zeitreihe'!Z17</f>
        <v>549</v>
      </c>
      <c r="AI17" s="75">
        <f>'2019_C4_Zeitreihe'!AA17</f>
        <v>6.6877303844128484</v>
      </c>
      <c r="AJ17" s="75">
        <f>'2019_C4_Zeitreihe'!AB17</f>
        <v>36.387572406529749</v>
      </c>
      <c r="AK17" s="75">
        <f>'2019_C4_Zeitreihe'!AC17</f>
        <v>28.225381779884152</v>
      </c>
      <c r="AL17" s="75">
        <f>'2019_C4_Zeitreihe'!AD17</f>
        <v>28.69931542917325</v>
      </c>
      <c r="AM17" s="76">
        <f>'2019_C4_Zeitreihe'!AE17</f>
        <v>1599</v>
      </c>
      <c r="AN17" s="76">
        <f>'2019_C4_Zeitreihe'!AF17</f>
        <v>1112</v>
      </c>
      <c r="AO17" s="76">
        <f>'2019_C4_Zeitreihe'!AG17</f>
        <v>487</v>
      </c>
      <c r="AP17" s="29">
        <f>'2019_C4_Zeitreihe'!AH17</f>
        <v>6.2539086929330825</v>
      </c>
      <c r="AQ17" s="29">
        <f>'2019_C4_Zeitreihe'!AI17</f>
        <v>35.709818636647903</v>
      </c>
      <c r="AR17" s="29">
        <f>'2019_C4_Zeitreihe'!AJ17</f>
        <v>29.393370856785488</v>
      </c>
      <c r="AS17" s="29">
        <f>'2019_C4_Zeitreihe'!AK17</f>
        <v>28.642901813633536</v>
      </c>
      <c r="AT17" s="57">
        <f>'2019_C4_Zeitreihe'!AL17</f>
        <v>1412</v>
      </c>
      <c r="AU17" s="57">
        <f>'2019_C4_Zeitreihe'!AM17</f>
        <v>989</v>
      </c>
      <c r="AV17" s="57">
        <f>'2019_C4_Zeitreihe'!AN17</f>
        <v>423</v>
      </c>
      <c r="AW17" s="29">
        <f>'2019_C4_Zeitreihe'!AO17</f>
        <v>5.9490084985835701</v>
      </c>
      <c r="AX17" s="29">
        <f>'2019_C4_Zeitreihe'!AP17</f>
        <v>35.623229461756374</v>
      </c>
      <c r="AY17" s="29">
        <f>'2019_C4_Zeitreihe'!AQ17</f>
        <v>27.974504249291787</v>
      </c>
      <c r="AZ17" s="29">
        <f>'2019_C4_Zeitreihe'!AR17</f>
        <v>30.453257790368273</v>
      </c>
      <c r="BA17" s="57">
        <f>'2019_C4_Zeitreihe'!AS17</f>
        <v>1321</v>
      </c>
      <c r="BB17" s="57">
        <f>'2019_C4_Zeitreihe'!AT17</f>
        <v>926</v>
      </c>
      <c r="BC17" s="57">
        <f>'2019_C4_Zeitreihe'!AU17</f>
        <v>395</v>
      </c>
      <c r="BD17" s="29">
        <f>'2019_C4_Zeitreihe'!AV17</f>
        <v>5.5261165783497352</v>
      </c>
      <c r="BE17" s="29">
        <f>'2019_C4_Zeitreihe'!AW17</f>
        <v>31.94549583648751</v>
      </c>
      <c r="BF17" s="29">
        <f>'2019_C4_Zeitreihe'!AX17</f>
        <v>29.144587433762304</v>
      </c>
      <c r="BG17" s="29">
        <f>'2019_C4_Zeitreihe'!AY17</f>
        <v>33.383800151400457</v>
      </c>
      <c r="BH17" s="57">
        <f>'2019_C4_Zeitreihe'!AZ17</f>
        <v>1168</v>
      </c>
      <c r="BI17" s="57">
        <f>'2019_C4_Zeitreihe'!BA17</f>
        <v>805</v>
      </c>
      <c r="BJ17" s="57">
        <f>'2019_C4_Zeitreihe'!BB17</f>
        <v>363</v>
      </c>
      <c r="BK17" s="83">
        <f>'2019_C4_Zeitreihe'!BC17</f>
        <v>4.0239726027397262</v>
      </c>
      <c r="BL17" s="83">
        <f>'2019_C4_Zeitreihe'!BD17</f>
        <v>27.739726027397261</v>
      </c>
      <c r="BM17" s="83">
        <f>'2019_C4_Zeitreihe'!BE17</f>
        <v>29.280821917808218</v>
      </c>
      <c r="BN17" s="83">
        <f>'2019_C4_Zeitreihe'!BF17</f>
        <v>38.955479452054789</v>
      </c>
      <c r="BO17" s="57">
        <f>'2019_C4_Zeitreihe'!BG17</f>
        <v>1069</v>
      </c>
      <c r="BP17" s="57">
        <f>'2019_C4_Zeitreihe'!BH17</f>
        <v>741</v>
      </c>
      <c r="BQ17" s="57">
        <f>'2019_C4_Zeitreihe'!BI17</f>
        <v>328</v>
      </c>
      <c r="BR17" s="83">
        <f>'2019_C4_Zeitreihe'!BJ17</f>
        <v>3.3676333021515439</v>
      </c>
      <c r="BS17" s="83">
        <f>'2019_C4_Zeitreihe'!BK17</f>
        <v>30.589335827876518</v>
      </c>
      <c r="BT17" s="83">
        <f>'2019_C4_Zeitreihe'!BL17</f>
        <v>30.589335827876518</v>
      </c>
      <c r="BU17" s="78">
        <f>'2019_C4_Zeitreihe'!BM17</f>
        <v>35.453695042095426</v>
      </c>
      <c r="BV17" s="62"/>
    </row>
    <row r="18" spans="2:74" ht="8.25" customHeight="1">
      <c r="B18" s="107">
        <v>158</v>
      </c>
      <c r="C18" s="74" t="s">
        <v>100</v>
      </c>
      <c r="D18" s="74">
        <f>VLOOKUP(B18,'2020_Rohdaten_BA'!$A$10:$E$59,3,FALSE)</f>
        <v>1586</v>
      </c>
      <c r="E18" s="74">
        <f>VLOOKUP(B18,'2020_Rohdaten_BA'!$A$10:$E$59,4,FALSE)</f>
        <v>1010</v>
      </c>
      <c r="F18" s="74">
        <f>VLOOKUP(B18,'2020_Rohdaten_BA'!$A$10:$E$59,5,FALSE)</f>
        <v>576</v>
      </c>
      <c r="G18" s="74">
        <f>VLOOKUP(B18,'2020_Rohdaten_BA'!$A$10:$M$59,12,FALSE)</f>
        <v>12.925598991172762</v>
      </c>
      <c r="H18" s="74">
        <f>VLOOKUP(B18,'2020_Rohdaten_BA'!$A$10:$M$59,11,FALSE)</f>
        <v>40.731399747793191</v>
      </c>
      <c r="I18" s="74">
        <f>VLOOKUP(B18,'2020_Rohdaten_BA'!$A$10:$M$59,10,FALSE)</f>
        <v>23.896595208070618</v>
      </c>
      <c r="J18" s="74">
        <f>VLOOKUP(B18,'2020_Rohdaten_BA'!$A$10:$M$59,13,FALSE)</f>
        <v>22.446406052963429</v>
      </c>
      <c r="K18" s="193">
        <f>'2019_C4_Zeitreihe'!C18</f>
        <v>1510</v>
      </c>
      <c r="L18" s="193">
        <f>'2019_C4_Zeitreihe'!D18</f>
        <v>969</v>
      </c>
      <c r="M18" s="193">
        <f>'2019_C4_Zeitreihe'!E18</f>
        <v>541</v>
      </c>
      <c r="N18" s="115">
        <f>'2019_C4_Zeitreihe'!F18</f>
        <v>12.781456953642385</v>
      </c>
      <c r="O18" s="115">
        <f>'2019_C4_Zeitreihe'!G18</f>
        <v>40.662251655629142</v>
      </c>
      <c r="P18" s="115">
        <f>'2019_C4_Zeitreihe'!H18</f>
        <v>22.715231788079471</v>
      </c>
      <c r="Q18" s="115">
        <f>'2019_C4_Zeitreihe'!I18</f>
        <v>23.841059602649008</v>
      </c>
      <c r="R18" s="112">
        <f>'2019_C4_Zeitreihe'!J18</f>
        <v>1412</v>
      </c>
      <c r="S18" s="112">
        <f>'2019_C4_Zeitreihe'!K18</f>
        <v>873</v>
      </c>
      <c r="T18" s="112">
        <f>'2019_C4_Zeitreihe'!L18</f>
        <v>539</v>
      </c>
      <c r="U18" s="75">
        <f>'2019_C4_Zeitreihe'!M18</f>
        <v>12.110481586402265</v>
      </c>
      <c r="V18" s="75">
        <f>'2019_C4_Zeitreihe'!N18</f>
        <v>40.226628895184135</v>
      </c>
      <c r="W18" s="75">
        <f>'2019_C4_Zeitreihe'!O18</f>
        <v>22.592067988668553</v>
      </c>
      <c r="X18" s="75">
        <f>'2019_C4_Zeitreihe'!P18</f>
        <v>25.070821529745039</v>
      </c>
      <c r="Y18" s="112">
        <f>'2019_C4_Zeitreihe'!Q18</f>
        <v>1212</v>
      </c>
      <c r="Z18" s="112">
        <f>'2019_C4_Zeitreihe'!R18</f>
        <v>730</v>
      </c>
      <c r="AA18" s="112">
        <f>'2019_C4_Zeitreihe'!S18</f>
        <v>482</v>
      </c>
      <c r="AB18" s="75">
        <f>'2019_C4_Zeitreihe'!T18</f>
        <v>11.138613861386139</v>
      </c>
      <c r="AC18" s="75">
        <f>'2019_C4_Zeitreihe'!U18</f>
        <v>40.759075907590756</v>
      </c>
      <c r="AD18" s="75">
        <f>'2019_C4_Zeitreihe'!V18</f>
        <v>21.03960396039604</v>
      </c>
      <c r="AE18" s="75">
        <f>'2019_C4_Zeitreihe'!W18</f>
        <v>27.062706270627064</v>
      </c>
      <c r="AF18" s="112">
        <f>'2019_C4_Zeitreihe'!X18</f>
        <v>1041</v>
      </c>
      <c r="AG18" s="112">
        <f>'2019_C4_Zeitreihe'!Y18</f>
        <v>635</v>
      </c>
      <c r="AH18" s="112">
        <f>'2019_C4_Zeitreihe'!Z18</f>
        <v>406</v>
      </c>
      <c r="AI18" s="75">
        <f>'2019_C4_Zeitreihe'!AA18</f>
        <v>10.182516810758885</v>
      </c>
      <c r="AJ18" s="75">
        <f>'2019_C4_Zeitreihe'!AB18</f>
        <v>42.459173871277613</v>
      </c>
      <c r="AK18" s="75">
        <f>'2019_C4_Zeitreihe'!AC18</f>
        <v>19.404418828049952</v>
      </c>
      <c r="AL18" s="75">
        <f>'2019_C4_Zeitreihe'!AD18</f>
        <v>27.953890489913547</v>
      </c>
      <c r="AM18" s="57">
        <f>'2019_C4_Zeitreihe'!AE18</f>
        <v>885</v>
      </c>
      <c r="AN18" s="57">
        <f>'2019_C4_Zeitreihe'!AF18</f>
        <v>529</v>
      </c>
      <c r="AO18" s="57">
        <f>'2019_C4_Zeitreihe'!AG18</f>
        <v>356</v>
      </c>
      <c r="AP18" s="29">
        <f>'2019_C4_Zeitreihe'!AH18</f>
        <v>10.96045197740113</v>
      </c>
      <c r="AQ18" s="29">
        <f>'2019_C4_Zeitreihe'!AI18</f>
        <v>42.93785310734463</v>
      </c>
      <c r="AR18" s="29">
        <f>'2019_C4_Zeitreihe'!AJ18</f>
        <v>18.192090395480225</v>
      </c>
      <c r="AS18" s="29">
        <f>'2019_C4_Zeitreihe'!AK18</f>
        <v>27.909604519774021</v>
      </c>
      <c r="AT18" s="57">
        <f>'2019_C4_Zeitreihe'!AL18</f>
        <v>784</v>
      </c>
      <c r="AU18" s="57">
        <f>'2019_C4_Zeitreihe'!AM18</f>
        <v>480</v>
      </c>
      <c r="AV18" s="57">
        <f>'2019_C4_Zeitreihe'!AN18</f>
        <v>304</v>
      </c>
      <c r="AW18" s="29">
        <f>'2019_C4_Zeitreihe'!AO18</f>
        <v>10.969387755102041</v>
      </c>
      <c r="AX18" s="29">
        <f>'2019_C4_Zeitreihe'!AP18</f>
        <v>39.413265306122447</v>
      </c>
      <c r="AY18" s="29">
        <f>'2019_C4_Zeitreihe'!AQ18</f>
        <v>18.494897959183675</v>
      </c>
      <c r="AZ18" s="29">
        <f>'2019_C4_Zeitreihe'!AR18</f>
        <v>31.122448979591837</v>
      </c>
      <c r="BA18" s="57">
        <f>'2019_C4_Zeitreihe'!AS18</f>
        <v>734</v>
      </c>
      <c r="BB18" s="57">
        <f>'2019_C4_Zeitreihe'!AT18</f>
        <v>437</v>
      </c>
      <c r="BC18" s="57">
        <f>'2019_C4_Zeitreihe'!AU18</f>
        <v>297</v>
      </c>
      <c r="BD18" s="29">
        <f>'2019_C4_Zeitreihe'!AV18</f>
        <v>10.899182561307901</v>
      </c>
      <c r="BE18" s="29">
        <f>'2019_C4_Zeitreihe'!AW18</f>
        <v>35.422343324250683</v>
      </c>
      <c r="BF18" s="29">
        <f>'2019_C4_Zeitreihe'!AX18</f>
        <v>16.757493188010901</v>
      </c>
      <c r="BG18" s="29">
        <f>'2019_C4_Zeitreihe'!AY18</f>
        <v>36.920980926430516</v>
      </c>
      <c r="BH18" s="57">
        <f>'2019_C4_Zeitreihe'!AZ18</f>
        <v>556</v>
      </c>
      <c r="BI18" s="57">
        <f>'2019_C4_Zeitreihe'!BA18</f>
        <v>305</v>
      </c>
      <c r="BJ18" s="57">
        <f>'2019_C4_Zeitreihe'!BB18</f>
        <v>251</v>
      </c>
      <c r="BK18" s="83">
        <f>'2019_C4_Zeitreihe'!BC18</f>
        <v>7.7338129496402885</v>
      </c>
      <c r="BL18" s="83">
        <f>'2019_C4_Zeitreihe'!BD18</f>
        <v>30.39568345323741</v>
      </c>
      <c r="BM18" s="83">
        <f>'2019_C4_Zeitreihe'!BE18</f>
        <v>20.68345323741007</v>
      </c>
      <c r="BN18" s="83">
        <f>'2019_C4_Zeitreihe'!BF18</f>
        <v>41.187050359712224</v>
      </c>
      <c r="BO18" s="57">
        <f>'2019_C4_Zeitreihe'!BG18</f>
        <v>541</v>
      </c>
      <c r="BP18" s="57">
        <f>'2019_C4_Zeitreihe'!BH18</f>
        <v>313</v>
      </c>
      <c r="BQ18" s="57">
        <f>'2019_C4_Zeitreihe'!BI18</f>
        <v>228</v>
      </c>
      <c r="BR18" s="83">
        <f>'2019_C4_Zeitreihe'!BJ18</f>
        <v>7.9482439926062849</v>
      </c>
      <c r="BS18" s="83">
        <f>'2019_C4_Zeitreihe'!BK18</f>
        <v>28.650646950092423</v>
      </c>
      <c r="BT18" s="83">
        <f>'2019_C4_Zeitreihe'!BL18</f>
        <v>21.256931608133087</v>
      </c>
      <c r="BU18" s="78">
        <f>'2019_C4_Zeitreihe'!BM18</f>
        <v>42.144177449168204</v>
      </c>
      <c r="BV18" s="62"/>
    </row>
    <row r="19" spans="2:74" ht="8.25" customHeight="1">
      <c r="B19" s="107">
        <v>159</v>
      </c>
      <c r="C19" s="74" t="s">
        <v>95</v>
      </c>
      <c r="D19" s="74">
        <f>VLOOKUP(B19,'2020_Rohdaten_BA'!$A$10:$E$59,3,FALSE)</f>
        <v>9833</v>
      </c>
      <c r="E19" s="74">
        <f>VLOOKUP(B19,'2020_Rohdaten_BA'!$A$10:$E$59,4,FALSE)</f>
        <v>6074</v>
      </c>
      <c r="F19" s="74">
        <f>VLOOKUP(B19,'2020_Rohdaten_BA'!$A$10:$E$59,5,FALSE)</f>
        <v>3759</v>
      </c>
      <c r="G19" s="74">
        <f>VLOOKUP(B19,'2020_Rohdaten_BA'!$A$10:$M$59,12,FALSE)</f>
        <v>28.180616292077698</v>
      </c>
      <c r="H19" s="74">
        <f>VLOOKUP(B19,'2020_Rohdaten_BA'!$A$10:$M$59,11,FALSE)</f>
        <v>28.678938269093866</v>
      </c>
      <c r="I19" s="74">
        <f>VLOOKUP(B19,'2020_Rohdaten_BA'!$A$10:$M$59,10,FALSE)</f>
        <v>25.31272246516831</v>
      </c>
      <c r="J19" s="74">
        <f>VLOOKUP(B19,'2020_Rohdaten_BA'!$A$10:$M$59,13,FALSE)</f>
        <v>17.827722973660123</v>
      </c>
      <c r="K19" s="193">
        <f>'2019_C4_Zeitreihe'!C19</f>
        <v>9450</v>
      </c>
      <c r="L19" s="193">
        <f>'2019_C4_Zeitreihe'!D19</f>
        <v>5838</v>
      </c>
      <c r="M19" s="193">
        <f>'2019_C4_Zeitreihe'!E19</f>
        <v>3612</v>
      </c>
      <c r="N19" s="115">
        <f>'2019_C4_Zeitreihe'!F19</f>
        <v>28.582010582010582</v>
      </c>
      <c r="O19" s="115">
        <f>'2019_C4_Zeitreihe'!G19</f>
        <v>28.264550264550266</v>
      </c>
      <c r="P19" s="115">
        <f>'2019_C4_Zeitreihe'!H19</f>
        <v>24.825396825396826</v>
      </c>
      <c r="Q19" s="115">
        <f>'2019_C4_Zeitreihe'!I19</f>
        <v>18.328042328042329</v>
      </c>
      <c r="R19" s="112">
        <f>'2019_C4_Zeitreihe'!J19</f>
        <v>8659</v>
      </c>
      <c r="S19" s="112">
        <f>'2019_C4_Zeitreihe'!K19</f>
        <v>5270</v>
      </c>
      <c r="T19" s="112">
        <f>'2019_C4_Zeitreihe'!L19</f>
        <v>3389</v>
      </c>
      <c r="U19" s="75">
        <f>'2019_C4_Zeitreihe'!M19</f>
        <v>29.114216422219659</v>
      </c>
      <c r="V19" s="75">
        <f>'2019_C4_Zeitreihe'!N19</f>
        <v>29.322092620394962</v>
      </c>
      <c r="W19" s="75">
        <f>'2019_C4_Zeitreihe'!O19</f>
        <v>23.33987758401663</v>
      </c>
      <c r="X19" s="75">
        <f>'2019_C4_Zeitreihe'!P19</f>
        <v>18.223813373368749</v>
      </c>
      <c r="Y19" s="112">
        <f>'2019_C4_Zeitreihe'!Q19</f>
        <v>7778</v>
      </c>
      <c r="Z19" s="112">
        <f>'2019_C4_Zeitreihe'!R19</f>
        <v>4661</v>
      </c>
      <c r="AA19" s="112">
        <f>'2019_C4_Zeitreihe'!S19</f>
        <v>3117</v>
      </c>
      <c r="AB19" s="75">
        <f>'2019_C4_Zeitreihe'!T19</f>
        <v>28.992028799177167</v>
      </c>
      <c r="AC19" s="75">
        <f>'2019_C4_Zeitreihe'!U19</f>
        <v>29.622010799691438</v>
      </c>
      <c r="AD19" s="75">
        <f>'2019_C4_Zeitreihe'!V19</f>
        <v>23.592183080483416</v>
      </c>
      <c r="AE19" s="75">
        <f>'2019_C4_Zeitreihe'!W19</f>
        <v>17.793777320647983</v>
      </c>
      <c r="AF19" s="112">
        <f>'2019_C4_Zeitreihe'!X19</f>
        <v>7135</v>
      </c>
      <c r="AG19" s="112">
        <f>'2019_C4_Zeitreihe'!Y19</f>
        <v>4274</v>
      </c>
      <c r="AH19" s="112">
        <f>'2019_C4_Zeitreihe'!Z19</f>
        <v>2861</v>
      </c>
      <c r="AI19" s="75">
        <f>'2019_C4_Zeitreihe'!AA19</f>
        <v>27.498248072880166</v>
      </c>
      <c r="AJ19" s="75">
        <f>'2019_C4_Zeitreihe'!AB19</f>
        <v>29.964961457603362</v>
      </c>
      <c r="AK19" s="75">
        <f>'2019_C4_Zeitreihe'!AC19</f>
        <v>23.37771548703574</v>
      </c>
      <c r="AL19" s="75">
        <f>'2019_C4_Zeitreihe'!AD19</f>
        <v>19.159074982480728</v>
      </c>
      <c r="AM19" s="191">
        <f>'2019_C4_Zeitreihe'!AE19</f>
        <v>6297</v>
      </c>
      <c r="AN19" s="191">
        <f>'2019_C4_Zeitreihe'!AF19</f>
        <v>3748</v>
      </c>
      <c r="AO19" s="191">
        <f>'2019_C4_Zeitreihe'!AG19</f>
        <v>2549</v>
      </c>
      <c r="AP19" s="79">
        <f>'2019_C4_Zeitreihe'!AH19</f>
        <v>27.584564078132445</v>
      </c>
      <c r="AQ19" s="79">
        <f>'2019_C4_Zeitreihe'!AI19</f>
        <v>18.040336668254724</v>
      </c>
      <c r="AR19" s="79">
        <f>'2019_C4_Zeitreihe'!AJ19</f>
        <v>14.419564872161347</v>
      </c>
      <c r="AS19" s="79">
        <f>'2019_C4_Zeitreihe'!AK19</f>
        <v>12.10100047641734</v>
      </c>
      <c r="AT19" s="191">
        <f>'2019_C4_Zeitreihe'!AL19</f>
        <v>5660</v>
      </c>
      <c r="AU19" s="191">
        <f>'2019_C4_Zeitreihe'!AM19</f>
        <v>3317</v>
      </c>
      <c r="AV19" s="191">
        <f>'2019_C4_Zeitreihe'!AN19</f>
        <v>2343</v>
      </c>
      <c r="AW19" s="79">
        <f>'2019_C4_Zeitreihe'!AO19</f>
        <v>28.533568904593636</v>
      </c>
      <c r="AX19" s="79">
        <f>'2019_C4_Zeitreihe'!AP19</f>
        <v>29.522968197879855</v>
      </c>
      <c r="AY19" s="79">
        <f>'2019_C4_Zeitreihe'!AQ19</f>
        <v>22.402826855123674</v>
      </c>
      <c r="AZ19" s="79">
        <f>'2019_C4_Zeitreihe'!AR19</f>
        <v>19.540636042402827</v>
      </c>
      <c r="BA19" s="191">
        <f>'2019_C4_Zeitreihe'!AS19</f>
        <v>5218</v>
      </c>
      <c r="BB19" s="191">
        <f>'2019_C4_Zeitreihe'!AT19</f>
        <v>3075</v>
      </c>
      <c r="BC19" s="191">
        <f>'2019_C4_Zeitreihe'!AU19</f>
        <v>2143</v>
      </c>
      <c r="BD19" s="79">
        <f>'2019_C4_Zeitreihe'!AV19</f>
        <v>27.098505174396319</v>
      </c>
      <c r="BE19" s="79">
        <f>'2019_C4_Zeitreihe'!AW19</f>
        <v>29.781525488692985</v>
      </c>
      <c r="BF19" s="79">
        <f>'2019_C4_Zeitreihe'!AX19</f>
        <v>22.575699501724799</v>
      </c>
      <c r="BG19" s="79">
        <f>'2019_C4_Zeitreihe'!AY19</f>
        <v>20.544269835185894</v>
      </c>
      <c r="BH19" s="191">
        <f>'2019_C4_Zeitreihe'!AZ19</f>
        <v>4656</v>
      </c>
      <c r="BI19" s="191">
        <f>'2019_C4_Zeitreihe'!BA19</f>
        <v>2780</v>
      </c>
      <c r="BJ19" s="191">
        <f>'2019_C4_Zeitreihe'!BB19</f>
        <v>1876</v>
      </c>
      <c r="BK19" s="79">
        <f>'2019_C4_Zeitreihe'!BC19</f>
        <v>20.36082474226804</v>
      </c>
      <c r="BL19" s="79">
        <f>'2019_C4_Zeitreihe'!BD19</f>
        <v>26.396048109965637</v>
      </c>
      <c r="BM19" s="79">
        <f>'2019_C4_Zeitreihe'!BE19</f>
        <v>10.352233676975946</v>
      </c>
      <c r="BN19" s="79">
        <f>'2019_C4_Zeitreihe'!BF19</f>
        <v>36.404639175257728</v>
      </c>
      <c r="BO19" s="191">
        <f>'2019_C4_Zeitreihe'!BG19</f>
        <v>4434</v>
      </c>
      <c r="BP19" s="191">
        <f>'2019_C4_Zeitreihe'!BH19</f>
        <v>2611</v>
      </c>
      <c r="BQ19" s="191">
        <f>'2019_C4_Zeitreihe'!BI19</f>
        <v>1823</v>
      </c>
      <c r="BR19" s="79">
        <f>'2019_C4_Zeitreihe'!BJ19</f>
        <v>20.365358592692829</v>
      </c>
      <c r="BS19" s="79">
        <f>'2019_C4_Zeitreihe'!BK19</f>
        <v>27.06359945872801</v>
      </c>
      <c r="BT19" s="79">
        <f>'2019_C4_Zeitreihe'!BL19</f>
        <v>25.146594497068108</v>
      </c>
      <c r="BU19" s="79">
        <f>'2019_C4_Zeitreihe'!BM19</f>
        <v>27.424447451511057</v>
      </c>
      <c r="BV19" s="62"/>
    </row>
    <row r="20" spans="2:74" s="54" customFormat="1" ht="16.5" customHeight="1">
      <c r="B20" s="108">
        <v>1</v>
      </c>
      <c r="C20" s="84" t="s">
        <v>154</v>
      </c>
      <c r="D20" s="74">
        <f>VLOOKUP(B20,'2020_Rohdaten_BA'!$A$10:$E$59,3,FALSE)</f>
        <v>53466</v>
      </c>
      <c r="E20" s="74">
        <f>VLOOKUP(B20,'2020_Rohdaten_BA'!$A$10:$E$59,4,FALSE)</f>
        <v>35528</v>
      </c>
      <c r="F20" s="74">
        <f>VLOOKUP(B20,'2020_Rohdaten_BA'!$A$10:$E$59,5,FALSE)</f>
        <v>17938</v>
      </c>
      <c r="G20" s="74">
        <f>VLOOKUP(B20,'2020_Rohdaten_BA'!$A$10:$M$59,12,FALSE)</f>
        <v>20.459731418097483</v>
      </c>
      <c r="H20" s="74">
        <f>VLOOKUP(B20,'2020_Rohdaten_BA'!$A$10:$M$59,11,FALSE)</f>
        <v>32.289679422436691</v>
      </c>
      <c r="I20" s="74">
        <f>VLOOKUP(B20,'2020_Rohdaten_BA'!$A$10:$M$59,10,FALSE)</f>
        <v>22.524595069763961</v>
      </c>
      <c r="J20" s="74">
        <f>VLOOKUP(B20,'2020_Rohdaten_BA'!$A$10:$M$59,13,FALSE)</f>
        <v>24.725994089701867</v>
      </c>
      <c r="K20" s="193">
        <f>'2019_C4_Zeitreihe'!C20</f>
        <v>51596</v>
      </c>
      <c r="L20" s="193">
        <f>'2019_C4_Zeitreihe'!D20</f>
        <v>34403</v>
      </c>
      <c r="M20" s="193">
        <f>'2019_C4_Zeitreihe'!E20</f>
        <v>17193</v>
      </c>
      <c r="N20" s="115">
        <f>'2019_C4_Zeitreihe'!F20</f>
        <v>19.635243042096288</v>
      </c>
      <c r="O20" s="115">
        <f>'2019_C4_Zeitreihe'!G20</f>
        <v>32.159469726335374</v>
      </c>
      <c r="P20" s="115">
        <f>'2019_C4_Zeitreihe'!H20</f>
        <v>22.470734165439183</v>
      </c>
      <c r="Q20" s="115">
        <f>'2019_C4_Zeitreihe'!I20</f>
        <v>25.734553066129159</v>
      </c>
      <c r="R20" s="113">
        <f>'2019_C4_Zeitreihe'!J20</f>
        <v>47066</v>
      </c>
      <c r="S20" s="113">
        <f>'2019_C4_Zeitreihe'!K20</f>
        <v>31429</v>
      </c>
      <c r="T20" s="113">
        <f>'2019_C4_Zeitreihe'!L20</f>
        <v>15637</v>
      </c>
      <c r="U20" s="85">
        <f>'2019_C4_Zeitreihe'!M20</f>
        <v>19.164577401946204</v>
      </c>
      <c r="V20" s="85">
        <f>'2019_C4_Zeitreihe'!N20</f>
        <v>33.208685675434495</v>
      </c>
      <c r="W20" s="85">
        <f>'2019_C4_Zeitreihe'!O20</f>
        <v>21.828921089533846</v>
      </c>
      <c r="X20" s="85">
        <f>'2019_C4_Zeitreihe'!P20</f>
        <v>25.797815833085451</v>
      </c>
      <c r="Y20" s="113">
        <f>'2019_C4_Zeitreihe'!Q20</f>
        <v>41924</v>
      </c>
      <c r="Z20" s="113">
        <f>'2019_C4_Zeitreihe'!R20</f>
        <v>27781</v>
      </c>
      <c r="AA20" s="113">
        <f>'2019_C4_Zeitreihe'!S20</f>
        <v>14143</v>
      </c>
      <c r="AB20" s="85">
        <f>'2019_C4_Zeitreihe'!T20</f>
        <v>19.103616067169163</v>
      </c>
      <c r="AC20" s="85">
        <f>'2019_C4_Zeitreihe'!U20</f>
        <v>33.863658047896195</v>
      </c>
      <c r="AD20" s="85">
        <f>'2019_C4_Zeitreihe'!V20</f>
        <v>20.804312565594884</v>
      </c>
      <c r="AE20" s="85">
        <f>'2019_C4_Zeitreihe'!W20</f>
        <v>26.228413319339754</v>
      </c>
      <c r="AF20" s="113">
        <f>'2019_C4_Zeitreihe'!X20</f>
        <v>37992</v>
      </c>
      <c r="AG20" s="113">
        <f>'2019_C4_Zeitreihe'!Y20</f>
        <v>25064</v>
      </c>
      <c r="AH20" s="113">
        <f>'2019_C4_Zeitreihe'!Z20</f>
        <v>12928</v>
      </c>
      <c r="AI20" s="85">
        <f>'2019_C4_Zeitreihe'!AA20</f>
        <v>19.075068435460096</v>
      </c>
      <c r="AJ20" s="85">
        <f>'2019_C4_Zeitreihe'!AB20</f>
        <v>34.415140029479893</v>
      </c>
      <c r="AK20" s="85">
        <f>'2019_C4_Zeitreihe'!AC20</f>
        <v>19.912086755106337</v>
      </c>
      <c r="AL20" s="85">
        <f>'2019_C4_Zeitreihe'!AD20</f>
        <v>26.597704779953673</v>
      </c>
      <c r="AM20" s="86">
        <f>'2019_C4_Zeitreihe'!AE20</f>
        <v>34645</v>
      </c>
      <c r="AN20" s="86">
        <f>'2019_C4_Zeitreihe'!AF20</f>
        <v>22784</v>
      </c>
      <c r="AO20" s="86">
        <f>'2019_C4_Zeitreihe'!AG20</f>
        <v>11861</v>
      </c>
      <c r="AP20" s="87">
        <f>'2019_C4_Zeitreihe'!AH20</f>
        <v>19.255303795641499</v>
      </c>
      <c r="AQ20" s="87">
        <f>'2019_C4_Zeitreihe'!AI20</f>
        <v>34.15500072160485</v>
      </c>
      <c r="AR20" s="87">
        <f>'2019_C4_Zeitreihe'!AJ20</f>
        <v>19.445807475826239</v>
      </c>
      <c r="AS20" s="87">
        <f>'2019_C4_Zeitreihe'!AK20</f>
        <v>27.143888006927408</v>
      </c>
      <c r="AT20" s="86">
        <f>'2019_C4_Zeitreihe'!AL20</f>
        <v>31675</v>
      </c>
      <c r="AU20" s="86">
        <f>'2019_C4_Zeitreihe'!AM20</f>
        <v>20955</v>
      </c>
      <c r="AV20" s="86">
        <f>'2019_C4_Zeitreihe'!AN20</f>
        <v>10720</v>
      </c>
      <c r="AW20" s="87">
        <f>'2019_C4_Zeitreihe'!AO20</f>
        <v>19.005524861878452</v>
      </c>
      <c r="AX20" s="87">
        <f>'2019_C4_Zeitreihe'!AP20</f>
        <v>33.764798737174431</v>
      </c>
      <c r="AY20" s="87">
        <f>'2019_C4_Zeitreihe'!AQ20</f>
        <v>18.771902131018152</v>
      </c>
      <c r="AZ20" s="87">
        <f>'2019_C4_Zeitreihe'!AR20</f>
        <v>28.457774269928965</v>
      </c>
      <c r="BA20" s="86">
        <f>'2019_C4_Zeitreihe'!AS20</f>
        <v>29844</v>
      </c>
      <c r="BB20" s="86">
        <f>'2019_C4_Zeitreihe'!AT20</f>
        <v>19733</v>
      </c>
      <c r="BC20" s="86">
        <f>'2019_C4_Zeitreihe'!AU20</f>
        <v>10111</v>
      </c>
      <c r="BD20" s="87">
        <f>'2019_C4_Zeitreihe'!AV20</f>
        <v>16.743734083902961</v>
      </c>
      <c r="BE20" s="87">
        <f>'2019_C4_Zeitreihe'!AW20</f>
        <v>30.907385069025601</v>
      </c>
      <c r="BF20" s="87">
        <f>'2019_C4_Zeitreihe'!AX20</f>
        <v>16.968234821069561</v>
      </c>
      <c r="BG20" s="87">
        <f>'2019_C4_Zeitreihe'!AY20</f>
        <v>35.380646026001884</v>
      </c>
      <c r="BH20" s="86">
        <f>'2019_C4_Zeitreihe'!AZ20</f>
        <v>25113</v>
      </c>
      <c r="BI20" s="86">
        <f>'2019_C4_Zeitreihe'!BA20</f>
        <v>16687</v>
      </c>
      <c r="BJ20" s="86">
        <f>'2019_C4_Zeitreihe'!BB20</f>
        <v>8426</v>
      </c>
      <c r="BK20" s="88">
        <f>'2019_C4_Zeitreihe'!BC20</f>
        <v>13.725958666825946</v>
      </c>
      <c r="BL20" s="88">
        <f>'2019_C4_Zeitreihe'!BD20</f>
        <v>33.030701230438417</v>
      </c>
      <c r="BM20" s="88">
        <f>'2019_C4_Zeitreihe'!BE20</f>
        <v>21.932863457173575</v>
      </c>
      <c r="BN20" s="88">
        <f>'2019_C4_Zeitreihe'!BF20</f>
        <v>31.310476645562069</v>
      </c>
      <c r="BO20" s="86">
        <f>'2019_C4_Zeitreihe'!BG20</f>
        <v>23119</v>
      </c>
      <c r="BP20" s="86">
        <f>'2019_C4_Zeitreihe'!BH20</f>
        <v>15462</v>
      </c>
      <c r="BQ20" s="86">
        <f>'2019_C4_Zeitreihe'!BI20</f>
        <v>7657</v>
      </c>
      <c r="BR20" s="88">
        <f>'2019_C4_Zeitreihe'!BJ20</f>
        <v>13.491067952766123</v>
      </c>
      <c r="BS20" s="88">
        <f>'2019_C4_Zeitreihe'!BK20</f>
        <v>34.789567022795104</v>
      </c>
      <c r="BT20" s="88">
        <f>'2019_C4_Zeitreihe'!BL20</f>
        <v>22.924866992516975</v>
      </c>
      <c r="BU20" s="89">
        <f>'2019_C4_Zeitreihe'!BM20</f>
        <v>28.794498031921805</v>
      </c>
      <c r="BV20" s="106"/>
    </row>
    <row r="21" spans="2:74" ht="8.25" customHeight="1">
      <c r="B21" s="107">
        <v>241</v>
      </c>
      <c r="C21" s="74" t="s">
        <v>137</v>
      </c>
      <c r="D21" s="74">
        <f>VLOOKUP(B21,'2020_Rohdaten_BA'!$A$10:$E$59,3,FALSE)</f>
        <v>62632</v>
      </c>
      <c r="E21" s="74">
        <f>VLOOKUP(B21,'2020_Rohdaten_BA'!$A$10:$E$59,4,FALSE)</f>
        <v>38889</v>
      </c>
      <c r="F21" s="74">
        <f>VLOOKUP(B21,'2020_Rohdaten_BA'!$A$10:$E$59,5,FALSE)</f>
        <v>23743</v>
      </c>
      <c r="G21" s="74">
        <f>VLOOKUP(B21,'2020_Rohdaten_BA'!$A$10:$M$59,12,FALSE)</f>
        <v>13.745369779026696</v>
      </c>
      <c r="H21" s="74">
        <f>VLOOKUP(B21,'2020_Rohdaten_BA'!$A$10:$M$59,11,FALSE)</f>
        <v>32.943223911099757</v>
      </c>
      <c r="I21" s="74">
        <f>VLOOKUP(B21,'2020_Rohdaten_BA'!$A$10:$M$59,10,FALSE)</f>
        <v>27.765359560607997</v>
      </c>
      <c r="J21" s="74">
        <f>VLOOKUP(B21,'2020_Rohdaten_BA'!$A$10:$M$59,13,FALSE)</f>
        <v>25.54604674926555</v>
      </c>
      <c r="K21" s="193">
        <f>'2019_C4_Zeitreihe'!C21</f>
        <v>60737</v>
      </c>
      <c r="L21" s="193">
        <f>'2019_C4_Zeitreihe'!D21</f>
        <v>38040</v>
      </c>
      <c r="M21" s="193">
        <f>'2019_C4_Zeitreihe'!E21</f>
        <v>22697</v>
      </c>
      <c r="N21" s="115">
        <f>'2019_C4_Zeitreihe'!F21</f>
        <v>13.260450796055123</v>
      </c>
      <c r="O21" s="115">
        <f>'2019_C4_Zeitreihe'!G21</f>
        <v>32.5057213889392</v>
      </c>
      <c r="P21" s="115">
        <f>'2019_C4_Zeitreihe'!H21</f>
        <v>27.582857236939592</v>
      </c>
      <c r="Q21" s="115">
        <f>'2019_C4_Zeitreihe'!I21</f>
        <v>26.650970578066087</v>
      </c>
      <c r="R21" s="112">
        <f>'2019_C4_Zeitreihe'!J21</f>
        <v>56204</v>
      </c>
      <c r="S21" s="112">
        <f>'2019_C4_Zeitreihe'!K21</f>
        <v>35024</v>
      </c>
      <c r="T21" s="112">
        <f>'2019_C4_Zeitreihe'!L21</f>
        <v>21180</v>
      </c>
      <c r="U21" s="75">
        <f>'2019_C4_Zeitreihe'!M21</f>
        <v>12.773112234004696</v>
      </c>
      <c r="V21" s="75">
        <f>'2019_C4_Zeitreihe'!N21</f>
        <v>32.485232367803</v>
      </c>
      <c r="W21" s="75">
        <f>'2019_C4_Zeitreihe'!O21</f>
        <v>26.638673404028186</v>
      </c>
      <c r="X21" s="75">
        <f>'2019_C4_Zeitreihe'!P21</f>
        <v>28.102981994164118</v>
      </c>
      <c r="Y21" s="112">
        <f>'2019_C4_Zeitreihe'!Q21</f>
        <v>51403</v>
      </c>
      <c r="Z21" s="112">
        <f>'2019_C4_Zeitreihe'!R21</f>
        <v>31628</v>
      </c>
      <c r="AA21" s="112">
        <f>'2019_C4_Zeitreihe'!S21</f>
        <v>19775</v>
      </c>
      <c r="AB21" s="75">
        <f>'2019_C4_Zeitreihe'!T21</f>
        <v>12.528451646791044</v>
      </c>
      <c r="AC21" s="75">
        <f>'2019_C4_Zeitreihe'!U21</f>
        <v>33.013637336342242</v>
      </c>
      <c r="AD21" s="75">
        <f>'2019_C4_Zeitreihe'!V21</f>
        <v>25.51991128922436</v>
      </c>
      <c r="AE21" s="75">
        <f>'2019_C4_Zeitreihe'!W21</f>
        <v>28.937999727642357</v>
      </c>
      <c r="AF21" s="112">
        <f>'2019_C4_Zeitreihe'!X21</f>
        <v>47129</v>
      </c>
      <c r="AG21" s="112">
        <f>'2019_C4_Zeitreihe'!Y21</f>
        <v>28379</v>
      </c>
      <c r="AH21" s="112">
        <f>'2019_C4_Zeitreihe'!Z21</f>
        <v>18750</v>
      </c>
      <c r="AI21" s="75">
        <f>'2019_C4_Zeitreihe'!AA21</f>
        <v>12.376668293407455</v>
      </c>
      <c r="AJ21" s="75">
        <f>'2019_C4_Zeitreihe'!AB21</f>
        <v>33.274629209191794</v>
      </c>
      <c r="AK21" s="75">
        <f>'2019_C4_Zeitreihe'!AC21</f>
        <v>25.226505972967811</v>
      </c>
      <c r="AL21" s="75">
        <f>'2019_C4_Zeitreihe'!AD21</f>
        <v>29.12219652443294</v>
      </c>
      <c r="AM21" s="57">
        <f>'2019_C4_Zeitreihe'!AE21</f>
        <v>42697</v>
      </c>
      <c r="AN21" s="57">
        <f>'2019_C4_Zeitreihe'!AF21</f>
        <v>25611</v>
      </c>
      <c r="AO21" s="57">
        <f>'2019_C4_Zeitreihe'!AG21</f>
        <v>17086</v>
      </c>
      <c r="AP21" s="29">
        <f>'2019_C4_Zeitreihe'!AH21</f>
        <v>11.768976743096704</v>
      </c>
      <c r="AQ21" s="29">
        <f>'2019_C4_Zeitreihe'!AI21</f>
        <v>33.599550319694593</v>
      </c>
      <c r="AR21" s="29">
        <f>'2019_C4_Zeitreihe'!AJ21</f>
        <v>24.683233014029089</v>
      </c>
      <c r="AS21" s="77">
        <f>'2019_C4_Zeitreihe'!AK21</f>
        <v>29.948239923179617</v>
      </c>
      <c r="AT21" s="57">
        <f>'2019_C4_Zeitreihe'!AL21</f>
        <v>38784</v>
      </c>
      <c r="AU21" s="57">
        <f>'2019_C4_Zeitreihe'!AM21</f>
        <v>23178</v>
      </c>
      <c r="AV21" s="57">
        <f>'2019_C4_Zeitreihe'!AN21</f>
        <v>15606</v>
      </c>
      <c r="AW21" s="29">
        <f>'2019_C4_Zeitreihe'!AO21</f>
        <v>11.636241749174918</v>
      </c>
      <c r="AX21" s="29">
        <f>'2019_C4_Zeitreihe'!AP21</f>
        <v>33.369430693069305</v>
      </c>
      <c r="AY21" s="29">
        <f>'2019_C4_Zeitreihe'!AQ21</f>
        <v>24.100144389438942</v>
      </c>
      <c r="AZ21" s="29">
        <f>'2019_C4_Zeitreihe'!AR21</f>
        <v>30.89418316831684</v>
      </c>
      <c r="BA21" s="57">
        <f>'2019_C4_Zeitreihe'!AS21</f>
        <v>36262</v>
      </c>
      <c r="BB21" s="57">
        <f>'2019_C4_Zeitreihe'!AT21</f>
        <v>21449</v>
      </c>
      <c r="BC21" s="57">
        <f>'2019_C4_Zeitreihe'!AU21</f>
        <v>14813</v>
      </c>
      <c r="BD21" s="29">
        <f>'2019_C4_Zeitreihe'!AV21</f>
        <v>9.6961006011802997</v>
      </c>
      <c r="BE21" s="29">
        <f>'2019_C4_Zeitreihe'!AW21</f>
        <v>29.253764271137829</v>
      </c>
      <c r="BF21" s="29">
        <f>'2019_C4_Zeitreihe'!AX21</f>
        <v>21.071645248469473</v>
      </c>
      <c r="BG21" s="29">
        <f>'2019_C4_Zeitreihe'!AY21</f>
        <v>39.978489879212397</v>
      </c>
      <c r="BH21" s="57">
        <f>'2019_C4_Zeitreihe'!AZ21</f>
        <v>31033</v>
      </c>
      <c r="BI21" s="57">
        <f>'2019_C4_Zeitreihe'!BA21</f>
        <v>18295</v>
      </c>
      <c r="BJ21" s="57">
        <f>'2019_C4_Zeitreihe'!BB21</f>
        <v>12738</v>
      </c>
      <c r="BK21" s="83">
        <f>'2019_C4_Zeitreihe'!BC21</f>
        <v>8.139722231173268</v>
      </c>
      <c r="BL21" s="83">
        <f>'2019_C4_Zeitreihe'!BD21</f>
        <v>28.949827602874361</v>
      </c>
      <c r="BM21" s="83">
        <f>'2019_C4_Zeitreihe'!BE21</f>
        <v>22.356845938194823</v>
      </c>
      <c r="BN21" s="83">
        <f>'2019_C4_Zeitreihe'!BF21</f>
        <v>40.553604227757546</v>
      </c>
      <c r="BO21" s="57">
        <f>'2019_C4_Zeitreihe'!BG21</f>
        <v>29580</v>
      </c>
      <c r="BP21" s="57">
        <f>'2019_C4_Zeitreihe'!BH21</f>
        <v>17491</v>
      </c>
      <c r="BQ21" s="57">
        <f>'2019_C4_Zeitreihe'!BI21</f>
        <v>12089</v>
      </c>
      <c r="BR21" s="83">
        <f>'2019_C4_Zeitreihe'!BJ21</f>
        <v>7.873563218390804</v>
      </c>
      <c r="BS21" s="83">
        <f>'2019_C4_Zeitreihe'!BK21</f>
        <v>29.486139283299529</v>
      </c>
      <c r="BT21" s="83">
        <f>'2019_C4_Zeitreihe'!BL21</f>
        <v>22.809330628803245</v>
      </c>
      <c r="BU21" s="78">
        <f>'2019_C4_Zeitreihe'!BM21</f>
        <v>39.830966869506412</v>
      </c>
      <c r="BV21" s="62"/>
    </row>
    <row r="22" spans="2:74" ht="8.25" customHeight="1">
      <c r="B22" s="107">
        <v>241001</v>
      </c>
      <c r="C22" s="74" t="s">
        <v>218</v>
      </c>
      <c r="D22" s="74">
        <f>'2020_5-1-3_LSN_Ergänzung'!C48</f>
        <v>38815</v>
      </c>
      <c r="E22" s="74">
        <f>'2020_5-1-3_LSN_Ergänzung'!D48</f>
        <v>22979</v>
      </c>
      <c r="F22" s="74">
        <f>'2020_5-1-3_LSN_Ergänzung'!E48</f>
        <v>15836</v>
      </c>
      <c r="G22" s="74">
        <f>'2020_5-1-3_LSN_Ergänzung'!F48</f>
        <v>17.227875821203142</v>
      </c>
      <c r="H22" s="74">
        <f>'2020_5-1-3_LSN_Ergänzung'!G48</f>
        <v>32.36120056679119</v>
      </c>
      <c r="I22" s="74">
        <f>'2020_5-1-3_LSN_Ergänzung'!H48</f>
        <v>27.053973979131779</v>
      </c>
      <c r="J22" s="74">
        <f>'2020_5-1-3_LSN_Ergänzung'!I48</f>
        <v>23.356949632873889</v>
      </c>
      <c r="K22" s="193">
        <f>'2019_C4_Zeitreihe'!C22</f>
        <v>38360</v>
      </c>
      <c r="L22" s="193">
        <f>'2019_C4_Zeitreihe'!D22</f>
        <v>23217</v>
      </c>
      <c r="M22" s="193">
        <f>'2019_C4_Zeitreihe'!E22</f>
        <v>15143</v>
      </c>
      <c r="N22" s="115">
        <f>'2019_C4_Zeitreihe'!F22</f>
        <v>16.441605839416059</v>
      </c>
      <c r="O22" s="115">
        <f>'2019_C4_Zeitreihe'!G22</f>
        <v>31.850886339937436</v>
      </c>
      <c r="P22" s="115">
        <f>'2019_C4_Zeitreihe'!H22</f>
        <v>26.736183524504693</v>
      </c>
      <c r="Q22" s="115">
        <f>'2019_C4_Zeitreihe'!I22</f>
        <v>24.971324296141812</v>
      </c>
      <c r="R22" s="112">
        <f>'2019_C4_Zeitreihe'!J22</f>
        <v>35942</v>
      </c>
      <c r="S22" s="112">
        <f>'2019_C4_Zeitreihe'!K22</f>
        <v>21620</v>
      </c>
      <c r="T22" s="112">
        <f>'2019_C4_Zeitreihe'!L22</f>
        <v>14322</v>
      </c>
      <c r="U22" s="75">
        <f>'2019_C4_Zeitreihe'!M22</f>
        <v>15.644649713427189</v>
      </c>
      <c r="V22" s="75">
        <f>'2019_C4_Zeitreihe'!N22</f>
        <v>32.073896833787771</v>
      </c>
      <c r="W22" s="75">
        <f>'2019_C4_Zeitreihe'!O22</f>
        <v>25.699738467531024</v>
      </c>
      <c r="X22" s="75">
        <f>'2019_C4_Zeitreihe'!P22</f>
        <v>26.581714985254017</v>
      </c>
      <c r="Y22" s="112">
        <f>'2019_C4_Zeitreihe'!Q22</f>
        <v>33601</v>
      </c>
      <c r="Z22" s="112">
        <f>'2019_C4_Zeitreihe'!R22</f>
        <v>20038</v>
      </c>
      <c r="AA22" s="112">
        <f>'2019_C4_Zeitreihe'!S22</f>
        <v>13563</v>
      </c>
      <c r="AB22" s="75">
        <f>'2019_C4_Zeitreihe'!T22</f>
        <v>15.213832921639236</v>
      </c>
      <c r="AC22" s="75">
        <f>'2019_C4_Zeitreihe'!U22</f>
        <v>32.046665277819116</v>
      </c>
      <c r="AD22" s="75">
        <f>'2019_C4_Zeitreihe'!V22</f>
        <v>24.886164102258864</v>
      </c>
      <c r="AE22" s="75">
        <f>'2019_C4_Zeitreihe'!W22</f>
        <v>27.853337698282786</v>
      </c>
      <c r="AF22" s="112">
        <f>'2019_C4_Zeitreihe'!X22</f>
        <v>31290</v>
      </c>
      <c r="AG22" s="112">
        <f>'2019_C4_Zeitreihe'!Y22</f>
        <v>18178</v>
      </c>
      <c r="AH22" s="112">
        <f>'2019_C4_Zeitreihe'!Z22</f>
        <v>13112</v>
      </c>
      <c r="AI22" s="75">
        <f>'2019_C4_Zeitreihe'!AA22</f>
        <v>14.988814317673377</v>
      </c>
      <c r="AJ22" s="75">
        <f>'2019_C4_Zeitreihe'!AB22</f>
        <v>32.336209651645895</v>
      </c>
      <c r="AK22" s="75">
        <f>'2019_C4_Zeitreihe'!AC22</f>
        <v>24.749121124960052</v>
      </c>
      <c r="AL22" s="75">
        <f>'2019_C4_Zeitreihe'!AD22</f>
        <v>27.925854905720676</v>
      </c>
      <c r="AM22" s="57">
        <f>'2019_C4_Zeitreihe'!AE22</f>
        <v>28583</v>
      </c>
      <c r="AN22" s="57">
        <f>'2019_C4_Zeitreihe'!AF22</f>
        <v>16567</v>
      </c>
      <c r="AO22" s="57">
        <f>'2019_C4_Zeitreihe'!AG22</f>
        <v>12016</v>
      </c>
      <c r="AP22" s="29">
        <f>'2019_C4_Zeitreihe'!AH22</f>
        <v>14.298709022845749</v>
      </c>
      <c r="AQ22" s="29">
        <f>'2019_C4_Zeitreihe'!AI22</f>
        <v>32.613791414477141</v>
      </c>
      <c r="AR22" s="29">
        <f>'2019_C4_Zeitreihe'!AJ22</f>
        <v>24.248679284889622</v>
      </c>
      <c r="AS22" s="77">
        <f>'2019_C4_Zeitreihe'!AK22</f>
        <v>28.838820277787491</v>
      </c>
      <c r="AT22" s="57">
        <f>'2019_C4_Zeitreihe'!AL22</f>
        <v>25406</v>
      </c>
      <c r="AU22" s="57">
        <f>'2019_C4_Zeitreihe'!AM22</f>
        <v>14610</v>
      </c>
      <c r="AV22" s="57">
        <f>'2019_C4_Zeitreihe'!AN22</f>
        <v>10796</v>
      </c>
      <c r="AW22" s="29">
        <f>'2019_C4_Zeitreihe'!AO22</f>
        <v>14.532000314886249</v>
      </c>
      <c r="AX22" s="29">
        <f>'2019_C4_Zeitreihe'!AP22</f>
        <v>33.043375580571521</v>
      </c>
      <c r="AY22" s="29">
        <f>'2019_C4_Zeitreihe'!AQ22</f>
        <v>23.60072423836889</v>
      </c>
      <c r="AZ22" s="29">
        <f>'2019_C4_Zeitreihe'!AR22</f>
        <v>28.823899866173349</v>
      </c>
      <c r="BA22" s="57">
        <f>'2019_C4_Zeitreihe'!AS22</f>
        <v>23903</v>
      </c>
      <c r="BB22" s="57">
        <f>'2019_C4_Zeitreihe'!AT22</f>
        <v>13643</v>
      </c>
      <c r="BC22" s="57">
        <f>'2019_C4_Zeitreihe'!AU22</f>
        <v>10260</v>
      </c>
      <c r="BD22" s="29">
        <f>'2019_C4_Zeitreihe'!AV22</f>
        <v>12.282977032171694</v>
      </c>
      <c r="BE22" s="29">
        <f>'2019_C4_Zeitreihe'!AW22</f>
        <v>29.017278165920597</v>
      </c>
      <c r="BF22" s="29">
        <f>'2019_C4_Zeitreihe'!AX22</f>
        <v>21.147973057775175</v>
      </c>
      <c r="BG22" s="29">
        <f>'2019_C4_Zeitreihe'!AY22</f>
        <v>37.55177174413253</v>
      </c>
      <c r="BH22" s="57">
        <f>'2019_C4_Zeitreihe'!AZ22</f>
        <v>20895</v>
      </c>
      <c r="BI22" s="57">
        <f>'2019_C4_Zeitreihe'!BA22</f>
        <v>11991</v>
      </c>
      <c r="BJ22" s="57">
        <f>'2019_C4_Zeitreihe'!BB22</f>
        <v>8904</v>
      </c>
      <c r="BK22" s="83">
        <f>'2019_C4_Zeitreihe'!BC22</f>
        <v>10.284757118927972</v>
      </c>
      <c r="BL22" s="83">
        <f>'2019_C4_Zeitreihe'!BD22</f>
        <v>30.437903804737974</v>
      </c>
      <c r="BM22" s="83">
        <f>'2019_C4_Zeitreihe'!BE22</f>
        <v>23.129935391241922</v>
      </c>
      <c r="BN22" s="83">
        <f>'2019_C4_Zeitreihe'!BF22</f>
        <v>36.147403685092129</v>
      </c>
      <c r="BO22" s="57">
        <f>'2019_C4_Zeitreihe'!BG22</f>
        <v>20029</v>
      </c>
      <c r="BP22" s="57">
        <f>'2019_C4_Zeitreihe'!BH22</f>
        <v>11533</v>
      </c>
      <c r="BQ22" s="57">
        <f>'2019_C4_Zeitreihe'!BI22</f>
        <v>8496</v>
      </c>
      <c r="BR22" s="83">
        <f>'2019_C4_Zeitreihe'!BJ22</f>
        <v>10.000499276049728</v>
      </c>
      <c r="BS22" s="83">
        <f>'2019_C4_Zeitreihe'!BK22</f>
        <v>31.149832742523344</v>
      </c>
      <c r="BT22" s="83">
        <f>'2019_C4_Zeitreihe'!BL22</f>
        <v>23.106495581406961</v>
      </c>
      <c r="BU22" s="78">
        <f>'2019_C4_Zeitreihe'!BM22</f>
        <v>35.743172400019965</v>
      </c>
      <c r="BV22" s="62"/>
    </row>
    <row r="23" spans="2:74" ht="8.25" customHeight="1">
      <c r="B23" s="107">
        <v>241999</v>
      </c>
      <c r="C23" s="74" t="s">
        <v>219</v>
      </c>
      <c r="D23" s="74">
        <f>'2020_5-1-3_LSN_Ergänzung'!C49</f>
        <v>23817</v>
      </c>
      <c r="E23" s="74">
        <f>'2020_5-1-3_LSN_Ergänzung'!D49</f>
        <v>15910</v>
      </c>
      <c r="F23" s="74">
        <f>'2020_5-1-3_LSN_Ergänzung'!E49</f>
        <v>7907</v>
      </c>
      <c r="G23" s="74">
        <f>'2020_5-1-3_LSN_Ergänzung'!F49</f>
        <v>8.0698660620565139</v>
      </c>
      <c r="H23" s="74">
        <f>'2020_5-1-3_LSN_Ergänzung'!G49</f>
        <v>33.891757987991774</v>
      </c>
      <c r="I23" s="74">
        <f>'2020_5-1-3_LSN_Ergänzung'!H49</f>
        <v>28.924717638661463</v>
      </c>
      <c r="J23" s="74">
        <f>'2020_5-1-3_LSN_Ergänzung'!I49</f>
        <v>29.113658311290251</v>
      </c>
      <c r="K23" s="193">
        <f>'2019_C4_Zeitreihe'!C23</f>
        <v>22377</v>
      </c>
      <c r="L23" s="193">
        <f>'2019_C4_Zeitreihe'!D23</f>
        <v>14823</v>
      </c>
      <c r="M23" s="193">
        <f>'2019_C4_Zeitreihe'!E23</f>
        <v>7554</v>
      </c>
      <c r="N23" s="115">
        <f>'2019_C4_Zeitreihe'!F23</f>
        <v>7.8071233856191622</v>
      </c>
      <c r="O23" s="115">
        <f>'2019_C4_Zeitreihe'!G23</f>
        <v>33.628279036510705</v>
      </c>
      <c r="P23" s="115">
        <f>'2019_C4_Zeitreihe'!H23</f>
        <v>29.034276265808646</v>
      </c>
      <c r="Q23" s="115">
        <f>'2019_C4_Zeitreihe'!I23</f>
        <v>29.530321312061492</v>
      </c>
      <c r="R23" s="112">
        <f>'2019_C4_Zeitreihe'!J23</f>
        <v>20262</v>
      </c>
      <c r="S23" s="112">
        <f>'2019_C4_Zeitreihe'!K23</f>
        <v>13404</v>
      </c>
      <c r="T23" s="112">
        <f>'2019_C4_Zeitreihe'!L23</f>
        <v>6858</v>
      </c>
      <c r="U23" s="75">
        <f>'2019_C4_Zeitreihe'!M23</f>
        <v>7.6793998618102846</v>
      </c>
      <c r="V23" s="75">
        <f>'2019_C4_Zeitreihe'!N23</f>
        <v>33.214885006415948</v>
      </c>
      <c r="W23" s="75">
        <f>'2019_C4_Zeitreihe'!O23</f>
        <v>28.304214786299475</v>
      </c>
      <c r="X23" s="75">
        <f>'2019_C4_Zeitreihe'!P23</f>
        <v>30.801500345474288</v>
      </c>
      <c r="Y23" s="112">
        <f>'2019_C4_Zeitreihe'!Q23</f>
        <v>17802</v>
      </c>
      <c r="Z23" s="112">
        <f>'2019_C4_Zeitreihe'!R23</f>
        <v>11590</v>
      </c>
      <c r="AA23" s="112">
        <f>'2019_C4_Zeitreihe'!S23</f>
        <v>6212</v>
      </c>
      <c r="AB23" s="75">
        <f>'2019_C4_Zeitreihe'!T23</f>
        <v>7.4598359734861255</v>
      </c>
      <c r="AC23" s="75">
        <f>'2019_C4_Zeitreihe'!U23</f>
        <v>34.838782159307939</v>
      </c>
      <c r="AD23" s="75">
        <f>'2019_C4_Zeitreihe'!V23</f>
        <v>26.716099314683746</v>
      </c>
      <c r="AE23" s="75">
        <f>'2019_C4_Zeitreihe'!W23</f>
        <v>30.985282552522186</v>
      </c>
      <c r="AF23" s="112">
        <f>'2019_C4_Zeitreihe'!X23</f>
        <v>15839</v>
      </c>
      <c r="AG23" s="112">
        <f>'2019_C4_Zeitreihe'!Y23</f>
        <v>10201</v>
      </c>
      <c r="AH23" s="112">
        <f>'2019_C4_Zeitreihe'!Z23</f>
        <v>5638</v>
      </c>
      <c r="AI23" s="75">
        <f>'2019_C4_Zeitreihe'!AA23</f>
        <v>7.216364669486711</v>
      </c>
      <c r="AJ23" s="75">
        <f>'2019_C4_Zeitreihe'!AB23</f>
        <v>35.128480333354375</v>
      </c>
      <c r="AK23" s="75">
        <f>'2019_C4_Zeitreihe'!AC23</f>
        <v>26.16958141296799</v>
      </c>
      <c r="AL23" s="75">
        <f>'2019_C4_Zeitreihe'!AD23</f>
        <v>31.485573584190924</v>
      </c>
      <c r="AM23" s="57">
        <f>'2019_C4_Zeitreihe'!AE23</f>
        <v>14114</v>
      </c>
      <c r="AN23" s="57">
        <f>'2019_C4_Zeitreihe'!AF23</f>
        <v>9044</v>
      </c>
      <c r="AO23" s="57">
        <f>'2019_C4_Zeitreihe'!AG23</f>
        <v>5070</v>
      </c>
      <c r="AP23" s="29">
        <f>'2019_C4_Zeitreihe'!AH23</f>
        <v>6.6458835199093098</v>
      </c>
      <c r="AQ23" s="29">
        <f>'2019_C4_Zeitreihe'!AI23</f>
        <v>35.595862264418308</v>
      </c>
      <c r="AR23" s="29">
        <f>'2019_C4_Zeitreihe'!AJ23</f>
        <v>25.563270511548819</v>
      </c>
      <c r="AS23" s="77">
        <f>'2019_C4_Zeitreihe'!AK23</f>
        <v>32.194983704123558</v>
      </c>
      <c r="AT23" s="57">
        <f>'2019_C4_Zeitreihe'!AL23</f>
        <v>13378</v>
      </c>
      <c r="AU23" s="57">
        <f>'2019_C4_Zeitreihe'!AM23</f>
        <v>8568</v>
      </c>
      <c r="AV23" s="57">
        <f>'2019_C4_Zeitreihe'!AN23</f>
        <v>4810</v>
      </c>
      <c r="AW23" s="29">
        <f>'2019_C4_Zeitreihe'!AO23</f>
        <v>6.1369412468231426</v>
      </c>
      <c r="AX23" s="29">
        <f>'2019_C4_Zeitreihe'!AP23</f>
        <v>33.988638062490658</v>
      </c>
      <c r="AY23" s="29">
        <f>'2019_C4_Zeitreihe'!AQ23</f>
        <v>25.04858723277022</v>
      </c>
      <c r="AZ23" s="29">
        <f>'2019_C4_Zeitreihe'!AR23</f>
        <v>34.825833457915984</v>
      </c>
      <c r="BA23" s="57">
        <f>'2019_C4_Zeitreihe'!AS23</f>
        <v>12359</v>
      </c>
      <c r="BB23" s="57">
        <f>'2019_C4_Zeitreihe'!AT23</f>
        <v>7806</v>
      </c>
      <c r="BC23" s="57">
        <f>'2019_C4_Zeitreihe'!AU23</f>
        <v>4553</v>
      </c>
      <c r="BD23" s="29">
        <f>'2019_C4_Zeitreihe'!AV23</f>
        <v>4.692936321708876</v>
      </c>
      <c r="BE23" s="29">
        <f>'2019_C4_Zeitreihe'!AW23</f>
        <v>29.711141678129298</v>
      </c>
      <c r="BF23" s="29">
        <f>'2019_C4_Zeitreihe'!AX23</f>
        <v>20.924022979205436</v>
      </c>
      <c r="BG23" s="29">
        <f>'2019_C4_Zeitreihe'!AY23</f>
        <v>44.671899020956396</v>
      </c>
      <c r="BH23" s="57">
        <f>'2019_C4_Zeitreihe'!AZ23</f>
        <v>0</v>
      </c>
      <c r="BI23" s="57">
        <f>'2019_C4_Zeitreihe'!BA23</f>
        <v>0</v>
      </c>
      <c r="BJ23" s="57">
        <f>'2019_C4_Zeitreihe'!BB23</f>
        <v>0</v>
      </c>
      <c r="BK23" s="83">
        <f>'2019_C4_Zeitreihe'!BC23</f>
        <v>3.7186821858354699</v>
      </c>
      <c r="BL23" s="83">
        <f>'2019_C4_Zeitreihe'!BD23</f>
        <v>25.882817123693037</v>
      </c>
      <c r="BM23" s="83">
        <f>'2019_C4_Zeitreihe'!BE23</f>
        <v>20.763464194121127</v>
      </c>
      <c r="BN23" s="83">
        <f>'2019_C4_Zeitreihe'!BF23</f>
        <v>49.635036496350367</v>
      </c>
      <c r="BO23" s="57">
        <f>'2019_C4_Zeitreihe'!BG23</f>
        <v>9551</v>
      </c>
      <c r="BP23" s="57">
        <f>'2019_C4_Zeitreihe'!BH23</f>
        <v>5958</v>
      </c>
      <c r="BQ23" s="57">
        <f>'2019_C4_Zeitreihe'!BI23</f>
        <v>3593</v>
      </c>
      <c r="BR23" s="83">
        <f>'2019_C4_Zeitreihe'!BJ23</f>
        <v>3.4132551565281126</v>
      </c>
      <c r="BS23" s="83">
        <f>'2019_C4_Zeitreihe'!BK23</f>
        <v>25.997277771961052</v>
      </c>
      <c r="BT23" s="83">
        <f>'2019_C4_Zeitreihe'!BL23</f>
        <v>22.18615851743273</v>
      </c>
      <c r="BU23" s="78">
        <f>'2019_C4_Zeitreihe'!BM23</f>
        <v>48.403308554078109</v>
      </c>
      <c r="BV23" s="62"/>
    </row>
    <row r="24" spans="2:74" ht="8.25" customHeight="1">
      <c r="B24" s="107">
        <v>251</v>
      </c>
      <c r="C24" s="74" t="s">
        <v>101</v>
      </c>
      <c r="D24" s="74">
        <f>VLOOKUP(B24,'2020_Rohdaten_BA'!$A$10:$E$59,3,FALSE)</f>
        <v>6594</v>
      </c>
      <c r="E24" s="74">
        <f>VLOOKUP(B24,'2020_Rohdaten_BA'!$A$10:$E$59,4,FALSE)</f>
        <v>4544</v>
      </c>
      <c r="F24" s="74">
        <f>VLOOKUP(B24,'2020_Rohdaten_BA'!$A$10:$E$59,5,FALSE)</f>
        <v>2050</v>
      </c>
      <c r="G24" s="74">
        <f>VLOOKUP(B24,'2020_Rohdaten_BA'!$A$10:$M$59,12,FALSE)</f>
        <v>7.2338489535941761</v>
      </c>
      <c r="H24" s="74">
        <f>VLOOKUP(B24,'2020_Rohdaten_BA'!$A$10:$M$59,11,FALSE)</f>
        <v>32.954200788595692</v>
      </c>
      <c r="I24" s="74">
        <f>VLOOKUP(B24,'2020_Rohdaten_BA'!$A$10:$M$59,10,FALSE)</f>
        <v>24.340309372156504</v>
      </c>
      <c r="J24" s="74">
        <f>VLOOKUP(B24,'2020_Rohdaten_BA'!$A$10:$M$59,13,FALSE)</f>
        <v>35.471640885653628</v>
      </c>
      <c r="K24" s="193">
        <f>'2019_C4_Zeitreihe'!C24</f>
        <v>6222</v>
      </c>
      <c r="L24" s="193">
        <f>'2019_C4_Zeitreihe'!D24</f>
        <v>4331</v>
      </c>
      <c r="M24" s="193">
        <f>'2019_C4_Zeitreihe'!E24</f>
        <v>1891</v>
      </c>
      <c r="N24" s="115">
        <f>'2019_C4_Zeitreihe'!F24</f>
        <v>7.0395371263259401</v>
      </c>
      <c r="O24" s="115">
        <f>'2019_C4_Zeitreihe'!G24</f>
        <v>31.870781099324976</v>
      </c>
      <c r="P24" s="115">
        <f>'2019_C4_Zeitreihe'!H24</f>
        <v>25.281260045001606</v>
      </c>
      <c r="Q24" s="115">
        <f>'2019_C4_Zeitreihe'!I24</f>
        <v>35.808421729347479</v>
      </c>
      <c r="R24" s="112">
        <f>'2019_C4_Zeitreihe'!J24</f>
        <v>5644</v>
      </c>
      <c r="S24" s="112">
        <f>'2019_C4_Zeitreihe'!K24</f>
        <v>3930</v>
      </c>
      <c r="T24" s="112">
        <f>'2019_C4_Zeitreihe'!L24</f>
        <v>1714</v>
      </c>
      <c r="U24" s="75">
        <f>'2019_C4_Zeitreihe'!M24</f>
        <v>6.785967399007796</v>
      </c>
      <c r="V24" s="75">
        <f>'2019_C4_Zeitreihe'!N24</f>
        <v>32.246633593196314</v>
      </c>
      <c r="W24" s="75">
        <f>'2019_C4_Zeitreihe'!O24</f>
        <v>23.493975903614459</v>
      </c>
      <c r="X24" s="75">
        <f>'2019_C4_Zeitreihe'!P24</f>
        <v>37.473423104181428</v>
      </c>
      <c r="Y24" s="112">
        <f>'2019_C4_Zeitreihe'!Q24</f>
        <v>4811</v>
      </c>
      <c r="Z24" s="112">
        <f>'2019_C4_Zeitreihe'!R24</f>
        <v>3330</v>
      </c>
      <c r="AA24" s="112">
        <f>'2019_C4_Zeitreihe'!S24</f>
        <v>1481</v>
      </c>
      <c r="AB24" s="75">
        <f>'2019_C4_Zeitreihe'!T24</f>
        <v>7.690708792350863</v>
      </c>
      <c r="AC24" s="75">
        <f>'2019_C4_Zeitreihe'!U24</f>
        <v>33.257119102057786</v>
      </c>
      <c r="AD24" s="75">
        <f>'2019_C4_Zeitreihe'!V24</f>
        <v>21.575556017459988</v>
      </c>
      <c r="AE24" s="75">
        <f>'2019_C4_Zeitreihe'!W24</f>
        <v>37.476616088131365</v>
      </c>
      <c r="AF24" s="112">
        <f>'2019_C4_Zeitreihe'!X24</f>
        <v>4067</v>
      </c>
      <c r="AG24" s="112">
        <f>'2019_C4_Zeitreihe'!Y24</f>
        <v>2806</v>
      </c>
      <c r="AH24" s="112">
        <f>'2019_C4_Zeitreihe'!Z24</f>
        <v>1261</v>
      </c>
      <c r="AI24" s="75">
        <f>'2019_C4_Zeitreihe'!AA24</f>
        <v>7.9419719695106954</v>
      </c>
      <c r="AJ24" s="75">
        <f>'2019_C4_Zeitreihe'!AB24</f>
        <v>32.579296778952546</v>
      </c>
      <c r="AK24" s="75">
        <f>'2019_C4_Zeitreihe'!AC24</f>
        <v>20.088517334644703</v>
      </c>
      <c r="AL24" s="75">
        <f>'2019_C4_Zeitreihe'!AD24</f>
        <v>39.390213916892058</v>
      </c>
      <c r="AM24" s="57">
        <f>'2019_C4_Zeitreihe'!AE24</f>
        <v>3781</v>
      </c>
      <c r="AN24" s="57">
        <f>'2019_C4_Zeitreihe'!AF24</f>
        <v>2662</v>
      </c>
      <c r="AO24" s="57">
        <f>'2019_C4_Zeitreihe'!AG24</f>
        <v>1119</v>
      </c>
      <c r="AP24" s="29">
        <f>'2019_C4_Zeitreihe'!AH24</f>
        <v>7.8550647976725729</v>
      </c>
      <c r="AQ24" s="29">
        <f>'2019_C4_Zeitreihe'!AI24</f>
        <v>32.002115842369747</v>
      </c>
      <c r="AR24" s="29">
        <f>'2019_C4_Zeitreihe'!AJ24</f>
        <v>23.618090452261306</v>
      </c>
      <c r="AS24" s="77">
        <f>'2019_C4_Zeitreihe'!AK24</f>
        <v>36.524728907696378</v>
      </c>
      <c r="AT24" s="57">
        <f>'2019_C4_Zeitreihe'!AL24</f>
        <v>3017</v>
      </c>
      <c r="AU24" s="57">
        <f>'2019_C4_Zeitreihe'!AM24</f>
        <v>2084</v>
      </c>
      <c r="AV24" s="57">
        <f>'2019_C4_Zeitreihe'!AN24</f>
        <v>933</v>
      </c>
      <c r="AW24" s="29">
        <f>'2019_C4_Zeitreihe'!AO24</f>
        <v>8.3526682134570756</v>
      </c>
      <c r="AX24" s="29">
        <f>'2019_C4_Zeitreihe'!AP24</f>
        <v>31.554524361948953</v>
      </c>
      <c r="AY24" s="29">
        <f>'2019_C4_Zeitreihe'!AQ24</f>
        <v>20.914816042426253</v>
      </c>
      <c r="AZ24" s="29">
        <f>'2019_C4_Zeitreihe'!AR24</f>
        <v>39.177991382167718</v>
      </c>
      <c r="BA24" s="57">
        <f>'2019_C4_Zeitreihe'!AS24</f>
        <v>2539</v>
      </c>
      <c r="BB24" s="57">
        <f>'2019_C4_Zeitreihe'!AT24</f>
        <v>1679</v>
      </c>
      <c r="BC24" s="57">
        <f>'2019_C4_Zeitreihe'!AU24</f>
        <v>860</v>
      </c>
      <c r="BD24" s="29">
        <f>'2019_C4_Zeitreihe'!AV24</f>
        <v>8.1922016541945641</v>
      </c>
      <c r="BE24" s="29">
        <f>'2019_C4_Zeitreihe'!AW24</f>
        <v>27.097282394643564</v>
      </c>
      <c r="BF24" s="29">
        <f>'2019_C4_Zeitreihe'!AX24</f>
        <v>18.314296967309964</v>
      </c>
      <c r="BG24" s="29">
        <f>'2019_C4_Zeitreihe'!AY24</f>
        <v>46.396218983851917</v>
      </c>
      <c r="BH24" s="57">
        <f>'2019_C4_Zeitreihe'!AZ24</f>
        <v>2033</v>
      </c>
      <c r="BI24" s="57">
        <f>'2019_C4_Zeitreihe'!BA24</f>
        <v>1364</v>
      </c>
      <c r="BJ24" s="57">
        <f>'2019_C4_Zeitreihe'!BB24</f>
        <v>669</v>
      </c>
      <c r="BK24" s="83">
        <f>'2019_C4_Zeitreihe'!BC24</f>
        <v>7.0831283817019184</v>
      </c>
      <c r="BL24" s="83">
        <f>'2019_C4_Zeitreihe'!BD24</f>
        <v>23.167732415150024</v>
      </c>
      <c r="BM24" s="83">
        <f>'2019_C4_Zeitreihe'!BE24</f>
        <v>19.183472700442692</v>
      </c>
      <c r="BN24" s="83">
        <f>'2019_C4_Zeitreihe'!BF24</f>
        <v>50.565666502705362</v>
      </c>
      <c r="BO24" s="57">
        <f>'2019_C4_Zeitreihe'!BG24</f>
        <v>1832</v>
      </c>
      <c r="BP24" s="57">
        <f>'2019_C4_Zeitreihe'!BH24</f>
        <v>1217</v>
      </c>
      <c r="BQ24" s="57">
        <f>'2019_C4_Zeitreihe'!BI24</f>
        <v>615</v>
      </c>
      <c r="BR24" s="83">
        <f>'2019_C4_Zeitreihe'!BJ24</f>
        <v>6.3864628820960698</v>
      </c>
      <c r="BS24" s="83">
        <f>'2019_C4_Zeitreihe'!BK24</f>
        <v>22.816593886462883</v>
      </c>
      <c r="BT24" s="83">
        <f>'2019_C4_Zeitreihe'!BL24</f>
        <v>19.432314410480352</v>
      </c>
      <c r="BU24" s="78">
        <f>'2019_C4_Zeitreihe'!BM24</f>
        <v>51.364628820960689</v>
      </c>
      <c r="BV24" s="62"/>
    </row>
    <row r="25" spans="2:74" ht="8.25" customHeight="1">
      <c r="B25" s="107">
        <v>252</v>
      </c>
      <c r="C25" s="74" t="s">
        <v>102</v>
      </c>
      <c r="D25" s="74">
        <f>VLOOKUP(B25,'2020_Rohdaten_BA'!$A$10:$E$59,3,FALSE)</f>
        <v>4124</v>
      </c>
      <c r="E25" s="74">
        <f>VLOOKUP(B25,'2020_Rohdaten_BA'!$A$10:$E$59,4,FALSE)</f>
        <v>2541</v>
      </c>
      <c r="F25" s="74">
        <f>VLOOKUP(B25,'2020_Rohdaten_BA'!$A$10:$E$59,5,FALSE)</f>
        <v>1583</v>
      </c>
      <c r="G25" s="74">
        <f>VLOOKUP(B25,'2020_Rohdaten_BA'!$A$10:$M$59,12,FALSE)</f>
        <v>11.105722599418041</v>
      </c>
      <c r="H25" s="74">
        <f>VLOOKUP(B25,'2020_Rohdaten_BA'!$A$10:$M$59,11,FALSE)</f>
        <v>36.905916585838995</v>
      </c>
      <c r="I25" s="74">
        <f>VLOOKUP(B25,'2020_Rohdaten_BA'!$A$10:$M$59,10,FALSE)</f>
        <v>28.273520853540251</v>
      </c>
      <c r="J25" s="74">
        <f>VLOOKUP(B25,'2020_Rohdaten_BA'!$A$10:$M$59,13,FALSE)</f>
        <v>23.714839961202717</v>
      </c>
      <c r="K25" s="193">
        <f>'2019_C4_Zeitreihe'!C25</f>
        <v>4052</v>
      </c>
      <c r="L25" s="193">
        <f>'2019_C4_Zeitreihe'!D25</f>
        <v>2542</v>
      </c>
      <c r="M25" s="193">
        <f>'2019_C4_Zeitreihe'!E25</f>
        <v>1510</v>
      </c>
      <c r="N25" s="115">
        <f>'2019_C4_Zeitreihe'!F25</f>
        <v>10.784797630799606</v>
      </c>
      <c r="O25" s="115">
        <f>'2019_C4_Zeitreihe'!G25</f>
        <v>36.994076999012833</v>
      </c>
      <c r="P25" s="115">
        <f>'2019_C4_Zeitreihe'!H25</f>
        <v>27.665350444225073</v>
      </c>
      <c r="Q25" s="115">
        <f>'2019_C4_Zeitreihe'!I25</f>
        <v>24.555774925962488</v>
      </c>
      <c r="R25" s="112">
        <f>'2019_C4_Zeitreihe'!J25</f>
        <v>3678</v>
      </c>
      <c r="S25" s="112">
        <f>'2019_C4_Zeitreihe'!K25</f>
        <v>2263</v>
      </c>
      <c r="T25" s="112">
        <f>'2019_C4_Zeitreihe'!L25</f>
        <v>1415</v>
      </c>
      <c r="U25" s="75">
        <f>'2019_C4_Zeitreihe'!M25</f>
        <v>10.60358890701468</v>
      </c>
      <c r="V25" s="75">
        <f>'2019_C4_Zeitreihe'!N25</f>
        <v>37.629146275149537</v>
      </c>
      <c r="W25" s="75">
        <f>'2019_C4_Zeitreihe'!O25</f>
        <v>26.318651441000547</v>
      </c>
      <c r="X25" s="75">
        <f>'2019_C4_Zeitreihe'!P25</f>
        <v>25.44861337683524</v>
      </c>
      <c r="Y25" s="112">
        <f>'2019_C4_Zeitreihe'!Q25</f>
        <v>3270</v>
      </c>
      <c r="Z25" s="112">
        <f>'2019_C4_Zeitreihe'!R25</f>
        <v>1959</v>
      </c>
      <c r="AA25" s="112">
        <f>'2019_C4_Zeitreihe'!S25</f>
        <v>1311</v>
      </c>
      <c r="AB25" s="75">
        <f>'2019_C4_Zeitreihe'!T25</f>
        <v>10.733944954128441</v>
      </c>
      <c r="AC25" s="75">
        <f>'2019_C4_Zeitreihe'!U25</f>
        <v>37.767584097859327</v>
      </c>
      <c r="AD25" s="75">
        <f>'2019_C4_Zeitreihe'!V25</f>
        <v>23.394495412844037</v>
      </c>
      <c r="AE25" s="75">
        <f>'2019_C4_Zeitreihe'!W25</f>
        <v>28.103975535168196</v>
      </c>
      <c r="AF25" s="112">
        <f>'2019_C4_Zeitreihe'!X25</f>
        <v>3023</v>
      </c>
      <c r="AG25" s="112">
        <f>'2019_C4_Zeitreihe'!Y25</f>
        <v>1793</v>
      </c>
      <c r="AH25" s="112">
        <f>'2019_C4_Zeitreihe'!Z25</f>
        <v>1230</v>
      </c>
      <c r="AI25" s="75">
        <f>'2019_C4_Zeitreihe'!AA25</f>
        <v>11.147866357922593</v>
      </c>
      <c r="AJ25" s="75">
        <f>'2019_C4_Zeitreihe'!AB25</f>
        <v>39.034072113794245</v>
      </c>
      <c r="AK25" s="75">
        <f>'2019_C4_Zeitreihe'!AC25</f>
        <v>22.758848825669865</v>
      </c>
      <c r="AL25" s="75">
        <f>'2019_C4_Zeitreihe'!AD25</f>
        <v>27.059212702613301</v>
      </c>
      <c r="AM25" s="57">
        <f>'2019_C4_Zeitreihe'!AE25</f>
        <v>2786</v>
      </c>
      <c r="AN25" s="57">
        <f>'2019_C4_Zeitreihe'!AF25</f>
        <v>1655</v>
      </c>
      <c r="AO25" s="57">
        <f>'2019_C4_Zeitreihe'!AG25</f>
        <v>1131</v>
      </c>
      <c r="AP25" s="29">
        <f>'2019_C4_Zeitreihe'!AH25</f>
        <v>10.804020100502512</v>
      </c>
      <c r="AQ25" s="29">
        <f>'2019_C4_Zeitreihe'!AI25</f>
        <v>38.944723618090457</v>
      </c>
      <c r="AR25" s="29">
        <f>'2019_C4_Zeitreihe'!AJ25</f>
        <v>22.469490308686289</v>
      </c>
      <c r="AS25" s="77">
        <f>'2019_C4_Zeitreihe'!AK25</f>
        <v>27.781765972720741</v>
      </c>
      <c r="AT25" s="57">
        <f>'2019_C4_Zeitreihe'!AL25</f>
        <v>2495</v>
      </c>
      <c r="AU25" s="57">
        <f>'2019_C4_Zeitreihe'!AM25</f>
        <v>1452</v>
      </c>
      <c r="AV25" s="57">
        <f>'2019_C4_Zeitreihe'!AN25</f>
        <v>1043</v>
      </c>
      <c r="AW25" s="29">
        <f>'2019_C4_Zeitreihe'!AO25</f>
        <v>10.661322645290582</v>
      </c>
      <c r="AX25" s="29">
        <f>'2019_C4_Zeitreihe'!AP25</f>
        <v>39.599198396793589</v>
      </c>
      <c r="AY25" s="29">
        <f>'2019_C4_Zeitreihe'!AQ25</f>
        <v>20.881763527054108</v>
      </c>
      <c r="AZ25" s="29">
        <f>'2019_C4_Zeitreihe'!AR25</f>
        <v>28.857715430861724</v>
      </c>
      <c r="BA25" s="57">
        <f>'2019_C4_Zeitreihe'!AS25</f>
        <v>2420</v>
      </c>
      <c r="BB25" s="57">
        <f>'2019_C4_Zeitreihe'!AT25</f>
        <v>1381</v>
      </c>
      <c r="BC25" s="57">
        <f>'2019_C4_Zeitreihe'!AU25</f>
        <v>1039</v>
      </c>
      <c r="BD25" s="29">
        <f>'2019_C4_Zeitreihe'!AV25</f>
        <v>8.0165289256198342</v>
      </c>
      <c r="BE25" s="29">
        <f>'2019_C4_Zeitreihe'!AW25</f>
        <v>35.495867768595041</v>
      </c>
      <c r="BF25" s="29">
        <f>'2019_C4_Zeitreihe'!AX25</f>
        <v>20.702479338842974</v>
      </c>
      <c r="BG25" s="29">
        <f>'2019_C4_Zeitreihe'!AY25</f>
        <v>35.785123966942152</v>
      </c>
      <c r="BH25" s="57">
        <f>'2019_C4_Zeitreihe'!AZ25</f>
        <v>2195</v>
      </c>
      <c r="BI25" s="57">
        <f>'2019_C4_Zeitreihe'!BA25</f>
        <v>1247</v>
      </c>
      <c r="BJ25" s="57">
        <f>'2019_C4_Zeitreihe'!BB25</f>
        <v>948</v>
      </c>
      <c r="BK25" s="83">
        <f>'2019_C4_Zeitreihe'!BC25</f>
        <v>5.9225512528473807</v>
      </c>
      <c r="BL25" s="83">
        <f>'2019_C4_Zeitreihe'!BD25</f>
        <v>31.75398633257403</v>
      </c>
      <c r="BM25" s="83">
        <f>'2019_C4_Zeitreihe'!BE25</f>
        <v>30.113895216400909</v>
      </c>
      <c r="BN25" s="83">
        <f>'2019_C4_Zeitreihe'!BF25</f>
        <v>32.20956719817768</v>
      </c>
      <c r="BO25" s="57">
        <f>'2019_C4_Zeitreihe'!BG25</f>
        <v>2106</v>
      </c>
      <c r="BP25" s="57">
        <f>'2019_C4_Zeitreihe'!BH25</f>
        <v>1190</v>
      </c>
      <c r="BQ25" s="57">
        <f>'2019_C4_Zeitreihe'!BI25</f>
        <v>916</v>
      </c>
      <c r="BR25" s="83">
        <f>'2019_C4_Zeitreihe'!BJ25</f>
        <v>5.3181386514719851</v>
      </c>
      <c r="BS25" s="83">
        <f>'2019_C4_Zeitreihe'!BK25</f>
        <v>31.861348528015192</v>
      </c>
      <c r="BT25" s="83">
        <f>'2019_C4_Zeitreihe'!BL25</f>
        <v>31.481481481481481</v>
      </c>
      <c r="BU25" s="78">
        <f>'2019_C4_Zeitreihe'!BM25</f>
        <v>31.339031339031344</v>
      </c>
      <c r="BV25" s="62"/>
    </row>
    <row r="26" spans="2:74" ht="8.25" customHeight="1">
      <c r="B26" s="107">
        <v>254</v>
      </c>
      <c r="C26" s="74" t="s">
        <v>103</v>
      </c>
      <c r="D26" s="74">
        <f>VLOOKUP(B26,'2020_Rohdaten_BA'!$A$10:$E$59,3,FALSE)</f>
        <v>6461</v>
      </c>
      <c r="E26" s="74">
        <f>VLOOKUP(B26,'2020_Rohdaten_BA'!$A$10:$E$59,4,FALSE)</f>
        <v>4211</v>
      </c>
      <c r="F26" s="74">
        <f>VLOOKUP(B26,'2020_Rohdaten_BA'!$A$10:$E$59,5,FALSE)</f>
        <v>2250</v>
      </c>
      <c r="G26" s="74">
        <f>VLOOKUP(B26,'2020_Rohdaten_BA'!$A$10:$M$59,12,FALSE)</f>
        <v>18.077696950936389</v>
      </c>
      <c r="H26" s="74">
        <f>VLOOKUP(B26,'2020_Rohdaten_BA'!$A$10:$M$59,11,FALSE)</f>
        <v>35.551772171490484</v>
      </c>
      <c r="I26" s="74">
        <f>VLOOKUP(B26,'2020_Rohdaten_BA'!$A$10:$M$59,10,FALSE)</f>
        <v>25.444977557653615</v>
      </c>
      <c r="J26" s="74">
        <f>VLOOKUP(B26,'2020_Rohdaten_BA'!$A$10:$M$59,13,FALSE)</f>
        <v>20.925553319919516</v>
      </c>
      <c r="K26" s="193">
        <f>'2019_C4_Zeitreihe'!C26</f>
        <v>6219</v>
      </c>
      <c r="L26" s="193">
        <f>'2019_C4_Zeitreihe'!D26</f>
        <v>4059</v>
      </c>
      <c r="M26" s="193">
        <f>'2019_C4_Zeitreihe'!E26</f>
        <v>2160</v>
      </c>
      <c r="N26" s="115">
        <f>'2019_C4_Zeitreihe'!F26</f>
        <v>16.739025566811385</v>
      </c>
      <c r="O26" s="115">
        <f>'2019_C4_Zeitreihe'!G26</f>
        <v>34.651873291525966</v>
      </c>
      <c r="P26" s="115">
        <f>'2019_C4_Zeitreihe'!H26</f>
        <v>25.373854317414374</v>
      </c>
      <c r="Q26" s="115">
        <f>'2019_C4_Zeitreihe'!I26</f>
        <v>23.235246824248271</v>
      </c>
      <c r="R26" s="112">
        <f>'2019_C4_Zeitreihe'!J26</f>
        <v>5755</v>
      </c>
      <c r="S26" s="112">
        <f>'2019_C4_Zeitreihe'!K26</f>
        <v>3694</v>
      </c>
      <c r="T26" s="112">
        <f>'2019_C4_Zeitreihe'!L26</f>
        <v>2061</v>
      </c>
      <c r="U26" s="75">
        <f>'2019_C4_Zeitreihe'!M26</f>
        <v>15.638575152041703</v>
      </c>
      <c r="V26" s="75">
        <f>'2019_C4_Zeitreihe'!N26</f>
        <v>35.499565595134662</v>
      </c>
      <c r="W26" s="75">
        <f>'2019_C4_Zeitreihe'!O26</f>
        <v>24.969591659426584</v>
      </c>
      <c r="X26" s="75">
        <f>'2019_C4_Zeitreihe'!P26</f>
        <v>23.892267593397047</v>
      </c>
      <c r="Y26" s="112">
        <f>'2019_C4_Zeitreihe'!Q26</f>
        <v>5044</v>
      </c>
      <c r="Z26" s="112">
        <f>'2019_C4_Zeitreihe'!R26</f>
        <v>3238</v>
      </c>
      <c r="AA26" s="112">
        <f>'2019_C4_Zeitreihe'!S26</f>
        <v>1806</v>
      </c>
      <c r="AB26" s="75">
        <f>'2019_C4_Zeitreihe'!T26</f>
        <v>15.027755749405234</v>
      </c>
      <c r="AC26" s="75">
        <f>'2019_C4_Zeitreihe'!U26</f>
        <v>37.390959555908012</v>
      </c>
      <c r="AD26" s="75">
        <f>'2019_C4_Zeitreihe'!V26</f>
        <v>24.187153053132434</v>
      </c>
      <c r="AE26" s="75">
        <f>'2019_C4_Zeitreihe'!W26</f>
        <v>23.394131641554321</v>
      </c>
      <c r="AF26" s="112">
        <f>'2019_C4_Zeitreihe'!X26</f>
        <v>4436</v>
      </c>
      <c r="AG26" s="112">
        <f>'2019_C4_Zeitreihe'!Y26</f>
        <v>2817</v>
      </c>
      <c r="AH26" s="112">
        <f>'2019_C4_Zeitreihe'!Z26</f>
        <v>1619</v>
      </c>
      <c r="AI26" s="75">
        <f>'2019_C4_Zeitreihe'!AA26</f>
        <v>14.337240757439135</v>
      </c>
      <c r="AJ26" s="75">
        <f>'2019_C4_Zeitreihe'!AB26</f>
        <v>38.232642019837691</v>
      </c>
      <c r="AK26" s="75">
        <f>'2019_C4_Zeitreihe'!AC26</f>
        <v>24.301172227231742</v>
      </c>
      <c r="AL26" s="75">
        <f>'2019_C4_Zeitreihe'!AD26</f>
        <v>23.128944995491434</v>
      </c>
      <c r="AM26" s="57">
        <f>'2019_C4_Zeitreihe'!AE26</f>
        <v>3866</v>
      </c>
      <c r="AN26" s="57">
        <f>'2019_C4_Zeitreihe'!AF26</f>
        <v>2410</v>
      </c>
      <c r="AO26" s="57">
        <f>'2019_C4_Zeitreihe'!AG26</f>
        <v>1456</v>
      </c>
      <c r="AP26" s="29">
        <f>'2019_C4_Zeitreihe'!AH26</f>
        <v>14.459389549922399</v>
      </c>
      <c r="AQ26" s="29">
        <f>'2019_C4_Zeitreihe'!AI26</f>
        <v>38.618727366787375</v>
      </c>
      <c r="AR26" s="29">
        <f>'2019_C4_Zeitreihe'!AJ26</f>
        <v>23.952405587170205</v>
      </c>
      <c r="AS26" s="77">
        <f>'2019_C4_Zeitreihe'!AK26</f>
        <v>22.969477496120021</v>
      </c>
      <c r="AT26" s="57">
        <f>'2019_C4_Zeitreihe'!AL26</f>
        <v>3537</v>
      </c>
      <c r="AU26" s="57">
        <f>'2019_C4_Zeitreihe'!AM26</f>
        <v>2230</v>
      </c>
      <c r="AV26" s="57">
        <f>'2019_C4_Zeitreihe'!AN26</f>
        <v>1307</v>
      </c>
      <c r="AW26" s="29">
        <f>'2019_C4_Zeitreihe'!AO26</f>
        <v>13.79700310998021</v>
      </c>
      <c r="AX26" s="29">
        <f>'2019_C4_Zeitreihe'!AP26</f>
        <v>38.733389878428049</v>
      </c>
      <c r="AY26" s="29">
        <f>'2019_C4_Zeitreihe'!AQ26</f>
        <v>23.664122137404579</v>
      </c>
      <c r="AZ26" s="29">
        <f>'2019_C4_Zeitreihe'!AR26</f>
        <v>23.805484874187165</v>
      </c>
      <c r="BA26" s="57">
        <f>'2019_C4_Zeitreihe'!AS26</f>
        <v>3331</v>
      </c>
      <c r="BB26" s="57">
        <f>'2019_C4_Zeitreihe'!AT26</f>
        <v>2102</v>
      </c>
      <c r="BC26" s="57">
        <f>'2019_C4_Zeitreihe'!AU26</f>
        <v>1229</v>
      </c>
      <c r="BD26" s="29">
        <f>'2019_C4_Zeitreihe'!AV26</f>
        <v>11.8282797958571</v>
      </c>
      <c r="BE26" s="29">
        <f>'2019_C4_Zeitreihe'!AW26</f>
        <v>34.614229960972679</v>
      </c>
      <c r="BF26" s="29">
        <f>'2019_C4_Zeitreihe'!AX26</f>
        <v>23.146202341639146</v>
      </c>
      <c r="BG26" s="29">
        <f>'2019_C4_Zeitreihe'!AY26</f>
        <v>30.411287901531082</v>
      </c>
      <c r="BH26" s="57">
        <f>'2019_C4_Zeitreihe'!AZ26</f>
        <v>2922</v>
      </c>
      <c r="BI26" s="57">
        <f>'2019_C4_Zeitreihe'!BA26</f>
        <v>1830</v>
      </c>
      <c r="BJ26" s="57">
        <f>'2019_C4_Zeitreihe'!BB26</f>
        <v>1092</v>
      </c>
      <c r="BK26" s="83">
        <f>'2019_C4_Zeitreihe'!BC26</f>
        <v>8.3846680355920604</v>
      </c>
      <c r="BL26" s="83">
        <f>'2019_C4_Zeitreihe'!BD26</f>
        <v>32.477754962354553</v>
      </c>
      <c r="BM26" s="83">
        <f>'2019_C4_Zeitreihe'!BE26</f>
        <v>24.503764544832308</v>
      </c>
      <c r="BN26" s="83">
        <f>'2019_C4_Zeitreihe'!BF26</f>
        <v>34.633812457221083</v>
      </c>
      <c r="BO26" s="57">
        <f>'2019_C4_Zeitreihe'!BG26</f>
        <v>2768</v>
      </c>
      <c r="BP26" s="57">
        <f>'2019_C4_Zeitreihe'!BH26</f>
        <v>1739</v>
      </c>
      <c r="BQ26" s="57">
        <f>'2019_C4_Zeitreihe'!BI26</f>
        <v>1029</v>
      </c>
      <c r="BR26" s="83">
        <f>'2019_C4_Zeitreihe'!BJ26</f>
        <v>8.2369942196531785</v>
      </c>
      <c r="BS26" s="83">
        <f>'2019_C4_Zeitreihe'!BK26</f>
        <v>32.080924855491325</v>
      </c>
      <c r="BT26" s="83">
        <f>'2019_C4_Zeitreihe'!BL26</f>
        <v>24.638728323699421</v>
      </c>
      <c r="BU26" s="78">
        <f>'2019_C4_Zeitreihe'!BM26</f>
        <v>35.043352601156073</v>
      </c>
      <c r="BV26" s="62"/>
    </row>
    <row r="27" spans="2:74" ht="8.25" customHeight="1">
      <c r="B27" s="107">
        <v>255</v>
      </c>
      <c r="C27" s="74" t="s">
        <v>104</v>
      </c>
      <c r="D27" s="74">
        <f>VLOOKUP(B27,'2020_Rohdaten_BA'!$A$10:$E$59,3,FALSE)</f>
        <v>1484</v>
      </c>
      <c r="E27" s="74">
        <f>VLOOKUP(B27,'2020_Rohdaten_BA'!$A$10:$E$59,4,FALSE)</f>
        <v>998</v>
      </c>
      <c r="F27" s="74">
        <f>VLOOKUP(B27,'2020_Rohdaten_BA'!$A$10:$E$59,5,FALSE)</f>
        <v>486</v>
      </c>
      <c r="G27" s="74">
        <f>VLOOKUP(B27,'2020_Rohdaten_BA'!$A$10:$M$59,12,FALSE)</f>
        <v>12.668463611859838</v>
      </c>
      <c r="H27" s="74">
        <f>VLOOKUP(B27,'2020_Rohdaten_BA'!$A$10:$M$59,11,FALSE)</f>
        <v>33.086253369272235</v>
      </c>
      <c r="I27" s="74">
        <f>VLOOKUP(B27,'2020_Rohdaten_BA'!$A$10:$M$59,10,FALSE)</f>
        <v>27.830188679245282</v>
      </c>
      <c r="J27" s="74">
        <f>VLOOKUP(B27,'2020_Rohdaten_BA'!$A$10:$M$59,13,FALSE)</f>
        <v>26.415094339622641</v>
      </c>
      <c r="K27" s="193">
        <f>'2019_C4_Zeitreihe'!C27</f>
        <v>1421</v>
      </c>
      <c r="L27" s="193">
        <f>'2019_C4_Zeitreihe'!D27</f>
        <v>945</v>
      </c>
      <c r="M27" s="193">
        <f>'2019_C4_Zeitreihe'!E27</f>
        <v>476</v>
      </c>
      <c r="N27" s="115">
        <f>'2019_C4_Zeitreihe'!F27</f>
        <v>12.737508796622096</v>
      </c>
      <c r="O27" s="115">
        <f>'2019_C4_Zeitreihe'!G27</f>
        <v>32.582688247712881</v>
      </c>
      <c r="P27" s="115">
        <f>'2019_C4_Zeitreihe'!H27</f>
        <v>27.867698803659394</v>
      </c>
      <c r="Q27" s="115">
        <f>'2019_C4_Zeitreihe'!I27</f>
        <v>26.812104152005631</v>
      </c>
      <c r="R27" s="112">
        <f>'2019_C4_Zeitreihe'!J27</f>
        <v>1260</v>
      </c>
      <c r="S27" s="112">
        <f>'2019_C4_Zeitreihe'!K27</f>
        <v>840</v>
      </c>
      <c r="T27" s="112">
        <f>'2019_C4_Zeitreihe'!L27</f>
        <v>420</v>
      </c>
      <c r="U27" s="75">
        <f>'2019_C4_Zeitreihe'!M27</f>
        <v>11.190476190476192</v>
      </c>
      <c r="V27" s="75">
        <f>'2019_C4_Zeitreihe'!N27</f>
        <v>35.079365079365076</v>
      </c>
      <c r="W27" s="75">
        <f>'2019_C4_Zeitreihe'!O27</f>
        <v>28.571428571428569</v>
      </c>
      <c r="X27" s="75">
        <f>'2019_C4_Zeitreihe'!P27</f>
        <v>25.158730158730158</v>
      </c>
      <c r="Y27" s="112">
        <f>'2019_C4_Zeitreihe'!Q27</f>
        <v>1088</v>
      </c>
      <c r="Z27" s="112">
        <f>'2019_C4_Zeitreihe'!R27</f>
        <v>720</v>
      </c>
      <c r="AA27" s="112">
        <f>'2019_C4_Zeitreihe'!S27</f>
        <v>368</v>
      </c>
      <c r="AB27" s="75">
        <f>'2019_C4_Zeitreihe'!T27</f>
        <v>11.121323529411764</v>
      </c>
      <c r="AC27" s="75">
        <f>'2019_C4_Zeitreihe'!U27</f>
        <v>35.202205882352942</v>
      </c>
      <c r="AD27" s="75">
        <f>'2019_C4_Zeitreihe'!V27</f>
        <v>27.113970588235293</v>
      </c>
      <c r="AE27" s="75">
        <f>'2019_C4_Zeitreihe'!W27</f>
        <v>26.5625</v>
      </c>
      <c r="AF27" s="112">
        <f>'2019_C4_Zeitreihe'!X27</f>
        <v>980</v>
      </c>
      <c r="AG27" s="112">
        <f>'2019_C4_Zeitreihe'!Y27</f>
        <v>637</v>
      </c>
      <c r="AH27" s="112">
        <f>'2019_C4_Zeitreihe'!Z27</f>
        <v>343</v>
      </c>
      <c r="AI27" s="75">
        <f>'2019_C4_Zeitreihe'!AA27</f>
        <v>12.244897959183673</v>
      </c>
      <c r="AJ27" s="75">
        <f>'2019_C4_Zeitreihe'!AB27</f>
        <v>35.816326530612244</v>
      </c>
      <c r="AK27" s="75">
        <f>'2019_C4_Zeitreihe'!AC27</f>
        <v>28.877551020408166</v>
      </c>
      <c r="AL27" s="75">
        <f>'2019_C4_Zeitreihe'!AD27</f>
        <v>23.061224489795919</v>
      </c>
      <c r="AM27" s="57">
        <f>'2019_C4_Zeitreihe'!AE27</f>
        <v>851</v>
      </c>
      <c r="AN27" s="57">
        <f>'2019_C4_Zeitreihe'!AF27</f>
        <v>567</v>
      </c>
      <c r="AO27" s="57">
        <f>'2019_C4_Zeitreihe'!AG27</f>
        <v>284</v>
      </c>
      <c r="AP27" s="29">
        <f>'2019_C4_Zeitreihe'!AH27</f>
        <v>12.220916568742656</v>
      </c>
      <c r="AQ27" s="29">
        <f>'2019_C4_Zeitreihe'!AI27</f>
        <v>36.192714453584017</v>
      </c>
      <c r="AR27" s="29">
        <f>'2019_C4_Zeitreihe'!AJ27</f>
        <v>31.374853113983548</v>
      </c>
      <c r="AS27" s="77">
        <f>'2019_C4_Zeitreihe'!AK27</f>
        <v>20.21151586368978</v>
      </c>
      <c r="AT27" s="57">
        <f>'2019_C4_Zeitreihe'!AL27</f>
        <v>819</v>
      </c>
      <c r="AU27" s="57">
        <f>'2019_C4_Zeitreihe'!AM27</f>
        <v>557</v>
      </c>
      <c r="AV27" s="57">
        <f>'2019_C4_Zeitreihe'!AN27</f>
        <v>262</v>
      </c>
      <c r="AW27" s="29">
        <f>'2019_C4_Zeitreihe'!AO27</f>
        <v>9.2796092796092804</v>
      </c>
      <c r="AX27" s="29">
        <f>'2019_C4_Zeitreihe'!AP27</f>
        <v>37.72893772893773</v>
      </c>
      <c r="AY27" s="29">
        <f>'2019_C4_Zeitreihe'!AQ27</f>
        <v>31.135531135531135</v>
      </c>
      <c r="AZ27" s="29">
        <f>'2019_C4_Zeitreihe'!AR27</f>
        <v>21.855921855921849</v>
      </c>
      <c r="BA27" s="57">
        <f>'2019_C4_Zeitreihe'!AS27</f>
        <v>745</v>
      </c>
      <c r="BB27" s="57">
        <f>'2019_C4_Zeitreihe'!AT27</f>
        <v>499</v>
      </c>
      <c r="BC27" s="57">
        <f>'2019_C4_Zeitreihe'!AU27</f>
        <v>246</v>
      </c>
      <c r="BD27" s="29">
        <f>'2019_C4_Zeitreihe'!AV27</f>
        <v>9.1275167785234892</v>
      </c>
      <c r="BE27" s="29">
        <f>'2019_C4_Zeitreihe'!AW27</f>
        <v>35.167785234899327</v>
      </c>
      <c r="BF27" s="29">
        <f>'2019_C4_Zeitreihe'!AX27</f>
        <v>31.275167785234899</v>
      </c>
      <c r="BG27" s="29">
        <f>'2019_C4_Zeitreihe'!AY27</f>
        <v>24.429530201342285</v>
      </c>
      <c r="BH27" s="57">
        <f>'2019_C4_Zeitreihe'!AZ27</f>
        <v>677</v>
      </c>
      <c r="BI27" s="57">
        <f>'2019_C4_Zeitreihe'!BA27</f>
        <v>455</v>
      </c>
      <c r="BJ27" s="57">
        <f>'2019_C4_Zeitreihe'!BB27</f>
        <v>222</v>
      </c>
      <c r="BK27" s="83">
        <f>'2019_C4_Zeitreihe'!BC27</f>
        <v>6.6469719350073859</v>
      </c>
      <c r="BL27" s="83">
        <f>'2019_C4_Zeitreihe'!BD27</f>
        <v>31.905465288035451</v>
      </c>
      <c r="BM27" s="83">
        <f>'2019_C4_Zeitreihe'!BE27</f>
        <v>36.779911373707534</v>
      </c>
      <c r="BN27" s="83">
        <f>'2019_C4_Zeitreihe'!BF27</f>
        <v>24.667651403249629</v>
      </c>
      <c r="BO27" s="57">
        <f>'2019_C4_Zeitreihe'!BG27</f>
        <v>663</v>
      </c>
      <c r="BP27" s="57">
        <f>'2019_C4_Zeitreihe'!BH27</f>
        <v>447</v>
      </c>
      <c r="BQ27" s="57">
        <f>'2019_C4_Zeitreihe'!BI27</f>
        <v>216</v>
      </c>
      <c r="BR27" s="83">
        <f>'2019_C4_Zeitreihe'!BJ27</f>
        <v>6.6365007541478134</v>
      </c>
      <c r="BS27" s="83">
        <f>'2019_C4_Zeitreihe'!BK27</f>
        <v>31.372549019607842</v>
      </c>
      <c r="BT27" s="83">
        <f>'2019_C4_Zeitreihe'!BL27</f>
        <v>37.858220211161388</v>
      </c>
      <c r="BU27" s="78">
        <f>'2019_C4_Zeitreihe'!BM27</f>
        <v>24.132730015082956</v>
      </c>
      <c r="BV27" s="62"/>
    </row>
    <row r="28" spans="2:74" ht="8.25" customHeight="1">
      <c r="B28" s="107">
        <v>256</v>
      </c>
      <c r="C28" s="74" t="s">
        <v>105</v>
      </c>
      <c r="D28" s="74">
        <f>VLOOKUP(B28,'2020_Rohdaten_BA'!$A$10:$E$59,3,FALSE)</f>
        <v>4349</v>
      </c>
      <c r="E28" s="74">
        <f>VLOOKUP(B28,'2020_Rohdaten_BA'!$A$10:$E$59,4,FALSE)</f>
        <v>3022</v>
      </c>
      <c r="F28" s="74">
        <f>VLOOKUP(B28,'2020_Rohdaten_BA'!$A$10:$E$59,5,FALSE)</f>
        <v>1327</v>
      </c>
      <c r="G28" s="74">
        <f>VLOOKUP(B28,'2020_Rohdaten_BA'!$A$10:$M$59,12,FALSE)</f>
        <v>5.5874913773281216</v>
      </c>
      <c r="H28" s="74">
        <f>VLOOKUP(B28,'2020_Rohdaten_BA'!$A$10:$M$59,11,FALSE)</f>
        <v>24.856288802023453</v>
      </c>
      <c r="I28" s="74">
        <f>VLOOKUP(B28,'2020_Rohdaten_BA'!$A$10:$M$59,10,FALSE)</f>
        <v>30.098873304207864</v>
      </c>
      <c r="J28" s="74">
        <f>VLOOKUP(B28,'2020_Rohdaten_BA'!$A$10:$M$59,13,FALSE)</f>
        <v>39.457346516440559</v>
      </c>
      <c r="K28" s="193">
        <f>'2019_C4_Zeitreihe'!C28</f>
        <v>4261</v>
      </c>
      <c r="L28" s="193">
        <f>'2019_C4_Zeitreihe'!D28</f>
        <v>3042</v>
      </c>
      <c r="M28" s="193">
        <f>'2019_C4_Zeitreihe'!E28</f>
        <v>1219</v>
      </c>
      <c r="N28" s="115">
        <f>'2019_C4_Zeitreihe'!F28</f>
        <v>5.7732926543065011</v>
      </c>
      <c r="O28" s="115">
        <f>'2019_C4_Zeitreihe'!G28</f>
        <v>24.524759446139402</v>
      </c>
      <c r="P28" s="115">
        <f>'2019_C4_Zeitreihe'!H28</f>
        <v>24.689040131424548</v>
      </c>
      <c r="Q28" s="115">
        <f>'2019_C4_Zeitreihe'!I28</f>
        <v>45.012907768129544</v>
      </c>
      <c r="R28" s="112">
        <f>'2019_C4_Zeitreihe'!J28</f>
        <v>3442</v>
      </c>
      <c r="S28" s="112">
        <f>'2019_C4_Zeitreihe'!K28</f>
        <v>2472</v>
      </c>
      <c r="T28" s="112">
        <f>'2019_C4_Zeitreihe'!L28</f>
        <v>970</v>
      </c>
      <c r="U28" s="75">
        <f>'2019_C4_Zeitreihe'!M28</f>
        <v>6.2463683904706562</v>
      </c>
      <c r="V28" s="75">
        <f>'2019_C4_Zeitreihe'!N28</f>
        <v>26.263800116211506</v>
      </c>
      <c r="W28" s="75">
        <f>'2019_C4_Zeitreihe'!O28</f>
        <v>27.309703660662404</v>
      </c>
      <c r="X28" s="75">
        <f>'2019_C4_Zeitreihe'!P28</f>
        <v>40.18012783265543</v>
      </c>
      <c r="Y28" s="112">
        <f>'2019_C4_Zeitreihe'!Q28</f>
        <v>2668</v>
      </c>
      <c r="Z28" s="112">
        <f>'2019_C4_Zeitreihe'!R28</f>
        <v>1901</v>
      </c>
      <c r="AA28" s="112">
        <f>'2019_C4_Zeitreihe'!S28</f>
        <v>767</v>
      </c>
      <c r="AB28" s="75">
        <f>'2019_C4_Zeitreihe'!T28</f>
        <v>6.7841079460269862</v>
      </c>
      <c r="AC28" s="75">
        <f>'2019_C4_Zeitreihe'!U28</f>
        <v>27.023988005997001</v>
      </c>
      <c r="AD28" s="75">
        <f>'2019_C4_Zeitreihe'!V28</f>
        <v>26.72413793103448</v>
      </c>
      <c r="AE28" s="75">
        <f>'2019_C4_Zeitreihe'!W28</f>
        <v>39.467766116941526</v>
      </c>
      <c r="AF28" s="112">
        <f>'2019_C4_Zeitreihe'!X28</f>
        <v>2391</v>
      </c>
      <c r="AG28" s="112">
        <f>'2019_C4_Zeitreihe'!Y28</f>
        <v>1701</v>
      </c>
      <c r="AH28" s="112">
        <f>'2019_C4_Zeitreihe'!Z28</f>
        <v>690</v>
      </c>
      <c r="AI28" s="75">
        <f>'2019_C4_Zeitreihe'!AA28</f>
        <v>5.7716436637390212</v>
      </c>
      <c r="AJ28" s="75">
        <f>'2019_C4_Zeitreihe'!AB28</f>
        <v>27.603513174404014</v>
      </c>
      <c r="AK28" s="75">
        <f>'2019_C4_Zeitreihe'!AC28</f>
        <v>26.516102049351737</v>
      </c>
      <c r="AL28" s="75">
        <f>'2019_C4_Zeitreihe'!AD28</f>
        <v>40.108741112505228</v>
      </c>
      <c r="AM28" s="57">
        <f>'2019_C4_Zeitreihe'!AE28</f>
        <v>2038</v>
      </c>
      <c r="AN28" s="57">
        <f>'2019_C4_Zeitreihe'!AF28</f>
        <v>1438</v>
      </c>
      <c r="AO28" s="57">
        <f>'2019_C4_Zeitreihe'!AG28</f>
        <v>600</v>
      </c>
      <c r="AP28" s="29">
        <f>'2019_C4_Zeitreihe'!AH28</f>
        <v>5.5446516192345436</v>
      </c>
      <c r="AQ28" s="29">
        <f>'2019_C4_Zeitreihe'!AI28</f>
        <v>29.587831207065751</v>
      </c>
      <c r="AR28" s="29">
        <f>'2019_C4_Zeitreihe'!AJ28</f>
        <v>26.104023552502454</v>
      </c>
      <c r="AS28" s="77">
        <f>'2019_C4_Zeitreihe'!AK28</f>
        <v>38.763493621197256</v>
      </c>
      <c r="AT28" s="57">
        <f>'2019_C4_Zeitreihe'!AL28</f>
        <v>1800</v>
      </c>
      <c r="AU28" s="57">
        <f>'2019_C4_Zeitreihe'!AM28</f>
        <v>1249</v>
      </c>
      <c r="AV28" s="57">
        <f>'2019_C4_Zeitreihe'!AN28</f>
        <v>551</v>
      </c>
      <c r="AW28" s="29">
        <f>'2019_C4_Zeitreihe'!AO28</f>
        <v>5.6666666666666661</v>
      </c>
      <c r="AX28" s="29">
        <f>'2019_C4_Zeitreihe'!AP28</f>
        <v>30.222222222222221</v>
      </c>
      <c r="AY28" s="29">
        <f>'2019_C4_Zeitreihe'!AQ28</f>
        <v>25.611111111111111</v>
      </c>
      <c r="AZ28" s="29">
        <f>'2019_C4_Zeitreihe'!AR28</f>
        <v>38.5</v>
      </c>
      <c r="BA28" s="57">
        <f>'2019_C4_Zeitreihe'!AS28</f>
        <v>1637</v>
      </c>
      <c r="BB28" s="57">
        <f>'2019_C4_Zeitreihe'!AT28</f>
        <v>1144</v>
      </c>
      <c r="BC28" s="57">
        <f>'2019_C4_Zeitreihe'!AU28</f>
        <v>493</v>
      </c>
      <c r="BD28" s="29">
        <f>'2019_C4_Zeitreihe'!AV28</f>
        <v>4.8869883934025662</v>
      </c>
      <c r="BE28" s="29">
        <f>'2019_C4_Zeitreihe'!AW28</f>
        <v>27.306047648136833</v>
      </c>
      <c r="BF28" s="29">
        <f>'2019_C4_Zeitreihe'!AX28</f>
        <v>25.045815516188146</v>
      </c>
      <c r="BG28" s="29">
        <f>'2019_C4_Zeitreihe'!AY28</f>
        <v>42.761148442272457</v>
      </c>
      <c r="BH28" s="57">
        <f>'2019_C4_Zeitreihe'!AZ28</f>
        <v>1245</v>
      </c>
      <c r="BI28" s="57">
        <f>'2019_C4_Zeitreihe'!BA28</f>
        <v>865</v>
      </c>
      <c r="BJ28" s="57">
        <f>'2019_C4_Zeitreihe'!BB28</f>
        <v>380</v>
      </c>
      <c r="BK28" s="83">
        <f>'2019_C4_Zeitreihe'!BC28</f>
        <v>3.2128514056224895</v>
      </c>
      <c r="BL28" s="83">
        <f>'2019_C4_Zeitreihe'!BD28</f>
        <v>24.016064257028113</v>
      </c>
      <c r="BM28" s="83">
        <f>'2019_C4_Zeitreihe'!BE28</f>
        <v>30.200803212851408</v>
      </c>
      <c r="BN28" s="83">
        <f>'2019_C4_Zeitreihe'!BF28</f>
        <v>42.570281124497988</v>
      </c>
      <c r="BO28" s="57">
        <f>'2019_C4_Zeitreihe'!BG28</f>
        <v>1148</v>
      </c>
      <c r="BP28" s="57">
        <f>'2019_C4_Zeitreihe'!BH28</f>
        <v>822</v>
      </c>
      <c r="BQ28" s="57">
        <f>'2019_C4_Zeitreihe'!BI28</f>
        <v>326</v>
      </c>
      <c r="BR28" s="83">
        <f>'2019_C4_Zeitreihe'!BJ28</f>
        <v>3.3972125435540068</v>
      </c>
      <c r="BS28" s="83">
        <f>'2019_C4_Zeitreihe'!BK28</f>
        <v>23.780487804878049</v>
      </c>
      <c r="BT28" s="83">
        <f>'2019_C4_Zeitreihe'!BL28</f>
        <v>30.923344947735192</v>
      </c>
      <c r="BU28" s="78">
        <f>'2019_C4_Zeitreihe'!BM28</f>
        <v>41.898954703832757</v>
      </c>
      <c r="BV28" s="62"/>
    </row>
    <row r="29" spans="2:74" ht="8.25" customHeight="1">
      <c r="B29" s="107">
        <v>257</v>
      </c>
      <c r="C29" s="74" t="s">
        <v>106</v>
      </c>
      <c r="D29" s="74">
        <f>VLOOKUP(B29,'2020_Rohdaten_BA'!$A$10:$E$59,3,FALSE)</f>
        <v>3862</v>
      </c>
      <c r="E29" s="74">
        <f>VLOOKUP(B29,'2020_Rohdaten_BA'!$A$10:$E$59,4,FALSE)</f>
        <v>2539</v>
      </c>
      <c r="F29" s="74">
        <f>VLOOKUP(B29,'2020_Rohdaten_BA'!$A$10:$E$59,5,FALSE)</f>
        <v>1323</v>
      </c>
      <c r="G29" s="74">
        <f>VLOOKUP(B29,'2020_Rohdaten_BA'!$A$10:$M$59,12,FALSE)</f>
        <v>8.7519419989642664</v>
      </c>
      <c r="H29" s="74">
        <f>VLOOKUP(B29,'2020_Rohdaten_BA'!$A$10:$M$59,11,FALSE)</f>
        <v>42.982910409114446</v>
      </c>
      <c r="I29" s="74">
        <f>VLOOKUP(B29,'2020_Rohdaten_BA'!$A$10:$M$59,10,FALSE)</f>
        <v>27.498705334023821</v>
      </c>
      <c r="J29" s="74">
        <f>VLOOKUP(B29,'2020_Rohdaten_BA'!$A$10:$M$59,13,FALSE)</f>
        <v>20.766442257897463</v>
      </c>
      <c r="K29" s="193">
        <f>'2019_C4_Zeitreihe'!C29</f>
        <v>3689</v>
      </c>
      <c r="L29" s="193">
        <f>'2019_C4_Zeitreihe'!D29</f>
        <v>2420</v>
      </c>
      <c r="M29" s="193">
        <f>'2019_C4_Zeitreihe'!E29</f>
        <v>1269</v>
      </c>
      <c r="N29" s="115">
        <f>'2019_C4_Zeitreihe'!F29</f>
        <v>8.6473298997018162</v>
      </c>
      <c r="O29" s="115">
        <f>'2019_C4_Zeitreihe'!G29</f>
        <v>43.345079967470859</v>
      </c>
      <c r="P29" s="115">
        <f>'2019_C4_Zeitreihe'!H29</f>
        <v>26.24017348875034</v>
      </c>
      <c r="Q29" s="115">
        <f>'2019_C4_Zeitreihe'!I29</f>
        <v>21.767416644076985</v>
      </c>
      <c r="R29" s="112">
        <f>'2019_C4_Zeitreihe'!J29</f>
        <v>3435</v>
      </c>
      <c r="S29" s="112">
        <f>'2019_C4_Zeitreihe'!K29</f>
        <v>2251</v>
      </c>
      <c r="T29" s="112">
        <f>'2019_C4_Zeitreihe'!L29</f>
        <v>1184</v>
      </c>
      <c r="U29" s="75">
        <f>'2019_C4_Zeitreihe'!M29</f>
        <v>8.0931586608442512</v>
      </c>
      <c r="V29" s="75">
        <f>'2019_C4_Zeitreihe'!N29</f>
        <v>43.522561863173216</v>
      </c>
      <c r="W29" s="75">
        <f>'2019_C4_Zeitreihe'!O29</f>
        <v>26.22998544395924</v>
      </c>
      <c r="X29" s="75">
        <f>'2019_C4_Zeitreihe'!P29</f>
        <v>22.154294032023287</v>
      </c>
      <c r="Y29" s="112">
        <f>'2019_C4_Zeitreihe'!Q29</f>
        <v>2966</v>
      </c>
      <c r="Z29" s="112">
        <f>'2019_C4_Zeitreihe'!R29</f>
        <v>1935</v>
      </c>
      <c r="AA29" s="112">
        <f>'2019_C4_Zeitreihe'!S29</f>
        <v>1031</v>
      </c>
      <c r="AB29" s="75">
        <f>'2019_C4_Zeitreihe'!T29</f>
        <v>7.4848280512474723</v>
      </c>
      <c r="AC29" s="75">
        <f>'2019_C4_Zeitreihe'!U29</f>
        <v>43.391773432231965</v>
      </c>
      <c r="AD29" s="75">
        <f>'2019_C4_Zeitreihe'!V29</f>
        <v>25.354012137559</v>
      </c>
      <c r="AE29" s="75">
        <f>'2019_C4_Zeitreihe'!W29</f>
        <v>23.769386378961567</v>
      </c>
      <c r="AF29" s="112">
        <f>'2019_C4_Zeitreihe'!X29</f>
        <v>2642</v>
      </c>
      <c r="AG29" s="112">
        <f>'2019_C4_Zeitreihe'!Y29</f>
        <v>1720</v>
      </c>
      <c r="AH29" s="112">
        <f>'2019_C4_Zeitreihe'!Z29</f>
        <v>922</v>
      </c>
      <c r="AI29" s="75">
        <f>'2019_C4_Zeitreihe'!AA29</f>
        <v>7.9863739591218774</v>
      </c>
      <c r="AJ29" s="75">
        <f>'2019_C4_Zeitreihe'!AB29</f>
        <v>42.922028766086299</v>
      </c>
      <c r="AK29" s="75">
        <f>'2019_C4_Zeitreihe'!AC29</f>
        <v>24.716124148372444</v>
      </c>
      <c r="AL29" s="75">
        <f>'2019_C4_Zeitreihe'!AD29</f>
        <v>24.375473126419379</v>
      </c>
      <c r="AM29" s="57">
        <f>'2019_C4_Zeitreihe'!AE29</f>
        <v>2296</v>
      </c>
      <c r="AN29" s="57">
        <f>'2019_C4_Zeitreihe'!AF29</f>
        <v>1494</v>
      </c>
      <c r="AO29" s="57">
        <f>'2019_C4_Zeitreihe'!AG29</f>
        <v>802</v>
      </c>
      <c r="AP29" s="29">
        <f>'2019_C4_Zeitreihe'!AH29</f>
        <v>7.6219512195121952</v>
      </c>
      <c r="AQ29" s="29">
        <f>'2019_C4_Zeitreihe'!AI29</f>
        <v>39.851916376306619</v>
      </c>
      <c r="AR29" s="29">
        <f>'2019_C4_Zeitreihe'!AJ29</f>
        <v>26.393728222996515</v>
      </c>
      <c r="AS29" s="29">
        <f>'2019_C4_Zeitreihe'!AK29</f>
        <v>26.132404181184672</v>
      </c>
      <c r="AT29" s="57">
        <f>'2019_C4_Zeitreihe'!AL29</f>
        <v>1920</v>
      </c>
      <c r="AU29" s="57">
        <f>'2019_C4_Zeitreihe'!AM29</f>
        <v>1192</v>
      </c>
      <c r="AV29" s="57">
        <f>'2019_C4_Zeitreihe'!AN29</f>
        <v>728</v>
      </c>
      <c r="AW29" s="29">
        <f>'2019_C4_Zeitreihe'!AO29</f>
        <v>6.9270833333333339</v>
      </c>
      <c r="AX29" s="29">
        <f>'2019_C4_Zeitreihe'!AP29</f>
        <v>37.864583333333336</v>
      </c>
      <c r="AY29" s="29">
        <f>'2019_C4_Zeitreihe'!AQ29</f>
        <v>27.447916666666668</v>
      </c>
      <c r="AZ29" s="29">
        <f>'2019_C4_Zeitreihe'!AR29</f>
        <v>27.760416666666657</v>
      </c>
      <c r="BA29" s="57">
        <f>'2019_C4_Zeitreihe'!AS29</f>
        <v>1777</v>
      </c>
      <c r="BB29" s="57">
        <f>'2019_C4_Zeitreihe'!AT29</f>
        <v>1129</v>
      </c>
      <c r="BC29" s="57">
        <f>'2019_C4_Zeitreihe'!AU29</f>
        <v>648</v>
      </c>
      <c r="BD29" s="29">
        <f>'2019_C4_Zeitreihe'!AV29</f>
        <v>6.6404051772650536</v>
      </c>
      <c r="BE29" s="29">
        <f>'2019_C4_Zeitreihe'!AW29</f>
        <v>36.015756893640969</v>
      </c>
      <c r="BF29" s="29">
        <f>'2019_C4_Zeitreihe'!AX29</f>
        <v>28.418683173888574</v>
      </c>
      <c r="BG29" s="29">
        <f>'2019_C4_Zeitreihe'!AY29</f>
        <v>28.925154755205398</v>
      </c>
      <c r="BH29" s="57">
        <f>'2019_C4_Zeitreihe'!AZ29</f>
        <v>1538</v>
      </c>
      <c r="BI29" s="57">
        <f>'2019_C4_Zeitreihe'!BA29</f>
        <v>989</v>
      </c>
      <c r="BJ29" s="57">
        <f>'2019_C4_Zeitreihe'!BB29</f>
        <v>549</v>
      </c>
      <c r="BK29" s="83">
        <f>'2019_C4_Zeitreihe'!BC29</f>
        <v>5.2665799739921981</v>
      </c>
      <c r="BL29" s="83">
        <f>'2019_C4_Zeitreihe'!BD29</f>
        <v>31.144343302990897</v>
      </c>
      <c r="BM29" s="83">
        <f>'2019_C4_Zeitreihe'!BE29</f>
        <v>30.754226267880362</v>
      </c>
      <c r="BN29" s="83">
        <f>'2019_C4_Zeitreihe'!BF29</f>
        <v>32.834850455136532</v>
      </c>
      <c r="BO29" s="57">
        <f>'2019_C4_Zeitreihe'!BG29</f>
        <v>1505</v>
      </c>
      <c r="BP29" s="57">
        <f>'2019_C4_Zeitreihe'!BH29</f>
        <v>990</v>
      </c>
      <c r="BQ29" s="57">
        <f>'2019_C4_Zeitreihe'!BI29</f>
        <v>515</v>
      </c>
      <c r="BR29" s="83">
        <f>'2019_C4_Zeitreihe'!BJ29</f>
        <v>5.249169435215947</v>
      </c>
      <c r="BS29" s="83">
        <f>'2019_C4_Zeitreihe'!BK29</f>
        <v>30.963455149501662</v>
      </c>
      <c r="BT29" s="83">
        <f>'2019_C4_Zeitreihe'!BL29</f>
        <v>33.02325581395349</v>
      </c>
      <c r="BU29" s="78">
        <f>'2019_C4_Zeitreihe'!BM29</f>
        <v>30.764119601328908</v>
      </c>
      <c r="BV29" s="62"/>
    </row>
    <row r="30" spans="2:74" s="54" customFormat="1" ht="16.5" customHeight="1">
      <c r="B30" s="108">
        <v>2</v>
      </c>
      <c r="C30" s="84" t="s">
        <v>155</v>
      </c>
      <c r="D30" s="74">
        <f>VLOOKUP(B30,'2020_Rohdaten_BA'!$A$10:$E$59,3,FALSE)</f>
        <v>89506</v>
      </c>
      <c r="E30" s="74">
        <f>VLOOKUP(B30,'2020_Rohdaten_BA'!$A$10:$E$59,4,FALSE)</f>
        <v>56744</v>
      </c>
      <c r="F30" s="74">
        <f>VLOOKUP(B30,'2020_Rohdaten_BA'!$A$10:$E$59,5,FALSE)</f>
        <v>32762</v>
      </c>
      <c r="G30" s="74">
        <f>VLOOKUP(B30,'2020_Rohdaten_BA'!$A$10:$M$59,12,FALSE)</f>
        <v>12.827073045382432</v>
      </c>
      <c r="H30" s="74">
        <f>VLOOKUP(B30,'2020_Rohdaten_BA'!$A$10:$M$59,11,FALSE)</f>
        <v>33.3575402766295</v>
      </c>
      <c r="I30" s="74">
        <f>VLOOKUP(B30,'2020_Rohdaten_BA'!$A$10:$M$59,10,FALSE)</f>
        <v>27.471901325050833</v>
      </c>
      <c r="J30" s="74">
        <f>VLOOKUP(B30,'2020_Rohdaten_BA'!$A$10:$M$59,13,FALSE)</f>
        <v>26.343485352937233</v>
      </c>
      <c r="K30" s="193">
        <f>'2019_C4_Zeitreihe'!C30</f>
        <v>86601</v>
      </c>
      <c r="L30" s="193">
        <f>'2019_C4_Zeitreihe'!D30</f>
        <v>55379</v>
      </c>
      <c r="M30" s="193">
        <f>'2019_C4_Zeitreihe'!E30</f>
        <v>31222</v>
      </c>
      <c r="N30" s="115">
        <f>'2019_C4_Zeitreihe'!F30</f>
        <v>12.373991062458863</v>
      </c>
      <c r="O30" s="115">
        <f>'2019_C4_Zeitreihe'!G30</f>
        <v>32.894539324026283</v>
      </c>
      <c r="P30" s="115">
        <f>'2019_C4_Zeitreihe'!H30</f>
        <v>27.067816768859483</v>
      </c>
      <c r="Q30" s="115">
        <f>'2019_C4_Zeitreihe'!I30</f>
        <v>27.663652844655374</v>
      </c>
      <c r="R30" s="113">
        <f>'2019_C4_Zeitreihe'!J30</f>
        <v>79418</v>
      </c>
      <c r="S30" s="113">
        <f>'2019_C4_Zeitreihe'!K30</f>
        <v>50474</v>
      </c>
      <c r="T30" s="113">
        <f>'2019_C4_Zeitreihe'!L30</f>
        <v>28944</v>
      </c>
      <c r="U30" s="85">
        <f>'2019_C4_Zeitreihe'!M30</f>
        <v>11.944395477095872</v>
      </c>
      <c r="V30" s="85">
        <f>'2019_C4_Zeitreihe'!N30</f>
        <v>33.173839683698908</v>
      </c>
      <c r="W30" s="85">
        <f>'2019_C4_Zeitreihe'!O30</f>
        <v>26.321488831247326</v>
      </c>
      <c r="X30" s="85">
        <f>'2019_C4_Zeitreihe'!P30</f>
        <v>28.560276007957892</v>
      </c>
      <c r="Y30" s="113">
        <f>'2019_C4_Zeitreihe'!Q30</f>
        <v>71250</v>
      </c>
      <c r="Z30" s="113">
        <f>'2019_C4_Zeitreihe'!R30</f>
        <v>44711</v>
      </c>
      <c r="AA30" s="113">
        <f>'2019_C4_Zeitreihe'!S30</f>
        <v>26539</v>
      </c>
      <c r="AB30" s="85">
        <f>'2019_C4_Zeitreihe'!T30</f>
        <v>11.849824561403508</v>
      </c>
      <c r="AC30" s="85">
        <f>'2019_C4_Zeitreihe'!U30</f>
        <v>33.799298245614033</v>
      </c>
      <c r="AD30" s="85">
        <f>'2019_C4_Zeitreihe'!V30</f>
        <v>25.124210526315789</v>
      </c>
      <c r="AE30" s="85">
        <f>'2019_C4_Zeitreihe'!W30</f>
        <v>29.226666666666667</v>
      </c>
      <c r="AF30" s="113">
        <f>'2019_C4_Zeitreihe'!X30</f>
        <v>64668</v>
      </c>
      <c r="AG30" s="113">
        <f>'2019_C4_Zeitreihe'!Y30</f>
        <v>39853</v>
      </c>
      <c r="AH30" s="113">
        <f>'2019_C4_Zeitreihe'!Z30</f>
        <v>24815</v>
      </c>
      <c r="AI30" s="85">
        <f>'2019_C4_Zeitreihe'!AA30</f>
        <v>11.749242283664255</v>
      </c>
      <c r="AJ30" s="85">
        <f>'2019_C4_Zeitreihe'!AB30</f>
        <v>34.063215191439348</v>
      </c>
      <c r="AK30" s="85">
        <f>'2019_C4_Zeitreihe'!AC30</f>
        <v>24.806705016391415</v>
      </c>
      <c r="AL30" s="85">
        <f>'2019_C4_Zeitreihe'!AD30</f>
        <v>29.380837508504982</v>
      </c>
      <c r="AM30" s="86">
        <f>'2019_C4_Zeitreihe'!AE30</f>
        <v>58315</v>
      </c>
      <c r="AN30" s="86">
        <f>'2019_C4_Zeitreihe'!AF30</f>
        <v>35837</v>
      </c>
      <c r="AO30" s="86">
        <f>'2019_C4_Zeitreihe'!AG30</f>
        <v>22478</v>
      </c>
      <c r="AP30" s="87">
        <f>'2019_C4_Zeitreihe'!AH30</f>
        <v>11.27325730944011</v>
      </c>
      <c r="AQ30" s="87">
        <f>'2019_C4_Zeitreihe'!AI30</f>
        <v>34.227900197204839</v>
      </c>
      <c r="AR30" s="87">
        <f>'2019_C4_Zeitreihe'!AJ30</f>
        <v>24.674612020920861</v>
      </c>
      <c r="AS30" s="87">
        <f>'2019_C4_Zeitreihe'!AK30</f>
        <v>29.824230472434188</v>
      </c>
      <c r="AT30" s="86">
        <f>'2019_C4_Zeitreihe'!AL30</f>
        <v>52372</v>
      </c>
      <c r="AU30" s="86">
        <f>'2019_C4_Zeitreihe'!AM30</f>
        <v>31942</v>
      </c>
      <c r="AV30" s="86">
        <f>'2019_C4_Zeitreihe'!AN30</f>
        <v>20430</v>
      </c>
      <c r="AW30" s="87">
        <f>'2019_C4_Zeitreihe'!AO30</f>
        <v>11.131902543343772</v>
      </c>
      <c r="AX30" s="87">
        <f>'2019_C4_Zeitreihe'!AP30</f>
        <v>34.048728328114258</v>
      </c>
      <c r="AY30" s="87">
        <f>'2019_C4_Zeitreihe'!AQ30</f>
        <v>24.018559535629727</v>
      </c>
      <c r="AZ30" s="87">
        <f>'2019_C4_Zeitreihe'!AR30</f>
        <v>30.800809592912252</v>
      </c>
      <c r="BA30" s="86">
        <f>'2019_C4_Zeitreihe'!AS30</f>
        <v>48711</v>
      </c>
      <c r="BB30" s="86">
        <f>'2019_C4_Zeitreihe'!AT30</f>
        <v>29383</v>
      </c>
      <c r="BC30" s="86">
        <f>'2019_C4_Zeitreihe'!AU30</f>
        <v>19328</v>
      </c>
      <c r="BD30" s="87">
        <f>'2019_C4_Zeitreihe'!AV30</f>
        <v>9.398287861058078</v>
      </c>
      <c r="BE30" s="87">
        <f>'2019_C4_Zeitreihe'!AW30</f>
        <v>30.089712795877727</v>
      </c>
      <c r="BF30" s="87">
        <f>'2019_C4_Zeitreihe'!AX30</f>
        <v>21.609082137504878</v>
      </c>
      <c r="BG30" s="87">
        <f>'2019_C4_Zeitreihe'!AY30</f>
        <v>38.902917205559305</v>
      </c>
      <c r="BH30" s="86">
        <f>'2019_C4_Zeitreihe'!AZ30</f>
        <v>41643</v>
      </c>
      <c r="BI30" s="86">
        <f>'2019_C4_Zeitreihe'!BA30</f>
        <v>25045</v>
      </c>
      <c r="BJ30" s="86">
        <f>'2019_C4_Zeitreihe'!BB30</f>
        <v>16598</v>
      </c>
      <c r="BK30" s="88">
        <f>'2019_C4_Zeitreihe'!BC30</f>
        <v>7.7107797228825978</v>
      </c>
      <c r="BL30" s="88">
        <f>'2019_C4_Zeitreihe'!BD30</f>
        <v>29.044497274451892</v>
      </c>
      <c r="BM30" s="88">
        <f>'2019_C4_Zeitreihe'!BE30</f>
        <v>23.540571044353193</v>
      </c>
      <c r="BN30" s="88">
        <f>'2019_C4_Zeitreihe'!BF30</f>
        <v>39.704151958312323</v>
      </c>
      <c r="BO30" s="86">
        <f>'2019_C4_Zeitreihe'!BG30</f>
        <v>39602</v>
      </c>
      <c r="BP30" s="86">
        <f>'2019_C4_Zeitreihe'!BH30</f>
        <v>23896</v>
      </c>
      <c r="BQ30" s="86">
        <f>'2019_C4_Zeitreihe'!BI30</f>
        <v>15706</v>
      </c>
      <c r="BR30" s="88">
        <f>'2019_C4_Zeitreihe'!BJ30</f>
        <v>7.444068481389829</v>
      </c>
      <c r="BS30" s="88">
        <f>'2019_C4_Zeitreihe'!BK30</f>
        <v>29.407605676480987</v>
      </c>
      <c r="BT30" s="88">
        <f>'2019_C4_Zeitreihe'!BL30</f>
        <v>24.117468814706328</v>
      </c>
      <c r="BU30" s="89">
        <f>'2019_C4_Zeitreihe'!BM30</f>
        <v>39.030857027422861</v>
      </c>
      <c r="BV30" s="106"/>
    </row>
    <row r="31" spans="2:74" ht="8.25" customHeight="1">
      <c r="B31" s="107">
        <v>351</v>
      </c>
      <c r="C31" s="74" t="s">
        <v>107</v>
      </c>
      <c r="D31" s="74">
        <f>VLOOKUP(B31,'2020_Rohdaten_BA'!$A$10:$E$59,3,FALSE)</f>
        <v>4092</v>
      </c>
      <c r="E31" s="74">
        <f>VLOOKUP(B31,'2020_Rohdaten_BA'!$A$10:$E$59,4,FALSE)</f>
        <v>2631</v>
      </c>
      <c r="F31" s="74">
        <f>VLOOKUP(B31,'2020_Rohdaten_BA'!$A$10:$E$59,5,FALSE)</f>
        <v>1461</v>
      </c>
      <c r="G31" s="74">
        <f>VLOOKUP(B31,'2020_Rohdaten_BA'!$A$10:$M$59,12,FALSE)</f>
        <v>14.07624633431085</v>
      </c>
      <c r="H31" s="74">
        <f>VLOOKUP(B31,'2020_Rohdaten_BA'!$A$10:$M$59,11,FALSE)</f>
        <v>30.351906158357771</v>
      </c>
      <c r="I31" s="74">
        <f>VLOOKUP(B31,'2020_Rohdaten_BA'!$A$10:$M$59,10,FALSE)</f>
        <v>31.378299120234605</v>
      </c>
      <c r="J31" s="74">
        <f>VLOOKUP(B31,'2020_Rohdaten_BA'!$A$10:$M$59,13,FALSE)</f>
        <v>24.193548387096776</v>
      </c>
      <c r="K31" s="193">
        <f>'2019_C4_Zeitreihe'!C31</f>
        <v>3847</v>
      </c>
      <c r="L31" s="193">
        <f>'2019_C4_Zeitreihe'!D31</f>
        <v>2498</v>
      </c>
      <c r="M31" s="193">
        <f>'2019_C4_Zeitreihe'!E31</f>
        <v>1349</v>
      </c>
      <c r="N31" s="115">
        <f>'2019_C4_Zeitreihe'!F31</f>
        <v>14.088900441902782</v>
      </c>
      <c r="O31" s="115">
        <f>'2019_C4_Zeitreihe'!G31</f>
        <v>31.089160384715363</v>
      </c>
      <c r="P31" s="115">
        <f>'2019_C4_Zeitreihe'!H31</f>
        <v>30.387314790746036</v>
      </c>
      <c r="Q31" s="115">
        <f>'2019_C4_Zeitreihe'!I31</f>
        <v>24.434624382635821</v>
      </c>
      <c r="R31" s="112">
        <f>'2019_C4_Zeitreihe'!J31</f>
        <v>3438</v>
      </c>
      <c r="S31" s="112">
        <f>'2019_C4_Zeitreihe'!K31</f>
        <v>2240</v>
      </c>
      <c r="T31" s="112">
        <f>'2019_C4_Zeitreihe'!L31</f>
        <v>1198</v>
      </c>
      <c r="U31" s="75">
        <f>'2019_C4_Zeitreihe'!M31</f>
        <v>13.554392088423503</v>
      </c>
      <c r="V31" s="75">
        <f>'2019_C4_Zeitreihe'!N31</f>
        <v>33.216986620127983</v>
      </c>
      <c r="W31" s="75">
        <f>'2019_C4_Zeitreihe'!O31</f>
        <v>29.086678301337987</v>
      </c>
      <c r="X31" s="75">
        <f>'2019_C4_Zeitreihe'!P31</f>
        <v>24.141942990110529</v>
      </c>
      <c r="Y31" s="112">
        <f>'2019_C4_Zeitreihe'!Q31</f>
        <v>3061</v>
      </c>
      <c r="Z31" s="112">
        <f>'2019_C4_Zeitreihe'!R31</f>
        <v>1955</v>
      </c>
      <c r="AA31" s="112">
        <f>'2019_C4_Zeitreihe'!S31</f>
        <v>1106</v>
      </c>
      <c r="AB31" s="75">
        <f>'2019_C4_Zeitreihe'!T31</f>
        <v>14.276380267886314</v>
      </c>
      <c r="AC31" s="75">
        <f>'2019_C4_Zeitreihe'!U31</f>
        <v>33.322443645867359</v>
      </c>
      <c r="AD31" s="75">
        <f>'2019_C4_Zeitreihe'!V31</f>
        <v>28.520091473374716</v>
      </c>
      <c r="AE31" s="75">
        <f>'2019_C4_Zeitreihe'!W31</f>
        <v>23.881084612871611</v>
      </c>
      <c r="AF31" s="112">
        <f>'2019_C4_Zeitreihe'!X31</f>
        <v>2746</v>
      </c>
      <c r="AG31" s="112">
        <f>'2019_C4_Zeitreihe'!Y31</f>
        <v>1734</v>
      </c>
      <c r="AH31" s="112">
        <f>'2019_C4_Zeitreihe'!Z31</f>
        <v>1012</v>
      </c>
      <c r="AI31" s="75">
        <f>'2019_C4_Zeitreihe'!AA31</f>
        <v>14.566642388929353</v>
      </c>
      <c r="AJ31" s="75">
        <f>'2019_C4_Zeitreihe'!AB31</f>
        <v>34.705025491624184</v>
      </c>
      <c r="AK31" s="75">
        <f>'2019_C4_Zeitreihe'!AC31</f>
        <v>27.093954843408596</v>
      </c>
      <c r="AL31" s="75">
        <f>'2019_C4_Zeitreihe'!AD31</f>
        <v>23.634377276037874</v>
      </c>
      <c r="AM31" s="57">
        <f>'2019_C4_Zeitreihe'!AE31</f>
        <v>2601</v>
      </c>
      <c r="AN31" s="57">
        <f>'2019_C4_Zeitreihe'!AF31</f>
        <v>1639</v>
      </c>
      <c r="AO31" s="57">
        <f>'2019_C4_Zeitreihe'!AG31</f>
        <v>962</v>
      </c>
      <c r="AP31" s="29">
        <f>'2019_C4_Zeitreihe'!AH31</f>
        <v>14.494425221068818</v>
      </c>
      <c r="AQ31" s="29">
        <f>'2019_C4_Zeitreihe'!AI31</f>
        <v>35.063437139561707</v>
      </c>
      <c r="AR31" s="29">
        <f>'2019_C4_Zeitreihe'!AJ31</f>
        <v>25.297962322183775</v>
      </c>
      <c r="AS31" s="29">
        <f>'2019_C4_Zeitreihe'!AK31</f>
        <v>25.144175317185699</v>
      </c>
      <c r="AT31" s="57">
        <f>'2019_C4_Zeitreihe'!AL31</f>
        <v>2335</v>
      </c>
      <c r="AU31" s="57">
        <f>'2019_C4_Zeitreihe'!AM31</f>
        <v>1500</v>
      </c>
      <c r="AV31" s="57">
        <f>'2019_C4_Zeitreihe'!AN31</f>
        <v>835</v>
      </c>
      <c r="AW31" s="29">
        <f>'2019_C4_Zeitreihe'!AO31</f>
        <v>14.903640256959314</v>
      </c>
      <c r="AX31" s="29">
        <f>'2019_C4_Zeitreihe'!AP31</f>
        <v>34.304068522483938</v>
      </c>
      <c r="AY31" s="29">
        <f>'2019_C4_Zeitreihe'!AQ31</f>
        <v>23.640256959314776</v>
      </c>
      <c r="AZ31" s="29">
        <f>'2019_C4_Zeitreihe'!AR31</f>
        <v>27.15203426124198</v>
      </c>
      <c r="BA31" s="57">
        <f>'2019_C4_Zeitreihe'!AS31</f>
        <v>2199</v>
      </c>
      <c r="BB31" s="57">
        <f>'2019_C4_Zeitreihe'!AT31</f>
        <v>1418</v>
      </c>
      <c r="BC31" s="57">
        <f>'2019_C4_Zeitreihe'!AU31</f>
        <v>781</v>
      </c>
      <c r="BD31" s="29">
        <f>'2019_C4_Zeitreihe'!AV31</f>
        <v>13.005911778080945</v>
      </c>
      <c r="BE31" s="29">
        <f>'2019_C4_Zeitreihe'!AW31</f>
        <v>31.832651205093228</v>
      </c>
      <c r="BF31" s="29">
        <f>'2019_C4_Zeitreihe'!AX31</f>
        <v>22.737608003638019</v>
      </c>
      <c r="BG31" s="29">
        <f>'2019_C4_Zeitreihe'!AY31</f>
        <v>32.423829013187813</v>
      </c>
      <c r="BH31" s="57">
        <f>'2019_C4_Zeitreihe'!AZ31</f>
        <v>1680</v>
      </c>
      <c r="BI31" s="57">
        <f>'2019_C4_Zeitreihe'!BA31</f>
        <v>1043</v>
      </c>
      <c r="BJ31" s="57">
        <f>'2019_C4_Zeitreihe'!BB31</f>
        <v>637</v>
      </c>
      <c r="BK31" s="83">
        <f>'2019_C4_Zeitreihe'!BC31</f>
        <v>12.678571428571427</v>
      </c>
      <c r="BL31" s="83">
        <f>'2019_C4_Zeitreihe'!BD31</f>
        <v>31.36904761904762</v>
      </c>
      <c r="BM31" s="83">
        <f>'2019_C4_Zeitreihe'!BE31</f>
        <v>21.964285714285715</v>
      </c>
      <c r="BN31" s="83">
        <f>'2019_C4_Zeitreihe'!BF31</f>
        <v>33.988095238095227</v>
      </c>
      <c r="BO31" s="57">
        <f>'2019_C4_Zeitreihe'!BG31</f>
        <v>1592</v>
      </c>
      <c r="BP31" s="57">
        <f>'2019_C4_Zeitreihe'!BH31</f>
        <v>981</v>
      </c>
      <c r="BQ31" s="57">
        <f>'2019_C4_Zeitreihe'!BI31</f>
        <v>611</v>
      </c>
      <c r="BR31" s="83">
        <f>'2019_C4_Zeitreihe'!BJ31</f>
        <v>12.751256281407036</v>
      </c>
      <c r="BS31" s="83">
        <f>'2019_C4_Zeitreihe'!BK31</f>
        <v>33.479899497487438</v>
      </c>
      <c r="BT31" s="83">
        <f>'2019_C4_Zeitreihe'!BL31</f>
        <v>21.482412060301506</v>
      </c>
      <c r="BU31" s="78">
        <f>'2019_C4_Zeitreihe'!BM31</f>
        <v>32.286432160804026</v>
      </c>
      <c r="BV31" s="62"/>
    </row>
    <row r="32" spans="2:74" ht="8.25" customHeight="1">
      <c r="B32" s="107">
        <v>352</v>
      </c>
      <c r="C32" s="74" t="s">
        <v>108</v>
      </c>
      <c r="D32" s="74">
        <f>VLOOKUP(B32,'2020_Rohdaten_BA'!$A$10:$E$59,3,FALSE)</f>
        <v>4388</v>
      </c>
      <c r="E32" s="74">
        <f>VLOOKUP(B32,'2020_Rohdaten_BA'!$A$10:$E$59,4,FALSE)</f>
        <v>2924</v>
      </c>
      <c r="F32" s="74">
        <f>VLOOKUP(B32,'2020_Rohdaten_BA'!$A$10:$E$59,5,FALSE)</f>
        <v>1464</v>
      </c>
      <c r="G32" s="74">
        <f>VLOOKUP(B32,'2020_Rohdaten_BA'!$A$10:$M$59,12,FALSE)</f>
        <v>6.6773017319963541</v>
      </c>
      <c r="H32" s="74">
        <f>VLOOKUP(B32,'2020_Rohdaten_BA'!$A$10:$M$59,11,FALSE)</f>
        <v>31.084776663628077</v>
      </c>
      <c r="I32" s="74">
        <f>VLOOKUP(B32,'2020_Rohdaten_BA'!$A$10:$M$59,10,FALSE)</f>
        <v>26.162260711030083</v>
      </c>
      <c r="J32" s="74">
        <f>VLOOKUP(B32,'2020_Rohdaten_BA'!$A$10:$M$59,13,FALSE)</f>
        <v>36.075660893345486</v>
      </c>
      <c r="K32" s="193">
        <f>'2019_C4_Zeitreihe'!C32</f>
        <v>4262</v>
      </c>
      <c r="L32" s="193">
        <f>'2019_C4_Zeitreihe'!D32</f>
        <v>2846</v>
      </c>
      <c r="M32" s="193">
        <f>'2019_C4_Zeitreihe'!E32</f>
        <v>1416</v>
      </c>
      <c r="N32" s="115">
        <f>'2019_C4_Zeitreihe'!F32</f>
        <v>6.4289066166119193</v>
      </c>
      <c r="O32" s="115">
        <f>'2019_C4_Zeitreihe'!G32</f>
        <v>29.892069450961991</v>
      </c>
      <c r="P32" s="115">
        <f>'2019_C4_Zeitreihe'!H32</f>
        <v>25.668700140778977</v>
      </c>
      <c r="Q32" s="115">
        <f>'2019_C4_Zeitreihe'!I32</f>
        <v>38.010323791647117</v>
      </c>
      <c r="R32" s="112">
        <f>'2019_C4_Zeitreihe'!J32</f>
        <v>4156</v>
      </c>
      <c r="S32" s="112">
        <f>'2019_C4_Zeitreihe'!K32</f>
        <v>2828</v>
      </c>
      <c r="T32" s="112">
        <f>'2019_C4_Zeitreihe'!L32</f>
        <v>1328</v>
      </c>
      <c r="U32" s="75">
        <f>'2019_C4_Zeitreihe'!M32</f>
        <v>6.3041385948026951</v>
      </c>
      <c r="V32" s="75">
        <f>'2019_C4_Zeitreihe'!N32</f>
        <v>28.946102021174209</v>
      </c>
      <c r="W32" s="75">
        <f>'2019_C4_Zeitreihe'!O32</f>
        <v>23.796920115495666</v>
      </c>
      <c r="X32" s="75">
        <f>'2019_C4_Zeitreihe'!P32</f>
        <v>40.952839268527427</v>
      </c>
      <c r="Y32" s="112">
        <f>'2019_C4_Zeitreihe'!Q32</f>
        <v>3769</v>
      </c>
      <c r="Z32" s="112">
        <f>'2019_C4_Zeitreihe'!R32</f>
        <v>2426</v>
      </c>
      <c r="AA32" s="112">
        <f>'2019_C4_Zeitreihe'!S32</f>
        <v>1343</v>
      </c>
      <c r="AB32" s="75">
        <f>'2019_C4_Zeitreihe'!T32</f>
        <v>6.6330591668877688</v>
      </c>
      <c r="AC32" s="75">
        <f>'2019_C4_Zeitreihe'!U32</f>
        <v>27.805784027593528</v>
      </c>
      <c r="AD32" s="75">
        <f>'2019_C4_Zeitreihe'!V32</f>
        <v>23.029981427434333</v>
      </c>
      <c r="AE32" s="75">
        <f>'2019_C4_Zeitreihe'!W32</f>
        <v>42.53117537808437</v>
      </c>
      <c r="AF32" s="112">
        <f>'2019_C4_Zeitreihe'!X32</f>
        <v>3391</v>
      </c>
      <c r="AG32" s="112">
        <f>'2019_C4_Zeitreihe'!Y32</f>
        <v>2178</v>
      </c>
      <c r="AH32" s="112">
        <f>'2019_C4_Zeitreihe'!Z32</f>
        <v>1213</v>
      </c>
      <c r="AI32" s="75">
        <f>'2019_C4_Zeitreihe'!AA32</f>
        <v>6.7531701562960773</v>
      </c>
      <c r="AJ32" s="75">
        <f>'2019_C4_Zeitreihe'!AB32</f>
        <v>29.106458271896194</v>
      </c>
      <c r="AK32" s="75">
        <f>'2019_C4_Zeitreihe'!AC32</f>
        <v>21.675022117369508</v>
      </c>
      <c r="AL32" s="75">
        <f>'2019_C4_Zeitreihe'!AD32</f>
        <v>42.465349454438218</v>
      </c>
      <c r="AM32" s="57">
        <f>'2019_C4_Zeitreihe'!AE32</f>
        <v>2948</v>
      </c>
      <c r="AN32" s="57">
        <f>'2019_C4_Zeitreihe'!AF32</f>
        <v>1881</v>
      </c>
      <c r="AO32" s="57">
        <f>'2019_C4_Zeitreihe'!AG32</f>
        <v>1067</v>
      </c>
      <c r="AP32" s="29">
        <f>'2019_C4_Zeitreihe'!AH32</f>
        <v>6.2415196743554953</v>
      </c>
      <c r="AQ32" s="29">
        <f>'2019_C4_Zeitreihe'!AI32</f>
        <v>30.156037991858888</v>
      </c>
      <c r="AR32" s="29">
        <f>'2019_C4_Zeitreihe'!AJ32</f>
        <v>22.388059701492537</v>
      </c>
      <c r="AS32" s="29">
        <f>'2019_C4_Zeitreihe'!AK32</f>
        <v>41.214382632293081</v>
      </c>
      <c r="AT32" s="57">
        <f>'2019_C4_Zeitreihe'!AL32</f>
        <v>2772</v>
      </c>
      <c r="AU32" s="57">
        <f>'2019_C4_Zeitreihe'!AM32</f>
        <v>1809</v>
      </c>
      <c r="AV32" s="57">
        <f>'2019_C4_Zeitreihe'!AN32</f>
        <v>963</v>
      </c>
      <c r="AW32" s="29">
        <f>'2019_C4_Zeitreihe'!AO32</f>
        <v>6.0245310245310248</v>
      </c>
      <c r="AX32" s="29">
        <f>'2019_C4_Zeitreihe'!AP32</f>
        <v>30.266955266955264</v>
      </c>
      <c r="AY32" s="29">
        <f>'2019_C4_Zeitreihe'!AQ32</f>
        <v>21.103896103896101</v>
      </c>
      <c r="AZ32" s="29">
        <f>'2019_C4_Zeitreihe'!AR32</f>
        <v>42.604617604617609</v>
      </c>
      <c r="BA32" s="57">
        <f>'2019_C4_Zeitreihe'!AS32</f>
        <v>2483</v>
      </c>
      <c r="BB32" s="57">
        <f>'2019_C4_Zeitreihe'!AT32</f>
        <v>1529</v>
      </c>
      <c r="BC32" s="57">
        <f>'2019_C4_Zeitreihe'!AU32</f>
        <v>954</v>
      </c>
      <c r="BD32" s="29">
        <f>'2019_C4_Zeitreihe'!AV32</f>
        <v>5.1550543697140556</v>
      </c>
      <c r="BE32" s="29">
        <f>'2019_C4_Zeitreihe'!AW32</f>
        <v>26.29883205799436</v>
      </c>
      <c r="BF32" s="29">
        <f>'2019_C4_Zeitreihe'!AX32</f>
        <v>19.009262988320579</v>
      </c>
      <c r="BG32" s="29">
        <f>'2019_C4_Zeitreihe'!AY32</f>
        <v>49.536850583970995</v>
      </c>
      <c r="BH32" s="57">
        <f>'2019_C4_Zeitreihe'!AZ32</f>
        <v>2066</v>
      </c>
      <c r="BI32" s="57">
        <f>'2019_C4_Zeitreihe'!BA32</f>
        <v>1245</v>
      </c>
      <c r="BJ32" s="57">
        <f>'2019_C4_Zeitreihe'!BB32</f>
        <v>821</v>
      </c>
      <c r="BK32" s="83">
        <f>'2019_C4_Zeitreihe'!BC32</f>
        <v>4.0174249757986447</v>
      </c>
      <c r="BL32" s="83">
        <f>'2019_C4_Zeitreihe'!BD32</f>
        <v>22.749273959341725</v>
      </c>
      <c r="BM32" s="83">
        <f>'2019_C4_Zeitreihe'!BE32</f>
        <v>26.621490803484992</v>
      </c>
      <c r="BN32" s="83">
        <f>'2019_C4_Zeitreihe'!BF32</f>
        <v>46.611810261374643</v>
      </c>
      <c r="BO32" s="57">
        <f>'2019_C4_Zeitreihe'!BG32</f>
        <v>1926</v>
      </c>
      <c r="BP32" s="57">
        <f>'2019_C4_Zeitreihe'!BH32</f>
        <v>1130</v>
      </c>
      <c r="BQ32" s="57">
        <f>'2019_C4_Zeitreihe'!BI32</f>
        <v>796</v>
      </c>
      <c r="BR32" s="83">
        <f>'2019_C4_Zeitreihe'!BJ32</f>
        <v>4.5171339563862922</v>
      </c>
      <c r="BS32" s="83">
        <f>'2019_C4_Zeitreihe'!BK32</f>
        <v>22.689511941848391</v>
      </c>
      <c r="BT32" s="83">
        <f>'2019_C4_Zeitreihe'!BL32</f>
        <v>27.414330218068532</v>
      </c>
      <c r="BU32" s="78">
        <f>'2019_C4_Zeitreihe'!BM32</f>
        <v>45.379023883696789</v>
      </c>
      <c r="BV32" s="62"/>
    </row>
    <row r="33" spans="2:74" ht="8.25" customHeight="1">
      <c r="B33" s="107">
        <v>353</v>
      </c>
      <c r="C33" s="74" t="s">
        <v>109</v>
      </c>
      <c r="D33" s="74">
        <f>VLOOKUP(B33,'2020_Rohdaten_BA'!$A$10:$E$59,3,FALSE)</f>
        <v>9737</v>
      </c>
      <c r="E33" s="74">
        <f>VLOOKUP(B33,'2020_Rohdaten_BA'!$A$10:$E$59,4,FALSE)</f>
        <v>7051</v>
      </c>
      <c r="F33" s="74">
        <f>VLOOKUP(B33,'2020_Rohdaten_BA'!$A$10:$E$59,5,FALSE)</f>
        <v>2686</v>
      </c>
      <c r="G33" s="74">
        <f>VLOOKUP(B33,'2020_Rohdaten_BA'!$A$10:$M$59,12,FALSE)</f>
        <v>6.9528602238882611</v>
      </c>
      <c r="H33" s="74">
        <f>VLOOKUP(B33,'2020_Rohdaten_BA'!$A$10:$M$59,11,FALSE)</f>
        <v>26.640649070555611</v>
      </c>
      <c r="I33" s="74">
        <f>VLOOKUP(B33,'2020_Rohdaten_BA'!$A$10:$M$59,10,FALSE)</f>
        <v>28.633049193796857</v>
      </c>
      <c r="J33" s="74">
        <f>VLOOKUP(B33,'2020_Rohdaten_BA'!$A$10:$M$59,13,FALSE)</f>
        <v>37.773441511759266</v>
      </c>
      <c r="K33" s="193">
        <f>'2019_C4_Zeitreihe'!C33</f>
        <v>9048</v>
      </c>
      <c r="L33" s="193">
        <f>'2019_C4_Zeitreihe'!D33</f>
        <v>6600</v>
      </c>
      <c r="M33" s="193">
        <f>'2019_C4_Zeitreihe'!E33</f>
        <v>2448</v>
      </c>
      <c r="N33" s="115">
        <f>'2019_C4_Zeitreihe'!F33</f>
        <v>7.0402298850574709</v>
      </c>
      <c r="O33" s="115">
        <f>'2019_C4_Zeitreihe'!G33</f>
        <v>26.790450928381961</v>
      </c>
      <c r="P33" s="115">
        <f>'2019_C4_Zeitreihe'!H33</f>
        <v>28.547745358090186</v>
      </c>
      <c r="Q33" s="115">
        <f>'2019_C4_Zeitreihe'!I33</f>
        <v>37.621573828470382</v>
      </c>
      <c r="R33" s="112">
        <f>'2019_C4_Zeitreihe'!J33</f>
        <v>8032</v>
      </c>
      <c r="S33" s="112">
        <f>'2019_C4_Zeitreihe'!K33</f>
        <v>5853</v>
      </c>
      <c r="T33" s="112">
        <f>'2019_C4_Zeitreihe'!L33</f>
        <v>2179</v>
      </c>
      <c r="U33" s="75">
        <f>'2019_C4_Zeitreihe'!M33</f>
        <v>6.7604581673306772</v>
      </c>
      <c r="V33" s="75">
        <f>'2019_C4_Zeitreihe'!N33</f>
        <v>28.212151394422314</v>
      </c>
      <c r="W33" s="75">
        <f>'2019_C4_Zeitreihe'!O33</f>
        <v>25.224103585657371</v>
      </c>
      <c r="X33" s="75">
        <f>'2019_C4_Zeitreihe'!P33</f>
        <v>39.803286852589643</v>
      </c>
      <c r="Y33" s="112">
        <f>'2019_C4_Zeitreihe'!Q33</f>
        <v>6224</v>
      </c>
      <c r="Z33" s="112">
        <f>'2019_C4_Zeitreihe'!R33</f>
        <v>4363</v>
      </c>
      <c r="AA33" s="112">
        <f>'2019_C4_Zeitreihe'!S33</f>
        <v>1861</v>
      </c>
      <c r="AB33" s="75">
        <f>'2019_C4_Zeitreihe'!T33</f>
        <v>6.0893316195372744</v>
      </c>
      <c r="AC33" s="75">
        <f>'2019_C4_Zeitreihe'!U33</f>
        <v>29.161311053984573</v>
      </c>
      <c r="AD33" s="75">
        <f>'2019_C4_Zeitreihe'!V33</f>
        <v>19.296272493573266</v>
      </c>
      <c r="AE33" s="75">
        <f>'2019_C4_Zeitreihe'!W33</f>
        <v>45.453084832904885</v>
      </c>
      <c r="AF33" s="112">
        <f>'2019_C4_Zeitreihe'!X33</f>
        <v>5337</v>
      </c>
      <c r="AG33" s="112">
        <f>'2019_C4_Zeitreihe'!Y33</f>
        <v>3666</v>
      </c>
      <c r="AH33" s="112">
        <f>'2019_C4_Zeitreihe'!Z33</f>
        <v>1671</v>
      </c>
      <c r="AI33" s="75">
        <f>'2019_C4_Zeitreihe'!AA33</f>
        <v>5.5649241146711637</v>
      </c>
      <c r="AJ33" s="75">
        <f>'2019_C4_Zeitreihe'!AB33</f>
        <v>28.592842420835673</v>
      </c>
      <c r="AK33" s="75">
        <f>'2019_C4_Zeitreihe'!AC33</f>
        <v>19.599025669851976</v>
      </c>
      <c r="AL33" s="75">
        <f>'2019_C4_Zeitreihe'!AD33</f>
        <v>46.243207794641187</v>
      </c>
      <c r="AM33" s="57">
        <f>'2019_C4_Zeitreihe'!AE33</f>
        <v>4482</v>
      </c>
      <c r="AN33" s="57">
        <f>'2019_C4_Zeitreihe'!AF33</f>
        <v>3072</v>
      </c>
      <c r="AO33" s="57">
        <f>'2019_C4_Zeitreihe'!AG33</f>
        <v>1410</v>
      </c>
      <c r="AP33" s="29">
        <f>'2019_C4_Zeitreihe'!AH33</f>
        <v>5.4886211512717535</v>
      </c>
      <c r="AQ33" s="29">
        <f>'2019_C4_Zeitreihe'!AI33</f>
        <v>30.031236055332439</v>
      </c>
      <c r="AR33" s="29">
        <f>'2019_C4_Zeitreihe'!AJ33</f>
        <v>17.492190986166889</v>
      </c>
      <c r="AS33" s="29">
        <f>'2019_C4_Zeitreihe'!AK33</f>
        <v>46.987951807228917</v>
      </c>
      <c r="AT33" s="57">
        <f>'2019_C4_Zeitreihe'!AL33</f>
        <v>3799</v>
      </c>
      <c r="AU33" s="57">
        <f>'2019_C4_Zeitreihe'!AM33</f>
        <v>2541</v>
      </c>
      <c r="AV33" s="57">
        <f>'2019_C4_Zeitreihe'!AN33</f>
        <v>1258</v>
      </c>
      <c r="AW33" s="29">
        <f>'2019_C4_Zeitreihe'!AO33</f>
        <v>5.3171887338773365</v>
      </c>
      <c r="AX33" s="29">
        <f>'2019_C4_Zeitreihe'!AP33</f>
        <v>29.718346933403527</v>
      </c>
      <c r="AY33" s="29">
        <f>'2019_C4_Zeitreihe'!AQ33</f>
        <v>18.215319821005526</v>
      </c>
      <c r="AZ33" s="29">
        <f>'2019_C4_Zeitreihe'!AR33</f>
        <v>46.749144511713617</v>
      </c>
      <c r="BA33" s="57">
        <f>'2019_C4_Zeitreihe'!AS33</f>
        <v>3361</v>
      </c>
      <c r="BB33" s="57">
        <f>'2019_C4_Zeitreihe'!AT33</f>
        <v>2195</v>
      </c>
      <c r="BC33" s="57">
        <f>'2019_C4_Zeitreihe'!AU33</f>
        <v>1166</v>
      </c>
      <c r="BD33" s="29">
        <f>'2019_C4_Zeitreihe'!AV33</f>
        <v>3.9869086581374593</v>
      </c>
      <c r="BE33" s="29">
        <f>'2019_C4_Zeitreihe'!AW33</f>
        <v>24.843796489140139</v>
      </c>
      <c r="BF33" s="29">
        <f>'2019_C4_Zeitreihe'!AX33</f>
        <v>16.096399880987803</v>
      </c>
      <c r="BG33" s="29">
        <f>'2019_C4_Zeitreihe'!AY33</f>
        <v>55.072894971734598</v>
      </c>
      <c r="BH33" s="57">
        <f>'2019_C4_Zeitreihe'!AZ33</f>
        <v>2595</v>
      </c>
      <c r="BI33" s="57">
        <f>'2019_C4_Zeitreihe'!BA33</f>
        <v>1679</v>
      </c>
      <c r="BJ33" s="57">
        <f>'2019_C4_Zeitreihe'!BB33</f>
        <v>916</v>
      </c>
      <c r="BK33" s="83">
        <f>'2019_C4_Zeitreihe'!BC33</f>
        <v>3.352601156069364</v>
      </c>
      <c r="BL33" s="83">
        <f>'2019_C4_Zeitreihe'!BD33</f>
        <v>20.616570327552985</v>
      </c>
      <c r="BM33" s="83">
        <f>'2019_C4_Zeitreihe'!BE33</f>
        <v>20.809248554913296</v>
      </c>
      <c r="BN33" s="83">
        <f>'2019_C4_Zeitreihe'!BF33</f>
        <v>55.221579961464357</v>
      </c>
      <c r="BO33" s="57">
        <f>'2019_C4_Zeitreihe'!BG33</f>
        <v>2320</v>
      </c>
      <c r="BP33" s="57">
        <f>'2019_C4_Zeitreihe'!BH33</f>
        <v>1480</v>
      </c>
      <c r="BQ33" s="57">
        <f>'2019_C4_Zeitreihe'!BI33</f>
        <v>840</v>
      </c>
      <c r="BR33" s="83">
        <f>'2019_C4_Zeitreihe'!BJ33</f>
        <v>3.6206896551724141</v>
      </c>
      <c r="BS33" s="83">
        <f>'2019_C4_Zeitreihe'!BK33</f>
        <v>20.517241379310345</v>
      </c>
      <c r="BT33" s="83">
        <f>'2019_C4_Zeitreihe'!BL33</f>
        <v>20.431034482758619</v>
      </c>
      <c r="BU33" s="78">
        <f>'2019_C4_Zeitreihe'!BM33</f>
        <v>55.431034482758619</v>
      </c>
      <c r="BV33" s="62"/>
    </row>
    <row r="34" spans="2:74" ht="8.25" customHeight="1">
      <c r="B34" s="107">
        <v>354</v>
      </c>
      <c r="C34" s="74" t="s">
        <v>110</v>
      </c>
      <c r="D34" s="74">
        <f>VLOOKUP(B34,'2020_Rohdaten_BA'!$A$10:$E$59,3,FALSE)</f>
        <v>750</v>
      </c>
      <c r="E34" s="74">
        <f>VLOOKUP(B34,'2020_Rohdaten_BA'!$A$10:$E$59,4,FALSE)</f>
        <v>456</v>
      </c>
      <c r="F34" s="74">
        <f>VLOOKUP(B34,'2020_Rohdaten_BA'!$A$10:$E$59,5,FALSE)</f>
        <v>294</v>
      </c>
      <c r="G34" s="74">
        <f>VLOOKUP(B34,'2020_Rohdaten_BA'!$A$10:$M$59,12,FALSE)</f>
        <v>11.6</v>
      </c>
      <c r="H34" s="74">
        <f>VLOOKUP(B34,'2020_Rohdaten_BA'!$A$10:$M$59,11,FALSE)</f>
        <v>31.866666666666667</v>
      </c>
      <c r="I34" s="74">
        <f>VLOOKUP(B34,'2020_Rohdaten_BA'!$A$10:$M$59,10,FALSE)</f>
        <v>16.666666666666668</v>
      </c>
      <c r="J34" s="74">
        <f>VLOOKUP(B34,'2020_Rohdaten_BA'!$A$10:$M$59,13,FALSE)</f>
        <v>39.866666666666667</v>
      </c>
      <c r="K34" s="193">
        <f>'2019_C4_Zeitreihe'!C34</f>
        <v>713</v>
      </c>
      <c r="L34" s="193">
        <f>'2019_C4_Zeitreihe'!D34</f>
        <v>457</v>
      </c>
      <c r="M34" s="193">
        <f>'2019_C4_Zeitreihe'!E34</f>
        <v>256</v>
      </c>
      <c r="N34" s="115">
        <f>'2019_C4_Zeitreihe'!F34</f>
        <v>9.5371669004207575</v>
      </c>
      <c r="O34" s="115">
        <f>'2019_C4_Zeitreihe'!G34</f>
        <v>32.258064516129032</v>
      </c>
      <c r="P34" s="115">
        <f>'2019_C4_Zeitreihe'!H34</f>
        <v>17.391304347826086</v>
      </c>
      <c r="Q34" s="115">
        <f>'2019_C4_Zeitreihe'!I34</f>
        <v>40.813464235624124</v>
      </c>
      <c r="R34" s="112">
        <f>'2019_C4_Zeitreihe'!J34</f>
        <v>677</v>
      </c>
      <c r="S34" s="112">
        <f>'2019_C4_Zeitreihe'!K34</f>
        <v>397</v>
      </c>
      <c r="T34" s="112">
        <f>'2019_C4_Zeitreihe'!L34</f>
        <v>280</v>
      </c>
      <c r="U34" s="75">
        <f>'2019_C4_Zeitreihe'!M34</f>
        <v>8.862629246676514</v>
      </c>
      <c r="V34" s="75">
        <f>'2019_C4_Zeitreihe'!N34</f>
        <v>28.80354505169867</v>
      </c>
      <c r="W34" s="75">
        <f>'2019_C4_Zeitreihe'!O34</f>
        <v>19.793205317577549</v>
      </c>
      <c r="X34" s="75">
        <f>'2019_C4_Zeitreihe'!P34</f>
        <v>42.540620384047266</v>
      </c>
      <c r="Y34" s="112">
        <f>'2019_C4_Zeitreihe'!Q34</f>
        <v>654</v>
      </c>
      <c r="Z34" s="112">
        <f>'2019_C4_Zeitreihe'!R34</f>
        <v>370</v>
      </c>
      <c r="AA34" s="112">
        <f>'2019_C4_Zeitreihe'!S34</f>
        <v>284</v>
      </c>
      <c r="AB34" s="75">
        <f>'2019_C4_Zeitreihe'!T34</f>
        <v>8.5626911314984699</v>
      </c>
      <c r="AC34" s="75">
        <f>'2019_C4_Zeitreihe'!U34</f>
        <v>30.122324159021407</v>
      </c>
      <c r="AD34" s="75">
        <f>'2019_C4_Zeitreihe'!V34</f>
        <v>16.513761467889911</v>
      </c>
      <c r="AE34" s="75">
        <f>'2019_C4_Zeitreihe'!W34</f>
        <v>44.801223241590215</v>
      </c>
      <c r="AF34" s="112">
        <f>'2019_C4_Zeitreihe'!X34</f>
        <v>521</v>
      </c>
      <c r="AG34" s="112">
        <f>'2019_C4_Zeitreihe'!Y34</f>
        <v>282</v>
      </c>
      <c r="AH34" s="112">
        <f>'2019_C4_Zeitreihe'!Z34</f>
        <v>239</v>
      </c>
      <c r="AI34" s="75">
        <f>'2019_C4_Zeitreihe'!AA34</f>
        <v>8.2533589251439547</v>
      </c>
      <c r="AJ34" s="75">
        <f>'2019_C4_Zeitreihe'!AB34</f>
        <v>28.406909788867562</v>
      </c>
      <c r="AK34" s="75">
        <f>'2019_C4_Zeitreihe'!AC34</f>
        <v>12.092130518234164</v>
      </c>
      <c r="AL34" s="75">
        <f>'2019_C4_Zeitreihe'!AD34</f>
        <v>51.247600767754321</v>
      </c>
      <c r="AM34" s="57">
        <f>'2019_C4_Zeitreihe'!AE34</f>
        <v>629</v>
      </c>
      <c r="AN34" s="57">
        <f>'2019_C4_Zeitreihe'!AF34</f>
        <v>394</v>
      </c>
      <c r="AO34" s="57">
        <f>'2019_C4_Zeitreihe'!AG34</f>
        <v>235</v>
      </c>
      <c r="AP34" s="29">
        <f>'2019_C4_Zeitreihe'!AH34</f>
        <v>5.5643879173290935</v>
      </c>
      <c r="AQ34" s="29">
        <f>'2019_C4_Zeitreihe'!AI34</f>
        <v>24.642289348171701</v>
      </c>
      <c r="AR34" s="29">
        <f>'2019_C4_Zeitreihe'!AJ34</f>
        <v>8.4260731319554854</v>
      </c>
      <c r="AS34" s="29">
        <f>'2019_C4_Zeitreihe'!AK34</f>
        <v>61.367249602543716</v>
      </c>
      <c r="AT34" s="57">
        <f>'2019_C4_Zeitreihe'!AL34</f>
        <v>362</v>
      </c>
      <c r="AU34" s="57">
        <f>'2019_C4_Zeitreihe'!AM34</f>
        <v>215</v>
      </c>
      <c r="AV34" s="57">
        <f>'2019_C4_Zeitreihe'!AN34</f>
        <v>147</v>
      </c>
      <c r="AW34" s="29">
        <f>'2019_C4_Zeitreihe'!AO34</f>
        <v>6.9060773480662991</v>
      </c>
      <c r="AX34" s="29">
        <f>'2019_C4_Zeitreihe'!AP34</f>
        <v>34.254143646408842</v>
      </c>
      <c r="AY34" s="29">
        <f>'2019_C4_Zeitreihe'!AQ34</f>
        <v>13.259668508287293</v>
      </c>
      <c r="AZ34" s="29">
        <f>'2019_C4_Zeitreihe'!AR34</f>
        <v>45.58011049723757</v>
      </c>
      <c r="BA34" s="57">
        <f>'2019_C4_Zeitreihe'!AS34</f>
        <v>303</v>
      </c>
      <c r="BB34" s="57">
        <f>'2019_C4_Zeitreihe'!AT34</f>
        <v>183</v>
      </c>
      <c r="BC34" s="57">
        <f>'2019_C4_Zeitreihe'!AU34</f>
        <v>120</v>
      </c>
      <c r="BD34" s="29">
        <f>'2019_C4_Zeitreihe'!AV34</f>
        <v>6.2706270627062706</v>
      </c>
      <c r="BE34" s="29">
        <f>'2019_C4_Zeitreihe'!AW34</f>
        <v>34.323432343234323</v>
      </c>
      <c r="BF34" s="29">
        <f>'2019_C4_Zeitreihe'!AX34</f>
        <v>10.891089108910892</v>
      </c>
      <c r="BG34" s="29">
        <f>'2019_C4_Zeitreihe'!AY34</f>
        <v>48.514851485148519</v>
      </c>
      <c r="BH34" s="57">
        <f>'2019_C4_Zeitreihe'!AZ34</f>
        <v>183</v>
      </c>
      <c r="BI34" s="57">
        <f>'2019_C4_Zeitreihe'!BA34</f>
        <v>100</v>
      </c>
      <c r="BJ34" s="57">
        <f>'2019_C4_Zeitreihe'!BB34</f>
        <v>83</v>
      </c>
      <c r="BK34" s="83">
        <f>'2019_C4_Zeitreihe'!BC34</f>
        <v>7.1038251366120218</v>
      </c>
      <c r="BL34" s="83">
        <f>'2019_C4_Zeitreihe'!BD34</f>
        <v>28.415300546448087</v>
      </c>
      <c r="BM34" s="83">
        <f>'2019_C4_Zeitreihe'!BE34</f>
        <v>11.475409836065573</v>
      </c>
      <c r="BN34" s="83">
        <f>'2019_C4_Zeitreihe'!BF34</f>
        <v>53.005464480874309</v>
      </c>
      <c r="BO34" s="57">
        <f>'2019_C4_Zeitreihe'!BG34</f>
        <v>158</v>
      </c>
      <c r="BP34" s="57">
        <f>'2019_C4_Zeitreihe'!BH34</f>
        <v>77</v>
      </c>
      <c r="BQ34" s="57">
        <f>'2019_C4_Zeitreihe'!BI34</f>
        <v>81</v>
      </c>
      <c r="BR34" s="83">
        <f>'2019_C4_Zeitreihe'!BJ34</f>
        <v>6.962025316455696</v>
      </c>
      <c r="BS34" s="83">
        <f>'2019_C4_Zeitreihe'!BK34</f>
        <v>32.911392405063289</v>
      </c>
      <c r="BT34" s="83" t="str">
        <f>'2019_C4_Zeitreihe'!BL34</f>
        <v>.</v>
      </c>
      <c r="BU34" s="78" t="str">
        <f>'2019_C4_Zeitreihe'!BM34</f>
        <v>.</v>
      </c>
      <c r="BV34" s="62"/>
    </row>
    <row r="35" spans="2:74" ht="8.25" customHeight="1">
      <c r="B35" s="107">
        <v>355</v>
      </c>
      <c r="C35" s="74" t="s">
        <v>111</v>
      </c>
      <c r="D35" s="74">
        <f>VLOOKUP(B35,'2020_Rohdaten_BA'!$A$10:$E$59,3,FALSE)</f>
        <v>3926</v>
      </c>
      <c r="E35" s="74">
        <f>VLOOKUP(B35,'2020_Rohdaten_BA'!$A$10:$E$59,4,FALSE)</f>
        <v>2530</v>
      </c>
      <c r="F35" s="74">
        <f>VLOOKUP(B35,'2020_Rohdaten_BA'!$A$10:$E$59,5,FALSE)</f>
        <v>1396</v>
      </c>
      <c r="G35" s="74">
        <f>VLOOKUP(B35,'2020_Rohdaten_BA'!$A$10:$M$59,12,FALSE)</f>
        <v>14.977075904228222</v>
      </c>
      <c r="H35" s="74">
        <f>VLOOKUP(B35,'2020_Rohdaten_BA'!$A$10:$M$59,11,FALSE)</f>
        <v>31.355068772287314</v>
      </c>
      <c r="I35" s="74">
        <f>VLOOKUP(B35,'2020_Rohdaten_BA'!$A$10:$M$59,10,FALSE)</f>
        <v>27.1777890983189</v>
      </c>
      <c r="J35" s="74">
        <f>VLOOKUP(B35,'2020_Rohdaten_BA'!$A$10:$M$59,13,FALSE)</f>
        <v>26.490066225165563</v>
      </c>
      <c r="K35" s="193">
        <f>'2019_C4_Zeitreihe'!C35</f>
        <v>3903</v>
      </c>
      <c r="L35" s="193">
        <f>'2019_C4_Zeitreihe'!D35</f>
        <v>2552</v>
      </c>
      <c r="M35" s="193">
        <f>'2019_C4_Zeitreihe'!E35</f>
        <v>1351</v>
      </c>
      <c r="N35" s="115">
        <f>'2019_C4_Zeitreihe'!F35</f>
        <v>13.553676658980272</v>
      </c>
      <c r="O35" s="115">
        <f>'2019_C4_Zeitreihe'!G35</f>
        <v>31.206764027671021</v>
      </c>
      <c r="P35" s="115">
        <f>'2019_C4_Zeitreihe'!H35</f>
        <v>27.363566487317449</v>
      </c>
      <c r="Q35" s="115">
        <f>'2019_C4_Zeitreihe'!I35</f>
        <v>27.875992826031258</v>
      </c>
      <c r="R35" s="112">
        <f>'2019_C4_Zeitreihe'!J35</f>
        <v>3651</v>
      </c>
      <c r="S35" s="112">
        <f>'2019_C4_Zeitreihe'!K35</f>
        <v>2418</v>
      </c>
      <c r="T35" s="112">
        <f>'2019_C4_Zeitreihe'!L35</f>
        <v>1233</v>
      </c>
      <c r="U35" s="75">
        <f>'2019_C4_Zeitreihe'!M35</f>
        <v>13.85921665297179</v>
      </c>
      <c r="V35" s="75">
        <f>'2019_C4_Zeitreihe'!N35</f>
        <v>31.55299917830731</v>
      </c>
      <c r="W35" s="75">
        <f>'2019_C4_Zeitreihe'!O35</f>
        <v>26.376335250616268</v>
      </c>
      <c r="X35" s="75">
        <f>'2019_C4_Zeitreihe'!P35</f>
        <v>28.21144891810463</v>
      </c>
      <c r="Y35" s="112">
        <f>'2019_C4_Zeitreihe'!Q35</f>
        <v>3125</v>
      </c>
      <c r="Z35" s="112">
        <f>'2019_C4_Zeitreihe'!R35</f>
        <v>1975</v>
      </c>
      <c r="AA35" s="112">
        <f>'2019_C4_Zeitreihe'!S35</f>
        <v>1150</v>
      </c>
      <c r="AB35" s="75">
        <f>'2019_C4_Zeitreihe'!T35</f>
        <v>14.56</v>
      </c>
      <c r="AC35" s="75">
        <f>'2019_C4_Zeitreihe'!U35</f>
        <v>33.472000000000001</v>
      </c>
      <c r="AD35" s="75">
        <f>'2019_C4_Zeitreihe'!V35</f>
        <v>22.656000000000002</v>
      </c>
      <c r="AE35" s="75">
        <f>'2019_C4_Zeitreihe'!W35</f>
        <v>29.311999999999998</v>
      </c>
      <c r="AF35" s="112">
        <f>'2019_C4_Zeitreihe'!X35</f>
        <v>2745</v>
      </c>
      <c r="AG35" s="112">
        <f>'2019_C4_Zeitreihe'!Y35</f>
        <v>1676</v>
      </c>
      <c r="AH35" s="112">
        <f>'2019_C4_Zeitreihe'!Z35</f>
        <v>1069</v>
      </c>
      <c r="AI35" s="75">
        <f>'2019_C4_Zeitreihe'!AA35</f>
        <v>14.24408014571949</v>
      </c>
      <c r="AJ35" s="75">
        <f>'2019_C4_Zeitreihe'!AB35</f>
        <v>34.244080145719494</v>
      </c>
      <c r="AK35" s="75">
        <f>'2019_C4_Zeitreihe'!AC35</f>
        <v>21.712204007285973</v>
      </c>
      <c r="AL35" s="75">
        <f>'2019_C4_Zeitreihe'!AD35</f>
        <v>29.799635701275047</v>
      </c>
      <c r="AM35" s="57">
        <f>'2019_C4_Zeitreihe'!AE35</f>
        <v>2309</v>
      </c>
      <c r="AN35" s="57">
        <f>'2019_C4_Zeitreihe'!AF35</f>
        <v>1378</v>
      </c>
      <c r="AO35" s="57">
        <f>'2019_C4_Zeitreihe'!AG35</f>
        <v>931</v>
      </c>
      <c r="AP35" s="29">
        <f>'2019_C4_Zeitreihe'!AH35</f>
        <v>14.94153313122564</v>
      </c>
      <c r="AQ35" s="29">
        <f>'2019_C4_Zeitreihe'!AI35</f>
        <v>34.084019055868339</v>
      </c>
      <c r="AR35" s="29">
        <f>'2019_C4_Zeitreihe'!AJ35</f>
        <v>22.304027717626678</v>
      </c>
      <c r="AS35" s="29">
        <f>'2019_C4_Zeitreihe'!AK35</f>
        <v>28.67042009527934</v>
      </c>
      <c r="AT35" s="57">
        <f>'2019_C4_Zeitreihe'!AL35</f>
        <v>2087</v>
      </c>
      <c r="AU35" s="57">
        <f>'2019_C4_Zeitreihe'!AM35</f>
        <v>1231</v>
      </c>
      <c r="AV35" s="57">
        <f>'2019_C4_Zeitreihe'!AN35</f>
        <v>856</v>
      </c>
      <c r="AW35" s="29">
        <f>'2019_C4_Zeitreihe'!AO35</f>
        <v>14.853857211308096</v>
      </c>
      <c r="AX35" s="29">
        <f>'2019_C4_Zeitreihe'!AP35</f>
        <v>32.82223287014854</v>
      </c>
      <c r="AY35" s="29">
        <f>'2019_C4_Zeitreihe'!AQ35</f>
        <v>21.562050790608527</v>
      </c>
      <c r="AZ35" s="29">
        <f>'2019_C4_Zeitreihe'!AR35</f>
        <v>30.761859127934841</v>
      </c>
      <c r="BA35" s="57">
        <f>'2019_C4_Zeitreihe'!AS35</f>
        <v>1907</v>
      </c>
      <c r="BB35" s="57">
        <f>'2019_C4_Zeitreihe'!AT35</f>
        <v>1099</v>
      </c>
      <c r="BC35" s="57">
        <f>'2019_C4_Zeitreihe'!AU35</f>
        <v>808</v>
      </c>
      <c r="BD35" s="29">
        <f>'2019_C4_Zeitreihe'!AV35</f>
        <v>13.004719454640798</v>
      </c>
      <c r="BE35" s="29">
        <f>'2019_C4_Zeitreihe'!AW35</f>
        <v>28.211851074986889</v>
      </c>
      <c r="BF35" s="29">
        <f>'2019_C4_Zeitreihe'!AX35</f>
        <v>19.611955951756684</v>
      </c>
      <c r="BG35" s="29">
        <f>'2019_C4_Zeitreihe'!AY35</f>
        <v>39.171473518615628</v>
      </c>
      <c r="BH35" s="57">
        <f>'2019_C4_Zeitreihe'!AZ35</f>
        <v>1670</v>
      </c>
      <c r="BI35" s="57">
        <f>'2019_C4_Zeitreihe'!BA35</f>
        <v>983</v>
      </c>
      <c r="BJ35" s="57">
        <f>'2019_C4_Zeitreihe'!BB35</f>
        <v>687</v>
      </c>
      <c r="BK35" s="83">
        <f>'2019_C4_Zeitreihe'!BC35</f>
        <v>10.119760479041915</v>
      </c>
      <c r="BL35" s="83">
        <f>'2019_C4_Zeitreihe'!BD35</f>
        <v>24.491017964071858</v>
      </c>
      <c r="BM35" s="83">
        <f>'2019_C4_Zeitreihe'!BE35</f>
        <v>20.838323353293415</v>
      </c>
      <c r="BN35" s="83">
        <f>'2019_C4_Zeitreihe'!BF35</f>
        <v>44.550898203592808</v>
      </c>
      <c r="BO35" s="57">
        <f>'2019_C4_Zeitreihe'!BG35</f>
        <v>1501</v>
      </c>
      <c r="BP35" s="57">
        <f>'2019_C4_Zeitreihe'!BH35</f>
        <v>882</v>
      </c>
      <c r="BQ35" s="57">
        <f>'2019_C4_Zeitreihe'!BI35</f>
        <v>619</v>
      </c>
      <c r="BR35" s="83">
        <f>'2019_C4_Zeitreihe'!BJ35</f>
        <v>9.7268487674883417</v>
      </c>
      <c r="BS35" s="83">
        <f>'2019_C4_Zeitreihe'!BK35</f>
        <v>24.5836109260493</v>
      </c>
      <c r="BT35" s="83">
        <f>'2019_C4_Zeitreihe'!BL35</f>
        <v>21.71885409726849</v>
      </c>
      <c r="BU35" s="78">
        <f>'2019_C4_Zeitreihe'!BM35</f>
        <v>43.970686209193865</v>
      </c>
      <c r="BV35" s="62"/>
    </row>
    <row r="36" spans="2:74" ht="8.25" customHeight="1">
      <c r="B36" s="107">
        <v>356</v>
      </c>
      <c r="C36" s="74" t="s">
        <v>112</v>
      </c>
      <c r="D36" s="74">
        <f>VLOOKUP(B36,'2020_Rohdaten_BA'!$A$10:$E$59,3,FALSE)</f>
        <v>2020</v>
      </c>
      <c r="E36" s="74">
        <f>VLOOKUP(B36,'2020_Rohdaten_BA'!$A$10:$E$59,4,FALSE)</f>
        <v>1391</v>
      </c>
      <c r="F36" s="74">
        <f>VLOOKUP(B36,'2020_Rohdaten_BA'!$A$10:$E$59,5,FALSE)</f>
        <v>629</v>
      </c>
      <c r="G36" s="74">
        <f>VLOOKUP(B36,'2020_Rohdaten_BA'!$A$10:$M$59,12,FALSE)</f>
        <v>11.485148514851485</v>
      </c>
      <c r="H36" s="74">
        <f>VLOOKUP(B36,'2020_Rohdaten_BA'!$A$10:$M$59,11,FALSE)</f>
        <v>33.168316831683171</v>
      </c>
      <c r="I36" s="74">
        <f>VLOOKUP(B36,'2020_Rohdaten_BA'!$A$10:$M$59,10,FALSE)</f>
        <v>26.633663366336634</v>
      </c>
      <c r="J36" s="74">
        <f>VLOOKUP(B36,'2020_Rohdaten_BA'!$A$10:$M$59,13,FALSE)</f>
        <v>28.712871287128714</v>
      </c>
      <c r="K36" s="193">
        <f>'2019_C4_Zeitreihe'!C36</f>
        <v>1985</v>
      </c>
      <c r="L36" s="193">
        <f>'2019_C4_Zeitreihe'!D36</f>
        <v>1395</v>
      </c>
      <c r="M36" s="193">
        <f>'2019_C4_Zeitreihe'!E36</f>
        <v>590</v>
      </c>
      <c r="N36" s="115">
        <f>'2019_C4_Zeitreihe'!F36</f>
        <v>9.4206549118387901</v>
      </c>
      <c r="O36" s="115">
        <f>'2019_C4_Zeitreihe'!G36</f>
        <v>32.695214105793454</v>
      </c>
      <c r="P36" s="115">
        <f>'2019_C4_Zeitreihe'!H36</f>
        <v>26.347607052896727</v>
      </c>
      <c r="Q36" s="115">
        <f>'2019_C4_Zeitreihe'!I36</f>
        <v>31.536523929471034</v>
      </c>
      <c r="R36" s="112">
        <f>'2019_C4_Zeitreihe'!J36</f>
        <v>1703</v>
      </c>
      <c r="S36" s="112">
        <f>'2019_C4_Zeitreihe'!K36</f>
        <v>1163</v>
      </c>
      <c r="T36" s="112">
        <f>'2019_C4_Zeitreihe'!L36</f>
        <v>540</v>
      </c>
      <c r="U36" s="75">
        <f>'2019_C4_Zeitreihe'!M36</f>
        <v>9.9823840281855549</v>
      </c>
      <c r="V36" s="75">
        <f>'2019_C4_Zeitreihe'!N36</f>
        <v>33.352906635349385</v>
      </c>
      <c r="W36" s="75">
        <f>'2019_C4_Zeitreihe'!O36</f>
        <v>25.425719318849087</v>
      </c>
      <c r="X36" s="75">
        <f>'2019_C4_Zeitreihe'!P36</f>
        <v>31.238990017615968</v>
      </c>
      <c r="Y36" s="112">
        <f>'2019_C4_Zeitreihe'!Q36</f>
        <v>1491</v>
      </c>
      <c r="Z36" s="112">
        <f>'2019_C4_Zeitreihe'!R36</f>
        <v>1002</v>
      </c>
      <c r="AA36" s="112">
        <f>'2019_C4_Zeitreihe'!S36</f>
        <v>489</v>
      </c>
      <c r="AB36" s="75">
        <f>'2019_C4_Zeitreihe'!T36</f>
        <v>10.395707578806171</v>
      </c>
      <c r="AC36" s="75">
        <f>'2019_C4_Zeitreihe'!U36</f>
        <v>33.936955063715629</v>
      </c>
      <c r="AD36" s="75">
        <f>'2019_C4_Zeitreihe'!V36</f>
        <v>23.205902079141516</v>
      </c>
      <c r="AE36" s="75">
        <f>'2019_C4_Zeitreihe'!W36</f>
        <v>32.461435278336687</v>
      </c>
      <c r="AF36" s="112">
        <f>'2019_C4_Zeitreihe'!X36</f>
        <v>1321</v>
      </c>
      <c r="AG36" s="112">
        <f>'2019_C4_Zeitreihe'!Y36</f>
        <v>905</v>
      </c>
      <c r="AH36" s="112">
        <f>'2019_C4_Zeitreihe'!Z36</f>
        <v>416</v>
      </c>
      <c r="AI36" s="75">
        <f>'2019_C4_Zeitreihe'!AA36</f>
        <v>8.4027252081756245</v>
      </c>
      <c r="AJ36" s="75">
        <f>'2019_C4_Zeitreihe'!AB36</f>
        <v>33.232399697199092</v>
      </c>
      <c r="AK36" s="75">
        <f>'2019_C4_Zeitreihe'!AC36</f>
        <v>24.678274034822103</v>
      </c>
      <c r="AL36" s="75">
        <f>'2019_C4_Zeitreihe'!AD36</f>
        <v>33.686601059803181</v>
      </c>
      <c r="AM36" s="57">
        <f>'2019_C4_Zeitreihe'!AE36</f>
        <v>1054</v>
      </c>
      <c r="AN36" s="57">
        <f>'2019_C4_Zeitreihe'!AF36</f>
        <v>700</v>
      </c>
      <c r="AO36" s="57">
        <f>'2019_C4_Zeitreihe'!AG36</f>
        <v>354</v>
      </c>
      <c r="AP36" s="29">
        <f>'2019_C4_Zeitreihe'!AH36</f>
        <v>7.9696394686907022</v>
      </c>
      <c r="AQ36" s="29">
        <f>'2019_C4_Zeitreihe'!AI36</f>
        <v>37.950664136622393</v>
      </c>
      <c r="AR36" s="29">
        <f>'2019_C4_Zeitreihe'!AJ36</f>
        <v>22.485768500948765</v>
      </c>
      <c r="AS36" s="29">
        <f>'2019_C4_Zeitreihe'!AK36</f>
        <v>31.59392789373814</v>
      </c>
      <c r="AT36" s="57">
        <f>'2019_C4_Zeitreihe'!AL36</f>
        <v>989</v>
      </c>
      <c r="AU36" s="57">
        <f>'2019_C4_Zeitreihe'!AM36</f>
        <v>675</v>
      </c>
      <c r="AV36" s="57">
        <f>'2019_C4_Zeitreihe'!AN36</f>
        <v>314</v>
      </c>
      <c r="AW36" s="29">
        <f>'2019_C4_Zeitreihe'!AO36</f>
        <v>6.6734074823053584</v>
      </c>
      <c r="AX36" s="29">
        <f>'2019_C4_Zeitreihe'!AP36</f>
        <v>34.681496461071795</v>
      </c>
      <c r="AY36" s="29">
        <f>'2019_C4_Zeitreihe'!AQ36</f>
        <v>24.165824064711831</v>
      </c>
      <c r="AZ36" s="29">
        <f>'2019_C4_Zeitreihe'!AR36</f>
        <v>34.47927199191102</v>
      </c>
      <c r="BA36" s="57">
        <f>'2019_C4_Zeitreihe'!AS36</f>
        <v>909</v>
      </c>
      <c r="BB36" s="57">
        <f>'2019_C4_Zeitreihe'!AT36</f>
        <v>612</v>
      </c>
      <c r="BC36" s="57">
        <f>'2019_C4_Zeitreihe'!AU36</f>
        <v>297</v>
      </c>
      <c r="BD36" s="29">
        <f>'2019_C4_Zeitreihe'!AV36</f>
        <v>4.5104510451045101</v>
      </c>
      <c r="BE36" s="29">
        <f>'2019_C4_Zeitreihe'!AW36</f>
        <v>31.573157315731574</v>
      </c>
      <c r="BF36" s="29">
        <f>'2019_C4_Zeitreihe'!AX36</f>
        <v>22.442244224422442</v>
      </c>
      <c r="BG36" s="29">
        <f>'2019_C4_Zeitreihe'!AY36</f>
        <v>41.474147414741473</v>
      </c>
      <c r="BH36" s="57">
        <f>'2019_C4_Zeitreihe'!AZ36</f>
        <v>775</v>
      </c>
      <c r="BI36" s="57">
        <f>'2019_C4_Zeitreihe'!BA36</f>
        <v>503</v>
      </c>
      <c r="BJ36" s="57">
        <f>'2019_C4_Zeitreihe'!BB36</f>
        <v>272</v>
      </c>
      <c r="BK36" s="83">
        <f>'2019_C4_Zeitreihe'!BC36</f>
        <v>3.225806451612903</v>
      </c>
      <c r="BL36" s="83">
        <f>'2019_C4_Zeitreihe'!BD36</f>
        <v>28.258064516129032</v>
      </c>
      <c r="BM36" s="83">
        <f>'2019_C4_Zeitreihe'!BE36</f>
        <v>18.70967741935484</v>
      </c>
      <c r="BN36" s="83">
        <f>'2019_C4_Zeitreihe'!BF36</f>
        <v>49.806451612903217</v>
      </c>
      <c r="BO36" s="57">
        <f>'2019_C4_Zeitreihe'!BG36</f>
        <v>645</v>
      </c>
      <c r="BP36" s="57">
        <f>'2019_C4_Zeitreihe'!BH36</f>
        <v>403</v>
      </c>
      <c r="BQ36" s="57">
        <f>'2019_C4_Zeitreihe'!BI36</f>
        <v>242</v>
      </c>
      <c r="BR36" s="83">
        <f>'2019_C4_Zeitreihe'!BJ36</f>
        <v>2.3255813953488373</v>
      </c>
      <c r="BS36" s="83">
        <f>'2019_C4_Zeitreihe'!BK36</f>
        <v>25.736434108527135</v>
      </c>
      <c r="BT36" s="83">
        <f>'2019_C4_Zeitreihe'!BL36</f>
        <v>19.224806201550386</v>
      </c>
      <c r="BU36" s="78">
        <f>'2019_C4_Zeitreihe'!BM36</f>
        <v>52.713178294573638</v>
      </c>
      <c r="BV36" s="62"/>
    </row>
    <row r="37" spans="2:74" ht="8.25" customHeight="1">
      <c r="B37" s="107">
        <v>357</v>
      </c>
      <c r="C37" s="74" t="s">
        <v>113</v>
      </c>
      <c r="D37" s="74">
        <f>VLOOKUP(B37,'2020_Rohdaten_BA'!$A$10:$E$59,3,FALSE)</f>
        <v>4630</v>
      </c>
      <c r="E37" s="74">
        <f>VLOOKUP(B37,'2020_Rohdaten_BA'!$A$10:$E$59,4,FALSE)</f>
        <v>3136</v>
      </c>
      <c r="F37" s="74">
        <f>VLOOKUP(B37,'2020_Rohdaten_BA'!$A$10:$E$59,5,FALSE)</f>
        <v>1494</v>
      </c>
      <c r="G37" s="74">
        <f>VLOOKUP(B37,'2020_Rohdaten_BA'!$A$10:$M$59,12,FALSE)</f>
        <v>8.9200863930885532</v>
      </c>
      <c r="H37" s="74">
        <f>VLOOKUP(B37,'2020_Rohdaten_BA'!$A$10:$M$59,11,FALSE)</f>
        <v>35.485961123110151</v>
      </c>
      <c r="I37" s="74">
        <f>VLOOKUP(B37,'2020_Rohdaten_BA'!$A$10:$M$59,10,FALSE)</f>
        <v>26.37149028077754</v>
      </c>
      <c r="J37" s="74">
        <f>VLOOKUP(B37,'2020_Rohdaten_BA'!$A$10:$M$59,13,FALSE)</f>
        <v>29.22246220302376</v>
      </c>
      <c r="K37" s="193">
        <f>'2019_C4_Zeitreihe'!C37</f>
        <v>4111</v>
      </c>
      <c r="L37" s="193">
        <f>'2019_C4_Zeitreihe'!D37</f>
        <v>2823</v>
      </c>
      <c r="M37" s="193">
        <f>'2019_C4_Zeitreihe'!E37</f>
        <v>1288</v>
      </c>
      <c r="N37" s="115">
        <f>'2019_C4_Zeitreihe'!F37</f>
        <v>8.878618341036244</v>
      </c>
      <c r="O37" s="115">
        <f>'2019_C4_Zeitreihe'!G37</f>
        <v>35.879348090488932</v>
      </c>
      <c r="P37" s="115">
        <f>'2019_C4_Zeitreihe'!H37</f>
        <v>23.960107029919726</v>
      </c>
      <c r="Q37" s="115">
        <f>'2019_C4_Zeitreihe'!I37</f>
        <v>31.281926538555098</v>
      </c>
      <c r="R37" s="112">
        <f>'2019_C4_Zeitreihe'!J37</f>
        <v>3606</v>
      </c>
      <c r="S37" s="112">
        <f>'2019_C4_Zeitreihe'!K37</f>
        <v>2464</v>
      </c>
      <c r="T37" s="112">
        <f>'2019_C4_Zeitreihe'!L37</f>
        <v>1142</v>
      </c>
      <c r="U37" s="75">
        <f>'2019_C4_Zeitreihe'!M37</f>
        <v>8.7077093732667787</v>
      </c>
      <c r="V37" s="75">
        <f>'2019_C4_Zeitreihe'!N37</f>
        <v>34.803105934553521</v>
      </c>
      <c r="W37" s="75">
        <f>'2019_C4_Zeitreihe'!O37</f>
        <v>22.462562396006653</v>
      </c>
      <c r="X37" s="75">
        <f>'2019_C4_Zeitreihe'!P37</f>
        <v>34.026622296173045</v>
      </c>
      <c r="Y37" s="112">
        <f>'2019_C4_Zeitreihe'!Q37</f>
        <v>3356</v>
      </c>
      <c r="Z37" s="112">
        <f>'2019_C4_Zeitreihe'!R37</f>
        <v>2263</v>
      </c>
      <c r="AA37" s="112">
        <f>'2019_C4_Zeitreihe'!S37</f>
        <v>1093</v>
      </c>
      <c r="AB37" s="75">
        <f>'2019_C4_Zeitreihe'!T37</f>
        <v>8.9094159713945178</v>
      </c>
      <c r="AC37" s="75">
        <f>'2019_C4_Zeitreihe'!U37</f>
        <v>37.216924910607865</v>
      </c>
      <c r="AD37" s="75">
        <f>'2019_C4_Zeitreihe'!V37</f>
        <v>19.338498212157329</v>
      </c>
      <c r="AE37" s="75">
        <f>'2019_C4_Zeitreihe'!W37</f>
        <v>34.535160905840286</v>
      </c>
      <c r="AF37" s="112">
        <f>'2019_C4_Zeitreihe'!X37</f>
        <v>2984</v>
      </c>
      <c r="AG37" s="112">
        <f>'2019_C4_Zeitreihe'!Y37</f>
        <v>1975</v>
      </c>
      <c r="AH37" s="112">
        <f>'2019_C4_Zeitreihe'!Z37</f>
        <v>1009</v>
      </c>
      <c r="AI37" s="75">
        <f>'2019_C4_Zeitreihe'!AA37</f>
        <v>8.8136729222520103</v>
      </c>
      <c r="AJ37" s="75">
        <f>'2019_C4_Zeitreihe'!AB37</f>
        <v>40.214477211796243</v>
      </c>
      <c r="AK37" s="75">
        <f>'2019_C4_Zeitreihe'!AC37</f>
        <v>16.823056300268096</v>
      </c>
      <c r="AL37" s="75">
        <f>'2019_C4_Zeitreihe'!AD37</f>
        <v>34.148793565683647</v>
      </c>
      <c r="AM37" s="57">
        <f>'2019_C4_Zeitreihe'!AE37</f>
        <v>2229</v>
      </c>
      <c r="AN37" s="57">
        <f>'2019_C4_Zeitreihe'!AF37</f>
        <v>1487</v>
      </c>
      <c r="AO37" s="57">
        <f>'2019_C4_Zeitreihe'!AG37</f>
        <v>742</v>
      </c>
      <c r="AP37" s="29">
        <f>'2019_C4_Zeitreihe'!AH37</f>
        <v>10.273665320771647</v>
      </c>
      <c r="AQ37" s="29">
        <f>'2019_C4_Zeitreihe'!AI37</f>
        <v>31.942575145805296</v>
      </c>
      <c r="AR37" s="29">
        <f>'2019_C4_Zeitreihe'!AJ37</f>
        <v>19.02198295199641</v>
      </c>
      <c r="AS37" s="29">
        <f>'2019_C4_Zeitreihe'!AK37</f>
        <v>38.761776581426652</v>
      </c>
      <c r="AT37" s="57">
        <f>'2019_C4_Zeitreihe'!AL37</f>
        <v>2018</v>
      </c>
      <c r="AU37" s="57">
        <f>'2019_C4_Zeitreihe'!AM37</f>
        <v>1339</v>
      </c>
      <c r="AV37" s="57">
        <f>'2019_C4_Zeitreihe'!AN37</f>
        <v>679</v>
      </c>
      <c r="AW37" s="29">
        <f>'2019_C4_Zeitreihe'!AO37</f>
        <v>9.4648166501486628</v>
      </c>
      <c r="AX37" s="29">
        <f>'2019_C4_Zeitreihe'!AP37</f>
        <v>31.318136769078297</v>
      </c>
      <c r="AY37" s="29">
        <f>'2019_C4_Zeitreihe'!AQ37</f>
        <v>18.334985133795836</v>
      </c>
      <c r="AZ37" s="29">
        <f>'2019_C4_Zeitreihe'!AR37</f>
        <v>40.882061446977204</v>
      </c>
      <c r="BA37" s="57">
        <f>'2019_C4_Zeitreihe'!AS37</f>
        <v>1752</v>
      </c>
      <c r="BB37" s="57">
        <f>'2019_C4_Zeitreihe'!AT37</f>
        <v>1116</v>
      </c>
      <c r="BC37" s="57">
        <f>'2019_C4_Zeitreihe'!AU37</f>
        <v>636</v>
      </c>
      <c r="BD37" s="29">
        <f>'2019_C4_Zeitreihe'!AV37</f>
        <v>9.1894977168949765</v>
      </c>
      <c r="BE37" s="29">
        <f>'2019_C4_Zeitreihe'!AW37</f>
        <v>27.853881278538811</v>
      </c>
      <c r="BF37" s="29">
        <f>'2019_C4_Zeitreihe'!AX37</f>
        <v>17.751141552511417</v>
      </c>
      <c r="BG37" s="29">
        <f>'2019_C4_Zeitreihe'!AY37</f>
        <v>45.205479452054803</v>
      </c>
      <c r="BH37" s="57">
        <f>'2019_C4_Zeitreihe'!AZ37</f>
        <v>1437</v>
      </c>
      <c r="BI37" s="57">
        <f>'2019_C4_Zeitreihe'!BA37</f>
        <v>875</v>
      </c>
      <c r="BJ37" s="57">
        <f>'2019_C4_Zeitreihe'!BB37</f>
        <v>562</v>
      </c>
      <c r="BK37" s="83">
        <f>'2019_C4_Zeitreihe'!BC37</f>
        <v>6.8197633959638138</v>
      </c>
      <c r="BL37" s="83">
        <f>'2019_C4_Zeitreihe'!BD37</f>
        <v>27.20946416144746</v>
      </c>
      <c r="BM37" s="83">
        <f>'2019_C4_Zeitreihe'!BE37</f>
        <v>27.905358385525403</v>
      </c>
      <c r="BN37" s="83">
        <f>'2019_C4_Zeitreihe'!BF37</f>
        <v>38.065414057063329</v>
      </c>
      <c r="BO37" s="57">
        <f>'2019_C4_Zeitreihe'!BG37</f>
        <v>1295</v>
      </c>
      <c r="BP37" s="57">
        <f>'2019_C4_Zeitreihe'!BH37</f>
        <v>791</v>
      </c>
      <c r="BQ37" s="57">
        <f>'2019_C4_Zeitreihe'!BI37</f>
        <v>504</v>
      </c>
      <c r="BR37" s="83">
        <f>'2019_C4_Zeitreihe'!BJ37</f>
        <v>6.2548262548262556</v>
      </c>
      <c r="BS37" s="83">
        <f>'2019_C4_Zeitreihe'!BK37</f>
        <v>28.108108108108109</v>
      </c>
      <c r="BT37" s="83">
        <f>'2019_C4_Zeitreihe'!BL37</f>
        <v>32.972972972972975</v>
      </c>
      <c r="BU37" s="78">
        <f>'2019_C4_Zeitreihe'!BM37</f>
        <v>32.664092664092664</v>
      </c>
      <c r="BV37" s="62"/>
    </row>
    <row r="38" spans="2:74" ht="8.25" customHeight="1">
      <c r="B38" s="107">
        <v>358</v>
      </c>
      <c r="C38" s="74" t="s">
        <v>114</v>
      </c>
      <c r="D38" s="74">
        <f>VLOOKUP(B38,'2020_Rohdaten_BA'!$A$10:$E$59,3,FALSE)</f>
        <v>4303</v>
      </c>
      <c r="E38" s="74">
        <f>VLOOKUP(B38,'2020_Rohdaten_BA'!$A$10:$E$59,4,FALSE)</f>
        <v>2824</v>
      </c>
      <c r="F38" s="74">
        <f>VLOOKUP(B38,'2020_Rohdaten_BA'!$A$10:$E$59,5,FALSE)</f>
        <v>1479</v>
      </c>
      <c r="G38" s="74">
        <f>VLOOKUP(B38,'2020_Rohdaten_BA'!$A$10:$M$59,12,FALSE)</f>
        <v>7.9247036950964445</v>
      </c>
      <c r="H38" s="74">
        <f>VLOOKUP(B38,'2020_Rohdaten_BA'!$A$10:$M$59,11,FALSE)</f>
        <v>36.369974436439691</v>
      </c>
      <c r="I38" s="74">
        <f>VLOOKUP(B38,'2020_Rohdaten_BA'!$A$10:$M$59,10,FALSE)</f>
        <v>21.798745061584942</v>
      </c>
      <c r="J38" s="74">
        <f>VLOOKUP(B38,'2020_Rohdaten_BA'!$A$10:$M$59,13,FALSE)</f>
        <v>33.906576806878924</v>
      </c>
      <c r="K38" s="193">
        <f>'2019_C4_Zeitreihe'!C38</f>
        <v>4245</v>
      </c>
      <c r="L38" s="193">
        <f>'2019_C4_Zeitreihe'!D38</f>
        <v>2765</v>
      </c>
      <c r="M38" s="193">
        <f>'2019_C4_Zeitreihe'!E38</f>
        <v>1480</v>
      </c>
      <c r="N38" s="115">
        <f>'2019_C4_Zeitreihe'!F38</f>
        <v>7.4676089517078914</v>
      </c>
      <c r="O38" s="115">
        <f>'2019_C4_Zeitreihe'!G38</f>
        <v>35.948174322732626</v>
      </c>
      <c r="P38" s="115">
        <f>'2019_C4_Zeitreihe'!H38</f>
        <v>21.43698468786808</v>
      </c>
      <c r="Q38" s="115">
        <f>'2019_C4_Zeitreihe'!I38</f>
        <v>35.147232037691403</v>
      </c>
      <c r="R38" s="112">
        <f>'2019_C4_Zeitreihe'!J38</f>
        <v>3797</v>
      </c>
      <c r="S38" s="112">
        <f>'2019_C4_Zeitreihe'!K38</f>
        <v>2508</v>
      </c>
      <c r="T38" s="112">
        <f>'2019_C4_Zeitreihe'!L38</f>
        <v>1289</v>
      </c>
      <c r="U38" s="75">
        <f>'2019_C4_Zeitreihe'!M38</f>
        <v>7.3742428232815378</v>
      </c>
      <c r="V38" s="75">
        <f>'2019_C4_Zeitreihe'!N38</f>
        <v>36.792204371872536</v>
      </c>
      <c r="W38" s="75">
        <f>'2019_C4_Zeitreihe'!O38</f>
        <v>20.858572557282066</v>
      </c>
      <c r="X38" s="75">
        <f>'2019_C4_Zeitreihe'!P38</f>
        <v>34.974980247563863</v>
      </c>
      <c r="Y38" s="112">
        <f>'2019_C4_Zeitreihe'!Q38</f>
        <v>3290</v>
      </c>
      <c r="Z38" s="112">
        <f>'2019_C4_Zeitreihe'!R38</f>
        <v>2171</v>
      </c>
      <c r="AA38" s="112">
        <f>'2019_C4_Zeitreihe'!S38</f>
        <v>1119</v>
      </c>
      <c r="AB38" s="75">
        <f>'2019_C4_Zeitreihe'!T38</f>
        <v>7.5379939209726441</v>
      </c>
      <c r="AC38" s="75">
        <f>'2019_C4_Zeitreihe'!U38</f>
        <v>35.775075987841944</v>
      </c>
      <c r="AD38" s="75">
        <f>'2019_C4_Zeitreihe'!V38</f>
        <v>21.124620060790271</v>
      </c>
      <c r="AE38" s="75">
        <f>'2019_C4_Zeitreihe'!W38</f>
        <v>35.562310030395139</v>
      </c>
      <c r="AF38" s="112">
        <f>'2019_C4_Zeitreihe'!X38</f>
        <v>2855</v>
      </c>
      <c r="AG38" s="112">
        <f>'2019_C4_Zeitreihe'!Y38</f>
        <v>1854</v>
      </c>
      <c r="AH38" s="112">
        <f>'2019_C4_Zeitreihe'!Z38</f>
        <v>1001</v>
      </c>
      <c r="AI38" s="75">
        <f>'2019_C4_Zeitreihe'!AA38</f>
        <v>7.8809106830122584</v>
      </c>
      <c r="AJ38" s="75">
        <f>'2019_C4_Zeitreihe'!AB38</f>
        <v>36.812609457092819</v>
      </c>
      <c r="AK38" s="75">
        <f>'2019_C4_Zeitreihe'!AC38</f>
        <v>21.190893169877409</v>
      </c>
      <c r="AL38" s="75">
        <f>'2019_C4_Zeitreihe'!AD38</f>
        <v>34.115586690017516</v>
      </c>
      <c r="AM38" s="57">
        <f>'2019_C4_Zeitreihe'!AE38</f>
        <v>2484</v>
      </c>
      <c r="AN38" s="57">
        <f>'2019_C4_Zeitreihe'!AF38</f>
        <v>1634</v>
      </c>
      <c r="AO38" s="57">
        <f>'2019_C4_Zeitreihe'!AG38</f>
        <v>850</v>
      </c>
      <c r="AP38" s="29">
        <f>'2019_C4_Zeitreihe'!AH38</f>
        <v>7.7294685990338161</v>
      </c>
      <c r="AQ38" s="29">
        <f>'2019_C4_Zeitreihe'!AI38</f>
        <v>37.721417069243159</v>
      </c>
      <c r="AR38" s="29">
        <f>'2019_C4_Zeitreihe'!AJ38</f>
        <v>19.404186795491142</v>
      </c>
      <c r="AS38" s="29">
        <f>'2019_C4_Zeitreihe'!AK38</f>
        <v>35.144927536231883</v>
      </c>
      <c r="AT38" s="57">
        <f>'2019_C4_Zeitreihe'!AL38</f>
        <v>2268</v>
      </c>
      <c r="AU38" s="57">
        <f>'2019_C4_Zeitreihe'!AM38</f>
        <v>1510</v>
      </c>
      <c r="AV38" s="57">
        <f>'2019_C4_Zeitreihe'!AN38</f>
        <v>758</v>
      </c>
      <c r="AW38" s="29">
        <f>'2019_C4_Zeitreihe'!AO38</f>
        <v>7.4955908289241622</v>
      </c>
      <c r="AX38" s="29">
        <f>'2019_C4_Zeitreihe'!AP38</f>
        <v>37.213403880070544</v>
      </c>
      <c r="AY38" s="29">
        <f>'2019_C4_Zeitreihe'!AQ38</f>
        <v>18.562610229276896</v>
      </c>
      <c r="AZ38" s="29">
        <f>'2019_C4_Zeitreihe'!AR38</f>
        <v>36.728395061728392</v>
      </c>
      <c r="BA38" s="57">
        <f>'2019_C4_Zeitreihe'!AS38</f>
        <v>2105</v>
      </c>
      <c r="BB38" s="57">
        <f>'2019_C4_Zeitreihe'!AT38</f>
        <v>1391</v>
      </c>
      <c r="BC38" s="57">
        <f>'2019_C4_Zeitreihe'!AU38</f>
        <v>714</v>
      </c>
      <c r="BD38" s="29">
        <f>'2019_C4_Zeitreihe'!AV38</f>
        <v>5.3681710213776723</v>
      </c>
      <c r="BE38" s="29">
        <f>'2019_C4_Zeitreihe'!AW38</f>
        <v>30.023752969121141</v>
      </c>
      <c r="BF38" s="29">
        <f>'2019_C4_Zeitreihe'!AX38</f>
        <v>16.959619952494062</v>
      </c>
      <c r="BG38" s="29">
        <f>'2019_C4_Zeitreihe'!AY38</f>
        <v>47.648456057007124</v>
      </c>
      <c r="BH38" s="57">
        <f>'2019_C4_Zeitreihe'!AZ38</f>
        <v>1726</v>
      </c>
      <c r="BI38" s="57">
        <f>'2019_C4_Zeitreihe'!BA38</f>
        <v>1114</v>
      </c>
      <c r="BJ38" s="57">
        <f>'2019_C4_Zeitreihe'!BB38</f>
        <v>612</v>
      </c>
      <c r="BK38" s="83">
        <f>'2019_C4_Zeitreihe'!BC38</f>
        <v>4.6349942062572422</v>
      </c>
      <c r="BL38" s="83">
        <f>'2019_C4_Zeitreihe'!BD38</f>
        <v>26.709154113557361</v>
      </c>
      <c r="BM38" s="83">
        <f>'2019_C4_Zeitreihe'!BE38</f>
        <v>24.449594438006951</v>
      </c>
      <c r="BN38" s="83">
        <f>'2019_C4_Zeitreihe'!BF38</f>
        <v>44.206257242178445</v>
      </c>
      <c r="BO38" s="57">
        <f>'2019_C4_Zeitreihe'!BG38</f>
        <v>1605</v>
      </c>
      <c r="BP38" s="57">
        <f>'2019_C4_Zeitreihe'!BH38</f>
        <v>1029</v>
      </c>
      <c r="BQ38" s="57">
        <f>'2019_C4_Zeitreihe'!BI38</f>
        <v>576</v>
      </c>
      <c r="BR38" s="83">
        <f>'2019_C4_Zeitreihe'!BJ38</f>
        <v>3.0529595015576323</v>
      </c>
      <c r="BS38" s="83">
        <f>'2019_C4_Zeitreihe'!BK38</f>
        <v>26.915887850467289</v>
      </c>
      <c r="BT38" s="83">
        <f>'2019_C4_Zeitreihe'!BL38</f>
        <v>25.420560747663551</v>
      </c>
      <c r="BU38" s="78">
        <f>'2019_C4_Zeitreihe'!BM38</f>
        <v>44.610591900311526</v>
      </c>
      <c r="BV38" s="62"/>
    </row>
    <row r="39" spans="2:74" ht="8.25" customHeight="1">
      <c r="B39" s="107">
        <v>359</v>
      </c>
      <c r="C39" s="74" t="s">
        <v>115</v>
      </c>
      <c r="D39" s="74">
        <f>VLOOKUP(B39,'2020_Rohdaten_BA'!$A$10:$E$59,3,FALSE)</f>
        <v>5874</v>
      </c>
      <c r="E39" s="74">
        <f>VLOOKUP(B39,'2020_Rohdaten_BA'!$A$10:$E$59,4,FALSE)</f>
        <v>4173</v>
      </c>
      <c r="F39" s="74">
        <f>VLOOKUP(B39,'2020_Rohdaten_BA'!$A$10:$E$59,5,FALSE)</f>
        <v>1701</v>
      </c>
      <c r="G39" s="74">
        <f>VLOOKUP(B39,'2020_Rohdaten_BA'!$A$10:$M$59,12,FALSE)</f>
        <v>9.0909090909090917</v>
      </c>
      <c r="H39" s="74">
        <f>VLOOKUP(B39,'2020_Rohdaten_BA'!$A$10:$M$59,11,FALSE)</f>
        <v>24.940415389853591</v>
      </c>
      <c r="I39" s="74">
        <f>VLOOKUP(B39,'2020_Rohdaten_BA'!$A$10:$M$59,10,FALSE)</f>
        <v>22.948586993530814</v>
      </c>
      <c r="J39" s="74">
        <f>VLOOKUP(B39,'2020_Rohdaten_BA'!$A$10:$M$59,13,FALSE)</f>
        <v>43.020088525706505</v>
      </c>
      <c r="K39" s="193">
        <f>'2019_C4_Zeitreihe'!C39</f>
        <v>5633</v>
      </c>
      <c r="L39" s="193">
        <f>'2019_C4_Zeitreihe'!D39</f>
        <v>4017</v>
      </c>
      <c r="M39" s="193">
        <f>'2019_C4_Zeitreihe'!E39</f>
        <v>1616</v>
      </c>
      <c r="N39" s="115">
        <f>'2019_C4_Zeitreihe'!F39</f>
        <v>8.2904313864725729</v>
      </c>
      <c r="O39" s="115">
        <f>'2019_C4_Zeitreihe'!G39</f>
        <v>24.729273921533817</v>
      </c>
      <c r="P39" s="115">
        <f>'2019_C4_Zeitreihe'!H39</f>
        <v>22.048641931475235</v>
      </c>
      <c r="Q39" s="115">
        <f>'2019_C4_Zeitreihe'!I39</f>
        <v>44.931652760518375</v>
      </c>
      <c r="R39" s="112">
        <f>'2019_C4_Zeitreihe'!J39</f>
        <v>5030</v>
      </c>
      <c r="S39" s="112">
        <f>'2019_C4_Zeitreihe'!K39</f>
        <v>3638</v>
      </c>
      <c r="T39" s="112">
        <f>'2019_C4_Zeitreihe'!L39</f>
        <v>1392</v>
      </c>
      <c r="U39" s="75">
        <f>'2019_C4_Zeitreihe'!M39</f>
        <v>7.7137176938369789</v>
      </c>
      <c r="V39" s="75">
        <f>'2019_C4_Zeitreihe'!N39</f>
        <v>25.347912524850898</v>
      </c>
      <c r="W39" s="75">
        <f>'2019_C4_Zeitreihe'!O39</f>
        <v>20.656063618290258</v>
      </c>
      <c r="X39" s="75">
        <f>'2019_C4_Zeitreihe'!P39</f>
        <v>46.282306163021872</v>
      </c>
      <c r="Y39" s="112">
        <f>'2019_C4_Zeitreihe'!Q39</f>
        <v>4514</v>
      </c>
      <c r="Z39" s="112">
        <f>'2019_C4_Zeitreihe'!R39</f>
        <v>3241</v>
      </c>
      <c r="AA39" s="112">
        <f>'2019_C4_Zeitreihe'!S39</f>
        <v>1273</v>
      </c>
      <c r="AB39" s="75">
        <f>'2019_C4_Zeitreihe'!T39</f>
        <v>7.9973416038989802</v>
      </c>
      <c r="AC39" s="75">
        <f>'2019_C4_Zeitreihe'!U39</f>
        <v>25.963668586619406</v>
      </c>
      <c r="AD39" s="75">
        <f>'2019_C4_Zeitreihe'!V39</f>
        <v>18.365086397873284</v>
      </c>
      <c r="AE39" s="75">
        <f>'2019_C4_Zeitreihe'!W39</f>
        <v>47.673903411608329</v>
      </c>
      <c r="AF39" s="112">
        <f>'2019_C4_Zeitreihe'!X39</f>
        <v>4321</v>
      </c>
      <c r="AG39" s="112">
        <f>'2019_C4_Zeitreihe'!Y39</f>
        <v>3253</v>
      </c>
      <c r="AH39" s="112">
        <f>'2019_C4_Zeitreihe'!Z39</f>
        <v>1068</v>
      </c>
      <c r="AI39" s="75">
        <f>'2019_C4_Zeitreihe'!AA39</f>
        <v>7.4288359176116634</v>
      </c>
      <c r="AJ39" s="75">
        <f>'2019_C4_Zeitreihe'!AB39</f>
        <v>24.369358944688731</v>
      </c>
      <c r="AK39" s="75">
        <f>'2019_C4_Zeitreihe'!AC39</f>
        <v>15.667669520944225</v>
      </c>
      <c r="AL39" s="75">
        <f>'2019_C4_Zeitreihe'!AD39</f>
        <v>52.534135616755385</v>
      </c>
      <c r="AM39" s="57">
        <f>'2019_C4_Zeitreihe'!AE39</f>
        <v>4157</v>
      </c>
      <c r="AN39" s="57">
        <f>'2019_C4_Zeitreihe'!AF39</f>
        <v>3195</v>
      </c>
      <c r="AO39" s="57">
        <f>'2019_C4_Zeitreihe'!AG39</f>
        <v>962</v>
      </c>
      <c r="AP39" s="29">
        <f>'2019_C4_Zeitreihe'!AH39</f>
        <v>6.3988453211450569</v>
      </c>
      <c r="AQ39" s="29">
        <f>'2019_C4_Zeitreihe'!AI39</f>
        <v>25.066153476064468</v>
      </c>
      <c r="AR39" s="29">
        <f>'2019_C4_Zeitreihe'!AJ39</f>
        <v>13.302862641327881</v>
      </c>
      <c r="AS39" s="29">
        <f>'2019_C4_Zeitreihe'!AK39</f>
        <v>55.232138561462591</v>
      </c>
      <c r="AT39" s="57">
        <f>'2019_C4_Zeitreihe'!AL39</f>
        <v>4176</v>
      </c>
      <c r="AU39" s="57">
        <f>'2019_C4_Zeitreihe'!AM39</f>
        <v>3228</v>
      </c>
      <c r="AV39" s="57">
        <f>'2019_C4_Zeitreihe'!AN39</f>
        <v>948</v>
      </c>
      <c r="AW39" s="29">
        <f>'2019_C4_Zeitreihe'!AO39</f>
        <v>6.1781609195402298</v>
      </c>
      <c r="AX39" s="29">
        <f>'2019_C4_Zeitreihe'!AP39</f>
        <v>24.305555555555554</v>
      </c>
      <c r="AY39" s="29">
        <f>'2019_C4_Zeitreihe'!AQ39</f>
        <v>11.422413793103448</v>
      </c>
      <c r="AZ39" s="29">
        <f>'2019_C4_Zeitreihe'!AR39</f>
        <v>58.093869731800766</v>
      </c>
      <c r="BA39" s="57">
        <f>'2019_C4_Zeitreihe'!AS39</f>
        <v>3996</v>
      </c>
      <c r="BB39" s="57">
        <f>'2019_C4_Zeitreihe'!AT39</f>
        <v>3142</v>
      </c>
      <c r="BC39" s="57">
        <f>'2019_C4_Zeitreihe'!AU39</f>
        <v>854</v>
      </c>
      <c r="BD39" s="29">
        <f>'2019_C4_Zeitreihe'!AV39</f>
        <v>6.1311311311311307</v>
      </c>
      <c r="BE39" s="29">
        <f>'2019_C4_Zeitreihe'!AW39</f>
        <v>22.797797797797799</v>
      </c>
      <c r="BF39" s="29">
        <f>'2019_C4_Zeitreihe'!AX39</f>
        <v>9.5095095095095097</v>
      </c>
      <c r="BG39" s="29">
        <f>'2019_C4_Zeitreihe'!AY39</f>
        <v>61.561561561561561</v>
      </c>
      <c r="BH39" s="57">
        <f>'2019_C4_Zeitreihe'!AZ39</f>
        <v>3800</v>
      </c>
      <c r="BI39" s="57">
        <f>'2019_C4_Zeitreihe'!BA39</f>
        <v>3172</v>
      </c>
      <c r="BJ39" s="57">
        <f>'2019_C4_Zeitreihe'!BB39</f>
        <v>628</v>
      </c>
      <c r="BK39" s="83">
        <f>'2019_C4_Zeitreihe'!BC39</f>
        <v>10.710526315789473</v>
      </c>
      <c r="BL39" s="83">
        <f>'2019_C4_Zeitreihe'!BD39</f>
        <v>22.973684210526315</v>
      </c>
      <c r="BM39" s="83">
        <f>'2019_C4_Zeitreihe'!BE39</f>
        <v>7.8157894736842106</v>
      </c>
      <c r="BN39" s="83">
        <f>'2019_C4_Zeitreihe'!BF39</f>
        <v>58.500000000000007</v>
      </c>
      <c r="BO39" s="57">
        <f>'2019_C4_Zeitreihe'!BG39</f>
        <v>3469</v>
      </c>
      <c r="BP39" s="57">
        <f>'2019_C4_Zeitreihe'!BH39</f>
        <v>2915</v>
      </c>
      <c r="BQ39" s="57">
        <f>'2019_C4_Zeitreihe'!BI39</f>
        <v>554</v>
      </c>
      <c r="BR39" s="83">
        <f>'2019_C4_Zeitreihe'!BJ39</f>
        <v>9.7722686653214179</v>
      </c>
      <c r="BS39" s="83">
        <f>'2019_C4_Zeitreihe'!BK39</f>
        <v>23.320841741135773</v>
      </c>
      <c r="BT39" s="83">
        <f>'2019_C4_Zeitreihe'!BL39</f>
        <v>8.8209858748918997</v>
      </c>
      <c r="BU39" s="78">
        <f>'2019_C4_Zeitreihe'!BM39</f>
        <v>58.085903718650897</v>
      </c>
      <c r="BV39" s="62"/>
    </row>
    <row r="40" spans="2:74" ht="8.25" customHeight="1">
      <c r="B40" s="107">
        <v>360</v>
      </c>
      <c r="C40" s="74" t="s">
        <v>116</v>
      </c>
      <c r="D40" s="74">
        <f>VLOOKUP(B40,'2020_Rohdaten_BA'!$A$10:$E$59,3,FALSE)</f>
        <v>1682</v>
      </c>
      <c r="E40" s="74">
        <f>VLOOKUP(B40,'2020_Rohdaten_BA'!$A$10:$E$59,4,FALSE)</f>
        <v>1035</v>
      </c>
      <c r="F40" s="74">
        <f>VLOOKUP(B40,'2020_Rohdaten_BA'!$A$10:$E$59,5,FALSE)</f>
        <v>647</v>
      </c>
      <c r="G40" s="74">
        <f>VLOOKUP(B40,'2020_Rohdaten_BA'!$A$10:$M$59,12,FALSE)</f>
        <v>13.376932223543401</v>
      </c>
      <c r="H40" s="74">
        <f>VLOOKUP(B40,'2020_Rohdaten_BA'!$A$10:$M$59,11,FALSE)</f>
        <v>35.969084423305588</v>
      </c>
      <c r="I40" s="74">
        <f>VLOOKUP(B40,'2020_Rohdaten_BA'!$A$10:$M$59,10,FALSE)</f>
        <v>22.116527942925089</v>
      </c>
      <c r="J40" s="74">
        <f>VLOOKUP(B40,'2020_Rohdaten_BA'!$A$10:$M$59,13,FALSE)</f>
        <v>28.53745541022592</v>
      </c>
      <c r="K40" s="193">
        <f>'2019_C4_Zeitreihe'!C40</f>
        <v>1615</v>
      </c>
      <c r="L40" s="193">
        <f>'2019_C4_Zeitreihe'!D40</f>
        <v>1016</v>
      </c>
      <c r="M40" s="193">
        <f>'2019_C4_Zeitreihe'!E40</f>
        <v>599</v>
      </c>
      <c r="N40" s="115">
        <f>'2019_C4_Zeitreihe'!F40</f>
        <v>14.489164086687307</v>
      </c>
      <c r="O40" s="115">
        <f>'2019_C4_Zeitreihe'!G40</f>
        <v>35.60371517027864</v>
      </c>
      <c r="P40" s="115">
        <f>'2019_C4_Zeitreihe'!H40</f>
        <v>22.229102167182663</v>
      </c>
      <c r="Q40" s="115">
        <f>'2019_C4_Zeitreihe'!I40</f>
        <v>27.678018575851393</v>
      </c>
      <c r="R40" s="112">
        <f>'2019_C4_Zeitreihe'!J40</f>
        <v>1413</v>
      </c>
      <c r="S40" s="112">
        <f>'2019_C4_Zeitreihe'!K40</f>
        <v>883</v>
      </c>
      <c r="T40" s="112">
        <f>'2019_C4_Zeitreihe'!L40</f>
        <v>530</v>
      </c>
      <c r="U40" s="75">
        <f>'2019_C4_Zeitreihe'!M40</f>
        <v>14.578910120311395</v>
      </c>
      <c r="V40" s="75">
        <f>'2019_C4_Zeitreihe'!N40</f>
        <v>34.748761500353858</v>
      </c>
      <c r="W40" s="75">
        <f>'2019_C4_Zeitreihe'!O40</f>
        <v>19.53290870488323</v>
      </c>
      <c r="X40" s="75">
        <f>'2019_C4_Zeitreihe'!P40</f>
        <v>31.139419674451524</v>
      </c>
      <c r="Y40" s="112">
        <f>'2019_C4_Zeitreihe'!Q40</f>
        <v>1245</v>
      </c>
      <c r="Z40" s="112">
        <f>'2019_C4_Zeitreihe'!R40</f>
        <v>750</v>
      </c>
      <c r="AA40" s="112">
        <f>'2019_C4_Zeitreihe'!S40</f>
        <v>495</v>
      </c>
      <c r="AB40" s="75">
        <f>'2019_C4_Zeitreihe'!T40</f>
        <v>16.626506024096386</v>
      </c>
      <c r="AC40" s="75">
        <f>'2019_C4_Zeitreihe'!U40</f>
        <v>32.690763052208837</v>
      </c>
      <c r="AD40" s="75">
        <f>'2019_C4_Zeitreihe'!V40</f>
        <v>17.831325301204821</v>
      </c>
      <c r="AE40" s="75">
        <f>'2019_C4_Zeitreihe'!W40</f>
        <v>32.851405622489963</v>
      </c>
      <c r="AF40" s="112">
        <f>'2019_C4_Zeitreihe'!X40</f>
        <v>1068</v>
      </c>
      <c r="AG40" s="112">
        <f>'2019_C4_Zeitreihe'!Y40</f>
        <v>660</v>
      </c>
      <c r="AH40" s="112">
        <f>'2019_C4_Zeitreihe'!Z40</f>
        <v>408</v>
      </c>
      <c r="AI40" s="75">
        <f>'2019_C4_Zeitreihe'!AA40</f>
        <v>16.292134831460675</v>
      </c>
      <c r="AJ40" s="75">
        <f>'2019_C4_Zeitreihe'!AB40</f>
        <v>35.018726591760299</v>
      </c>
      <c r="AK40" s="75">
        <f>'2019_C4_Zeitreihe'!AC40</f>
        <v>17.977528089887642</v>
      </c>
      <c r="AL40" s="75">
        <f>'2019_C4_Zeitreihe'!AD40</f>
        <v>30.711610486891384</v>
      </c>
      <c r="AM40" s="57">
        <f>'2019_C4_Zeitreihe'!AE40</f>
        <v>962</v>
      </c>
      <c r="AN40" s="57">
        <f>'2019_C4_Zeitreihe'!AF40</f>
        <v>570</v>
      </c>
      <c r="AO40" s="57">
        <f>'2019_C4_Zeitreihe'!AG40</f>
        <v>392</v>
      </c>
      <c r="AP40" s="29">
        <f>'2019_C4_Zeitreihe'!AH40</f>
        <v>16.735966735966738</v>
      </c>
      <c r="AQ40" s="29">
        <f>'2019_C4_Zeitreihe'!AI40</f>
        <v>33.991683991683992</v>
      </c>
      <c r="AR40" s="29">
        <f>'2019_C4_Zeitreihe'!AJ40</f>
        <v>16.424116424116423</v>
      </c>
      <c r="AS40" s="29">
        <f>'2019_C4_Zeitreihe'!AK40</f>
        <v>32.848232848232854</v>
      </c>
      <c r="AT40" s="57">
        <f>'2019_C4_Zeitreihe'!AL40</f>
        <v>857</v>
      </c>
      <c r="AU40" s="57">
        <f>'2019_C4_Zeitreihe'!AM40</f>
        <v>501</v>
      </c>
      <c r="AV40" s="57">
        <f>'2019_C4_Zeitreihe'!AN40</f>
        <v>356</v>
      </c>
      <c r="AW40" s="29">
        <f>'2019_C4_Zeitreihe'!AO40</f>
        <v>14.935822637106183</v>
      </c>
      <c r="AX40" s="29">
        <f>'2019_C4_Zeitreihe'!AP40</f>
        <v>34.189031505250881</v>
      </c>
      <c r="AY40" s="29">
        <f>'2019_C4_Zeitreihe'!AQ40</f>
        <v>15.402567094515755</v>
      </c>
      <c r="AZ40" s="29">
        <f>'2019_C4_Zeitreihe'!AR40</f>
        <v>35.472578763127174</v>
      </c>
      <c r="BA40" s="57">
        <f>'2019_C4_Zeitreihe'!AS40</f>
        <v>752</v>
      </c>
      <c r="BB40" s="57">
        <f>'2019_C4_Zeitreihe'!AT40</f>
        <v>437</v>
      </c>
      <c r="BC40" s="57">
        <f>'2019_C4_Zeitreihe'!AU40</f>
        <v>315</v>
      </c>
      <c r="BD40" s="29">
        <f>'2019_C4_Zeitreihe'!AV40</f>
        <v>12.5</v>
      </c>
      <c r="BE40" s="29">
        <f>'2019_C4_Zeitreihe'!AW40</f>
        <v>29.920212765957448</v>
      </c>
      <c r="BF40" s="29">
        <f>'2019_C4_Zeitreihe'!AX40</f>
        <v>11.569148936170212</v>
      </c>
      <c r="BG40" s="29">
        <f>'2019_C4_Zeitreihe'!AY40</f>
        <v>46.010638297872347</v>
      </c>
      <c r="BH40" s="57">
        <f>'2019_C4_Zeitreihe'!AZ40</f>
        <v>596</v>
      </c>
      <c r="BI40" s="57">
        <f>'2019_C4_Zeitreihe'!BA40</f>
        <v>361</v>
      </c>
      <c r="BJ40" s="57">
        <f>'2019_C4_Zeitreihe'!BB40</f>
        <v>235</v>
      </c>
      <c r="BK40" s="83">
        <f>'2019_C4_Zeitreihe'!BC40</f>
        <v>9.2281879194630871</v>
      </c>
      <c r="BL40" s="83">
        <f>'2019_C4_Zeitreihe'!BD40</f>
        <v>29.194630872483224</v>
      </c>
      <c r="BM40" s="83">
        <f>'2019_C4_Zeitreihe'!BE40</f>
        <v>11.409395973154362</v>
      </c>
      <c r="BN40" s="83">
        <f>'2019_C4_Zeitreihe'!BF40</f>
        <v>50.167785234899327</v>
      </c>
      <c r="BO40" s="57">
        <f>'2019_C4_Zeitreihe'!BG40</f>
        <v>523</v>
      </c>
      <c r="BP40" s="57">
        <f>'2019_C4_Zeitreihe'!BH40</f>
        <v>310</v>
      </c>
      <c r="BQ40" s="57">
        <f>'2019_C4_Zeitreihe'!BI40</f>
        <v>213</v>
      </c>
      <c r="BR40" s="83">
        <f>'2019_C4_Zeitreihe'!BJ40</f>
        <v>7.4569789674952203</v>
      </c>
      <c r="BS40" s="83">
        <f>'2019_C4_Zeitreihe'!BK40</f>
        <v>31.166347992351817</v>
      </c>
      <c r="BT40" s="83">
        <f>'2019_C4_Zeitreihe'!BL40</f>
        <v>12.619502868068832</v>
      </c>
      <c r="BU40" s="78">
        <f>'2019_C4_Zeitreihe'!BM40</f>
        <v>48.75717017208413</v>
      </c>
      <c r="BV40" s="62"/>
    </row>
    <row r="41" spans="2:74" ht="8.25" customHeight="1">
      <c r="B41" s="107">
        <v>361</v>
      </c>
      <c r="C41" s="74" t="s">
        <v>117</v>
      </c>
      <c r="D41" s="74">
        <f>VLOOKUP(B41,'2020_Rohdaten_BA'!$A$10:$E$59,3,FALSE)</f>
        <v>5629</v>
      </c>
      <c r="E41" s="74">
        <f>VLOOKUP(B41,'2020_Rohdaten_BA'!$A$10:$E$59,4,FALSE)</f>
        <v>3944</v>
      </c>
      <c r="F41" s="74">
        <f>VLOOKUP(B41,'2020_Rohdaten_BA'!$A$10:$E$59,5,FALSE)</f>
        <v>1685</v>
      </c>
      <c r="G41" s="74">
        <f>VLOOKUP(B41,'2020_Rohdaten_BA'!$A$10:$M$59,12,FALSE)</f>
        <v>7.6567774027358322</v>
      </c>
      <c r="H41" s="74">
        <f>VLOOKUP(B41,'2020_Rohdaten_BA'!$A$10:$M$59,11,FALSE)</f>
        <v>24.089536329721088</v>
      </c>
      <c r="I41" s="74">
        <f>VLOOKUP(B41,'2020_Rohdaten_BA'!$A$10:$M$59,10,FALSE)</f>
        <v>27.83798187955232</v>
      </c>
      <c r="J41" s="74">
        <f>VLOOKUP(B41,'2020_Rohdaten_BA'!$A$10:$M$59,13,FALSE)</f>
        <v>40.415704387990765</v>
      </c>
      <c r="K41" s="193">
        <f>'2019_C4_Zeitreihe'!C41</f>
        <v>4890</v>
      </c>
      <c r="L41" s="193">
        <f>'2019_C4_Zeitreihe'!D41</f>
        <v>3456</v>
      </c>
      <c r="M41" s="193">
        <f>'2019_C4_Zeitreihe'!E41</f>
        <v>1434</v>
      </c>
      <c r="N41" s="115">
        <f>'2019_C4_Zeitreihe'!F41</f>
        <v>8.1186094069529648</v>
      </c>
      <c r="O41" s="115">
        <f>'2019_C4_Zeitreihe'!G41</f>
        <v>26.400817995910021</v>
      </c>
      <c r="P41" s="115">
        <f>'2019_C4_Zeitreihe'!H41</f>
        <v>26.012269938650306</v>
      </c>
      <c r="Q41" s="115">
        <f>'2019_C4_Zeitreihe'!I41</f>
        <v>39.468302658486706</v>
      </c>
      <c r="R41" s="112">
        <f>'2019_C4_Zeitreihe'!J41</f>
        <v>4393</v>
      </c>
      <c r="S41" s="112">
        <f>'2019_C4_Zeitreihe'!K41</f>
        <v>3082</v>
      </c>
      <c r="T41" s="112">
        <f>'2019_C4_Zeitreihe'!L41</f>
        <v>1311</v>
      </c>
      <c r="U41" s="75">
        <f>'2019_C4_Zeitreihe'!M41</f>
        <v>8.2403824265877521</v>
      </c>
      <c r="V41" s="75">
        <f>'2019_C4_Zeitreihe'!N41</f>
        <v>26.178010471204189</v>
      </c>
      <c r="W41" s="75">
        <f>'2019_C4_Zeitreihe'!O41</f>
        <v>25.950375597541541</v>
      </c>
      <c r="X41" s="75">
        <f>'2019_C4_Zeitreihe'!P41</f>
        <v>39.631231504666516</v>
      </c>
      <c r="Y41" s="112">
        <f>'2019_C4_Zeitreihe'!Q41</f>
        <v>3863</v>
      </c>
      <c r="Z41" s="112">
        <f>'2019_C4_Zeitreihe'!R41</f>
        <v>2605</v>
      </c>
      <c r="AA41" s="112">
        <f>'2019_C4_Zeitreihe'!S41</f>
        <v>1258</v>
      </c>
      <c r="AB41" s="75">
        <f>'2019_C4_Zeitreihe'!T41</f>
        <v>9.2415221330572095</v>
      </c>
      <c r="AC41" s="75">
        <f>'2019_C4_Zeitreihe'!U41</f>
        <v>27.439813616360343</v>
      </c>
      <c r="AD41" s="75">
        <f>'2019_C4_Zeitreihe'!V41</f>
        <v>25.213564587108468</v>
      </c>
      <c r="AE41" s="75">
        <f>'2019_C4_Zeitreihe'!W41</f>
        <v>38.105099663473986</v>
      </c>
      <c r="AF41" s="112">
        <f>'2019_C4_Zeitreihe'!X41</f>
        <v>3287</v>
      </c>
      <c r="AG41" s="112">
        <f>'2019_C4_Zeitreihe'!Y41</f>
        <v>2209</v>
      </c>
      <c r="AH41" s="112">
        <f>'2019_C4_Zeitreihe'!Z41</f>
        <v>1078</v>
      </c>
      <c r="AI41" s="75">
        <f>'2019_C4_Zeitreihe'!AA41</f>
        <v>10.495892911469424</v>
      </c>
      <c r="AJ41" s="75">
        <f>'2019_C4_Zeitreihe'!AB41</f>
        <v>29.327654396105874</v>
      </c>
      <c r="AK41" s="75">
        <f>'2019_C4_Zeitreihe'!AC41</f>
        <v>25.585640401581987</v>
      </c>
      <c r="AL41" s="75">
        <f>'2019_C4_Zeitreihe'!AD41</f>
        <v>34.590812290842713</v>
      </c>
      <c r="AM41" s="57">
        <f>'2019_C4_Zeitreihe'!AE41</f>
        <v>2706</v>
      </c>
      <c r="AN41" s="57">
        <f>'2019_C4_Zeitreihe'!AF41</f>
        <v>1764</v>
      </c>
      <c r="AO41" s="57">
        <f>'2019_C4_Zeitreihe'!AG41</f>
        <v>942</v>
      </c>
      <c r="AP41" s="29">
        <f>'2019_C4_Zeitreihe'!AH41</f>
        <v>11.936437546193645</v>
      </c>
      <c r="AQ41" s="29">
        <f>'2019_C4_Zeitreihe'!AI41</f>
        <v>31.300813008130078</v>
      </c>
      <c r="AR41" s="29">
        <f>'2019_C4_Zeitreihe'!AJ41</f>
        <v>23.133776792313377</v>
      </c>
      <c r="AS41" s="29">
        <f>'2019_C4_Zeitreihe'!AK41</f>
        <v>33.628972653362908</v>
      </c>
      <c r="AT41" s="57">
        <f>'2019_C4_Zeitreihe'!AL41</f>
        <v>2427</v>
      </c>
      <c r="AU41" s="57">
        <f>'2019_C4_Zeitreihe'!AM41</f>
        <v>1566</v>
      </c>
      <c r="AV41" s="57">
        <f>'2019_C4_Zeitreihe'!AN41</f>
        <v>861</v>
      </c>
      <c r="AW41" s="29">
        <f>'2019_C4_Zeitreihe'!AO41</f>
        <v>11.701689328388957</v>
      </c>
      <c r="AX41" s="29">
        <f>'2019_C4_Zeitreihe'!AP41</f>
        <v>31.520395550061803</v>
      </c>
      <c r="AY41" s="29">
        <f>'2019_C4_Zeitreihe'!AQ41</f>
        <v>25.751957148743305</v>
      </c>
      <c r="AZ41" s="29">
        <f>'2019_C4_Zeitreihe'!AR41</f>
        <v>31.025957972805934</v>
      </c>
      <c r="BA41" s="57">
        <f>'2019_C4_Zeitreihe'!AS41</f>
        <v>2239</v>
      </c>
      <c r="BB41" s="57">
        <f>'2019_C4_Zeitreihe'!AT41</f>
        <v>1434</v>
      </c>
      <c r="BC41" s="57">
        <f>'2019_C4_Zeitreihe'!AU41</f>
        <v>805</v>
      </c>
      <c r="BD41" s="29">
        <f>'2019_C4_Zeitreihe'!AV41</f>
        <v>10.45109423849933</v>
      </c>
      <c r="BE41" s="29">
        <f>'2019_C4_Zeitreihe'!AW41</f>
        <v>28.271549799017421</v>
      </c>
      <c r="BF41" s="29">
        <f>'2019_C4_Zeitreihe'!AX41</f>
        <v>24.47521214828048</v>
      </c>
      <c r="BG41" s="29">
        <f>'2019_C4_Zeitreihe'!AY41</f>
        <v>36.802143814202772</v>
      </c>
      <c r="BH41" s="57">
        <f>'2019_C4_Zeitreihe'!AZ41</f>
        <v>1943</v>
      </c>
      <c r="BI41" s="57">
        <f>'2019_C4_Zeitreihe'!BA41</f>
        <v>1264</v>
      </c>
      <c r="BJ41" s="57">
        <f>'2019_C4_Zeitreihe'!BB41</f>
        <v>679</v>
      </c>
      <c r="BK41" s="83">
        <f>'2019_C4_Zeitreihe'!BC41</f>
        <v>7.8229541945445193</v>
      </c>
      <c r="BL41" s="83">
        <f>'2019_C4_Zeitreihe'!BD41</f>
        <v>24.395265054040145</v>
      </c>
      <c r="BM41" s="83">
        <f>'2019_C4_Zeitreihe'!BE41</f>
        <v>33.093154915079772</v>
      </c>
      <c r="BN41" s="83">
        <f>'2019_C4_Zeitreihe'!BF41</f>
        <v>34.688625836335568</v>
      </c>
      <c r="BO41" s="57">
        <f>'2019_C4_Zeitreihe'!BG41</f>
        <v>1820</v>
      </c>
      <c r="BP41" s="57">
        <f>'2019_C4_Zeitreihe'!BH41</f>
        <v>1195</v>
      </c>
      <c r="BQ41" s="57">
        <f>'2019_C4_Zeitreihe'!BI41</f>
        <v>625</v>
      </c>
      <c r="BR41" s="83">
        <f>'2019_C4_Zeitreihe'!BJ41</f>
        <v>7.9670329670329663</v>
      </c>
      <c r="BS41" s="83">
        <f>'2019_C4_Zeitreihe'!BK41</f>
        <v>24.945054945054945</v>
      </c>
      <c r="BT41" s="83">
        <f>'2019_C4_Zeitreihe'!BL41</f>
        <v>36.483516483516482</v>
      </c>
      <c r="BU41" s="78">
        <f>'2019_C4_Zeitreihe'!BM41</f>
        <v>30.604395604395602</v>
      </c>
      <c r="BV41" s="62"/>
    </row>
    <row r="42" spans="2:74" s="54" customFormat="1" ht="16.5" customHeight="1">
      <c r="B42" s="108">
        <v>3</v>
      </c>
      <c r="C42" s="84" t="s">
        <v>156</v>
      </c>
      <c r="D42" s="74">
        <f>VLOOKUP(B42,'2020_Rohdaten_BA'!$A$10:$E$59,3,FALSE)</f>
        <v>47031</v>
      </c>
      <c r="E42" s="74">
        <f>VLOOKUP(B42,'2020_Rohdaten_BA'!$A$10:$E$59,4,FALSE)</f>
        <v>32095</v>
      </c>
      <c r="F42" s="74">
        <f>VLOOKUP(B42,'2020_Rohdaten_BA'!$A$10:$E$59,5,FALSE)</f>
        <v>14936</v>
      </c>
      <c r="G42" s="74">
        <f>VLOOKUP(B42,'2020_Rohdaten_BA'!$A$10:$M$59,12,FALSE)</f>
        <v>9.3491526865259083</v>
      </c>
      <c r="H42" s="74">
        <f>VLOOKUP(B42,'2020_Rohdaten_BA'!$A$10:$M$59,11,FALSE)</f>
        <v>29.712317407667282</v>
      </c>
      <c r="I42" s="74">
        <f>VLOOKUP(B42,'2020_Rohdaten_BA'!$A$10:$M$59,10,FALSE)</f>
        <v>26.35708362569369</v>
      </c>
      <c r="J42" s="74">
        <f>VLOOKUP(B42,'2020_Rohdaten_BA'!$A$10:$M$59,13,FALSE)</f>
        <v>34.58144628011312</v>
      </c>
      <c r="K42" s="193">
        <f>'2019_C4_Zeitreihe'!C42</f>
        <v>44252</v>
      </c>
      <c r="L42" s="193">
        <f>'2019_C4_Zeitreihe'!D42</f>
        <v>30425</v>
      </c>
      <c r="M42" s="193">
        <f>'2019_C4_Zeitreihe'!E42</f>
        <v>13827</v>
      </c>
      <c r="N42" s="115">
        <f>'2019_C4_Zeitreihe'!F42</f>
        <v>9.0775558166862513</v>
      </c>
      <c r="O42" s="115">
        <f>'2019_C4_Zeitreihe'!G42</f>
        <v>29.944409292235378</v>
      </c>
      <c r="P42" s="115">
        <f>'2019_C4_Zeitreihe'!H42</f>
        <v>25.601102775015818</v>
      </c>
      <c r="Q42" s="115">
        <f>'2019_C4_Zeitreihe'!I42</f>
        <v>35.376932116062548</v>
      </c>
      <c r="R42" s="113">
        <f>'2019_C4_Zeitreihe'!J42</f>
        <v>39896</v>
      </c>
      <c r="S42" s="113">
        <f>'2019_C4_Zeitreihe'!K42</f>
        <v>27474</v>
      </c>
      <c r="T42" s="113">
        <f>'2019_C4_Zeitreihe'!L42</f>
        <v>12422</v>
      </c>
      <c r="U42" s="85">
        <f>'2019_C4_Zeitreihe'!M42</f>
        <v>8.9156807700020053</v>
      </c>
      <c r="V42" s="85">
        <f>'2019_C4_Zeitreihe'!N42</f>
        <v>30.313815921395626</v>
      </c>
      <c r="W42" s="85">
        <f>'2019_C4_Zeitreihe'!O42</f>
        <v>24.067575696811712</v>
      </c>
      <c r="X42" s="85">
        <f>'2019_C4_Zeitreihe'!P42</f>
        <v>36.702927611790656</v>
      </c>
      <c r="Y42" s="113">
        <f>'2019_C4_Zeitreihe'!Q42</f>
        <v>34592</v>
      </c>
      <c r="Z42" s="113">
        <f>'2019_C4_Zeitreihe'!R42</f>
        <v>23121</v>
      </c>
      <c r="AA42" s="113">
        <f>'2019_C4_Zeitreihe'!S42</f>
        <v>11471</v>
      </c>
      <c r="AB42" s="85">
        <f>'2019_C4_Zeitreihe'!T42</f>
        <v>9.2622571692876967</v>
      </c>
      <c r="AC42" s="85">
        <f>'2019_C4_Zeitreihe'!U42</f>
        <v>30.923334875115632</v>
      </c>
      <c r="AD42" s="85">
        <f>'2019_C4_Zeitreihe'!V42</f>
        <v>21.603260869565215</v>
      </c>
      <c r="AE42" s="85">
        <f>'2019_C4_Zeitreihe'!W42</f>
        <v>38.211147086031453</v>
      </c>
      <c r="AF42" s="113">
        <f>'2019_C4_Zeitreihe'!X42</f>
        <v>30576</v>
      </c>
      <c r="AG42" s="113">
        <f>'2019_C4_Zeitreihe'!Y42</f>
        <v>20392</v>
      </c>
      <c r="AH42" s="113">
        <f>'2019_C4_Zeitreihe'!Z42</f>
        <v>10184</v>
      </c>
      <c r="AI42" s="85">
        <f>'2019_C4_Zeitreihe'!AA42</f>
        <v>9.1542386185243316</v>
      </c>
      <c r="AJ42" s="85">
        <f>'2019_C4_Zeitreihe'!AB42</f>
        <v>31.511643118785976</v>
      </c>
      <c r="AK42" s="85">
        <f>'2019_C4_Zeitreihe'!AC42</f>
        <v>20.692700156985872</v>
      </c>
      <c r="AL42" s="85">
        <f>'2019_C4_Zeitreihe'!AD42</f>
        <v>38.641418105703821</v>
      </c>
      <c r="AM42" s="86">
        <f>'2019_C4_Zeitreihe'!AE42</f>
        <v>26561</v>
      </c>
      <c r="AN42" s="86">
        <f>'2019_C4_Zeitreihe'!AF42</f>
        <v>17714</v>
      </c>
      <c r="AO42" s="86">
        <f>'2019_C4_Zeitreihe'!AG42</f>
        <v>8847</v>
      </c>
      <c r="AP42" s="87">
        <f>'2019_C4_Zeitreihe'!AH42</f>
        <v>9.1939309513949024</v>
      </c>
      <c r="AQ42" s="87">
        <f>'2019_C4_Zeitreihe'!AI42</f>
        <v>31.45212906140582</v>
      </c>
      <c r="AR42" s="87">
        <f>'2019_C4_Zeitreihe'!AJ42</f>
        <v>19.389330221000716</v>
      </c>
      <c r="AS42" s="87">
        <f>'2019_C4_Zeitreihe'!AK42</f>
        <v>39.964609766198556</v>
      </c>
      <c r="AT42" s="86">
        <f>'2019_C4_Zeitreihe'!AL42</f>
        <v>24090</v>
      </c>
      <c r="AU42" s="86">
        <f>'2019_C4_Zeitreihe'!AM42</f>
        <v>16115</v>
      </c>
      <c r="AV42" s="86">
        <f>'2019_C4_Zeitreihe'!AN42</f>
        <v>7975</v>
      </c>
      <c r="AW42" s="87">
        <f>'2019_C4_Zeitreihe'!AO42</f>
        <v>8.9207139892071385</v>
      </c>
      <c r="AX42" s="87">
        <f>'2019_C4_Zeitreihe'!AP42</f>
        <v>31.008717310087174</v>
      </c>
      <c r="AY42" s="87">
        <f>'2019_C4_Zeitreihe'!AQ42</f>
        <v>19.057700290577003</v>
      </c>
      <c r="AZ42" s="87">
        <f>'2019_C4_Zeitreihe'!AR42</f>
        <v>41.012868410128682</v>
      </c>
      <c r="BA42" s="86">
        <f>'2019_C4_Zeitreihe'!AS42</f>
        <v>22006</v>
      </c>
      <c r="BB42" s="86">
        <f>'2019_C4_Zeitreihe'!AT42</f>
        <v>14556</v>
      </c>
      <c r="BC42" s="86">
        <f>'2019_C4_Zeitreihe'!AU42</f>
        <v>7450</v>
      </c>
      <c r="BD42" s="87">
        <f>'2019_C4_Zeitreihe'!AV42</f>
        <v>7.7387985094974105</v>
      </c>
      <c r="BE42" s="87">
        <f>'2019_C4_Zeitreihe'!AW42</f>
        <v>27.292556575479416</v>
      </c>
      <c r="BF42" s="87">
        <f>'2019_C4_Zeitreihe'!AX42</f>
        <v>17.299827319821866</v>
      </c>
      <c r="BG42" s="87">
        <f>'2019_C4_Zeitreihe'!AY42</f>
        <v>47.668817595201304</v>
      </c>
      <c r="BH42" s="86">
        <f>'2019_C4_Zeitreihe'!AZ42</f>
        <v>18471</v>
      </c>
      <c r="BI42" s="86">
        <f>'2019_C4_Zeitreihe'!BA42</f>
        <v>12339</v>
      </c>
      <c r="BJ42" s="86">
        <f>'2019_C4_Zeitreihe'!BB42</f>
        <v>6132</v>
      </c>
      <c r="BK42" s="88">
        <f>'2019_C4_Zeitreihe'!BC42</f>
        <v>7.4819988089437501</v>
      </c>
      <c r="BL42" s="88">
        <f>'2019_C4_Zeitreihe'!BD42</f>
        <v>24.822695035460992</v>
      </c>
      <c r="BM42" s="88">
        <f>'2019_C4_Zeitreihe'!BE42</f>
        <v>20.594445346759784</v>
      </c>
      <c r="BN42" s="88">
        <f>'2019_C4_Zeitreihe'!BF42</f>
        <v>47.100860808835471</v>
      </c>
      <c r="BO42" s="86">
        <f>'2019_C4_Zeitreihe'!BG42</f>
        <v>16854</v>
      </c>
      <c r="BP42" s="86">
        <f>'2019_C4_Zeitreihe'!BH42</f>
        <v>11193</v>
      </c>
      <c r="BQ42" s="86">
        <f>'2019_C4_Zeitreihe'!BI42</f>
        <v>5661</v>
      </c>
      <c r="BR42" s="88">
        <f>'2019_C4_Zeitreihe'!BJ42</f>
        <v>7.1140382105138249</v>
      </c>
      <c r="BS42" s="88">
        <f>'2019_C4_Zeitreihe'!BK42</f>
        <v>25.246232348403939</v>
      </c>
      <c r="BT42" s="88">
        <f>'2019_C4_Zeitreihe'!BL42</f>
        <v>21.870179185949922</v>
      </c>
      <c r="BU42" s="89">
        <f>'2019_C4_Zeitreihe'!BM42</f>
        <v>45.769550255132316</v>
      </c>
      <c r="BV42" s="106"/>
    </row>
    <row r="43" spans="2:74" ht="8.25" customHeight="1">
      <c r="B43" s="107">
        <v>401</v>
      </c>
      <c r="C43" s="74" t="s">
        <v>139</v>
      </c>
      <c r="D43" s="74">
        <f>VLOOKUP(B43,'2020_Rohdaten_BA'!$A$10:$E$59,3,FALSE)</f>
        <v>1864</v>
      </c>
      <c r="E43" s="74">
        <f>VLOOKUP(B43,'2020_Rohdaten_BA'!$A$10:$E$59,4,FALSE)</f>
        <v>1219</v>
      </c>
      <c r="F43" s="74">
        <f>VLOOKUP(B43,'2020_Rohdaten_BA'!$A$10:$E$59,5,FALSE)</f>
        <v>645</v>
      </c>
      <c r="G43" s="74">
        <f>VLOOKUP(B43,'2020_Rohdaten_BA'!$A$10:$M$59,12,FALSE)</f>
        <v>9.9785407725321882</v>
      </c>
      <c r="H43" s="74">
        <f>VLOOKUP(B43,'2020_Rohdaten_BA'!$A$10:$M$59,11,FALSE)</f>
        <v>31.276824034334766</v>
      </c>
      <c r="I43" s="74">
        <f>VLOOKUP(B43,'2020_Rohdaten_BA'!$A$10:$M$59,10,FALSE)</f>
        <v>32.13519313304721</v>
      </c>
      <c r="J43" s="74">
        <f>VLOOKUP(B43,'2020_Rohdaten_BA'!$A$10:$M$59,13,FALSE)</f>
        <v>26.609442060085836</v>
      </c>
      <c r="K43" s="193">
        <f>'2019_C4_Zeitreihe'!C43</f>
        <v>1802</v>
      </c>
      <c r="L43" s="193">
        <f>'2019_C4_Zeitreihe'!D43</f>
        <v>1145</v>
      </c>
      <c r="M43" s="193">
        <f>'2019_C4_Zeitreihe'!E43</f>
        <v>657</v>
      </c>
      <c r="N43" s="115">
        <f>'2019_C4_Zeitreihe'!F43</f>
        <v>9.3229744728079904</v>
      </c>
      <c r="O43" s="115">
        <f>'2019_C4_Zeitreihe'!G43</f>
        <v>30.965593784683684</v>
      </c>
      <c r="P43" s="115">
        <f>'2019_C4_Zeitreihe'!H43</f>
        <v>28.856825749167591</v>
      </c>
      <c r="Q43" s="115">
        <f>'2019_C4_Zeitreihe'!I43</f>
        <v>30.854605993340734</v>
      </c>
      <c r="R43" s="112">
        <f>'2019_C4_Zeitreihe'!J43</f>
        <v>1707</v>
      </c>
      <c r="S43" s="112">
        <f>'2019_C4_Zeitreihe'!K43</f>
        <v>1028</v>
      </c>
      <c r="T43" s="112">
        <f>'2019_C4_Zeitreihe'!L43</f>
        <v>679</v>
      </c>
      <c r="U43" s="75">
        <f>'2019_C4_Zeitreihe'!M43</f>
        <v>8.9630931458699479</v>
      </c>
      <c r="V43" s="75">
        <f>'2019_C4_Zeitreihe'!N43</f>
        <v>30.228471001757466</v>
      </c>
      <c r="W43" s="75">
        <f>'2019_C4_Zeitreihe'!O43</f>
        <v>27.123608670181603</v>
      </c>
      <c r="X43" s="75">
        <f>'2019_C4_Zeitreihe'!P43</f>
        <v>33.684827182190979</v>
      </c>
      <c r="Y43" s="112">
        <f>'2019_C4_Zeitreihe'!Q43</f>
        <v>1536</v>
      </c>
      <c r="Z43" s="112">
        <f>'2019_C4_Zeitreihe'!R43</f>
        <v>891</v>
      </c>
      <c r="AA43" s="112">
        <f>'2019_C4_Zeitreihe'!S43</f>
        <v>645</v>
      </c>
      <c r="AB43" s="75">
        <f>'2019_C4_Zeitreihe'!T43</f>
        <v>8.984375</v>
      </c>
      <c r="AC43" s="75">
        <f>'2019_C4_Zeitreihe'!U43</f>
        <v>30.2734375</v>
      </c>
      <c r="AD43" s="75">
        <f>'2019_C4_Zeitreihe'!V43</f>
        <v>26.432291666666668</v>
      </c>
      <c r="AE43" s="75">
        <f>'2019_C4_Zeitreihe'!W43</f>
        <v>34.309895833333329</v>
      </c>
      <c r="AF43" s="112">
        <f>'2019_C4_Zeitreihe'!X43</f>
        <v>1350</v>
      </c>
      <c r="AG43" s="112">
        <f>'2019_C4_Zeitreihe'!Y43</f>
        <v>754</v>
      </c>
      <c r="AH43" s="112">
        <f>'2019_C4_Zeitreihe'!Z43</f>
        <v>596</v>
      </c>
      <c r="AI43" s="75">
        <f>'2019_C4_Zeitreihe'!AA43</f>
        <v>8.6666666666666679</v>
      </c>
      <c r="AJ43" s="75">
        <f>'2019_C4_Zeitreihe'!AB43</f>
        <v>29.407407407407408</v>
      </c>
      <c r="AK43" s="75">
        <f>'2019_C4_Zeitreihe'!AC43</f>
        <v>26.888888888888889</v>
      </c>
      <c r="AL43" s="75">
        <f>'2019_C4_Zeitreihe'!AD43</f>
        <v>35.037037037037038</v>
      </c>
      <c r="AM43" s="57">
        <f>'2019_C4_Zeitreihe'!AE43</f>
        <v>1165</v>
      </c>
      <c r="AN43" s="57">
        <f>'2019_C4_Zeitreihe'!AF43</f>
        <v>617</v>
      </c>
      <c r="AO43" s="57">
        <f>'2019_C4_Zeitreihe'!AG43</f>
        <v>548</v>
      </c>
      <c r="AP43" s="29">
        <f>'2019_C4_Zeitreihe'!AH43</f>
        <v>8.7553648068669521</v>
      </c>
      <c r="AQ43" s="29">
        <f>'2019_C4_Zeitreihe'!AI43</f>
        <v>28.412017167381975</v>
      </c>
      <c r="AR43" s="29">
        <f>'2019_C4_Zeitreihe'!AJ43</f>
        <v>25.321888412017167</v>
      </c>
      <c r="AS43" s="29">
        <f>'2019_C4_Zeitreihe'!AK43</f>
        <v>37.510729613733915</v>
      </c>
      <c r="AT43" s="57">
        <f>'2019_C4_Zeitreihe'!AL43</f>
        <v>1088</v>
      </c>
      <c r="AU43" s="57">
        <f>'2019_C4_Zeitreihe'!AM43</f>
        <v>588</v>
      </c>
      <c r="AV43" s="57">
        <f>'2019_C4_Zeitreihe'!AN43</f>
        <v>500</v>
      </c>
      <c r="AW43" s="29">
        <f>'2019_C4_Zeitreihe'!AO43</f>
        <v>6.5257352941176476</v>
      </c>
      <c r="AX43" s="29">
        <f>'2019_C4_Zeitreihe'!AP43</f>
        <v>27.113970588235293</v>
      </c>
      <c r="AY43" s="29">
        <f>'2019_C4_Zeitreihe'!AQ43</f>
        <v>26.286764705882355</v>
      </c>
      <c r="AZ43" s="29">
        <f>'2019_C4_Zeitreihe'!AR43</f>
        <v>40.073529411764717</v>
      </c>
      <c r="BA43" s="57">
        <f>'2019_C4_Zeitreihe'!AS43</f>
        <v>1035</v>
      </c>
      <c r="BB43" s="57">
        <f>'2019_C4_Zeitreihe'!AT43</f>
        <v>515</v>
      </c>
      <c r="BC43" s="57">
        <f>'2019_C4_Zeitreihe'!AU43</f>
        <v>520</v>
      </c>
      <c r="BD43" s="29">
        <f>'2019_C4_Zeitreihe'!AV43</f>
        <v>4.1545893719806761</v>
      </c>
      <c r="BE43" s="29">
        <f>'2019_C4_Zeitreihe'!AW43</f>
        <v>23.188405797101449</v>
      </c>
      <c r="BF43" s="29">
        <f>'2019_C4_Zeitreihe'!AX43</f>
        <v>18.55072463768116</v>
      </c>
      <c r="BG43" s="29">
        <f>'2019_C4_Zeitreihe'!AY43</f>
        <v>54.106280193236714</v>
      </c>
      <c r="BH43" s="57">
        <f>'2019_C4_Zeitreihe'!AZ43</f>
        <v>915</v>
      </c>
      <c r="BI43" s="57">
        <f>'2019_C4_Zeitreihe'!BA43</f>
        <v>474</v>
      </c>
      <c r="BJ43" s="57">
        <f>'2019_C4_Zeitreihe'!BB43</f>
        <v>441</v>
      </c>
      <c r="BK43" s="83">
        <f>'2019_C4_Zeitreihe'!BC43</f>
        <v>3.6065573770491808</v>
      </c>
      <c r="BL43" s="83">
        <f>'2019_C4_Zeitreihe'!BD43</f>
        <v>23.169398907103826</v>
      </c>
      <c r="BM43" s="83">
        <f>'2019_C4_Zeitreihe'!BE43</f>
        <v>18.797814207650273</v>
      </c>
      <c r="BN43" s="83">
        <f>'2019_C4_Zeitreihe'!BF43</f>
        <v>54.42622950819672</v>
      </c>
      <c r="BO43" s="57">
        <f>'2019_C4_Zeitreihe'!BG43</f>
        <v>774</v>
      </c>
      <c r="BP43" s="57">
        <f>'2019_C4_Zeitreihe'!BH43</f>
        <v>404</v>
      </c>
      <c r="BQ43" s="57">
        <f>'2019_C4_Zeitreihe'!BI43</f>
        <v>370</v>
      </c>
      <c r="BR43" s="83">
        <f>'2019_C4_Zeitreihe'!BJ43</f>
        <v>3.6175710594315245</v>
      </c>
      <c r="BS43" s="83">
        <f>'2019_C4_Zeitreihe'!BK43</f>
        <v>25.710594315245476</v>
      </c>
      <c r="BT43" s="83">
        <f>'2019_C4_Zeitreihe'!BL43</f>
        <v>18.475452196382431</v>
      </c>
      <c r="BU43" s="78">
        <f>'2019_C4_Zeitreihe'!BM43</f>
        <v>52.196382428940566</v>
      </c>
      <c r="BV43" s="62"/>
    </row>
    <row r="44" spans="2:74" ht="8.25" customHeight="1">
      <c r="B44" s="107">
        <v>402</v>
      </c>
      <c r="C44" s="74" t="s">
        <v>140</v>
      </c>
      <c r="D44" s="74">
        <f>VLOOKUP(B44,'2020_Rohdaten_BA'!$A$10:$E$59,3,FALSE)</f>
        <v>1823</v>
      </c>
      <c r="E44" s="74">
        <f>VLOOKUP(B44,'2020_Rohdaten_BA'!$A$10:$E$59,4,FALSE)</f>
        <v>1350</v>
      </c>
      <c r="F44" s="74">
        <f>VLOOKUP(B44,'2020_Rohdaten_BA'!$A$10:$E$59,5,FALSE)</f>
        <v>473</v>
      </c>
      <c r="G44" s="74">
        <f>VLOOKUP(B44,'2020_Rohdaten_BA'!$A$10:$M$59,12,FALSE)</f>
        <v>10.093252879868349</v>
      </c>
      <c r="H44" s="74">
        <f>VLOOKUP(B44,'2020_Rohdaten_BA'!$A$10:$M$59,11,FALSE)</f>
        <v>33.296763576522217</v>
      </c>
      <c r="I44" s="74">
        <f>VLOOKUP(B44,'2020_Rohdaten_BA'!$A$10:$M$59,10,FALSE)</f>
        <v>26.330224904004389</v>
      </c>
      <c r="J44" s="74">
        <f>VLOOKUP(B44,'2020_Rohdaten_BA'!$A$10:$M$59,13,FALSE)</f>
        <v>30.279758639605046</v>
      </c>
      <c r="K44" s="193">
        <f>'2019_C4_Zeitreihe'!C44</f>
        <v>1927</v>
      </c>
      <c r="L44" s="193">
        <f>'2019_C4_Zeitreihe'!D44</f>
        <v>1437</v>
      </c>
      <c r="M44" s="193">
        <f>'2019_C4_Zeitreihe'!E44</f>
        <v>490</v>
      </c>
      <c r="N44" s="115">
        <f>'2019_C4_Zeitreihe'!F44</f>
        <v>9.2371562013492472</v>
      </c>
      <c r="O44" s="115">
        <f>'2019_C4_Zeitreihe'!G44</f>
        <v>33.834976647638818</v>
      </c>
      <c r="P44" s="115">
        <f>'2019_C4_Zeitreihe'!H44</f>
        <v>26.466009340944474</v>
      </c>
      <c r="Q44" s="115">
        <f>'2019_C4_Zeitreihe'!I44</f>
        <v>30.461857810067464</v>
      </c>
      <c r="R44" s="112">
        <f>'2019_C4_Zeitreihe'!J44</f>
        <v>1906</v>
      </c>
      <c r="S44" s="112">
        <f>'2019_C4_Zeitreihe'!K44</f>
        <v>1444</v>
      </c>
      <c r="T44" s="112">
        <f>'2019_C4_Zeitreihe'!L44</f>
        <v>462</v>
      </c>
      <c r="U44" s="75">
        <f>'2019_C4_Zeitreihe'!M44</f>
        <v>8.9716684155299049</v>
      </c>
      <c r="V44" s="75">
        <f>'2019_C4_Zeitreihe'!N44</f>
        <v>35.88667366211962</v>
      </c>
      <c r="W44" s="75">
        <f>'2019_C4_Zeitreihe'!O44</f>
        <v>26.495278069254987</v>
      </c>
      <c r="X44" s="75">
        <f>'2019_C4_Zeitreihe'!P44</f>
        <v>28.646379853095489</v>
      </c>
      <c r="Y44" s="112">
        <f>'2019_C4_Zeitreihe'!Q44</f>
        <v>1621</v>
      </c>
      <c r="Z44" s="112">
        <f>'2019_C4_Zeitreihe'!R44</f>
        <v>1203</v>
      </c>
      <c r="AA44" s="112">
        <f>'2019_C4_Zeitreihe'!S44</f>
        <v>418</v>
      </c>
      <c r="AB44" s="75">
        <f>'2019_C4_Zeitreihe'!T44</f>
        <v>9.8704503392967311</v>
      </c>
      <c r="AC44" s="75">
        <f>'2019_C4_Zeitreihe'!U44</f>
        <v>38.433066008636644</v>
      </c>
      <c r="AD44" s="75">
        <f>'2019_C4_Zeitreihe'!V44</f>
        <v>23.874151758173966</v>
      </c>
      <c r="AE44" s="75">
        <f>'2019_C4_Zeitreihe'!W44</f>
        <v>27.82233189389266</v>
      </c>
      <c r="AF44" s="112">
        <f>'2019_C4_Zeitreihe'!X44</f>
        <v>1508</v>
      </c>
      <c r="AG44" s="112">
        <f>'2019_C4_Zeitreihe'!Y44</f>
        <v>1127</v>
      </c>
      <c r="AH44" s="112">
        <f>'2019_C4_Zeitreihe'!Z44</f>
        <v>381</v>
      </c>
      <c r="AI44" s="75">
        <f>'2019_C4_Zeitreihe'!AA44</f>
        <v>9.0185676392572933</v>
      </c>
      <c r="AJ44" s="75">
        <f>'2019_C4_Zeitreihe'!AB44</f>
        <v>40.318302387267906</v>
      </c>
      <c r="AK44" s="75">
        <f>'2019_C4_Zeitreihe'!AC44</f>
        <v>22.745358090185679</v>
      </c>
      <c r="AL44" s="75">
        <f>'2019_C4_Zeitreihe'!AD44</f>
        <v>27.91777188328912</v>
      </c>
      <c r="AM44" s="57">
        <f>'2019_C4_Zeitreihe'!AE44</f>
        <v>1507</v>
      </c>
      <c r="AN44" s="57">
        <f>'2019_C4_Zeitreihe'!AF44</f>
        <v>1196</v>
      </c>
      <c r="AO44" s="57">
        <f>'2019_C4_Zeitreihe'!AG44</f>
        <v>311</v>
      </c>
      <c r="AP44" s="29">
        <f>'2019_C4_Zeitreihe'!AH44</f>
        <v>8.0955540809555409</v>
      </c>
      <c r="AQ44" s="29">
        <f>'2019_C4_Zeitreihe'!AI44</f>
        <v>40.942269409422693</v>
      </c>
      <c r="AR44" s="29">
        <f>'2019_C4_Zeitreihe'!AJ44</f>
        <v>20.902455209024552</v>
      </c>
      <c r="AS44" s="29">
        <f>'2019_C4_Zeitreihe'!AK44</f>
        <v>30.059721300597214</v>
      </c>
      <c r="AT44" s="57">
        <f>'2019_C4_Zeitreihe'!AL44</f>
        <v>1230</v>
      </c>
      <c r="AU44" s="57">
        <f>'2019_C4_Zeitreihe'!AM44</f>
        <v>984</v>
      </c>
      <c r="AV44" s="57">
        <f>'2019_C4_Zeitreihe'!AN44</f>
        <v>246</v>
      </c>
      <c r="AW44" s="29">
        <f>'2019_C4_Zeitreihe'!AO44</f>
        <v>8.617886178861788</v>
      </c>
      <c r="AX44" s="29">
        <f>'2019_C4_Zeitreihe'!AP44</f>
        <v>40.243902439024396</v>
      </c>
      <c r="AY44" s="29">
        <f>'2019_C4_Zeitreihe'!AQ44</f>
        <v>16.747967479674799</v>
      </c>
      <c r="AZ44" s="29">
        <f>'2019_C4_Zeitreihe'!AR44</f>
        <v>34.390243902439018</v>
      </c>
      <c r="BA44" s="57">
        <f>'2019_C4_Zeitreihe'!AS44</f>
        <v>1104</v>
      </c>
      <c r="BB44" s="57">
        <f>'2019_C4_Zeitreihe'!AT44</f>
        <v>877</v>
      </c>
      <c r="BC44" s="57">
        <f>'2019_C4_Zeitreihe'!AU44</f>
        <v>227</v>
      </c>
      <c r="BD44" s="29">
        <f>'2019_C4_Zeitreihe'!AV44</f>
        <v>8.1521739130434785</v>
      </c>
      <c r="BE44" s="29">
        <f>'2019_C4_Zeitreihe'!AW44</f>
        <v>35.054347826086953</v>
      </c>
      <c r="BF44" s="29">
        <f>'2019_C4_Zeitreihe'!AX44</f>
        <v>18.659420289855071</v>
      </c>
      <c r="BG44" s="29">
        <f>'2019_C4_Zeitreihe'!AY44</f>
        <v>38.134057971014506</v>
      </c>
      <c r="BH44" s="57">
        <f>'2019_C4_Zeitreihe'!AZ44</f>
        <v>909</v>
      </c>
      <c r="BI44" s="57">
        <f>'2019_C4_Zeitreihe'!BA44</f>
        <v>715</v>
      </c>
      <c r="BJ44" s="57">
        <f>'2019_C4_Zeitreihe'!BB44</f>
        <v>194</v>
      </c>
      <c r="BK44" s="83">
        <f>'2019_C4_Zeitreihe'!BC44</f>
        <v>6.6006600660065997</v>
      </c>
      <c r="BL44" s="83">
        <f>'2019_C4_Zeitreihe'!BD44</f>
        <v>35.093509350935093</v>
      </c>
      <c r="BM44" s="83">
        <f>'2019_C4_Zeitreihe'!BE44</f>
        <v>16.061606160616062</v>
      </c>
      <c r="BN44" s="83">
        <f>'2019_C4_Zeitreihe'!BF44</f>
        <v>42.244224422442244</v>
      </c>
      <c r="BO44" s="57">
        <f>'2019_C4_Zeitreihe'!BG44</f>
        <v>791</v>
      </c>
      <c r="BP44" s="57">
        <f>'2019_C4_Zeitreihe'!BH44</f>
        <v>612</v>
      </c>
      <c r="BQ44" s="57">
        <f>'2019_C4_Zeitreihe'!BI44</f>
        <v>179</v>
      </c>
      <c r="BR44" s="83">
        <f>'2019_C4_Zeitreihe'!BJ44</f>
        <v>7.8381795195954496</v>
      </c>
      <c r="BS44" s="83">
        <f>'2019_C4_Zeitreihe'!BK44</f>
        <v>39.443742098609356</v>
      </c>
      <c r="BT44" s="83">
        <f>'2019_C4_Zeitreihe'!BL44</f>
        <v>15.802781289506953</v>
      </c>
      <c r="BU44" s="78">
        <f>'2019_C4_Zeitreihe'!BM44</f>
        <v>36.915297092288242</v>
      </c>
      <c r="BV44" s="62"/>
    </row>
    <row r="45" spans="2:74" ht="8.25" customHeight="1">
      <c r="B45" s="107">
        <v>403</v>
      </c>
      <c r="C45" s="74" t="s">
        <v>141</v>
      </c>
      <c r="D45" s="74">
        <f>VLOOKUP(B45,'2020_Rohdaten_BA'!$A$10:$E$59,3,FALSE)</f>
        <v>6162</v>
      </c>
      <c r="E45" s="74">
        <f>VLOOKUP(B45,'2020_Rohdaten_BA'!$A$10:$E$59,4,FALSE)</f>
        <v>3917</v>
      </c>
      <c r="F45" s="74">
        <f>VLOOKUP(B45,'2020_Rohdaten_BA'!$A$10:$E$59,5,FALSE)</f>
        <v>2245</v>
      </c>
      <c r="G45" s="74">
        <f>VLOOKUP(B45,'2020_Rohdaten_BA'!$A$10:$M$59,12,FALSE)</f>
        <v>18.159688412852969</v>
      </c>
      <c r="H45" s="74">
        <f>VLOOKUP(B45,'2020_Rohdaten_BA'!$A$10:$M$59,11,FALSE)</f>
        <v>24.683544303797468</v>
      </c>
      <c r="I45" s="74">
        <f>VLOOKUP(B45,'2020_Rohdaten_BA'!$A$10:$M$59,10,FALSE)</f>
        <v>29.11392405063291</v>
      </c>
      <c r="J45" s="74">
        <f>VLOOKUP(B45,'2020_Rohdaten_BA'!$A$10:$M$59,13,FALSE)</f>
        <v>28.042843232716649</v>
      </c>
      <c r="K45" s="193">
        <f>'2019_C4_Zeitreihe'!C45</f>
        <v>5889</v>
      </c>
      <c r="L45" s="193">
        <f>'2019_C4_Zeitreihe'!D45</f>
        <v>3809</v>
      </c>
      <c r="M45" s="193">
        <f>'2019_C4_Zeitreihe'!E45</f>
        <v>2080</v>
      </c>
      <c r="N45" s="115">
        <f>'2019_C4_Zeitreihe'!F45</f>
        <v>17.710986585158771</v>
      </c>
      <c r="O45" s="115">
        <f>'2019_C4_Zeitreihe'!G45</f>
        <v>24.961793173713705</v>
      </c>
      <c r="P45" s="115">
        <f>'2019_C4_Zeitreihe'!H45</f>
        <v>27.576838172864662</v>
      </c>
      <c r="Q45" s="115">
        <f>'2019_C4_Zeitreihe'!I45</f>
        <v>29.750382068262862</v>
      </c>
      <c r="R45" s="112">
        <f>'2019_C4_Zeitreihe'!J45</f>
        <v>4897</v>
      </c>
      <c r="S45" s="112">
        <f>'2019_C4_Zeitreihe'!K45</f>
        <v>3124</v>
      </c>
      <c r="T45" s="112">
        <f>'2019_C4_Zeitreihe'!L45</f>
        <v>1773</v>
      </c>
      <c r="U45" s="75">
        <f>'2019_C4_Zeitreihe'!M45</f>
        <v>18.664488462323874</v>
      </c>
      <c r="V45" s="75">
        <f>'2019_C4_Zeitreihe'!N45</f>
        <v>26.608127424954052</v>
      </c>
      <c r="W45" s="75">
        <f>'2019_C4_Zeitreihe'!O45</f>
        <v>27.179906064937715</v>
      </c>
      <c r="X45" s="75">
        <f>'2019_C4_Zeitreihe'!P45</f>
        <v>27.547478047784356</v>
      </c>
      <c r="Y45" s="112">
        <f>'2019_C4_Zeitreihe'!Q45</f>
        <v>4306</v>
      </c>
      <c r="Z45" s="112">
        <f>'2019_C4_Zeitreihe'!R45</f>
        <v>2682</v>
      </c>
      <c r="AA45" s="112">
        <f>'2019_C4_Zeitreihe'!S45</f>
        <v>1624</v>
      </c>
      <c r="AB45" s="75">
        <f>'2019_C4_Zeitreihe'!T45</f>
        <v>18.253599628425452</v>
      </c>
      <c r="AC45" s="75">
        <f>'2019_C4_Zeitreihe'!U45</f>
        <v>27.519739897816997</v>
      </c>
      <c r="AD45" s="75">
        <f>'2019_C4_Zeitreihe'!V45</f>
        <v>23.989781699953554</v>
      </c>
      <c r="AE45" s="75">
        <f>'2019_C4_Zeitreihe'!W45</f>
        <v>30.236878773803994</v>
      </c>
      <c r="AF45" s="112">
        <f>'2019_C4_Zeitreihe'!X45</f>
        <v>3802</v>
      </c>
      <c r="AG45" s="112">
        <f>'2019_C4_Zeitreihe'!Y45</f>
        <v>2298</v>
      </c>
      <c r="AH45" s="112">
        <f>'2019_C4_Zeitreihe'!Z45</f>
        <v>1504</v>
      </c>
      <c r="AI45" s="75">
        <f>'2019_C4_Zeitreihe'!AA45</f>
        <v>17.648605996843767</v>
      </c>
      <c r="AJ45" s="75">
        <f>'2019_C4_Zeitreihe'!AB45</f>
        <v>28.485007890583901</v>
      </c>
      <c r="AK45" s="75">
        <f>'2019_C4_Zeitreihe'!AC45</f>
        <v>21.962125197264598</v>
      </c>
      <c r="AL45" s="75">
        <f>'2019_C4_Zeitreihe'!AD45</f>
        <v>31.904260915307731</v>
      </c>
      <c r="AM45" s="57">
        <f>'2019_C4_Zeitreihe'!AE45</f>
        <v>3254</v>
      </c>
      <c r="AN45" s="57">
        <f>'2019_C4_Zeitreihe'!AF45</f>
        <v>1894</v>
      </c>
      <c r="AO45" s="57">
        <f>'2019_C4_Zeitreihe'!AG45</f>
        <v>1360</v>
      </c>
      <c r="AP45" s="29">
        <f>'2019_C4_Zeitreihe'!AH45</f>
        <v>19.821757836508912</v>
      </c>
      <c r="AQ45" s="29">
        <f>'2019_C4_Zeitreihe'!AI45</f>
        <v>28.795328826060235</v>
      </c>
      <c r="AR45" s="29">
        <f>'2019_C4_Zeitreihe'!AJ45</f>
        <v>21.727105101413642</v>
      </c>
      <c r="AS45" s="29">
        <f>'2019_C4_Zeitreihe'!AK45</f>
        <v>29.655808236017211</v>
      </c>
      <c r="AT45" s="57">
        <f>'2019_C4_Zeitreihe'!AL45</f>
        <v>2913</v>
      </c>
      <c r="AU45" s="57">
        <f>'2019_C4_Zeitreihe'!AM45</f>
        <v>1673</v>
      </c>
      <c r="AV45" s="57">
        <f>'2019_C4_Zeitreihe'!AN45</f>
        <v>1240</v>
      </c>
      <c r="AW45" s="29">
        <f>'2019_C4_Zeitreihe'!AO45</f>
        <v>18.57191898386543</v>
      </c>
      <c r="AX45" s="29">
        <f>'2019_C4_Zeitreihe'!AP45</f>
        <v>27.943700652248545</v>
      </c>
      <c r="AY45" s="29">
        <f>'2019_C4_Zeitreihe'!AQ45</f>
        <v>22.931685547545484</v>
      </c>
      <c r="AZ45" s="29">
        <f>'2019_C4_Zeitreihe'!AR45</f>
        <v>30.552694816340541</v>
      </c>
      <c r="BA45" s="57">
        <f>'2019_C4_Zeitreihe'!AS45</f>
        <v>2850</v>
      </c>
      <c r="BB45" s="57">
        <f>'2019_C4_Zeitreihe'!AT45</f>
        <v>1654</v>
      </c>
      <c r="BC45" s="57">
        <f>'2019_C4_Zeitreihe'!AU45</f>
        <v>1196</v>
      </c>
      <c r="BD45" s="29">
        <f>'2019_C4_Zeitreihe'!AV45</f>
        <v>15.543859649122806</v>
      </c>
      <c r="BE45" s="29">
        <f>'2019_C4_Zeitreihe'!AW45</f>
        <v>22.280701754385966</v>
      </c>
      <c r="BF45" s="29">
        <f>'2019_C4_Zeitreihe'!AX45</f>
        <v>21.438596491228072</v>
      </c>
      <c r="BG45" s="29">
        <f>'2019_C4_Zeitreihe'!AY45</f>
        <v>40.736842105263158</v>
      </c>
      <c r="BH45" s="57">
        <f>'2019_C4_Zeitreihe'!AZ45</f>
        <v>2245</v>
      </c>
      <c r="BI45" s="57">
        <f>'2019_C4_Zeitreihe'!BA45</f>
        <v>1217</v>
      </c>
      <c r="BJ45" s="57">
        <f>'2019_C4_Zeitreihe'!BB45</f>
        <v>1028</v>
      </c>
      <c r="BK45" s="83">
        <f>'2019_C4_Zeitreihe'!BC45</f>
        <v>13.407572383073497</v>
      </c>
      <c r="BL45" s="83">
        <f>'2019_C4_Zeitreihe'!BD45</f>
        <v>23.518930957683743</v>
      </c>
      <c r="BM45" s="83">
        <f>'2019_C4_Zeitreihe'!BE45</f>
        <v>21.202672605790646</v>
      </c>
      <c r="BN45" s="83">
        <f>'2019_C4_Zeitreihe'!BF45</f>
        <v>41.870824053452125</v>
      </c>
      <c r="BO45" s="57">
        <f>'2019_C4_Zeitreihe'!BG45</f>
        <v>1976</v>
      </c>
      <c r="BP45" s="57">
        <f>'2019_C4_Zeitreihe'!BH45</f>
        <v>1070</v>
      </c>
      <c r="BQ45" s="57">
        <f>'2019_C4_Zeitreihe'!BI45</f>
        <v>906</v>
      </c>
      <c r="BR45" s="83">
        <f>'2019_C4_Zeitreihe'!BJ45</f>
        <v>13.056680161943321</v>
      </c>
      <c r="BS45" s="83">
        <f>'2019_C4_Zeitreihe'!BK45</f>
        <v>24.898785425101213</v>
      </c>
      <c r="BT45" s="83">
        <f>'2019_C4_Zeitreihe'!BL45</f>
        <v>20.141700404858302</v>
      </c>
      <c r="BU45" s="78">
        <f>'2019_C4_Zeitreihe'!BM45</f>
        <v>41.902834008097173</v>
      </c>
      <c r="BV45" s="62"/>
    </row>
    <row r="46" spans="2:74" ht="8.25" customHeight="1">
      <c r="B46" s="107">
        <v>404</v>
      </c>
      <c r="C46" s="74" t="s">
        <v>142</v>
      </c>
      <c r="D46" s="74">
        <f>VLOOKUP(B46,'2020_Rohdaten_BA'!$A$10:$E$59,3,FALSE)</f>
        <v>8847</v>
      </c>
      <c r="E46" s="74">
        <f>VLOOKUP(B46,'2020_Rohdaten_BA'!$A$10:$E$59,4,FALSE)</f>
        <v>4934</v>
      </c>
      <c r="F46" s="74">
        <f>VLOOKUP(B46,'2020_Rohdaten_BA'!$A$10:$E$59,5,FALSE)</f>
        <v>3913</v>
      </c>
      <c r="G46" s="74">
        <f>VLOOKUP(B46,'2020_Rohdaten_BA'!$A$10:$M$59,12,FALSE)</f>
        <v>11.325873177348253</v>
      </c>
      <c r="H46" s="74">
        <f>VLOOKUP(B46,'2020_Rohdaten_BA'!$A$10:$M$59,11,FALSE)</f>
        <v>30.224935006216796</v>
      </c>
      <c r="I46" s="74">
        <f>VLOOKUP(B46,'2020_Rohdaten_BA'!$A$10:$M$59,10,FALSE)</f>
        <v>32.293432802079799</v>
      </c>
      <c r="J46" s="74">
        <f>VLOOKUP(B46,'2020_Rohdaten_BA'!$A$10:$M$59,13,FALSE)</f>
        <v>26.155759014355148</v>
      </c>
      <c r="K46" s="193">
        <f>'2019_C4_Zeitreihe'!C46</f>
        <v>8627</v>
      </c>
      <c r="L46" s="193">
        <f>'2019_C4_Zeitreihe'!D46</f>
        <v>4905</v>
      </c>
      <c r="M46" s="193">
        <f>'2019_C4_Zeitreihe'!E46</f>
        <v>3722</v>
      </c>
      <c r="N46" s="115">
        <f>'2019_C4_Zeitreihe'!F46</f>
        <v>10.791700475252116</v>
      </c>
      <c r="O46" s="115">
        <f>'2019_C4_Zeitreihe'!G46</f>
        <v>29.500405703025386</v>
      </c>
      <c r="P46" s="115">
        <f>'2019_C4_Zeitreihe'!H46</f>
        <v>32.050539005448009</v>
      </c>
      <c r="Q46" s="115">
        <f>'2019_C4_Zeitreihe'!I46</f>
        <v>27.657354816274488</v>
      </c>
      <c r="R46" s="112">
        <f>'2019_C4_Zeitreihe'!J46</f>
        <v>7549</v>
      </c>
      <c r="S46" s="112">
        <f>'2019_C4_Zeitreihe'!K46</f>
        <v>4282</v>
      </c>
      <c r="T46" s="112">
        <f>'2019_C4_Zeitreihe'!L46</f>
        <v>3267</v>
      </c>
      <c r="U46" s="75">
        <f>'2019_C4_Zeitreihe'!M46</f>
        <v>10.994833752814943</v>
      </c>
      <c r="V46" s="75">
        <f>'2019_C4_Zeitreihe'!N46</f>
        <v>30.600079480725924</v>
      </c>
      <c r="W46" s="75">
        <f>'2019_C4_Zeitreihe'!O46</f>
        <v>30.812028083189823</v>
      </c>
      <c r="X46" s="75">
        <f>'2019_C4_Zeitreihe'!P46</f>
        <v>27.593058683269305</v>
      </c>
      <c r="Y46" s="112">
        <f>'2019_C4_Zeitreihe'!Q46</f>
        <v>6975</v>
      </c>
      <c r="Z46" s="112">
        <f>'2019_C4_Zeitreihe'!R46</f>
        <v>3933</v>
      </c>
      <c r="AA46" s="112">
        <f>'2019_C4_Zeitreihe'!S46</f>
        <v>3042</v>
      </c>
      <c r="AB46" s="75">
        <f>'2019_C4_Zeitreihe'!T46</f>
        <v>10.265232974910395</v>
      </c>
      <c r="AC46" s="75">
        <f>'2019_C4_Zeitreihe'!U46</f>
        <v>31.913978494623656</v>
      </c>
      <c r="AD46" s="75">
        <f>'2019_C4_Zeitreihe'!V46</f>
        <v>29.275985663082437</v>
      </c>
      <c r="AE46" s="75">
        <f>'2019_C4_Zeitreihe'!W46</f>
        <v>28.544802867383513</v>
      </c>
      <c r="AF46" s="112">
        <f>'2019_C4_Zeitreihe'!X46</f>
        <v>6418</v>
      </c>
      <c r="AG46" s="112">
        <f>'2019_C4_Zeitreihe'!Y46</f>
        <v>3581</v>
      </c>
      <c r="AH46" s="112">
        <f>'2019_C4_Zeitreihe'!Z46</f>
        <v>2837</v>
      </c>
      <c r="AI46" s="75">
        <f>'2019_C4_Zeitreihe'!AA46</f>
        <v>10.096603303209722</v>
      </c>
      <c r="AJ46" s="75">
        <f>'2019_C4_Zeitreihe'!AB46</f>
        <v>32.76721720162044</v>
      </c>
      <c r="AK46" s="75">
        <f>'2019_C4_Zeitreihe'!AC46</f>
        <v>27.609847304456213</v>
      </c>
      <c r="AL46" s="75">
        <f>'2019_C4_Zeitreihe'!AD46</f>
        <v>29.526332190713617</v>
      </c>
      <c r="AM46" s="57">
        <f>'2019_C4_Zeitreihe'!AE46</f>
        <v>5656</v>
      </c>
      <c r="AN46" s="57">
        <f>'2019_C4_Zeitreihe'!AF46</f>
        <v>3101</v>
      </c>
      <c r="AO46" s="57">
        <f>'2019_C4_Zeitreihe'!AG46</f>
        <v>2555</v>
      </c>
      <c r="AP46" s="29">
        <f>'2019_C4_Zeitreihe'!AH46</f>
        <v>10.696605374823196</v>
      </c>
      <c r="AQ46" s="29">
        <f>'2019_C4_Zeitreihe'!AI46</f>
        <v>32.708628005657708</v>
      </c>
      <c r="AR46" s="29">
        <f>'2019_C4_Zeitreihe'!AJ46</f>
        <v>28.217821782178216</v>
      </c>
      <c r="AS46" s="29">
        <f>'2019_C4_Zeitreihe'!AK46</f>
        <v>28.376944837340876</v>
      </c>
      <c r="AT46" s="57">
        <f>'2019_C4_Zeitreihe'!AL46</f>
        <v>5043</v>
      </c>
      <c r="AU46" s="57">
        <f>'2019_C4_Zeitreihe'!AM46</f>
        <v>2772</v>
      </c>
      <c r="AV46" s="57">
        <f>'2019_C4_Zeitreihe'!AN46</f>
        <v>2271</v>
      </c>
      <c r="AW46" s="29">
        <f>'2019_C4_Zeitreihe'!AO46</f>
        <v>10.152686892722587</v>
      </c>
      <c r="AX46" s="29">
        <f>'2019_C4_Zeitreihe'!AP46</f>
        <v>33.511798532619473</v>
      </c>
      <c r="AY46" s="29">
        <f>'2019_C4_Zeitreihe'!AQ46</f>
        <v>26.174895895300416</v>
      </c>
      <c r="AZ46" s="29">
        <f>'2019_C4_Zeitreihe'!AR46</f>
        <v>30.160618679357533</v>
      </c>
      <c r="BA46" s="57">
        <f>'2019_C4_Zeitreihe'!AS46</f>
        <v>5026</v>
      </c>
      <c r="BB46" s="57">
        <f>'2019_C4_Zeitreihe'!AT46</f>
        <v>2728</v>
      </c>
      <c r="BC46" s="57">
        <f>'2019_C4_Zeitreihe'!AU46</f>
        <v>2298</v>
      </c>
      <c r="BD46" s="29">
        <f>'2019_C4_Zeitreihe'!AV46</f>
        <v>9.0728213290887378</v>
      </c>
      <c r="BE46" s="29">
        <f>'2019_C4_Zeitreihe'!AW46</f>
        <v>26.064464783127733</v>
      </c>
      <c r="BF46" s="29">
        <f>'2019_C4_Zeitreihe'!AX46</f>
        <v>22.22443294866693</v>
      </c>
      <c r="BG46" s="29">
        <f>'2019_C4_Zeitreihe'!AY46</f>
        <v>42.638280939116598</v>
      </c>
      <c r="BH46" s="57">
        <f>'2019_C4_Zeitreihe'!AZ46</f>
        <v>4333</v>
      </c>
      <c r="BI46" s="57">
        <f>'2019_C4_Zeitreihe'!BA46</f>
        <v>2453</v>
      </c>
      <c r="BJ46" s="57">
        <f>'2019_C4_Zeitreihe'!BB46</f>
        <v>1880</v>
      </c>
      <c r="BK46" s="83">
        <f>'2019_C4_Zeitreihe'!BC46</f>
        <v>7.8467574428802216</v>
      </c>
      <c r="BL46" s="83">
        <f>'2019_C4_Zeitreihe'!BD46</f>
        <v>25.571197784444959</v>
      </c>
      <c r="BM46" s="83">
        <f>'2019_C4_Zeitreihe'!BE46</f>
        <v>31.940918532194786</v>
      </c>
      <c r="BN46" s="83">
        <f>'2019_C4_Zeitreihe'!BF46</f>
        <v>34.641126240480034</v>
      </c>
      <c r="BO46" s="57">
        <f>'2019_C4_Zeitreihe'!BG46</f>
        <v>4024</v>
      </c>
      <c r="BP46" s="57">
        <f>'2019_C4_Zeitreihe'!BH46</f>
        <v>2226</v>
      </c>
      <c r="BQ46" s="57">
        <f>'2019_C4_Zeitreihe'!BI46</f>
        <v>1798</v>
      </c>
      <c r="BR46" s="83">
        <f>'2019_C4_Zeitreihe'!BJ46</f>
        <v>7.6540755467196826</v>
      </c>
      <c r="BS46" s="83">
        <f>'2019_C4_Zeitreihe'!BK46</f>
        <v>27.236580516898606</v>
      </c>
      <c r="BT46" s="83">
        <f>'2019_C4_Zeitreihe'!BL46</f>
        <v>31.088469184890656</v>
      </c>
      <c r="BU46" s="78">
        <f>'2019_C4_Zeitreihe'!BM46</f>
        <v>34.020874751491057</v>
      </c>
      <c r="BV46" s="62"/>
    </row>
    <row r="47" spans="2:74" ht="8.25" customHeight="1">
      <c r="B47" s="107">
        <v>405</v>
      </c>
      <c r="C47" s="74" t="s">
        <v>143</v>
      </c>
      <c r="D47" s="74">
        <f>VLOOKUP(B47,'2020_Rohdaten_BA'!$A$10:$E$59,3,FALSE)</f>
        <v>1855</v>
      </c>
      <c r="E47" s="74">
        <f>VLOOKUP(B47,'2020_Rohdaten_BA'!$A$10:$E$59,4,FALSE)</f>
        <v>1310</v>
      </c>
      <c r="F47" s="74">
        <f>VLOOKUP(B47,'2020_Rohdaten_BA'!$A$10:$E$59,5,FALSE)</f>
        <v>545</v>
      </c>
      <c r="G47" s="74">
        <f>VLOOKUP(B47,'2020_Rohdaten_BA'!$A$10:$M$59,12,FALSE)</f>
        <v>14.716981132075471</v>
      </c>
      <c r="H47" s="74">
        <f>VLOOKUP(B47,'2020_Rohdaten_BA'!$A$10:$M$59,11,FALSE)</f>
        <v>27.385444743935309</v>
      </c>
      <c r="I47" s="74">
        <f>VLOOKUP(B47,'2020_Rohdaten_BA'!$A$10:$M$59,10,FALSE)</f>
        <v>33.423180592991912</v>
      </c>
      <c r="J47" s="74">
        <f>VLOOKUP(B47,'2020_Rohdaten_BA'!$A$10:$M$59,13,FALSE)</f>
        <v>24.474393530997304</v>
      </c>
      <c r="K47" s="193">
        <f>'2019_C4_Zeitreihe'!C47</f>
        <v>1637</v>
      </c>
      <c r="L47" s="193">
        <f>'2019_C4_Zeitreihe'!D47</f>
        <v>1146</v>
      </c>
      <c r="M47" s="193">
        <f>'2019_C4_Zeitreihe'!E47</f>
        <v>491</v>
      </c>
      <c r="N47" s="115">
        <f>'2019_C4_Zeitreihe'!F47</f>
        <v>15.210751374465486</v>
      </c>
      <c r="O47" s="115">
        <f>'2019_C4_Zeitreihe'!G47</f>
        <v>29.138668295662796</v>
      </c>
      <c r="P47" s="115">
        <f>'2019_C4_Zeitreihe'!H47</f>
        <v>30.726939523518631</v>
      </c>
      <c r="Q47" s="115">
        <f>'2019_C4_Zeitreihe'!I47</f>
        <v>24.923640806353085</v>
      </c>
      <c r="R47" s="112">
        <f>'2019_C4_Zeitreihe'!J47</f>
        <v>1589</v>
      </c>
      <c r="S47" s="112">
        <f>'2019_C4_Zeitreihe'!K47</f>
        <v>1167</v>
      </c>
      <c r="T47" s="112">
        <f>'2019_C4_Zeitreihe'!L47</f>
        <v>422</v>
      </c>
      <c r="U47" s="75">
        <f>'2019_C4_Zeitreihe'!M47</f>
        <v>13.782252989301448</v>
      </c>
      <c r="V47" s="75">
        <f>'2019_C4_Zeitreihe'!N47</f>
        <v>28.382630585273755</v>
      </c>
      <c r="W47" s="75">
        <f>'2019_C4_Zeitreihe'!O47</f>
        <v>27.375707992448078</v>
      </c>
      <c r="X47" s="75">
        <f>'2019_C4_Zeitreihe'!P47</f>
        <v>30.459408432976716</v>
      </c>
      <c r="Y47" s="112">
        <f>'2019_C4_Zeitreihe'!Q47</f>
        <v>1208</v>
      </c>
      <c r="Z47" s="112">
        <f>'2019_C4_Zeitreihe'!R47</f>
        <v>826</v>
      </c>
      <c r="AA47" s="112">
        <f>'2019_C4_Zeitreihe'!S47</f>
        <v>382</v>
      </c>
      <c r="AB47" s="75">
        <f>'2019_C4_Zeitreihe'!T47</f>
        <v>14.98344370860927</v>
      </c>
      <c r="AC47" s="75">
        <f>'2019_C4_Zeitreihe'!U47</f>
        <v>34.354304635761594</v>
      </c>
      <c r="AD47" s="75">
        <f>'2019_C4_Zeitreihe'!V47</f>
        <v>22.682119205298012</v>
      </c>
      <c r="AE47" s="75">
        <f>'2019_C4_Zeitreihe'!W47</f>
        <v>27.980132450331123</v>
      </c>
      <c r="AF47" s="112">
        <f>'2019_C4_Zeitreihe'!X47</f>
        <v>1156</v>
      </c>
      <c r="AG47" s="112">
        <f>'2019_C4_Zeitreihe'!Y47</f>
        <v>808</v>
      </c>
      <c r="AH47" s="112">
        <f>'2019_C4_Zeitreihe'!Z47</f>
        <v>348</v>
      </c>
      <c r="AI47" s="75">
        <f>'2019_C4_Zeitreihe'!AA47</f>
        <v>14.359861591695502</v>
      </c>
      <c r="AJ47" s="75">
        <f>'2019_C4_Zeitreihe'!AB47</f>
        <v>34.256055363321799</v>
      </c>
      <c r="AK47" s="75">
        <f>'2019_C4_Zeitreihe'!AC47</f>
        <v>22.664359861591695</v>
      </c>
      <c r="AL47" s="75">
        <f>'2019_C4_Zeitreihe'!AD47</f>
        <v>28.719723183391004</v>
      </c>
      <c r="AM47" s="57">
        <f>'2019_C4_Zeitreihe'!AE47</f>
        <v>954</v>
      </c>
      <c r="AN47" s="57">
        <f>'2019_C4_Zeitreihe'!AF47</f>
        <v>637</v>
      </c>
      <c r="AO47" s="57">
        <f>'2019_C4_Zeitreihe'!AG47</f>
        <v>317</v>
      </c>
      <c r="AP47" s="29">
        <f>'2019_C4_Zeitreihe'!AH47</f>
        <v>15.09433962264151</v>
      </c>
      <c r="AQ47" s="29">
        <f>'2019_C4_Zeitreihe'!AI47</f>
        <v>33.333333333333329</v>
      </c>
      <c r="AR47" s="29">
        <f>'2019_C4_Zeitreihe'!AJ47</f>
        <v>21.488469601677149</v>
      </c>
      <c r="AS47" s="29">
        <f>'2019_C4_Zeitreihe'!AK47</f>
        <v>30.083857442348009</v>
      </c>
      <c r="AT47" s="57">
        <f>'2019_C4_Zeitreihe'!AL47</f>
        <v>772</v>
      </c>
      <c r="AU47" s="57">
        <f>'2019_C4_Zeitreihe'!AM47</f>
        <v>499</v>
      </c>
      <c r="AV47" s="57">
        <f>'2019_C4_Zeitreihe'!AN47</f>
        <v>273</v>
      </c>
      <c r="AW47" s="29">
        <f>'2019_C4_Zeitreihe'!AO47</f>
        <v>16.968911917098445</v>
      </c>
      <c r="AX47" s="29">
        <f>'2019_C4_Zeitreihe'!AP47</f>
        <v>35.62176165803109</v>
      </c>
      <c r="AY47" s="29">
        <f>'2019_C4_Zeitreihe'!AQ47</f>
        <v>18.652849740932641</v>
      </c>
      <c r="AZ47" s="29">
        <f>'2019_C4_Zeitreihe'!AR47</f>
        <v>28.756476683937827</v>
      </c>
      <c r="BA47" s="57">
        <f>'2019_C4_Zeitreihe'!AS47</f>
        <v>722</v>
      </c>
      <c r="BB47" s="57">
        <f>'2019_C4_Zeitreihe'!AT47</f>
        <v>474</v>
      </c>
      <c r="BC47" s="57">
        <f>'2019_C4_Zeitreihe'!AU47</f>
        <v>248</v>
      </c>
      <c r="BD47" s="29">
        <f>'2019_C4_Zeitreihe'!AV47</f>
        <v>11.495844875346259</v>
      </c>
      <c r="BE47" s="29">
        <f>'2019_C4_Zeitreihe'!AW47</f>
        <v>30.886426592797783</v>
      </c>
      <c r="BF47" s="29">
        <f>'2019_C4_Zeitreihe'!AX47</f>
        <v>19.94459833795014</v>
      </c>
      <c r="BG47" s="29">
        <f>'2019_C4_Zeitreihe'!AY47</f>
        <v>37.67313019390582</v>
      </c>
      <c r="BH47" s="57">
        <f>'2019_C4_Zeitreihe'!AZ47</f>
        <v>618</v>
      </c>
      <c r="BI47" s="57">
        <f>'2019_C4_Zeitreihe'!BA47</f>
        <v>384</v>
      </c>
      <c r="BJ47" s="57">
        <f>'2019_C4_Zeitreihe'!BB47</f>
        <v>234</v>
      </c>
      <c r="BK47" s="83">
        <f>'2019_C4_Zeitreihe'!BC47</f>
        <v>13.915857605177994</v>
      </c>
      <c r="BL47" s="83">
        <f>'2019_C4_Zeitreihe'!BD47</f>
        <v>27.831715210355988</v>
      </c>
      <c r="BM47" s="83">
        <f>'2019_C4_Zeitreihe'!BE47</f>
        <v>20.550161812297734</v>
      </c>
      <c r="BN47" s="83">
        <f>'2019_C4_Zeitreihe'!BF47</f>
        <v>37.702265372168284</v>
      </c>
      <c r="BO47" s="57">
        <f>'2019_C4_Zeitreihe'!BG47</f>
        <v>581</v>
      </c>
      <c r="BP47" s="57">
        <f>'2019_C4_Zeitreihe'!BH47</f>
        <v>354</v>
      </c>
      <c r="BQ47" s="57">
        <f>'2019_C4_Zeitreihe'!BI47</f>
        <v>227</v>
      </c>
      <c r="BR47" s="83">
        <f>'2019_C4_Zeitreihe'!BJ47</f>
        <v>13.253012048192772</v>
      </c>
      <c r="BS47" s="83">
        <f>'2019_C4_Zeitreihe'!BK47</f>
        <v>27.538726333907054</v>
      </c>
      <c r="BT47" s="83">
        <f>'2019_C4_Zeitreihe'!BL47</f>
        <v>24.096385542168676</v>
      </c>
      <c r="BU47" s="78">
        <f>'2019_C4_Zeitreihe'!BM47</f>
        <v>35.111876075731502</v>
      </c>
      <c r="BV47" s="62"/>
    </row>
    <row r="48" spans="2:74" ht="8.25" customHeight="1">
      <c r="B48" s="107">
        <v>451</v>
      </c>
      <c r="C48" s="74" t="s">
        <v>118</v>
      </c>
      <c r="D48" s="74">
        <f>VLOOKUP(B48,'2020_Rohdaten_BA'!$A$10:$E$59,3,FALSE)</f>
        <v>4153</v>
      </c>
      <c r="E48" s="74">
        <f>VLOOKUP(B48,'2020_Rohdaten_BA'!$A$10:$E$59,4,FALSE)</f>
        <v>2852</v>
      </c>
      <c r="F48" s="74">
        <f>VLOOKUP(B48,'2020_Rohdaten_BA'!$A$10:$E$59,5,FALSE)</f>
        <v>1301</v>
      </c>
      <c r="G48" s="74">
        <f>VLOOKUP(B48,'2020_Rohdaten_BA'!$A$10:$M$59,12,FALSE)</f>
        <v>7.3922465687454855</v>
      </c>
      <c r="H48" s="74">
        <f>VLOOKUP(B48,'2020_Rohdaten_BA'!$A$10:$M$59,11,FALSE)</f>
        <v>25.571875752468095</v>
      </c>
      <c r="I48" s="74">
        <f>VLOOKUP(B48,'2020_Rohdaten_BA'!$A$10:$M$59,10,FALSE)</f>
        <v>26.896219600288948</v>
      </c>
      <c r="J48" s="74">
        <f>VLOOKUP(B48,'2020_Rohdaten_BA'!$A$10:$M$59,13,FALSE)</f>
        <v>40.139658078497469</v>
      </c>
      <c r="K48" s="193">
        <f>'2019_C4_Zeitreihe'!C48</f>
        <v>3785</v>
      </c>
      <c r="L48" s="193">
        <f>'2019_C4_Zeitreihe'!D48</f>
        <v>2613</v>
      </c>
      <c r="M48" s="193">
        <f>'2019_C4_Zeitreihe'!E48</f>
        <v>1172</v>
      </c>
      <c r="N48" s="115">
        <f>'2019_C4_Zeitreihe'!F48</f>
        <v>6.8692206076618234</v>
      </c>
      <c r="O48" s="115">
        <f>'2019_C4_Zeitreihe'!G48</f>
        <v>26.182298546895641</v>
      </c>
      <c r="P48" s="115">
        <f>'2019_C4_Zeitreihe'!H48</f>
        <v>24.861294583883751</v>
      </c>
      <c r="Q48" s="115">
        <f>'2019_C4_Zeitreihe'!I48</f>
        <v>42.087186261558784</v>
      </c>
      <c r="R48" s="112">
        <f>'2019_C4_Zeitreihe'!J48</f>
        <v>3428</v>
      </c>
      <c r="S48" s="112">
        <f>'2019_C4_Zeitreihe'!K48</f>
        <v>2332</v>
      </c>
      <c r="T48" s="112">
        <f>'2019_C4_Zeitreihe'!L48</f>
        <v>1096</v>
      </c>
      <c r="U48" s="75">
        <f>'2019_C4_Zeitreihe'!M48</f>
        <v>5.8051341890315049</v>
      </c>
      <c r="V48" s="75">
        <f>'2019_C4_Zeitreihe'!N48</f>
        <v>26.983663943990667</v>
      </c>
      <c r="W48" s="75">
        <f>'2019_C4_Zeitreihe'!O48</f>
        <v>23.045507584597434</v>
      </c>
      <c r="X48" s="75">
        <f>'2019_C4_Zeitreihe'!P48</f>
        <v>44.1656942823804</v>
      </c>
      <c r="Y48" s="112">
        <f>'2019_C4_Zeitreihe'!Q48</f>
        <v>2934</v>
      </c>
      <c r="Z48" s="112">
        <f>'2019_C4_Zeitreihe'!R48</f>
        <v>2033</v>
      </c>
      <c r="AA48" s="112">
        <f>'2019_C4_Zeitreihe'!S48</f>
        <v>901</v>
      </c>
      <c r="AB48" s="75">
        <f>'2019_C4_Zeitreihe'!T48</f>
        <v>5.5896387184730747</v>
      </c>
      <c r="AC48" s="75">
        <f>'2019_C4_Zeitreihe'!U48</f>
        <v>26.380368098159508</v>
      </c>
      <c r="AD48" s="75">
        <f>'2019_C4_Zeitreihe'!V48</f>
        <v>22.801635991820042</v>
      </c>
      <c r="AE48" s="75">
        <f>'2019_C4_Zeitreihe'!W48</f>
        <v>45.228357191547374</v>
      </c>
      <c r="AF48" s="112">
        <f>'2019_C4_Zeitreihe'!X48</f>
        <v>2769</v>
      </c>
      <c r="AG48" s="112">
        <f>'2019_C4_Zeitreihe'!Y48</f>
        <v>1962</v>
      </c>
      <c r="AH48" s="112">
        <f>'2019_C4_Zeitreihe'!Z48</f>
        <v>807</v>
      </c>
      <c r="AI48" s="75">
        <f>'2019_C4_Zeitreihe'!AA48</f>
        <v>5.4893463344167577</v>
      </c>
      <c r="AJ48" s="75">
        <f>'2019_C4_Zeitreihe'!AB48</f>
        <v>25.315998555435176</v>
      </c>
      <c r="AK48" s="75">
        <f>'2019_C4_Zeitreihe'!AC48</f>
        <v>19.501625135427954</v>
      </c>
      <c r="AL48" s="75">
        <f>'2019_C4_Zeitreihe'!AD48</f>
        <v>49.693029974720119</v>
      </c>
      <c r="AM48" s="57">
        <f>'2019_C4_Zeitreihe'!AE48</f>
        <v>2321</v>
      </c>
      <c r="AN48" s="57">
        <f>'2019_C4_Zeitreihe'!AF48</f>
        <v>1570</v>
      </c>
      <c r="AO48" s="57">
        <f>'2019_C4_Zeitreihe'!AG48</f>
        <v>751</v>
      </c>
      <c r="AP48" s="29">
        <f>'2019_C4_Zeitreihe'!AH48</f>
        <v>5.8164584230934944</v>
      </c>
      <c r="AQ48" s="29">
        <f>'2019_C4_Zeitreihe'!AI48</f>
        <v>27.057302886686774</v>
      </c>
      <c r="AR48" s="29">
        <f>'2019_C4_Zeitreihe'!AJ48</f>
        <v>18.914261094355879</v>
      </c>
      <c r="AS48" s="29">
        <f>'2019_C4_Zeitreihe'!AK48</f>
        <v>48.211977595863857</v>
      </c>
      <c r="AT48" s="57">
        <f>'2019_C4_Zeitreihe'!AL48</f>
        <v>2132</v>
      </c>
      <c r="AU48" s="57">
        <f>'2019_C4_Zeitreihe'!AM48</f>
        <v>1462</v>
      </c>
      <c r="AV48" s="57">
        <f>'2019_C4_Zeitreihe'!AN48</f>
        <v>670</v>
      </c>
      <c r="AW48" s="29">
        <f>'2019_C4_Zeitreihe'!AO48</f>
        <v>5.0656660412757972</v>
      </c>
      <c r="AX48" s="29">
        <f>'2019_C4_Zeitreihe'!AP48</f>
        <v>28.04878048780488</v>
      </c>
      <c r="AY48" s="29">
        <f>'2019_C4_Zeitreihe'!AQ48</f>
        <v>18.714821763602252</v>
      </c>
      <c r="AZ48" s="29">
        <f>'2019_C4_Zeitreihe'!AR48</f>
        <v>48.170731707317067</v>
      </c>
      <c r="BA48" s="57">
        <f>'2019_C4_Zeitreihe'!AS48</f>
        <v>1917</v>
      </c>
      <c r="BB48" s="57">
        <f>'2019_C4_Zeitreihe'!AT48</f>
        <v>1315</v>
      </c>
      <c r="BC48" s="57">
        <f>'2019_C4_Zeitreihe'!AU48</f>
        <v>602</v>
      </c>
      <c r="BD48" s="29">
        <f>'2019_C4_Zeitreihe'!AV48</f>
        <v>4.9556598852373499</v>
      </c>
      <c r="BE48" s="29">
        <f>'2019_C4_Zeitreihe'!AW48</f>
        <v>23.526343244653102</v>
      </c>
      <c r="BF48" s="29">
        <f>'2019_C4_Zeitreihe'!AX48</f>
        <v>15.805946791862285</v>
      </c>
      <c r="BG48" s="29">
        <f>'2019_C4_Zeitreihe'!AY48</f>
        <v>55.712050078247259</v>
      </c>
      <c r="BH48" s="57">
        <f>'2019_C4_Zeitreihe'!AZ48</f>
        <v>1467</v>
      </c>
      <c r="BI48" s="57">
        <f>'2019_C4_Zeitreihe'!BA48</f>
        <v>993</v>
      </c>
      <c r="BJ48" s="57">
        <f>'2019_C4_Zeitreihe'!BB48</f>
        <v>474</v>
      </c>
      <c r="BK48" s="83">
        <f>'2019_C4_Zeitreihe'!BC48</f>
        <v>3.6809815950920246</v>
      </c>
      <c r="BL48" s="83">
        <f>'2019_C4_Zeitreihe'!BD48</f>
        <v>21.199727334696661</v>
      </c>
      <c r="BM48" s="83">
        <f>'2019_C4_Zeitreihe'!BE48</f>
        <v>23.790047716428084</v>
      </c>
      <c r="BN48" s="83">
        <f>'2019_C4_Zeitreihe'!BF48</f>
        <v>51.329243353783227</v>
      </c>
      <c r="BO48" s="57">
        <f>'2019_C4_Zeitreihe'!BG48</f>
        <v>1243</v>
      </c>
      <c r="BP48" s="57">
        <f>'2019_C4_Zeitreihe'!BH48</f>
        <v>851</v>
      </c>
      <c r="BQ48" s="57">
        <f>'2019_C4_Zeitreihe'!BI48</f>
        <v>392</v>
      </c>
      <c r="BR48" s="83">
        <f>'2019_C4_Zeitreihe'!BJ48</f>
        <v>4.1029766693483509</v>
      </c>
      <c r="BS48" s="83">
        <f>'2019_C4_Zeitreihe'!BK48</f>
        <v>23.008849557522122</v>
      </c>
      <c r="BT48" s="83">
        <f>'2019_C4_Zeitreihe'!BL48</f>
        <v>27.755430410297667</v>
      </c>
      <c r="BU48" s="78">
        <f>'2019_C4_Zeitreihe'!BM48</f>
        <v>45.13274336283186</v>
      </c>
      <c r="BV48" s="62"/>
    </row>
    <row r="49" spans="2:74" ht="8.25" customHeight="1">
      <c r="B49" s="107">
        <v>452</v>
      </c>
      <c r="C49" s="74" t="s">
        <v>119</v>
      </c>
      <c r="D49" s="74">
        <f>VLOOKUP(B49,'2020_Rohdaten_BA'!$A$10:$E$59,3,FALSE)</f>
        <v>4164</v>
      </c>
      <c r="E49" s="74">
        <f>VLOOKUP(B49,'2020_Rohdaten_BA'!$A$10:$E$59,4,FALSE)</f>
        <v>2658</v>
      </c>
      <c r="F49" s="74">
        <f>VLOOKUP(B49,'2020_Rohdaten_BA'!$A$10:$E$59,5,FALSE)</f>
        <v>1506</v>
      </c>
      <c r="G49" s="74">
        <f>VLOOKUP(B49,'2020_Rohdaten_BA'!$A$10:$M$59,12,FALSE)</f>
        <v>9.0057636887608066</v>
      </c>
      <c r="H49" s="74">
        <f>VLOOKUP(B49,'2020_Rohdaten_BA'!$A$10:$M$59,11,FALSE)</f>
        <v>27.713736791546591</v>
      </c>
      <c r="I49" s="74">
        <f>VLOOKUP(B49,'2020_Rohdaten_BA'!$A$10:$M$59,10,FALSE)</f>
        <v>27.209414024975985</v>
      </c>
      <c r="J49" s="74">
        <f>VLOOKUP(B49,'2020_Rohdaten_BA'!$A$10:$M$59,13,FALSE)</f>
        <v>36.07108549471662</v>
      </c>
      <c r="K49" s="193">
        <f>'2019_C4_Zeitreihe'!C49</f>
        <v>4363</v>
      </c>
      <c r="L49" s="193">
        <f>'2019_C4_Zeitreihe'!D49</f>
        <v>2791</v>
      </c>
      <c r="M49" s="193">
        <f>'2019_C4_Zeitreihe'!E49</f>
        <v>1572</v>
      </c>
      <c r="N49" s="115">
        <f>'2019_C4_Zeitreihe'!F49</f>
        <v>8.1824432729773093</v>
      </c>
      <c r="O49" s="115">
        <f>'2019_C4_Zeitreihe'!G49</f>
        <v>26.816410726564289</v>
      </c>
      <c r="P49" s="115">
        <f>'2019_C4_Zeitreihe'!H49</f>
        <v>26.335090534036215</v>
      </c>
      <c r="Q49" s="115">
        <f>'2019_C4_Zeitreihe'!I49</f>
        <v>38.666055466422186</v>
      </c>
      <c r="R49" s="112">
        <f>'2019_C4_Zeitreihe'!J49</f>
        <v>4232</v>
      </c>
      <c r="S49" s="112">
        <f>'2019_C4_Zeitreihe'!K49</f>
        <v>2716</v>
      </c>
      <c r="T49" s="112">
        <f>'2019_C4_Zeitreihe'!L49</f>
        <v>1516</v>
      </c>
      <c r="U49" s="75">
        <f>'2019_C4_Zeitreihe'!M49</f>
        <v>8.2466918714555764</v>
      </c>
      <c r="V49" s="75">
        <f>'2019_C4_Zeitreihe'!N49</f>
        <v>27.882797731568999</v>
      </c>
      <c r="W49" s="75">
        <f>'2019_C4_Zeitreihe'!O49</f>
        <v>23.298676748582231</v>
      </c>
      <c r="X49" s="75">
        <f>'2019_C4_Zeitreihe'!P49</f>
        <v>40.571833648393195</v>
      </c>
      <c r="Y49" s="112">
        <f>'2019_C4_Zeitreihe'!Q49</f>
        <v>3934</v>
      </c>
      <c r="Z49" s="112">
        <f>'2019_C4_Zeitreihe'!R49</f>
        <v>2507</v>
      </c>
      <c r="AA49" s="112">
        <f>'2019_C4_Zeitreihe'!S49</f>
        <v>1427</v>
      </c>
      <c r="AB49" s="75">
        <f>'2019_C4_Zeitreihe'!T49</f>
        <v>8.4646670055922719</v>
      </c>
      <c r="AC49" s="75">
        <f>'2019_C4_Zeitreihe'!U49</f>
        <v>29.588205388917132</v>
      </c>
      <c r="AD49" s="75">
        <f>'2019_C4_Zeitreihe'!V49</f>
        <v>22.191154041687849</v>
      </c>
      <c r="AE49" s="75">
        <f>'2019_C4_Zeitreihe'!W49</f>
        <v>39.755973563802741</v>
      </c>
      <c r="AF49" s="112">
        <f>'2019_C4_Zeitreihe'!X49</f>
        <v>3395</v>
      </c>
      <c r="AG49" s="112">
        <f>'2019_C4_Zeitreihe'!Y49</f>
        <v>2094</v>
      </c>
      <c r="AH49" s="112">
        <f>'2019_C4_Zeitreihe'!Z49</f>
        <v>1301</v>
      </c>
      <c r="AI49" s="75">
        <f>'2019_C4_Zeitreihe'!AA49</f>
        <v>8.3652430044182609</v>
      </c>
      <c r="AJ49" s="75">
        <f>'2019_C4_Zeitreihe'!AB49</f>
        <v>30.044182621502209</v>
      </c>
      <c r="AK49" s="75">
        <f>'2019_C4_Zeitreihe'!AC49</f>
        <v>20.824742268041238</v>
      </c>
      <c r="AL49" s="75">
        <f>'2019_C4_Zeitreihe'!AD49</f>
        <v>40.765832106038289</v>
      </c>
      <c r="AM49" s="57">
        <f>'2019_C4_Zeitreihe'!AE49</f>
        <v>3182</v>
      </c>
      <c r="AN49" s="57">
        <f>'2019_C4_Zeitreihe'!AF49</f>
        <v>1983</v>
      </c>
      <c r="AO49" s="57">
        <f>'2019_C4_Zeitreihe'!AG49</f>
        <v>1199</v>
      </c>
      <c r="AP49" s="29">
        <f>'2019_C4_Zeitreihe'!AH49</f>
        <v>6.945317410433689</v>
      </c>
      <c r="AQ49" s="29">
        <f>'2019_C4_Zeitreihe'!AI49</f>
        <v>30.609679446888748</v>
      </c>
      <c r="AR49" s="29">
        <f>'2019_C4_Zeitreihe'!AJ49</f>
        <v>19.35889377749843</v>
      </c>
      <c r="AS49" s="29">
        <f>'2019_C4_Zeitreihe'!AK49</f>
        <v>43.086109365179141</v>
      </c>
      <c r="AT49" s="57">
        <f>'2019_C4_Zeitreihe'!AL49</f>
        <v>2728</v>
      </c>
      <c r="AU49" s="57">
        <f>'2019_C4_Zeitreihe'!AM49</f>
        <v>1697</v>
      </c>
      <c r="AV49" s="57">
        <f>'2019_C4_Zeitreihe'!AN49</f>
        <v>1031</v>
      </c>
      <c r="AW49" s="29">
        <f>'2019_C4_Zeitreihe'!AO49</f>
        <v>7.1114369501466284</v>
      </c>
      <c r="AX49" s="29">
        <f>'2019_C4_Zeitreihe'!AP49</f>
        <v>27.126099706744867</v>
      </c>
      <c r="AY49" s="29">
        <f>'2019_C4_Zeitreihe'!AQ49</f>
        <v>18.878299120234605</v>
      </c>
      <c r="AZ49" s="29">
        <f>'2019_C4_Zeitreihe'!AR49</f>
        <v>46.884164222873906</v>
      </c>
      <c r="BA49" s="57">
        <f>'2019_C4_Zeitreihe'!AS49</f>
        <v>2155</v>
      </c>
      <c r="BB49" s="57">
        <f>'2019_C4_Zeitreihe'!AT49</f>
        <v>1250</v>
      </c>
      <c r="BC49" s="57">
        <f>'2019_C4_Zeitreihe'!AU49</f>
        <v>905</v>
      </c>
      <c r="BD49" s="29">
        <f>'2019_C4_Zeitreihe'!AV49</f>
        <v>6.8677494199535962</v>
      </c>
      <c r="BE49" s="29">
        <f>'2019_C4_Zeitreihe'!AW49</f>
        <v>24.222737819025522</v>
      </c>
      <c r="BF49" s="29">
        <f>'2019_C4_Zeitreihe'!AX49</f>
        <v>18.561484918793504</v>
      </c>
      <c r="BG49" s="29">
        <f>'2019_C4_Zeitreihe'!AY49</f>
        <v>50.348027842227381</v>
      </c>
      <c r="BH49" s="57">
        <f>'2019_C4_Zeitreihe'!AZ49</f>
        <v>1508</v>
      </c>
      <c r="BI49" s="57">
        <f>'2019_C4_Zeitreihe'!BA49</f>
        <v>843</v>
      </c>
      <c r="BJ49" s="57">
        <f>'2019_C4_Zeitreihe'!BB49</f>
        <v>665</v>
      </c>
      <c r="BK49" s="83">
        <f>'2019_C4_Zeitreihe'!BC49</f>
        <v>5.636604774535809</v>
      </c>
      <c r="BL49" s="83">
        <f>'2019_C4_Zeitreihe'!BD49</f>
        <v>23.209549071618039</v>
      </c>
      <c r="BM49" s="83">
        <f>'2019_C4_Zeitreihe'!BE49</f>
        <v>20.755968169761275</v>
      </c>
      <c r="BN49" s="83">
        <f>'2019_C4_Zeitreihe'!BF49</f>
        <v>50.397877984084872</v>
      </c>
      <c r="BO49" s="57">
        <f>'2019_C4_Zeitreihe'!BG49</f>
        <v>1373</v>
      </c>
      <c r="BP49" s="57">
        <f>'2019_C4_Zeitreihe'!BH49</f>
        <v>801</v>
      </c>
      <c r="BQ49" s="57">
        <f>'2019_C4_Zeitreihe'!BI49</f>
        <v>572</v>
      </c>
      <c r="BR49" s="83">
        <f>'2019_C4_Zeitreihe'!BJ49</f>
        <v>5.7538237436270938</v>
      </c>
      <c r="BS49" s="83">
        <f>'2019_C4_Zeitreihe'!BK49</f>
        <v>21.849963583394029</v>
      </c>
      <c r="BT49" s="83">
        <f>'2019_C4_Zeitreihe'!BL49</f>
        <v>19.592134013109977</v>
      </c>
      <c r="BU49" s="78">
        <f>'2019_C4_Zeitreihe'!BM49</f>
        <v>52.804078659868892</v>
      </c>
      <c r="BV49" s="62"/>
    </row>
    <row r="50" spans="2:74" ht="8.25" customHeight="1">
      <c r="B50" s="107">
        <v>453</v>
      </c>
      <c r="C50" s="74" t="s">
        <v>120</v>
      </c>
      <c r="D50" s="74">
        <f>VLOOKUP(B50,'2020_Rohdaten_BA'!$A$10:$E$59,3,FALSE)</f>
        <v>10632</v>
      </c>
      <c r="E50" s="74">
        <f>VLOOKUP(B50,'2020_Rohdaten_BA'!$A$10:$E$59,4,FALSE)</f>
        <v>7314</v>
      </c>
      <c r="F50" s="74">
        <f>VLOOKUP(B50,'2020_Rohdaten_BA'!$A$10:$E$59,5,FALSE)</f>
        <v>3318</v>
      </c>
      <c r="G50" s="74">
        <f>VLOOKUP(B50,'2020_Rohdaten_BA'!$A$10:$M$59,12,FALSE)</f>
        <v>3.1602708803611739</v>
      </c>
      <c r="H50" s="74">
        <f>VLOOKUP(B50,'2020_Rohdaten_BA'!$A$10:$M$59,11,FALSE)</f>
        <v>20.372460496613996</v>
      </c>
      <c r="I50" s="74">
        <f>VLOOKUP(B50,'2020_Rohdaten_BA'!$A$10:$M$59,10,FALSE)</f>
        <v>30.088412340105343</v>
      </c>
      <c r="J50" s="74">
        <f>VLOOKUP(B50,'2020_Rohdaten_BA'!$A$10:$M$59,13,FALSE)</f>
        <v>46.378856282919486</v>
      </c>
      <c r="K50" s="193">
        <f>'2019_C4_Zeitreihe'!C50</f>
        <v>10030</v>
      </c>
      <c r="L50" s="193">
        <f>'2019_C4_Zeitreihe'!D50</f>
        <v>6972</v>
      </c>
      <c r="M50" s="193">
        <f>'2019_C4_Zeitreihe'!E50</f>
        <v>3058</v>
      </c>
      <c r="N50" s="115">
        <f>'2019_C4_Zeitreihe'!F50</f>
        <v>3.1306081754735793</v>
      </c>
      <c r="O50" s="115">
        <f>'2019_C4_Zeitreihe'!G50</f>
        <v>20.508474576271187</v>
      </c>
      <c r="P50" s="115">
        <f>'2019_C4_Zeitreihe'!H50</f>
        <v>28.005982053838483</v>
      </c>
      <c r="Q50" s="115">
        <f>'2019_C4_Zeitreihe'!I50</f>
        <v>48.354935194416747</v>
      </c>
      <c r="R50" s="112">
        <f>'2019_C4_Zeitreihe'!J50</f>
        <v>9140</v>
      </c>
      <c r="S50" s="112">
        <f>'2019_C4_Zeitreihe'!K50</f>
        <v>6398</v>
      </c>
      <c r="T50" s="112">
        <f>'2019_C4_Zeitreihe'!L50</f>
        <v>2742</v>
      </c>
      <c r="U50" s="75">
        <f>'2019_C4_Zeitreihe'!M50</f>
        <v>2.9102844638949672</v>
      </c>
      <c r="V50" s="75">
        <f>'2019_C4_Zeitreihe'!N50</f>
        <v>19.277899343544856</v>
      </c>
      <c r="W50" s="75">
        <f>'2019_C4_Zeitreihe'!O50</f>
        <v>26.827133479212257</v>
      </c>
      <c r="X50" s="75">
        <f>'2019_C4_Zeitreihe'!P50</f>
        <v>50.984682713347915</v>
      </c>
      <c r="Y50" s="112">
        <f>'2019_C4_Zeitreihe'!Q50</f>
        <v>7928</v>
      </c>
      <c r="Z50" s="112">
        <f>'2019_C4_Zeitreihe'!R50</f>
        <v>5694</v>
      </c>
      <c r="AA50" s="112">
        <f>'2019_C4_Zeitreihe'!S50</f>
        <v>2234</v>
      </c>
      <c r="AB50" s="75">
        <f>'2019_C4_Zeitreihe'!T50</f>
        <v>2.9011099899091826</v>
      </c>
      <c r="AC50" s="75">
        <f>'2019_C4_Zeitreihe'!U50</f>
        <v>18.592330978809283</v>
      </c>
      <c r="AD50" s="75">
        <f>'2019_C4_Zeitreihe'!V50</f>
        <v>25.403632694248234</v>
      </c>
      <c r="AE50" s="75">
        <f>'2019_C4_Zeitreihe'!W50</f>
        <v>53.102926337033296</v>
      </c>
      <c r="AF50" s="112">
        <f>'2019_C4_Zeitreihe'!X50</f>
        <v>6135</v>
      </c>
      <c r="AG50" s="112">
        <f>'2019_C4_Zeitreihe'!Y50</f>
        <v>4327</v>
      </c>
      <c r="AH50" s="112">
        <f>'2019_C4_Zeitreihe'!Z50</f>
        <v>1808</v>
      </c>
      <c r="AI50" s="75">
        <f>'2019_C4_Zeitreihe'!AA50</f>
        <v>3.3414832925835372</v>
      </c>
      <c r="AJ50" s="75">
        <f>'2019_C4_Zeitreihe'!AB50</f>
        <v>20.603096984515076</v>
      </c>
      <c r="AK50" s="75">
        <f>'2019_C4_Zeitreihe'!AC50</f>
        <v>25.525672371638141</v>
      </c>
      <c r="AL50" s="75">
        <f>'2019_C4_Zeitreihe'!AD50</f>
        <v>50.529747351263246</v>
      </c>
      <c r="AM50" s="57">
        <f>'2019_C4_Zeitreihe'!AE50</f>
        <v>5111</v>
      </c>
      <c r="AN50" s="57">
        <f>'2019_C4_Zeitreihe'!AF50</f>
        <v>3624</v>
      </c>
      <c r="AO50" s="57">
        <f>'2019_C4_Zeitreihe'!AG50</f>
        <v>1487</v>
      </c>
      <c r="AP50" s="29">
        <f>'2019_C4_Zeitreihe'!AH50</f>
        <v>3.2283310506750142</v>
      </c>
      <c r="AQ50" s="29">
        <f>'2019_C4_Zeitreihe'!AI50</f>
        <v>21.32655057718646</v>
      </c>
      <c r="AR50" s="29">
        <f>'2019_C4_Zeitreihe'!AJ50</f>
        <v>21.502641361768735</v>
      </c>
      <c r="AS50" s="29">
        <f>'2019_C4_Zeitreihe'!AK50</f>
        <v>53.942477010369785</v>
      </c>
      <c r="AT50" s="57">
        <f>'2019_C4_Zeitreihe'!AL50</f>
        <v>4579</v>
      </c>
      <c r="AU50" s="57">
        <f>'2019_C4_Zeitreihe'!AM50</f>
        <v>3248</v>
      </c>
      <c r="AV50" s="57">
        <f>'2019_C4_Zeitreihe'!AN50</f>
        <v>1331</v>
      </c>
      <c r="AW50" s="29">
        <f>'2019_C4_Zeitreihe'!AO50</f>
        <v>3.0574361214238914</v>
      </c>
      <c r="AX50" s="29">
        <f>'2019_C4_Zeitreihe'!AP50</f>
        <v>20.419305525223848</v>
      </c>
      <c r="AY50" s="29">
        <f>'2019_C4_Zeitreihe'!AQ50</f>
        <v>22.493994321904346</v>
      </c>
      <c r="AZ50" s="29">
        <f>'2019_C4_Zeitreihe'!AR50</f>
        <v>54.029264031447909</v>
      </c>
      <c r="BA50" s="57">
        <f>'2019_C4_Zeitreihe'!AS50</f>
        <v>3948</v>
      </c>
      <c r="BB50" s="57">
        <f>'2019_C4_Zeitreihe'!AT50</f>
        <v>2817</v>
      </c>
      <c r="BC50" s="57">
        <f>'2019_C4_Zeitreihe'!AU50</f>
        <v>1131</v>
      </c>
      <c r="BD50" s="29">
        <f>'2019_C4_Zeitreihe'!AV50</f>
        <v>2.2796352583586628</v>
      </c>
      <c r="BE50" s="29">
        <f>'2019_C4_Zeitreihe'!AW50</f>
        <v>16.742654508611956</v>
      </c>
      <c r="BF50" s="29">
        <f>'2019_C4_Zeitreihe'!AX50</f>
        <v>18.009118541033434</v>
      </c>
      <c r="BG50" s="29">
        <f>'2019_C4_Zeitreihe'!AY50</f>
        <v>62.968591691995961</v>
      </c>
      <c r="BH50" s="57">
        <f>'2019_C4_Zeitreihe'!AZ50</f>
        <v>2649</v>
      </c>
      <c r="BI50" s="57">
        <f>'2019_C4_Zeitreihe'!BA50</f>
        <v>1960</v>
      </c>
      <c r="BJ50" s="57">
        <f>'2019_C4_Zeitreihe'!BB50</f>
        <v>689</v>
      </c>
      <c r="BK50" s="83">
        <f>'2019_C4_Zeitreihe'!BC50</f>
        <v>2.0762551906379767</v>
      </c>
      <c r="BL50" s="83">
        <f>'2019_C4_Zeitreihe'!BD50</f>
        <v>16.572291430728576</v>
      </c>
      <c r="BM50" s="83">
        <f>'2019_C4_Zeitreihe'!BE50</f>
        <v>25.519063797659491</v>
      </c>
      <c r="BN50" s="83">
        <f>'2019_C4_Zeitreihe'!BF50</f>
        <v>55.832389580973945</v>
      </c>
      <c r="BO50" s="57">
        <f>'2019_C4_Zeitreihe'!BG50</f>
        <v>2434</v>
      </c>
      <c r="BP50" s="57">
        <f>'2019_C4_Zeitreihe'!BH50</f>
        <v>1793</v>
      </c>
      <c r="BQ50" s="57">
        <f>'2019_C4_Zeitreihe'!BI50</f>
        <v>641</v>
      </c>
      <c r="BR50" s="83">
        <f>'2019_C4_Zeitreihe'!BJ50</f>
        <v>1.9720624486442069</v>
      </c>
      <c r="BS50" s="83">
        <f>'2019_C4_Zeitreihe'!BK50</f>
        <v>21.405094494658996</v>
      </c>
      <c r="BT50" s="83">
        <f>'2019_C4_Zeitreihe'!BL50</f>
        <v>31.34757600657354</v>
      </c>
      <c r="BU50" s="78">
        <f>'2019_C4_Zeitreihe'!BM50</f>
        <v>45.275267050123247</v>
      </c>
      <c r="BV50" s="62"/>
    </row>
    <row r="51" spans="2:74" ht="8.25" customHeight="1">
      <c r="B51" s="107">
        <v>454</v>
      </c>
      <c r="C51" s="74" t="s">
        <v>121</v>
      </c>
      <c r="D51" s="74">
        <f>VLOOKUP(B51,'2020_Rohdaten_BA'!$A$10:$E$59,3,FALSE)</f>
        <v>14967</v>
      </c>
      <c r="E51" s="74">
        <f>VLOOKUP(B51,'2020_Rohdaten_BA'!$A$10:$E$59,4,FALSE)</f>
        <v>10881</v>
      </c>
      <c r="F51" s="74">
        <f>VLOOKUP(B51,'2020_Rohdaten_BA'!$A$10:$E$59,5,FALSE)</f>
        <v>4086</v>
      </c>
      <c r="G51" s="74">
        <f>VLOOKUP(B51,'2020_Rohdaten_BA'!$A$10:$M$59,12,FALSE)</f>
        <v>7.3695463352709289</v>
      </c>
      <c r="H51" s="74">
        <f>VLOOKUP(B51,'2020_Rohdaten_BA'!$A$10:$M$59,11,FALSE)</f>
        <v>28.195363132224227</v>
      </c>
      <c r="I51" s="74">
        <f>VLOOKUP(B51,'2020_Rohdaten_BA'!$A$10:$M$59,10,FALSE)</f>
        <v>19.823611946281819</v>
      </c>
      <c r="J51" s="74">
        <f>VLOOKUP(B51,'2020_Rohdaten_BA'!$A$10:$M$59,13,FALSE)</f>
        <v>44.611478586223022</v>
      </c>
      <c r="K51" s="193">
        <f>'2019_C4_Zeitreihe'!C51</f>
        <v>13916</v>
      </c>
      <c r="L51" s="193">
        <f>'2019_C4_Zeitreihe'!D51</f>
        <v>10248</v>
      </c>
      <c r="M51" s="193">
        <f>'2019_C4_Zeitreihe'!E51</f>
        <v>3668</v>
      </c>
      <c r="N51" s="115">
        <f>'2019_C4_Zeitreihe'!F51</f>
        <v>6.6182811152630068</v>
      </c>
      <c r="O51" s="115">
        <f>'2019_C4_Zeitreihe'!G51</f>
        <v>28.377407300948548</v>
      </c>
      <c r="P51" s="115">
        <f>'2019_C4_Zeitreihe'!H51</f>
        <v>19.186547858580052</v>
      </c>
      <c r="Q51" s="115">
        <f>'2019_C4_Zeitreihe'!I51</f>
        <v>45.817763725208394</v>
      </c>
      <c r="R51" s="112">
        <f>'2019_C4_Zeitreihe'!J51</f>
        <v>12405</v>
      </c>
      <c r="S51" s="112">
        <f>'2019_C4_Zeitreihe'!K51</f>
        <v>9075</v>
      </c>
      <c r="T51" s="112">
        <f>'2019_C4_Zeitreihe'!L51</f>
        <v>3330</v>
      </c>
      <c r="U51" s="75">
        <f>'2019_C4_Zeitreihe'!M51</f>
        <v>6.5376864167674329</v>
      </c>
      <c r="V51" s="75">
        <f>'2019_C4_Zeitreihe'!N51</f>
        <v>30.100765820233775</v>
      </c>
      <c r="W51" s="75">
        <f>'2019_C4_Zeitreihe'!O51</f>
        <v>20.233776702942365</v>
      </c>
      <c r="X51" s="75">
        <f>'2019_C4_Zeitreihe'!P51</f>
        <v>43.127771060056432</v>
      </c>
      <c r="Y51" s="112">
        <f>'2019_C4_Zeitreihe'!Q51</f>
        <v>10836</v>
      </c>
      <c r="Z51" s="112">
        <f>'2019_C4_Zeitreihe'!R51</f>
        <v>7902</v>
      </c>
      <c r="AA51" s="112">
        <f>'2019_C4_Zeitreihe'!S51</f>
        <v>2934</v>
      </c>
      <c r="AB51" s="75">
        <f>'2019_C4_Zeitreihe'!T51</f>
        <v>6.7183462532299743</v>
      </c>
      <c r="AC51" s="75">
        <f>'2019_C4_Zeitreihe'!U51</f>
        <v>29.346622369878183</v>
      </c>
      <c r="AD51" s="75">
        <f>'2019_C4_Zeitreihe'!V51</f>
        <v>19.204503506829088</v>
      </c>
      <c r="AE51" s="75">
        <f>'2019_C4_Zeitreihe'!W51</f>
        <v>44.730527870062751</v>
      </c>
      <c r="AF51" s="112">
        <f>'2019_C4_Zeitreihe'!X51</f>
        <v>9390</v>
      </c>
      <c r="AG51" s="112">
        <f>'2019_C4_Zeitreihe'!Y51</f>
        <v>6844</v>
      </c>
      <c r="AH51" s="112">
        <f>'2019_C4_Zeitreihe'!Z51</f>
        <v>2546</v>
      </c>
      <c r="AI51" s="75">
        <f>'2019_C4_Zeitreihe'!AA51</f>
        <v>6.98615548455804</v>
      </c>
      <c r="AJ51" s="75">
        <f>'2019_C4_Zeitreihe'!AB51</f>
        <v>29.861554845580407</v>
      </c>
      <c r="AK51" s="75">
        <f>'2019_C4_Zeitreihe'!AC51</f>
        <v>16.922257720979765</v>
      </c>
      <c r="AL51" s="75">
        <f>'2019_C4_Zeitreihe'!AD51</f>
        <v>46.230031948881788</v>
      </c>
      <c r="AM51" s="57">
        <f>'2019_C4_Zeitreihe'!AE51</f>
        <v>7801</v>
      </c>
      <c r="AN51" s="57">
        <f>'2019_C4_Zeitreihe'!AF51</f>
        <v>5793</v>
      </c>
      <c r="AO51" s="57">
        <f>'2019_C4_Zeitreihe'!AG51</f>
        <v>2008</v>
      </c>
      <c r="AP51" s="29">
        <f>'2019_C4_Zeitreihe'!AH51</f>
        <v>7.0760158953980259</v>
      </c>
      <c r="AQ51" s="29">
        <f>'2019_C4_Zeitreihe'!AI51</f>
        <v>30.214075118574542</v>
      </c>
      <c r="AR51" s="29">
        <f>'2019_C4_Zeitreihe'!AJ51</f>
        <v>15.754390462761183</v>
      </c>
      <c r="AS51" s="29">
        <f>'2019_C4_Zeitreihe'!AK51</f>
        <v>46.95551852326625</v>
      </c>
      <c r="AT51" s="57">
        <f>'2019_C4_Zeitreihe'!AL51</f>
        <v>5620</v>
      </c>
      <c r="AU51" s="57">
        <f>'2019_C4_Zeitreihe'!AM51</f>
        <v>4178</v>
      </c>
      <c r="AV51" s="57">
        <f>'2019_C4_Zeitreihe'!AN51</f>
        <v>1442</v>
      </c>
      <c r="AW51" s="29">
        <f>'2019_C4_Zeitreihe'!AO51</f>
        <v>7.9715302491103204</v>
      </c>
      <c r="AX51" s="29">
        <f>'2019_C4_Zeitreihe'!AP51</f>
        <v>35.587188612099645</v>
      </c>
      <c r="AY51" s="29">
        <f>'2019_C4_Zeitreihe'!AQ51</f>
        <v>17.330960854092528</v>
      </c>
      <c r="AZ51" s="29">
        <f>'2019_C4_Zeitreihe'!AR51</f>
        <v>39.110320284697508</v>
      </c>
      <c r="BA51" s="57">
        <f>'2019_C4_Zeitreihe'!AS51</f>
        <v>4817</v>
      </c>
      <c r="BB51" s="57">
        <f>'2019_C4_Zeitreihe'!AT51</f>
        <v>3511</v>
      </c>
      <c r="BC51" s="57">
        <f>'2019_C4_Zeitreihe'!AU51</f>
        <v>1306</v>
      </c>
      <c r="BD51" s="29">
        <f>'2019_C4_Zeitreihe'!AV51</f>
        <v>7.9510068507369729</v>
      </c>
      <c r="BE51" s="29">
        <f>'2019_C4_Zeitreihe'!AW51</f>
        <v>32.592900145318666</v>
      </c>
      <c r="BF51" s="29">
        <f>'2019_C4_Zeitreihe'!AX51</f>
        <v>14.780984014947062</v>
      </c>
      <c r="BG51" s="29">
        <f>'2019_C4_Zeitreihe'!AY51</f>
        <v>44.675108988997295</v>
      </c>
      <c r="BH51" s="57">
        <f>'2019_C4_Zeitreihe'!AZ51</f>
        <v>3084</v>
      </c>
      <c r="BI51" s="57">
        <f>'2019_C4_Zeitreihe'!BA51</f>
        <v>2236</v>
      </c>
      <c r="BJ51" s="57">
        <f>'2019_C4_Zeitreihe'!BB51</f>
        <v>848</v>
      </c>
      <c r="BK51" s="83">
        <f>'2019_C4_Zeitreihe'!BC51</f>
        <v>7.4254215304798965</v>
      </c>
      <c r="BL51" s="83">
        <f>'2019_C4_Zeitreihe'!BD51</f>
        <v>35.376134889753565</v>
      </c>
      <c r="BM51" s="83">
        <f>'2019_C4_Zeitreihe'!BE51</f>
        <v>17.866407263294423</v>
      </c>
      <c r="BN51" s="83">
        <f>'2019_C4_Zeitreihe'!BF51</f>
        <v>39.33203631647212</v>
      </c>
      <c r="BO51" s="57">
        <f>'2019_C4_Zeitreihe'!BG51</f>
        <v>2771</v>
      </c>
      <c r="BP51" s="57">
        <f>'2019_C4_Zeitreihe'!BH51</f>
        <v>2047</v>
      </c>
      <c r="BQ51" s="57">
        <f>'2019_C4_Zeitreihe'!BI51</f>
        <v>724</v>
      </c>
      <c r="BR51" s="83">
        <f>'2019_C4_Zeitreihe'!BJ51</f>
        <v>7.0371706964994587</v>
      </c>
      <c r="BS51" s="83">
        <f>'2019_C4_Zeitreihe'!BK51</f>
        <v>37.748105377120176</v>
      </c>
      <c r="BT51" s="83">
        <f>'2019_C4_Zeitreihe'!BL51</f>
        <v>18.765788523998555</v>
      </c>
      <c r="BU51" s="78">
        <f>'2019_C4_Zeitreihe'!BM51</f>
        <v>36.448935402381814</v>
      </c>
      <c r="BV51" s="62"/>
    </row>
    <row r="52" spans="2:74" ht="8.25" customHeight="1">
      <c r="B52" s="107">
        <v>455</v>
      </c>
      <c r="C52" s="74" t="s">
        <v>122</v>
      </c>
      <c r="D52" s="74">
        <f>VLOOKUP(B52,'2020_Rohdaten_BA'!$A$10:$E$59,3,FALSE)</f>
        <v>1524</v>
      </c>
      <c r="E52" s="74">
        <f>VLOOKUP(B52,'2020_Rohdaten_BA'!$A$10:$E$59,4,FALSE)</f>
        <v>982</v>
      </c>
      <c r="F52" s="74">
        <f>VLOOKUP(B52,'2020_Rohdaten_BA'!$A$10:$E$59,5,FALSE)</f>
        <v>542</v>
      </c>
      <c r="G52" s="74">
        <f>VLOOKUP(B52,'2020_Rohdaten_BA'!$A$10:$M$59,12,FALSE)</f>
        <v>12.532808398950131</v>
      </c>
      <c r="H52" s="74">
        <f>VLOOKUP(B52,'2020_Rohdaten_BA'!$A$10:$M$59,11,FALSE)</f>
        <v>29.396325459317584</v>
      </c>
      <c r="I52" s="74">
        <f>VLOOKUP(B52,'2020_Rohdaten_BA'!$A$10:$M$59,10,FALSE)</f>
        <v>23.097112860892388</v>
      </c>
      <c r="J52" s="74">
        <f>VLOOKUP(B52,'2020_Rohdaten_BA'!$A$10:$M$59,13,FALSE)</f>
        <v>34.973753280839894</v>
      </c>
      <c r="K52" s="193">
        <f>'2019_C4_Zeitreihe'!C52</f>
        <v>1407</v>
      </c>
      <c r="L52" s="193">
        <f>'2019_C4_Zeitreihe'!D52</f>
        <v>905</v>
      </c>
      <c r="M52" s="193">
        <f>'2019_C4_Zeitreihe'!E52</f>
        <v>502</v>
      </c>
      <c r="N52" s="115">
        <f>'2019_C4_Zeitreihe'!F52</f>
        <v>10.803127221037668</v>
      </c>
      <c r="O52" s="115">
        <f>'2019_C4_Zeitreihe'!G52</f>
        <v>30.063965884861407</v>
      </c>
      <c r="P52" s="115">
        <f>'2019_C4_Zeitreihe'!H52</f>
        <v>22.316986496090973</v>
      </c>
      <c r="Q52" s="115">
        <f>'2019_C4_Zeitreihe'!I52</f>
        <v>36.815920398009951</v>
      </c>
      <c r="R52" s="112">
        <f>'2019_C4_Zeitreihe'!J52</f>
        <v>1301</v>
      </c>
      <c r="S52" s="112">
        <f>'2019_C4_Zeitreihe'!K52</f>
        <v>846</v>
      </c>
      <c r="T52" s="112">
        <f>'2019_C4_Zeitreihe'!L52</f>
        <v>455</v>
      </c>
      <c r="U52" s="75">
        <f>'2019_C4_Zeitreihe'!M52</f>
        <v>11.837048424289009</v>
      </c>
      <c r="V52" s="75">
        <f>'2019_C4_Zeitreihe'!N52</f>
        <v>30.822444273635664</v>
      </c>
      <c r="W52" s="75">
        <f>'2019_C4_Zeitreihe'!O52</f>
        <v>20.138355111452729</v>
      </c>
      <c r="X52" s="75">
        <f>'2019_C4_Zeitreihe'!P52</f>
        <v>37.202152190622598</v>
      </c>
      <c r="Y52" s="112">
        <f>'2019_C4_Zeitreihe'!Q52</f>
        <v>1141</v>
      </c>
      <c r="Z52" s="112">
        <f>'2019_C4_Zeitreihe'!R52</f>
        <v>726</v>
      </c>
      <c r="AA52" s="112">
        <f>'2019_C4_Zeitreihe'!S52</f>
        <v>415</v>
      </c>
      <c r="AB52" s="75">
        <f>'2019_C4_Zeitreihe'!T52</f>
        <v>11.831726555652935</v>
      </c>
      <c r="AC52" s="75">
        <f>'2019_C4_Zeitreihe'!U52</f>
        <v>29.623137598597722</v>
      </c>
      <c r="AD52" s="75">
        <f>'2019_C4_Zeitreihe'!V52</f>
        <v>18.75547765118317</v>
      </c>
      <c r="AE52" s="75">
        <f>'2019_C4_Zeitreihe'!W52</f>
        <v>39.789658194566172</v>
      </c>
      <c r="AF52" s="112">
        <f>'2019_C4_Zeitreihe'!X52</f>
        <v>992</v>
      </c>
      <c r="AG52" s="112">
        <f>'2019_C4_Zeitreihe'!Y52</f>
        <v>609</v>
      </c>
      <c r="AH52" s="112">
        <f>'2019_C4_Zeitreihe'!Z52</f>
        <v>383</v>
      </c>
      <c r="AI52" s="75">
        <f>'2019_C4_Zeitreihe'!AA52</f>
        <v>12.298387096774194</v>
      </c>
      <c r="AJ52" s="75">
        <f>'2019_C4_Zeitreihe'!AB52</f>
        <v>30.040322580645164</v>
      </c>
      <c r="AK52" s="75">
        <f>'2019_C4_Zeitreihe'!AC52</f>
        <v>17.338709677419356</v>
      </c>
      <c r="AL52" s="75">
        <f>'2019_C4_Zeitreihe'!AD52</f>
        <v>40.322580645161288</v>
      </c>
      <c r="AM52" s="57">
        <f>'2019_C4_Zeitreihe'!AE52</f>
        <v>961</v>
      </c>
      <c r="AN52" s="57">
        <f>'2019_C4_Zeitreihe'!AF52</f>
        <v>580</v>
      </c>
      <c r="AO52" s="57">
        <f>'2019_C4_Zeitreihe'!AG52</f>
        <v>381</v>
      </c>
      <c r="AP52" s="29">
        <f>'2019_C4_Zeitreihe'!AH52</f>
        <v>9.469302809573362</v>
      </c>
      <c r="AQ52" s="29">
        <f>'2019_C4_Zeitreihe'!AI52</f>
        <v>30.905306971904267</v>
      </c>
      <c r="AR52" s="29">
        <f>'2019_C4_Zeitreihe'!AJ52</f>
        <v>19.87513007284079</v>
      </c>
      <c r="AS52" s="29">
        <f>'2019_C4_Zeitreihe'!AK52</f>
        <v>39.75026014568158</v>
      </c>
      <c r="AT52" s="57">
        <f>'2019_C4_Zeitreihe'!AL52</f>
        <v>856</v>
      </c>
      <c r="AU52" s="57">
        <f>'2019_C4_Zeitreihe'!AM52</f>
        <v>508</v>
      </c>
      <c r="AV52" s="57">
        <f>'2019_C4_Zeitreihe'!AN52</f>
        <v>348</v>
      </c>
      <c r="AW52" s="29">
        <f>'2019_C4_Zeitreihe'!AO52</f>
        <v>9.1121495327102799</v>
      </c>
      <c r="AX52" s="29">
        <f>'2019_C4_Zeitreihe'!AP52</f>
        <v>33.177570093457945</v>
      </c>
      <c r="AY52" s="29">
        <f>'2019_C4_Zeitreihe'!AQ52</f>
        <v>19.859813084112147</v>
      </c>
      <c r="AZ52" s="29">
        <f>'2019_C4_Zeitreihe'!AR52</f>
        <v>37.850467289719631</v>
      </c>
      <c r="BA52" s="57">
        <f>'2019_C4_Zeitreihe'!AS52</f>
        <v>737</v>
      </c>
      <c r="BB52" s="57">
        <f>'2019_C4_Zeitreihe'!AT52</f>
        <v>435</v>
      </c>
      <c r="BC52" s="57">
        <f>'2019_C4_Zeitreihe'!AU52</f>
        <v>302</v>
      </c>
      <c r="BD52" s="29">
        <f>'2019_C4_Zeitreihe'!AV52</f>
        <v>8.0054274084124835</v>
      </c>
      <c r="BE52" s="29">
        <f>'2019_C4_Zeitreihe'!AW52</f>
        <v>25.915875169606512</v>
      </c>
      <c r="BF52" s="29">
        <f>'2019_C4_Zeitreihe'!AX52</f>
        <v>17.503392130257804</v>
      </c>
      <c r="BG52" s="29">
        <f>'2019_C4_Zeitreihe'!AY52</f>
        <v>48.575305291723197</v>
      </c>
      <c r="BH52" s="57">
        <f>'2019_C4_Zeitreihe'!AZ52</f>
        <v>544</v>
      </c>
      <c r="BI52" s="57">
        <f>'2019_C4_Zeitreihe'!BA52</f>
        <v>300</v>
      </c>
      <c r="BJ52" s="57">
        <f>'2019_C4_Zeitreihe'!BB52</f>
        <v>244</v>
      </c>
      <c r="BK52" s="83">
        <f>'2019_C4_Zeitreihe'!BC52</f>
        <v>6.6176470588235299</v>
      </c>
      <c r="BL52" s="83">
        <f>'2019_C4_Zeitreihe'!BD52</f>
        <v>29.963235294117645</v>
      </c>
      <c r="BM52" s="83">
        <f>'2019_C4_Zeitreihe'!BE52</f>
        <v>18.382352941176471</v>
      </c>
      <c r="BN52" s="83">
        <f>'2019_C4_Zeitreihe'!BF52</f>
        <v>45.036764705882362</v>
      </c>
      <c r="BO52" s="57">
        <f>'2019_C4_Zeitreihe'!BG52</f>
        <v>506</v>
      </c>
      <c r="BP52" s="57">
        <f>'2019_C4_Zeitreihe'!BH52</f>
        <v>300</v>
      </c>
      <c r="BQ52" s="57">
        <f>'2019_C4_Zeitreihe'!BI52</f>
        <v>206</v>
      </c>
      <c r="BR52" s="83">
        <f>'2019_C4_Zeitreihe'!BJ52</f>
        <v>3.9525691699604746</v>
      </c>
      <c r="BS52" s="83">
        <f>'2019_C4_Zeitreihe'!BK52</f>
        <v>32.411067193675891</v>
      </c>
      <c r="BT52" s="83">
        <f>'2019_C4_Zeitreihe'!BL52</f>
        <v>19.762845849802371</v>
      </c>
      <c r="BU52" s="78">
        <f>'2019_C4_Zeitreihe'!BM52</f>
        <v>43.873517786561258</v>
      </c>
      <c r="BV52" s="62"/>
    </row>
    <row r="53" spans="2:74" ht="8.25" customHeight="1">
      <c r="B53" s="107">
        <v>456</v>
      </c>
      <c r="C53" s="74" t="s">
        <v>123</v>
      </c>
      <c r="D53" s="74">
        <f>VLOOKUP(B53,'2020_Rohdaten_BA'!$A$10:$E$59,3,FALSE)</f>
        <v>5790</v>
      </c>
      <c r="E53" s="74">
        <f>VLOOKUP(B53,'2020_Rohdaten_BA'!$A$10:$E$59,4,FALSE)</f>
        <v>3984</v>
      </c>
      <c r="F53" s="74">
        <f>VLOOKUP(B53,'2020_Rohdaten_BA'!$A$10:$E$59,5,FALSE)</f>
        <v>1806</v>
      </c>
      <c r="G53" s="74">
        <f>VLOOKUP(B53,'2020_Rohdaten_BA'!$A$10:$M$59,12,FALSE)</f>
        <v>7.1157167530224523</v>
      </c>
      <c r="H53" s="74">
        <f>VLOOKUP(B53,'2020_Rohdaten_BA'!$A$10:$M$59,11,FALSE)</f>
        <v>36.183074265975819</v>
      </c>
      <c r="I53" s="74">
        <f>VLOOKUP(B53,'2020_Rohdaten_BA'!$A$10:$M$59,10,FALSE)</f>
        <v>22.107081174438687</v>
      </c>
      <c r="J53" s="74">
        <f>VLOOKUP(B53,'2020_Rohdaten_BA'!$A$10:$M$59,13,FALSE)</f>
        <v>34.594127806563037</v>
      </c>
      <c r="K53" s="193">
        <f>'2019_C4_Zeitreihe'!C53</f>
        <v>5658</v>
      </c>
      <c r="L53" s="193">
        <f>'2019_C4_Zeitreihe'!D53</f>
        <v>3875</v>
      </c>
      <c r="M53" s="193">
        <f>'2019_C4_Zeitreihe'!E53</f>
        <v>1783</v>
      </c>
      <c r="N53" s="115">
        <f>'2019_C4_Zeitreihe'!F53</f>
        <v>6.8928950159066806</v>
      </c>
      <c r="O53" s="115">
        <f>'2019_C4_Zeitreihe'!G53</f>
        <v>37.345351714386709</v>
      </c>
      <c r="P53" s="115">
        <f>'2019_C4_Zeitreihe'!H53</f>
        <v>21.50936726758572</v>
      </c>
      <c r="Q53" s="115">
        <f>'2019_C4_Zeitreihe'!I53</f>
        <v>34.252386002120893</v>
      </c>
      <c r="R53" s="112">
        <f>'2019_C4_Zeitreihe'!J53</f>
        <v>5166</v>
      </c>
      <c r="S53" s="112">
        <f>'2019_C4_Zeitreihe'!K53</f>
        <v>3511</v>
      </c>
      <c r="T53" s="112">
        <f>'2019_C4_Zeitreihe'!L53</f>
        <v>1655</v>
      </c>
      <c r="U53" s="75">
        <f>'2019_C4_Zeitreihe'!M53</f>
        <v>6.5814943863724356</v>
      </c>
      <c r="V53" s="75">
        <f>'2019_C4_Zeitreihe'!N53</f>
        <v>38.559814169570267</v>
      </c>
      <c r="W53" s="75">
        <f>'2019_C4_Zeitreihe'!O53</f>
        <v>20.596205962059621</v>
      </c>
      <c r="X53" s="75">
        <f>'2019_C4_Zeitreihe'!P53</f>
        <v>34.262485481997679</v>
      </c>
      <c r="Y53" s="112">
        <f>'2019_C4_Zeitreihe'!Q53</f>
        <v>4741</v>
      </c>
      <c r="Z53" s="112">
        <f>'2019_C4_Zeitreihe'!R53</f>
        <v>3221</v>
      </c>
      <c r="AA53" s="112">
        <f>'2019_C4_Zeitreihe'!S53</f>
        <v>1520</v>
      </c>
      <c r="AB53" s="75">
        <f>'2019_C4_Zeitreihe'!T53</f>
        <v>6.3066863530900656</v>
      </c>
      <c r="AC53" s="75">
        <f>'2019_C4_Zeitreihe'!U53</f>
        <v>40.582155663362158</v>
      </c>
      <c r="AD53" s="75">
        <f>'2019_C4_Zeitreihe'!V53</f>
        <v>18.540392322294874</v>
      </c>
      <c r="AE53" s="75">
        <f>'2019_C4_Zeitreihe'!W53</f>
        <v>34.570765661252899</v>
      </c>
      <c r="AF53" s="112">
        <f>'2019_C4_Zeitreihe'!X53</f>
        <v>4464</v>
      </c>
      <c r="AG53" s="112">
        <f>'2019_C4_Zeitreihe'!Y53</f>
        <v>2998</v>
      </c>
      <c r="AH53" s="112">
        <f>'2019_C4_Zeitreihe'!Z53</f>
        <v>1466</v>
      </c>
      <c r="AI53" s="75">
        <f>'2019_C4_Zeitreihe'!AA53</f>
        <v>6.25</v>
      </c>
      <c r="AJ53" s="75">
        <f>'2019_C4_Zeitreihe'!AB53</f>
        <v>39.202508960573482</v>
      </c>
      <c r="AK53" s="75">
        <f>'2019_C4_Zeitreihe'!AC53</f>
        <v>17.405913978494624</v>
      </c>
      <c r="AL53" s="75">
        <f>'2019_C4_Zeitreihe'!AD53</f>
        <v>37.141577060931901</v>
      </c>
      <c r="AM53" s="57">
        <f>'2019_C4_Zeitreihe'!AE53</f>
        <v>3906</v>
      </c>
      <c r="AN53" s="57">
        <f>'2019_C4_Zeitreihe'!AF53</f>
        <v>2577</v>
      </c>
      <c r="AO53" s="57">
        <f>'2019_C4_Zeitreihe'!AG53</f>
        <v>1329</v>
      </c>
      <c r="AP53" s="29">
        <f>'2019_C4_Zeitreihe'!AH53</f>
        <v>6.477214541730671</v>
      </c>
      <c r="AQ53" s="29">
        <f>'2019_C4_Zeitreihe'!AI53</f>
        <v>39.73374295954941</v>
      </c>
      <c r="AR53" s="29">
        <f>'2019_C4_Zeitreihe'!AJ53</f>
        <v>16.820276497695851</v>
      </c>
      <c r="AS53" s="29">
        <f>'2019_C4_Zeitreihe'!AK53</f>
        <v>36.968766001024065</v>
      </c>
      <c r="AT53" s="57">
        <f>'2019_C4_Zeitreihe'!AL53</f>
        <v>3298</v>
      </c>
      <c r="AU53" s="57">
        <f>'2019_C4_Zeitreihe'!AM53</f>
        <v>2222</v>
      </c>
      <c r="AV53" s="57">
        <f>'2019_C4_Zeitreihe'!AN53</f>
        <v>1076</v>
      </c>
      <c r="AW53" s="29">
        <f>'2019_C4_Zeitreihe'!AO53</f>
        <v>6.3978168587022433</v>
      </c>
      <c r="AX53" s="29">
        <f>'2019_C4_Zeitreihe'!AP53</f>
        <v>42.631898120072769</v>
      </c>
      <c r="AY53" s="29">
        <f>'2019_C4_Zeitreihe'!AQ53</f>
        <v>16.00970285021225</v>
      </c>
      <c r="AZ53" s="29">
        <f>'2019_C4_Zeitreihe'!AR53</f>
        <v>34.960582171012739</v>
      </c>
      <c r="BA53" s="57">
        <f>'2019_C4_Zeitreihe'!AS53</f>
        <v>3138</v>
      </c>
      <c r="BB53" s="57">
        <f>'2019_C4_Zeitreihe'!AT53</f>
        <v>2122</v>
      </c>
      <c r="BC53" s="57">
        <f>'2019_C4_Zeitreihe'!AU53</f>
        <v>1016</v>
      </c>
      <c r="BD53" s="29">
        <f>'2019_C4_Zeitreihe'!AV53</f>
        <v>5.353728489483748</v>
      </c>
      <c r="BE53" s="29">
        <f>'2019_C4_Zeitreihe'!AW53</f>
        <v>37.667304015296367</v>
      </c>
      <c r="BF53" s="29">
        <f>'2019_C4_Zeitreihe'!AX53</f>
        <v>15.423836838750796</v>
      </c>
      <c r="BG53" s="29">
        <f>'2019_C4_Zeitreihe'!AY53</f>
        <v>41.555130656469082</v>
      </c>
      <c r="BH53" s="57">
        <f>'2019_C4_Zeitreihe'!AZ53</f>
        <v>1987</v>
      </c>
      <c r="BI53" s="57">
        <f>'2019_C4_Zeitreihe'!BA53</f>
        <v>1363</v>
      </c>
      <c r="BJ53" s="57">
        <f>'2019_C4_Zeitreihe'!BB53</f>
        <v>624</v>
      </c>
      <c r="BK53" s="83">
        <f>'2019_C4_Zeitreihe'!BC53</f>
        <v>4.5294413688978361</v>
      </c>
      <c r="BL53" s="83">
        <f>'2019_C4_Zeitreihe'!BD53</f>
        <v>36.48716658278812</v>
      </c>
      <c r="BM53" s="83">
        <f>'2019_C4_Zeitreihe'!BE53</f>
        <v>20.684448917966783</v>
      </c>
      <c r="BN53" s="83">
        <f>'2019_C4_Zeitreihe'!BF53</f>
        <v>38.298943130347254</v>
      </c>
      <c r="BO53" s="57">
        <f>'2019_C4_Zeitreihe'!BG53</f>
        <v>1685</v>
      </c>
      <c r="BP53" s="57">
        <f>'2019_C4_Zeitreihe'!BH53</f>
        <v>1137</v>
      </c>
      <c r="BQ53" s="57">
        <f>'2019_C4_Zeitreihe'!BI53</f>
        <v>548</v>
      </c>
      <c r="BR53" s="83">
        <f>'2019_C4_Zeitreihe'!BJ53</f>
        <v>4.9258160237388724</v>
      </c>
      <c r="BS53" s="83">
        <f>'2019_C4_Zeitreihe'!BK53</f>
        <v>39.169139465875368</v>
      </c>
      <c r="BT53" s="83">
        <f>'2019_C4_Zeitreihe'!BL53</f>
        <v>19.465875370919878</v>
      </c>
      <c r="BU53" s="78">
        <f>'2019_C4_Zeitreihe'!BM53</f>
        <v>36.439169139465882</v>
      </c>
      <c r="BV53" s="62"/>
    </row>
    <row r="54" spans="2:74" ht="8.25" customHeight="1">
      <c r="B54" s="107">
        <v>457</v>
      </c>
      <c r="C54" s="74" t="s">
        <v>124</v>
      </c>
      <c r="D54" s="74">
        <f>VLOOKUP(B54,'2020_Rohdaten_BA'!$A$10:$E$59,3,FALSE)</f>
        <v>3766</v>
      </c>
      <c r="E54" s="74">
        <f>VLOOKUP(B54,'2020_Rohdaten_BA'!$A$10:$E$59,4,FALSE)</f>
        <v>2684</v>
      </c>
      <c r="F54" s="74">
        <f>VLOOKUP(B54,'2020_Rohdaten_BA'!$A$10:$E$59,5,FALSE)</f>
        <v>1082</v>
      </c>
      <c r="G54" s="74">
        <f>VLOOKUP(B54,'2020_Rohdaten_BA'!$A$10:$M$59,12,FALSE)</f>
        <v>8.2049920339883169</v>
      </c>
      <c r="H54" s="74">
        <f>VLOOKUP(B54,'2020_Rohdaten_BA'!$A$10:$M$59,11,FALSE)</f>
        <v>29.925650557620816</v>
      </c>
      <c r="I54" s="74">
        <f>VLOOKUP(B54,'2020_Rohdaten_BA'!$A$10:$M$59,10,FALSE)</f>
        <v>18.401486988847584</v>
      </c>
      <c r="J54" s="74">
        <f>VLOOKUP(B54,'2020_Rohdaten_BA'!$A$10:$M$59,13,FALSE)</f>
        <v>43.467870419543281</v>
      </c>
      <c r="K54" s="193">
        <f>'2019_C4_Zeitreihe'!C54</f>
        <v>3734</v>
      </c>
      <c r="L54" s="193">
        <f>'2019_C4_Zeitreihe'!D54</f>
        <v>2680</v>
      </c>
      <c r="M54" s="193">
        <f>'2019_C4_Zeitreihe'!E54</f>
        <v>1054</v>
      </c>
      <c r="N54" s="115">
        <f>'2019_C4_Zeitreihe'!F54</f>
        <v>8.1146223888591322</v>
      </c>
      <c r="O54" s="115">
        <f>'2019_C4_Zeitreihe'!G54</f>
        <v>29.539367970005355</v>
      </c>
      <c r="P54" s="115">
        <f>'2019_C4_Zeitreihe'!H54</f>
        <v>16.952329941081949</v>
      </c>
      <c r="Q54" s="115">
        <f>'2019_C4_Zeitreihe'!I54</f>
        <v>45.393679700053561</v>
      </c>
      <c r="R54" s="112">
        <f>'2019_C4_Zeitreihe'!J54</f>
        <v>3327</v>
      </c>
      <c r="S54" s="112">
        <f>'2019_C4_Zeitreihe'!K54</f>
        <v>2340</v>
      </c>
      <c r="T54" s="112">
        <f>'2019_C4_Zeitreihe'!L54</f>
        <v>987</v>
      </c>
      <c r="U54" s="75">
        <f>'2019_C4_Zeitreihe'!M54</f>
        <v>8.6263901412684092</v>
      </c>
      <c r="V54" s="75">
        <f>'2019_C4_Zeitreihe'!N54</f>
        <v>29.636308987075445</v>
      </c>
      <c r="W54" s="75">
        <f>'2019_C4_Zeitreihe'!O54</f>
        <v>15.419296663660957</v>
      </c>
      <c r="X54" s="75">
        <f>'2019_C4_Zeitreihe'!P54</f>
        <v>46.318004207995187</v>
      </c>
      <c r="Y54" s="112">
        <f>'2019_C4_Zeitreihe'!Q54</f>
        <v>2855</v>
      </c>
      <c r="Z54" s="112">
        <f>'2019_C4_Zeitreihe'!R54</f>
        <v>1943</v>
      </c>
      <c r="AA54" s="112">
        <f>'2019_C4_Zeitreihe'!S54</f>
        <v>912</v>
      </c>
      <c r="AB54" s="75">
        <f>'2019_C4_Zeitreihe'!T54</f>
        <v>9.3520140105078813</v>
      </c>
      <c r="AC54" s="75">
        <f>'2019_C4_Zeitreihe'!U54</f>
        <v>33.730297723292466</v>
      </c>
      <c r="AD54" s="75">
        <f>'2019_C4_Zeitreihe'!V54</f>
        <v>15.691768826619965</v>
      </c>
      <c r="AE54" s="75">
        <f>'2019_C4_Zeitreihe'!W54</f>
        <v>41.225919439579684</v>
      </c>
      <c r="AF54" s="112">
        <f>'2019_C4_Zeitreihe'!X54</f>
        <v>2482</v>
      </c>
      <c r="AG54" s="112">
        <f>'2019_C4_Zeitreihe'!Y54</f>
        <v>1663</v>
      </c>
      <c r="AH54" s="112">
        <f>'2019_C4_Zeitreihe'!Z54</f>
        <v>819</v>
      </c>
      <c r="AI54" s="75">
        <f>'2019_C4_Zeitreihe'!AA54</f>
        <v>9.7099113618049966</v>
      </c>
      <c r="AJ54" s="75">
        <f>'2019_C4_Zeitreihe'!AB54</f>
        <v>32.87671232876712</v>
      </c>
      <c r="AK54" s="75">
        <f>'2019_C4_Zeitreihe'!AC54</f>
        <v>15.350523771152297</v>
      </c>
      <c r="AL54" s="75">
        <f>'2019_C4_Zeitreihe'!AD54</f>
        <v>42.062852538275585</v>
      </c>
      <c r="AM54" s="57">
        <f>'2019_C4_Zeitreihe'!AE54</f>
        <v>2168</v>
      </c>
      <c r="AN54" s="57">
        <f>'2019_C4_Zeitreihe'!AF54</f>
        <v>1460</v>
      </c>
      <c r="AO54" s="57">
        <f>'2019_C4_Zeitreihe'!AG54</f>
        <v>708</v>
      </c>
      <c r="AP54" s="29">
        <f>'2019_C4_Zeitreihe'!AH54</f>
        <v>10.285977859778598</v>
      </c>
      <c r="AQ54" s="29">
        <f>'2019_C4_Zeitreihe'!AI54</f>
        <v>33.025830258302584</v>
      </c>
      <c r="AR54" s="29">
        <f>'2019_C4_Zeitreihe'!AJ54</f>
        <v>13.422509225092252</v>
      </c>
      <c r="AS54" s="29">
        <f>'2019_C4_Zeitreihe'!AK54</f>
        <v>43.265682656826563</v>
      </c>
      <c r="AT54" s="57">
        <f>'2019_C4_Zeitreihe'!AL54</f>
        <v>1862</v>
      </c>
      <c r="AU54" s="57">
        <f>'2019_C4_Zeitreihe'!AM54</f>
        <v>1250</v>
      </c>
      <c r="AV54" s="57">
        <f>'2019_C4_Zeitreihe'!AN54</f>
        <v>612</v>
      </c>
      <c r="AW54" s="29">
        <f>'2019_C4_Zeitreihe'!AO54</f>
        <v>10.472610096670246</v>
      </c>
      <c r="AX54" s="29">
        <f>'2019_C4_Zeitreihe'!AP54</f>
        <v>33.243823845327604</v>
      </c>
      <c r="AY54" s="29">
        <f>'2019_C4_Zeitreihe'!AQ54</f>
        <v>13.48012889366273</v>
      </c>
      <c r="AZ54" s="29">
        <f>'2019_C4_Zeitreihe'!AR54</f>
        <v>42.803437164339414</v>
      </c>
      <c r="BA54" s="57">
        <f>'2019_C4_Zeitreihe'!AS54</f>
        <v>1804</v>
      </c>
      <c r="BB54" s="57">
        <f>'2019_C4_Zeitreihe'!AT54</f>
        <v>1189</v>
      </c>
      <c r="BC54" s="57">
        <f>'2019_C4_Zeitreihe'!AU54</f>
        <v>615</v>
      </c>
      <c r="BD54" s="29">
        <f>'2019_C4_Zeitreihe'!AV54</f>
        <v>7.815964523281596</v>
      </c>
      <c r="BE54" s="29">
        <f>'2019_C4_Zeitreihe'!AW54</f>
        <v>24.778270509977826</v>
      </c>
      <c r="BF54" s="29">
        <f>'2019_C4_Zeitreihe'!AX54</f>
        <v>12.472283813747229</v>
      </c>
      <c r="BG54" s="29">
        <f>'2019_C4_Zeitreihe'!AY54</f>
        <v>54.933481152993352</v>
      </c>
      <c r="BH54" s="57">
        <f>'2019_C4_Zeitreihe'!AZ54</f>
        <v>1537</v>
      </c>
      <c r="BI54" s="57">
        <f>'2019_C4_Zeitreihe'!BA54</f>
        <v>1099</v>
      </c>
      <c r="BJ54" s="57">
        <f>'2019_C4_Zeitreihe'!BB54</f>
        <v>438</v>
      </c>
      <c r="BK54" s="83">
        <f>'2019_C4_Zeitreihe'!BC54</f>
        <v>4.9446974625894597</v>
      </c>
      <c r="BL54" s="83">
        <f>'2019_C4_Zeitreihe'!BD54</f>
        <v>22.381262199089136</v>
      </c>
      <c r="BM54" s="83">
        <f>'2019_C4_Zeitreihe'!BE54</f>
        <v>13.467794404684449</v>
      </c>
      <c r="BN54" s="83">
        <f>'2019_C4_Zeitreihe'!BF54</f>
        <v>59.20624593363695</v>
      </c>
      <c r="BO54" s="57">
        <f>'2019_C4_Zeitreihe'!BG54</f>
        <v>1352</v>
      </c>
      <c r="BP54" s="57">
        <f>'2019_C4_Zeitreihe'!BH54</f>
        <v>970</v>
      </c>
      <c r="BQ54" s="57">
        <f>'2019_C4_Zeitreihe'!BI54</f>
        <v>382</v>
      </c>
      <c r="BR54" s="83">
        <f>'2019_C4_Zeitreihe'!BJ54</f>
        <v>4.7337278106508878</v>
      </c>
      <c r="BS54" s="83">
        <f>'2019_C4_Zeitreihe'!BK54</f>
        <v>24.630177514792901</v>
      </c>
      <c r="BT54" s="83">
        <f>'2019_C4_Zeitreihe'!BL54</f>
        <v>12.278106508875739</v>
      </c>
      <c r="BU54" s="78">
        <f>'2019_C4_Zeitreihe'!BM54</f>
        <v>58.357988165680467</v>
      </c>
      <c r="BV54" s="62"/>
    </row>
    <row r="55" spans="2:74" ht="8.25" customHeight="1">
      <c r="B55" s="107">
        <v>458</v>
      </c>
      <c r="C55" s="74" t="s">
        <v>125</v>
      </c>
      <c r="D55" s="74">
        <f>VLOOKUP(B55,'2020_Rohdaten_BA'!$A$10:$E$59,3,FALSE)</f>
        <v>3842</v>
      </c>
      <c r="E55" s="74">
        <f>VLOOKUP(B55,'2020_Rohdaten_BA'!$A$10:$E$59,4,FALSE)</f>
        <v>2708</v>
      </c>
      <c r="F55" s="74">
        <f>VLOOKUP(B55,'2020_Rohdaten_BA'!$A$10:$E$59,5,FALSE)</f>
        <v>1134</v>
      </c>
      <c r="G55" s="74">
        <f>VLOOKUP(B55,'2020_Rohdaten_BA'!$A$10:$M$59,12,FALSE)</f>
        <v>5.1535658511192084</v>
      </c>
      <c r="H55" s="74">
        <f>VLOOKUP(B55,'2020_Rohdaten_BA'!$A$10:$M$59,11,FALSE)</f>
        <v>26.236335242061426</v>
      </c>
      <c r="I55" s="74">
        <f>VLOOKUP(B55,'2020_Rohdaten_BA'!$A$10:$M$59,10,FALSE)</f>
        <v>27.355543987506508</v>
      </c>
      <c r="J55" s="74">
        <f>VLOOKUP(B55,'2020_Rohdaten_BA'!$A$10:$M$59,13,FALSE)</f>
        <v>41.254554919312859</v>
      </c>
      <c r="K55" s="193">
        <f>'2019_C4_Zeitreihe'!C55</f>
        <v>3710</v>
      </c>
      <c r="L55" s="193">
        <f>'2019_C4_Zeitreihe'!D55</f>
        <v>2646</v>
      </c>
      <c r="M55" s="193">
        <f>'2019_C4_Zeitreihe'!E55</f>
        <v>1064</v>
      </c>
      <c r="N55" s="115">
        <f>'2019_C4_Zeitreihe'!F55</f>
        <v>4.4204851752021561</v>
      </c>
      <c r="O55" s="115">
        <f>'2019_C4_Zeitreihe'!G55</f>
        <v>25.525606469002696</v>
      </c>
      <c r="P55" s="115">
        <f>'2019_C4_Zeitreihe'!H55</f>
        <v>27.035040431266847</v>
      </c>
      <c r="Q55" s="115">
        <f>'2019_C4_Zeitreihe'!I55</f>
        <v>43.018867924528301</v>
      </c>
      <c r="R55" s="112">
        <f>'2019_C4_Zeitreihe'!J55</f>
        <v>3207</v>
      </c>
      <c r="S55" s="112">
        <f>'2019_C4_Zeitreihe'!K55</f>
        <v>2308</v>
      </c>
      <c r="T55" s="112">
        <f>'2019_C4_Zeitreihe'!L55</f>
        <v>899</v>
      </c>
      <c r="U55" s="75">
        <f>'2019_C4_Zeitreihe'!M55</f>
        <v>4.20954162768943</v>
      </c>
      <c r="V55" s="75">
        <f>'2019_C4_Zeitreihe'!N55</f>
        <v>25.101340816962892</v>
      </c>
      <c r="W55" s="75">
        <f>'2019_C4_Zeitreihe'!O55</f>
        <v>25.194886186467102</v>
      </c>
      <c r="X55" s="75">
        <f>'2019_C4_Zeitreihe'!P55</f>
        <v>45.49423136888057</v>
      </c>
      <c r="Y55" s="112">
        <f>'2019_C4_Zeitreihe'!Q55</f>
        <v>2773</v>
      </c>
      <c r="Z55" s="112">
        <f>'2019_C4_Zeitreihe'!R55</f>
        <v>1968</v>
      </c>
      <c r="AA55" s="112">
        <f>'2019_C4_Zeitreihe'!S55</f>
        <v>805</v>
      </c>
      <c r="AB55" s="75">
        <f>'2019_C4_Zeitreihe'!T55</f>
        <v>4.5077533357374682</v>
      </c>
      <c r="AC55" s="75">
        <f>'2019_C4_Zeitreihe'!U55</f>
        <v>26.433465560764514</v>
      </c>
      <c r="AD55" s="75">
        <f>'2019_C4_Zeitreihe'!V55</f>
        <v>23.548503425892537</v>
      </c>
      <c r="AE55" s="75">
        <f>'2019_C4_Zeitreihe'!W55</f>
        <v>45.51027767760548</v>
      </c>
      <c r="AF55" s="112">
        <f>'2019_C4_Zeitreihe'!X55</f>
        <v>2350</v>
      </c>
      <c r="AG55" s="112">
        <f>'2019_C4_Zeitreihe'!Y55</f>
        <v>1656</v>
      </c>
      <c r="AH55" s="112">
        <f>'2019_C4_Zeitreihe'!Z55</f>
        <v>694</v>
      </c>
      <c r="AI55" s="75">
        <f>'2019_C4_Zeitreihe'!AA55</f>
        <v>4.3829787234042552</v>
      </c>
      <c r="AJ55" s="75">
        <f>'2019_C4_Zeitreihe'!AB55</f>
        <v>25.191489361702128</v>
      </c>
      <c r="AK55" s="75">
        <f>'2019_C4_Zeitreihe'!AC55</f>
        <v>21.74468085106383</v>
      </c>
      <c r="AL55" s="75">
        <f>'2019_C4_Zeitreihe'!AD55</f>
        <v>48.680851063829792</v>
      </c>
      <c r="AM55" s="57">
        <f>'2019_C4_Zeitreihe'!AE55</f>
        <v>2064</v>
      </c>
      <c r="AN55" s="57">
        <f>'2019_C4_Zeitreihe'!AF55</f>
        <v>1474</v>
      </c>
      <c r="AO55" s="57">
        <f>'2019_C4_Zeitreihe'!AG55</f>
        <v>590</v>
      </c>
      <c r="AP55" s="29">
        <f>'2019_C4_Zeitreihe'!AH55</f>
        <v>4.4089147286821708</v>
      </c>
      <c r="AQ55" s="29">
        <f>'2019_C4_Zeitreihe'!AI55</f>
        <v>23.885658914728683</v>
      </c>
      <c r="AR55" s="29">
        <f>'2019_C4_Zeitreihe'!AJ55</f>
        <v>20.736434108527131</v>
      </c>
      <c r="AS55" s="29">
        <f>'2019_C4_Zeitreihe'!AK55</f>
        <v>50.968992248062015</v>
      </c>
      <c r="AT55" s="57">
        <f>'2019_C4_Zeitreihe'!AL55</f>
        <v>1947</v>
      </c>
      <c r="AU55" s="57">
        <f>'2019_C4_Zeitreihe'!AM55</f>
        <v>1328</v>
      </c>
      <c r="AV55" s="57">
        <f>'2019_C4_Zeitreihe'!AN55</f>
        <v>619</v>
      </c>
      <c r="AW55" s="29">
        <f>'2019_C4_Zeitreihe'!AO55</f>
        <v>4.2116076014381099</v>
      </c>
      <c r="AX55" s="29">
        <f>'2019_C4_Zeitreihe'!AP55</f>
        <v>23.112480739599384</v>
      </c>
      <c r="AY55" s="29">
        <f>'2019_C4_Zeitreihe'!AQ55</f>
        <v>31.124807395993837</v>
      </c>
      <c r="AZ55" s="29">
        <f>'2019_C4_Zeitreihe'!AR55</f>
        <v>41.551104262968664</v>
      </c>
      <c r="BA55" s="57">
        <f>'2019_C4_Zeitreihe'!AS55</f>
        <v>1646</v>
      </c>
      <c r="BB55" s="57">
        <f>'2019_C4_Zeitreihe'!AT55</f>
        <v>1111</v>
      </c>
      <c r="BC55" s="57">
        <f>'2019_C4_Zeitreihe'!AU55</f>
        <v>535</v>
      </c>
      <c r="BD55" s="29">
        <f>'2019_C4_Zeitreihe'!AV55</f>
        <v>3.7059538274605104</v>
      </c>
      <c r="BE55" s="29">
        <f>'2019_C4_Zeitreihe'!AW55</f>
        <v>20.473876063183475</v>
      </c>
      <c r="BF55" s="29">
        <f>'2019_C4_Zeitreihe'!AX55</f>
        <v>27.52126366950182</v>
      </c>
      <c r="BG55" s="29">
        <f>'2019_C4_Zeitreihe'!AY55</f>
        <v>48.298906439854193</v>
      </c>
      <c r="BH55" s="57">
        <f>'2019_C4_Zeitreihe'!AZ55</f>
        <v>1372</v>
      </c>
      <c r="BI55" s="57">
        <f>'2019_C4_Zeitreihe'!BA55</f>
        <v>917</v>
      </c>
      <c r="BJ55" s="57">
        <f>'2019_C4_Zeitreihe'!BB55</f>
        <v>455</v>
      </c>
      <c r="BK55" s="83">
        <f>'2019_C4_Zeitreihe'!BC55</f>
        <v>2.0408163265306123</v>
      </c>
      <c r="BL55" s="83">
        <f>'2019_C4_Zeitreihe'!BD55</f>
        <v>18.367346938775512</v>
      </c>
      <c r="BM55" s="83">
        <f>'2019_C4_Zeitreihe'!BE55</f>
        <v>16.326530612244898</v>
      </c>
      <c r="BN55" s="83">
        <f>'2019_C4_Zeitreihe'!BF55</f>
        <v>63.265306122448983</v>
      </c>
      <c r="BO55" s="57">
        <f>'2019_C4_Zeitreihe'!BG55</f>
        <v>1320</v>
      </c>
      <c r="BP55" s="57">
        <f>'2019_C4_Zeitreihe'!BH55</f>
        <v>916</v>
      </c>
      <c r="BQ55" s="57">
        <f>'2019_C4_Zeitreihe'!BI55</f>
        <v>404</v>
      </c>
      <c r="BR55" s="83">
        <f>'2019_C4_Zeitreihe'!BJ55</f>
        <v>2.1212121212121215</v>
      </c>
      <c r="BS55" s="83">
        <f>'2019_C4_Zeitreihe'!BK55</f>
        <v>16.666666666666664</v>
      </c>
      <c r="BT55" s="83">
        <f>'2019_C4_Zeitreihe'!BL55</f>
        <v>15.681818181818183</v>
      </c>
      <c r="BU55" s="78">
        <f>'2019_C4_Zeitreihe'!BM55</f>
        <v>65.530303030303031</v>
      </c>
      <c r="BV55" s="62"/>
    </row>
    <row r="56" spans="2:74" ht="8.25" customHeight="1">
      <c r="B56" s="107">
        <v>459</v>
      </c>
      <c r="C56" s="74" t="s">
        <v>126</v>
      </c>
      <c r="D56" s="74">
        <f>VLOOKUP(B56,'2020_Rohdaten_BA'!$A$10:$E$59,3,FALSE)</f>
        <v>17707</v>
      </c>
      <c r="E56" s="74">
        <f>VLOOKUP(B56,'2020_Rohdaten_BA'!$A$10:$E$59,4,FALSE)</f>
        <v>11697</v>
      </c>
      <c r="F56" s="74">
        <f>VLOOKUP(B56,'2020_Rohdaten_BA'!$A$10:$E$59,5,FALSE)</f>
        <v>6010</v>
      </c>
      <c r="G56" s="74">
        <f>VLOOKUP(B56,'2020_Rohdaten_BA'!$A$10:$M$59,12,FALSE)</f>
        <v>4.5575196250070595</v>
      </c>
      <c r="H56" s="74">
        <f>VLOOKUP(B56,'2020_Rohdaten_BA'!$A$10:$M$59,11,FALSE)</f>
        <v>22.889252837860735</v>
      </c>
      <c r="I56" s="74">
        <f>VLOOKUP(B56,'2020_Rohdaten_BA'!$A$10:$M$59,10,FALSE)</f>
        <v>25.374145818038063</v>
      </c>
      <c r="J56" s="74">
        <f>VLOOKUP(B56,'2020_Rohdaten_BA'!$A$10:$M$59,13,FALSE)</f>
        <v>47.179081719094142</v>
      </c>
      <c r="K56" s="193">
        <f>'2019_C4_Zeitreihe'!C56</f>
        <v>17588</v>
      </c>
      <c r="L56" s="193">
        <f>'2019_C4_Zeitreihe'!D56</f>
        <v>11759</v>
      </c>
      <c r="M56" s="193">
        <f>'2019_C4_Zeitreihe'!E56</f>
        <v>5829</v>
      </c>
      <c r="N56" s="115">
        <f>'2019_C4_Zeitreihe'!F56</f>
        <v>4.196042756424835</v>
      </c>
      <c r="O56" s="115">
        <f>'2019_C4_Zeitreihe'!G56</f>
        <v>22.174209688423925</v>
      </c>
      <c r="P56" s="115">
        <f>'2019_C4_Zeitreihe'!H56</f>
        <v>24.55651580623152</v>
      </c>
      <c r="Q56" s="115">
        <f>'2019_C4_Zeitreihe'!I56</f>
        <v>49.073231748919717</v>
      </c>
      <c r="R56" s="112">
        <f>'2019_C4_Zeitreihe'!J56</f>
        <v>16160</v>
      </c>
      <c r="S56" s="112">
        <f>'2019_C4_Zeitreihe'!K56</f>
        <v>10937</v>
      </c>
      <c r="T56" s="112">
        <f>'2019_C4_Zeitreihe'!L56</f>
        <v>5223</v>
      </c>
      <c r="U56" s="75">
        <f>'2019_C4_Zeitreihe'!M56</f>
        <v>3.9975247524752477</v>
      </c>
      <c r="V56" s="75">
        <f>'2019_C4_Zeitreihe'!N56</f>
        <v>21.998762376237625</v>
      </c>
      <c r="W56" s="75">
        <f>'2019_C4_Zeitreihe'!O56</f>
        <v>24.077970297029701</v>
      </c>
      <c r="X56" s="75">
        <f>'2019_C4_Zeitreihe'!P56</f>
        <v>49.925742574257427</v>
      </c>
      <c r="Y56" s="112">
        <f>'2019_C4_Zeitreihe'!Q56</f>
        <v>13926</v>
      </c>
      <c r="Z56" s="112">
        <f>'2019_C4_Zeitreihe'!R56</f>
        <v>9370</v>
      </c>
      <c r="AA56" s="112">
        <f>'2019_C4_Zeitreihe'!S56</f>
        <v>4556</v>
      </c>
      <c r="AB56" s="75">
        <f>'2019_C4_Zeitreihe'!T56</f>
        <v>4.3156685336780125</v>
      </c>
      <c r="AC56" s="75">
        <f>'2019_C4_Zeitreihe'!U56</f>
        <v>23.617693522906794</v>
      </c>
      <c r="AD56" s="75">
        <f>'2019_C4_Zeitreihe'!V56</f>
        <v>24.673273014505241</v>
      </c>
      <c r="AE56" s="75">
        <f>'2019_C4_Zeitreihe'!W56</f>
        <v>47.393364928909953</v>
      </c>
      <c r="AF56" s="112">
        <f>'2019_C4_Zeitreihe'!X56</f>
        <v>11933</v>
      </c>
      <c r="AG56" s="112">
        <f>'2019_C4_Zeitreihe'!Y56</f>
        <v>8100</v>
      </c>
      <c r="AH56" s="112">
        <f>'2019_C4_Zeitreihe'!Z56</f>
        <v>3833</v>
      </c>
      <c r="AI56" s="75">
        <f>'2019_C4_Zeitreihe'!AA56</f>
        <v>4.3409033771893073</v>
      </c>
      <c r="AJ56" s="75">
        <f>'2019_C4_Zeitreihe'!AB56</f>
        <v>24.009050532137767</v>
      </c>
      <c r="AK56" s="75">
        <f>'2019_C4_Zeitreihe'!AC56</f>
        <v>25.668314757395461</v>
      </c>
      <c r="AL56" s="75">
        <f>'2019_C4_Zeitreihe'!AD56</f>
        <v>45.981731333277466</v>
      </c>
      <c r="AM56" s="57">
        <f>'2019_C4_Zeitreihe'!AE56</f>
        <v>10321</v>
      </c>
      <c r="AN56" s="57">
        <f>'2019_C4_Zeitreihe'!AF56</f>
        <v>7130</v>
      </c>
      <c r="AO56" s="57">
        <f>'2019_C4_Zeitreihe'!AG56</f>
        <v>3191</v>
      </c>
      <c r="AP56" s="29">
        <f>'2019_C4_Zeitreihe'!AH56</f>
        <v>4.2631527952717763</v>
      </c>
      <c r="AQ56" s="29">
        <f>'2019_C4_Zeitreihe'!AI56</f>
        <v>25.511093886251334</v>
      </c>
      <c r="AR56" s="29">
        <f>'2019_C4_Zeitreihe'!AJ56</f>
        <v>24.774731130704389</v>
      </c>
      <c r="AS56" s="29">
        <f>'2019_C4_Zeitreihe'!AK56</f>
        <v>45.451022187772494</v>
      </c>
      <c r="AT56" s="57">
        <f>'2019_C4_Zeitreihe'!AL56</f>
        <v>8767</v>
      </c>
      <c r="AU56" s="57">
        <f>'2019_C4_Zeitreihe'!AM56</f>
        <v>5978</v>
      </c>
      <c r="AV56" s="57">
        <f>'2019_C4_Zeitreihe'!AN56</f>
        <v>2789</v>
      </c>
      <c r="AW56" s="29">
        <f>'2019_C4_Zeitreihe'!AO56</f>
        <v>4.323029542602943</v>
      </c>
      <c r="AX56" s="29">
        <f>'2019_C4_Zeitreihe'!AP56</f>
        <v>24.786129804950381</v>
      </c>
      <c r="AY56" s="29">
        <f>'2019_C4_Zeitreihe'!AQ56</f>
        <v>26.896315729439944</v>
      </c>
      <c r="AZ56" s="29">
        <f>'2019_C4_Zeitreihe'!AR56</f>
        <v>43.994524923006729</v>
      </c>
      <c r="BA56" s="57">
        <f>'2019_C4_Zeitreihe'!AS56</f>
        <v>7527</v>
      </c>
      <c r="BB56" s="57">
        <f>'2019_C4_Zeitreihe'!AT56</f>
        <v>5133</v>
      </c>
      <c r="BC56" s="57">
        <f>'2019_C4_Zeitreihe'!AU56</f>
        <v>2394</v>
      </c>
      <c r="BD56" s="29">
        <f>'2019_C4_Zeitreihe'!AV56</f>
        <v>3.7066560382622558</v>
      </c>
      <c r="BE56" s="29">
        <f>'2019_C4_Zeitreihe'!AW56</f>
        <v>22.492360834329748</v>
      </c>
      <c r="BF56" s="29">
        <f>'2019_C4_Zeitreihe'!AX56</f>
        <v>25.680882157566092</v>
      </c>
      <c r="BG56" s="29">
        <f>'2019_C4_Zeitreihe'!AY56</f>
        <v>48.120100969841914</v>
      </c>
      <c r="BH56" s="57">
        <f>'2019_C4_Zeitreihe'!AZ56</f>
        <v>6322</v>
      </c>
      <c r="BI56" s="57">
        <f>'2019_C4_Zeitreihe'!BA56</f>
        <v>4360</v>
      </c>
      <c r="BJ56" s="57">
        <f>'2019_C4_Zeitreihe'!BB56</f>
        <v>1962</v>
      </c>
      <c r="BK56" s="83">
        <f>'2019_C4_Zeitreihe'!BC56</f>
        <v>3.0211958241062953</v>
      </c>
      <c r="BL56" s="83">
        <f>'2019_C4_Zeitreihe'!BD56</f>
        <v>18.664979436887062</v>
      </c>
      <c r="BM56" s="83">
        <f>'2019_C4_Zeitreihe'!BE56</f>
        <v>36.048718759886114</v>
      </c>
      <c r="BN56" s="83">
        <f>'2019_C4_Zeitreihe'!BF56</f>
        <v>42.265105979120527</v>
      </c>
      <c r="BO56" s="57">
        <f>'2019_C4_Zeitreihe'!BG56</f>
        <v>5311</v>
      </c>
      <c r="BP56" s="57">
        <f>'2019_C4_Zeitreihe'!BH56</f>
        <v>3710</v>
      </c>
      <c r="BQ56" s="57">
        <f>'2019_C4_Zeitreihe'!BI56</f>
        <v>1601</v>
      </c>
      <c r="BR56" s="83">
        <f>'2019_C4_Zeitreihe'!BJ56</f>
        <v>2.9749576350969686</v>
      </c>
      <c r="BS56" s="83">
        <f>'2019_C4_Zeitreihe'!BK56</f>
        <v>20.12803615138392</v>
      </c>
      <c r="BT56" s="83">
        <f>'2019_C4_Zeitreihe'!BL56</f>
        <v>43.268687629448316</v>
      </c>
      <c r="BU56" s="78">
        <f>'2019_C4_Zeitreihe'!BM56</f>
        <v>33.628318584070797</v>
      </c>
      <c r="BV56" s="62"/>
    </row>
    <row r="57" spans="2:74" ht="8.25" customHeight="1">
      <c r="B57" s="107">
        <v>460</v>
      </c>
      <c r="C57" s="74" t="s">
        <v>127</v>
      </c>
      <c r="D57" s="74">
        <f>VLOOKUP(B57,'2020_Rohdaten_BA'!$A$10:$E$59,3,FALSE)</f>
        <v>11205</v>
      </c>
      <c r="E57" s="74">
        <f>VLOOKUP(B57,'2020_Rohdaten_BA'!$A$10:$E$59,4,FALSE)</f>
        <v>7462</v>
      </c>
      <c r="F57" s="74">
        <f>VLOOKUP(B57,'2020_Rohdaten_BA'!$A$10:$E$59,5,FALSE)</f>
        <v>3743</v>
      </c>
      <c r="G57" s="74">
        <f>VLOOKUP(B57,'2020_Rohdaten_BA'!$A$10:$M$59,12,FALSE)</f>
        <v>4.2659526996876398</v>
      </c>
      <c r="H57" s="74">
        <f>VLOOKUP(B57,'2020_Rohdaten_BA'!$A$10:$M$59,11,FALSE)</f>
        <v>21.526104417670684</v>
      </c>
      <c r="I57" s="74">
        <f>VLOOKUP(B57,'2020_Rohdaten_BA'!$A$10:$M$59,10,FALSE)</f>
        <v>27.282463186077646</v>
      </c>
      <c r="J57" s="74">
        <f>VLOOKUP(B57,'2020_Rohdaten_BA'!$A$10:$M$59,13,FALSE)</f>
        <v>46.925479696564032</v>
      </c>
      <c r="K57" s="193">
        <f>'2019_C4_Zeitreihe'!C57</f>
        <v>10720</v>
      </c>
      <c r="L57" s="193">
        <f>'2019_C4_Zeitreihe'!D57</f>
        <v>7249</v>
      </c>
      <c r="M57" s="193">
        <f>'2019_C4_Zeitreihe'!E57</f>
        <v>3471</v>
      </c>
      <c r="N57" s="115">
        <f>'2019_C4_Zeitreihe'!F57</f>
        <v>4.4123134328358207</v>
      </c>
      <c r="O57" s="115">
        <f>'2019_C4_Zeitreihe'!G57</f>
        <v>21.128731343283583</v>
      </c>
      <c r="P57" s="115">
        <f>'2019_C4_Zeitreihe'!H57</f>
        <v>27.406716417910449</v>
      </c>
      <c r="Q57" s="115">
        <f>'2019_C4_Zeitreihe'!I57</f>
        <v>47.052238805970148</v>
      </c>
      <c r="R57" s="112">
        <f>'2019_C4_Zeitreihe'!J57</f>
        <v>9815</v>
      </c>
      <c r="S57" s="112">
        <f>'2019_C4_Zeitreihe'!K57</f>
        <v>6648</v>
      </c>
      <c r="T57" s="112">
        <f>'2019_C4_Zeitreihe'!L57</f>
        <v>3167</v>
      </c>
      <c r="U57" s="75">
        <f>'2019_C4_Zeitreihe'!M57</f>
        <v>4.1569026999490575</v>
      </c>
      <c r="V57" s="75">
        <f>'2019_C4_Zeitreihe'!N57</f>
        <v>22.027508914926134</v>
      </c>
      <c r="W57" s="75">
        <f>'2019_C4_Zeitreihe'!O57</f>
        <v>25.674987264391234</v>
      </c>
      <c r="X57" s="75">
        <f>'2019_C4_Zeitreihe'!P57</f>
        <v>48.140601120733571</v>
      </c>
      <c r="Y57" s="112">
        <f>'2019_C4_Zeitreihe'!Q57</f>
        <v>9005</v>
      </c>
      <c r="Z57" s="112">
        <f>'2019_C4_Zeitreihe'!R57</f>
        <v>6010</v>
      </c>
      <c r="AA57" s="112">
        <f>'2019_C4_Zeitreihe'!S57</f>
        <v>2995</v>
      </c>
      <c r="AB57" s="75">
        <f>'2019_C4_Zeitreihe'!T57</f>
        <v>3.9644641865630206</v>
      </c>
      <c r="AC57" s="75">
        <f>'2019_C4_Zeitreihe'!U57</f>
        <v>21.787895613548027</v>
      </c>
      <c r="AD57" s="75">
        <f>'2019_C4_Zeitreihe'!V57</f>
        <v>24.652970571904497</v>
      </c>
      <c r="AE57" s="75">
        <f>'2019_C4_Zeitreihe'!W57</f>
        <v>49.594669627984459</v>
      </c>
      <c r="AF57" s="112">
        <f>'2019_C4_Zeitreihe'!X57</f>
        <v>8345</v>
      </c>
      <c r="AG57" s="112">
        <f>'2019_C4_Zeitreihe'!Y57</f>
        <v>5481</v>
      </c>
      <c r="AH57" s="112">
        <f>'2019_C4_Zeitreihe'!Z57</f>
        <v>2864</v>
      </c>
      <c r="AI57" s="75">
        <f>'2019_C4_Zeitreihe'!AA57</f>
        <v>3.9185140802875975</v>
      </c>
      <c r="AJ57" s="75">
        <f>'2019_C4_Zeitreihe'!AB57</f>
        <v>20</v>
      </c>
      <c r="AK57" s="75">
        <f>'2019_C4_Zeitreihe'!AC57</f>
        <v>25.871779508687837</v>
      </c>
      <c r="AL57" s="75">
        <f>'2019_C4_Zeitreihe'!AD57</f>
        <v>50.20970641102457</v>
      </c>
      <c r="AM57" s="57">
        <f>'2019_C4_Zeitreihe'!AE57</f>
        <v>7530</v>
      </c>
      <c r="AN57" s="57">
        <f>'2019_C4_Zeitreihe'!AF57</f>
        <v>4866</v>
      </c>
      <c r="AO57" s="57">
        <f>'2019_C4_Zeitreihe'!AG57</f>
        <v>2664</v>
      </c>
      <c r="AP57" s="29">
        <f>'2019_C4_Zeitreihe'!AH57</f>
        <v>3.5723771580345289</v>
      </c>
      <c r="AQ57" s="29">
        <f>'2019_C4_Zeitreihe'!AI57</f>
        <v>19.070385126162019</v>
      </c>
      <c r="AR57" s="29">
        <f>'2019_C4_Zeitreihe'!AJ57</f>
        <v>25.830013280212484</v>
      </c>
      <c r="AS57" s="29">
        <f>'2019_C4_Zeitreihe'!AK57</f>
        <v>51.527224435590966</v>
      </c>
      <c r="AT57" s="57">
        <f>'2019_C4_Zeitreihe'!AL57</f>
        <v>6430</v>
      </c>
      <c r="AU57" s="57">
        <f>'2019_C4_Zeitreihe'!AM57</f>
        <v>4165</v>
      </c>
      <c r="AV57" s="57">
        <f>'2019_C4_Zeitreihe'!AN57</f>
        <v>2265</v>
      </c>
      <c r="AW57" s="29">
        <f>'2019_C4_Zeitreihe'!AO57</f>
        <v>3.9502332814930012</v>
      </c>
      <c r="AX57" s="29">
        <f>'2019_C4_Zeitreihe'!AP57</f>
        <v>17.293934681181959</v>
      </c>
      <c r="AY57" s="29">
        <f>'2019_C4_Zeitreihe'!AQ57</f>
        <v>25.863141524105753</v>
      </c>
      <c r="AZ57" s="29">
        <f>'2019_C4_Zeitreihe'!AR57</f>
        <v>52.892690513219286</v>
      </c>
      <c r="BA57" s="57">
        <f>'2019_C4_Zeitreihe'!AS57</f>
        <v>6068</v>
      </c>
      <c r="BB57" s="57">
        <f>'2019_C4_Zeitreihe'!AT57</f>
        <v>3964</v>
      </c>
      <c r="BC57" s="57">
        <f>'2019_C4_Zeitreihe'!AU57</f>
        <v>2104</v>
      </c>
      <c r="BD57" s="29">
        <f>'2019_C4_Zeitreihe'!AV57</f>
        <v>3.4937376400791038</v>
      </c>
      <c r="BE57" s="29">
        <f>'2019_C4_Zeitreihe'!AW57</f>
        <v>12.673038892551089</v>
      </c>
      <c r="BF57" s="29">
        <f>'2019_C4_Zeitreihe'!AX57</f>
        <v>21.704021094264998</v>
      </c>
      <c r="BG57" s="29">
        <f>'2019_C4_Zeitreihe'!AY57</f>
        <v>62.129202373104803</v>
      </c>
      <c r="BH57" s="57">
        <f>'2019_C4_Zeitreihe'!AZ57</f>
        <v>4812</v>
      </c>
      <c r="BI57" s="57">
        <f>'2019_C4_Zeitreihe'!BA57</f>
        <v>3104</v>
      </c>
      <c r="BJ57" s="57">
        <f>'2019_C4_Zeitreihe'!BB57</f>
        <v>1708</v>
      </c>
      <c r="BK57" s="83">
        <f>'2019_C4_Zeitreihe'!BC57</f>
        <v>3.2626766417290107</v>
      </c>
      <c r="BL57" s="83">
        <f>'2019_C4_Zeitreihe'!BD57</f>
        <v>10.203657522859517</v>
      </c>
      <c r="BM57" s="83">
        <f>'2019_C4_Zeitreihe'!BE57</f>
        <v>20.802161263507895</v>
      </c>
      <c r="BN57" s="83">
        <f>'2019_C4_Zeitreihe'!BF57</f>
        <v>65.731504571903571</v>
      </c>
      <c r="BO57" s="57">
        <f>'2019_C4_Zeitreihe'!BG57</f>
        <v>3764</v>
      </c>
      <c r="BP57" s="57">
        <f>'2019_C4_Zeitreihe'!BH57</f>
        <v>2398</v>
      </c>
      <c r="BQ57" s="57">
        <f>'2019_C4_Zeitreihe'!BI57</f>
        <v>1366</v>
      </c>
      <c r="BR57" s="83">
        <f>'2019_C4_Zeitreihe'!BJ57</f>
        <v>3.6131774707757707</v>
      </c>
      <c r="BS57" s="83">
        <f>'2019_C4_Zeitreihe'!BK57</f>
        <v>11.955366631243358</v>
      </c>
      <c r="BT57" s="83">
        <f>'2019_C4_Zeitreihe'!BL57</f>
        <v>26.886291179596171</v>
      </c>
      <c r="BU57" s="78">
        <f>'2019_C4_Zeitreihe'!BM57</f>
        <v>57.545164718384697</v>
      </c>
      <c r="BV57" s="62"/>
    </row>
    <row r="58" spans="2:74" ht="8.25" customHeight="1">
      <c r="B58" s="107">
        <v>461</v>
      </c>
      <c r="C58" s="74" t="s">
        <v>128</v>
      </c>
      <c r="D58" s="74">
        <f>VLOOKUP(B58,'2020_Rohdaten_BA'!$A$10:$E$59,3,FALSE)</f>
        <v>2505</v>
      </c>
      <c r="E58" s="74">
        <f>VLOOKUP(B58,'2020_Rohdaten_BA'!$A$10:$E$59,4,FALSE)</f>
        <v>1989</v>
      </c>
      <c r="F58" s="74">
        <f>VLOOKUP(B58,'2020_Rohdaten_BA'!$A$10:$E$59,5,FALSE)</f>
        <v>516</v>
      </c>
      <c r="G58" s="74">
        <f>VLOOKUP(B58,'2020_Rohdaten_BA'!$A$10:$M$59,12,FALSE)</f>
        <v>6.9461077844311374</v>
      </c>
      <c r="H58" s="74">
        <f>VLOOKUP(B58,'2020_Rohdaten_BA'!$A$10:$M$59,11,FALSE)</f>
        <v>35.36926147704591</v>
      </c>
      <c r="I58" s="74">
        <f>VLOOKUP(B58,'2020_Rohdaten_BA'!$A$10:$M$59,10,FALSE)</f>
        <v>21.077844311377245</v>
      </c>
      <c r="J58" s="74">
        <f>VLOOKUP(B58,'2020_Rohdaten_BA'!$A$10:$M$59,13,FALSE)</f>
        <v>36.606786427145707</v>
      </c>
      <c r="K58" s="193">
        <f>'2019_C4_Zeitreihe'!C58</f>
        <v>2489</v>
      </c>
      <c r="L58" s="193">
        <f>'2019_C4_Zeitreihe'!D58</f>
        <v>2018</v>
      </c>
      <c r="M58" s="193">
        <f>'2019_C4_Zeitreihe'!E58</f>
        <v>471</v>
      </c>
      <c r="N58" s="115">
        <f>'2019_C4_Zeitreihe'!F58</f>
        <v>6.2274005624748892</v>
      </c>
      <c r="O58" s="115">
        <f>'2019_C4_Zeitreihe'!G58</f>
        <v>35.074327038971475</v>
      </c>
      <c r="P58" s="115">
        <f>'2019_C4_Zeitreihe'!H58</f>
        <v>20.36962635596625</v>
      </c>
      <c r="Q58" s="115">
        <f>'2019_C4_Zeitreihe'!I58</f>
        <v>38.328646042587387</v>
      </c>
      <c r="R58" s="112">
        <f>'2019_C4_Zeitreihe'!J58</f>
        <v>2455</v>
      </c>
      <c r="S58" s="112">
        <f>'2019_C4_Zeitreihe'!K58</f>
        <v>2010</v>
      </c>
      <c r="T58" s="112">
        <f>'2019_C4_Zeitreihe'!L58</f>
        <v>445</v>
      </c>
      <c r="U58" s="75">
        <f>'2019_C4_Zeitreihe'!M58</f>
        <v>5.6619144602851321</v>
      </c>
      <c r="V58" s="75">
        <f>'2019_C4_Zeitreihe'!N58</f>
        <v>34.501018329938901</v>
      </c>
      <c r="W58" s="75">
        <f>'2019_C4_Zeitreihe'!O58</f>
        <v>19.633401221995928</v>
      </c>
      <c r="X58" s="75">
        <f>'2019_C4_Zeitreihe'!P58</f>
        <v>40.203665987780042</v>
      </c>
      <c r="Y58" s="112">
        <f>'2019_C4_Zeitreihe'!Q58</f>
        <v>2101</v>
      </c>
      <c r="Z58" s="112">
        <f>'2019_C4_Zeitreihe'!R58</f>
        <v>1739</v>
      </c>
      <c r="AA58" s="112">
        <f>'2019_C4_Zeitreihe'!S58</f>
        <v>362</v>
      </c>
      <c r="AB58" s="75">
        <f>'2019_C4_Zeitreihe'!T58</f>
        <v>6.0923369823893383</v>
      </c>
      <c r="AC58" s="75">
        <f>'2019_C4_Zeitreihe'!U58</f>
        <v>36.220847215611613</v>
      </c>
      <c r="AD58" s="75">
        <f>'2019_C4_Zeitreihe'!V58</f>
        <v>18.419800095192766</v>
      </c>
      <c r="AE58" s="75">
        <f>'2019_C4_Zeitreihe'!W58</f>
        <v>39.267015706806284</v>
      </c>
      <c r="AF58" s="112">
        <f>'2019_C4_Zeitreihe'!X58</f>
        <v>1850</v>
      </c>
      <c r="AG58" s="112">
        <f>'2019_C4_Zeitreihe'!Y58</f>
        <v>1511</v>
      </c>
      <c r="AH58" s="112">
        <f>'2019_C4_Zeitreihe'!Z58</f>
        <v>339</v>
      </c>
      <c r="AI58" s="75">
        <f>'2019_C4_Zeitreihe'!AA58</f>
        <v>5.5135135135135132</v>
      </c>
      <c r="AJ58" s="75">
        <f>'2019_C4_Zeitreihe'!AB58</f>
        <v>37.567567567567565</v>
      </c>
      <c r="AK58" s="75">
        <f>'2019_C4_Zeitreihe'!AC58</f>
        <v>18.216216216216218</v>
      </c>
      <c r="AL58" s="75">
        <f>'2019_C4_Zeitreihe'!AD58</f>
        <v>38.702702702702702</v>
      </c>
      <c r="AM58" s="57">
        <f>'2019_C4_Zeitreihe'!AE58</f>
        <v>1550</v>
      </c>
      <c r="AN58" s="57">
        <f>'2019_C4_Zeitreihe'!AF58</f>
        <v>1283</v>
      </c>
      <c r="AO58" s="57">
        <f>'2019_C4_Zeitreihe'!AG58</f>
        <v>267</v>
      </c>
      <c r="AP58" s="29">
        <f>'2019_C4_Zeitreihe'!AH58</f>
        <v>5.4838709677419359</v>
      </c>
      <c r="AQ58" s="29">
        <f>'2019_C4_Zeitreihe'!AI58</f>
        <v>40.580645161290327</v>
      </c>
      <c r="AR58" s="29">
        <f>'2019_C4_Zeitreihe'!AJ58</f>
        <v>19.35483870967742</v>
      </c>
      <c r="AS58" s="29">
        <f>'2019_C4_Zeitreihe'!AK58</f>
        <v>34.580645161290313</v>
      </c>
      <c r="AT58" s="57">
        <f>'2019_C4_Zeitreihe'!AL58</f>
        <v>1330</v>
      </c>
      <c r="AU58" s="57">
        <f>'2019_C4_Zeitreihe'!AM58</f>
        <v>1110</v>
      </c>
      <c r="AV58" s="57">
        <f>'2019_C4_Zeitreihe'!AN58</f>
        <v>220</v>
      </c>
      <c r="AW58" s="29">
        <f>'2019_C4_Zeitreihe'!AO58</f>
        <v>4.8120300751879705</v>
      </c>
      <c r="AX58" s="29">
        <f>'2019_C4_Zeitreihe'!AP58</f>
        <v>41.127819548872182</v>
      </c>
      <c r="AY58" s="29">
        <f>'2019_C4_Zeitreihe'!AQ58</f>
        <v>20.375939849624061</v>
      </c>
      <c r="AZ58" s="29">
        <f>'2019_C4_Zeitreihe'!AR58</f>
        <v>33.684210526315788</v>
      </c>
      <c r="BA58" s="57">
        <f>'2019_C4_Zeitreihe'!AS58</f>
        <v>1240</v>
      </c>
      <c r="BB58" s="57">
        <f>'2019_C4_Zeitreihe'!AT58</f>
        <v>1014</v>
      </c>
      <c r="BC58" s="57">
        <f>'2019_C4_Zeitreihe'!AU58</f>
        <v>226</v>
      </c>
      <c r="BD58" s="29">
        <f>'2019_C4_Zeitreihe'!AV58</f>
        <v>4.435483870967742</v>
      </c>
      <c r="BE58" s="29">
        <f>'2019_C4_Zeitreihe'!AW58</f>
        <v>40.887096774193552</v>
      </c>
      <c r="BF58" s="29">
        <f>'2019_C4_Zeitreihe'!AX58</f>
        <v>22.016129032258064</v>
      </c>
      <c r="BG58" s="29">
        <f>'2019_C4_Zeitreihe'!AY58</f>
        <v>32.661290322580641</v>
      </c>
      <c r="BH58" s="57">
        <f>'2019_C4_Zeitreihe'!AZ58</f>
        <v>931</v>
      </c>
      <c r="BI58" s="57">
        <f>'2019_C4_Zeitreihe'!BA58</f>
        <v>754</v>
      </c>
      <c r="BJ58" s="57">
        <f>'2019_C4_Zeitreihe'!BB58</f>
        <v>177</v>
      </c>
      <c r="BK58" s="83">
        <f>'2019_C4_Zeitreihe'!BC58</f>
        <v>5.1557465091299681</v>
      </c>
      <c r="BL58" s="83">
        <f>'2019_C4_Zeitreihe'!BD58</f>
        <v>40.064446831364123</v>
      </c>
      <c r="BM58" s="83">
        <f>'2019_C4_Zeitreihe'!BE58</f>
        <v>21.267454350161117</v>
      </c>
      <c r="BN58" s="83">
        <f>'2019_C4_Zeitreihe'!BF58</f>
        <v>33.512352309344791</v>
      </c>
      <c r="BO58" s="57">
        <f>'2019_C4_Zeitreihe'!BG58</f>
        <v>842</v>
      </c>
      <c r="BP58" s="57">
        <f>'2019_C4_Zeitreihe'!BH58</f>
        <v>691</v>
      </c>
      <c r="BQ58" s="57">
        <f>'2019_C4_Zeitreihe'!BI58</f>
        <v>151</v>
      </c>
      <c r="BR58" s="83">
        <f>'2019_C4_Zeitreihe'!BJ58</f>
        <v>5.225653206650831</v>
      </c>
      <c r="BS58" s="83">
        <f>'2019_C4_Zeitreihe'!BK58</f>
        <v>41.567695961995248</v>
      </c>
      <c r="BT58" s="83">
        <f>'2019_C4_Zeitreihe'!BL58</f>
        <v>25.059382422802852</v>
      </c>
      <c r="BU58" s="78">
        <f>'2019_C4_Zeitreihe'!BM58</f>
        <v>28.147268408551064</v>
      </c>
      <c r="BV58" s="62"/>
    </row>
    <row r="59" spans="2:74" ht="8.25" customHeight="1">
      <c r="B59" s="107">
        <v>462</v>
      </c>
      <c r="C59" s="74" t="s">
        <v>129</v>
      </c>
      <c r="D59" s="74">
        <f>VLOOKUP(B59,'2020_Rohdaten_BA'!$A$10:$E$59,3,FALSE)</f>
        <v>924</v>
      </c>
      <c r="E59" s="74">
        <f>VLOOKUP(B59,'2020_Rohdaten_BA'!$A$10:$E$59,4,FALSE)</f>
        <v>546</v>
      </c>
      <c r="F59" s="74">
        <f>VLOOKUP(B59,'2020_Rohdaten_BA'!$A$10:$E$59,5,FALSE)</f>
        <v>378</v>
      </c>
      <c r="G59" s="74">
        <f>VLOOKUP(B59,'2020_Rohdaten_BA'!$A$10:$M$59,12,FALSE)</f>
        <v>6.8181818181818183</v>
      </c>
      <c r="H59" s="74">
        <f>VLOOKUP(B59,'2020_Rohdaten_BA'!$A$10:$M$59,11,FALSE)</f>
        <v>24.783549783549784</v>
      </c>
      <c r="I59" s="74">
        <f>VLOOKUP(B59,'2020_Rohdaten_BA'!$A$10:$M$59,10,FALSE)</f>
        <v>18.939393939393938</v>
      </c>
      <c r="J59" s="74">
        <f>VLOOKUP(B59,'2020_Rohdaten_BA'!$A$10:$M$59,13,FALSE)</f>
        <v>49.458874458874462</v>
      </c>
      <c r="K59" s="193">
        <f>'2019_C4_Zeitreihe'!C59</f>
        <v>988</v>
      </c>
      <c r="L59" s="193">
        <f>'2019_C4_Zeitreihe'!D59</f>
        <v>577</v>
      </c>
      <c r="M59" s="193">
        <f>'2019_C4_Zeitreihe'!E59</f>
        <v>411</v>
      </c>
      <c r="N59" s="115">
        <f>'2019_C4_Zeitreihe'!F59</f>
        <v>5.8704453441295543</v>
      </c>
      <c r="O59" s="115">
        <f>'2019_C4_Zeitreihe'!G59</f>
        <v>22.267206477732792</v>
      </c>
      <c r="P59" s="115">
        <f>'2019_C4_Zeitreihe'!H59</f>
        <v>18.623481781376519</v>
      </c>
      <c r="Q59" s="115">
        <f>'2019_C4_Zeitreihe'!I59</f>
        <v>53.238866396761132</v>
      </c>
      <c r="R59" s="112">
        <f>'2019_C4_Zeitreihe'!J59</f>
        <v>855</v>
      </c>
      <c r="S59" s="112">
        <f>'2019_C4_Zeitreihe'!K59</f>
        <v>503</v>
      </c>
      <c r="T59" s="112">
        <f>'2019_C4_Zeitreihe'!L59</f>
        <v>352</v>
      </c>
      <c r="U59" s="75">
        <f>'2019_C4_Zeitreihe'!M59</f>
        <v>5.9649122807017543</v>
      </c>
      <c r="V59" s="75">
        <f>'2019_C4_Zeitreihe'!N59</f>
        <v>22.807017543859647</v>
      </c>
      <c r="W59" s="75">
        <f>'2019_C4_Zeitreihe'!O59</f>
        <v>16.023391812865498</v>
      </c>
      <c r="X59" s="75">
        <f>'2019_C4_Zeitreihe'!P59</f>
        <v>55.204678362573098</v>
      </c>
      <c r="Y59" s="112">
        <f>'2019_C4_Zeitreihe'!Q59</f>
        <v>801</v>
      </c>
      <c r="Z59" s="112">
        <f>'2019_C4_Zeitreihe'!R59</f>
        <v>462</v>
      </c>
      <c r="AA59" s="112">
        <f>'2019_C4_Zeitreihe'!S59</f>
        <v>339</v>
      </c>
      <c r="AB59" s="75">
        <f>'2019_C4_Zeitreihe'!T59</f>
        <v>6.1173533083645442</v>
      </c>
      <c r="AC59" s="75">
        <f>'2019_C4_Zeitreihe'!U59</f>
        <v>21.972534332084894</v>
      </c>
      <c r="AD59" s="75">
        <f>'2019_C4_Zeitreihe'!V59</f>
        <v>14.107365792759053</v>
      </c>
      <c r="AE59" s="75">
        <f>'2019_C4_Zeitreihe'!W59</f>
        <v>57.802746566791505</v>
      </c>
      <c r="AF59" s="112">
        <f>'2019_C4_Zeitreihe'!X59</f>
        <v>688</v>
      </c>
      <c r="AG59" s="112">
        <f>'2019_C4_Zeitreihe'!Y59</f>
        <v>396</v>
      </c>
      <c r="AH59" s="112">
        <f>'2019_C4_Zeitreihe'!Z59</f>
        <v>292</v>
      </c>
      <c r="AI59" s="75">
        <f>'2019_C4_Zeitreihe'!AA59</f>
        <v>6.104651162790697</v>
      </c>
      <c r="AJ59" s="75">
        <f>'2019_C4_Zeitreihe'!AB59</f>
        <v>21.36627906976744</v>
      </c>
      <c r="AK59" s="75">
        <f>'2019_C4_Zeitreihe'!AC59</f>
        <v>11.337209302325581</v>
      </c>
      <c r="AL59" s="75">
        <f>'2019_C4_Zeitreihe'!AD59</f>
        <v>61.191860465116278</v>
      </c>
      <c r="AM59" s="57">
        <f>'2019_C4_Zeitreihe'!AE59</f>
        <v>675</v>
      </c>
      <c r="AN59" s="57">
        <f>'2019_C4_Zeitreihe'!AF59</f>
        <v>368</v>
      </c>
      <c r="AO59" s="57">
        <f>'2019_C4_Zeitreihe'!AG59</f>
        <v>307</v>
      </c>
      <c r="AP59" s="29">
        <f>'2019_C4_Zeitreihe'!AH59</f>
        <v>5.7777777777777777</v>
      </c>
      <c r="AQ59" s="29">
        <f>'2019_C4_Zeitreihe'!AI59</f>
        <v>22.222222222222221</v>
      </c>
      <c r="AR59" s="29">
        <f>'2019_C4_Zeitreihe'!AJ59</f>
        <v>10.666666666666668</v>
      </c>
      <c r="AS59" s="29">
        <f>'2019_C4_Zeitreihe'!AK59</f>
        <v>61.333333333333336</v>
      </c>
      <c r="AT59" s="57">
        <f>'2019_C4_Zeitreihe'!AL59</f>
        <v>586</v>
      </c>
      <c r="AU59" s="57">
        <f>'2019_C4_Zeitreihe'!AM59</f>
        <v>317</v>
      </c>
      <c r="AV59" s="57">
        <f>'2019_C4_Zeitreihe'!AN59</f>
        <v>269</v>
      </c>
      <c r="AW59" s="29">
        <f>'2019_C4_Zeitreihe'!AO59</f>
        <v>4.0955631399317403</v>
      </c>
      <c r="AX59" s="29">
        <f>'2019_C4_Zeitreihe'!AP59</f>
        <v>20.136518771331058</v>
      </c>
      <c r="AY59" s="29">
        <f>'2019_C4_Zeitreihe'!AQ59</f>
        <v>11.262798634812286</v>
      </c>
      <c r="AZ59" s="29">
        <f>'2019_C4_Zeitreihe'!AR59</f>
        <v>64.50511945392492</v>
      </c>
      <c r="BA59" s="57">
        <f>'2019_C4_Zeitreihe'!AS59</f>
        <v>496</v>
      </c>
      <c r="BB59" s="57">
        <f>'2019_C4_Zeitreihe'!AT59</f>
        <v>258</v>
      </c>
      <c r="BC59" s="57">
        <f>'2019_C4_Zeitreihe'!AU59</f>
        <v>238</v>
      </c>
      <c r="BD59" s="29">
        <f>'2019_C4_Zeitreihe'!AV59</f>
        <v>4.435483870967742</v>
      </c>
      <c r="BE59" s="29">
        <f>'2019_C4_Zeitreihe'!AW59</f>
        <v>16.33064516129032</v>
      </c>
      <c r="BF59" s="29">
        <f>'2019_C4_Zeitreihe'!AX59</f>
        <v>9.879032258064516</v>
      </c>
      <c r="BG59" s="29">
        <f>'2019_C4_Zeitreihe'!AY59</f>
        <v>69.354838709677423</v>
      </c>
      <c r="BH59" s="57">
        <f>'2019_C4_Zeitreihe'!AZ59</f>
        <v>389</v>
      </c>
      <c r="BI59" s="57">
        <f>'2019_C4_Zeitreihe'!BA59</f>
        <v>205</v>
      </c>
      <c r="BJ59" s="57">
        <f>'2019_C4_Zeitreihe'!BB59</f>
        <v>184</v>
      </c>
      <c r="BK59" s="83">
        <f>'2019_C4_Zeitreihe'!BC59</f>
        <v>5.6555269922879177</v>
      </c>
      <c r="BL59" s="83">
        <f>'2019_C4_Zeitreihe'!BD59</f>
        <v>17.480719794344473</v>
      </c>
      <c r="BM59" s="83" t="str">
        <f>'2019_C4_Zeitreihe'!BE59</f>
        <v>.</v>
      </c>
      <c r="BN59" s="83" t="str">
        <f>'2019_C4_Zeitreihe'!BF59</f>
        <v>.</v>
      </c>
      <c r="BO59" s="57">
        <f>'2019_C4_Zeitreihe'!BG59</f>
        <v>293</v>
      </c>
      <c r="BP59" s="57">
        <f>'2019_C4_Zeitreihe'!BH59</f>
        <v>149</v>
      </c>
      <c r="BQ59" s="57">
        <f>'2019_C4_Zeitreihe'!BI59</f>
        <v>144</v>
      </c>
      <c r="BR59" s="83">
        <f>'2019_C4_Zeitreihe'!BJ59</f>
        <v>5.4607508532423212</v>
      </c>
      <c r="BS59" s="83" t="str">
        <f>'2019_C4_Zeitreihe'!BK59</f>
        <v>.</v>
      </c>
      <c r="BT59" s="83" t="str">
        <f>'2019_C4_Zeitreihe'!BL59</f>
        <v>.</v>
      </c>
      <c r="BU59" s="78" t="str">
        <f>'2019_C4_Zeitreihe'!BM59</f>
        <v>.</v>
      </c>
      <c r="BV59" s="62"/>
    </row>
    <row r="60" spans="2:74" s="54" customFormat="1" ht="16.5" customHeight="1">
      <c r="B60" s="108">
        <v>4</v>
      </c>
      <c r="C60" s="84" t="s">
        <v>157</v>
      </c>
      <c r="D60" s="74">
        <f>VLOOKUP(B60,'2020_Rohdaten_BA'!$A$10:$E$59,3,FALSE)</f>
        <v>101730</v>
      </c>
      <c r="E60" s="74">
        <f>VLOOKUP(B60,'2020_Rohdaten_BA'!$A$10:$E$59,4,FALSE)</f>
        <v>68487</v>
      </c>
      <c r="F60" s="74">
        <f>VLOOKUP(B60,'2020_Rohdaten_BA'!$A$10:$E$59,5,FALSE)</f>
        <v>33243</v>
      </c>
      <c r="G60" s="74">
        <f>VLOOKUP(B60,'2020_Rohdaten_BA'!$A$10:$M$59,12,FALSE)</f>
        <v>7.3891674039123165</v>
      </c>
      <c r="H60" s="74">
        <f>VLOOKUP(B60,'2020_Rohdaten_BA'!$A$10:$M$59,11,FALSE)</f>
        <v>26.298043841541336</v>
      </c>
      <c r="I60" s="74">
        <f>VLOOKUP(B60,'2020_Rohdaten_BA'!$A$10:$M$59,10,FALSE)</f>
        <v>25.946131917821685</v>
      </c>
      <c r="J60" s="74">
        <f>VLOOKUP(B60,'2020_Rohdaten_BA'!$A$10:$M$59,13,FALSE)</f>
        <v>40.366656836724665</v>
      </c>
      <c r="K60" s="193">
        <f>'2019_C4_Zeitreihe'!C60</f>
        <v>98270</v>
      </c>
      <c r="L60" s="193">
        <f>'2019_C4_Zeitreihe'!D60</f>
        <v>66775</v>
      </c>
      <c r="M60" s="193">
        <f>'2019_C4_Zeitreihe'!E60</f>
        <v>31495</v>
      </c>
      <c r="N60" s="115">
        <f>'2019_C4_Zeitreihe'!F60</f>
        <v>6.9746616464841766</v>
      </c>
      <c r="O60" s="115">
        <f>'2019_C4_Zeitreihe'!G60</f>
        <v>26.165666022183778</v>
      </c>
      <c r="P60" s="115">
        <f>'2019_C4_Zeitreihe'!H60</f>
        <v>25.039177775516436</v>
      </c>
      <c r="Q60" s="115">
        <f>'2019_C4_Zeitreihe'!I60</f>
        <v>41.820494555815607</v>
      </c>
      <c r="R60" s="113">
        <f>'2019_C4_Zeitreihe'!J60</f>
        <v>89139</v>
      </c>
      <c r="S60" s="113">
        <f>'2019_C4_Zeitreihe'!K60</f>
        <v>60669</v>
      </c>
      <c r="T60" s="113">
        <f>'2019_C4_Zeitreihe'!L60</f>
        <v>28470</v>
      </c>
      <c r="U60" s="85">
        <f>'2019_C4_Zeitreihe'!M60</f>
        <v>6.8118332043213412</v>
      </c>
      <c r="V60" s="85">
        <f>'2019_C4_Zeitreihe'!N60</f>
        <v>26.708847978999088</v>
      </c>
      <c r="W60" s="85">
        <f>'2019_C4_Zeitreihe'!O60</f>
        <v>24.091587296245191</v>
      </c>
      <c r="X60" s="85">
        <f>'2019_C4_Zeitreihe'!P60</f>
        <v>42.387731520434379</v>
      </c>
      <c r="Y60" s="113">
        <f>'2019_C4_Zeitreihe'!Q60</f>
        <v>78621</v>
      </c>
      <c r="Z60" s="113">
        <f>'2019_C4_Zeitreihe'!R60</f>
        <v>53110</v>
      </c>
      <c r="AA60" s="113">
        <f>'2019_C4_Zeitreihe'!S60</f>
        <v>25511</v>
      </c>
      <c r="AB60" s="85">
        <f>'2019_C4_Zeitreihe'!T60</f>
        <v>6.8645781661388181</v>
      </c>
      <c r="AC60" s="85">
        <f>'2019_C4_Zeitreihe'!U60</f>
        <v>27.539715851998832</v>
      </c>
      <c r="AD60" s="85">
        <f>'2019_C4_Zeitreihe'!V60</f>
        <v>23.058724768191706</v>
      </c>
      <c r="AE60" s="85">
        <f>'2019_C4_Zeitreihe'!W60</f>
        <v>42.53698121367065</v>
      </c>
      <c r="AF60" s="113">
        <f>'2019_C4_Zeitreihe'!X60</f>
        <v>69027</v>
      </c>
      <c r="AG60" s="113">
        <f>'2019_C4_Zeitreihe'!Y60</f>
        <v>46209</v>
      </c>
      <c r="AH60" s="113">
        <f>'2019_C4_Zeitreihe'!Z60</f>
        <v>22818</v>
      </c>
      <c r="AI60" s="85">
        <f>'2019_C4_Zeitreihe'!AA60</f>
        <v>6.9088907239196251</v>
      </c>
      <c r="AJ60" s="85">
        <f>'2019_C4_Zeitreihe'!AB60</f>
        <v>27.826792414562419</v>
      </c>
      <c r="AK60" s="85">
        <f>'2019_C4_Zeitreihe'!AC60</f>
        <v>22.389789502658381</v>
      </c>
      <c r="AL60" s="85">
        <f>'2019_C4_Zeitreihe'!AD60</f>
        <v>42.874527358859574</v>
      </c>
      <c r="AM60" s="86">
        <f>'2019_C4_Zeitreihe'!AE60</f>
        <v>60126</v>
      </c>
      <c r="AN60" s="86">
        <f>'2019_C4_Zeitreihe'!AF60</f>
        <v>40153</v>
      </c>
      <c r="AO60" s="86">
        <f>'2019_C4_Zeitreihe'!AG60</f>
        <v>19973</v>
      </c>
      <c r="AP60" s="87">
        <f>'2019_C4_Zeitreihe'!AH60</f>
        <v>6.9553936732860988</v>
      </c>
      <c r="AQ60" s="87">
        <f>'2019_C4_Zeitreihe'!AI60</f>
        <v>28.287263413498319</v>
      </c>
      <c r="AR60" s="87">
        <f>'2019_C4_Zeitreihe'!AJ60</f>
        <v>21.524797924358847</v>
      </c>
      <c r="AS60" s="87">
        <f>'2019_C4_Zeitreihe'!AK60</f>
        <v>43.232544988856731</v>
      </c>
      <c r="AT60" s="86">
        <f>'2019_C4_Zeitreihe'!AL60</f>
        <v>51181</v>
      </c>
      <c r="AU60" s="86">
        <f>'2019_C4_Zeitreihe'!AM60</f>
        <v>33979</v>
      </c>
      <c r="AV60" s="86">
        <f>'2019_C4_Zeitreihe'!AN60</f>
        <v>17202</v>
      </c>
      <c r="AW60" s="87">
        <f>'2019_C4_Zeitreihe'!AO60</f>
        <v>6.912721517750728</v>
      </c>
      <c r="AX60" s="87">
        <f>'2019_C4_Zeitreihe'!AP60</f>
        <v>28.430472245559873</v>
      </c>
      <c r="AY60" s="87">
        <f>'2019_C4_Zeitreihe'!AQ60</f>
        <v>22.3813524550126</v>
      </c>
      <c r="AZ60" s="87">
        <f>'2019_C4_Zeitreihe'!AR60</f>
        <v>42.275453781676802</v>
      </c>
      <c r="BA60" s="86">
        <f>'2019_C4_Zeitreihe'!AS60</f>
        <v>46230</v>
      </c>
      <c r="BB60" s="86">
        <f>'2019_C4_Zeitreihe'!AT60</f>
        <v>30367</v>
      </c>
      <c r="BC60" s="86">
        <f>'2019_C4_Zeitreihe'!AU60</f>
        <v>15863</v>
      </c>
      <c r="BD60" s="87">
        <f>'2019_C4_Zeitreihe'!AV60</f>
        <v>6.1172398875189273</v>
      </c>
      <c r="BE60" s="87">
        <f>'2019_C4_Zeitreihe'!AW60</f>
        <v>24.239671209171533</v>
      </c>
      <c r="BF60" s="87">
        <f>'2019_C4_Zeitreihe'!AX60</f>
        <v>20.028120268224097</v>
      </c>
      <c r="BG60" s="87">
        <f>'2019_C4_Zeitreihe'!AY60</f>
        <v>49.61496863508544</v>
      </c>
      <c r="BH60" s="86">
        <f>'2019_C4_Zeitreihe'!AZ60</f>
        <v>35622</v>
      </c>
      <c r="BI60" s="86">
        <f>'2019_C4_Zeitreihe'!BA60</f>
        <v>23377</v>
      </c>
      <c r="BJ60" s="86">
        <f>'2019_C4_Zeitreihe'!BB60</f>
        <v>12245</v>
      </c>
      <c r="BK60" s="88">
        <f>'2019_C4_Zeitreihe'!BC60</f>
        <v>5.3085172084666779</v>
      </c>
      <c r="BL60" s="88">
        <f>'2019_C4_Zeitreihe'!BD60</f>
        <v>22.811745550502501</v>
      </c>
      <c r="BM60" s="88">
        <f>'2019_C4_Zeitreihe'!BE60</f>
        <v>24.308011902756725</v>
      </c>
      <c r="BN60" s="88">
        <f>'2019_C4_Zeitreihe'!BF60</f>
        <v>47.571725338274092</v>
      </c>
      <c r="BO60" s="86">
        <f>'2019_C4_Zeitreihe'!BG60</f>
        <v>31040</v>
      </c>
      <c r="BP60" s="86">
        <f>'2019_C4_Zeitreihe'!BH60</f>
        <v>20429</v>
      </c>
      <c r="BQ60" s="86">
        <f>'2019_C4_Zeitreihe'!BI60</f>
        <v>10611</v>
      </c>
      <c r="BR60" s="88">
        <f>'2019_C4_Zeitreihe'!BJ60</f>
        <v>5.331829896907216</v>
      </c>
      <c r="BS60" s="88">
        <f>'2019_C4_Zeitreihe'!BK60</f>
        <v>24.871134020618555</v>
      </c>
      <c r="BT60" s="88">
        <f>'2019_C4_Zeitreihe'!BL60</f>
        <v>26.794458762886599</v>
      </c>
      <c r="BU60" s="89">
        <f>'2019_C4_Zeitreihe'!BM60</f>
        <v>43.002577319587637</v>
      </c>
      <c r="BV60" s="106"/>
    </row>
    <row r="61" spans="2:74" s="54" customFormat="1" ht="16.5" customHeight="1">
      <c r="B61" s="108">
        <v>0</v>
      </c>
      <c r="C61" s="84" t="s">
        <v>130</v>
      </c>
      <c r="D61" s="74">
        <f>VLOOKUP(B61,'2020_Rohdaten_BA'!$A$10:$E$59,3,FALSE)</f>
        <v>291733</v>
      </c>
      <c r="E61" s="74">
        <f>VLOOKUP(B61,'2020_Rohdaten_BA'!$A$10:$E$59,4,FALSE)</f>
        <v>192854</v>
      </c>
      <c r="F61" s="74">
        <f>VLOOKUP(B61,'2020_Rohdaten_BA'!$A$10:$E$59,5,FALSE)</f>
        <v>93737</v>
      </c>
      <c r="G61" s="74">
        <f>VLOOKUP(B61,'2020_Rohdaten_BA'!$A$10:$M$59,12,FALSE)</f>
        <v>11.768980540425662</v>
      </c>
      <c r="H61" s="74">
        <f>VLOOKUP(B61,'2020_Rohdaten_BA'!$A$10:$M$59,11,FALSE)</f>
        <v>30.112465850623686</v>
      </c>
      <c r="I61" s="74">
        <f>VLOOKUP(B61,'2020_Rohdaten_BA'!$A$10:$M$59,10,FALSE)</f>
        <v>25.853434476044878</v>
      </c>
      <c r="J61" s="74">
        <f>VLOOKUP(B61,'2020_Rohdaten_BA'!$A$10:$M$59,13,FALSE)</f>
        <v>32.265119132905774</v>
      </c>
      <c r="K61" s="193">
        <f>'2019_C4_Zeitreihe'!C61</f>
        <v>280719</v>
      </c>
      <c r="L61" s="193">
        <f>'2019_C4_Zeitreihe'!D61</f>
        <v>186982</v>
      </c>
      <c r="M61" s="193">
        <f>'2019_C4_Zeitreihe'!E61</f>
        <v>93737</v>
      </c>
      <c r="N61" s="115">
        <f>'2019_C4_Zeitreihe'!F61</f>
        <v>11.298843327313078</v>
      </c>
      <c r="O61" s="115">
        <f>'2019_C4_Zeitreihe'!G61</f>
        <v>29.938835632785811</v>
      </c>
      <c r="P61" s="115">
        <f>'2019_C4_Zeitreihe'!H61</f>
        <v>25.281509267274391</v>
      </c>
      <c r="Q61" s="115">
        <f>'2019_C4_Zeitreihe'!I61</f>
        <v>33.480811772626723</v>
      </c>
      <c r="R61" s="113">
        <f>'2019_C4_Zeitreihe'!J61</f>
        <v>255519</v>
      </c>
      <c r="S61" s="113">
        <f>'2019_C4_Zeitreihe'!K61</f>
        <v>170046</v>
      </c>
      <c r="T61" s="113">
        <f>'2019_C4_Zeitreihe'!L61</f>
        <v>85473</v>
      </c>
      <c r="U61" s="85">
        <f>'2019_C4_Zeitreihe'!M61</f>
        <v>11.010922866792685</v>
      </c>
      <c r="V61" s="85">
        <f>'2019_C4_Zeitreihe'!N61</f>
        <v>30.478359730587552</v>
      </c>
      <c r="W61" s="85">
        <f>'2019_C4_Zeitreihe'!O61</f>
        <v>24.364137304858001</v>
      </c>
      <c r="X61" s="85">
        <f>'2019_C4_Zeitreihe'!P61</f>
        <v>34.146580097761806</v>
      </c>
      <c r="Y61" s="113">
        <f>'2019_C4_Zeitreihe'!Q61</f>
        <v>226387</v>
      </c>
      <c r="Z61" s="113">
        <f>'2019_C4_Zeitreihe'!R61</f>
        <v>148723</v>
      </c>
      <c r="AA61" s="113">
        <f>'2019_C4_Zeitreihe'!S61</f>
        <v>77664</v>
      </c>
      <c r="AB61" s="85">
        <f>'2019_C4_Zeitreihe'!T61</f>
        <v>11.066448161776075</v>
      </c>
      <c r="AC61" s="85">
        <f>'2019_C4_Zeitreihe'!U61</f>
        <v>31.197904473313397</v>
      </c>
      <c r="AD61" s="85">
        <f>'2019_C4_Zeitreihe'!V61</f>
        <v>23.068904133187861</v>
      </c>
      <c r="AE61" s="85">
        <f>'2019_C4_Zeitreihe'!W61</f>
        <v>34.66674323172267</v>
      </c>
      <c r="AF61" s="113">
        <f>'2019_C4_Zeitreihe'!X61</f>
        <v>202263</v>
      </c>
      <c r="AG61" s="113">
        <f>'2019_C4_Zeitreihe'!Y61</f>
        <v>131518</v>
      </c>
      <c r="AH61" s="113">
        <f>'2019_C4_Zeitreihe'!Z61</f>
        <v>70745</v>
      </c>
      <c r="AI61" s="85">
        <f>'2019_C4_Zeitreihe'!AA61</f>
        <v>11.081117159342044</v>
      </c>
      <c r="AJ61" s="85">
        <f>'2019_C4_Zeitreihe'!AB61</f>
        <v>31.615273183923904</v>
      </c>
      <c r="AK61" s="85">
        <f>'2019_C4_Zeitreihe'!AC61</f>
        <v>22.440584783178338</v>
      </c>
      <c r="AL61" s="85">
        <f>'2019_C4_Zeitreihe'!AD61</f>
        <v>34.863024873555716</v>
      </c>
      <c r="AM61" s="86">
        <f>'2019_C4_Zeitreihe'!AE61</f>
        <v>179647</v>
      </c>
      <c r="AN61" s="86">
        <f>'2019_C4_Zeitreihe'!AF61</f>
        <v>116488</v>
      </c>
      <c r="AO61" s="86">
        <f>'2019_C4_Zeitreihe'!AG61</f>
        <v>63159</v>
      </c>
      <c r="AP61" s="87">
        <f>'2019_C4_Zeitreihe'!AH61</f>
        <v>11.060023267853067</v>
      </c>
      <c r="AQ61" s="87">
        <f>'2019_C4_Zeitreihe'!AI61</f>
        <v>31.815170862858828</v>
      </c>
      <c r="AR61" s="87">
        <f>'2019_C4_Zeitreihe'!AJ61</f>
        <v>21.830589990370004</v>
      </c>
      <c r="AS61" s="87">
        <f>'2019_C4_Zeitreihe'!AK61</f>
        <v>35.294215878918102</v>
      </c>
      <c r="AT61" s="86">
        <f>'2019_C4_Zeitreihe'!AL61</f>
        <v>159318</v>
      </c>
      <c r="AU61" s="86">
        <f>'2019_C4_Zeitreihe'!AM61</f>
        <v>102991</v>
      </c>
      <c r="AV61" s="86">
        <f>'2019_C4_Zeitreihe'!AN61</f>
        <v>56327</v>
      </c>
      <c r="AW61" s="87">
        <f>'2019_C4_Zeitreihe'!AO61</f>
        <v>11.007544659109454</v>
      </c>
      <c r="AX61" s="87">
        <f>'2019_C4_Zeitreihe'!AP61</f>
        <v>31.727739489574308</v>
      </c>
      <c r="AY61" s="87">
        <f>'2019_C4_Zeitreihe'!AQ61</f>
        <v>21.699368558480522</v>
      </c>
      <c r="AZ61" s="87">
        <f>'2019_C4_Zeitreihe'!AR61</f>
        <v>35.56534729283571</v>
      </c>
      <c r="BA61" s="86">
        <f>'2019_C4_Zeitreihe'!AS61</f>
        <v>146791</v>
      </c>
      <c r="BB61" s="86">
        <f>'2019_C4_Zeitreihe'!AT61</f>
        <v>94039</v>
      </c>
      <c r="BC61" s="86">
        <f>'2019_C4_Zeitreihe'!AU61</f>
        <v>52752</v>
      </c>
      <c r="BD61" s="87">
        <f>'2019_C4_Zeitreihe'!AV61</f>
        <v>9.6095809688604881</v>
      </c>
      <c r="BE61" s="87">
        <f>'2019_C4_Zeitreihe'!AW61</f>
        <v>27.994223079071606</v>
      </c>
      <c r="BF61" s="87">
        <f>'2019_C4_Zeitreihe'!AX61</f>
        <v>19.52163279765108</v>
      </c>
      <c r="BG61" s="87">
        <f>'2019_C4_Zeitreihe'!AY61</f>
        <v>42.874563154416833</v>
      </c>
      <c r="BH61" s="86">
        <f>'2019_C4_Zeitreihe'!AZ61</f>
        <v>120849</v>
      </c>
      <c r="BI61" s="86">
        <f>'2019_C4_Zeitreihe'!BA61</f>
        <v>77448</v>
      </c>
      <c r="BJ61" s="86">
        <f>'2019_C4_Zeitreihe'!BB61</f>
        <v>43401</v>
      </c>
      <c r="BK61" s="88">
        <f>'2019_C4_Zeitreihe'!BC61</f>
        <v>8.217693154266895</v>
      </c>
      <c r="BL61" s="88">
        <f>'2019_C4_Zeitreihe'!BD61</f>
        <v>27.390379730076376</v>
      </c>
      <c r="BM61" s="88">
        <f>'2019_C4_Zeitreihe'!BE61</f>
        <v>22.982399523372145</v>
      </c>
      <c r="BN61" s="88">
        <f>'2019_C4_Zeitreihe'!BF61</f>
        <v>41.409527592284576</v>
      </c>
      <c r="BO61" s="86">
        <f>'2019_C4_Zeitreihe'!BG61</f>
        <v>110615</v>
      </c>
      <c r="BP61" s="86">
        <f>'2019_C4_Zeitreihe'!BH61</f>
        <v>70980</v>
      </c>
      <c r="BQ61" s="86">
        <f>'2019_C4_Zeitreihe'!BI61</f>
        <v>39635</v>
      </c>
      <c r="BR61" s="88">
        <f>'2019_C4_Zeitreihe'!BJ61</f>
        <v>8.0649098223568227</v>
      </c>
      <c r="BS61" s="88">
        <f>'2019_C4_Zeitreihe'!BK61</f>
        <v>28.625412466663651</v>
      </c>
      <c r="BT61" s="88">
        <f>'2019_C4_Zeitreihe'!BL61</f>
        <v>24.276996790670342</v>
      </c>
      <c r="BU61" s="89">
        <f>'2019_C4_Zeitreihe'!BM61</f>
        <v>39.03268092030919</v>
      </c>
      <c r="BV61" s="90"/>
    </row>
    <row r="62" spans="2:74" ht="8.25" customHeight="1">
      <c r="C62" s="91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3"/>
      <c r="AN62" s="93"/>
      <c r="AO62" s="93"/>
      <c r="AP62" s="94"/>
      <c r="AQ62" s="94"/>
      <c r="AR62" s="94"/>
      <c r="AS62" s="94"/>
      <c r="AT62" s="93"/>
      <c r="AU62" s="93"/>
      <c r="AV62" s="93"/>
      <c r="AW62" s="95"/>
      <c r="AX62" s="95"/>
      <c r="AY62" s="95"/>
      <c r="AZ62" s="95"/>
      <c r="BA62" s="93"/>
      <c r="BB62" s="93"/>
      <c r="BC62" s="93"/>
      <c r="BD62" s="95"/>
      <c r="BE62" s="95"/>
      <c r="BF62" s="95"/>
      <c r="BG62" s="95"/>
      <c r="BH62" s="93"/>
      <c r="BI62" s="93"/>
      <c r="BJ62" s="93"/>
      <c r="BK62" s="96"/>
      <c r="BL62" s="96"/>
      <c r="BM62" s="96"/>
      <c r="BN62" s="96"/>
      <c r="BO62" s="93"/>
      <c r="BP62" s="93"/>
      <c r="BQ62" s="93"/>
      <c r="BR62" s="96"/>
      <c r="BS62" s="96"/>
      <c r="BT62" s="96"/>
      <c r="BU62" s="97"/>
      <c r="BV62" s="97"/>
    </row>
    <row r="63" spans="2:74" ht="8.25" customHeight="1">
      <c r="C63" s="297" t="s">
        <v>158</v>
      </c>
      <c r="D63" s="297"/>
      <c r="E63" s="297"/>
      <c r="F63" s="297"/>
      <c r="G63" s="297"/>
      <c r="H63" s="297"/>
      <c r="I63" s="297"/>
      <c r="J63" s="297"/>
      <c r="K63" s="297"/>
      <c r="L63" s="297"/>
      <c r="M63" s="297"/>
      <c r="N63" s="297"/>
      <c r="O63" s="297"/>
      <c r="P63" s="297"/>
      <c r="Q63" s="297"/>
      <c r="R63" s="297"/>
      <c r="S63" s="297"/>
      <c r="T63" s="297"/>
      <c r="U63" s="297"/>
      <c r="V63" s="297"/>
      <c r="W63" s="297"/>
      <c r="X63" s="297"/>
      <c r="Y63" s="297"/>
      <c r="Z63" s="297"/>
      <c r="AA63" s="297"/>
      <c r="AB63" s="297"/>
      <c r="AC63" s="297"/>
      <c r="AD63" s="297"/>
      <c r="AE63" s="297"/>
      <c r="AF63" s="297"/>
      <c r="AG63" s="297"/>
      <c r="AH63" s="297"/>
      <c r="AI63" s="297"/>
      <c r="AJ63" s="297"/>
      <c r="AK63" s="297"/>
      <c r="AL63" s="297"/>
      <c r="AM63" s="297"/>
      <c r="AN63" s="297"/>
      <c r="AO63" s="297"/>
      <c r="AP63" s="297"/>
      <c r="AQ63" s="297"/>
      <c r="AR63" s="297"/>
      <c r="AS63" s="201"/>
      <c r="AT63" s="99"/>
      <c r="AU63" s="100"/>
      <c r="AV63" s="99"/>
      <c r="AW63" s="99"/>
      <c r="AX63" s="99"/>
      <c r="AY63" s="99"/>
      <c r="AZ63" s="99"/>
    </row>
    <row r="64" spans="2:74" ht="8.25" customHeight="1"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  <c r="AF64" s="101"/>
      <c r="AG64" s="101"/>
      <c r="AH64" s="101"/>
      <c r="AI64" s="101"/>
      <c r="AJ64" s="101"/>
      <c r="AK64" s="101"/>
      <c r="AL64" s="101"/>
      <c r="AM64" s="102"/>
      <c r="AN64" s="99"/>
      <c r="AO64" s="99"/>
      <c r="AP64" s="99"/>
      <c r="AQ64" s="99"/>
      <c r="AR64" s="99"/>
      <c r="AS64" s="99"/>
      <c r="AT64" s="99"/>
      <c r="AU64" s="100"/>
      <c r="AV64" s="99"/>
      <c r="AW64" s="99"/>
      <c r="AX64" s="99"/>
      <c r="AY64" s="99"/>
      <c r="AZ64" s="99"/>
    </row>
    <row r="65" spans="3:52" ht="8.25" customHeight="1">
      <c r="C65" s="25" t="s">
        <v>159</v>
      </c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185"/>
      <c r="S65" s="185"/>
      <c r="T65" s="185"/>
      <c r="U65" s="185"/>
      <c r="V65" s="185"/>
      <c r="W65" s="185"/>
      <c r="X65" s="18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103"/>
      <c r="AN65" s="103"/>
      <c r="AO65" s="103"/>
      <c r="AP65" s="103"/>
      <c r="AQ65" s="103"/>
      <c r="AR65" s="103"/>
      <c r="AS65" s="103"/>
      <c r="AT65" s="99"/>
      <c r="AU65" s="100"/>
      <c r="AV65" s="99"/>
      <c r="AW65" s="99"/>
      <c r="AX65" s="99"/>
      <c r="AY65" s="99"/>
      <c r="AZ65" s="99"/>
    </row>
    <row r="66" spans="3:52"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  <c r="AJ66" s="101"/>
      <c r="AK66" s="101"/>
      <c r="AL66" s="101"/>
      <c r="AM66" s="102"/>
      <c r="AN66" s="99"/>
      <c r="AO66" s="99"/>
      <c r="AP66" s="99"/>
      <c r="AQ66" s="99"/>
      <c r="AR66" s="99"/>
      <c r="AS66" s="99"/>
      <c r="AT66" s="99"/>
      <c r="AU66" s="100"/>
      <c r="AV66" s="99"/>
      <c r="AW66" s="99"/>
      <c r="AX66" s="99"/>
      <c r="AY66" s="99"/>
      <c r="AZ66" s="99"/>
    </row>
  </sheetData>
  <mergeCells count="53">
    <mergeCell ref="BR8:BT8"/>
    <mergeCell ref="D5:J5"/>
    <mergeCell ref="D6:F6"/>
    <mergeCell ref="G6:J6"/>
    <mergeCell ref="G8:J8"/>
    <mergeCell ref="D8:F8"/>
    <mergeCell ref="AW8:AZ8"/>
    <mergeCell ref="BA8:BC8"/>
    <mergeCell ref="BH6:BJ6"/>
    <mergeCell ref="BK6:BN6"/>
    <mergeCell ref="BO6:BQ6"/>
    <mergeCell ref="BD8:BG8"/>
    <mergeCell ref="BH8:BJ8"/>
    <mergeCell ref="BK8:BN8"/>
    <mergeCell ref="BO8:BQ8"/>
    <mergeCell ref="BR6:BU6"/>
    <mergeCell ref="C63:AR63"/>
    <mergeCell ref="AI8:AK8"/>
    <mergeCell ref="AM8:AO8"/>
    <mergeCell ref="AP8:AR8"/>
    <mergeCell ref="AT8:AV8"/>
    <mergeCell ref="K8:M8"/>
    <mergeCell ref="N8:P8"/>
    <mergeCell ref="R8:T8"/>
    <mergeCell ref="U8:W8"/>
    <mergeCell ref="Y8:AA8"/>
    <mergeCell ref="AB8:AD8"/>
    <mergeCell ref="N6:Q6"/>
    <mergeCell ref="R6:T6"/>
    <mergeCell ref="AM5:AS5"/>
    <mergeCell ref="AT5:AZ5"/>
    <mergeCell ref="BA5:BG5"/>
    <mergeCell ref="AM6:AO6"/>
    <mergeCell ref="AP6:AS6"/>
    <mergeCell ref="AT6:AV6"/>
    <mergeCell ref="AW6:AZ6"/>
    <mergeCell ref="BA6:BC6"/>
    <mergeCell ref="BH5:BN5"/>
    <mergeCell ref="BO5:BU5"/>
    <mergeCell ref="U6:X6"/>
    <mergeCell ref="Y6:AA6"/>
    <mergeCell ref="B5:B8"/>
    <mergeCell ref="C5:C8"/>
    <mergeCell ref="K5:Q5"/>
    <mergeCell ref="R5:X5"/>
    <mergeCell ref="Y5:AE5"/>
    <mergeCell ref="AF5:AL5"/>
    <mergeCell ref="AB6:AE6"/>
    <mergeCell ref="AF6:AH6"/>
    <mergeCell ref="AI6:AL6"/>
    <mergeCell ref="AF8:AH8"/>
    <mergeCell ref="BD6:BG6"/>
    <mergeCell ref="K6:M6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C5675-0621-4D57-AB04-E4E4AFED27A7}">
  <sheetPr codeName="Tabelle16"/>
  <dimension ref="B1:I3294"/>
  <sheetViews>
    <sheetView topLeftCell="A1903" workbookViewId="0">
      <selection activeCell="B1406" sqref="B1406:I3277"/>
    </sheetView>
  </sheetViews>
  <sheetFormatPr baseColWidth="10" defaultRowHeight="13.5"/>
  <cols>
    <col min="4" max="4" width="15.75" bestFit="1" customWidth="1"/>
    <col min="9" max="9" width="11.875" bestFit="1" customWidth="1"/>
  </cols>
  <sheetData>
    <row r="1" spans="2:9">
      <c r="B1" t="s">
        <v>220</v>
      </c>
      <c r="C1" t="s">
        <v>355</v>
      </c>
      <c r="D1" t="s">
        <v>356</v>
      </c>
      <c r="E1" t="s">
        <v>357</v>
      </c>
      <c r="F1" t="s">
        <v>358</v>
      </c>
      <c r="G1" t="s">
        <v>361</v>
      </c>
      <c r="H1" t="s">
        <v>359</v>
      </c>
      <c r="I1" t="s">
        <v>360</v>
      </c>
    </row>
    <row r="2" spans="2:9">
      <c r="B2">
        <f>'2020_5-2-2_Download'!B10</f>
        <v>101</v>
      </c>
      <c r="C2">
        <f>'2020_5-2-2_Download'!$D$5</f>
        <v>2020</v>
      </c>
      <c r="D2" t="str">
        <f>VLOOKUP(B2,[1]Tabelle1!$A$1:$B$68,2,FALSE)</f>
        <v>Braunschweig  Stadt</v>
      </c>
      <c r="E2" t="str">
        <f>'2020_5-2-2_Download'!$D$7</f>
        <v>Insgesamt</v>
      </c>
      <c r="G2" t="s">
        <v>84</v>
      </c>
      <c r="H2" t="str">
        <f>VLOOKUP(B2,[2]Kreise!$A$2:$C$53,3,FALSE)</f>
        <v>K03101</v>
      </c>
      <c r="I2">
        <f>'2020_5-2-2_Download'!D10</f>
        <v>11541</v>
      </c>
    </row>
    <row r="3" spans="2:9">
      <c r="B3">
        <f>'2020_5-2-2_Download'!B11</f>
        <v>102</v>
      </c>
      <c r="C3">
        <f>'2020_5-2-2_Download'!$D$5</f>
        <v>2020</v>
      </c>
      <c r="D3" t="str">
        <f>VLOOKUP(B3,[1]Tabelle1!$A$1:$B$68,2,FALSE)</f>
        <v>Salzgitter  Stadt</v>
      </c>
      <c r="E3" t="str">
        <f>'2020_5-2-2_Download'!$D$7</f>
        <v>Insgesamt</v>
      </c>
      <c r="G3" t="s">
        <v>84</v>
      </c>
      <c r="H3" t="str">
        <f>VLOOKUP(B3,[2]Kreise!$A$2:$C$53,3,FALSE)</f>
        <v>K03102</v>
      </c>
      <c r="I3">
        <f>'2020_5-2-2_Download'!D11</f>
        <v>4878</v>
      </c>
    </row>
    <row r="4" spans="2:9">
      <c r="B4">
        <f>'2020_5-2-2_Download'!B12</f>
        <v>103</v>
      </c>
      <c r="C4">
        <f>'2020_5-2-2_Download'!$D$5</f>
        <v>2020</v>
      </c>
      <c r="D4" t="str">
        <f>VLOOKUP(B4,[1]Tabelle1!$A$1:$B$68,2,FALSE)</f>
        <v>Wolfsburg  Stadt</v>
      </c>
      <c r="E4" t="str">
        <f>'2020_5-2-2_Download'!$D$7</f>
        <v>Insgesamt</v>
      </c>
      <c r="G4" t="s">
        <v>84</v>
      </c>
      <c r="H4" t="str">
        <f>VLOOKUP(B4,[2]Kreise!$A$2:$C$53,3,FALSE)</f>
        <v>K03103</v>
      </c>
      <c r="I4">
        <f>'2020_5-2-2_Download'!D12</f>
        <v>10661</v>
      </c>
    </row>
    <row r="5" spans="2:9">
      <c r="B5">
        <f>'2020_5-2-2_Download'!B13</f>
        <v>151</v>
      </c>
      <c r="C5">
        <f>'2020_5-2-2_Download'!$D$5</f>
        <v>2020</v>
      </c>
      <c r="D5" t="str">
        <f>VLOOKUP(B5,[1]Tabelle1!$A$1:$B$68,2,FALSE)</f>
        <v>Gifhorn</v>
      </c>
      <c r="E5" t="str">
        <f>'2020_5-2-2_Download'!$D$7</f>
        <v>Insgesamt</v>
      </c>
      <c r="G5" t="s">
        <v>84</v>
      </c>
      <c r="H5" t="str">
        <f>VLOOKUP(B5,[2]Kreise!$A$2:$C$53,3,FALSE)</f>
        <v>K03151</v>
      </c>
      <c r="I5">
        <f>'2020_5-2-2_Download'!D13</f>
        <v>3257</v>
      </c>
    </row>
    <row r="6" spans="2:9">
      <c r="B6">
        <f>'2020_5-2-2_Download'!B14</f>
        <v>153</v>
      </c>
      <c r="C6">
        <f>'2020_5-2-2_Download'!$D$5</f>
        <v>2020</v>
      </c>
      <c r="D6" t="str">
        <f>VLOOKUP(B6,[1]Tabelle1!$A$1:$B$68,2,FALSE)</f>
        <v>Goslar</v>
      </c>
      <c r="E6" t="str">
        <f>'2020_5-2-2_Download'!$D$7</f>
        <v>Insgesamt</v>
      </c>
      <c r="G6" t="s">
        <v>84</v>
      </c>
      <c r="H6" t="str">
        <f>VLOOKUP(B6,[2]Kreise!$A$2:$C$53,3,FALSE)</f>
        <v>K03153</v>
      </c>
      <c r="I6">
        <f>'2020_5-2-2_Download'!D14</f>
        <v>3225</v>
      </c>
    </row>
    <row r="7" spans="2:9">
      <c r="B7">
        <f>'2020_5-2-2_Download'!B15</f>
        <v>154</v>
      </c>
      <c r="C7">
        <f>'2020_5-2-2_Download'!$D$5</f>
        <v>2020</v>
      </c>
      <c r="D7" t="str">
        <f>VLOOKUP(B7,[1]Tabelle1!$A$1:$B$68,2,FALSE)</f>
        <v>Helmstedt</v>
      </c>
      <c r="E7" t="str">
        <f>'2020_5-2-2_Download'!$D$7</f>
        <v>Insgesamt</v>
      </c>
      <c r="G7" t="s">
        <v>84</v>
      </c>
      <c r="H7" t="str">
        <f>VLOOKUP(B7,[2]Kreise!$A$2:$C$53,3,FALSE)</f>
        <v>K03154</v>
      </c>
      <c r="I7">
        <f>'2020_5-2-2_Download'!D15</f>
        <v>1701</v>
      </c>
    </row>
    <row r="8" spans="2:9">
      <c r="B8">
        <f>'2020_5-2-2_Download'!B16</f>
        <v>155</v>
      </c>
      <c r="C8">
        <f>'2020_5-2-2_Download'!$D$5</f>
        <v>2020</v>
      </c>
      <c r="D8" t="str">
        <f>VLOOKUP(B8,[1]Tabelle1!$A$1:$B$68,2,FALSE)</f>
        <v>Northeim</v>
      </c>
      <c r="E8" t="str">
        <f>'2020_5-2-2_Download'!$D$7</f>
        <v>Insgesamt</v>
      </c>
      <c r="G8" t="s">
        <v>84</v>
      </c>
      <c r="H8" t="str">
        <f>VLOOKUP(B8,[2]Kreise!$A$2:$C$53,3,FALSE)</f>
        <v>K03155</v>
      </c>
      <c r="I8">
        <f>'2020_5-2-2_Download'!D16</f>
        <v>3416</v>
      </c>
    </row>
    <row r="9" spans="2:9">
      <c r="B9">
        <f>'2020_5-2-2_Download'!B17</f>
        <v>157</v>
      </c>
      <c r="C9">
        <f>'2020_5-2-2_Download'!$D$5</f>
        <v>2020</v>
      </c>
      <c r="D9" t="str">
        <f>VLOOKUP(B9,[1]Tabelle1!$A$1:$B$68,2,FALSE)</f>
        <v>Peine</v>
      </c>
      <c r="E9" t="str">
        <f>'2020_5-2-2_Download'!$D$7</f>
        <v>Insgesamt</v>
      </c>
      <c r="G9" t="s">
        <v>84</v>
      </c>
      <c r="H9" t="str">
        <f>VLOOKUP(B9,[2]Kreise!$A$2:$C$53,3,FALSE)</f>
        <v>K03157</v>
      </c>
      <c r="I9">
        <f>'2020_5-2-2_Download'!D17</f>
        <v>3368</v>
      </c>
    </row>
    <row r="10" spans="2:9">
      <c r="B10">
        <f>'2020_5-2-2_Download'!B18</f>
        <v>158</v>
      </c>
      <c r="C10">
        <f>'2020_5-2-2_Download'!$D$5</f>
        <v>2020</v>
      </c>
      <c r="D10" t="str">
        <f>VLOOKUP(B10,[1]Tabelle1!$A$1:$B$68,2,FALSE)</f>
        <v>Wolfenbüttel</v>
      </c>
      <c r="E10" t="str">
        <f>'2020_5-2-2_Download'!$D$7</f>
        <v>Insgesamt</v>
      </c>
      <c r="G10" t="s">
        <v>84</v>
      </c>
      <c r="H10" t="str">
        <f>VLOOKUP(B10,[2]Kreise!$A$2:$C$53,3,FALSE)</f>
        <v>K03158</v>
      </c>
      <c r="I10">
        <f>'2020_5-2-2_Download'!D18</f>
        <v>1586</v>
      </c>
    </row>
    <row r="11" spans="2:9">
      <c r="B11">
        <f>'2020_5-2-2_Download'!B19</f>
        <v>159</v>
      </c>
      <c r="C11">
        <f>'2020_5-2-2_Download'!$D$5</f>
        <v>2020</v>
      </c>
      <c r="D11" t="str">
        <f>VLOOKUP(B11,[1]Tabelle1!$A$1:$B$68,2,FALSE)</f>
        <v>Göttingen</v>
      </c>
      <c r="E11" t="str">
        <f>'2020_5-2-2_Download'!$D$7</f>
        <v>Insgesamt</v>
      </c>
      <c r="G11" t="s">
        <v>84</v>
      </c>
      <c r="H11" t="str">
        <f>VLOOKUP(B11,[2]Kreise!$A$2:$C$53,3,FALSE)</f>
        <v>K03159</v>
      </c>
      <c r="I11">
        <f>'2020_5-2-2_Download'!D19</f>
        <v>9833</v>
      </c>
    </row>
    <row r="12" spans="2:9">
      <c r="B12">
        <f>'2020_5-2-2_Download'!B20</f>
        <v>1</v>
      </c>
      <c r="C12">
        <f>'2020_5-2-2_Download'!$D$5</f>
        <v>2020</v>
      </c>
      <c r="D12" t="str">
        <f>VLOOKUP(B12,[1]Tabelle1!$A$1:$B$68,2,FALSE)</f>
        <v>Stat. Region Braunschweig</v>
      </c>
      <c r="E12" t="str">
        <f>'2020_5-2-2_Download'!$D$7</f>
        <v>Insgesamt</v>
      </c>
      <c r="G12" t="s">
        <v>84</v>
      </c>
      <c r="H12" t="str">
        <f>VLOOKUP(B12,[2]Kreise!$A$2:$C$53,3,FALSE)</f>
        <v>K031</v>
      </c>
      <c r="I12">
        <f>'2020_5-2-2_Download'!D20</f>
        <v>53466</v>
      </c>
    </row>
    <row r="13" spans="2:9">
      <c r="B13">
        <f>'2020_5-2-2_Download'!B21</f>
        <v>241</v>
      </c>
      <c r="C13">
        <f>'2020_5-2-2_Download'!$D$5</f>
        <v>2020</v>
      </c>
      <c r="D13" t="str">
        <f>VLOOKUP(B13,[1]Tabelle1!$A$1:$B$68,2,FALSE)</f>
        <v>Hannover  Region</v>
      </c>
      <c r="E13" t="str">
        <f>'2020_5-2-2_Download'!$D$7</f>
        <v>Insgesamt</v>
      </c>
      <c r="G13" t="s">
        <v>84</v>
      </c>
      <c r="H13" t="str">
        <f>VLOOKUP(B13,[2]Kreise!$A$2:$C$53,3,FALSE)</f>
        <v>K03241</v>
      </c>
      <c r="I13">
        <f>'2020_5-2-2_Download'!D21</f>
        <v>62632</v>
      </c>
    </row>
    <row r="14" spans="2:9">
      <c r="B14">
        <f>'2020_5-2-2_Download'!B22</f>
        <v>241001</v>
      </c>
      <c r="C14">
        <f>'2020_5-2-2_Download'!$D$5</f>
        <v>2020</v>
      </c>
      <c r="D14" t="str">
        <f>VLOOKUP(B14,[1]Tabelle1!$A$1:$B$68,2,FALSE)</f>
        <v>dav. Hannover  Lhst.</v>
      </c>
      <c r="E14" t="str">
        <f>'2020_5-2-2_Download'!$D$7</f>
        <v>Insgesamt</v>
      </c>
      <c r="G14" t="s">
        <v>84</v>
      </c>
      <c r="H14" t="str">
        <f>VLOOKUP(B14,[2]Kreise!$A$2:$C$53,3,FALSE)</f>
        <v>K03241001</v>
      </c>
      <c r="I14">
        <f>'2020_5-2-2_Download'!D22</f>
        <v>38815</v>
      </c>
    </row>
    <row r="15" spans="2:9">
      <c r="B15">
        <f>'2020_5-2-2_Download'!B23</f>
        <v>241999</v>
      </c>
      <c r="C15">
        <f>'2020_5-2-2_Download'!$D$5</f>
        <v>2020</v>
      </c>
      <c r="D15" t="str">
        <f>VLOOKUP(B15,[1]Tabelle1!$A$1:$B$68,2,FALSE)</f>
        <v>dav. Hannover  Umland</v>
      </c>
      <c r="E15" t="str">
        <f>'2020_5-2-2_Download'!$D$7</f>
        <v>Insgesamt</v>
      </c>
      <c r="G15" t="s">
        <v>84</v>
      </c>
      <c r="H15" t="str">
        <f>VLOOKUP(B15,[2]Kreise!$A$2:$C$53,3,FALSE)</f>
        <v>K03241999</v>
      </c>
      <c r="I15">
        <f>'2020_5-2-2_Download'!D23</f>
        <v>23817</v>
      </c>
    </row>
    <row r="16" spans="2:9">
      <c r="B16">
        <f>'2020_5-2-2_Download'!B24</f>
        <v>251</v>
      </c>
      <c r="C16">
        <f>'2020_5-2-2_Download'!$D$5</f>
        <v>2020</v>
      </c>
      <c r="D16" t="str">
        <f>VLOOKUP(B16,[1]Tabelle1!$A$1:$B$68,2,FALSE)</f>
        <v>Diepholz</v>
      </c>
      <c r="E16" t="str">
        <f>'2020_5-2-2_Download'!$D$7</f>
        <v>Insgesamt</v>
      </c>
      <c r="G16" t="s">
        <v>84</v>
      </c>
      <c r="H16" t="str">
        <f>VLOOKUP(B16,[2]Kreise!$A$2:$C$53,3,FALSE)</f>
        <v>K03251</v>
      </c>
      <c r="I16">
        <f>'2020_5-2-2_Download'!D24</f>
        <v>6594</v>
      </c>
    </row>
    <row r="17" spans="2:9">
      <c r="B17">
        <f>'2020_5-2-2_Download'!B25</f>
        <v>252</v>
      </c>
      <c r="C17">
        <f>'2020_5-2-2_Download'!$D$5</f>
        <v>2020</v>
      </c>
      <c r="D17" t="str">
        <f>VLOOKUP(B17,[1]Tabelle1!$A$1:$B$68,2,FALSE)</f>
        <v>Hameln-Pyrmont</v>
      </c>
      <c r="E17" t="str">
        <f>'2020_5-2-2_Download'!$D$7</f>
        <v>Insgesamt</v>
      </c>
      <c r="G17" t="s">
        <v>84</v>
      </c>
      <c r="H17" t="str">
        <f>VLOOKUP(B17,[2]Kreise!$A$2:$C$53,3,FALSE)</f>
        <v>K03252</v>
      </c>
      <c r="I17">
        <f>'2020_5-2-2_Download'!D25</f>
        <v>4124</v>
      </c>
    </row>
    <row r="18" spans="2:9">
      <c r="B18">
        <f>'2020_5-2-2_Download'!B26</f>
        <v>254</v>
      </c>
      <c r="C18">
        <f>'2020_5-2-2_Download'!$D$5</f>
        <v>2020</v>
      </c>
      <c r="D18" t="str">
        <f>VLOOKUP(B18,[1]Tabelle1!$A$1:$B$68,2,FALSE)</f>
        <v>Hildesheim</v>
      </c>
      <c r="E18" t="str">
        <f>'2020_5-2-2_Download'!$D$7</f>
        <v>Insgesamt</v>
      </c>
      <c r="G18" t="s">
        <v>84</v>
      </c>
      <c r="H18" t="str">
        <f>VLOOKUP(B18,[2]Kreise!$A$2:$C$53,3,FALSE)</f>
        <v>K03254</v>
      </c>
      <c r="I18">
        <f>'2020_5-2-2_Download'!D26</f>
        <v>6461</v>
      </c>
    </row>
    <row r="19" spans="2:9">
      <c r="B19">
        <f>'2020_5-2-2_Download'!B27</f>
        <v>255</v>
      </c>
      <c r="C19">
        <f>'2020_5-2-2_Download'!$D$5</f>
        <v>2020</v>
      </c>
      <c r="D19" t="str">
        <f>VLOOKUP(B19,[1]Tabelle1!$A$1:$B$68,2,FALSE)</f>
        <v>Holzminden</v>
      </c>
      <c r="E19" t="str">
        <f>'2020_5-2-2_Download'!$D$7</f>
        <v>Insgesamt</v>
      </c>
      <c r="G19" t="s">
        <v>84</v>
      </c>
      <c r="H19" t="str">
        <f>VLOOKUP(B19,[2]Kreise!$A$2:$C$53,3,FALSE)</f>
        <v>K03255</v>
      </c>
      <c r="I19">
        <f>'2020_5-2-2_Download'!D27</f>
        <v>1484</v>
      </c>
    </row>
    <row r="20" spans="2:9">
      <c r="B20">
        <f>'2020_5-2-2_Download'!B28</f>
        <v>256</v>
      </c>
      <c r="C20">
        <f>'2020_5-2-2_Download'!$D$5</f>
        <v>2020</v>
      </c>
      <c r="D20" t="str">
        <f>VLOOKUP(B20,[1]Tabelle1!$A$1:$B$68,2,FALSE)</f>
        <v>Nienburg (Weser)</v>
      </c>
      <c r="E20" t="str">
        <f>'2020_5-2-2_Download'!$D$7</f>
        <v>Insgesamt</v>
      </c>
      <c r="G20" t="s">
        <v>84</v>
      </c>
      <c r="H20" t="str">
        <f>VLOOKUP(B20,[2]Kreise!$A$2:$C$53,3,FALSE)</f>
        <v>K03256</v>
      </c>
      <c r="I20">
        <f>'2020_5-2-2_Download'!D28</f>
        <v>4349</v>
      </c>
    </row>
    <row r="21" spans="2:9">
      <c r="B21">
        <f>'2020_5-2-2_Download'!B29</f>
        <v>257</v>
      </c>
      <c r="C21">
        <f>'2020_5-2-2_Download'!$D$5</f>
        <v>2020</v>
      </c>
      <c r="D21" t="str">
        <f>VLOOKUP(B21,[1]Tabelle1!$A$1:$B$68,2,FALSE)</f>
        <v>Schaumburg</v>
      </c>
      <c r="E21" t="str">
        <f>'2020_5-2-2_Download'!$D$7</f>
        <v>Insgesamt</v>
      </c>
      <c r="G21" t="s">
        <v>84</v>
      </c>
      <c r="H21" t="str">
        <f>VLOOKUP(B21,[2]Kreise!$A$2:$C$53,3,FALSE)</f>
        <v>K03257</v>
      </c>
      <c r="I21">
        <f>'2020_5-2-2_Download'!D29</f>
        <v>3862</v>
      </c>
    </row>
    <row r="22" spans="2:9">
      <c r="B22">
        <f>'2020_5-2-2_Download'!B30</f>
        <v>2</v>
      </c>
      <c r="C22">
        <f>'2020_5-2-2_Download'!$D$5</f>
        <v>2020</v>
      </c>
      <c r="D22" t="str">
        <f>VLOOKUP(B22,[1]Tabelle1!$A$1:$B$68,2,FALSE)</f>
        <v>Stat. Region Hannover</v>
      </c>
      <c r="E22" t="str">
        <f>'2020_5-2-2_Download'!$D$7</f>
        <v>Insgesamt</v>
      </c>
      <c r="G22" t="s">
        <v>84</v>
      </c>
      <c r="H22" t="str">
        <f>VLOOKUP(B22,[2]Kreise!$A$2:$C$53,3,FALSE)</f>
        <v>K032</v>
      </c>
      <c r="I22">
        <f>'2020_5-2-2_Download'!D30</f>
        <v>89506</v>
      </c>
    </row>
    <row r="23" spans="2:9">
      <c r="B23">
        <f>'2020_5-2-2_Download'!B31</f>
        <v>351</v>
      </c>
      <c r="C23">
        <f>'2020_5-2-2_Download'!$D$5</f>
        <v>2020</v>
      </c>
      <c r="D23" t="str">
        <f>VLOOKUP(B23,[1]Tabelle1!$A$1:$B$68,2,FALSE)</f>
        <v>Celle</v>
      </c>
      <c r="E23" t="str">
        <f>'2020_5-2-2_Download'!$D$7</f>
        <v>Insgesamt</v>
      </c>
      <c r="G23" t="s">
        <v>84</v>
      </c>
      <c r="H23" t="str">
        <f>VLOOKUP(B23,[2]Kreise!$A$2:$C$53,3,FALSE)</f>
        <v>K03351</v>
      </c>
      <c r="I23">
        <f>'2020_5-2-2_Download'!D31</f>
        <v>4092</v>
      </c>
    </row>
    <row r="24" spans="2:9">
      <c r="B24">
        <f>'2020_5-2-2_Download'!B32</f>
        <v>352</v>
      </c>
      <c r="C24">
        <f>'2020_5-2-2_Download'!$D$5</f>
        <v>2020</v>
      </c>
      <c r="D24" t="str">
        <f>VLOOKUP(B24,[1]Tabelle1!$A$1:$B$68,2,FALSE)</f>
        <v>Cuxhaven</v>
      </c>
      <c r="E24" t="str">
        <f>'2020_5-2-2_Download'!$D$7</f>
        <v>Insgesamt</v>
      </c>
      <c r="G24" t="s">
        <v>84</v>
      </c>
      <c r="H24" t="str">
        <f>VLOOKUP(B24,[2]Kreise!$A$2:$C$53,3,FALSE)</f>
        <v>K03352</v>
      </c>
      <c r="I24">
        <f>'2020_5-2-2_Download'!D32</f>
        <v>4388</v>
      </c>
    </row>
    <row r="25" spans="2:9">
      <c r="B25">
        <f>'2020_5-2-2_Download'!B33</f>
        <v>353</v>
      </c>
      <c r="C25">
        <f>'2020_5-2-2_Download'!$D$5</f>
        <v>2020</v>
      </c>
      <c r="D25" t="str">
        <f>VLOOKUP(B25,[1]Tabelle1!$A$1:$B$68,2,FALSE)</f>
        <v>Harburg</v>
      </c>
      <c r="E25" t="str">
        <f>'2020_5-2-2_Download'!$D$7</f>
        <v>Insgesamt</v>
      </c>
      <c r="G25" t="s">
        <v>84</v>
      </c>
      <c r="H25" t="str">
        <f>VLOOKUP(B25,[2]Kreise!$A$2:$C$53,3,FALSE)</f>
        <v>K03353</v>
      </c>
      <c r="I25">
        <f>'2020_5-2-2_Download'!D33</f>
        <v>9737</v>
      </c>
    </row>
    <row r="26" spans="2:9">
      <c r="B26">
        <f>'2020_5-2-2_Download'!B34</f>
        <v>354</v>
      </c>
      <c r="C26">
        <f>'2020_5-2-2_Download'!$D$5</f>
        <v>2020</v>
      </c>
      <c r="D26" t="str">
        <f>VLOOKUP(B26,[1]Tabelle1!$A$1:$B$68,2,FALSE)</f>
        <v>Lüchow-Dannenberg</v>
      </c>
      <c r="E26" t="str">
        <f>'2020_5-2-2_Download'!$D$7</f>
        <v>Insgesamt</v>
      </c>
      <c r="G26" t="s">
        <v>84</v>
      </c>
      <c r="H26" t="str">
        <f>VLOOKUP(B26,[2]Kreise!$A$2:$C$53,3,FALSE)</f>
        <v>K03354</v>
      </c>
      <c r="I26">
        <f>'2020_5-2-2_Download'!D34</f>
        <v>750</v>
      </c>
    </row>
    <row r="27" spans="2:9">
      <c r="B27">
        <f>'2020_5-2-2_Download'!B35</f>
        <v>355</v>
      </c>
      <c r="C27">
        <f>'2020_5-2-2_Download'!$D$5</f>
        <v>2020</v>
      </c>
      <c r="D27" t="str">
        <f>VLOOKUP(B27,[1]Tabelle1!$A$1:$B$68,2,FALSE)</f>
        <v>Lüneburg</v>
      </c>
      <c r="E27" t="str">
        <f>'2020_5-2-2_Download'!$D$7</f>
        <v>Insgesamt</v>
      </c>
      <c r="G27" t="s">
        <v>84</v>
      </c>
      <c r="H27" t="str">
        <f>VLOOKUP(B27,[2]Kreise!$A$2:$C$53,3,FALSE)</f>
        <v>K03355</v>
      </c>
      <c r="I27">
        <f>'2020_5-2-2_Download'!D35</f>
        <v>3926</v>
      </c>
    </row>
    <row r="28" spans="2:9">
      <c r="B28">
        <f>'2020_5-2-2_Download'!B36</f>
        <v>356</v>
      </c>
      <c r="C28">
        <f>'2020_5-2-2_Download'!$D$5</f>
        <v>2020</v>
      </c>
      <c r="D28" t="str">
        <f>VLOOKUP(B28,[1]Tabelle1!$A$1:$B$68,2,FALSE)</f>
        <v>Osterholz</v>
      </c>
      <c r="E28" t="str">
        <f>'2020_5-2-2_Download'!$D$7</f>
        <v>Insgesamt</v>
      </c>
      <c r="G28" t="s">
        <v>84</v>
      </c>
      <c r="H28" t="str">
        <f>VLOOKUP(B28,[2]Kreise!$A$2:$C$53,3,FALSE)</f>
        <v>K03356</v>
      </c>
      <c r="I28">
        <f>'2020_5-2-2_Download'!D36</f>
        <v>2020</v>
      </c>
    </row>
    <row r="29" spans="2:9">
      <c r="B29">
        <f>'2020_5-2-2_Download'!B37</f>
        <v>357</v>
      </c>
      <c r="C29">
        <f>'2020_5-2-2_Download'!$D$5</f>
        <v>2020</v>
      </c>
      <c r="D29" t="str">
        <f>VLOOKUP(B29,[1]Tabelle1!$A$1:$B$68,2,FALSE)</f>
        <v>Rotenburg (Wümme)</v>
      </c>
      <c r="E29" t="str">
        <f>'2020_5-2-2_Download'!$D$7</f>
        <v>Insgesamt</v>
      </c>
      <c r="G29" t="s">
        <v>84</v>
      </c>
      <c r="H29" t="str">
        <f>VLOOKUP(B29,[2]Kreise!$A$2:$C$53,3,FALSE)</f>
        <v>K03357</v>
      </c>
      <c r="I29">
        <f>'2020_5-2-2_Download'!D37</f>
        <v>4630</v>
      </c>
    </row>
    <row r="30" spans="2:9">
      <c r="B30">
        <f>'2020_5-2-2_Download'!B38</f>
        <v>358</v>
      </c>
      <c r="C30">
        <f>'2020_5-2-2_Download'!$D$5</f>
        <v>2020</v>
      </c>
      <c r="D30" t="str">
        <f>VLOOKUP(B30,[1]Tabelle1!$A$1:$B$68,2,FALSE)</f>
        <v>Heidekreis</v>
      </c>
      <c r="E30" t="str">
        <f>'2020_5-2-2_Download'!$D$7</f>
        <v>Insgesamt</v>
      </c>
      <c r="G30" t="s">
        <v>84</v>
      </c>
      <c r="H30" t="str">
        <f>VLOOKUP(B30,[2]Kreise!$A$2:$C$53,3,FALSE)</f>
        <v>K03358</v>
      </c>
      <c r="I30">
        <f>'2020_5-2-2_Download'!D38</f>
        <v>4303</v>
      </c>
    </row>
    <row r="31" spans="2:9">
      <c r="B31">
        <f>'2020_5-2-2_Download'!B39</f>
        <v>359</v>
      </c>
      <c r="C31">
        <f>'2020_5-2-2_Download'!$D$5</f>
        <v>2020</v>
      </c>
      <c r="D31" t="str">
        <f>VLOOKUP(B31,[1]Tabelle1!$A$1:$B$68,2,FALSE)</f>
        <v>Stade</v>
      </c>
      <c r="E31" t="str">
        <f>'2020_5-2-2_Download'!$D$7</f>
        <v>Insgesamt</v>
      </c>
      <c r="G31" t="s">
        <v>84</v>
      </c>
      <c r="H31" t="str">
        <f>VLOOKUP(B31,[2]Kreise!$A$2:$C$53,3,FALSE)</f>
        <v>K03359</v>
      </c>
      <c r="I31">
        <f>'2020_5-2-2_Download'!D39</f>
        <v>5874</v>
      </c>
    </row>
    <row r="32" spans="2:9">
      <c r="B32">
        <f>'2020_5-2-2_Download'!B40</f>
        <v>360</v>
      </c>
      <c r="C32">
        <f>'2020_5-2-2_Download'!$D$5</f>
        <v>2020</v>
      </c>
      <c r="D32" t="str">
        <f>VLOOKUP(B32,[1]Tabelle1!$A$1:$B$68,2,FALSE)</f>
        <v>Uelzen</v>
      </c>
      <c r="E32" t="str">
        <f>'2020_5-2-2_Download'!$D$7</f>
        <v>Insgesamt</v>
      </c>
      <c r="G32" t="s">
        <v>84</v>
      </c>
      <c r="H32" t="str">
        <f>VLOOKUP(B32,[2]Kreise!$A$2:$C$53,3,FALSE)</f>
        <v>K03360</v>
      </c>
      <c r="I32">
        <f>'2020_5-2-2_Download'!D40</f>
        <v>1682</v>
      </c>
    </row>
    <row r="33" spans="2:9">
      <c r="B33">
        <f>'2020_5-2-2_Download'!B41</f>
        <v>361</v>
      </c>
      <c r="C33">
        <f>'2020_5-2-2_Download'!$D$5</f>
        <v>2020</v>
      </c>
      <c r="D33" t="str">
        <f>VLOOKUP(B33,[1]Tabelle1!$A$1:$B$68,2,FALSE)</f>
        <v>Verden</v>
      </c>
      <c r="E33" t="str">
        <f>'2020_5-2-2_Download'!$D$7</f>
        <v>Insgesamt</v>
      </c>
      <c r="G33" t="s">
        <v>84</v>
      </c>
      <c r="H33" t="str">
        <f>VLOOKUP(B33,[2]Kreise!$A$2:$C$53,3,FALSE)</f>
        <v>K03361</v>
      </c>
      <c r="I33">
        <f>'2020_5-2-2_Download'!D41</f>
        <v>5629</v>
      </c>
    </row>
    <row r="34" spans="2:9">
      <c r="B34">
        <f>'2020_5-2-2_Download'!B42</f>
        <v>3</v>
      </c>
      <c r="C34">
        <f>'2020_5-2-2_Download'!$D$5</f>
        <v>2020</v>
      </c>
      <c r="D34" t="str">
        <f>VLOOKUP(B34,[1]Tabelle1!$A$1:$B$68,2,FALSE)</f>
        <v>Stat. Region Lüneburg</v>
      </c>
      <c r="E34" t="str">
        <f>'2020_5-2-2_Download'!$D$7</f>
        <v>Insgesamt</v>
      </c>
      <c r="G34" t="s">
        <v>84</v>
      </c>
      <c r="H34" t="str">
        <f>VLOOKUP(B34,[2]Kreise!$A$2:$C$53,3,FALSE)</f>
        <v>K033</v>
      </c>
      <c r="I34">
        <f>'2020_5-2-2_Download'!D42</f>
        <v>47031</v>
      </c>
    </row>
    <row r="35" spans="2:9">
      <c r="B35">
        <f>'2020_5-2-2_Download'!B43</f>
        <v>401</v>
      </c>
      <c r="C35">
        <f>'2020_5-2-2_Download'!$D$5</f>
        <v>2020</v>
      </c>
      <c r="D35" t="str">
        <f>VLOOKUP(B35,[1]Tabelle1!$A$1:$B$68,2,FALSE)</f>
        <v>Delmenhorst  Stadt</v>
      </c>
      <c r="E35" t="str">
        <f>'2020_5-2-2_Download'!$D$7</f>
        <v>Insgesamt</v>
      </c>
      <c r="G35" t="s">
        <v>84</v>
      </c>
      <c r="H35" t="str">
        <f>VLOOKUP(B35,[2]Kreise!$A$2:$C$53,3,FALSE)</f>
        <v>K03401</v>
      </c>
      <c r="I35">
        <f>'2020_5-2-2_Download'!D43</f>
        <v>1864</v>
      </c>
    </row>
    <row r="36" spans="2:9">
      <c r="B36">
        <f>'2020_5-2-2_Download'!B44</f>
        <v>402</v>
      </c>
      <c r="C36">
        <f>'2020_5-2-2_Download'!$D$5</f>
        <v>2020</v>
      </c>
      <c r="D36" t="str">
        <f>VLOOKUP(B36,[1]Tabelle1!$A$1:$B$68,2,FALSE)</f>
        <v>Emden  Stadt</v>
      </c>
      <c r="E36" t="str">
        <f>'2020_5-2-2_Download'!$D$7</f>
        <v>Insgesamt</v>
      </c>
      <c r="G36" t="s">
        <v>84</v>
      </c>
      <c r="H36" t="str">
        <f>VLOOKUP(B36,[2]Kreise!$A$2:$C$53,3,FALSE)</f>
        <v>K03402</v>
      </c>
      <c r="I36">
        <f>'2020_5-2-2_Download'!D44</f>
        <v>1823</v>
      </c>
    </row>
    <row r="37" spans="2:9">
      <c r="B37">
        <f>'2020_5-2-2_Download'!B45</f>
        <v>403</v>
      </c>
      <c r="C37">
        <f>'2020_5-2-2_Download'!$D$5</f>
        <v>2020</v>
      </c>
      <c r="D37" t="str">
        <f>VLOOKUP(B37,[1]Tabelle1!$A$1:$B$68,2,FALSE)</f>
        <v>Oldenburg(Oldb)  Stadt</v>
      </c>
      <c r="E37" t="str">
        <f>'2020_5-2-2_Download'!$D$7</f>
        <v>Insgesamt</v>
      </c>
      <c r="G37" t="s">
        <v>84</v>
      </c>
      <c r="H37" t="str">
        <f>VLOOKUP(B37,[2]Kreise!$A$2:$C$53,3,FALSE)</f>
        <v>K03403</v>
      </c>
      <c r="I37">
        <f>'2020_5-2-2_Download'!D45</f>
        <v>6162</v>
      </c>
    </row>
    <row r="38" spans="2:9">
      <c r="B38">
        <f>'2020_5-2-2_Download'!B46</f>
        <v>404</v>
      </c>
      <c r="C38">
        <f>'2020_5-2-2_Download'!$D$5</f>
        <v>2020</v>
      </c>
      <c r="D38" t="str">
        <f>VLOOKUP(B38,[1]Tabelle1!$A$1:$B$68,2,FALSE)</f>
        <v>Osnabrück  Stadt</v>
      </c>
      <c r="E38" t="str">
        <f>'2020_5-2-2_Download'!$D$7</f>
        <v>Insgesamt</v>
      </c>
      <c r="G38" t="s">
        <v>84</v>
      </c>
      <c r="H38" t="str">
        <f>VLOOKUP(B38,[2]Kreise!$A$2:$C$53,3,FALSE)</f>
        <v>K03404</v>
      </c>
      <c r="I38">
        <f>'2020_5-2-2_Download'!D46</f>
        <v>8847</v>
      </c>
    </row>
    <row r="39" spans="2:9">
      <c r="B39">
        <f>'2020_5-2-2_Download'!B47</f>
        <v>405</v>
      </c>
      <c r="C39">
        <f>'2020_5-2-2_Download'!$D$5</f>
        <v>2020</v>
      </c>
      <c r="D39" t="str">
        <f>VLOOKUP(B39,[1]Tabelle1!$A$1:$B$68,2,FALSE)</f>
        <v>Wilhelmshaven  Stadt</v>
      </c>
      <c r="E39" t="str">
        <f>'2020_5-2-2_Download'!$D$7</f>
        <v>Insgesamt</v>
      </c>
      <c r="G39" t="s">
        <v>84</v>
      </c>
      <c r="H39" t="str">
        <f>VLOOKUP(B39,[2]Kreise!$A$2:$C$53,3,FALSE)</f>
        <v>K03405</v>
      </c>
      <c r="I39">
        <f>'2020_5-2-2_Download'!D47</f>
        <v>1855</v>
      </c>
    </row>
    <row r="40" spans="2:9">
      <c r="B40">
        <f>'2020_5-2-2_Download'!B48</f>
        <v>451</v>
      </c>
      <c r="C40">
        <f>'2020_5-2-2_Download'!$D$5</f>
        <v>2020</v>
      </c>
      <c r="D40" t="str">
        <f>VLOOKUP(B40,[1]Tabelle1!$A$1:$B$68,2,FALSE)</f>
        <v>Ammerland</v>
      </c>
      <c r="E40" t="str">
        <f>'2020_5-2-2_Download'!$D$7</f>
        <v>Insgesamt</v>
      </c>
      <c r="G40" t="s">
        <v>84</v>
      </c>
      <c r="H40" t="str">
        <f>VLOOKUP(B40,[2]Kreise!$A$2:$C$53,3,FALSE)</f>
        <v>K03451</v>
      </c>
      <c r="I40">
        <f>'2020_5-2-2_Download'!D48</f>
        <v>4153</v>
      </c>
    </row>
    <row r="41" spans="2:9">
      <c r="B41">
        <f>'2020_5-2-2_Download'!B49</f>
        <v>452</v>
      </c>
      <c r="C41">
        <f>'2020_5-2-2_Download'!$D$5</f>
        <v>2020</v>
      </c>
      <c r="D41" t="str">
        <f>VLOOKUP(B41,[1]Tabelle1!$A$1:$B$68,2,FALSE)</f>
        <v>Aurich</v>
      </c>
      <c r="E41" t="str">
        <f>'2020_5-2-2_Download'!$D$7</f>
        <v>Insgesamt</v>
      </c>
      <c r="G41" t="s">
        <v>84</v>
      </c>
      <c r="H41" t="str">
        <f>VLOOKUP(B41,[2]Kreise!$A$2:$C$53,3,FALSE)</f>
        <v>K03452</v>
      </c>
      <c r="I41">
        <f>'2020_5-2-2_Download'!D49</f>
        <v>4164</v>
      </c>
    </row>
    <row r="42" spans="2:9">
      <c r="B42">
        <f>'2020_5-2-2_Download'!B50</f>
        <v>453</v>
      </c>
      <c r="C42">
        <f>'2020_5-2-2_Download'!$D$5</f>
        <v>2020</v>
      </c>
      <c r="D42" t="str">
        <f>VLOOKUP(B42,[1]Tabelle1!$A$1:$B$68,2,FALSE)</f>
        <v>Cloppenburg</v>
      </c>
      <c r="E42" t="str">
        <f>'2020_5-2-2_Download'!$D$7</f>
        <v>Insgesamt</v>
      </c>
      <c r="G42" t="s">
        <v>84</v>
      </c>
      <c r="H42" t="str">
        <f>VLOOKUP(B42,[2]Kreise!$A$2:$C$53,3,FALSE)</f>
        <v>K03453</v>
      </c>
      <c r="I42">
        <f>'2020_5-2-2_Download'!D50</f>
        <v>10632</v>
      </c>
    </row>
    <row r="43" spans="2:9">
      <c r="B43">
        <f>'2020_5-2-2_Download'!B51</f>
        <v>454</v>
      </c>
      <c r="C43">
        <f>'2020_5-2-2_Download'!$D$5</f>
        <v>2020</v>
      </c>
      <c r="D43" t="str">
        <f>VLOOKUP(B43,[1]Tabelle1!$A$1:$B$68,2,FALSE)</f>
        <v>Emsland</v>
      </c>
      <c r="E43" t="str">
        <f>'2020_5-2-2_Download'!$D$7</f>
        <v>Insgesamt</v>
      </c>
      <c r="G43" t="s">
        <v>84</v>
      </c>
      <c r="H43" t="str">
        <f>VLOOKUP(B43,[2]Kreise!$A$2:$C$53,3,FALSE)</f>
        <v>K03454</v>
      </c>
      <c r="I43">
        <f>'2020_5-2-2_Download'!D51</f>
        <v>14967</v>
      </c>
    </row>
    <row r="44" spans="2:9">
      <c r="B44">
        <f>'2020_5-2-2_Download'!B52</f>
        <v>455</v>
      </c>
      <c r="C44">
        <f>'2020_5-2-2_Download'!$D$5</f>
        <v>2020</v>
      </c>
      <c r="D44" t="str">
        <f>VLOOKUP(B44,[1]Tabelle1!$A$1:$B$68,2,FALSE)</f>
        <v>Friesland</v>
      </c>
      <c r="E44" t="str">
        <f>'2020_5-2-2_Download'!$D$7</f>
        <v>Insgesamt</v>
      </c>
      <c r="G44" t="s">
        <v>84</v>
      </c>
      <c r="H44" t="str">
        <f>VLOOKUP(B44,[2]Kreise!$A$2:$C$53,3,FALSE)</f>
        <v>K03455</v>
      </c>
      <c r="I44">
        <f>'2020_5-2-2_Download'!D52</f>
        <v>1524</v>
      </c>
    </row>
    <row r="45" spans="2:9">
      <c r="B45">
        <f>'2020_5-2-2_Download'!B53</f>
        <v>456</v>
      </c>
      <c r="C45">
        <f>'2020_5-2-2_Download'!$D$5</f>
        <v>2020</v>
      </c>
      <c r="D45" t="str">
        <f>VLOOKUP(B45,[1]Tabelle1!$A$1:$B$68,2,FALSE)</f>
        <v>Grafschaft Bentheim</v>
      </c>
      <c r="E45" t="str">
        <f>'2020_5-2-2_Download'!$D$7</f>
        <v>Insgesamt</v>
      </c>
      <c r="G45" t="s">
        <v>84</v>
      </c>
      <c r="H45" t="str">
        <f>VLOOKUP(B45,[2]Kreise!$A$2:$C$53,3,FALSE)</f>
        <v>K03456</v>
      </c>
      <c r="I45">
        <f>'2020_5-2-2_Download'!D53</f>
        <v>5790</v>
      </c>
    </row>
    <row r="46" spans="2:9">
      <c r="B46">
        <f>'2020_5-2-2_Download'!B54</f>
        <v>457</v>
      </c>
      <c r="C46">
        <f>'2020_5-2-2_Download'!$D$5</f>
        <v>2020</v>
      </c>
      <c r="D46" t="str">
        <f>VLOOKUP(B46,[1]Tabelle1!$A$1:$B$68,2,FALSE)</f>
        <v>Leer</v>
      </c>
      <c r="E46" t="str">
        <f>'2020_5-2-2_Download'!$D$7</f>
        <v>Insgesamt</v>
      </c>
      <c r="G46" t="s">
        <v>84</v>
      </c>
      <c r="H46" t="str">
        <f>VLOOKUP(B46,[2]Kreise!$A$2:$C$53,3,FALSE)</f>
        <v>K03457</v>
      </c>
      <c r="I46">
        <f>'2020_5-2-2_Download'!D54</f>
        <v>3766</v>
      </c>
    </row>
    <row r="47" spans="2:9">
      <c r="B47">
        <f>'2020_5-2-2_Download'!B55</f>
        <v>458</v>
      </c>
      <c r="C47">
        <f>'2020_5-2-2_Download'!$D$5</f>
        <v>2020</v>
      </c>
      <c r="D47" t="str">
        <f>VLOOKUP(B47,[1]Tabelle1!$A$1:$B$68,2,FALSE)</f>
        <v>Oldenburg</v>
      </c>
      <c r="E47" t="str">
        <f>'2020_5-2-2_Download'!$D$7</f>
        <v>Insgesamt</v>
      </c>
      <c r="G47" t="s">
        <v>84</v>
      </c>
      <c r="H47" t="str">
        <f>VLOOKUP(B47,[2]Kreise!$A$2:$C$53,3,FALSE)</f>
        <v>K03458</v>
      </c>
      <c r="I47">
        <f>'2020_5-2-2_Download'!D55</f>
        <v>3842</v>
      </c>
    </row>
    <row r="48" spans="2:9">
      <c r="B48">
        <f>'2020_5-2-2_Download'!B56</f>
        <v>459</v>
      </c>
      <c r="C48">
        <f>'2020_5-2-2_Download'!$D$5</f>
        <v>2020</v>
      </c>
      <c r="D48" t="str">
        <f>VLOOKUP(B48,[1]Tabelle1!$A$1:$B$68,2,FALSE)</f>
        <v>Osnabrück</v>
      </c>
      <c r="E48" t="str">
        <f>'2020_5-2-2_Download'!$D$7</f>
        <v>Insgesamt</v>
      </c>
      <c r="G48" t="s">
        <v>84</v>
      </c>
      <c r="H48" t="str">
        <f>VLOOKUP(B48,[2]Kreise!$A$2:$C$53,3,FALSE)</f>
        <v>K03459</v>
      </c>
      <c r="I48">
        <f>'2020_5-2-2_Download'!D56</f>
        <v>17707</v>
      </c>
    </row>
    <row r="49" spans="2:9">
      <c r="B49">
        <f>'2020_5-2-2_Download'!B57</f>
        <v>460</v>
      </c>
      <c r="C49">
        <f>'2020_5-2-2_Download'!$D$5</f>
        <v>2020</v>
      </c>
      <c r="D49" t="str">
        <f>VLOOKUP(B49,[1]Tabelle1!$A$1:$B$68,2,FALSE)</f>
        <v>Vechta</v>
      </c>
      <c r="E49" t="str">
        <f>'2020_5-2-2_Download'!$D$7</f>
        <v>Insgesamt</v>
      </c>
      <c r="G49" t="s">
        <v>84</v>
      </c>
      <c r="H49" t="str">
        <f>VLOOKUP(B49,[2]Kreise!$A$2:$C$53,3,FALSE)</f>
        <v>K03460</v>
      </c>
      <c r="I49">
        <f>'2020_5-2-2_Download'!D57</f>
        <v>11205</v>
      </c>
    </row>
    <row r="50" spans="2:9">
      <c r="B50">
        <f>'2020_5-2-2_Download'!B58</f>
        <v>461</v>
      </c>
      <c r="C50">
        <f>'2020_5-2-2_Download'!$D$5</f>
        <v>2020</v>
      </c>
      <c r="D50" t="str">
        <f>VLOOKUP(B50,[1]Tabelle1!$A$1:$B$68,2,FALSE)</f>
        <v>Wesermarsch</v>
      </c>
      <c r="E50" t="str">
        <f>'2020_5-2-2_Download'!$D$7</f>
        <v>Insgesamt</v>
      </c>
      <c r="G50" t="s">
        <v>84</v>
      </c>
      <c r="H50" t="str">
        <f>VLOOKUP(B50,[2]Kreise!$A$2:$C$53,3,FALSE)</f>
        <v>K03461</v>
      </c>
      <c r="I50">
        <f>'2020_5-2-2_Download'!D58</f>
        <v>2505</v>
      </c>
    </row>
    <row r="51" spans="2:9">
      <c r="B51">
        <f>'2020_5-2-2_Download'!B59</f>
        <v>462</v>
      </c>
      <c r="C51">
        <f>'2020_5-2-2_Download'!$D$5</f>
        <v>2020</v>
      </c>
      <c r="D51" t="str">
        <f>VLOOKUP(B51,[1]Tabelle1!$A$1:$B$68,2,FALSE)</f>
        <v>Wittmund</v>
      </c>
      <c r="E51" t="str">
        <f>'2020_5-2-2_Download'!$D$7</f>
        <v>Insgesamt</v>
      </c>
      <c r="G51" t="s">
        <v>84</v>
      </c>
      <c r="H51" t="str">
        <f>VLOOKUP(B51,[2]Kreise!$A$2:$C$53,3,FALSE)</f>
        <v>K03462</v>
      </c>
      <c r="I51">
        <f>'2020_5-2-2_Download'!D59</f>
        <v>924</v>
      </c>
    </row>
    <row r="52" spans="2:9">
      <c r="B52">
        <f>'2020_5-2-2_Download'!B60</f>
        <v>4</v>
      </c>
      <c r="C52">
        <f>'2020_5-2-2_Download'!$D$5</f>
        <v>2020</v>
      </c>
      <c r="D52" t="str">
        <f>VLOOKUP(B52,[1]Tabelle1!$A$1:$B$68,2,FALSE)</f>
        <v>Stat. Region Weser-Ems</v>
      </c>
      <c r="E52" t="str">
        <f>'2020_5-2-2_Download'!$D$7</f>
        <v>Insgesamt</v>
      </c>
      <c r="G52" t="s">
        <v>84</v>
      </c>
      <c r="H52" t="str">
        <f>VLOOKUP(B52,[2]Kreise!$A$2:$C$53,3,FALSE)</f>
        <v>K034</v>
      </c>
      <c r="I52">
        <f>'2020_5-2-2_Download'!D60</f>
        <v>101730</v>
      </c>
    </row>
    <row r="53" spans="2:9">
      <c r="B53">
        <f>'2020_5-2-2_Download'!B61</f>
        <v>0</v>
      </c>
      <c r="C53">
        <f>'2020_5-2-2_Download'!$D$5</f>
        <v>2020</v>
      </c>
      <c r="D53" t="str">
        <f>VLOOKUP(B53,[1]Tabelle1!$A$1:$B$68,2,FALSE)</f>
        <v>Niedersachsen</v>
      </c>
      <c r="E53" t="str">
        <f>'2020_5-2-2_Download'!$D$7</f>
        <v>Insgesamt</v>
      </c>
      <c r="G53" t="s">
        <v>84</v>
      </c>
      <c r="H53" t="str">
        <f>VLOOKUP(B53,[2]Kreise!$A$2:$C$53,3,FALSE)</f>
        <v>K030</v>
      </c>
      <c r="I53">
        <f>'2020_5-2-2_Download'!D61</f>
        <v>291733</v>
      </c>
    </row>
    <row r="54" spans="2:9">
      <c r="B54">
        <f>'2020_5-2-2_Download'!B10</f>
        <v>101</v>
      </c>
      <c r="C54">
        <f>'2020_5-2-2_Download'!$D$5</f>
        <v>2020</v>
      </c>
      <c r="D54" t="str">
        <f>VLOOKUP(B54,[1]Tabelle1!$A$1:$B$68,2,FALSE)</f>
        <v>Braunschweig  Stadt</v>
      </c>
      <c r="E54" t="str">
        <f>'2020_5-2-2_Download'!$E$7</f>
        <v>Männer</v>
      </c>
      <c r="G54" t="s">
        <v>84</v>
      </c>
      <c r="H54" t="str">
        <f>VLOOKUP(B54,[2]Kreise!$A$2:$C$53,3,FALSE)</f>
        <v>K03101</v>
      </c>
      <c r="I54">
        <f>'2020_5-2-2_Download'!E10</f>
        <v>6997</v>
      </c>
    </row>
    <row r="55" spans="2:9">
      <c r="B55">
        <f>'2020_5-2-2_Download'!B11</f>
        <v>102</v>
      </c>
      <c r="C55">
        <f>'2020_5-2-2_Download'!$D$5</f>
        <v>2020</v>
      </c>
      <c r="D55" t="str">
        <f>VLOOKUP(B55,[1]Tabelle1!$A$1:$B$68,2,FALSE)</f>
        <v>Salzgitter  Stadt</v>
      </c>
      <c r="E55" t="str">
        <f>'2020_5-2-2_Download'!$E$7</f>
        <v>Männer</v>
      </c>
      <c r="G55" t="s">
        <v>84</v>
      </c>
      <c r="H55" t="str">
        <f>VLOOKUP(B55,[2]Kreise!$A$2:$C$53,3,FALSE)</f>
        <v>K03102</v>
      </c>
      <c r="I55">
        <f>'2020_5-2-2_Download'!E11</f>
        <v>3738</v>
      </c>
    </row>
    <row r="56" spans="2:9">
      <c r="B56">
        <f>'2020_5-2-2_Download'!B12</f>
        <v>103</v>
      </c>
      <c r="C56">
        <f>'2020_5-2-2_Download'!$D$5</f>
        <v>2020</v>
      </c>
      <c r="D56" t="str">
        <f>VLOOKUP(B56,[1]Tabelle1!$A$1:$B$68,2,FALSE)</f>
        <v>Wolfsburg  Stadt</v>
      </c>
      <c r="E56" t="str">
        <f>'2020_5-2-2_Download'!$E$7</f>
        <v>Männer</v>
      </c>
      <c r="G56" t="s">
        <v>84</v>
      </c>
      <c r="H56" t="str">
        <f>VLOOKUP(B56,[2]Kreise!$A$2:$C$53,3,FALSE)</f>
        <v>K03103</v>
      </c>
      <c r="I56">
        <f>'2020_5-2-2_Download'!E12</f>
        <v>7333</v>
      </c>
    </row>
    <row r="57" spans="2:9">
      <c r="B57">
        <f>'2020_5-2-2_Download'!B13</f>
        <v>151</v>
      </c>
      <c r="C57">
        <f>'2020_5-2-2_Download'!$D$5</f>
        <v>2020</v>
      </c>
      <c r="D57" t="str">
        <f>VLOOKUP(B57,[1]Tabelle1!$A$1:$B$68,2,FALSE)</f>
        <v>Gifhorn</v>
      </c>
      <c r="E57" t="str">
        <f>'2020_5-2-2_Download'!$E$7</f>
        <v>Männer</v>
      </c>
      <c r="G57" t="s">
        <v>84</v>
      </c>
      <c r="H57" t="str">
        <f>VLOOKUP(B57,[2]Kreise!$A$2:$C$53,3,FALSE)</f>
        <v>K03151</v>
      </c>
      <c r="I57">
        <f>'2020_5-2-2_Download'!E13</f>
        <v>2169</v>
      </c>
    </row>
    <row r="58" spans="2:9">
      <c r="B58">
        <f>'2020_5-2-2_Download'!B14</f>
        <v>153</v>
      </c>
      <c r="C58">
        <f>'2020_5-2-2_Download'!$D$5</f>
        <v>2020</v>
      </c>
      <c r="D58" t="str">
        <f>VLOOKUP(B58,[1]Tabelle1!$A$1:$B$68,2,FALSE)</f>
        <v>Goslar</v>
      </c>
      <c r="E58" t="str">
        <f>'2020_5-2-2_Download'!$E$7</f>
        <v>Männer</v>
      </c>
      <c r="G58" t="s">
        <v>84</v>
      </c>
      <c r="H58" t="str">
        <f>VLOOKUP(B58,[2]Kreise!$A$2:$C$53,3,FALSE)</f>
        <v>K03153</v>
      </c>
      <c r="I58">
        <f>'2020_5-2-2_Download'!E14</f>
        <v>2090</v>
      </c>
    </row>
    <row r="59" spans="2:9">
      <c r="B59">
        <f>'2020_5-2-2_Download'!B15</f>
        <v>154</v>
      </c>
      <c r="C59">
        <f>'2020_5-2-2_Download'!$D$5</f>
        <v>2020</v>
      </c>
      <c r="D59" t="str">
        <f>VLOOKUP(B59,[1]Tabelle1!$A$1:$B$68,2,FALSE)</f>
        <v>Helmstedt</v>
      </c>
      <c r="E59" t="str">
        <f>'2020_5-2-2_Download'!$E$7</f>
        <v>Männer</v>
      </c>
      <c r="G59" t="s">
        <v>84</v>
      </c>
      <c r="H59" t="str">
        <f>VLOOKUP(B59,[2]Kreise!$A$2:$C$53,3,FALSE)</f>
        <v>K03154</v>
      </c>
      <c r="I59">
        <f>'2020_5-2-2_Download'!E15</f>
        <v>1149</v>
      </c>
    </row>
    <row r="60" spans="2:9">
      <c r="B60">
        <f>'2020_5-2-2_Download'!B16</f>
        <v>155</v>
      </c>
      <c r="C60">
        <f>'2020_5-2-2_Download'!$D$5</f>
        <v>2020</v>
      </c>
      <c r="D60" t="str">
        <f>VLOOKUP(B60,[1]Tabelle1!$A$1:$B$68,2,FALSE)</f>
        <v>Northeim</v>
      </c>
      <c r="E60" t="str">
        <f>'2020_5-2-2_Download'!$E$7</f>
        <v>Männer</v>
      </c>
      <c r="G60" t="s">
        <v>84</v>
      </c>
      <c r="H60" t="str">
        <f>VLOOKUP(B60,[2]Kreise!$A$2:$C$53,3,FALSE)</f>
        <v>K03155</v>
      </c>
      <c r="I60">
        <f>'2020_5-2-2_Download'!E16</f>
        <v>2534</v>
      </c>
    </row>
    <row r="61" spans="2:9">
      <c r="B61">
        <f>'2020_5-2-2_Download'!B17</f>
        <v>157</v>
      </c>
      <c r="C61">
        <f>'2020_5-2-2_Download'!$D$5</f>
        <v>2020</v>
      </c>
      <c r="D61" t="str">
        <f>VLOOKUP(B61,[1]Tabelle1!$A$1:$B$68,2,FALSE)</f>
        <v>Peine</v>
      </c>
      <c r="E61" t="str">
        <f>'2020_5-2-2_Download'!$E$7</f>
        <v>Männer</v>
      </c>
      <c r="G61" t="s">
        <v>84</v>
      </c>
      <c r="H61" t="str">
        <f>VLOOKUP(B61,[2]Kreise!$A$2:$C$53,3,FALSE)</f>
        <v>K03157</v>
      </c>
      <c r="I61">
        <f>'2020_5-2-2_Download'!E17</f>
        <v>2434</v>
      </c>
    </row>
    <row r="62" spans="2:9">
      <c r="B62">
        <f>'2020_5-2-2_Download'!B18</f>
        <v>158</v>
      </c>
      <c r="C62">
        <f>'2020_5-2-2_Download'!$D$5</f>
        <v>2020</v>
      </c>
      <c r="D62" t="str">
        <f>VLOOKUP(B62,[1]Tabelle1!$A$1:$B$68,2,FALSE)</f>
        <v>Wolfenbüttel</v>
      </c>
      <c r="E62" t="str">
        <f>'2020_5-2-2_Download'!$E$7</f>
        <v>Männer</v>
      </c>
      <c r="G62" t="s">
        <v>84</v>
      </c>
      <c r="H62" t="str">
        <f>VLOOKUP(B62,[2]Kreise!$A$2:$C$53,3,FALSE)</f>
        <v>K03158</v>
      </c>
      <c r="I62">
        <f>'2020_5-2-2_Download'!E18</f>
        <v>1010</v>
      </c>
    </row>
    <row r="63" spans="2:9">
      <c r="B63">
        <f>'2020_5-2-2_Download'!B19</f>
        <v>159</v>
      </c>
      <c r="C63">
        <f>'2020_5-2-2_Download'!$D$5</f>
        <v>2020</v>
      </c>
      <c r="D63" t="str">
        <f>VLOOKUP(B63,[1]Tabelle1!$A$1:$B$68,2,FALSE)</f>
        <v>Göttingen</v>
      </c>
      <c r="E63" t="str">
        <f>'2020_5-2-2_Download'!$E$7</f>
        <v>Männer</v>
      </c>
      <c r="G63" t="s">
        <v>84</v>
      </c>
      <c r="H63" t="str">
        <f>VLOOKUP(B63,[2]Kreise!$A$2:$C$53,3,FALSE)</f>
        <v>K03159</v>
      </c>
      <c r="I63">
        <f>'2020_5-2-2_Download'!E19</f>
        <v>6074</v>
      </c>
    </row>
    <row r="64" spans="2:9">
      <c r="B64">
        <f>'2020_5-2-2_Download'!B20</f>
        <v>1</v>
      </c>
      <c r="C64">
        <f>'2020_5-2-2_Download'!$D$5</f>
        <v>2020</v>
      </c>
      <c r="D64" t="str">
        <f>VLOOKUP(B64,[1]Tabelle1!$A$1:$B$68,2,FALSE)</f>
        <v>Stat. Region Braunschweig</v>
      </c>
      <c r="E64" t="str">
        <f>'2020_5-2-2_Download'!$E$7</f>
        <v>Männer</v>
      </c>
      <c r="G64" t="s">
        <v>84</v>
      </c>
      <c r="H64" t="str">
        <f>VLOOKUP(B64,[2]Kreise!$A$2:$C$53,3,FALSE)</f>
        <v>K031</v>
      </c>
      <c r="I64">
        <f>'2020_5-2-2_Download'!E20</f>
        <v>35528</v>
      </c>
    </row>
    <row r="65" spans="2:9">
      <c r="B65">
        <f>'2020_5-2-2_Download'!B21</f>
        <v>241</v>
      </c>
      <c r="C65">
        <f>'2020_5-2-2_Download'!$D$5</f>
        <v>2020</v>
      </c>
      <c r="D65" t="str">
        <f>VLOOKUP(B65,[1]Tabelle1!$A$1:$B$68,2,FALSE)</f>
        <v>Hannover  Region</v>
      </c>
      <c r="E65" t="str">
        <f>'2020_5-2-2_Download'!$E$7</f>
        <v>Männer</v>
      </c>
      <c r="G65" t="s">
        <v>84</v>
      </c>
      <c r="H65" t="str">
        <f>VLOOKUP(B65,[2]Kreise!$A$2:$C$53,3,FALSE)</f>
        <v>K03241</v>
      </c>
      <c r="I65">
        <f>'2020_5-2-2_Download'!E21</f>
        <v>38889</v>
      </c>
    </row>
    <row r="66" spans="2:9">
      <c r="B66">
        <f>'2020_5-2-2_Download'!B22</f>
        <v>241001</v>
      </c>
      <c r="C66">
        <f>'2020_5-2-2_Download'!$D$5</f>
        <v>2020</v>
      </c>
      <c r="D66" t="str">
        <f>VLOOKUP(B66,[1]Tabelle1!$A$1:$B$68,2,FALSE)</f>
        <v>dav. Hannover  Lhst.</v>
      </c>
      <c r="E66" t="str">
        <f>'2020_5-2-2_Download'!$E$7</f>
        <v>Männer</v>
      </c>
      <c r="G66" t="s">
        <v>84</v>
      </c>
      <c r="H66" t="str">
        <f>VLOOKUP(B66,[2]Kreise!$A$2:$C$53,3,FALSE)</f>
        <v>K03241001</v>
      </c>
      <c r="I66">
        <f>'2020_5-2-2_Download'!E22</f>
        <v>22979</v>
      </c>
    </row>
    <row r="67" spans="2:9">
      <c r="B67">
        <f>'2020_5-2-2_Download'!B23</f>
        <v>241999</v>
      </c>
      <c r="C67">
        <f>'2020_5-2-2_Download'!$D$5</f>
        <v>2020</v>
      </c>
      <c r="D67" t="str">
        <f>VLOOKUP(B67,[1]Tabelle1!$A$1:$B$68,2,FALSE)</f>
        <v>dav. Hannover  Umland</v>
      </c>
      <c r="E67" t="str">
        <f>'2020_5-2-2_Download'!$E$7</f>
        <v>Männer</v>
      </c>
      <c r="G67" t="s">
        <v>84</v>
      </c>
      <c r="H67" t="str">
        <f>VLOOKUP(B67,[2]Kreise!$A$2:$C$53,3,FALSE)</f>
        <v>K03241999</v>
      </c>
      <c r="I67">
        <f>'2020_5-2-2_Download'!E23</f>
        <v>15910</v>
      </c>
    </row>
    <row r="68" spans="2:9">
      <c r="B68">
        <f>'2020_5-2-2_Download'!B24</f>
        <v>251</v>
      </c>
      <c r="C68">
        <f>'2020_5-2-2_Download'!$D$5</f>
        <v>2020</v>
      </c>
      <c r="D68" t="str">
        <f>VLOOKUP(B68,[1]Tabelle1!$A$1:$B$68,2,FALSE)</f>
        <v>Diepholz</v>
      </c>
      <c r="E68" t="str">
        <f>'2020_5-2-2_Download'!$E$7</f>
        <v>Männer</v>
      </c>
      <c r="G68" t="s">
        <v>84</v>
      </c>
      <c r="H68" t="str">
        <f>VLOOKUP(B68,[2]Kreise!$A$2:$C$53,3,FALSE)</f>
        <v>K03251</v>
      </c>
      <c r="I68">
        <f>'2020_5-2-2_Download'!E24</f>
        <v>4544</v>
      </c>
    </row>
    <row r="69" spans="2:9">
      <c r="B69">
        <f>'2020_5-2-2_Download'!B25</f>
        <v>252</v>
      </c>
      <c r="C69">
        <f>'2020_5-2-2_Download'!$D$5</f>
        <v>2020</v>
      </c>
      <c r="D69" t="str">
        <f>VLOOKUP(B69,[1]Tabelle1!$A$1:$B$68,2,FALSE)</f>
        <v>Hameln-Pyrmont</v>
      </c>
      <c r="E69" t="str">
        <f>'2020_5-2-2_Download'!$E$7</f>
        <v>Männer</v>
      </c>
      <c r="G69" t="s">
        <v>84</v>
      </c>
      <c r="H69" t="str">
        <f>VLOOKUP(B69,[2]Kreise!$A$2:$C$53,3,FALSE)</f>
        <v>K03252</v>
      </c>
      <c r="I69">
        <f>'2020_5-2-2_Download'!E25</f>
        <v>2541</v>
      </c>
    </row>
    <row r="70" spans="2:9">
      <c r="B70">
        <f>'2020_5-2-2_Download'!B26</f>
        <v>254</v>
      </c>
      <c r="C70">
        <f>'2020_5-2-2_Download'!$D$5</f>
        <v>2020</v>
      </c>
      <c r="D70" t="str">
        <f>VLOOKUP(B70,[1]Tabelle1!$A$1:$B$68,2,FALSE)</f>
        <v>Hildesheim</v>
      </c>
      <c r="E70" t="str">
        <f>'2020_5-2-2_Download'!$E$7</f>
        <v>Männer</v>
      </c>
      <c r="G70" t="s">
        <v>84</v>
      </c>
      <c r="H70" t="str">
        <f>VLOOKUP(B70,[2]Kreise!$A$2:$C$53,3,FALSE)</f>
        <v>K03254</v>
      </c>
      <c r="I70">
        <f>'2020_5-2-2_Download'!E26</f>
        <v>4211</v>
      </c>
    </row>
    <row r="71" spans="2:9">
      <c r="B71">
        <f>'2020_5-2-2_Download'!B27</f>
        <v>255</v>
      </c>
      <c r="C71">
        <f>'2020_5-2-2_Download'!$D$5</f>
        <v>2020</v>
      </c>
      <c r="D71" t="str">
        <f>VLOOKUP(B71,[1]Tabelle1!$A$1:$B$68,2,FALSE)</f>
        <v>Holzminden</v>
      </c>
      <c r="E71" t="str">
        <f>'2020_5-2-2_Download'!$E$7</f>
        <v>Männer</v>
      </c>
      <c r="G71" t="s">
        <v>84</v>
      </c>
      <c r="H71" t="str">
        <f>VLOOKUP(B71,[2]Kreise!$A$2:$C$53,3,FALSE)</f>
        <v>K03255</v>
      </c>
      <c r="I71">
        <f>'2020_5-2-2_Download'!E27</f>
        <v>998</v>
      </c>
    </row>
    <row r="72" spans="2:9">
      <c r="B72">
        <f>'2020_5-2-2_Download'!B28</f>
        <v>256</v>
      </c>
      <c r="C72">
        <f>'2020_5-2-2_Download'!$D$5</f>
        <v>2020</v>
      </c>
      <c r="D72" t="str">
        <f>VLOOKUP(B72,[1]Tabelle1!$A$1:$B$68,2,FALSE)</f>
        <v>Nienburg (Weser)</v>
      </c>
      <c r="E72" t="str">
        <f>'2020_5-2-2_Download'!$E$7</f>
        <v>Männer</v>
      </c>
      <c r="G72" t="s">
        <v>84</v>
      </c>
      <c r="H72" t="str">
        <f>VLOOKUP(B72,[2]Kreise!$A$2:$C$53,3,FALSE)</f>
        <v>K03256</v>
      </c>
      <c r="I72">
        <f>'2020_5-2-2_Download'!E28</f>
        <v>3022</v>
      </c>
    </row>
    <row r="73" spans="2:9">
      <c r="B73">
        <f>'2020_5-2-2_Download'!B29</f>
        <v>257</v>
      </c>
      <c r="C73">
        <f>'2020_5-2-2_Download'!$D$5</f>
        <v>2020</v>
      </c>
      <c r="D73" t="str">
        <f>VLOOKUP(B73,[1]Tabelle1!$A$1:$B$68,2,FALSE)</f>
        <v>Schaumburg</v>
      </c>
      <c r="E73" t="str">
        <f>'2020_5-2-2_Download'!$E$7</f>
        <v>Männer</v>
      </c>
      <c r="G73" t="s">
        <v>84</v>
      </c>
      <c r="H73" t="str">
        <f>VLOOKUP(B73,[2]Kreise!$A$2:$C$53,3,FALSE)</f>
        <v>K03257</v>
      </c>
      <c r="I73">
        <f>'2020_5-2-2_Download'!E29</f>
        <v>2539</v>
      </c>
    </row>
    <row r="74" spans="2:9">
      <c r="B74">
        <f>'2020_5-2-2_Download'!B30</f>
        <v>2</v>
      </c>
      <c r="C74">
        <f>'2020_5-2-2_Download'!$D$5</f>
        <v>2020</v>
      </c>
      <c r="D74" t="str">
        <f>VLOOKUP(B74,[1]Tabelle1!$A$1:$B$68,2,FALSE)</f>
        <v>Stat. Region Hannover</v>
      </c>
      <c r="E74" t="str">
        <f>'2020_5-2-2_Download'!$E$7</f>
        <v>Männer</v>
      </c>
      <c r="G74" t="s">
        <v>84</v>
      </c>
      <c r="H74" t="str">
        <f>VLOOKUP(B74,[2]Kreise!$A$2:$C$53,3,FALSE)</f>
        <v>K032</v>
      </c>
      <c r="I74">
        <f>'2020_5-2-2_Download'!E30</f>
        <v>56744</v>
      </c>
    </row>
    <row r="75" spans="2:9">
      <c r="B75">
        <f>'2020_5-2-2_Download'!B31</f>
        <v>351</v>
      </c>
      <c r="C75">
        <f>'2020_5-2-2_Download'!$D$5</f>
        <v>2020</v>
      </c>
      <c r="D75" t="str">
        <f>VLOOKUP(B75,[1]Tabelle1!$A$1:$B$68,2,FALSE)</f>
        <v>Celle</v>
      </c>
      <c r="E75" t="str">
        <f>'2020_5-2-2_Download'!$E$7</f>
        <v>Männer</v>
      </c>
      <c r="G75" t="s">
        <v>84</v>
      </c>
      <c r="H75" t="str">
        <f>VLOOKUP(B75,[2]Kreise!$A$2:$C$53,3,FALSE)</f>
        <v>K03351</v>
      </c>
      <c r="I75">
        <f>'2020_5-2-2_Download'!E31</f>
        <v>2631</v>
      </c>
    </row>
    <row r="76" spans="2:9">
      <c r="B76">
        <f>'2020_5-2-2_Download'!B32</f>
        <v>352</v>
      </c>
      <c r="C76">
        <f>'2020_5-2-2_Download'!$D$5</f>
        <v>2020</v>
      </c>
      <c r="D76" t="str">
        <f>VLOOKUP(B76,[1]Tabelle1!$A$1:$B$68,2,FALSE)</f>
        <v>Cuxhaven</v>
      </c>
      <c r="E76" t="str">
        <f>'2020_5-2-2_Download'!$E$7</f>
        <v>Männer</v>
      </c>
      <c r="G76" t="s">
        <v>84</v>
      </c>
      <c r="H76" t="str">
        <f>VLOOKUP(B76,[2]Kreise!$A$2:$C$53,3,FALSE)</f>
        <v>K03352</v>
      </c>
      <c r="I76">
        <f>'2020_5-2-2_Download'!E32</f>
        <v>2924</v>
      </c>
    </row>
    <row r="77" spans="2:9">
      <c r="B77">
        <f>'2020_5-2-2_Download'!B33</f>
        <v>353</v>
      </c>
      <c r="C77">
        <f>'2020_5-2-2_Download'!$D$5</f>
        <v>2020</v>
      </c>
      <c r="D77" t="str">
        <f>VLOOKUP(B77,[1]Tabelle1!$A$1:$B$68,2,FALSE)</f>
        <v>Harburg</v>
      </c>
      <c r="E77" t="str">
        <f>'2020_5-2-2_Download'!$E$7</f>
        <v>Männer</v>
      </c>
      <c r="G77" t="s">
        <v>84</v>
      </c>
      <c r="H77" t="str">
        <f>VLOOKUP(B77,[2]Kreise!$A$2:$C$53,3,FALSE)</f>
        <v>K03353</v>
      </c>
      <c r="I77">
        <f>'2020_5-2-2_Download'!E33</f>
        <v>7051</v>
      </c>
    </row>
    <row r="78" spans="2:9">
      <c r="B78">
        <f>'2020_5-2-2_Download'!B34</f>
        <v>354</v>
      </c>
      <c r="C78">
        <f>'2020_5-2-2_Download'!$D$5</f>
        <v>2020</v>
      </c>
      <c r="D78" t="str">
        <f>VLOOKUP(B78,[1]Tabelle1!$A$1:$B$68,2,FALSE)</f>
        <v>Lüchow-Dannenberg</v>
      </c>
      <c r="E78" t="str">
        <f>'2020_5-2-2_Download'!$E$7</f>
        <v>Männer</v>
      </c>
      <c r="G78" t="s">
        <v>84</v>
      </c>
      <c r="H78" t="str">
        <f>VLOOKUP(B78,[2]Kreise!$A$2:$C$53,3,FALSE)</f>
        <v>K03354</v>
      </c>
      <c r="I78">
        <f>'2020_5-2-2_Download'!E34</f>
        <v>456</v>
      </c>
    </row>
    <row r="79" spans="2:9">
      <c r="B79">
        <f>'2020_5-2-2_Download'!B35</f>
        <v>355</v>
      </c>
      <c r="C79">
        <f>'2020_5-2-2_Download'!$D$5</f>
        <v>2020</v>
      </c>
      <c r="D79" t="str">
        <f>VLOOKUP(B79,[1]Tabelle1!$A$1:$B$68,2,FALSE)</f>
        <v>Lüneburg</v>
      </c>
      <c r="E79" t="str">
        <f>'2020_5-2-2_Download'!$E$7</f>
        <v>Männer</v>
      </c>
      <c r="G79" t="s">
        <v>84</v>
      </c>
      <c r="H79" t="str">
        <f>VLOOKUP(B79,[2]Kreise!$A$2:$C$53,3,FALSE)</f>
        <v>K03355</v>
      </c>
      <c r="I79">
        <f>'2020_5-2-2_Download'!E35</f>
        <v>2530</v>
      </c>
    </row>
    <row r="80" spans="2:9">
      <c r="B80">
        <f>'2020_5-2-2_Download'!B36</f>
        <v>356</v>
      </c>
      <c r="C80">
        <f>'2020_5-2-2_Download'!$D$5</f>
        <v>2020</v>
      </c>
      <c r="D80" t="str">
        <f>VLOOKUP(B80,[1]Tabelle1!$A$1:$B$68,2,FALSE)</f>
        <v>Osterholz</v>
      </c>
      <c r="E80" t="str">
        <f>'2020_5-2-2_Download'!$E$7</f>
        <v>Männer</v>
      </c>
      <c r="G80" t="s">
        <v>84</v>
      </c>
      <c r="H80" t="str">
        <f>VLOOKUP(B80,[2]Kreise!$A$2:$C$53,3,FALSE)</f>
        <v>K03356</v>
      </c>
      <c r="I80">
        <f>'2020_5-2-2_Download'!E36</f>
        <v>1391</v>
      </c>
    </row>
    <row r="81" spans="2:9">
      <c r="B81">
        <f>'2020_5-2-2_Download'!B37</f>
        <v>357</v>
      </c>
      <c r="C81">
        <f>'2020_5-2-2_Download'!$D$5</f>
        <v>2020</v>
      </c>
      <c r="D81" t="str">
        <f>VLOOKUP(B81,[1]Tabelle1!$A$1:$B$68,2,FALSE)</f>
        <v>Rotenburg (Wümme)</v>
      </c>
      <c r="E81" t="str">
        <f>'2020_5-2-2_Download'!$E$7</f>
        <v>Männer</v>
      </c>
      <c r="G81" t="s">
        <v>84</v>
      </c>
      <c r="H81" t="str">
        <f>VLOOKUP(B81,[2]Kreise!$A$2:$C$53,3,FALSE)</f>
        <v>K03357</v>
      </c>
      <c r="I81">
        <f>'2020_5-2-2_Download'!E37</f>
        <v>3136</v>
      </c>
    </row>
    <row r="82" spans="2:9">
      <c r="B82">
        <f>'2020_5-2-2_Download'!B38</f>
        <v>358</v>
      </c>
      <c r="C82">
        <f>'2020_5-2-2_Download'!$D$5</f>
        <v>2020</v>
      </c>
      <c r="D82" t="str">
        <f>VLOOKUP(B82,[1]Tabelle1!$A$1:$B$68,2,FALSE)</f>
        <v>Heidekreis</v>
      </c>
      <c r="E82" t="str">
        <f>'2020_5-2-2_Download'!$E$7</f>
        <v>Männer</v>
      </c>
      <c r="G82" t="s">
        <v>84</v>
      </c>
      <c r="H82" t="str">
        <f>VLOOKUP(B82,[2]Kreise!$A$2:$C$53,3,FALSE)</f>
        <v>K03358</v>
      </c>
      <c r="I82">
        <f>'2020_5-2-2_Download'!E38</f>
        <v>2824</v>
      </c>
    </row>
    <row r="83" spans="2:9">
      <c r="B83">
        <f>'2020_5-2-2_Download'!B39</f>
        <v>359</v>
      </c>
      <c r="C83">
        <f>'2020_5-2-2_Download'!$D$5</f>
        <v>2020</v>
      </c>
      <c r="D83" t="str">
        <f>VLOOKUP(B83,[1]Tabelle1!$A$1:$B$68,2,FALSE)</f>
        <v>Stade</v>
      </c>
      <c r="E83" t="str">
        <f>'2020_5-2-2_Download'!$E$7</f>
        <v>Männer</v>
      </c>
      <c r="G83" t="s">
        <v>84</v>
      </c>
      <c r="H83" t="str">
        <f>VLOOKUP(B83,[2]Kreise!$A$2:$C$53,3,FALSE)</f>
        <v>K03359</v>
      </c>
      <c r="I83">
        <f>'2020_5-2-2_Download'!E39</f>
        <v>4173</v>
      </c>
    </row>
    <row r="84" spans="2:9">
      <c r="B84">
        <f>'2020_5-2-2_Download'!B40</f>
        <v>360</v>
      </c>
      <c r="C84">
        <f>'2020_5-2-2_Download'!$D$5</f>
        <v>2020</v>
      </c>
      <c r="D84" t="str">
        <f>VLOOKUP(B84,[1]Tabelle1!$A$1:$B$68,2,FALSE)</f>
        <v>Uelzen</v>
      </c>
      <c r="E84" t="str">
        <f>'2020_5-2-2_Download'!$E$7</f>
        <v>Männer</v>
      </c>
      <c r="G84" t="s">
        <v>84</v>
      </c>
      <c r="H84" t="str">
        <f>VLOOKUP(B84,[2]Kreise!$A$2:$C$53,3,FALSE)</f>
        <v>K03360</v>
      </c>
      <c r="I84">
        <f>'2020_5-2-2_Download'!E40</f>
        <v>1035</v>
      </c>
    </row>
    <row r="85" spans="2:9">
      <c r="B85">
        <f>'2020_5-2-2_Download'!B41</f>
        <v>361</v>
      </c>
      <c r="C85">
        <f>'2020_5-2-2_Download'!$D$5</f>
        <v>2020</v>
      </c>
      <c r="D85" t="str">
        <f>VLOOKUP(B85,[1]Tabelle1!$A$1:$B$68,2,FALSE)</f>
        <v>Verden</v>
      </c>
      <c r="E85" t="str">
        <f>'2020_5-2-2_Download'!$E$7</f>
        <v>Männer</v>
      </c>
      <c r="G85" t="s">
        <v>84</v>
      </c>
      <c r="H85" t="str">
        <f>VLOOKUP(B85,[2]Kreise!$A$2:$C$53,3,FALSE)</f>
        <v>K03361</v>
      </c>
      <c r="I85">
        <f>'2020_5-2-2_Download'!E41</f>
        <v>3944</v>
      </c>
    </row>
    <row r="86" spans="2:9">
      <c r="B86">
        <f>'2020_5-2-2_Download'!B42</f>
        <v>3</v>
      </c>
      <c r="C86">
        <f>'2020_5-2-2_Download'!$D$5</f>
        <v>2020</v>
      </c>
      <c r="D86" t="str">
        <f>VLOOKUP(B86,[1]Tabelle1!$A$1:$B$68,2,FALSE)</f>
        <v>Stat. Region Lüneburg</v>
      </c>
      <c r="E86" t="str">
        <f>'2020_5-2-2_Download'!$E$7</f>
        <v>Männer</v>
      </c>
      <c r="G86" t="s">
        <v>84</v>
      </c>
      <c r="H86" t="str">
        <f>VLOOKUP(B86,[2]Kreise!$A$2:$C$53,3,FALSE)</f>
        <v>K033</v>
      </c>
      <c r="I86">
        <f>'2020_5-2-2_Download'!E42</f>
        <v>32095</v>
      </c>
    </row>
    <row r="87" spans="2:9">
      <c r="B87">
        <f>'2020_5-2-2_Download'!B43</f>
        <v>401</v>
      </c>
      <c r="C87">
        <f>'2020_5-2-2_Download'!$D$5</f>
        <v>2020</v>
      </c>
      <c r="D87" t="str">
        <f>VLOOKUP(B87,[1]Tabelle1!$A$1:$B$68,2,FALSE)</f>
        <v>Delmenhorst  Stadt</v>
      </c>
      <c r="E87" t="str">
        <f>'2020_5-2-2_Download'!$E$7</f>
        <v>Männer</v>
      </c>
      <c r="G87" t="s">
        <v>84</v>
      </c>
      <c r="H87" t="str">
        <f>VLOOKUP(B87,[2]Kreise!$A$2:$C$53,3,FALSE)</f>
        <v>K03401</v>
      </c>
      <c r="I87">
        <f>'2020_5-2-2_Download'!E43</f>
        <v>1219</v>
      </c>
    </row>
    <row r="88" spans="2:9">
      <c r="B88">
        <f>'2020_5-2-2_Download'!B44</f>
        <v>402</v>
      </c>
      <c r="C88">
        <f>'2020_5-2-2_Download'!$D$5</f>
        <v>2020</v>
      </c>
      <c r="D88" t="str">
        <f>VLOOKUP(B88,[1]Tabelle1!$A$1:$B$68,2,FALSE)</f>
        <v>Emden  Stadt</v>
      </c>
      <c r="E88" t="str">
        <f>'2020_5-2-2_Download'!$E$7</f>
        <v>Männer</v>
      </c>
      <c r="G88" t="s">
        <v>84</v>
      </c>
      <c r="H88" t="str">
        <f>VLOOKUP(B88,[2]Kreise!$A$2:$C$53,3,FALSE)</f>
        <v>K03402</v>
      </c>
      <c r="I88">
        <f>'2020_5-2-2_Download'!E44</f>
        <v>1350</v>
      </c>
    </row>
    <row r="89" spans="2:9">
      <c r="B89">
        <f>'2020_5-2-2_Download'!B45</f>
        <v>403</v>
      </c>
      <c r="C89">
        <f>'2020_5-2-2_Download'!$D$5</f>
        <v>2020</v>
      </c>
      <c r="D89" t="str">
        <f>VLOOKUP(B89,[1]Tabelle1!$A$1:$B$68,2,FALSE)</f>
        <v>Oldenburg(Oldb)  Stadt</v>
      </c>
      <c r="E89" t="str">
        <f>'2020_5-2-2_Download'!$E$7</f>
        <v>Männer</v>
      </c>
      <c r="G89" t="s">
        <v>84</v>
      </c>
      <c r="H89" t="str">
        <f>VLOOKUP(B89,[2]Kreise!$A$2:$C$53,3,FALSE)</f>
        <v>K03403</v>
      </c>
      <c r="I89">
        <f>'2020_5-2-2_Download'!E45</f>
        <v>3917</v>
      </c>
    </row>
    <row r="90" spans="2:9">
      <c r="B90">
        <f>'2020_5-2-2_Download'!B46</f>
        <v>404</v>
      </c>
      <c r="C90">
        <f>'2020_5-2-2_Download'!$D$5</f>
        <v>2020</v>
      </c>
      <c r="D90" t="str">
        <f>VLOOKUP(B90,[1]Tabelle1!$A$1:$B$68,2,FALSE)</f>
        <v>Osnabrück  Stadt</v>
      </c>
      <c r="E90" t="str">
        <f>'2020_5-2-2_Download'!$E$7</f>
        <v>Männer</v>
      </c>
      <c r="G90" t="s">
        <v>84</v>
      </c>
      <c r="H90" t="str">
        <f>VLOOKUP(B90,[2]Kreise!$A$2:$C$53,3,FALSE)</f>
        <v>K03404</v>
      </c>
      <c r="I90">
        <f>'2020_5-2-2_Download'!E46</f>
        <v>4934</v>
      </c>
    </row>
    <row r="91" spans="2:9">
      <c r="B91">
        <f>'2020_5-2-2_Download'!B47</f>
        <v>405</v>
      </c>
      <c r="C91">
        <f>'2020_5-2-2_Download'!$D$5</f>
        <v>2020</v>
      </c>
      <c r="D91" t="str">
        <f>VLOOKUP(B91,[1]Tabelle1!$A$1:$B$68,2,FALSE)</f>
        <v>Wilhelmshaven  Stadt</v>
      </c>
      <c r="E91" t="str">
        <f>'2020_5-2-2_Download'!$E$7</f>
        <v>Männer</v>
      </c>
      <c r="G91" t="s">
        <v>84</v>
      </c>
      <c r="H91" t="str">
        <f>VLOOKUP(B91,[2]Kreise!$A$2:$C$53,3,FALSE)</f>
        <v>K03405</v>
      </c>
      <c r="I91">
        <f>'2020_5-2-2_Download'!E47</f>
        <v>1310</v>
      </c>
    </row>
    <row r="92" spans="2:9">
      <c r="B92">
        <f>'2020_5-2-2_Download'!B48</f>
        <v>451</v>
      </c>
      <c r="C92">
        <f>'2020_5-2-2_Download'!$D$5</f>
        <v>2020</v>
      </c>
      <c r="D92" t="str">
        <f>VLOOKUP(B92,[1]Tabelle1!$A$1:$B$68,2,FALSE)</f>
        <v>Ammerland</v>
      </c>
      <c r="E92" t="str">
        <f>'2020_5-2-2_Download'!$E$7</f>
        <v>Männer</v>
      </c>
      <c r="G92" t="s">
        <v>84</v>
      </c>
      <c r="H92" t="str">
        <f>VLOOKUP(B92,[2]Kreise!$A$2:$C$53,3,FALSE)</f>
        <v>K03451</v>
      </c>
      <c r="I92">
        <f>'2020_5-2-2_Download'!E48</f>
        <v>2852</v>
      </c>
    </row>
    <row r="93" spans="2:9">
      <c r="B93">
        <f>'2020_5-2-2_Download'!B49</f>
        <v>452</v>
      </c>
      <c r="C93">
        <f>'2020_5-2-2_Download'!$D$5</f>
        <v>2020</v>
      </c>
      <c r="D93" t="str">
        <f>VLOOKUP(B93,[1]Tabelle1!$A$1:$B$68,2,FALSE)</f>
        <v>Aurich</v>
      </c>
      <c r="E93" t="str">
        <f>'2020_5-2-2_Download'!$E$7</f>
        <v>Männer</v>
      </c>
      <c r="G93" t="s">
        <v>84</v>
      </c>
      <c r="H93" t="str">
        <f>VLOOKUP(B93,[2]Kreise!$A$2:$C$53,3,FALSE)</f>
        <v>K03452</v>
      </c>
      <c r="I93">
        <f>'2020_5-2-2_Download'!E49</f>
        <v>2658</v>
      </c>
    </row>
    <row r="94" spans="2:9">
      <c r="B94">
        <f>'2020_5-2-2_Download'!B50</f>
        <v>453</v>
      </c>
      <c r="C94">
        <f>'2020_5-2-2_Download'!$D$5</f>
        <v>2020</v>
      </c>
      <c r="D94" t="str">
        <f>VLOOKUP(B94,[1]Tabelle1!$A$1:$B$68,2,FALSE)</f>
        <v>Cloppenburg</v>
      </c>
      <c r="E94" t="str">
        <f>'2020_5-2-2_Download'!$E$7</f>
        <v>Männer</v>
      </c>
      <c r="G94" t="s">
        <v>84</v>
      </c>
      <c r="H94" t="str">
        <f>VLOOKUP(B94,[2]Kreise!$A$2:$C$53,3,FALSE)</f>
        <v>K03453</v>
      </c>
      <c r="I94">
        <f>'2020_5-2-2_Download'!E50</f>
        <v>7314</v>
      </c>
    </row>
    <row r="95" spans="2:9">
      <c r="B95">
        <f>'2020_5-2-2_Download'!B51</f>
        <v>454</v>
      </c>
      <c r="C95">
        <f>'2020_5-2-2_Download'!$D$5</f>
        <v>2020</v>
      </c>
      <c r="D95" t="str">
        <f>VLOOKUP(B95,[1]Tabelle1!$A$1:$B$68,2,FALSE)</f>
        <v>Emsland</v>
      </c>
      <c r="E95" t="str">
        <f>'2020_5-2-2_Download'!$E$7</f>
        <v>Männer</v>
      </c>
      <c r="G95" t="s">
        <v>84</v>
      </c>
      <c r="H95" t="str">
        <f>VLOOKUP(B95,[2]Kreise!$A$2:$C$53,3,FALSE)</f>
        <v>K03454</v>
      </c>
      <c r="I95">
        <f>'2020_5-2-2_Download'!E51</f>
        <v>10881</v>
      </c>
    </row>
    <row r="96" spans="2:9">
      <c r="B96">
        <f>'2020_5-2-2_Download'!B52</f>
        <v>455</v>
      </c>
      <c r="C96">
        <f>'2020_5-2-2_Download'!$D$5</f>
        <v>2020</v>
      </c>
      <c r="D96" t="str">
        <f>VLOOKUP(B96,[1]Tabelle1!$A$1:$B$68,2,FALSE)</f>
        <v>Friesland</v>
      </c>
      <c r="E96" t="str">
        <f>'2020_5-2-2_Download'!$E$7</f>
        <v>Männer</v>
      </c>
      <c r="G96" t="s">
        <v>84</v>
      </c>
      <c r="H96" t="str">
        <f>VLOOKUP(B96,[2]Kreise!$A$2:$C$53,3,FALSE)</f>
        <v>K03455</v>
      </c>
      <c r="I96">
        <f>'2020_5-2-2_Download'!E52</f>
        <v>982</v>
      </c>
    </row>
    <row r="97" spans="2:9">
      <c r="B97">
        <f>'2020_5-2-2_Download'!B53</f>
        <v>456</v>
      </c>
      <c r="C97">
        <f>'2020_5-2-2_Download'!$D$5</f>
        <v>2020</v>
      </c>
      <c r="D97" t="str">
        <f>VLOOKUP(B97,[1]Tabelle1!$A$1:$B$68,2,FALSE)</f>
        <v>Grafschaft Bentheim</v>
      </c>
      <c r="E97" t="str">
        <f>'2020_5-2-2_Download'!$E$7</f>
        <v>Männer</v>
      </c>
      <c r="G97" t="s">
        <v>84</v>
      </c>
      <c r="H97" t="str">
        <f>VLOOKUP(B97,[2]Kreise!$A$2:$C$53,3,FALSE)</f>
        <v>K03456</v>
      </c>
      <c r="I97">
        <f>'2020_5-2-2_Download'!E53</f>
        <v>3984</v>
      </c>
    </row>
    <row r="98" spans="2:9">
      <c r="B98">
        <f>'2020_5-2-2_Download'!B54</f>
        <v>457</v>
      </c>
      <c r="C98">
        <f>'2020_5-2-2_Download'!$D$5</f>
        <v>2020</v>
      </c>
      <c r="D98" t="str">
        <f>VLOOKUP(B98,[1]Tabelle1!$A$1:$B$68,2,FALSE)</f>
        <v>Leer</v>
      </c>
      <c r="E98" t="str">
        <f>'2020_5-2-2_Download'!$E$7</f>
        <v>Männer</v>
      </c>
      <c r="G98" t="s">
        <v>84</v>
      </c>
      <c r="H98" t="str">
        <f>VLOOKUP(B98,[2]Kreise!$A$2:$C$53,3,FALSE)</f>
        <v>K03457</v>
      </c>
      <c r="I98">
        <f>'2020_5-2-2_Download'!E54</f>
        <v>2684</v>
      </c>
    </row>
    <row r="99" spans="2:9">
      <c r="B99">
        <f>'2020_5-2-2_Download'!B55</f>
        <v>458</v>
      </c>
      <c r="C99">
        <f>'2020_5-2-2_Download'!$D$5</f>
        <v>2020</v>
      </c>
      <c r="D99" t="str">
        <f>VLOOKUP(B99,[1]Tabelle1!$A$1:$B$68,2,FALSE)</f>
        <v>Oldenburg</v>
      </c>
      <c r="E99" t="str">
        <f>'2020_5-2-2_Download'!$E$7</f>
        <v>Männer</v>
      </c>
      <c r="G99" t="s">
        <v>84</v>
      </c>
      <c r="H99" t="str">
        <f>VLOOKUP(B99,[2]Kreise!$A$2:$C$53,3,FALSE)</f>
        <v>K03458</v>
      </c>
      <c r="I99">
        <f>'2020_5-2-2_Download'!E55</f>
        <v>2708</v>
      </c>
    </row>
    <row r="100" spans="2:9">
      <c r="B100">
        <f>'2020_5-2-2_Download'!B56</f>
        <v>459</v>
      </c>
      <c r="C100">
        <f>'2020_5-2-2_Download'!$D$5</f>
        <v>2020</v>
      </c>
      <c r="D100" t="str">
        <f>VLOOKUP(B100,[1]Tabelle1!$A$1:$B$68,2,FALSE)</f>
        <v>Osnabrück</v>
      </c>
      <c r="E100" t="str">
        <f>'2020_5-2-2_Download'!$E$7</f>
        <v>Männer</v>
      </c>
      <c r="G100" t="s">
        <v>84</v>
      </c>
      <c r="H100" t="str">
        <f>VLOOKUP(B100,[2]Kreise!$A$2:$C$53,3,FALSE)</f>
        <v>K03459</v>
      </c>
      <c r="I100">
        <f>'2020_5-2-2_Download'!E56</f>
        <v>11697</v>
      </c>
    </row>
    <row r="101" spans="2:9">
      <c r="B101">
        <f>'2020_5-2-2_Download'!B57</f>
        <v>460</v>
      </c>
      <c r="C101">
        <f>'2020_5-2-2_Download'!$D$5</f>
        <v>2020</v>
      </c>
      <c r="D101" t="str">
        <f>VLOOKUP(B101,[1]Tabelle1!$A$1:$B$68,2,FALSE)</f>
        <v>Vechta</v>
      </c>
      <c r="E101" t="str">
        <f>'2020_5-2-2_Download'!$E$7</f>
        <v>Männer</v>
      </c>
      <c r="G101" t="s">
        <v>84</v>
      </c>
      <c r="H101" t="str">
        <f>VLOOKUP(B101,[2]Kreise!$A$2:$C$53,3,FALSE)</f>
        <v>K03460</v>
      </c>
      <c r="I101">
        <f>'2020_5-2-2_Download'!E57</f>
        <v>7462</v>
      </c>
    </row>
    <row r="102" spans="2:9">
      <c r="B102">
        <f>'2020_5-2-2_Download'!B58</f>
        <v>461</v>
      </c>
      <c r="C102">
        <f>'2020_5-2-2_Download'!$D$5</f>
        <v>2020</v>
      </c>
      <c r="D102" t="str">
        <f>VLOOKUP(B102,[1]Tabelle1!$A$1:$B$68,2,FALSE)</f>
        <v>Wesermarsch</v>
      </c>
      <c r="E102" t="str">
        <f>'2020_5-2-2_Download'!$E$7</f>
        <v>Männer</v>
      </c>
      <c r="G102" t="s">
        <v>84</v>
      </c>
      <c r="H102" t="str">
        <f>VLOOKUP(B102,[2]Kreise!$A$2:$C$53,3,FALSE)</f>
        <v>K03461</v>
      </c>
      <c r="I102">
        <f>'2020_5-2-2_Download'!E58</f>
        <v>1989</v>
      </c>
    </row>
    <row r="103" spans="2:9">
      <c r="B103">
        <f>'2020_5-2-2_Download'!B59</f>
        <v>462</v>
      </c>
      <c r="C103">
        <f>'2020_5-2-2_Download'!$D$5</f>
        <v>2020</v>
      </c>
      <c r="D103" t="str">
        <f>VLOOKUP(B103,[1]Tabelle1!$A$1:$B$68,2,FALSE)</f>
        <v>Wittmund</v>
      </c>
      <c r="E103" t="str">
        <f>'2020_5-2-2_Download'!$E$7</f>
        <v>Männer</v>
      </c>
      <c r="G103" t="s">
        <v>84</v>
      </c>
      <c r="H103" t="str">
        <f>VLOOKUP(B103,[2]Kreise!$A$2:$C$53,3,FALSE)</f>
        <v>K03462</v>
      </c>
      <c r="I103">
        <f>'2020_5-2-2_Download'!E59</f>
        <v>546</v>
      </c>
    </row>
    <row r="104" spans="2:9">
      <c r="B104">
        <f>'2020_5-2-2_Download'!B60</f>
        <v>4</v>
      </c>
      <c r="C104">
        <f>'2020_5-2-2_Download'!$D$5</f>
        <v>2020</v>
      </c>
      <c r="D104" t="str">
        <f>VLOOKUP(B104,[1]Tabelle1!$A$1:$B$68,2,FALSE)</f>
        <v>Stat. Region Weser-Ems</v>
      </c>
      <c r="E104" t="str">
        <f>'2020_5-2-2_Download'!$E$7</f>
        <v>Männer</v>
      </c>
      <c r="G104" t="s">
        <v>84</v>
      </c>
      <c r="H104" t="str">
        <f>VLOOKUP(B104,[2]Kreise!$A$2:$C$53,3,FALSE)</f>
        <v>K034</v>
      </c>
      <c r="I104">
        <f>'2020_5-2-2_Download'!E60</f>
        <v>68487</v>
      </c>
    </row>
    <row r="105" spans="2:9">
      <c r="B105">
        <f>'2020_5-2-2_Download'!B61</f>
        <v>0</v>
      </c>
      <c r="C105">
        <f>'2020_5-2-2_Download'!$D$5</f>
        <v>2020</v>
      </c>
      <c r="D105" t="str">
        <f>VLOOKUP(B105,[1]Tabelle1!$A$1:$B$68,2,FALSE)</f>
        <v>Niedersachsen</v>
      </c>
      <c r="E105" t="str">
        <f>'2020_5-2-2_Download'!$E$7</f>
        <v>Männer</v>
      </c>
      <c r="G105" t="s">
        <v>84</v>
      </c>
      <c r="H105" t="str">
        <f>VLOOKUP(B105,[2]Kreise!$A$2:$C$53,3,FALSE)</f>
        <v>K030</v>
      </c>
      <c r="I105">
        <f>'2020_5-2-2_Download'!E61</f>
        <v>192854</v>
      </c>
    </row>
    <row r="106" spans="2:9">
      <c r="B106">
        <f>'2020_5-2-2_Download'!B10</f>
        <v>101</v>
      </c>
      <c r="C106">
        <f>'2020_5-2-2_Download'!$D$5</f>
        <v>2020</v>
      </c>
      <c r="D106" t="str">
        <f>VLOOKUP(B106,[1]Tabelle1!$A$1:$B$68,2,FALSE)</f>
        <v>Braunschweig  Stadt</v>
      </c>
      <c r="E106" t="str">
        <f>'2020_5-2-2_Download'!$F$7</f>
        <v>Frauen</v>
      </c>
      <c r="G106" t="s">
        <v>84</v>
      </c>
      <c r="H106" t="str">
        <f>VLOOKUP(B106,[2]Kreise!$A$2:$C$53,3,FALSE)</f>
        <v>K03101</v>
      </c>
      <c r="I106">
        <f>'2020_5-2-2_Download'!F10</f>
        <v>4544</v>
      </c>
    </row>
    <row r="107" spans="2:9">
      <c r="B107">
        <f>'2020_5-2-2_Download'!B11</f>
        <v>102</v>
      </c>
      <c r="C107">
        <f>'2020_5-2-2_Download'!$D$5</f>
        <v>2020</v>
      </c>
      <c r="D107" t="str">
        <f>VLOOKUP(B107,[1]Tabelle1!$A$1:$B$68,2,FALSE)</f>
        <v>Salzgitter  Stadt</v>
      </c>
      <c r="E107" t="str">
        <f>'2020_5-2-2_Download'!$F$7</f>
        <v>Frauen</v>
      </c>
      <c r="G107" t="s">
        <v>84</v>
      </c>
      <c r="H107" t="str">
        <f>VLOOKUP(B107,[2]Kreise!$A$2:$C$53,3,FALSE)</f>
        <v>K03102</v>
      </c>
      <c r="I107">
        <f>'2020_5-2-2_Download'!F11</f>
        <v>1140</v>
      </c>
    </row>
    <row r="108" spans="2:9">
      <c r="B108">
        <f>'2020_5-2-2_Download'!B12</f>
        <v>103</v>
      </c>
      <c r="C108">
        <f>'2020_5-2-2_Download'!$D$5</f>
        <v>2020</v>
      </c>
      <c r="D108" t="str">
        <f>VLOOKUP(B108,[1]Tabelle1!$A$1:$B$68,2,FALSE)</f>
        <v>Wolfsburg  Stadt</v>
      </c>
      <c r="E108" t="str">
        <f>'2020_5-2-2_Download'!$F$7</f>
        <v>Frauen</v>
      </c>
      <c r="G108" t="s">
        <v>84</v>
      </c>
      <c r="H108" t="str">
        <f>VLOOKUP(B108,[2]Kreise!$A$2:$C$53,3,FALSE)</f>
        <v>K03103</v>
      </c>
      <c r="I108">
        <f>'2020_5-2-2_Download'!F12</f>
        <v>3328</v>
      </c>
    </row>
    <row r="109" spans="2:9">
      <c r="B109">
        <f>'2020_5-2-2_Download'!B13</f>
        <v>151</v>
      </c>
      <c r="C109">
        <f>'2020_5-2-2_Download'!$D$5</f>
        <v>2020</v>
      </c>
      <c r="D109" t="str">
        <f>VLOOKUP(B109,[1]Tabelle1!$A$1:$B$68,2,FALSE)</f>
        <v>Gifhorn</v>
      </c>
      <c r="E109" t="str">
        <f>'2020_5-2-2_Download'!$F$7</f>
        <v>Frauen</v>
      </c>
      <c r="G109" t="s">
        <v>84</v>
      </c>
      <c r="H109" t="str">
        <f>VLOOKUP(B109,[2]Kreise!$A$2:$C$53,3,FALSE)</f>
        <v>K03151</v>
      </c>
      <c r="I109">
        <f>'2020_5-2-2_Download'!F13</f>
        <v>1088</v>
      </c>
    </row>
    <row r="110" spans="2:9">
      <c r="B110">
        <f>'2020_5-2-2_Download'!B14</f>
        <v>153</v>
      </c>
      <c r="C110">
        <f>'2020_5-2-2_Download'!$D$5</f>
        <v>2020</v>
      </c>
      <c r="D110" t="str">
        <f>VLOOKUP(B110,[1]Tabelle1!$A$1:$B$68,2,FALSE)</f>
        <v>Goslar</v>
      </c>
      <c r="E110" t="str">
        <f>'2020_5-2-2_Download'!$F$7</f>
        <v>Frauen</v>
      </c>
      <c r="G110" t="s">
        <v>84</v>
      </c>
      <c r="H110" t="str">
        <f>VLOOKUP(B110,[2]Kreise!$A$2:$C$53,3,FALSE)</f>
        <v>K03153</v>
      </c>
      <c r="I110">
        <f>'2020_5-2-2_Download'!F14</f>
        <v>1135</v>
      </c>
    </row>
    <row r="111" spans="2:9">
      <c r="B111">
        <f>'2020_5-2-2_Download'!B15</f>
        <v>154</v>
      </c>
      <c r="C111">
        <f>'2020_5-2-2_Download'!$D$5</f>
        <v>2020</v>
      </c>
      <c r="D111" t="str">
        <f>VLOOKUP(B111,[1]Tabelle1!$A$1:$B$68,2,FALSE)</f>
        <v>Helmstedt</v>
      </c>
      <c r="E111" t="str">
        <f>'2020_5-2-2_Download'!$F$7</f>
        <v>Frauen</v>
      </c>
      <c r="G111" t="s">
        <v>84</v>
      </c>
      <c r="H111" t="str">
        <f>VLOOKUP(B111,[2]Kreise!$A$2:$C$53,3,FALSE)</f>
        <v>K03154</v>
      </c>
      <c r="I111">
        <f>'2020_5-2-2_Download'!F15</f>
        <v>552</v>
      </c>
    </row>
    <row r="112" spans="2:9">
      <c r="B112">
        <f>'2020_5-2-2_Download'!B16</f>
        <v>155</v>
      </c>
      <c r="C112">
        <f>'2020_5-2-2_Download'!$D$5</f>
        <v>2020</v>
      </c>
      <c r="D112" t="str">
        <f>VLOOKUP(B112,[1]Tabelle1!$A$1:$B$68,2,FALSE)</f>
        <v>Northeim</v>
      </c>
      <c r="E112" t="str">
        <f>'2020_5-2-2_Download'!$F$7</f>
        <v>Frauen</v>
      </c>
      <c r="G112" t="s">
        <v>84</v>
      </c>
      <c r="H112" t="str">
        <f>VLOOKUP(B112,[2]Kreise!$A$2:$C$53,3,FALSE)</f>
        <v>K03155</v>
      </c>
      <c r="I112">
        <f>'2020_5-2-2_Download'!F16</f>
        <v>882</v>
      </c>
    </row>
    <row r="113" spans="2:9">
      <c r="B113">
        <f>'2020_5-2-2_Download'!B17</f>
        <v>157</v>
      </c>
      <c r="C113">
        <f>'2020_5-2-2_Download'!$D$5</f>
        <v>2020</v>
      </c>
      <c r="D113" t="str">
        <f>VLOOKUP(B113,[1]Tabelle1!$A$1:$B$68,2,FALSE)</f>
        <v>Peine</v>
      </c>
      <c r="E113" t="str">
        <f>'2020_5-2-2_Download'!$F$7</f>
        <v>Frauen</v>
      </c>
      <c r="G113" t="s">
        <v>84</v>
      </c>
      <c r="H113" t="str">
        <f>VLOOKUP(B113,[2]Kreise!$A$2:$C$53,3,FALSE)</f>
        <v>K03157</v>
      </c>
      <c r="I113">
        <f>'2020_5-2-2_Download'!F17</f>
        <v>934</v>
      </c>
    </row>
    <row r="114" spans="2:9">
      <c r="B114">
        <f>'2020_5-2-2_Download'!B18</f>
        <v>158</v>
      </c>
      <c r="C114">
        <f>'2020_5-2-2_Download'!$D$5</f>
        <v>2020</v>
      </c>
      <c r="D114" t="str">
        <f>VLOOKUP(B114,[1]Tabelle1!$A$1:$B$68,2,FALSE)</f>
        <v>Wolfenbüttel</v>
      </c>
      <c r="E114" t="str">
        <f>'2020_5-2-2_Download'!$F$7</f>
        <v>Frauen</v>
      </c>
      <c r="G114" t="s">
        <v>84</v>
      </c>
      <c r="H114" t="str">
        <f>VLOOKUP(B114,[2]Kreise!$A$2:$C$53,3,FALSE)</f>
        <v>K03158</v>
      </c>
      <c r="I114">
        <f>'2020_5-2-2_Download'!F18</f>
        <v>576</v>
      </c>
    </row>
    <row r="115" spans="2:9">
      <c r="B115">
        <f>'2020_5-2-2_Download'!B19</f>
        <v>159</v>
      </c>
      <c r="C115">
        <f>'2020_5-2-2_Download'!$D$5</f>
        <v>2020</v>
      </c>
      <c r="D115" t="str">
        <f>VLOOKUP(B115,[1]Tabelle1!$A$1:$B$68,2,FALSE)</f>
        <v>Göttingen</v>
      </c>
      <c r="E115" t="str">
        <f>'2020_5-2-2_Download'!$F$7</f>
        <v>Frauen</v>
      </c>
      <c r="G115" t="s">
        <v>84</v>
      </c>
      <c r="H115" t="str">
        <f>VLOOKUP(B115,[2]Kreise!$A$2:$C$53,3,FALSE)</f>
        <v>K03159</v>
      </c>
      <c r="I115">
        <f>'2020_5-2-2_Download'!F19</f>
        <v>3759</v>
      </c>
    </row>
    <row r="116" spans="2:9">
      <c r="B116">
        <f>'2020_5-2-2_Download'!B20</f>
        <v>1</v>
      </c>
      <c r="C116">
        <f>'2020_5-2-2_Download'!$D$5</f>
        <v>2020</v>
      </c>
      <c r="D116" t="str">
        <f>VLOOKUP(B116,[1]Tabelle1!$A$1:$B$68,2,FALSE)</f>
        <v>Stat. Region Braunschweig</v>
      </c>
      <c r="E116" t="str">
        <f>'2020_5-2-2_Download'!$F$7</f>
        <v>Frauen</v>
      </c>
      <c r="G116" t="s">
        <v>84</v>
      </c>
      <c r="H116" t="str">
        <f>VLOOKUP(B116,[2]Kreise!$A$2:$C$53,3,FALSE)</f>
        <v>K031</v>
      </c>
      <c r="I116">
        <f>'2020_5-2-2_Download'!F20</f>
        <v>17938</v>
      </c>
    </row>
    <row r="117" spans="2:9">
      <c r="B117">
        <f>'2020_5-2-2_Download'!B21</f>
        <v>241</v>
      </c>
      <c r="C117">
        <f>'2020_5-2-2_Download'!$D$5</f>
        <v>2020</v>
      </c>
      <c r="D117" t="str">
        <f>VLOOKUP(B117,[1]Tabelle1!$A$1:$B$68,2,FALSE)</f>
        <v>Hannover  Region</v>
      </c>
      <c r="E117" t="str">
        <f>'2020_5-2-2_Download'!$F$7</f>
        <v>Frauen</v>
      </c>
      <c r="G117" t="s">
        <v>84</v>
      </c>
      <c r="H117" t="str">
        <f>VLOOKUP(B117,[2]Kreise!$A$2:$C$53,3,FALSE)</f>
        <v>K03241</v>
      </c>
      <c r="I117">
        <f>'2020_5-2-2_Download'!F21</f>
        <v>23743</v>
      </c>
    </row>
    <row r="118" spans="2:9">
      <c r="B118">
        <f>'2020_5-2-2_Download'!B22</f>
        <v>241001</v>
      </c>
      <c r="C118">
        <f>'2020_5-2-2_Download'!$D$5</f>
        <v>2020</v>
      </c>
      <c r="D118" t="str">
        <f>VLOOKUP(B118,[1]Tabelle1!$A$1:$B$68,2,FALSE)</f>
        <v>dav. Hannover  Lhst.</v>
      </c>
      <c r="E118" t="str">
        <f>'2020_5-2-2_Download'!$F$7</f>
        <v>Frauen</v>
      </c>
      <c r="G118" t="s">
        <v>84</v>
      </c>
      <c r="H118" t="str">
        <f>VLOOKUP(B118,[2]Kreise!$A$2:$C$53,3,FALSE)</f>
        <v>K03241001</v>
      </c>
      <c r="I118">
        <f>'2020_5-2-2_Download'!F22</f>
        <v>15836</v>
      </c>
    </row>
    <row r="119" spans="2:9">
      <c r="B119">
        <f>'2020_5-2-2_Download'!B23</f>
        <v>241999</v>
      </c>
      <c r="C119">
        <f>'2020_5-2-2_Download'!$D$5</f>
        <v>2020</v>
      </c>
      <c r="D119" t="str">
        <f>VLOOKUP(B119,[1]Tabelle1!$A$1:$B$68,2,FALSE)</f>
        <v>dav. Hannover  Umland</v>
      </c>
      <c r="E119" t="str">
        <f>'2020_5-2-2_Download'!$F$7</f>
        <v>Frauen</v>
      </c>
      <c r="G119" t="s">
        <v>84</v>
      </c>
      <c r="H119" t="str">
        <f>VLOOKUP(B119,[2]Kreise!$A$2:$C$53,3,FALSE)</f>
        <v>K03241999</v>
      </c>
      <c r="I119">
        <f>'2020_5-2-2_Download'!F23</f>
        <v>7907</v>
      </c>
    </row>
    <row r="120" spans="2:9">
      <c r="B120">
        <f>'2020_5-2-2_Download'!B24</f>
        <v>251</v>
      </c>
      <c r="C120">
        <f>'2020_5-2-2_Download'!$D$5</f>
        <v>2020</v>
      </c>
      <c r="D120" t="str">
        <f>VLOOKUP(B120,[1]Tabelle1!$A$1:$B$68,2,FALSE)</f>
        <v>Diepholz</v>
      </c>
      <c r="E120" t="str">
        <f>'2020_5-2-2_Download'!$F$7</f>
        <v>Frauen</v>
      </c>
      <c r="G120" t="s">
        <v>84</v>
      </c>
      <c r="H120" t="str">
        <f>VLOOKUP(B120,[2]Kreise!$A$2:$C$53,3,FALSE)</f>
        <v>K03251</v>
      </c>
      <c r="I120">
        <f>'2020_5-2-2_Download'!F24</f>
        <v>2050</v>
      </c>
    </row>
    <row r="121" spans="2:9">
      <c r="B121">
        <f>'2020_5-2-2_Download'!B25</f>
        <v>252</v>
      </c>
      <c r="C121">
        <f>'2020_5-2-2_Download'!$D$5</f>
        <v>2020</v>
      </c>
      <c r="D121" t="str">
        <f>VLOOKUP(B121,[1]Tabelle1!$A$1:$B$68,2,FALSE)</f>
        <v>Hameln-Pyrmont</v>
      </c>
      <c r="E121" t="str">
        <f>'2020_5-2-2_Download'!$F$7</f>
        <v>Frauen</v>
      </c>
      <c r="G121" t="s">
        <v>84</v>
      </c>
      <c r="H121" t="str">
        <f>VLOOKUP(B121,[2]Kreise!$A$2:$C$53,3,FALSE)</f>
        <v>K03252</v>
      </c>
      <c r="I121">
        <f>'2020_5-2-2_Download'!F25</f>
        <v>1583</v>
      </c>
    </row>
    <row r="122" spans="2:9">
      <c r="B122">
        <f>'2020_5-2-2_Download'!B26</f>
        <v>254</v>
      </c>
      <c r="C122">
        <f>'2020_5-2-2_Download'!$D$5</f>
        <v>2020</v>
      </c>
      <c r="D122" t="str">
        <f>VLOOKUP(B122,[1]Tabelle1!$A$1:$B$68,2,FALSE)</f>
        <v>Hildesheim</v>
      </c>
      <c r="E122" t="str">
        <f>'2020_5-2-2_Download'!$F$7</f>
        <v>Frauen</v>
      </c>
      <c r="G122" t="s">
        <v>84</v>
      </c>
      <c r="H122" t="str">
        <f>VLOOKUP(B122,[2]Kreise!$A$2:$C$53,3,FALSE)</f>
        <v>K03254</v>
      </c>
      <c r="I122">
        <f>'2020_5-2-2_Download'!F26</f>
        <v>2250</v>
      </c>
    </row>
    <row r="123" spans="2:9">
      <c r="B123">
        <f>'2020_5-2-2_Download'!B27</f>
        <v>255</v>
      </c>
      <c r="C123">
        <f>'2020_5-2-2_Download'!$D$5</f>
        <v>2020</v>
      </c>
      <c r="D123" t="str">
        <f>VLOOKUP(B123,[1]Tabelle1!$A$1:$B$68,2,FALSE)</f>
        <v>Holzminden</v>
      </c>
      <c r="E123" t="str">
        <f>'2020_5-2-2_Download'!$F$7</f>
        <v>Frauen</v>
      </c>
      <c r="G123" t="s">
        <v>84</v>
      </c>
      <c r="H123" t="str">
        <f>VLOOKUP(B123,[2]Kreise!$A$2:$C$53,3,FALSE)</f>
        <v>K03255</v>
      </c>
      <c r="I123">
        <f>'2020_5-2-2_Download'!F27</f>
        <v>486</v>
      </c>
    </row>
    <row r="124" spans="2:9">
      <c r="B124">
        <f>'2020_5-2-2_Download'!B28</f>
        <v>256</v>
      </c>
      <c r="C124">
        <f>'2020_5-2-2_Download'!$D$5</f>
        <v>2020</v>
      </c>
      <c r="D124" t="str">
        <f>VLOOKUP(B124,[1]Tabelle1!$A$1:$B$68,2,FALSE)</f>
        <v>Nienburg (Weser)</v>
      </c>
      <c r="E124" t="str">
        <f>'2020_5-2-2_Download'!$F$7</f>
        <v>Frauen</v>
      </c>
      <c r="G124" t="s">
        <v>84</v>
      </c>
      <c r="H124" t="str">
        <f>VLOOKUP(B124,[2]Kreise!$A$2:$C$53,3,FALSE)</f>
        <v>K03256</v>
      </c>
      <c r="I124">
        <f>'2020_5-2-2_Download'!F28</f>
        <v>1327</v>
      </c>
    </row>
    <row r="125" spans="2:9">
      <c r="B125">
        <f>'2020_5-2-2_Download'!B29</f>
        <v>257</v>
      </c>
      <c r="C125">
        <f>'2020_5-2-2_Download'!$D$5</f>
        <v>2020</v>
      </c>
      <c r="D125" t="str">
        <f>VLOOKUP(B125,[1]Tabelle1!$A$1:$B$68,2,FALSE)</f>
        <v>Schaumburg</v>
      </c>
      <c r="E125" t="str">
        <f>'2020_5-2-2_Download'!$F$7</f>
        <v>Frauen</v>
      </c>
      <c r="G125" t="s">
        <v>84</v>
      </c>
      <c r="H125" t="str">
        <f>VLOOKUP(B125,[2]Kreise!$A$2:$C$53,3,FALSE)</f>
        <v>K03257</v>
      </c>
      <c r="I125">
        <f>'2020_5-2-2_Download'!F29</f>
        <v>1323</v>
      </c>
    </row>
    <row r="126" spans="2:9">
      <c r="B126">
        <f>'2020_5-2-2_Download'!B30</f>
        <v>2</v>
      </c>
      <c r="C126">
        <f>'2020_5-2-2_Download'!$D$5</f>
        <v>2020</v>
      </c>
      <c r="D126" t="str">
        <f>VLOOKUP(B126,[1]Tabelle1!$A$1:$B$68,2,FALSE)</f>
        <v>Stat. Region Hannover</v>
      </c>
      <c r="E126" t="str">
        <f>'2020_5-2-2_Download'!$F$7</f>
        <v>Frauen</v>
      </c>
      <c r="G126" t="s">
        <v>84</v>
      </c>
      <c r="H126" t="str">
        <f>VLOOKUP(B126,[2]Kreise!$A$2:$C$53,3,FALSE)</f>
        <v>K032</v>
      </c>
      <c r="I126">
        <f>'2020_5-2-2_Download'!F30</f>
        <v>32762</v>
      </c>
    </row>
    <row r="127" spans="2:9">
      <c r="B127">
        <f>'2020_5-2-2_Download'!B31</f>
        <v>351</v>
      </c>
      <c r="C127">
        <f>'2020_5-2-2_Download'!$D$5</f>
        <v>2020</v>
      </c>
      <c r="D127" t="str">
        <f>VLOOKUP(B127,[1]Tabelle1!$A$1:$B$68,2,FALSE)</f>
        <v>Celle</v>
      </c>
      <c r="E127" t="str">
        <f>'2020_5-2-2_Download'!$F$7</f>
        <v>Frauen</v>
      </c>
      <c r="G127" t="s">
        <v>84</v>
      </c>
      <c r="H127" t="str">
        <f>VLOOKUP(B127,[2]Kreise!$A$2:$C$53,3,FALSE)</f>
        <v>K03351</v>
      </c>
      <c r="I127">
        <f>'2020_5-2-2_Download'!F31</f>
        <v>1461</v>
      </c>
    </row>
    <row r="128" spans="2:9">
      <c r="B128">
        <f>'2020_5-2-2_Download'!B32</f>
        <v>352</v>
      </c>
      <c r="C128">
        <f>'2020_5-2-2_Download'!$D$5</f>
        <v>2020</v>
      </c>
      <c r="D128" t="str">
        <f>VLOOKUP(B128,[1]Tabelle1!$A$1:$B$68,2,FALSE)</f>
        <v>Cuxhaven</v>
      </c>
      <c r="E128" t="str">
        <f>'2020_5-2-2_Download'!$F$7</f>
        <v>Frauen</v>
      </c>
      <c r="G128" t="s">
        <v>84</v>
      </c>
      <c r="H128" t="str">
        <f>VLOOKUP(B128,[2]Kreise!$A$2:$C$53,3,FALSE)</f>
        <v>K03352</v>
      </c>
      <c r="I128">
        <f>'2020_5-2-2_Download'!F32</f>
        <v>1464</v>
      </c>
    </row>
    <row r="129" spans="2:9">
      <c r="B129">
        <f>'2020_5-2-2_Download'!B33</f>
        <v>353</v>
      </c>
      <c r="C129">
        <f>'2020_5-2-2_Download'!$D$5</f>
        <v>2020</v>
      </c>
      <c r="D129" t="str">
        <f>VLOOKUP(B129,[1]Tabelle1!$A$1:$B$68,2,FALSE)</f>
        <v>Harburg</v>
      </c>
      <c r="E129" t="str">
        <f>'2020_5-2-2_Download'!$F$7</f>
        <v>Frauen</v>
      </c>
      <c r="G129" t="s">
        <v>84</v>
      </c>
      <c r="H129" t="str">
        <f>VLOOKUP(B129,[2]Kreise!$A$2:$C$53,3,FALSE)</f>
        <v>K03353</v>
      </c>
      <c r="I129">
        <f>'2020_5-2-2_Download'!F33</f>
        <v>2686</v>
      </c>
    </row>
    <row r="130" spans="2:9">
      <c r="B130">
        <f>'2020_5-2-2_Download'!B34</f>
        <v>354</v>
      </c>
      <c r="C130">
        <f>'2020_5-2-2_Download'!$D$5</f>
        <v>2020</v>
      </c>
      <c r="D130" t="str">
        <f>VLOOKUP(B130,[1]Tabelle1!$A$1:$B$68,2,FALSE)</f>
        <v>Lüchow-Dannenberg</v>
      </c>
      <c r="E130" t="str">
        <f>'2020_5-2-2_Download'!$F$7</f>
        <v>Frauen</v>
      </c>
      <c r="G130" t="s">
        <v>84</v>
      </c>
      <c r="H130" t="str">
        <f>VLOOKUP(B130,[2]Kreise!$A$2:$C$53,3,FALSE)</f>
        <v>K03354</v>
      </c>
      <c r="I130">
        <f>'2020_5-2-2_Download'!F34</f>
        <v>294</v>
      </c>
    </row>
    <row r="131" spans="2:9">
      <c r="B131">
        <f>'2020_5-2-2_Download'!B35</f>
        <v>355</v>
      </c>
      <c r="C131">
        <f>'2020_5-2-2_Download'!$D$5</f>
        <v>2020</v>
      </c>
      <c r="D131" t="str">
        <f>VLOOKUP(B131,[1]Tabelle1!$A$1:$B$68,2,FALSE)</f>
        <v>Lüneburg</v>
      </c>
      <c r="E131" t="str">
        <f>'2020_5-2-2_Download'!$F$7</f>
        <v>Frauen</v>
      </c>
      <c r="G131" t="s">
        <v>84</v>
      </c>
      <c r="H131" t="str">
        <f>VLOOKUP(B131,[2]Kreise!$A$2:$C$53,3,FALSE)</f>
        <v>K03355</v>
      </c>
      <c r="I131">
        <f>'2020_5-2-2_Download'!F35</f>
        <v>1396</v>
      </c>
    </row>
    <row r="132" spans="2:9">
      <c r="B132">
        <f>'2020_5-2-2_Download'!B36</f>
        <v>356</v>
      </c>
      <c r="C132">
        <f>'2020_5-2-2_Download'!$D$5</f>
        <v>2020</v>
      </c>
      <c r="D132" t="str">
        <f>VLOOKUP(B132,[1]Tabelle1!$A$1:$B$68,2,FALSE)</f>
        <v>Osterholz</v>
      </c>
      <c r="E132" t="str">
        <f>'2020_5-2-2_Download'!$F$7</f>
        <v>Frauen</v>
      </c>
      <c r="G132" t="s">
        <v>84</v>
      </c>
      <c r="H132" t="str">
        <f>VLOOKUP(B132,[2]Kreise!$A$2:$C$53,3,FALSE)</f>
        <v>K03356</v>
      </c>
      <c r="I132">
        <f>'2020_5-2-2_Download'!F36</f>
        <v>629</v>
      </c>
    </row>
    <row r="133" spans="2:9">
      <c r="B133">
        <f>'2020_5-2-2_Download'!B37</f>
        <v>357</v>
      </c>
      <c r="C133">
        <f>'2020_5-2-2_Download'!$D$5</f>
        <v>2020</v>
      </c>
      <c r="D133" t="str">
        <f>VLOOKUP(B133,[1]Tabelle1!$A$1:$B$68,2,FALSE)</f>
        <v>Rotenburg (Wümme)</v>
      </c>
      <c r="E133" t="str">
        <f>'2020_5-2-2_Download'!$F$7</f>
        <v>Frauen</v>
      </c>
      <c r="G133" t="s">
        <v>84</v>
      </c>
      <c r="H133" t="str">
        <f>VLOOKUP(B133,[2]Kreise!$A$2:$C$53,3,FALSE)</f>
        <v>K03357</v>
      </c>
      <c r="I133">
        <f>'2020_5-2-2_Download'!F37</f>
        <v>1494</v>
      </c>
    </row>
    <row r="134" spans="2:9">
      <c r="B134">
        <f>'2020_5-2-2_Download'!B38</f>
        <v>358</v>
      </c>
      <c r="C134">
        <f>'2020_5-2-2_Download'!$D$5</f>
        <v>2020</v>
      </c>
      <c r="D134" t="str">
        <f>VLOOKUP(B134,[1]Tabelle1!$A$1:$B$68,2,FALSE)</f>
        <v>Heidekreis</v>
      </c>
      <c r="E134" t="str">
        <f>'2020_5-2-2_Download'!$F$7</f>
        <v>Frauen</v>
      </c>
      <c r="G134" t="s">
        <v>84</v>
      </c>
      <c r="H134" t="str">
        <f>VLOOKUP(B134,[2]Kreise!$A$2:$C$53,3,FALSE)</f>
        <v>K03358</v>
      </c>
      <c r="I134">
        <f>'2020_5-2-2_Download'!F38</f>
        <v>1479</v>
      </c>
    </row>
    <row r="135" spans="2:9">
      <c r="B135">
        <f>'2020_5-2-2_Download'!B39</f>
        <v>359</v>
      </c>
      <c r="C135">
        <f>'2020_5-2-2_Download'!$D$5</f>
        <v>2020</v>
      </c>
      <c r="D135" t="str">
        <f>VLOOKUP(B135,[1]Tabelle1!$A$1:$B$68,2,FALSE)</f>
        <v>Stade</v>
      </c>
      <c r="E135" t="str">
        <f>'2020_5-2-2_Download'!$F$7</f>
        <v>Frauen</v>
      </c>
      <c r="G135" t="s">
        <v>84</v>
      </c>
      <c r="H135" t="str">
        <f>VLOOKUP(B135,[2]Kreise!$A$2:$C$53,3,FALSE)</f>
        <v>K03359</v>
      </c>
      <c r="I135">
        <f>'2020_5-2-2_Download'!F39</f>
        <v>1701</v>
      </c>
    </row>
    <row r="136" spans="2:9">
      <c r="B136">
        <f>'2020_5-2-2_Download'!B40</f>
        <v>360</v>
      </c>
      <c r="C136">
        <f>'2020_5-2-2_Download'!$D$5</f>
        <v>2020</v>
      </c>
      <c r="D136" t="str">
        <f>VLOOKUP(B136,[1]Tabelle1!$A$1:$B$68,2,FALSE)</f>
        <v>Uelzen</v>
      </c>
      <c r="E136" t="str">
        <f>'2020_5-2-2_Download'!$F$7</f>
        <v>Frauen</v>
      </c>
      <c r="G136" t="s">
        <v>84</v>
      </c>
      <c r="H136" t="str">
        <f>VLOOKUP(B136,[2]Kreise!$A$2:$C$53,3,FALSE)</f>
        <v>K03360</v>
      </c>
      <c r="I136">
        <f>'2020_5-2-2_Download'!F40</f>
        <v>647</v>
      </c>
    </row>
    <row r="137" spans="2:9">
      <c r="B137">
        <f>'2020_5-2-2_Download'!B41</f>
        <v>361</v>
      </c>
      <c r="C137">
        <f>'2020_5-2-2_Download'!$D$5</f>
        <v>2020</v>
      </c>
      <c r="D137" t="str">
        <f>VLOOKUP(B137,[1]Tabelle1!$A$1:$B$68,2,FALSE)</f>
        <v>Verden</v>
      </c>
      <c r="E137" t="str">
        <f>'2020_5-2-2_Download'!$F$7</f>
        <v>Frauen</v>
      </c>
      <c r="G137" t="s">
        <v>84</v>
      </c>
      <c r="H137" t="str">
        <f>VLOOKUP(B137,[2]Kreise!$A$2:$C$53,3,FALSE)</f>
        <v>K03361</v>
      </c>
      <c r="I137">
        <f>'2020_5-2-2_Download'!F41</f>
        <v>1685</v>
      </c>
    </row>
    <row r="138" spans="2:9">
      <c r="B138">
        <f>'2020_5-2-2_Download'!B42</f>
        <v>3</v>
      </c>
      <c r="C138">
        <f>'2020_5-2-2_Download'!$D$5</f>
        <v>2020</v>
      </c>
      <c r="D138" t="str">
        <f>VLOOKUP(B138,[1]Tabelle1!$A$1:$B$68,2,FALSE)</f>
        <v>Stat. Region Lüneburg</v>
      </c>
      <c r="E138" t="str">
        <f>'2020_5-2-2_Download'!$F$7</f>
        <v>Frauen</v>
      </c>
      <c r="G138" t="s">
        <v>84</v>
      </c>
      <c r="H138" t="str">
        <f>VLOOKUP(B138,[2]Kreise!$A$2:$C$53,3,FALSE)</f>
        <v>K033</v>
      </c>
      <c r="I138">
        <f>'2020_5-2-2_Download'!F42</f>
        <v>14936</v>
      </c>
    </row>
    <row r="139" spans="2:9">
      <c r="B139">
        <f>'2020_5-2-2_Download'!B43</f>
        <v>401</v>
      </c>
      <c r="C139">
        <f>'2020_5-2-2_Download'!$D$5</f>
        <v>2020</v>
      </c>
      <c r="D139" t="str">
        <f>VLOOKUP(B139,[1]Tabelle1!$A$1:$B$68,2,FALSE)</f>
        <v>Delmenhorst  Stadt</v>
      </c>
      <c r="E139" t="str">
        <f>'2020_5-2-2_Download'!$F$7</f>
        <v>Frauen</v>
      </c>
      <c r="G139" t="s">
        <v>84</v>
      </c>
      <c r="H139" t="str">
        <f>VLOOKUP(B139,[2]Kreise!$A$2:$C$53,3,FALSE)</f>
        <v>K03401</v>
      </c>
      <c r="I139">
        <f>'2020_5-2-2_Download'!F43</f>
        <v>645</v>
      </c>
    </row>
    <row r="140" spans="2:9">
      <c r="B140">
        <f>'2020_5-2-2_Download'!B44</f>
        <v>402</v>
      </c>
      <c r="C140">
        <f>'2020_5-2-2_Download'!$D$5</f>
        <v>2020</v>
      </c>
      <c r="D140" t="str">
        <f>VLOOKUP(B140,[1]Tabelle1!$A$1:$B$68,2,FALSE)</f>
        <v>Emden  Stadt</v>
      </c>
      <c r="E140" t="str">
        <f>'2020_5-2-2_Download'!$F$7</f>
        <v>Frauen</v>
      </c>
      <c r="G140" t="s">
        <v>84</v>
      </c>
      <c r="H140" t="str">
        <f>VLOOKUP(B140,[2]Kreise!$A$2:$C$53,3,FALSE)</f>
        <v>K03402</v>
      </c>
      <c r="I140">
        <f>'2020_5-2-2_Download'!F44</f>
        <v>473</v>
      </c>
    </row>
    <row r="141" spans="2:9">
      <c r="B141">
        <f>'2020_5-2-2_Download'!B45</f>
        <v>403</v>
      </c>
      <c r="C141">
        <f>'2020_5-2-2_Download'!$D$5</f>
        <v>2020</v>
      </c>
      <c r="D141" t="str">
        <f>VLOOKUP(B141,[1]Tabelle1!$A$1:$B$68,2,FALSE)</f>
        <v>Oldenburg(Oldb)  Stadt</v>
      </c>
      <c r="E141" t="str">
        <f>'2020_5-2-2_Download'!$F$7</f>
        <v>Frauen</v>
      </c>
      <c r="G141" t="s">
        <v>84</v>
      </c>
      <c r="H141" t="str">
        <f>VLOOKUP(B141,[2]Kreise!$A$2:$C$53,3,FALSE)</f>
        <v>K03403</v>
      </c>
      <c r="I141">
        <f>'2020_5-2-2_Download'!F45</f>
        <v>2245</v>
      </c>
    </row>
    <row r="142" spans="2:9">
      <c r="B142">
        <f>'2020_5-2-2_Download'!B46</f>
        <v>404</v>
      </c>
      <c r="C142">
        <f>'2020_5-2-2_Download'!$D$5</f>
        <v>2020</v>
      </c>
      <c r="D142" t="str">
        <f>VLOOKUP(B142,[1]Tabelle1!$A$1:$B$68,2,FALSE)</f>
        <v>Osnabrück  Stadt</v>
      </c>
      <c r="E142" t="str">
        <f>'2020_5-2-2_Download'!$F$7</f>
        <v>Frauen</v>
      </c>
      <c r="G142" t="s">
        <v>84</v>
      </c>
      <c r="H142" t="str">
        <f>VLOOKUP(B142,[2]Kreise!$A$2:$C$53,3,FALSE)</f>
        <v>K03404</v>
      </c>
      <c r="I142">
        <f>'2020_5-2-2_Download'!F46</f>
        <v>3913</v>
      </c>
    </row>
    <row r="143" spans="2:9">
      <c r="B143">
        <f>'2020_5-2-2_Download'!B47</f>
        <v>405</v>
      </c>
      <c r="C143">
        <f>'2020_5-2-2_Download'!$D$5</f>
        <v>2020</v>
      </c>
      <c r="D143" t="str">
        <f>VLOOKUP(B143,[1]Tabelle1!$A$1:$B$68,2,FALSE)</f>
        <v>Wilhelmshaven  Stadt</v>
      </c>
      <c r="E143" t="str">
        <f>'2020_5-2-2_Download'!$F$7</f>
        <v>Frauen</v>
      </c>
      <c r="G143" t="s">
        <v>84</v>
      </c>
      <c r="H143" t="str">
        <f>VLOOKUP(B143,[2]Kreise!$A$2:$C$53,3,FALSE)</f>
        <v>K03405</v>
      </c>
      <c r="I143">
        <f>'2020_5-2-2_Download'!F47</f>
        <v>545</v>
      </c>
    </row>
    <row r="144" spans="2:9">
      <c r="B144">
        <f>'2020_5-2-2_Download'!B48</f>
        <v>451</v>
      </c>
      <c r="C144">
        <f>'2020_5-2-2_Download'!$D$5</f>
        <v>2020</v>
      </c>
      <c r="D144" t="str">
        <f>VLOOKUP(B144,[1]Tabelle1!$A$1:$B$68,2,FALSE)</f>
        <v>Ammerland</v>
      </c>
      <c r="E144" t="str">
        <f>'2020_5-2-2_Download'!$F$7</f>
        <v>Frauen</v>
      </c>
      <c r="G144" t="s">
        <v>84</v>
      </c>
      <c r="H144" t="str">
        <f>VLOOKUP(B144,[2]Kreise!$A$2:$C$53,3,FALSE)</f>
        <v>K03451</v>
      </c>
      <c r="I144">
        <f>'2020_5-2-2_Download'!F48</f>
        <v>1301</v>
      </c>
    </row>
    <row r="145" spans="2:9">
      <c r="B145">
        <f>'2020_5-2-2_Download'!B49</f>
        <v>452</v>
      </c>
      <c r="C145">
        <f>'2020_5-2-2_Download'!$D$5</f>
        <v>2020</v>
      </c>
      <c r="D145" t="str">
        <f>VLOOKUP(B145,[1]Tabelle1!$A$1:$B$68,2,FALSE)</f>
        <v>Aurich</v>
      </c>
      <c r="E145" t="str">
        <f>'2020_5-2-2_Download'!$F$7</f>
        <v>Frauen</v>
      </c>
      <c r="G145" t="s">
        <v>84</v>
      </c>
      <c r="H145" t="str">
        <f>VLOOKUP(B145,[2]Kreise!$A$2:$C$53,3,FALSE)</f>
        <v>K03452</v>
      </c>
      <c r="I145">
        <f>'2020_5-2-2_Download'!F49</f>
        <v>1506</v>
      </c>
    </row>
    <row r="146" spans="2:9">
      <c r="B146">
        <f>'2020_5-2-2_Download'!B50</f>
        <v>453</v>
      </c>
      <c r="C146">
        <f>'2020_5-2-2_Download'!$D$5</f>
        <v>2020</v>
      </c>
      <c r="D146" t="str">
        <f>VLOOKUP(B146,[1]Tabelle1!$A$1:$B$68,2,FALSE)</f>
        <v>Cloppenburg</v>
      </c>
      <c r="E146" t="str">
        <f>'2020_5-2-2_Download'!$F$7</f>
        <v>Frauen</v>
      </c>
      <c r="G146" t="s">
        <v>84</v>
      </c>
      <c r="H146" t="str">
        <f>VLOOKUP(B146,[2]Kreise!$A$2:$C$53,3,FALSE)</f>
        <v>K03453</v>
      </c>
      <c r="I146">
        <f>'2020_5-2-2_Download'!F50</f>
        <v>3318</v>
      </c>
    </row>
    <row r="147" spans="2:9">
      <c r="B147">
        <f>'2020_5-2-2_Download'!B51</f>
        <v>454</v>
      </c>
      <c r="C147">
        <f>'2020_5-2-2_Download'!$D$5</f>
        <v>2020</v>
      </c>
      <c r="D147" t="str">
        <f>VLOOKUP(B147,[1]Tabelle1!$A$1:$B$68,2,FALSE)</f>
        <v>Emsland</v>
      </c>
      <c r="E147" t="str">
        <f>'2020_5-2-2_Download'!$F$7</f>
        <v>Frauen</v>
      </c>
      <c r="G147" t="s">
        <v>84</v>
      </c>
      <c r="H147" t="str">
        <f>VLOOKUP(B147,[2]Kreise!$A$2:$C$53,3,FALSE)</f>
        <v>K03454</v>
      </c>
      <c r="I147">
        <f>'2020_5-2-2_Download'!F51</f>
        <v>4086</v>
      </c>
    </row>
    <row r="148" spans="2:9">
      <c r="B148">
        <f>'2020_5-2-2_Download'!B52</f>
        <v>455</v>
      </c>
      <c r="C148">
        <f>'2020_5-2-2_Download'!$D$5</f>
        <v>2020</v>
      </c>
      <c r="D148" t="str">
        <f>VLOOKUP(B148,[1]Tabelle1!$A$1:$B$68,2,FALSE)</f>
        <v>Friesland</v>
      </c>
      <c r="E148" t="str">
        <f>'2020_5-2-2_Download'!$F$7</f>
        <v>Frauen</v>
      </c>
      <c r="G148" t="s">
        <v>84</v>
      </c>
      <c r="H148" t="str">
        <f>VLOOKUP(B148,[2]Kreise!$A$2:$C$53,3,FALSE)</f>
        <v>K03455</v>
      </c>
      <c r="I148">
        <f>'2020_5-2-2_Download'!F52</f>
        <v>542</v>
      </c>
    </row>
    <row r="149" spans="2:9">
      <c r="B149">
        <f>'2020_5-2-2_Download'!B53</f>
        <v>456</v>
      </c>
      <c r="C149">
        <f>'2020_5-2-2_Download'!$D$5</f>
        <v>2020</v>
      </c>
      <c r="D149" t="str">
        <f>VLOOKUP(B149,[1]Tabelle1!$A$1:$B$68,2,FALSE)</f>
        <v>Grafschaft Bentheim</v>
      </c>
      <c r="E149" t="str">
        <f>'2020_5-2-2_Download'!$F$7</f>
        <v>Frauen</v>
      </c>
      <c r="G149" t="s">
        <v>84</v>
      </c>
      <c r="H149" t="str">
        <f>VLOOKUP(B149,[2]Kreise!$A$2:$C$53,3,FALSE)</f>
        <v>K03456</v>
      </c>
      <c r="I149">
        <f>'2020_5-2-2_Download'!F53</f>
        <v>1806</v>
      </c>
    </row>
    <row r="150" spans="2:9">
      <c r="B150">
        <f>'2020_5-2-2_Download'!B54</f>
        <v>457</v>
      </c>
      <c r="C150">
        <f>'2020_5-2-2_Download'!$D$5</f>
        <v>2020</v>
      </c>
      <c r="D150" t="str">
        <f>VLOOKUP(B150,[1]Tabelle1!$A$1:$B$68,2,FALSE)</f>
        <v>Leer</v>
      </c>
      <c r="E150" t="str">
        <f>'2020_5-2-2_Download'!$F$7</f>
        <v>Frauen</v>
      </c>
      <c r="G150" t="s">
        <v>84</v>
      </c>
      <c r="H150" t="str">
        <f>VLOOKUP(B150,[2]Kreise!$A$2:$C$53,3,FALSE)</f>
        <v>K03457</v>
      </c>
      <c r="I150">
        <f>'2020_5-2-2_Download'!F54</f>
        <v>1082</v>
      </c>
    </row>
    <row r="151" spans="2:9">
      <c r="B151">
        <f>'2020_5-2-2_Download'!B55</f>
        <v>458</v>
      </c>
      <c r="C151">
        <f>'2020_5-2-2_Download'!$D$5</f>
        <v>2020</v>
      </c>
      <c r="D151" t="str">
        <f>VLOOKUP(B151,[1]Tabelle1!$A$1:$B$68,2,FALSE)</f>
        <v>Oldenburg</v>
      </c>
      <c r="E151" t="str">
        <f>'2020_5-2-2_Download'!$F$7</f>
        <v>Frauen</v>
      </c>
      <c r="G151" t="s">
        <v>84</v>
      </c>
      <c r="H151" t="str">
        <f>VLOOKUP(B151,[2]Kreise!$A$2:$C$53,3,FALSE)</f>
        <v>K03458</v>
      </c>
      <c r="I151">
        <f>'2020_5-2-2_Download'!F55</f>
        <v>1134</v>
      </c>
    </row>
    <row r="152" spans="2:9">
      <c r="B152">
        <f>'2020_5-2-2_Download'!B56</f>
        <v>459</v>
      </c>
      <c r="C152">
        <f>'2020_5-2-2_Download'!$D$5</f>
        <v>2020</v>
      </c>
      <c r="D152" t="str">
        <f>VLOOKUP(B152,[1]Tabelle1!$A$1:$B$68,2,FALSE)</f>
        <v>Osnabrück</v>
      </c>
      <c r="E152" t="str">
        <f>'2020_5-2-2_Download'!$F$7</f>
        <v>Frauen</v>
      </c>
      <c r="G152" t="s">
        <v>84</v>
      </c>
      <c r="H152" t="str">
        <f>VLOOKUP(B152,[2]Kreise!$A$2:$C$53,3,FALSE)</f>
        <v>K03459</v>
      </c>
      <c r="I152">
        <f>'2020_5-2-2_Download'!F56</f>
        <v>6010</v>
      </c>
    </row>
    <row r="153" spans="2:9">
      <c r="B153">
        <f>'2020_5-2-2_Download'!B57</f>
        <v>460</v>
      </c>
      <c r="C153">
        <f>'2020_5-2-2_Download'!$D$5</f>
        <v>2020</v>
      </c>
      <c r="D153" t="str">
        <f>VLOOKUP(B153,[1]Tabelle1!$A$1:$B$68,2,FALSE)</f>
        <v>Vechta</v>
      </c>
      <c r="E153" t="str">
        <f>'2020_5-2-2_Download'!$F$7</f>
        <v>Frauen</v>
      </c>
      <c r="G153" t="s">
        <v>84</v>
      </c>
      <c r="H153" t="str">
        <f>VLOOKUP(B153,[2]Kreise!$A$2:$C$53,3,FALSE)</f>
        <v>K03460</v>
      </c>
      <c r="I153">
        <f>'2020_5-2-2_Download'!F57</f>
        <v>3743</v>
      </c>
    </row>
    <row r="154" spans="2:9">
      <c r="B154">
        <f>'2020_5-2-2_Download'!B58</f>
        <v>461</v>
      </c>
      <c r="C154">
        <f>'2020_5-2-2_Download'!$D$5</f>
        <v>2020</v>
      </c>
      <c r="D154" t="str">
        <f>VLOOKUP(B154,[1]Tabelle1!$A$1:$B$68,2,FALSE)</f>
        <v>Wesermarsch</v>
      </c>
      <c r="E154" t="str">
        <f>'2020_5-2-2_Download'!$F$7</f>
        <v>Frauen</v>
      </c>
      <c r="G154" t="s">
        <v>84</v>
      </c>
      <c r="H154" t="str">
        <f>VLOOKUP(B154,[2]Kreise!$A$2:$C$53,3,FALSE)</f>
        <v>K03461</v>
      </c>
      <c r="I154">
        <f>'2020_5-2-2_Download'!F58</f>
        <v>516</v>
      </c>
    </row>
    <row r="155" spans="2:9">
      <c r="B155">
        <f>'2020_5-2-2_Download'!B59</f>
        <v>462</v>
      </c>
      <c r="C155">
        <f>'2020_5-2-2_Download'!$D$5</f>
        <v>2020</v>
      </c>
      <c r="D155" t="str">
        <f>VLOOKUP(B155,[1]Tabelle1!$A$1:$B$68,2,FALSE)</f>
        <v>Wittmund</v>
      </c>
      <c r="E155" t="str">
        <f>'2020_5-2-2_Download'!$F$7</f>
        <v>Frauen</v>
      </c>
      <c r="G155" t="s">
        <v>84</v>
      </c>
      <c r="H155" t="str">
        <f>VLOOKUP(B155,[2]Kreise!$A$2:$C$53,3,FALSE)</f>
        <v>K03462</v>
      </c>
      <c r="I155">
        <f>'2020_5-2-2_Download'!F59</f>
        <v>378</v>
      </c>
    </row>
    <row r="156" spans="2:9">
      <c r="B156">
        <f>'2020_5-2-2_Download'!B60</f>
        <v>4</v>
      </c>
      <c r="C156">
        <f>'2020_5-2-2_Download'!$D$5</f>
        <v>2020</v>
      </c>
      <c r="D156" t="str">
        <f>VLOOKUP(B156,[1]Tabelle1!$A$1:$B$68,2,FALSE)</f>
        <v>Stat. Region Weser-Ems</v>
      </c>
      <c r="E156" t="str">
        <f>'2020_5-2-2_Download'!$F$7</f>
        <v>Frauen</v>
      </c>
      <c r="G156" t="s">
        <v>84</v>
      </c>
      <c r="H156" t="str">
        <f>VLOOKUP(B156,[2]Kreise!$A$2:$C$53,3,FALSE)</f>
        <v>K034</v>
      </c>
      <c r="I156">
        <f>'2020_5-2-2_Download'!F60</f>
        <v>33243</v>
      </c>
    </row>
    <row r="157" spans="2:9">
      <c r="B157">
        <f>'2020_5-2-2_Download'!B61</f>
        <v>0</v>
      </c>
      <c r="C157">
        <f>'2020_5-2-2_Download'!$D$5</f>
        <v>2020</v>
      </c>
      <c r="D157" t="str">
        <f>VLOOKUP(B157,[1]Tabelle1!$A$1:$B$68,2,FALSE)</f>
        <v>Niedersachsen</v>
      </c>
      <c r="E157" t="str">
        <f>'2020_5-2-2_Download'!$F$7</f>
        <v>Frauen</v>
      </c>
      <c r="G157" t="s">
        <v>84</v>
      </c>
      <c r="H157" t="str">
        <f>VLOOKUP(B157,[2]Kreise!$A$2:$C$53,3,FALSE)</f>
        <v>K030</v>
      </c>
      <c r="I157">
        <f>'2020_5-2-2_Download'!F61</f>
        <v>93737</v>
      </c>
    </row>
    <row r="158" spans="2:9">
      <c r="B158">
        <f>'2020_5-2-2_Download'!B10</f>
        <v>101</v>
      </c>
      <c r="C158">
        <f>'2020_5-2-2_Download'!$K$5</f>
        <v>2019</v>
      </c>
      <c r="D158" t="str">
        <f>VLOOKUP(B158,[1]Tabelle1!$A$1:$B$68,2,FALSE)</f>
        <v>Braunschweig  Stadt</v>
      </c>
      <c r="E158" t="str">
        <f>'2020_5-2-2_Download'!$K$7</f>
        <v>Insgesamt</v>
      </c>
      <c r="G158" t="s">
        <v>84</v>
      </c>
      <c r="H158" t="str">
        <f>VLOOKUP(B158,[2]Kreise!$A$2:$C$53,3,FALSE)</f>
        <v>K03101</v>
      </c>
      <c r="I158">
        <f>'2020_5-2-2_Download'!K10</f>
        <v>11157</v>
      </c>
    </row>
    <row r="159" spans="2:9">
      <c r="B159">
        <f>'2020_5-2-2_Download'!B11</f>
        <v>102</v>
      </c>
      <c r="C159">
        <f>'2020_5-2-2_Download'!$K$5</f>
        <v>2019</v>
      </c>
      <c r="D159" t="str">
        <f>VLOOKUP(B159,[1]Tabelle1!$A$1:$B$68,2,FALSE)</f>
        <v>Salzgitter  Stadt</v>
      </c>
      <c r="E159" t="str">
        <f>'2020_5-2-2_Download'!$K$7</f>
        <v>Insgesamt</v>
      </c>
      <c r="G159" t="s">
        <v>84</v>
      </c>
      <c r="H159" t="str">
        <f>VLOOKUP(B159,[2]Kreise!$A$2:$C$53,3,FALSE)</f>
        <v>K03102</v>
      </c>
      <c r="I159">
        <f>'2020_5-2-2_Download'!K11</f>
        <v>4747</v>
      </c>
    </row>
    <row r="160" spans="2:9">
      <c r="B160">
        <f>'2020_5-2-2_Download'!B12</f>
        <v>103</v>
      </c>
      <c r="C160">
        <f>'2020_5-2-2_Download'!$K$5</f>
        <v>2019</v>
      </c>
      <c r="D160" t="str">
        <f>VLOOKUP(B160,[1]Tabelle1!$A$1:$B$68,2,FALSE)</f>
        <v>Wolfsburg  Stadt</v>
      </c>
      <c r="E160" t="str">
        <f>'2020_5-2-2_Download'!$K$7</f>
        <v>Insgesamt</v>
      </c>
      <c r="G160" t="s">
        <v>84</v>
      </c>
      <c r="H160" t="str">
        <f>VLOOKUP(B160,[2]Kreise!$A$2:$C$53,3,FALSE)</f>
        <v>K03103</v>
      </c>
      <c r="I160">
        <f>'2020_5-2-2_Download'!K12</f>
        <v>10288</v>
      </c>
    </row>
    <row r="161" spans="2:9">
      <c r="B161">
        <f>'2020_5-2-2_Download'!B13</f>
        <v>151</v>
      </c>
      <c r="C161">
        <f>'2020_5-2-2_Download'!$K$5</f>
        <v>2019</v>
      </c>
      <c r="D161" t="str">
        <f>VLOOKUP(B161,[1]Tabelle1!$A$1:$B$68,2,FALSE)</f>
        <v>Gifhorn</v>
      </c>
      <c r="E161" t="str">
        <f>'2020_5-2-2_Download'!$K$7</f>
        <v>Insgesamt</v>
      </c>
      <c r="G161" t="s">
        <v>84</v>
      </c>
      <c r="H161" t="str">
        <f>VLOOKUP(B161,[2]Kreise!$A$2:$C$53,3,FALSE)</f>
        <v>K03151</v>
      </c>
      <c r="I161">
        <f>'2020_5-2-2_Download'!K13</f>
        <v>3040</v>
      </c>
    </row>
    <row r="162" spans="2:9">
      <c r="B162">
        <f>'2020_5-2-2_Download'!B14</f>
        <v>153</v>
      </c>
      <c r="C162">
        <f>'2020_5-2-2_Download'!$K$5</f>
        <v>2019</v>
      </c>
      <c r="D162" t="str">
        <f>VLOOKUP(B162,[1]Tabelle1!$A$1:$B$68,2,FALSE)</f>
        <v>Goslar</v>
      </c>
      <c r="E162" t="str">
        <f>'2020_5-2-2_Download'!$K$7</f>
        <v>Insgesamt</v>
      </c>
      <c r="G162" t="s">
        <v>84</v>
      </c>
      <c r="H162" t="str">
        <f>VLOOKUP(B162,[2]Kreise!$A$2:$C$53,3,FALSE)</f>
        <v>K03153</v>
      </c>
      <c r="I162">
        <f>'2020_5-2-2_Download'!K14</f>
        <v>3119</v>
      </c>
    </row>
    <row r="163" spans="2:9">
      <c r="B163">
        <f>'2020_5-2-2_Download'!B15</f>
        <v>154</v>
      </c>
      <c r="C163">
        <f>'2020_5-2-2_Download'!$K$5</f>
        <v>2019</v>
      </c>
      <c r="D163" t="str">
        <f>VLOOKUP(B163,[1]Tabelle1!$A$1:$B$68,2,FALSE)</f>
        <v>Helmstedt</v>
      </c>
      <c r="E163" t="str">
        <f>'2020_5-2-2_Download'!$K$7</f>
        <v>Insgesamt</v>
      </c>
      <c r="G163" t="s">
        <v>84</v>
      </c>
      <c r="H163" t="str">
        <f>VLOOKUP(B163,[2]Kreise!$A$2:$C$53,3,FALSE)</f>
        <v>K03154</v>
      </c>
      <c r="I163">
        <f>'2020_5-2-2_Download'!K15</f>
        <v>1557</v>
      </c>
    </row>
    <row r="164" spans="2:9">
      <c r="B164">
        <f>'2020_5-2-2_Download'!B16</f>
        <v>155</v>
      </c>
      <c r="C164">
        <f>'2020_5-2-2_Download'!$K$5</f>
        <v>2019</v>
      </c>
      <c r="D164" t="str">
        <f>VLOOKUP(B164,[1]Tabelle1!$A$1:$B$68,2,FALSE)</f>
        <v>Northeim</v>
      </c>
      <c r="E164" t="str">
        <f>'2020_5-2-2_Download'!$K$7</f>
        <v>Insgesamt</v>
      </c>
      <c r="G164" t="s">
        <v>84</v>
      </c>
      <c r="H164" t="str">
        <f>VLOOKUP(B164,[2]Kreise!$A$2:$C$53,3,FALSE)</f>
        <v>K03155</v>
      </c>
      <c r="I164">
        <f>'2020_5-2-2_Download'!K16</f>
        <v>3377</v>
      </c>
    </row>
    <row r="165" spans="2:9">
      <c r="B165">
        <f>'2020_5-2-2_Download'!B17</f>
        <v>157</v>
      </c>
      <c r="C165">
        <f>'2020_5-2-2_Download'!$K$5</f>
        <v>2019</v>
      </c>
      <c r="D165" t="str">
        <f>VLOOKUP(B165,[1]Tabelle1!$A$1:$B$68,2,FALSE)</f>
        <v>Peine</v>
      </c>
      <c r="E165" t="str">
        <f>'2020_5-2-2_Download'!$K$7</f>
        <v>Insgesamt</v>
      </c>
      <c r="G165" t="s">
        <v>84</v>
      </c>
      <c r="H165" t="str">
        <f>VLOOKUP(B165,[2]Kreise!$A$2:$C$53,3,FALSE)</f>
        <v>K03157</v>
      </c>
      <c r="I165">
        <f>'2020_5-2-2_Download'!K17</f>
        <v>3351</v>
      </c>
    </row>
    <row r="166" spans="2:9">
      <c r="B166">
        <f>'2020_5-2-2_Download'!B18</f>
        <v>158</v>
      </c>
      <c r="C166">
        <f>'2020_5-2-2_Download'!$K$5</f>
        <v>2019</v>
      </c>
      <c r="D166" t="str">
        <f>VLOOKUP(B166,[1]Tabelle1!$A$1:$B$68,2,FALSE)</f>
        <v>Wolfenbüttel</v>
      </c>
      <c r="E166" t="str">
        <f>'2020_5-2-2_Download'!$K$7</f>
        <v>Insgesamt</v>
      </c>
      <c r="G166" t="s">
        <v>84</v>
      </c>
      <c r="H166" t="str">
        <f>VLOOKUP(B166,[2]Kreise!$A$2:$C$53,3,FALSE)</f>
        <v>K03158</v>
      </c>
      <c r="I166">
        <f>'2020_5-2-2_Download'!K18</f>
        <v>1510</v>
      </c>
    </row>
    <row r="167" spans="2:9">
      <c r="B167">
        <f>'2020_5-2-2_Download'!B19</f>
        <v>159</v>
      </c>
      <c r="C167">
        <f>'2020_5-2-2_Download'!$K$5</f>
        <v>2019</v>
      </c>
      <c r="D167" t="str">
        <f>VLOOKUP(B167,[1]Tabelle1!$A$1:$B$68,2,FALSE)</f>
        <v>Göttingen</v>
      </c>
      <c r="E167" t="str">
        <f>'2020_5-2-2_Download'!$K$7</f>
        <v>Insgesamt</v>
      </c>
      <c r="G167" t="s">
        <v>84</v>
      </c>
      <c r="H167" t="str">
        <f>VLOOKUP(B167,[2]Kreise!$A$2:$C$53,3,FALSE)</f>
        <v>K03159</v>
      </c>
      <c r="I167">
        <f>'2020_5-2-2_Download'!K19</f>
        <v>9450</v>
      </c>
    </row>
    <row r="168" spans="2:9">
      <c r="B168">
        <f>'2020_5-2-2_Download'!B20</f>
        <v>1</v>
      </c>
      <c r="C168">
        <f>'2020_5-2-2_Download'!$K$5</f>
        <v>2019</v>
      </c>
      <c r="D168" t="str">
        <f>VLOOKUP(B168,[1]Tabelle1!$A$1:$B$68,2,FALSE)</f>
        <v>Stat. Region Braunschweig</v>
      </c>
      <c r="E168" t="str">
        <f>'2020_5-2-2_Download'!$K$7</f>
        <v>Insgesamt</v>
      </c>
      <c r="G168" t="s">
        <v>84</v>
      </c>
      <c r="H168" t="str">
        <f>VLOOKUP(B168,[2]Kreise!$A$2:$C$53,3,FALSE)</f>
        <v>K031</v>
      </c>
      <c r="I168">
        <f>'2020_5-2-2_Download'!K20</f>
        <v>51596</v>
      </c>
    </row>
    <row r="169" spans="2:9">
      <c r="B169">
        <f>'2020_5-2-2_Download'!B21</f>
        <v>241</v>
      </c>
      <c r="C169">
        <f>'2020_5-2-2_Download'!$K$5</f>
        <v>2019</v>
      </c>
      <c r="D169" t="str">
        <f>VLOOKUP(B169,[1]Tabelle1!$A$1:$B$68,2,FALSE)</f>
        <v>Hannover  Region</v>
      </c>
      <c r="E169" t="str">
        <f>'2020_5-2-2_Download'!$K$7</f>
        <v>Insgesamt</v>
      </c>
      <c r="G169" t="s">
        <v>84</v>
      </c>
      <c r="H169" t="str">
        <f>VLOOKUP(B169,[2]Kreise!$A$2:$C$53,3,FALSE)</f>
        <v>K03241</v>
      </c>
      <c r="I169">
        <f>'2020_5-2-2_Download'!K21</f>
        <v>60737</v>
      </c>
    </row>
    <row r="170" spans="2:9">
      <c r="B170">
        <f>'2020_5-2-2_Download'!B22</f>
        <v>241001</v>
      </c>
      <c r="C170">
        <f>'2020_5-2-2_Download'!$K$5</f>
        <v>2019</v>
      </c>
      <c r="D170" t="str">
        <f>VLOOKUP(B170,[1]Tabelle1!$A$1:$B$68,2,FALSE)</f>
        <v>dav. Hannover  Lhst.</v>
      </c>
      <c r="E170" t="str">
        <f>'2020_5-2-2_Download'!$K$7</f>
        <v>Insgesamt</v>
      </c>
      <c r="G170" t="s">
        <v>84</v>
      </c>
      <c r="H170" t="str">
        <f>VLOOKUP(B170,[2]Kreise!$A$2:$C$53,3,FALSE)</f>
        <v>K03241001</v>
      </c>
      <c r="I170">
        <f>'2020_5-2-2_Download'!K22</f>
        <v>38360</v>
      </c>
    </row>
    <row r="171" spans="2:9">
      <c r="B171">
        <f>'2020_5-2-2_Download'!B23</f>
        <v>241999</v>
      </c>
      <c r="C171">
        <f>'2020_5-2-2_Download'!$K$5</f>
        <v>2019</v>
      </c>
      <c r="D171" t="str">
        <f>VLOOKUP(B171,[1]Tabelle1!$A$1:$B$68,2,FALSE)</f>
        <v>dav. Hannover  Umland</v>
      </c>
      <c r="E171" t="str">
        <f>'2020_5-2-2_Download'!$K$7</f>
        <v>Insgesamt</v>
      </c>
      <c r="G171" t="s">
        <v>84</v>
      </c>
      <c r="H171" t="str">
        <f>VLOOKUP(B171,[2]Kreise!$A$2:$C$53,3,FALSE)</f>
        <v>K03241999</v>
      </c>
      <c r="I171">
        <f>'2020_5-2-2_Download'!K23</f>
        <v>22377</v>
      </c>
    </row>
    <row r="172" spans="2:9">
      <c r="B172">
        <f>'2020_5-2-2_Download'!B24</f>
        <v>251</v>
      </c>
      <c r="C172">
        <f>'2020_5-2-2_Download'!$K$5</f>
        <v>2019</v>
      </c>
      <c r="D172" t="str">
        <f>VLOOKUP(B172,[1]Tabelle1!$A$1:$B$68,2,FALSE)</f>
        <v>Diepholz</v>
      </c>
      <c r="E172" t="str">
        <f>'2020_5-2-2_Download'!$K$7</f>
        <v>Insgesamt</v>
      </c>
      <c r="G172" t="s">
        <v>84</v>
      </c>
      <c r="H172" t="str">
        <f>VLOOKUP(B172,[2]Kreise!$A$2:$C$53,3,FALSE)</f>
        <v>K03251</v>
      </c>
      <c r="I172">
        <f>'2020_5-2-2_Download'!K24</f>
        <v>6222</v>
      </c>
    </row>
    <row r="173" spans="2:9">
      <c r="B173">
        <f>'2020_5-2-2_Download'!B25</f>
        <v>252</v>
      </c>
      <c r="C173">
        <f>'2020_5-2-2_Download'!$K$5</f>
        <v>2019</v>
      </c>
      <c r="D173" t="str">
        <f>VLOOKUP(B173,[1]Tabelle1!$A$1:$B$68,2,FALSE)</f>
        <v>Hameln-Pyrmont</v>
      </c>
      <c r="E173" t="str">
        <f>'2020_5-2-2_Download'!$K$7</f>
        <v>Insgesamt</v>
      </c>
      <c r="G173" t="s">
        <v>84</v>
      </c>
      <c r="H173" t="str">
        <f>VLOOKUP(B173,[2]Kreise!$A$2:$C$53,3,FALSE)</f>
        <v>K03252</v>
      </c>
      <c r="I173">
        <f>'2020_5-2-2_Download'!K25</f>
        <v>4052</v>
      </c>
    </row>
    <row r="174" spans="2:9">
      <c r="B174">
        <f>'2020_5-2-2_Download'!B26</f>
        <v>254</v>
      </c>
      <c r="C174">
        <f>'2020_5-2-2_Download'!$K$5</f>
        <v>2019</v>
      </c>
      <c r="D174" t="str">
        <f>VLOOKUP(B174,[1]Tabelle1!$A$1:$B$68,2,FALSE)</f>
        <v>Hildesheim</v>
      </c>
      <c r="E174" t="str">
        <f>'2020_5-2-2_Download'!$K$7</f>
        <v>Insgesamt</v>
      </c>
      <c r="G174" t="s">
        <v>84</v>
      </c>
      <c r="H174" t="str">
        <f>VLOOKUP(B174,[2]Kreise!$A$2:$C$53,3,FALSE)</f>
        <v>K03254</v>
      </c>
      <c r="I174">
        <f>'2020_5-2-2_Download'!K26</f>
        <v>6219</v>
      </c>
    </row>
    <row r="175" spans="2:9">
      <c r="B175">
        <f>'2020_5-2-2_Download'!B27</f>
        <v>255</v>
      </c>
      <c r="C175">
        <f>'2020_5-2-2_Download'!$K$5</f>
        <v>2019</v>
      </c>
      <c r="D175" t="str">
        <f>VLOOKUP(B175,[1]Tabelle1!$A$1:$B$68,2,FALSE)</f>
        <v>Holzminden</v>
      </c>
      <c r="E175" t="str">
        <f>'2020_5-2-2_Download'!$K$7</f>
        <v>Insgesamt</v>
      </c>
      <c r="G175" t="s">
        <v>84</v>
      </c>
      <c r="H175" t="str">
        <f>VLOOKUP(B175,[2]Kreise!$A$2:$C$53,3,FALSE)</f>
        <v>K03255</v>
      </c>
      <c r="I175">
        <f>'2020_5-2-2_Download'!K27</f>
        <v>1421</v>
      </c>
    </row>
    <row r="176" spans="2:9">
      <c r="B176">
        <f>'2020_5-2-2_Download'!B28</f>
        <v>256</v>
      </c>
      <c r="C176">
        <f>'2020_5-2-2_Download'!$K$5</f>
        <v>2019</v>
      </c>
      <c r="D176" t="str">
        <f>VLOOKUP(B176,[1]Tabelle1!$A$1:$B$68,2,FALSE)</f>
        <v>Nienburg (Weser)</v>
      </c>
      <c r="E176" t="str">
        <f>'2020_5-2-2_Download'!$K$7</f>
        <v>Insgesamt</v>
      </c>
      <c r="G176" t="s">
        <v>84</v>
      </c>
      <c r="H176" t="str">
        <f>VLOOKUP(B176,[2]Kreise!$A$2:$C$53,3,FALSE)</f>
        <v>K03256</v>
      </c>
      <c r="I176">
        <f>'2020_5-2-2_Download'!K28</f>
        <v>4261</v>
      </c>
    </row>
    <row r="177" spans="2:9">
      <c r="B177">
        <f>'2020_5-2-2_Download'!B29</f>
        <v>257</v>
      </c>
      <c r="C177">
        <f>'2020_5-2-2_Download'!$K$5</f>
        <v>2019</v>
      </c>
      <c r="D177" t="str">
        <f>VLOOKUP(B177,[1]Tabelle1!$A$1:$B$68,2,FALSE)</f>
        <v>Schaumburg</v>
      </c>
      <c r="E177" t="str">
        <f>'2020_5-2-2_Download'!$K$7</f>
        <v>Insgesamt</v>
      </c>
      <c r="G177" t="s">
        <v>84</v>
      </c>
      <c r="H177" t="str">
        <f>VLOOKUP(B177,[2]Kreise!$A$2:$C$53,3,FALSE)</f>
        <v>K03257</v>
      </c>
      <c r="I177">
        <f>'2020_5-2-2_Download'!K29</f>
        <v>3689</v>
      </c>
    </row>
    <row r="178" spans="2:9">
      <c r="B178">
        <f>'2020_5-2-2_Download'!B30</f>
        <v>2</v>
      </c>
      <c r="C178">
        <f>'2020_5-2-2_Download'!$K$5</f>
        <v>2019</v>
      </c>
      <c r="D178" t="str">
        <f>VLOOKUP(B178,[1]Tabelle1!$A$1:$B$68,2,FALSE)</f>
        <v>Stat. Region Hannover</v>
      </c>
      <c r="E178" t="str">
        <f>'2020_5-2-2_Download'!$K$7</f>
        <v>Insgesamt</v>
      </c>
      <c r="G178" t="s">
        <v>84</v>
      </c>
      <c r="H178" t="str">
        <f>VLOOKUP(B178,[2]Kreise!$A$2:$C$53,3,FALSE)</f>
        <v>K032</v>
      </c>
      <c r="I178">
        <f>'2020_5-2-2_Download'!K30</f>
        <v>86601</v>
      </c>
    </row>
    <row r="179" spans="2:9">
      <c r="B179">
        <f>'2020_5-2-2_Download'!B31</f>
        <v>351</v>
      </c>
      <c r="C179">
        <f>'2020_5-2-2_Download'!$K$5</f>
        <v>2019</v>
      </c>
      <c r="D179" t="str">
        <f>VLOOKUP(B179,[1]Tabelle1!$A$1:$B$68,2,FALSE)</f>
        <v>Celle</v>
      </c>
      <c r="E179" t="str">
        <f>'2020_5-2-2_Download'!$K$7</f>
        <v>Insgesamt</v>
      </c>
      <c r="G179" t="s">
        <v>84</v>
      </c>
      <c r="H179" t="str">
        <f>VLOOKUP(B179,[2]Kreise!$A$2:$C$53,3,FALSE)</f>
        <v>K03351</v>
      </c>
      <c r="I179">
        <f>'2020_5-2-2_Download'!K31</f>
        <v>3847</v>
      </c>
    </row>
    <row r="180" spans="2:9">
      <c r="B180">
        <f>'2020_5-2-2_Download'!B32</f>
        <v>352</v>
      </c>
      <c r="C180">
        <f>'2020_5-2-2_Download'!$K$5</f>
        <v>2019</v>
      </c>
      <c r="D180" t="str">
        <f>VLOOKUP(B180,[1]Tabelle1!$A$1:$B$68,2,FALSE)</f>
        <v>Cuxhaven</v>
      </c>
      <c r="E180" t="str">
        <f>'2020_5-2-2_Download'!$K$7</f>
        <v>Insgesamt</v>
      </c>
      <c r="G180" t="s">
        <v>84</v>
      </c>
      <c r="H180" t="str">
        <f>VLOOKUP(B180,[2]Kreise!$A$2:$C$53,3,FALSE)</f>
        <v>K03352</v>
      </c>
      <c r="I180">
        <f>'2020_5-2-2_Download'!K32</f>
        <v>4262</v>
      </c>
    </row>
    <row r="181" spans="2:9">
      <c r="B181">
        <f>'2020_5-2-2_Download'!B33</f>
        <v>353</v>
      </c>
      <c r="C181">
        <f>'2020_5-2-2_Download'!$K$5</f>
        <v>2019</v>
      </c>
      <c r="D181" t="str">
        <f>VLOOKUP(B181,[1]Tabelle1!$A$1:$B$68,2,FALSE)</f>
        <v>Harburg</v>
      </c>
      <c r="E181" t="str">
        <f>'2020_5-2-2_Download'!$K$7</f>
        <v>Insgesamt</v>
      </c>
      <c r="G181" t="s">
        <v>84</v>
      </c>
      <c r="H181" t="str">
        <f>VLOOKUP(B181,[2]Kreise!$A$2:$C$53,3,FALSE)</f>
        <v>K03353</v>
      </c>
      <c r="I181">
        <f>'2020_5-2-2_Download'!K33</f>
        <v>9048</v>
      </c>
    </row>
    <row r="182" spans="2:9">
      <c r="B182">
        <f>'2020_5-2-2_Download'!B34</f>
        <v>354</v>
      </c>
      <c r="C182">
        <f>'2020_5-2-2_Download'!$K$5</f>
        <v>2019</v>
      </c>
      <c r="D182" t="str">
        <f>VLOOKUP(B182,[1]Tabelle1!$A$1:$B$68,2,FALSE)</f>
        <v>Lüchow-Dannenberg</v>
      </c>
      <c r="E182" t="str">
        <f>'2020_5-2-2_Download'!$K$7</f>
        <v>Insgesamt</v>
      </c>
      <c r="G182" t="s">
        <v>84</v>
      </c>
      <c r="H182" t="str">
        <f>VLOOKUP(B182,[2]Kreise!$A$2:$C$53,3,FALSE)</f>
        <v>K03354</v>
      </c>
      <c r="I182">
        <f>'2020_5-2-2_Download'!K34</f>
        <v>713</v>
      </c>
    </row>
    <row r="183" spans="2:9">
      <c r="B183">
        <f>'2020_5-2-2_Download'!B35</f>
        <v>355</v>
      </c>
      <c r="C183">
        <f>'2020_5-2-2_Download'!$K$5</f>
        <v>2019</v>
      </c>
      <c r="D183" t="str">
        <f>VLOOKUP(B183,[1]Tabelle1!$A$1:$B$68,2,FALSE)</f>
        <v>Lüneburg</v>
      </c>
      <c r="E183" t="str">
        <f>'2020_5-2-2_Download'!$K$7</f>
        <v>Insgesamt</v>
      </c>
      <c r="G183" t="s">
        <v>84</v>
      </c>
      <c r="H183" t="str">
        <f>VLOOKUP(B183,[2]Kreise!$A$2:$C$53,3,FALSE)</f>
        <v>K03355</v>
      </c>
      <c r="I183">
        <f>'2020_5-2-2_Download'!K35</f>
        <v>3903</v>
      </c>
    </row>
    <row r="184" spans="2:9">
      <c r="B184">
        <f>'2020_5-2-2_Download'!B36</f>
        <v>356</v>
      </c>
      <c r="C184">
        <f>'2020_5-2-2_Download'!$K$5</f>
        <v>2019</v>
      </c>
      <c r="D184" t="str">
        <f>VLOOKUP(B184,[1]Tabelle1!$A$1:$B$68,2,FALSE)</f>
        <v>Osterholz</v>
      </c>
      <c r="E184" t="str">
        <f>'2020_5-2-2_Download'!$K$7</f>
        <v>Insgesamt</v>
      </c>
      <c r="G184" t="s">
        <v>84</v>
      </c>
      <c r="H184" t="str">
        <f>VLOOKUP(B184,[2]Kreise!$A$2:$C$53,3,FALSE)</f>
        <v>K03356</v>
      </c>
      <c r="I184">
        <f>'2020_5-2-2_Download'!K36</f>
        <v>1985</v>
      </c>
    </row>
    <row r="185" spans="2:9">
      <c r="B185">
        <f>'2020_5-2-2_Download'!B37</f>
        <v>357</v>
      </c>
      <c r="C185">
        <f>'2020_5-2-2_Download'!$K$5</f>
        <v>2019</v>
      </c>
      <c r="D185" t="str">
        <f>VLOOKUP(B185,[1]Tabelle1!$A$1:$B$68,2,FALSE)</f>
        <v>Rotenburg (Wümme)</v>
      </c>
      <c r="E185" t="str">
        <f>'2020_5-2-2_Download'!$K$7</f>
        <v>Insgesamt</v>
      </c>
      <c r="G185" t="s">
        <v>84</v>
      </c>
      <c r="H185" t="str">
        <f>VLOOKUP(B185,[2]Kreise!$A$2:$C$53,3,FALSE)</f>
        <v>K03357</v>
      </c>
      <c r="I185">
        <f>'2020_5-2-2_Download'!K37</f>
        <v>4111</v>
      </c>
    </row>
    <row r="186" spans="2:9">
      <c r="B186">
        <f>'2020_5-2-2_Download'!B38</f>
        <v>358</v>
      </c>
      <c r="C186">
        <f>'2020_5-2-2_Download'!$K$5</f>
        <v>2019</v>
      </c>
      <c r="D186" t="str">
        <f>VLOOKUP(B186,[1]Tabelle1!$A$1:$B$68,2,FALSE)</f>
        <v>Heidekreis</v>
      </c>
      <c r="E186" t="str">
        <f>'2020_5-2-2_Download'!$K$7</f>
        <v>Insgesamt</v>
      </c>
      <c r="G186" t="s">
        <v>84</v>
      </c>
      <c r="H186" t="str">
        <f>VLOOKUP(B186,[2]Kreise!$A$2:$C$53,3,FALSE)</f>
        <v>K03358</v>
      </c>
      <c r="I186">
        <f>'2020_5-2-2_Download'!K38</f>
        <v>4245</v>
      </c>
    </row>
    <row r="187" spans="2:9">
      <c r="B187">
        <f>'2020_5-2-2_Download'!B39</f>
        <v>359</v>
      </c>
      <c r="C187">
        <f>'2020_5-2-2_Download'!$K$5</f>
        <v>2019</v>
      </c>
      <c r="D187" t="str">
        <f>VLOOKUP(B187,[1]Tabelle1!$A$1:$B$68,2,FALSE)</f>
        <v>Stade</v>
      </c>
      <c r="E187" t="str">
        <f>'2020_5-2-2_Download'!$K$7</f>
        <v>Insgesamt</v>
      </c>
      <c r="G187" t="s">
        <v>84</v>
      </c>
      <c r="H187" t="str">
        <f>VLOOKUP(B187,[2]Kreise!$A$2:$C$53,3,FALSE)</f>
        <v>K03359</v>
      </c>
      <c r="I187">
        <f>'2020_5-2-2_Download'!K39</f>
        <v>5633</v>
      </c>
    </row>
    <row r="188" spans="2:9">
      <c r="B188">
        <f>'2020_5-2-2_Download'!B40</f>
        <v>360</v>
      </c>
      <c r="C188">
        <f>'2020_5-2-2_Download'!$K$5</f>
        <v>2019</v>
      </c>
      <c r="D188" t="str">
        <f>VLOOKUP(B188,[1]Tabelle1!$A$1:$B$68,2,FALSE)</f>
        <v>Uelzen</v>
      </c>
      <c r="E188" t="str">
        <f>'2020_5-2-2_Download'!$K$7</f>
        <v>Insgesamt</v>
      </c>
      <c r="G188" t="s">
        <v>84</v>
      </c>
      <c r="H188" t="str">
        <f>VLOOKUP(B188,[2]Kreise!$A$2:$C$53,3,FALSE)</f>
        <v>K03360</v>
      </c>
      <c r="I188">
        <f>'2020_5-2-2_Download'!K40</f>
        <v>1615</v>
      </c>
    </row>
    <row r="189" spans="2:9">
      <c r="B189">
        <f>'2020_5-2-2_Download'!B41</f>
        <v>361</v>
      </c>
      <c r="C189">
        <f>'2020_5-2-2_Download'!$K$5</f>
        <v>2019</v>
      </c>
      <c r="D189" t="str">
        <f>VLOOKUP(B189,[1]Tabelle1!$A$1:$B$68,2,FALSE)</f>
        <v>Verden</v>
      </c>
      <c r="E189" t="str">
        <f>'2020_5-2-2_Download'!$K$7</f>
        <v>Insgesamt</v>
      </c>
      <c r="G189" t="s">
        <v>84</v>
      </c>
      <c r="H189" t="str">
        <f>VLOOKUP(B189,[2]Kreise!$A$2:$C$53,3,FALSE)</f>
        <v>K03361</v>
      </c>
      <c r="I189">
        <f>'2020_5-2-2_Download'!K41</f>
        <v>4890</v>
      </c>
    </row>
    <row r="190" spans="2:9">
      <c r="B190">
        <f>'2020_5-2-2_Download'!B42</f>
        <v>3</v>
      </c>
      <c r="C190">
        <f>'2020_5-2-2_Download'!$K$5</f>
        <v>2019</v>
      </c>
      <c r="D190" t="str">
        <f>VLOOKUP(B190,[1]Tabelle1!$A$1:$B$68,2,FALSE)</f>
        <v>Stat. Region Lüneburg</v>
      </c>
      <c r="E190" t="str">
        <f>'2020_5-2-2_Download'!$K$7</f>
        <v>Insgesamt</v>
      </c>
      <c r="G190" t="s">
        <v>84</v>
      </c>
      <c r="H190" t="str">
        <f>VLOOKUP(B190,[2]Kreise!$A$2:$C$53,3,FALSE)</f>
        <v>K033</v>
      </c>
      <c r="I190">
        <f>'2020_5-2-2_Download'!K42</f>
        <v>44252</v>
      </c>
    </row>
    <row r="191" spans="2:9">
      <c r="B191">
        <f>'2020_5-2-2_Download'!B43</f>
        <v>401</v>
      </c>
      <c r="C191">
        <f>'2020_5-2-2_Download'!$K$5</f>
        <v>2019</v>
      </c>
      <c r="D191" t="str">
        <f>VLOOKUP(B191,[1]Tabelle1!$A$1:$B$68,2,FALSE)</f>
        <v>Delmenhorst  Stadt</v>
      </c>
      <c r="E191" t="str">
        <f>'2020_5-2-2_Download'!$K$7</f>
        <v>Insgesamt</v>
      </c>
      <c r="G191" t="s">
        <v>84</v>
      </c>
      <c r="H191" t="str">
        <f>VLOOKUP(B191,[2]Kreise!$A$2:$C$53,3,FALSE)</f>
        <v>K03401</v>
      </c>
      <c r="I191">
        <f>'2020_5-2-2_Download'!K43</f>
        <v>1802</v>
      </c>
    </row>
    <row r="192" spans="2:9">
      <c r="B192">
        <f>'2020_5-2-2_Download'!B44</f>
        <v>402</v>
      </c>
      <c r="C192">
        <f>'2020_5-2-2_Download'!$K$5</f>
        <v>2019</v>
      </c>
      <c r="D192" t="str">
        <f>VLOOKUP(B192,[1]Tabelle1!$A$1:$B$68,2,FALSE)</f>
        <v>Emden  Stadt</v>
      </c>
      <c r="E192" t="str">
        <f>'2020_5-2-2_Download'!$K$7</f>
        <v>Insgesamt</v>
      </c>
      <c r="G192" t="s">
        <v>84</v>
      </c>
      <c r="H192" t="str">
        <f>VLOOKUP(B192,[2]Kreise!$A$2:$C$53,3,FALSE)</f>
        <v>K03402</v>
      </c>
      <c r="I192">
        <f>'2020_5-2-2_Download'!K44</f>
        <v>1927</v>
      </c>
    </row>
    <row r="193" spans="2:9">
      <c r="B193">
        <f>'2020_5-2-2_Download'!B45</f>
        <v>403</v>
      </c>
      <c r="C193">
        <f>'2020_5-2-2_Download'!$K$5</f>
        <v>2019</v>
      </c>
      <c r="D193" t="str">
        <f>VLOOKUP(B193,[1]Tabelle1!$A$1:$B$68,2,FALSE)</f>
        <v>Oldenburg(Oldb)  Stadt</v>
      </c>
      <c r="E193" t="str">
        <f>'2020_5-2-2_Download'!$K$7</f>
        <v>Insgesamt</v>
      </c>
      <c r="G193" t="s">
        <v>84</v>
      </c>
      <c r="H193" t="str">
        <f>VLOOKUP(B193,[2]Kreise!$A$2:$C$53,3,FALSE)</f>
        <v>K03403</v>
      </c>
      <c r="I193">
        <f>'2020_5-2-2_Download'!K45</f>
        <v>5889</v>
      </c>
    </row>
    <row r="194" spans="2:9">
      <c r="B194">
        <f>'2020_5-2-2_Download'!B46</f>
        <v>404</v>
      </c>
      <c r="C194">
        <f>'2020_5-2-2_Download'!$K$5</f>
        <v>2019</v>
      </c>
      <c r="D194" t="str">
        <f>VLOOKUP(B194,[1]Tabelle1!$A$1:$B$68,2,FALSE)</f>
        <v>Osnabrück  Stadt</v>
      </c>
      <c r="E194" t="str">
        <f>'2020_5-2-2_Download'!$K$7</f>
        <v>Insgesamt</v>
      </c>
      <c r="G194" t="s">
        <v>84</v>
      </c>
      <c r="H194" t="str">
        <f>VLOOKUP(B194,[2]Kreise!$A$2:$C$53,3,FALSE)</f>
        <v>K03404</v>
      </c>
      <c r="I194">
        <f>'2020_5-2-2_Download'!K46</f>
        <v>8627</v>
      </c>
    </row>
    <row r="195" spans="2:9">
      <c r="B195">
        <f>'2020_5-2-2_Download'!B47</f>
        <v>405</v>
      </c>
      <c r="C195">
        <f>'2020_5-2-2_Download'!$K$5</f>
        <v>2019</v>
      </c>
      <c r="D195" t="str">
        <f>VLOOKUP(B195,[1]Tabelle1!$A$1:$B$68,2,FALSE)</f>
        <v>Wilhelmshaven  Stadt</v>
      </c>
      <c r="E195" t="str">
        <f>'2020_5-2-2_Download'!$K$7</f>
        <v>Insgesamt</v>
      </c>
      <c r="G195" t="s">
        <v>84</v>
      </c>
      <c r="H195" t="str">
        <f>VLOOKUP(B195,[2]Kreise!$A$2:$C$53,3,FALSE)</f>
        <v>K03405</v>
      </c>
      <c r="I195">
        <f>'2020_5-2-2_Download'!K47</f>
        <v>1637</v>
      </c>
    </row>
    <row r="196" spans="2:9">
      <c r="B196">
        <f>'2020_5-2-2_Download'!B48</f>
        <v>451</v>
      </c>
      <c r="C196">
        <f>'2020_5-2-2_Download'!$K$5</f>
        <v>2019</v>
      </c>
      <c r="D196" t="str">
        <f>VLOOKUP(B196,[1]Tabelle1!$A$1:$B$68,2,FALSE)</f>
        <v>Ammerland</v>
      </c>
      <c r="E196" t="str">
        <f>'2020_5-2-2_Download'!$K$7</f>
        <v>Insgesamt</v>
      </c>
      <c r="G196" t="s">
        <v>84</v>
      </c>
      <c r="H196" t="str">
        <f>VLOOKUP(B196,[2]Kreise!$A$2:$C$53,3,FALSE)</f>
        <v>K03451</v>
      </c>
      <c r="I196">
        <f>'2020_5-2-2_Download'!K48</f>
        <v>3785</v>
      </c>
    </row>
    <row r="197" spans="2:9">
      <c r="B197">
        <f>'2020_5-2-2_Download'!B49</f>
        <v>452</v>
      </c>
      <c r="C197">
        <f>'2020_5-2-2_Download'!$K$5</f>
        <v>2019</v>
      </c>
      <c r="D197" t="str">
        <f>VLOOKUP(B197,[1]Tabelle1!$A$1:$B$68,2,FALSE)</f>
        <v>Aurich</v>
      </c>
      <c r="E197" t="str">
        <f>'2020_5-2-2_Download'!$K$7</f>
        <v>Insgesamt</v>
      </c>
      <c r="G197" t="s">
        <v>84</v>
      </c>
      <c r="H197" t="str">
        <f>VLOOKUP(B197,[2]Kreise!$A$2:$C$53,3,FALSE)</f>
        <v>K03452</v>
      </c>
      <c r="I197">
        <f>'2020_5-2-2_Download'!K49</f>
        <v>4363</v>
      </c>
    </row>
    <row r="198" spans="2:9">
      <c r="B198">
        <f>'2020_5-2-2_Download'!B50</f>
        <v>453</v>
      </c>
      <c r="C198">
        <f>'2020_5-2-2_Download'!$K$5</f>
        <v>2019</v>
      </c>
      <c r="D198" t="str">
        <f>VLOOKUP(B198,[1]Tabelle1!$A$1:$B$68,2,FALSE)</f>
        <v>Cloppenburg</v>
      </c>
      <c r="E198" t="str">
        <f>'2020_5-2-2_Download'!$K$7</f>
        <v>Insgesamt</v>
      </c>
      <c r="G198" t="s">
        <v>84</v>
      </c>
      <c r="H198" t="str">
        <f>VLOOKUP(B198,[2]Kreise!$A$2:$C$53,3,FALSE)</f>
        <v>K03453</v>
      </c>
      <c r="I198">
        <f>'2020_5-2-2_Download'!K50</f>
        <v>10030</v>
      </c>
    </row>
    <row r="199" spans="2:9">
      <c r="B199">
        <f>'2020_5-2-2_Download'!B51</f>
        <v>454</v>
      </c>
      <c r="C199">
        <f>'2020_5-2-2_Download'!$K$5</f>
        <v>2019</v>
      </c>
      <c r="D199" t="str">
        <f>VLOOKUP(B199,[1]Tabelle1!$A$1:$B$68,2,FALSE)</f>
        <v>Emsland</v>
      </c>
      <c r="E199" t="str">
        <f>'2020_5-2-2_Download'!$K$7</f>
        <v>Insgesamt</v>
      </c>
      <c r="G199" t="s">
        <v>84</v>
      </c>
      <c r="H199" t="str">
        <f>VLOOKUP(B199,[2]Kreise!$A$2:$C$53,3,FALSE)</f>
        <v>K03454</v>
      </c>
      <c r="I199">
        <f>'2020_5-2-2_Download'!K51</f>
        <v>13916</v>
      </c>
    </row>
    <row r="200" spans="2:9">
      <c r="B200">
        <f>'2020_5-2-2_Download'!B52</f>
        <v>455</v>
      </c>
      <c r="C200">
        <f>'2020_5-2-2_Download'!$K$5</f>
        <v>2019</v>
      </c>
      <c r="D200" t="str">
        <f>VLOOKUP(B200,[1]Tabelle1!$A$1:$B$68,2,FALSE)</f>
        <v>Friesland</v>
      </c>
      <c r="E200" t="str">
        <f>'2020_5-2-2_Download'!$K$7</f>
        <v>Insgesamt</v>
      </c>
      <c r="G200" t="s">
        <v>84</v>
      </c>
      <c r="H200" t="str">
        <f>VLOOKUP(B200,[2]Kreise!$A$2:$C$53,3,FALSE)</f>
        <v>K03455</v>
      </c>
      <c r="I200">
        <f>'2020_5-2-2_Download'!K52</f>
        <v>1407</v>
      </c>
    </row>
    <row r="201" spans="2:9">
      <c r="B201">
        <f>'2020_5-2-2_Download'!B53</f>
        <v>456</v>
      </c>
      <c r="C201">
        <f>'2020_5-2-2_Download'!$K$5</f>
        <v>2019</v>
      </c>
      <c r="D201" t="str">
        <f>VLOOKUP(B201,[1]Tabelle1!$A$1:$B$68,2,FALSE)</f>
        <v>Grafschaft Bentheim</v>
      </c>
      <c r="E201" t="str">
        <f>'2020_5-2-2_Download'!$K$7</f>
        <v>Insgesamt</v>
      </c>
      <c r="G201" t="s">
        <v>84</v>
      </c>
      <c r="H201" t="str">
        <f>VLOOKUP(B201,[2]Kreise!$A$2:$C$53,3,FALSE)</f>
        <v>K03456</v>
      </c>
      <c r="I201">
        <f>'2020_5-2-2_Download'!K53</f>
        <v>5658</v>
      </c>
    </row>
    <row r="202" spans="2:9">
      <c r="B202">
        <f>'2020_5-2-2_Download'!B54</f>
        <v>457</v>
      </c>
      <c r="C202">
        <f>'2020_5-2-2_Download'!$K$5</f>
        <v>2019</v>
      </c>
      <c r="D202" t="str">
        <f>VLOOKUP(B202,[1]Tabelle1!$A$1:$B$68,2,FALSE)</f>
        <v>Leer</v>
      </c>
      <c r="E202" t="str">
        <f>'2020_5-2-2_Download'!$K$7</f>
        <v>Insgesamt</v>
      </c>
      <c r="G202" t="s">
        <v>84</v>
      </c>
      <c r="H202" t="str">
        <f>VLOOKUP(B202,[2]Kreise!$A$2:$C$53,3,FALSE)</f>
        <v>K03457</v>
      </c>
      <c r="I202">
        <f>'2020_5-2-2_Download'!K54</f>
        <v>3734</v>
      </c>
    </row>
    <row r="203" spans="2:9">
      <c r="B203">
        <f>'2020_5-2-2_Download'!B55</f>
        <v>458</v>
      </c>
      <c r="C203">
        <f>'2020_5-2-2_Download'!$K$5</f>
        <v>2019</v>
      </c>
      <c r="D203" t="str">
        <f>VLOOKUP(B203,[1]Tabelle1!$A$1:$B$68,2,FALSE)</f>
        <v>Oldenburg</v>
      </c>
      <c r="E203" t="str">
        <f>'2020_5-2-2_Download'!$K$7</f>
        <v>Insgesamt</v>
      </c>
      <c r="G203" t="s">
        <v>84</v>
      </c>
      <c r="H203" t="str">
        <f>VLOOKUP(B203,[2]Kreise!$A$2:$C$53,3,FALSE)</f>
        <v>K03458</v>
      </c>
      <c r="I203">
        <f>'2020_5-2-2_Download'!K55</f>
        <v>3710</v>
      </c>
    </row>
    <row r="204" spans="2:9">
      <c r="B204">
        <f>'2020_5-2-2_Download'!B56</f>
        <v>459</v>
      </c>
      <c r="C204">
        <f>'2020_5-2-2_Download'!$K$5</f>
        <v>2019</v>
      </c>
      <c r="D204" t="str">
        <f>VLOOKUP(B204,[1]Tabelle1!$A$1:$B$68,2,FALSE)</f>
        <v>Osnabrück</v>
      </c>
      <c r="E204" t="str">
        <f>'2020_5-2-2_Download'!$K$7</f>
        <v>Insgesamt</v>
      </c>
      <c r="G204" t="s">
        <v>84</v>
      </c>
      <c r="H204" t="str">
        <f>VLOOKUP(B204,[2]Kreise!$A$2:$C$53,3,FALSE)</f>
        <v>K03459</v>
      </c>
      <c r="I204">
        <f>'2020_5-2-2_Download'!K56</f>
        <v>17588</v>
      </c>
    </row>
    <row r="205" spans="2:9">
      <c r="B205">
        <f>'2020_5-2-2_Download'!B57</f>
        <v>460</v>
      </c>
      <c r="C205">
        <f>'2020_5-2-2_Download'!$K$5</f>
        <v>2019</v>
      </c>
      <c r="D205" t="str">
        <f>VLOOKUP(B205,[1]Tabelle1!$A$1:$B$68,2,FALSE)</f>
        <v>Vechta</v>
      </c>
      <c r="E205" t="str">
        <f>'2020_5-2-2_Download'!$K$7</f>
        <v>Insgesamt</v>
      </c>
      <c r="G205" t="s">
        <v>84</v>
      </c>
      <c r="H205" t="str">
        <f>VLOOKUP(B205,[2]Kreise!$A$2:$C$53,3,FALSE)</f>
        <v>K03460</v>
      </c>
      <c r="I205">
        <f>'2020_5-2-2_Download'!K57</f>
        <v>10720</v>
      </c>
    </row>
    <row r="206" spans="2:9">
      <c r="B206">
        <f>'2020_5-2-2_Download'!B58</f>
        <v>461</v>
      </c>
      <c r="C206">
        <f>'2020_5-2-2_Download'!$K$5</f>
        <v>2019</v>
      </c>
      <c r="D206" t="str">
        <f>VLOOKUP(B206,[1]Tabelle1!$A$1:$B$68,2,FALSE)</f>
        <v>Wesermarsch</v>
      </c>
      <c r="E206" t="str">
        <f>'2020_5-2-2_Download'!$K$7</f>
        <v>Insgesamt</v>
      </c>
      <c r="G206" t="s">
        <v>84</v>
      </c>
      <c r="H206" t="str">
        <f>VLOOKUP(B206,[2]Kreise!$A$2:$C$53,3,FALSE)</f>
        <v>K03461</v>
      </c>
      <c r="I206">
        <f>'2020_5-2-2_Download'!K58</f>
        <v>2489</v>
      </c>
    </row>
    <row r="207" spans="2:9">
      <c r="B207">
        <f>'2020_5-2-2_Download'!B59</f>
        <v>462</v>
      </c>
      <c r="C207">
        <f>'2020_5-2-2_Download'!$K$5</f>
        <v>2019</v>
      </c>
      <c r="D207" t="str">
        <f>VLOOKUP(B207,[1]Tabelle1!$A$1:$B$68,2,FALSE)</f>
        <v>Wittmund</v>
      </c>
      <c r="E207" t="str">
        <f>'2020_5-2-2_Download'!$K$7</f>
        <v>Insgesamt</v>
      </c>
      <c r="G207" t="s">
        <v>84</v>
      </c>
      <c r="H207" t="str">
        <f>VLOOKUP(B207,[2]Kreise!$A$2:$C$53,3,FALSE)</f>
        <v>K03462</v>
      </c>
      <c r="I207">
        <f>'2020_5-2-2_Download'!K59</f>
        <v>988</v>
      </c>
    </row>
    <row r="208" spans="2:9">
      <c r="B208">
        <f>'2020_5-2-2_Download'!B60</f>
        <v>4</v>
      </c>
      <c r="C208">
        <f>'2020_5-2-2_Download'!$K$5</f>
        <v>2019</v>
      </c>
      <c r="D208" t="str">
        <f>VLOOKUP(B208,[1]Tabelle1!$A$1:$B$68,2,FALSE)</f>
        <v>Stat. Region Weser-Ems</v>
      </c>
      <c r="E208" t="str">
        <f>'2020_5-2-2_Download'!$K$7</f>
        <v>Insgesamt</v>
      </c>
      <c r="G208" t="s">
        <v>84</v>
      </c>
      <c r="H208" t="str">
        <f>VLOOKUP(B208,[2]Kreise!$A$2:$C$53,3,FALSE)</f>
        <v>K034</v>
      </c>
      <c r="I208">
        <f>'2020_5-2-2_Download'!K60</f>
        <v>98270</v>
      </c>
    </row>
    <row r="209" spans="2:9">
      <c r="B209">
        <f>'2020_5-2-2_Download'!B61</f>
        <v>0</v>
      </c>
      <c r="C209">
        <f>'2020_5-2-2_Download'!$K$5</f>
        <v>2019</v>
      </c>
      <c r="D209" t="str">
        <f>VLOOKUP(B209,[1]Tabelle1!$A$1:$B$68,2,FALSE)</f>
        <v>Niedersachsen</v>
      </c>
      <c r="E209" t="str">
        <f>'2020_5-2-2_Download'!$K$7</f>
        <v>Insgesamt</v>
      </c>
      <c r="G209" t="s">
        <v>84</v>
      </c>
      <c r="H209" t="str">
        <f>VLOOKUP(B209,[2]Kreise!$A$2:$C$53,3,FALSE)</f>
        <v>K030</v>
      </c>
      <c r="I209">
        <f>'2020_5-2-2_Download'!K61</f>
        <v>280719</v>
      </c>
    </row>
    <row r="210" spans="2:9">
      <c r="B210">
        <f>'2020_5-2-2_Download'!B10</f>
        <v>101</v>
      </c>
      <c r="C210">
        <f>'2020_5-2-2_Download'!$K$5</f>
        <v>2019</v>
      </c>
      <c r="D210" t="str">
        <f>VLOOKUP(B210,[1]Tabelle1!$A$1:$B$68,2,FALSE)</f>
        <v>Braunschweig  Stadt</v>
      </c>
      <c r="E210" t="str">
        <f>'2020_5-2-2_Download'!$L$7</f>
        <v>Männer</v>
      </c>
      <c r="G210" t="s">
        <v>84</v>
      </c>
      <c r="H210" t="str">
        <f>VLOOKUP(B210,[2]Kreise!$A$2:$C$53,3,FALSE)</f>
        <v>K03101</v>
      </c>
      <c r="I210">
        <f>'2020_5-2-2_Download'!L10</f>
        <v>6758</v>
      </c>
    </row>
    <row r="211" spans="2:9">
      <c r="B211">
        <f>'2020_5-2-2_Download'!B11</f>
        <v>102</v>
      </c>
      <c r="C211">
        <f>'2020_5-2-2_Download'!$K$5</f>
        <v>2019</v>
      </c>
      <c r="D211" t="str">
        <f>VLOOKUP(B211,[1]Tabelle1!$A$1:$B$68,2,FALSE)</f>
        <v>Salzgitter  Stadt</v>
      </c>
      <c r="E211" t="str">
        <f>'2020_5-2-2_Download'!$L$7</f>
        <v>Männer</v>
      </c>
      <c r="G211" t="s">
        <v>84</v>
      </c>
      <c r="H211" t="str">
        <f>VLOOKUP(B211,[2]Kreise!$A$2:$C$53,3,FALSE)</f>
        <v>K03102</v>
      </c>
      <c r="I211">
        <f>'2020_5-2-2_Download'!L11</f>
        <v>3672</v>
      </c>
    </row>
    <row r="212" spans="2:9">
      <c r="B212">
        <f>'2020_5-2-2_Download'!B12</f>
        <v>103</v>
      </c>
      <c r="C212">
        <f>'2020_5-2-2_Download'!$K$5</f>
        <v>2019</v>
      </c>
      <c r="D212" t="str">
        <f>VLOOKUP(B212,[1]Tabelle1!$A$1:$B$68,2,FALSE)</f>
        <v>Wolfsburg  Stadt</v>
      </c>
      <c r="E212" t="str">
        <f>'2020_5-2-2_Download'!$L$7</f>
        <v>Männer</v>
      </c>
      <c r="G212" t="s">
        <v>84</v>
      </c>
      <c r="H212" t="str">
        <f>VLOOKUP(B212,[2]Kreise!$A$2:$C$53,3,FALSE)</f>
        <v>K03103</v>
      </c>
      <c r="I212">
        <f>'2020_5-2-2_Download'!L12</f>
        <v>7063</v>
      </c>
    </row>
    <row r="213" spans="2:9">
      <c r="B213">
        <f>'2020_5-2-2_Download'!B13</f>
        <v>151</v>
      </c>
      <c r="C213">
        <f>'2020_5-2-2_Download'!$K$5</f>
        <v>2019</v>
      </c>
      <c r="D213" t="str">
        <f>VLOOKUP(B213,[1]Tabelle1!$A$1:$B$68,2,FALSE)</f>
        <v>Gifhorn</v>
      </c>
      <c r="E213" t="str">
        <f>'2020_5-2-2_Download'!$L$7</f>
        <v>Männer</v>
      </c>
      <c r="G213" t="s">
        <v>84</v>
      </c>
      <c r="H213" t="str">
        <f>VLOOKUP(B213,[2]Kreise!$A$2:$C$53,3,FALSE)</f>
        <v>K03151</v>
      </c>
      <c r="I213">
        <f>'2020_5-2-2_Download'!L13</f>
        <v>2038</v>
      </c>
    </row>
    <row r="214" spans="2:9">
      <c r="B214">
        <f>'2020_5-2-2_Download'!B14</f>
        <v>153</v>
      </c>
      <c r="C214">
        <f>'2020_5-2-2_Download'!$K$5</f>
        <v>2019</v>
      </c>
      <c r="D214" t="str">
        <f>VLOOKUP(B214,[1]Tabelle1!$A$1:$B$68,2,FALSE)</f>
        <v>Goslar</v>
      </c>
      <c r="E214" t="str">
        <f>'2020_5-2-2_Download'!$L$7</f>
        <v>Männer</v>
      </c>
      <c r="G214" t="s">
        <v>84</v>
      </c>
      <c r="H214" t="str">
        <f>VLOOKUP(B214,[2]Kreise!$A$2:$C$53,3,FALSE)</f>
        <v>K03153</v>
      </c>
      <c r="I214">
        <f>'2020_5-2-2_Download'!L14</f>
        <v>1991</v>
      </c>
    </row>
    <row r="215" spans="2:9">
      <c r="B215">
        <f>'2020_5-2-2_Download'!B15</f>
        <v>154</v>
      </c>
      <c r="C215">
        <f>'2020_5-2-2_Download'!$K$5</f>
        <v>2019</v>
      </c>
      <c r="D215" t="str">
        <f>VLOOKUP(B215,[1]Tabelle1!$A$1:$B$68,2,FALSE)</f>
        <v>Helmstedt</v>
      </c>
      <c r="E215" t="str">
        <f>'2020_5-2-2_Download'!$L$7</f>
        <v>Männer</v>
      </c>
      <c r="G215" t="s">
        <v>84</v>
      </c>
      <c r="H215" t="str">
        <f>VLOOKUP(B215,[2]Kreise!$A$2:$C$53,3,FALSE)</f>
        <v>K03154</v>
      </c>
      <c r="I215">
        <f>'2020_5-2-2_Download'!L15</f>
        <v>1083</v>
      </c>
    </row>
    <row r="216" spans="2:9">
      <c r="B216">
        <f>'2020_5-2-2_Download'!B16</f>
        <v>155</v>
      </c>
      <c r="C216">
        <f>'2020_5-2-2_Download'!$K$5</f>
        <v>2019</v>
      </c>
      <c r="D216" t="str">
        <f>VLOOKUP(B216,[1]Tabelle1!$A$1:$B$68,2,FALSE)</f>
        <v>Northeim</v>
      </c>
      <c r="E216" t="str">
        <f>'2020_5-2-2_Download'!$L$7</f>
        <v>Männer</v>
      </c>
      <c r="G216" t="s">
        <v>84</v>
      </c>
      <c r="H216" t="str">
        <f>VLOOKUP(B216,[2]Kreise!$A$2:$C$53,3,FALSE)</f>
        <v>K03155</v>
      </c>
      <c r="I216">
        <f>'2020_5-2-2_Download'!L16</f>
        <v>2552</v>
      </c>
    </row>
    <row r="217" spans="2:9">
      <c r="B217">
        <f>'2020_5-2-2_Download'!B17</f>
        <v>157</v>
      </c>
      <c r="C217">
        <f>'2020_5-2-2_Download'!$K$5</f>
        <v>2019</v>
      </c>
      <c r="D217" t="str">
        <f>VLOOKUP(B217,[1]Tabelle1!$A$1:$B$68,2,FALSE)</f>
        <v>Peine</v>
      </c>
      <c r="E217" t="str">
        <f>'2020_5-2-2_Download'!$L$7</f>
        <v>Männer</v>
      </c>
      <c r="G217" t="s">
        <v>84</v>
      </c>
      <c r="H217" t="str">
        <f>VLOOKUP(B217,[2]Kreise!$A$2:$C$53,3,FALSE)</f>
        <v>K03157</v>
      </c>
      <c r="I217">
        <f>'2020_5-2-2_Download'!L17</f>
        <v>2439</v>
      </c>
    </row>
    <row r="218" spans="2:9">
      <c r="B218">
        <f>'2020_5-2-2_Download'!B18</f>
        <v>158</v>
      </c>
      <c r="C218">
        <f>'2020_5-2-2_Download'!$K$5</f>
        <v>2019</v>
      </c>
      <c r="D218" t="str">
        <f>VLOOKUP(B218,[1]Tabelle1!$A$1:$B$68,2,FALSE)</f>
        <v>Wolfenbüttel</v>
      </c>
      <c r="E218" t="str">
        <f>'2020_5-2-2_Download'!$L$7</f>
        <v>Männer</v>
      </c>
      <c r="G218" t="s">
        <v>84</v>
      </c>
      <c r="H218" t="str">
        <f>VLOOKUP(B218,[2]Kreise!$A$2:$C$53,3,FALSE)</f>
        <v>K03158</v>
      </c>
      <c r="I218">
        <f>'2020_5-2-2_Download'!L18</f>
        <v>969</v>
      </c>
    </row>
    <row r="219" spans="2:9">
      <c r="B219">
        <f>'2020_5-2-2_Download'!B19</f>
        <v>159</v>
      </c>
      <c r="C219">
        <f>'2020_5-2-2_Download'!$K$5</f>
        <v>2019</v>
      </c>
      <c r="D219" t="str">
        <f>VLOOKUP(B219,[1]Tabelle1!$A$1:$B$68,2,FALSE)</f>
        <v>Göttingen</v>
      </c>
      <c r="E219" t="str">
        <f>'2020_5-2-2_Download'!$L$7</f>
        <v>Männer</v>
      </c>
      <c r="G219" t="s">
        <v>84</v>
      </c>
      <c r="H219" t="str">
        <f>VLOOKUP(B219,[2]Kreise!$A$2:$C$53,3,FALSE)</f>
        <v>K03159</v>
      </c>
      <c r="I219">
        <f>'2020_5-2-2_Download'!L19</f>
        <v>5838</v>
      </c>
    </row>
    <row r="220" spans="2:9">
      <c r="B220">
        <f>'2020_5-2-2_Download'!B20</f>
        <v>1</v>
      </c>
      <c r="C220">
        <f>'2020_5-2-2_Download'!$K$5</f>
        <v>2019</v>
      </c>
      <c r="D220" t="str">
        <f>VLOOKUP(B220,[1]Tabelle1!$A$1:$B$68,2,FALSE)</f>
        <v>Stat. Region Braunschweig</v>
      </c>
      <c r="E220" t="str">
        <f>'2020_5-2-2_Download'!$L$7</f>
        <v>Männer</v>
      </c>
      <c r="G220" t="s">
        <v>84</v>
      </c>
      <c r="H220" t="str">
        <f>VLOOKUP(B220,[2]Kreise!$A$2:$C$53,3,FALSE)</f>
        <v>K031</v>
      </c>
      <c r="I220">
        <f>'2020_5-2-2_Download'!L20</f>
        <v>34403</v>
      </c>
    </row>
    <row r="221" spans="2:9">
      <c r="B221">
        <f>'2020_5-2-2_Download'!B21</f>
        <v>241</v>
      </c>
      <c r="C221">
        <f>'2020_5-2-2_Download'!$K$5</f>
        <v>2019</v>
      </c>
      <c r="D221" t="str">
        <f>VLOOKUP(B221,[1]Tabelle1!$A$1:$B$68,2,FALSE)</f>
        <v>Hannover  Region</v>
      </c>
      <c r="E221" t="str">
        <f>'2020_5-2-2_Download'!$L$7</f>
        <v>Männer</v>
      </c>
      <c r="G221" t="s">
        <v>84</v>
      </c>
      <c r="H221" t="str">
        <f>VLOOKUP(B221,[2]Kreise!$A$2:$C$53,3,FALSE)</f>
        <v>K03241</v>
      </c>
      <c r="I221">
        <f>'2020_5-2-2_Download'!L21</f>
        <v>38040</v>
      </c>
    </row>
    <row r="222" spans="2:9">
      <c r="B222">
        <f>'2020_5-2-2_Download'!B22</f>
        <v>241001</v>
      </c>
      <c r="C222">
        <f>'2020_5-2-2_Download'!$K$5</f>
        <v>2019</v>
      </c>
      <c r="D222" t="str">
        <f>VLOOKUP(B222,[1]Tabelle1!$A$1:$B$68,2,FALSE)</f>
        <v>dav. Hannover  Lhst.</v>
      </c>
      <c r="E222" t="str">
        <f>'2020_5-2-2_Download'!$L$7</f>
        <v>Männer</v>
      </c>
      <c r="G222" t="s">
        <v>84</v>
      </c>
      <c r="H222" t="str">
        <f>VLOOKUP(B222,[2]Kreise!$A$2:$C$53,3,FALSE)</f>
        <v>K03241001</v>
      </c>
      <c r="I222">
        <f>'2020_5-2-2_Download'!L22</f>
        <v>23217</v>
      </c>
    </row>
    <row r="223" spans="2:9">
      <c r="B223">
        <f>'2020_5-2-2_Download'!B23</f>
        <v>241999</v>
      </c>
      <c r="C223">
        <f>'2020_5-2-2_Download'!$K$5</f>
        <v>2019</v>
      </c>
      <c r="D223" t="str">
        <f>VLOOKUP(B223,[1]Tabelle1!$A$1:$B$68,2,FALSE)</f>
        <v>dav. Hannover  Umland</v>
      </c>
      <c r="E223" t="str">
        <f>'2020_5-2-2_Download'!$L$7</f>
        <v>Männer</v>
      </c>
      <c r="G223" t="s">
        <v>84</v>
      </c>
      <c r="H223" t="str">
        <f>VLOOKUP(B223,[2]Kreise!$A$2:$C$53,3,FALSE)</f>
        <v>K03241999</v>
      </c>
      <c r="I223">
        <f>'2020_5-2-2_Download'!L23</f>
        <v>14823</v>
      </c>
    </row>
    <row r="224" spans="2:9">
      <c r="B224">
        <f>'2020_5-2-2_Download'!B24</f>
        <v>251</v>
      </c>
      <c r="C224">
        <f>'2020_5-2-2_Download'!$K$5</f>
        <v>2019</v>
      </c>
      <c r="D224" t="str">
        <f>VLOOKUP(B224,[1]Tabelle1!$A$1:$B$68,2,FALSE)</f>
        <v>Diepholz</v>
      </c>
      <c r="E224" t="str">
        <f>'2020_5-2-2_Download'!$L$7</f>
        <v>Männer</v>
      </c>
      <c r="G224" t="s">
        <v>84</v>
      </c>
      <c r="H224" t="str">
        <f>VLOOKUP(B224,[2]Kreise!$A$2:$C$53,3,FALSE)</f>
        <v>K03251</v>
      </c>
      <c r="I224">
        <f>'2020_5-2-2_Download'!L24</f>
        <v>4331</v>
      </c>
    </row>
    <row r="225" spans="2:9">
      <c r="B225">
        <f>'2020_5-2-2_Download'!B25</f>
        <v>252</v>
      </c>
      <c r="C225">
        <f>'2020_5-2-2_Download'!$K$5</f>
        <v>2019</v>
      </c>
      <c r="D225" t="str">
        <f>VLOOKUP(B225,[1]Tabelle1!$A$1:$B$68,2,FALSE)</f>
        <v>Hameln-Pyrmont</v>
      </c>
      <c r="E225" t="str">
        <f>'2020_5-2-2_Download'!$L$7</f>
        <v>Männer</v>
      </c>
      <c r="G225" t="s">
        <v>84</v>
      </c>
      <c r="H225" t="str">
        <f>VLOOKUP(B225,[2]Kreise!$A$2:$C$53,3,FALSE)</f>
        <v>K03252</v>
      </c>
      <c r="I225">
        <f>'2020_5-2-2_Download'!L25</f>
        <v>2542</v>
      </c>
    </row>
    <row r="226" spans="2:9">
      <c r="B226">
        <f>'2020_5-2-2_Download'!B26</f>
        <v>254</v>
      </c>
      <c r="C226">
        <f>'2020_5-2-2_Download'!$K$5</f>
        <v>2019</v>
      </c>
      <c r="D226" t="str">
        <f>VLOOKUP(B226,[1]Tabelle1!$A$1:$B$68,2,FALSE)</f>
        <v>Hildesheim</v>
      </c>
      <c r="E226" t="str">
        <f>'2020_5-2-2_Download'!$L$7</f>
        <v>Männer</v>
      </c>
      <c r="G226" t="s">
        <v>84</v>
      </c>
      <c r="H226" t="str">
        <f>VLOOKUP(B226,[2]Kreise!$A$2:$C$53,3,FALSE)</f>
        <v>K03254</v>
      </c>
      <c r="I226">
        <f>'2020_5-2-2_Download'!L26</f>
        <v>4059</v>
      </c>
    </row>
    <row r="227" spans="2:9">
      <c r="B227">
        <f>'2020_5-2-2_Download'!B27</f>
        <v>255</v>
      </c>
      <c r="C227">
        <f>'2020_5-2-2_Download'!$K$5</f>
        <v>2019</v>
      </c>
      <c r="D227" t="str">
        <f>VLOOKUP(B227,[1]Tabelle1!$A$1:$B$68,2,FALSE)</f>
        <v>Holzminden</v>
      </c>
      <c r="E227" t="str">
        <f>'2020_5-2-2_Download'!$L$7</f>
        <v>Männer</v>
      </c>
      <c r="G227" t="s">
        <v>84</v>
      </c>
      <c r="H227" t="str">
        <f>VLOOKUP(B227,[2]Kreise!$A$2:$C$53,3,FALSE)</f>
        <v>K03255</v>
      </c>
      <c r="I227">
        <f>'2020_5-2-2_Download'!L27</f>
        <v>945</v>
      </c>
    </row>
    <row r="228" spans="2:9">
      <c r="B228">
        <f>'2020_5-2-2_Download'!B28</f>
        <v>256</v>
      </c>
      <c r="C228">
        <f>'2020_5-2-2_Download'!$K$5</f>
        <v>2019</v>
      </c>
      <c r="D228" t="str">
        <f>VLOOKUP(B228,[1]Tabelle1!$A$1:$B$68,2,FALSE)</f>
        <v>Nienburg (Weser)</v>
      </c>
      <c r="E228" t="str">
        <f>'2020_5-2-2_Download'!$L$7</f>
        <v>Männer</v>
      </c>
      <c r="G228" t="s">
        <v>84</v>
      </c>
      <c r="H228" t="str">
        <f>VLOOKUP(B228,[2]Kreise!$A$2:$C$53,3,FALSE)</f>
        <v>K03256</v>
      </c>
      <c r="I228">
        <f>'2020_5-2-2_Download'!L28</f>
        <v>3042</v>
      </c>
    </row>
    <row r="229" spans="2:9">
      <c r="B229">
        <f>'2020_5-2-2_Download'!B29</f>
        <v>257</v>
      </c>
      <c r="C229">
        <f>'2020_5-2-2_Download'!$K$5</f>
        <v>2019</v>
      </c>
      <c r="D229" t="str">
        <f>VLOOKUP(B229,[1]Tabelle1!$A$1:$B$68,2,FALSE)</f>
        <v>Schaumburg</v>
      </c>
      <c r="E229" t="str">
        <f>'2020_5-2-2_Download'!$L$7</f>
        <v>Männer</v>
      </c>
      <c r="G229" t="s">
        <v>84</v>
      </c>
      <c r="H229" t="str">
        <f>VLOOKUP(B229,[2]Kreise!$A$2:$C$53,3,FALSE)</f>
        <v>K03257</v>
      </c>
      <c r="I229">
        <f>'2020_5-2-2_Download'!L29</f>
        <v>2420</v>
      </c>
    </row>
    <row r="230" spans="2:9">
      <c r="B230">
        <f>'2020_5-2-2_Download'!B30</f>
        <v>2</v>
      </c>
      <c r="C230">
        <f>'2020_5-2-2_Download'!$K$5</f>
        <v>2019</v>
      </c>
      <c r="D230" t="str">
        <f>VLOOKUP(B230,[1]Tabelle1!$A$1:$B$68,2,FALSE)</f>
        <v>Stat. Region Hannover</v>
      </c>
      <c r="E230" t="str">
        <f>'2020_5-2-2_Download'!$L$7</f>
        <v>Männer</v>
      </c>
      <c r="G230" t="s">
        <v>84</v>
      </c>
      <c r="H230" t="str">
        <f>VLOOKUP(B230,[2]Kreise!$A$2:$C$53,3,FALSE)</f>
        <v>K032</v>
      </c>
      <c r="I230">
        <f>'2020_5-2-2_Download'!L30</f>
        <v>55379</v>
      </c>
    </row>
    <row r="231" spans="2:9">
      <c r="B231">
        <f>'2020_5-2-2_Download'!B31</f>
        <v>351</v>
      </c>
      <c r="C231">
        <f>'2020_5-2-2_Download'!$K$5</f>
        <v>2019</v>
      </c>
      <c r="D231" t="str">
        <f>VLOOKUP(B231,[1]Tabelle1!$A$1:$B$68,2,FALSE)</f>
        <v>Celle</v>
      </c>
      <c r="E231" t="str">
        <f>'2020_5-2-2_Download'!$L$7</f>
        <v>Männer</v>
      </c>
      <c r="G231" t="s">
        <v>84</v>
      </c>
      <c r="H231" t="str">
        <f>VLOOKUP(B231,[2]Kreise!$A$2:$C$53,3,FALSE)</f>
        <v>K03351</v>
      </c>
      <c r="I231">
        <f>'2020_5-2-2_Download'!L31</f>
        <v>2498</v>
      </c>
    </row>
    <row r="232" spans="2:9">
      <c r="B232">
        <f>'2020_5-2-2_Download'!B32</f>
        <v>352</v>
      </c>
      <c r="C232">
        <f>'2020_5-2-2_Download'!$K$5</f>
        <v>2019</v>
      </c>
      <c r="D232" t="str">
        <f>VLOOKUP(B232,[1]Tabelle1!$A$1:$B$68,2,FALSE)</f>
        <v>Cuxhaven</v>
      </c>
      <c r="E232" t="str">
        <f>'2020_5-2-2_Download'!$L$7</f>
        <v>Männer</v>
      </c>
      <c r="G232" t="s">
        <v>84</v>
      </c>
      <c r="H232" t="str">
        <f>VLOOKUP(B232,[2]Kreise!$A$2:$C$53,3,FALSE)</f>
        <v>K03352</v>
      </c>
      <c r="I232">
        <f>'2020_5-2-2_Download'!L32</f>
        <v>2846</v>
      </c>
    </row>
    <row r="233" spans="2:9">
      <c r="B233">
        <f>'2020_5-2-2_Download'!B33</f>
        <v>353</v>
      </c>
      <c r="C233">
        <f>'2020_5-2-2_Download'!$K$5</f>
        <v>2019</v>
      </c>
      <c r="D233" t="str">
        <f>VLOOKUP(B233,[1]Tabelle1!$A$1:$B$68,2,FALSE)</f>
        <v>Harburg</v>
      </c>
      <c r="E233" t="str">
        <f>'2020_5-2-2_Download'!$L$7</f>
        <v>Männer</v>
      </c>
      <c r="G233" t="s">
        <v>84</v>
      </c>
      <c r="H233" t="str">
        <f>VLOOKUP(B233,[2]Kreise!$A$2:$C$53,3,FALSE)</f>
        <v>K03353</v>
      </c>
      <c r="I233">
        <f>'2020_5-2-2_Download'!L33</f>
        <v>6600</v>
      </c>
    </row>
    <row r="234" spans="2:9">
      <c r="B234">
        <f>'2020_5-2-2_Download'!B34</f>
        <v>354</v>
      </c>
      <c r="C234">
        <f>'2020_5-2-2_Download'!$K$5</f>
        <v>2019</v>
      </c>
      <c r="D234" t="str">
        <f>VLOOKUP(B234,[1]Tabelle1!$A$1:$B$68,2,FALSE)</f>
        <v>Lüchow-Dannenberg</v>
      </c>
      <c r="E234" t="str">
        <f>'2020_5-2-2_Download'!$L$7</f>
        <v>Männer</v>
      </c>
      <c r="G234" t="s">
        <v>84</v>
      </c>
      <c r="H234" t="str">
        <f>VLOOKUP(B234,[2]Kreise!$A$2:$C$53,3,FALSE)</f>
        <v>K03354</v>
      </c>
      <c r="I234">
        <f>'2020_5-2-2_Download'!L34</f>
        <v>457</v>
      </c>
    </row>
    <row r="235" spans="2:9">
      <c r="B235">
        <f>'2020_5-2-2_Download'!B35</f>
        <v>355</v>
      </c>
      <c r="C235">
        <f>'2020_5-2-2_Download'!$K$5</f>
        <v>2019</v>
      </c>
      <c r="D235" t="str">
        <f>VLOOKUP(B235,[1]Tabelle1!$A$1:$B$68,2,FALSE)</f>
        <v>Lüneburg</v>
      </c>
      <c r="E235" t="str">
        <f>'2020_5-2-2_Download'!$L$7</f>
        <v>Männer</v>
      </c>
      <c r="G235" t="s">
        <v>84</v>
      </c>
      <c r="H235" t="str">
        <f>VLOOKUP(B235,[2]Kreise!$A$2:$C$53,3,FALSE)</f>
        <v>K03355</v>
      </c>
      <c r="I235">
        <f>'2020_5-2-2_Download'!L35</f>
        <v>2552</v>
      </c>
    </row>
    <row r="236" spans="2:9">
      <c r="B236">
        <f>'2020_5-2-2_Download'!B36</f>
        <v>356</v>
      </c>
      <c r="C236">
        <f>'2020_5-2-2_Download'!$K$5</f>
        <v>2019</v>
      </c>
      <c r="D236" t="str">
        <f>VLOOKUP(B236,[1]Tabelle1!$A$1:$B$68,2,FALSE)</f>
        <v>Osterholz</v>
      </c>
      <c r="E236" t="str">
        <f>'2020_5-2-2_Download'!$L$7</f>
        <v>Männer</v>
      </c>
      <c r="G236" t="s">
        <v>84</v>
      </c>
      <c r="H236" t="str">
        <f>VLOOKUP(B236,[2]Kreise!$A$2:$C$53,3,FALSE)</f>
        <v>K03356</v>
      </c>
      <c r="I236">
        <f>'2020_5-2-2_Download'!L36</f>
        <v>1395</v>
      </c>
    </row>
    <row r="237" spans="2:9">
      <c r="B237">
        <f>'2020_5-2-2_Download'!B37</f>
        <v>357</v>
      </c>
      <c r="C237">
        <f>'2020_5-2-2_Download'!$K$5</f>
        <v>2019</v>
      </c>
      <c r="D237" t="str">
        <f>VLOOKUP(B237,[1]Tabelle1!$A$1:$B$68,2,FALSE)</f>
        <v>Rotenburg (Wümme)</v>
      </c>
      <c r="E237" t="str">
        <f>'2020_5-2-2_Download'!$L$7</f>
        <v>Männer</v>
      </c>
      <c r="G237" t="s">
        <v>84</v>
      </c>
      <c r="H237" t="str">
        <f>VLOOKUP(B237,[2]Kreise!$A$2:$C$53,3,FALSE)</f>
        <v>K03357</v>
      </c>
      <c r="I237">
        <f>'2020_5-2-2_Download'!L37</f>
        <v>2823</v>
      </c>
    </row>
    <row r="238" spans="2:9">
      <c r="B238">
        <f>'2020_5-2-2_Download'!B38</f>
        <v>358</v>
      </c>
      <c r="C238">
        <f>'2020_5-2-2_Download'!$K$5</f>
        <v>2019</v>
      </c>
      <c r="D238" t="str">
        <f>VLOOKUP(B238,[1]Tabelle1!$A$1:$B$68,2,FALSE)</f>
        <v>Heidekreis</v>
      </c>
      <c r="E238" t="str">
        <f>'2020_5-2-2_Download'!$L$7</f>
        <v>Männer</v>
      </c>
      <c r="G238" t="s">
        <v>84</v>
      </c>
      <c r="H238" t="str">
        <f>VLOOKUP(B238,[2]Kreise!$A$2:$C$53,3,FALSE)</f>
        <v>K03358</v>
      </c>
      <c r="I238">
        <f>'2020_5-2-2_Download'!L38</f>
        <v>2765</v>
      </c>
    </row>
    <row r="239" spans="2:9">
      <c r="B239">
        <f>'2020_5-2-2_Download'!B39</f>
        <v>359</v>
      </c>
      <c r="C239">
        <f>'2020_5-2-2_Download'!$K$5</f>
        <v>2019</v>
      </c>
      <c r="D239" t="str">
        <f>VLOOKUP(B239,[1]Tabelle1!$A$1:$B$68,2,FALSE)</f>
        <v>Stade</v>
      </c>
      <c r="E239" t="str">
        <f>'2020_5-2-2_Download'!$L$7</f>
        <v>Männer</v>
      </c>
      <c r="G239" t="s">
        <v>84</v>
      </c>
      <c r="H239" t="str">
        <f>VLOOKUP(B239,[2]Kreise!$A$2:$C$53,3,FALSE)</f>
        <v>K03359</v>
      </c>
      <c r="I239">
        <f>'2020_5-2-2_Download'!L39</f>
        <v>4017</v>
      </c>
    </row>
    <row r="240" spans="2:9">
      <c r="B240">
        <f>'2020_5-2-2_Download'!B40</f>
        <v>360</v>
      </c>
      <c r="C240">
        <f>'2020_5-2-2_Download'!$K$5</f>
        <v>2019</v>
      </c>
      <c r="D240" t="str">
        <f>VLOOKUP(B240,[1]Tabelle1!$A$1:$B$68,2,FALSE)</f>
        <v>Uelzen</v>
      </c>
      <c r="E240" t="str">
        <f>'2020_5-2-2_Download'!$L$7</f>
        <v>Männer</v>
      </c>
      <c r="G240" t="s">
        <v>84</v>
      </c>
      <c r="H240" t="str">
        <f>VLOOKUP(B240,[2]Kreise!$A$2:$C$53,3,FALSE)</f>
        <v>K03360</v>
      </c>
      <c r="I240">
        <f>'2020_5-2-2_Download'!L40</f>
        <v>1016</v>
      </c>
    </row>
    <row r="241" spans="2:9">
      <c r="B241">
        <f>'2020_5-2-2_Download'!B41</f>
        <v>361</v>
      </c>
      <c r="C241">
        <f>'2020_5-2-2_Download'!$K$5</f>
        <v>2019</v>
      </c>
      <c r="D241" t="str">
        <f>VLOOKUP(B241,[1]Tabelle1!$A$1:$B$68,2,FALSE)</f>
        <v>Verden</v>
      </c>
      <c r="E241" t="str">
        <f>'2020_5-2-2_Download'!$L$7</f>
        <v>Männer</v>
      </c>
      <c r="G241" t="s">
        <v>84</v>
      </c>
      <c r="H241" t="str">
        <f>VLOOKUP(B241,[2]Kreise!$A$2:$C$53,3,FALSE)</f>
        <v>K03361</v>
      </c>
      <c r="I241">
        <f>'2020_5-2-2_Download'!L41</f>
        <v>3456</v>
      </c>
    </row>
    <row r="242" spans="2:9">
      <c r="B242">
        <f>'2020_5-2-2_Download'!B42</f>
        <v>3</v>
      </c>
      <c r="C242">
        <f>'2020_5-2-2_Download'!$K$5</f>
        <v>2019</v>
      </c>
      <c r="D242" t="str">
        <f>VLOOKUP(B242,[1]Tabelle1!$A$1:$B$68,2,FALSE)</f>
        <v>Stat. Region Lüneburg</v>
      </c>
      <c r="E242" t="str">
        <f>'2020_5-2-2_Download'!$L$7</f>
        <v>Männer</v>
      </c>
      <c r="G242" t="s">
        <v>84</v>
      </c>
      <c r="H242" t="str">
        <f>VLOOKUP(B242,[2]Kreise!$A$2:$C$53,3,FALSE)</f>
        <v>K033</v>
      </c>
      <c r="I242">
        <f>'2020_5-2-2_Download'!L42</f>
        <v>30425</v>
      </c>
    </row>
    <row r="243" spans="2:9">
      <c r="B243">
        <f>'2020_5-2-2_Download'!B43</f>
        <v>401</v>
      </c>
      <c r="C243">
        <f>'2020_5-2-2_Download'!$K$5</f>
        <v>2019</v>
      </c>
      <c r="D243" t="str">
        <f>VLOOKUP(B243,[1]Tabelle1!$A$1:$B$68,2,FALSE)</f>
        <v>Delmenhorst  Stadt</v>
      </c>
      <c r="E243" t="str">
        <f>'2020_5-2-2_Download'!$L$7</f>
        <v>Männer</v>
      </c>
      <c r="G243" t="s">
        <v>84</v>
      </c>
      <c r="H243" t="str">
        <f>VLOOKUP(B243,[2]Kreise!$A$2:$C$53,3,FALSE)</f>
        <v>K03401</v>
      </c>
      <c r="I243">
        <f>'2020_5-2-2_Download'!L43</f>
        <v>1145</v>
      </c>
    </row>
    <row r="244" spans="2:9">
      <c r="B244">
        <f>'2020_5-2-2_Download'!B44</f>
        <v>402</v>
      </c>
      <c r="C244">
        <f>'2020_5-2-2_Download'!$K$5</f>
        <v>2019</v>
      </c>
      <c r="D244" t="str">
        <f>VLOOKUP(B244,[1]Tabelle1!$A$1:$B$68,2,FALSE)</f>
        <v>Emden  Stadt</v>
      </c>
      <c r="E244" t="str">
        <f>'2020_5-2-2_Download'!$L$7</f>
        <v>Männer</v>
      </c>
      <c r="G244" t="s">
        <v>84</v>
      </c>
      <c r="H244" t="str">
        <f>VLOOKUP(B244,[2]Kreise!$A$2:$C$53,3,FALSE)</f>
        <v>K03402</v>
      </c>
      <c r="I244">
        <f>'2020_5-2-2_Download'!L44</f>
        <v>1437</v>
      </c>
    </row>
    <row r="245" spans="2:9">
      <c r="B245">
        <f>'2020_5-2-2_Download'!B45</f>
        <v>403</v>
      </c>
      <c r="C245">
        <f>'2020_5-2-2_Download'!$K$5</f>
        <v>2019</v>
      </c>
      <c r="D245" t="str">
        <f>VLOOKUP(B245,[1]Tabelle1!$A$1:$B$68,2,FALSE)</f>
        <v>Oldenburg(Oldb)  Stadt</v>
      </c>
      <c r="E245" t="str">
        <f>'2020_5-2-2_Download'!$L$7</f>
        <v>Männer</v>
      </c>
      <c r="G245" t="s">
        <v>84</v>
      </c>
      <c r="H245" t="str">
        <f>VLOOKUP(B245,[2]Kreise!$A$2:$C$53,3,FALSE)</f>
        <v>K03403</v>
      </c>
      <c r="I245">
        <f>'2020_5-2-2_Download'!L45</f>
        <v>3809</v>
      </c>
    </row>
    <row r="246" spans="2:9">
      <c r="B246">
        <f>'2020_5-2-2_Download'!B46</f>
        <v>404</v>
      </c>
      <c r="C246">
        <f>'2020_5-2-2_Download'!$K$5</f>
        <v>2019</v>
      </c>
      <c r="D246" t="str">
        <f>VLOOKUP(B246,[1]Tabelle1!$A$1:$B$68,2,FALSE)</f>
        <v>Osnabrück  Stadt</v>
      </c>
      <c r="E246" t="str">
        <f>'2020_5-2-2_Download'!$L$7</f>
        <v>Männer</v>
      </c>
      <c r="G246" t="s">
        <v>84</v>
      </c>
      <c r="H246" t="str">
        <f>VLOOKUP(B246,[2]Kreise!$A$2:$C$53,3,FALSE)</f>
        <v>K03404</v>
      </c>
      <c r="I246">
        <f>'2020_5-2-2_Download'!L46</f>
        <v>4905</v>
      </c>
    </row>
    <row r="247" spans="2:9">
      <c r="B247">
        <f>'2020_5-2-2_Download'!B47</f>
        <v>405</v>
      </c>
      <c r="C247">
        <f>'2020_5-2-2_Download'!$K$5</f>
        <v>2019</v>
      </c>
      <c r="D247" t="str">
        <f>VLOOKUP(B247,[1]Tabelle1!$A$1:$B$68,2,FALSE)</f>
        <v>Wilhelmshaven  Stadt</v>
      </c>
      <c r="E247" t="str">
        <f>'2020_5-2-2_Download'!$L$7</f>
        <v>Männer</v>
      </c>
      <c r="G247" t="s">
        <v>84</v>
      </c>
      <c r="H247" t="str">
        <f>VLOOKUP(B247,[2]Kreise!$A$2:$C$53,3,FALSE)</f>
        <v>K03405</v>
      </c>
      <c r="I247">
        <f>'2020_5-2-2_Download'!L47</f>
        <v>1146</v>
      </c>
    </row>
    <row r="248" spans="2:9">
      <c r="B248">
        <f>'2020_5-2-2_Download'!B48</f>
        <v>451</v>
      </c>
      <c r="C248">
        <f>'2020_5-2-2_Download'!$K$5</f>
        <v>2019</v>
      </c>
      <c r="D248" t="str">
        <f>VLOOKUP(B248,[1]Tabelle1!$A$1:$B$68,2,FALSE)</f>
        <v>Ammerland</v>
      </c>
      <c r="E248" t="str">
        <f>'2020_5-2-2_Download'!$L$7</f>
        <v>Männer</v>
      </c>
      <c r="G248" t="s">
        <v>84</v>
      </c>
      <c r="H248" t="str">
        <f>VLOOKUP(B248,[2]Kreise!$A$2:$C$53,3,FALSE)</f>
        <v>K03451</v>
      </c>
      <c r="I248">
        <f>'2020_5-2-2_Download'!L48</f>
        <v>2613</v>
      </c>
    </row>
    <row r="249" spans="2:9">
      <c r="B249">
        <f>'2020_5-2-2_Download'!B49</f>
        <v>452</v>
      </c>
      <c r="C249">
        <f>'2020_5-2-2_Download'!$K$5</f>
        <v>2019</v>
      </c>
      <c r="D249" t="str">
        <f>VLOOKUP(B249,[1]Tabelle1!$A$1:$B$68,2,FALSE)</f>
        <v>Aurich</v>
      </c>
      <c r="E249" t="str">
        <f>'2020_5-2-2_Download'!$L$7</f>
        <v>Männer</v>
      </c>
      <c r="G249" t="s">
        <v>84</v>
      </c>
      <c r="H249" t="str">
        <f>VLOOKUP(B249,[2]Kreise!$A$2:$C$53,3,FALSE)</f>
        <v>K03452</v>
      </c>
      <c r="I249">
        <f>'2020_5-2-2_Download'!L49</f>
        <v>2791</v>
      </c>
    </row>
    <row r="250" spans="2:9">
      <c r="B250">
        <f>'2020_5-2-2_Download'!B50</f>
        <v>453</v>
      </c>
      <c r="C250">
        <f>'2020_5-2-2_Download'!$K$5</f>
        <v>2019</v>
      </c>
      <c r="D250" t="str">
        <f>VLOOKUP(B250,[1]Tabelle1!$A$1:$B$68,2,FALSE)</f>
        <v>Cloppenburg</v>
      </c>
      <c r="E250" t="str">
        <f>'2020_5-2-2_Download'!$L$7</f>
        <v>Männer</v>
      </c>
      <c r="G250" t="s">
        <v>84</v>
      </c>
      <c r="H250" t="str">
        <f>VLOOKUP(B250,[2]Kreise!$A$2:$C$53,3,FALSE)</f>
        <v>K03453</v>
      </c>
      <c r="I250">
        <f>'2020_5-2-2_Download'!L50</f>
        <v>6972</v>
      </c>
    </row>
    <row r="251" spans="2:9">
      <c r="B251">
        <f>'2020_5-2-2_Download'!B51</f>
        <v>454</v>
      </c>
      <c r="C251">
        <f>'2020_5-2-2_Download'!$K$5</f>
        <v>2019</v>
      </c>
      <c r="D251" t="str">
        <f>VLOOKUP(B251,[1]Tabelle1!$A$1:$B$68,2,FALSE)</f>
        <v>Emsland</v>
      </c>
      <c r="E251" t="str">
        <f>'2020_5-2-2_Download'!$L$7</f>
        <v>Männer</v>
      </c>
      <c r="G251" t="s">
        <v>84</v>
      </c>
      <c r="H251" t="str">
        <f>VLOOKUP(B251,[2]Kreise!$A$2:$C$53,3,FALSE)</f>
        <v>K03454</v>
      </c>
      <c r="I251">
        <f>'2020_5-2-2_Download'!L51</f>
        <v>10248</v>
      </c>
    </row>
    <row r="252" spans="2:9">
      <c r="B252">
        <f>'2020_5-2-2_Download'!B52</f>
        <v>455</v>
      </c>
      <c r="C252">
        <f>'2020_5-2-2_Download'!$K$5</f>
        <v>2019</v>
      </c>
      <c r="D252" t="str">
        <f>VLOOKUP(B252,[1]Tabelle1!$A$1:$B$68,2,FALSE)</f>
        <v>Friesland</v>
      </c>
      <c r="E252" t="str">
        <f>'2020_5-2-2_Download'!$L$7</f>
        <v>Männer</v>
      </c>
      <c r="G252" t="s">
        <v>84</v>
      </c>
      <c r="H252" t="str">
        <f>VLOOKUP(B252,[2]Kreise!$A$2:$C$53,3,FALSE)</f>
        <v>K03455</v>
      </c>
      <c r="I252">
        <f>'2020_5-2-2_Download'!L52</f>
        <v>905</v>
      </c>
    </row>
    <row r="253" spans="2:9">
      <c r="B253">
        <f>'2020_5-2-2_Download'!B53</f>
        <v>456</v>
      </c>
      <c r="C253">
        <f>'2020_5-2-2_Download'!$K$5</f>
        <v>2019</v>
      </c>
      <c r="D253" t="str">
        <f>VLOOKUP(B253,[1]Tabelle1!$A$1:$B$68,2,FALSE)</f>
        <v>Grafschaft Bentheim</v>
      </c>
      <c r="E253" t="str">
        <f>'2020_5-2-2_Download'!$L$7</f>
        <v>Männer</v>
      </c>
      <c r="G253" t="s">
        <v>84</v>
      </c>
      <c r="H253" t="str">
        <f>VLOOKUP(B253,[2]Kreise!$A$2:$C$53,3,FALSE)</f>
        <v>K03456</v>
      </c>
      <c r="I253">
        <f>'2020_5-2-2_Download'!L53</f>
        <v>3875</v>
      </c>
    </row>
    <row r="254" spans="2:9">
      <c r="B254">
        <f>'2020_5-2-2_Download'!B54</f>
        <v>457</v>
      </c>
      <c r="C254">
        <f>'2020_5-2-2_Download'!$K$5</f>
        <v>2019</v>
      </c>
      <c r="D254" t="str">
        <f>VLOOKUP(B254,[1]Tabelle1!$A$1:$B$68,2,FALSE)</f>
        <v>Leer</v>
      </c>
      <c r="E254" t="str">
        <f>'2020_5-2-2_Download'!$L$7</f>
        <v>Männer</v>
      </c>
      <c r="G254" t="s">
        <v>84</v>
      </c>
      <c r="H254" t="str">
        <f>VLOOKUP(B254,[2]Kreise!$A$2:$C$53,3,FALSE)</f>
        <v>K03457</v>
      </c>
      <c r="I254">
        <f>'2020_5-2-2_Download'!L54</f>
        <v>2680</v>
      </c>
    </row>
    <row r="255" spans="2:9">
      <c r="B255">
        <f>'2020_5-2-2_Download'!B55</f>
        <v>458</v>
      </c>
      <c r="C255">
        <f>'2020_5-2-2_Download'!$K$5</f>
        <v>2019</v>
      </c>
      <c r="D255" t="str">
        <f>VLOOKUP(B255,[1]Tabelle1!$A$1:$B$68,2,FALSE)</f>
        <v>Oldenburg</v>
      </c>
      <c r="E255" t="str">
        <f>'2020_5-2-2_Download'!$L$7</f>
        <v>Männer</v>
      </c>
      <c r="G255" t="s">
        <v>84</v>
      </c>
      <c r="H255" t="str">
        <f>VLOOKUP(B255,[2]Kreise!$A$2:$C$53,3,FALSE)</f>
        <v>K03458</v>
      </c>
      <c r="I255">
        <f>'2020_5-2-2_Download'!L55</f>
        <v>2646</v>
      </c>
    </row>
    <row r="256" spans="2:9">
      <c r="B256">
        <f>'2020_5-2-2_Download'!B56</f>
        <v>459</v>
      </c>
      <c r="C256">
        <f>'2020_5-2-2_Download'!$K$5</f>
        <v>2019</v>
      </c>
      <c r="D256" t="str">
        <f>VLOOKUP(B256,[1]Tabelle1!$A$1:$B$68,2,FALSE)</f>
        <v>Osnabrück</v>
      </c>
      <c r="E256" t="str">
        <f>'2020_5-2-2_Download'!$L$7</f>
        <v>Männer</v>
      </c>
      <c r="G256" t="s">
        <v>84</v>
      </c>
      <c r="H256" t="str">
        <f>VLOOKUP(B256,[2]Kreise!$A$2:$C$53,3,FALSE)</f>
        <v>K03459</v>
      </c>
      <c r="I256">
        <f>'2020_5-2-2_Download'!L56</f>
        <v>11759</v>
      </c>
    </row>
    <row r="257" spans="2:9">
      <c r="B257">
        <f>'2020_5-2-2_Download'!B57</f>
        <v>460</v>
      </c>
      <c r="C257">
        <f>'2020_5-2-2_Download'!$K$5</f>
        <v>2019</v>
      </c>
      <c r="D257" t="str">
        <f>VLOOKUP(B257,[1]Tabelle1!$A$1:$B$68,2,FALSE)</f>
        <v>Vechta</v>
      </c>
      <c r="E257" t="str">
        <f>'2020_5-2-2_Download'!$L$7</f>
        <v>Männer</v>
      </c>
      <c r="G257" t="s">
        <v>84</v>
      </c>
      <c r="H257" t="str">
        <f>VLOOKUP(B257,[2]Kreise!$A$2:$C$53,3,FALSE)</f>
        <v>K03460</v>
      </c>
      <c r="I257">
        <f>'2020_5-2-2_Download'!L57</f>
        <v>7249</v>
      </c>
    </row>
    <row r="258" spans="2:9">
      <c r="B258">
        <f>'2020_5-2-2_Download'!B58</f>
        <v>461</v>
      </c>
      <c r="C258">
        <f>'2020_5-2-2_Download'!$K$5</f>
        <v>2019</v>
      </c>
      <c r="D258" t="str">
        <f>VLOOKUP(B258,[1]Tabelle1!$A$1:$B$68,2,FALSE)</f>
        <v>Wesermarsch</v>
      </c>
      <c r="E258" t="str">
        <f>'2020_5-2-2_Download'!$L$7</f>
        <v>Männer</v>
      </c>
      <c r="G258" t="s">
        <v>84</v>
      </c>
      <c r="H258" t="str">
        <f>VLOOKUP(B258,[2]Kreise!$A$2:$C$53,3,FALSE)</f>
        <v>K03461</v>
      </c>
      <c r="I258">
        <f>'2020_5-2-2_Download'!L58</f>
        <v>2018</v>
      </c>
    </row>
    <row r="259" spans="2:9">
      <c r="B259">
        <f>'2020_5-2-2_Download'!B59</f>
        <v>462</v>
      </c>
      <c r="C259">
        <f>'2020_5-2-2_Download'!$K$5</f>
        <v>2019</v>
      </c>
      <c r="D259" t="str">
        <f>VLOOKUP(B259,[1]Tabelle1!$A$1:$B$68,2,FALSE)</f>
        <v>Wittmund</v>
      </c>
      <c r="E259" t="str">
        <f>'2020_5-2-2_Download'!$L$7</f>
        <v>Männer</v>
      </c>
      <c r="G259" t="s">
        <v>84</v>
      </c>
      <c r="H259" t="str">
        <f>VLOOKUP(B259,[2]Kreise!$A$2:$C$53,3,FALSE)</f>
        <v>K03462</v>
      </c>
      <c r="I259">
        <f>'2020_5-2-2_Download'!L59</f>
        <v>577</v>
      </c>
    </row>
    <row r="260" spans="2:9">
      <c r="B260">
        <f>'2020_5-2-2_Download'!B60</f>
        <v>4</v>
      </c>
      <c r="C260">
        <f>'2020_5-2-2_Download'!$K$5</f>
        <v>2019</v>
      </c>
      <c r="D260" t="str">
        <f>VLOOKUP(B260,[1]Tabelle1!$A$1:$B$68,2,FALSE)</f>
        <v>Stat. Region Weser-Ems</v>
      </c>
      <c r="E260" t="str">
        <f>'2020_5-2-2_Download'!$L$7</f>
        <v>Männer</v>
      </c>
      <c r="G260" t="s">
        <v>84</v>
      </c>
      <c r="H260" t="str">
        <f>VLOOKUP(B260,[2]Kreise!$A$2:$C$53,3,FALSE)</f>
        <v>K034</v>
      </c>
      <c r="I260">
        <f>'2020_5-2-2_Download'!L60</f>
        <v>66775</v>
      </c>
    </row>
    <row r="261" spans="2:9">
      <c r="B261">
        <f>'2020_5-2-2_Download'!B61</f>
        <v>0</v>
      </c>
      <c r="C261">
        <f>'2020_5-2-2_Download'!$K$5</f>
        <v>2019</v>
      </c>
      <c r="D261" t="str">
        <f>VLOOKUP(B261,[1]Tabelle1!$A$1:$B$68,2,FALSE)</f>
        <v>Niedersachsen</v>
      </c>
      <c r="E261" t="str">
        <f>'2020_5-2-2_Download'!$L$7</f>
        <v>Männer</v>
      </c>
      <c r="G261" t="s">
        <v>84</v>
      </c>
      <c r="H261" t="str">
        <f>VLOOKUP(B261,[2]Kreise!$A$2:$C$53,3,FALSE)</f>
        <v>K030</v>
      </c>
      <c r="I261">
        <f>'2020_5-2-2_Download'!L61</f>
        <v>186982</v>
      </c>
    </row>
    <row r="262" spans="2:9">
      <c r="B262">
        <f>'2020_5-2-2_Download'!B10</f>
        <v>101</v>
      </c>
      <c r="C262">
        <f>'2020_5-2-2_Download'!$K$5</f>
        <v>2019</v>
      </c>
      <c r="D262" t="str">
        <f>VLOOKUP(B262,[1]Tabelle1!$A$1:$B$68,2,FALSE)</f>
        <v>Braunschweig  Stadt</v>
      </c>
      <c r="E262" t="str">
        <f>'2020_5-2-2_Download'!$M$7</f>
        <v>Frauen</v>
      </c>
      <c r="G262" t="s">
        <v>84</v>
      </c>
      <c r="H262" t="str">
        <f>VLOOKUP(B262,[2]Kreise!$A$2:$C$53,3,FALSE)</f>
        <v>K03101</v>
      </c>
      <c r="I262">
        <f>'2020_5-2-2_Download'!M10</f>
        <v>4399</v>
      </c>
    </row>
    <row r="263" spans="2:9">
      <c r="B263">
        <f>'2020_5-2-2_Download'!B11</f>
        <v>102</v>
      </c>
      <c r="C263">
        <f>'2020_5-2-2_Download'!$K$5</f>
        <v>2019</v>
      </c>
      <c r="D263" t="str">
        <f>VLOOKUP(B263,[1]Tabelle1!$A$1:$B$68,2,FALSE)</f>
        <v>Salzgitter  Stadt</v>
      </c>
      <c r="E263" t="str">
        <f>'2020_5-2-2_Download'!$M$7</f>
        <v>Frauen</v>
      </c>
      <c r="G263" t="s">
        <v>84</v>
      </c>
      <c r="H263" t="str">
        <f>VLOOKUP(B263,[2]Kreise!$A$2:$C$53,3,FALSE)</f>
        <v>K03102</v>
      </c>
      <c r="I263">
        <f>'2020_5-2-2_Download'!M11</f>
        <v>1075</v>
      </c>
    </row>
    <row r="264" spans="2:9">
      <c r="B264">
        <f>'2020_5-2-2_Download'!B12</f>
        <v>103</v>
      </c>
      <c r="C264">
        <f>'2020_5-2-2_Download'!$K$5</f>
        <v>2019</v>
      </c>
      <c r="D264" t="str">
        <f>VLOOKUP(B264,[1]Tabelle1!$A$1:$B$68,2,FALSE)</f>
        <v>Wolfsburg  Stadt</v>
      </c>
      <c r="E264" t="str">
        <f>'2020_5-2-2_Download'!$M$7</f>
        <v>Frauen</v>
      </c>
      <c r="G264" t="s">
        <v>84</v>
      </c>
      <c r="H264" t="str">
        <f>VLOOKUP(B264,[2]Kreise!$A$2:$C$53,3,FALSE)</f>
        <v>K03103</v>
      </c>
      <c r="I264">
        <f>'2020_5-2-2_Download'!M12</f>
        <v>3225</v>
      </c>
    </row>
    <row r="265" spans="2:9">
      <c r="B265">
        <f>'2020_5-2-2_Download'!B13</f>
        <v>151</v>
      </c>
      <c r="C265">
        <f>'2020_5-2-2_Download'!$K$5</f>
        <v>2019</v>
      </c>
      <c r="D265" t="str">
        <f>VLOOKUP(B265,[1]Tabelle1!$A$1:$B$68,2,FALSE)</f>
        <v>Gifhorn</v>
      </c>
      <c r="E265" t="str">
        <f>'2020_5-2-2_Download'!$M$7</f>
        <v>Frauen</v>
      </c>
      <c r="G265" t="s">
        <v>84</v>
      </c>
      <c r="H265" t="str">
        <f>VLOOKUP(B265,[2]Kreise!$A$2:$C$53,3,FALSE)</f>
        <v>K03151</v>
      </c>
      <c r="I265">
        <f>'2020_5-2-2_Download'!M13</f>
        <v>1002</v>
      </c>
    </row>
    <row r="266" spans="2:9">
      <c r="B266">
        <f>'2020_5-2-2_Download'!B14</f>
        <v>153</v>
      </c>
      <c r="C266">
        <f>'2020_5-2-2_Download'!$K$5</f>
        <v>2019</v>
      </c>
      <c r="D266" t="str">
        <f>VLOOKUP(B266,[1]Tabelle1!$A$1:$B$68,2,FALSE)</f>
        <v>Goslar</v>
      </c>
      <c r="E266" t="str">
        <f>'2020_5-2-2_Download'!$M$7</f>
        <v>Frauen</v>
      </c>
      <c r="G266" t="s">
        <v>84</v>
      </c>
      <c r="H266" t="str">
        <f>VLOOKUP(B266,[2]Kreise!$A$2:$C$53,3,FALSE)</f>
        <v>K03153</v>
      </c>
      <c r="I266">
        <f>'2020_5-2-2_Download'!M14</f>
        <v>1128</v>
      </c>
    </row>
    <row r="267" spans="2:9">
      <c r="B267">
        <f>'2020_5-2-2_Download'!B15</f>
        <v>154</v>
      </c>
      <c r="C267">
        <f>'2020_5-2-2_Download'!$K$5</f>
        <v>2019</v>
      </c>
      <c r="D267" t="str">
        <f>VLOOKUP(B267,[1]Tabelle1!$A$1:$B$68,2,FALSE)</f>
        <v>Helmstedt</v>
      </c>
      <c r="E267" t="str">
        <f>'2020_5-2-2_Download'!$M$7</f>
        <v>Frauen</v>
      </c>
      <c r="G267" t="s">
        <v>84</v>
      </c>
      <c r="H267" t="str">
        <f>VLOOKUP(B267,[2]Kreise!$A$2:$C$53,3,FALSE)</f>
        <v>K03154</v>
      </c>
      <c r="I267">
        <f>'2020_5-2-2_Download'!M15</f>
        <v>474</v>
      </c>
    </row>
    <row r="268" spans="2:9">
      <c r="B268">
        <f>'2020_5-2-2_Download'!B16</f>
        <v>155</v>
      </c>
      <c r="C268">
        <f>'2020_5-2-2_Download'!$K$5</f>
        <v>2019</v>
      </c>
      <c r="D268" t="str">
        <f>VLOOKUP(B268,[1]Tabelle1!$A$1:$B$68,2,FALSE)</f>
        <v>Northeim</v>
      </c>
      <c r="E268" t="str">
        <f>'2020_5-2-2_Download'!$M$7</f>
        <v>Frauen</v>
      </c>
      <c r="G268" t="s">
        <v>84</v>
      </c>
      <c r="H268" t="str">
        <f>VLOOKUP(B268,[2]Kreise!$A$2:$C$53,3,FALSE)</f>
        <v>K03155</v>
      </c>
      <c r="I268">
        <f>'2020_5-2-2_Download'!M16</f>
        <v>825</v>
      </c>
    </row>
    <row r="269" spans="2:9">
      <c r="B269">
        <f>'2020_5-2-2_Download'!B17</f>
        <v>157</v>
      </c>
      <c r="C269">
        <f>'2020_5-2-2_Download'!$K$5</f>
        <v>2019</v>
      </c>
      <c r="D269" t="str">
        <f>VLOOKUP(B269,[1]Tabelle1!$A$1:$B$68,2,FALSE)</f>
        <v>Peine</v>
      </c>
      <c r="E269" t="str">
        <f>'2020_5-2-2_Download'!$M$7</f>
        <v>Frauen</v>
      </c>
      <c r="G269" t="s">
        <v>84</v>
      </c>
      <c r="H269" t="str">
        <f>VLOOKUP(B269,[2]Kreise!$A$2:$C$53,3,FALSE)</f>
        <v>K03157</v>
      </c>
      <c r="I269">
        <f>'2020_5-2-2_Download'!M17</f>
        <v>912</v>
      </c>
    </row>
    <row r="270" spans="2:9">
      <c r="B270">
        <f>'2020_5-2-2_Download'!B18</f>
        <v>158</v>
      </c>
      <c r="C270">
        <f>'2020_5-2-2_Download'!$K$5</f>
        <v>2019</v>
      </c>
      <c r="D270" t="str">
        <f>VLOOKUP(B270,[1]Tabelle1!$A$1:$B$68,2,FALSE)</f>
        <v>Wolfenbüttel</v>
      </c>
      <c r="E270" t="str">
        <f>'2020_5-2-2_Download'!$M$7</f>
        <v>Frauen</v>
      </c>
      <c r="G270" t="s">
        <v>84</v>
      </c>
      <c r="H270" t="str">
        <f>VLOOKUP(B270,[2]Kreise!$A$2:$C$53,3,FALSE)</f>
        <v>K03158</v>
      </c>
      <c r="I270">
        <f>'2020_5-2-2_Download'!M18</f>
        <v>541</v>
      </c>
    </row>
    <row r="271" spans="2:9">
      <c r="B271">
        <f>'2020_5-2-2_Download'!B19</f>
        <v>159</v>
      </c>
      <c r="C271">
        <f>'2020_5-2-2_Download'!$K$5</f>
        <v>2019</v>
      </c>
      <c r="D271" t="str">
        <f>VLOOKUP(B271,[1]Tabelle1!$A$1:$B$68,2,FALSE)</f>
        <v>Göttingen</v>
      </c>
      <c r="E271" t="str">
        <f>'2020_5-2-2_Download'!$M$7</f>
        <v>Frauen</v>
      </c>
      <c r="G271" t="s">
        <v>84</v>
      </c>
      <c r="H271" t="str">
        <f>VLOOKUP(B271,[2]Kreise!$A$2:$C$53,3,FALSE)</f>
        <v>K03159</v>
      </c>
      <c r="I271">
        <f>'2020_5-2-2_Download'!M19</f>
        <v>3612</v>
      </c>
    </row>
    <row r="272" spans="2:9">
      <c r="B272">
        <f>'2020_5-2-2_Download'!B20</f>
        <v>1</v>
      </c>
      <c r="C272">
        <f>'2020_5-2-2_Download'!$K$5</f>
        <v>2019</v>
      </c>
      <c r="D272" t="str">
        <f>VLOOKUP(B272,[1]Tabelle1!$A$1:$B$68,2,FALSE)</f>
        <v>Stat. Region Braunschweig</v>
      </c>
      <c r="E272" t="str">
        <f>'2020_5-2-2_Download'!$M$7</f>
        <v>Frauen</v>
      </c>
      <c r="G272" t="s">
        <v>84</v>
      </c>
      <c r="H272" t="str">
        <f>VLOOKUP(B272,[2]Kreise!$A$2:$C$53,3,FALSE)</f>
        <v>K031</v>
      </c>
      <c r="I272">
        <f>'2020_5-2-2_Download'!M20</f>
        <v>17193</v>
      </c>
    </row>
    <row r="273" spans="2:9">
      <c r="B273">
        <f>'2020_5-2-2_Download'!B21</f>
        <v>241</v>
      </c>
      <c r="C273">
        <f>'2020_5-2-2_Download'!$K$5</f>
        <v>2019</v>
      </c>
      <c r="D273" t="str">
        <f>VLOOKUP(B273,[1]Tabelle1!$A$1:$B$68,2,FALSE)</f>
        <v>Hannover  Region</v>
      </c>
      <c r="E273" t="str">
        <f>'2020_5-2-2_Download'!$M$7</f>
        <v>Frauen</v>
      </c>
      <c r="G273" t="s">
        <v>84</v>
      </c>
      <c r="H273" t="str">
        <f>VLOOKUP(B273,[2]Kreise!$A$2:$C$53,3,FALSE)</f>
        <v>K03241</v>
      </c>
      <c r="I273">
        <f>'2020_5-2-2_Download'!M21</f>
        <v>22697</v>
      </c>
    </row>
    <row r="274" spans="2:9">
      <c r="B274">
        <f>'2020_5-2-2_Download'!B22</f>
        <v>241001</v>
      </c>
      <c r="C274">
        <f>'2020_5-2-2_Download'!$K$5</f>
        <v>2019</v>
      </c>
      <c r="D274" t="str">
        <f>VLOOKUP(B274,[1]Tabelle1!$A$1:$B$68,2,FALSE)</f>
        <v>dav. Hannover  Lhst.</v>
      </c>
      <c r="E274" t="str">
        <f>'2020_5-2-2_Download'!$M$7</f>
        <v>Frauen</v>
      </c>
      <c r="G274" t="s">
        <v>84</v>
      </c>
      <c r="H274" t="str">
        <f>VLOOKUP(B274,[2]Kreise!$A$2:$C$53,3,FALSE)</f>
        <v>K03241001</v>
      </c>
      <c r="I274">
        <f>'2020_5-2-2_Download'!M22</f>
        <v>15143</v>
      </c>
    </row>
    <row r="275" spans="2:9">
      <c r="B275">
        <f>'2020_5-2-2_Download'!B23</f>
        <v>241999</v>
      </c>
      <c r="C275">
        <f>'2020_5-2-2_Download'!$K$5</f>
        <v>2019</v>
      </c>
      <c r="D275" t="str">
        <f>VLOOKUP(B275,[1]Tabelle1!$A$1:$B$68,2,FALSE)</f>
        <v>dav. Hannover  Umland</v>
      </c>
      <c r="E275" t="str">
        <f>'2020_5-2-2_Download'!$M$7</f>
        <v>Frauen</v>
      </c>
      <c r="G275" t="s">
        <v>84</v>
      </c>
      <c r="H275" t="str">
        <f>VLOOKUP(B275,[2]Kreise!$A$2:$C$53,3,FALSE)</f>
        <v>K03241999</v>
      </c>
      <c r="I275">
        <f>'2020_5-2-2_Download'!M23</f>
        <v>7554</v>
      </c>
    </row>
    <row r="276" spans="2:9">
      <c r="B276">
        <f>'2020_5-2-2_Download'!B24</f>
        <v>251</v>
      </c>
      <c r="C276">
        <f>'2020_5-2-2_Download'!$K$5</f>
        <v>2019</v>
      </c>
      <c r="D276" t="str">
        <f>VLOOKUP(B276,[1]Tabelle1!$A$1:$B$68,2,FALSE)</f>
        <v>Diepholz</v>
      </c>
      <c r="E276" t="str">
        <f>'2020_5-2-2_Download'!$M$7</f>
        <v>Frauen</v>
      </c>
      <c r="G276" t="s">
        <v>84</v>
      </c>
      <c r="H276" t="str">
        <f>VLOOKUP(B276,[2]Kreise!$A$2:$C$53,3,FALSE)</f>
        <v>K03251</v>
      </c>
      <c r="I276">
        <f>'2020_5-2-2_Download'!M24</f>
        <v>1891</v>
      </c>
    </row>
    <row r="277" spans="2:9">
      <c r="B277">
        <f>'2020_5-2-2_Download'!B25</f>
        <v>252</v>
      </c>
      <c r="C277">
        <f>'2020_5-2-2_Download'!$K$5</f>
        <v>2019</v>
      </c>
      <c r="D277" t="str">
        <f>VLOOKUP(B277,[1]Tabelle1!$A$1:$B$68,2,FALSE)</f>
        <v>Hameln-Pyrmont</v>
      </c>
      <c r="E277" t="str">
        <f>'2020_5-2-2_Download'!$M$7</f>
        <v>Frauen</v>
      </c>
      <c r="G277" t="s">
        <v>84</v>
      </c>
      <c r="H277" t="str">
        <f>VLOOKUP(B277,[2]Kreise!$A$2:$C$53,3,FALSE)</f>
        <v>K03252</v>
      </c>
      <c r="I277">
        <f>'2020_5-2-2_Download'!M25</f>
        <v>1510</v>
      </c>
    </row>
    <row r="278" spans="2:9">
      <c r="B278">
        <f>'2020_5-2-2_Download'!B26</f>
        <v>254</v>
      </c>
      <c r="C278">
        <f>'2020_5-2-2_Download'!$K$5</f>
        <v>2019</v>
      </c>
      <c r="D278" t="str">
        <f>VLOOKUP(B278,[1]Tabelle1!$A$1:$B$68,2,FALSE)</f>
        <v>Hildesheim</v>
      </c>
      <c r="E278" t="str">
        <f>'2020_5-2-2_Download'!$M$7</f>
        <v>Frauen</v>
      </c>
      <c r="G278" t="s">
        <v>84</v>
      </c>
      <c r="H278" t="str">
        <f>VLOOKUP(B278,[2]Kreise!$A$2:$C$53,3,FALSE)</f>
        <v>K03254</v>
      </c>
      <c r="I278">
        <f>'2020_5-2-2_Download'!M26</f>
        <v>2160</v>
      </c>
    </row>
    <row r="279" spans="2:9">
      <c r="B279">
        <f>'2020_5-2-2_Download'!B27</f>
        <v>255</v>
      </c>
      <c r="C279">
        <f>'2020_5-2-2_Download'!$K$5</f>
        <v>2019</v>
      </c>
      <c r="D279" t="str">
        <f>VLOOKUP(B279,[1]Tabelle1!$A$1:$B$68,2,FALSE)</f>
        <v>Holzminden</v>
      </c>
      <c r="E279" t="str">
        <f>'2020_5-2-2_Download'!$M$7</f>
        <v>Frauen</v>
      </c>
      <c r="G279" t="s">
        <v>84</v>
      </c>
      <c r="H279" t="str">
        <f>VLOOKUP(B279,[2]Kreise!$A$2:$C$53,3,FALSE)</f>
        <v>K03255</v>
      </c>
      <c r="I279">
        <f>'2020_5-2-2_Download'!M27</f>
        <v>476</v>
      </c>
    </row>
    <row r="280" spans="2:9">
      <c r="B280">
        <f>'2020_5-2-2_Download'!B28</f>
        <v>256</v>
      </c>
      <c r="C280">
        <f>'2020_5-2-2_Download'!$K$5</f>
        <v>2019</v>
      </c>
      <c r="D280" t="str">
        <f>VLOOKUP(B280,[1]Tabelle1!$A$1:$B$68,2,FALSE)</f>
        <v>Nienburg (Weser)</v>
      </c>
      <c r="E280" t="str">
        <f>'2020_5-2-2_Download'!$M$7</f>
        <v>Frauen</v>
      </c>
      <c r="G280" t="s">
        <v>84</v>
      </c>
      <c r="H280" t="str">
        <f>VLOOKUP(B280,[2]Kreise!$A$2:$C$53,3,FALSE)</f>
        <v>K03256</v>
      </c>
      <c r="I280">
        <f>'2020_5-2-2_Download'!M28</f>
        <v>1219</v>
      </c>
    </row>
    <row r="281" spans="2:9">
      <c r="B281">
        <f>'2020_5-2-2_Download'!B29</f>
        <v>257</v>
      </c>
      <c r="C281">
        <f>'2020_5-2-2_Download'!$K$5</f>
        <v>2019</v>
      </c>
      <c r="D281" t="str">
        <f>VLOOKUP(B281,[1]Tabelle1!$A$1:$B$68,2,FALSE)</f>
        <v>Schaumburg</v>
      </c>
      <c r="E281" t="str">
        <f>'2020_5-2-2_Download'!$M$7</f>
        <v>Frauen</v>
      </c>
      <c r="G281" t="s">
        <v>84</v>
      </c>
      <c r="H281" t="str">
        <f>VLOOKUP(B281,[2]Kreise!$A$2:$C$53,3,FALSE)</f>
        <v>K03257</v>
      </c>
      <c r="I281">
        <f>'2020_5-2-2_Download'!M29</f>
        <v>1269</v>
      </c>
    </row>
    <row r="282" spans="2:9">
      <c r="B282">
        <f>'2020_5-2-2_Download'!B30</f>
        <v>2</v>
      </c>
      <c r="C282">
        <f>'2020_5-2-2_Download'!$K$5</f>
        <v>2019</v>
      </c>
      <c r="D282" t="str">
        <f>VLOOKUP(B282,[1]Tabelle1!$A$1:$B$68,2,FALSE)</f>
        <v>Stat. Region Hannover</v>
      </c>
      <c r="E282" t="str">
        <f>'2020_5-2-2_Download'!$M$7</f>
        <v>Frauen</v>
      </c>
      <c r="G282" t="s">
        <v>84</v>
      </c>
      <c r="H282" t="str">
        <f>VLOOKUP(B282,[2]Kreise!$A$2:$C$53,3,FALSE)</f>
        <v>K032</v>
      </c>
      <c r="I282">
        <f>'2020_5-2-2_Download'!M30</f>
        <v>31222</v>
      </c>
    </row>
    <row r="283" spans="2:9">
      <c r="B283">
        <f>'2020_5-2-2_Download'!B31</f>
        <v>351</v>
      </c>
      <c r="C283">
        <f>'2020_5-2-2_Download'!$K$5</f>
        <v>2019</v>
      </c>
      <c r="D283" t="str">
        <f>VLOOKUP(B283,[1]Tabelle1!$A$1:$B$68,2,FALSE)</f>
        <v>Celle</v>
      </c>
      <c r="E283" t="str">
        <f>'2020_5-2-2_Download'!$M$7</f>
        <v>Frauen</v>
      </c>
      <c r="G283" t="s">
        <v>84</v>
      </c>
      <c r="H283" t="str">
        <f>VLOOKUP(B283,[2]Kreise!$A$2:$C$53,3,FALSE)</f>
        <v>K03351</v>
      </c>
      <c r="I283">
        <f>'2020_5-2-2_Download'!M31</f>
        <v>1349</v>
      </c>
    </row>
    <row r="284" spans="2:9">
      <c r="B284">
        <f>'2020_5-2-2_Download'!B32</f>
        <v>352</v>
      </c>
      <c r="C284">
        <f>'2020_5-2-2_Download'!$K$5</f>
        <v>2019</v>
      </c>
      <c r="D284" t="str">
        <f>VLOOKUP(B284,[1]Tabelle1!$A$1:$B$68,2,FALSE)</f>
        <v>Cuxhaven</v>
      </c>
      <c r="E284" t="str">
        <f>'2020_5-2-2_Download'!$M$7</f>
        <v>Frauen</v>
      </c>
      <c r="G284" t="s">
        <v>84</v>
      </c>
      <c r="H284" t="str">
        <f>VLOOKUP(B284,[2]Kreise!$A$2:$C$53,3,FALSE)</f>
        <v>K03352</v>
      </c>
      <c r="I284">
        <f>'2020_5-2-2_Download'!M32</f>
        <v>1416</v>
      </c>
    </row>
    <row r="285" spans="2:9">
      <c r="B285">
        <f>'2020_5-2-2_Download'!B33</f>
        <v>353</v>
      </c>
      <c r="C285">
        <f>'2020_5-2-2_Download'!$K$5</f>
        <v>2019</v>
      </c>
      <c r="D285" t="str">
        <f>VLOOKUP(B285,[1]Tabelle1!$A$1:$B$68,2,FALSE)</f>
        <v>Harburg</v>
      </c>
      <c r="E285" t="str">
        <f>'2020_5-2-2_Download'!$M$7</f>
        <v>Frauen</v>
      </c>
      <c r="G285" t="s">
        <v>84</v>
      </c>
      <c r="H285" t="str">
        <f>VLOOKUP(B285,[2]Kreise!$A$2:$C$53,3,FALSE)</f>
        <v>K03353</v>
      </c>
      <c r="I285">
        <f>'2020_5-2-2_Download'!M33</f>
        <v>2448</v>
      </c>
    </row>
    <row r="286" spans="2:9">
      <c r="B286">
        <f>'2020_5-2-2_Download'!B34</f>
        <v>354</v>
      </c>
      <c r="C286">
        <f>'2020_5-2-2_Download'!$K$5</f>
        <v>2019</v>
      </c>
      <c r="D286" t="str">
        <f>VLOOKUP(B286,[1]Tabelle1!$A$1:$B$68,2,FALSE)</f>
        <v>Lüchow-Dannenberg</v>
      </c>
      <c r="E286" t="str">
        <f>'2020_5-2-2_Download'!$M$7</f>
        <v>Frauen</v>
      </c>
      <c r="G286" t="s">
        <v>84</v>
      </c>
      <c r="H286" t="str">
        <f>VLOOKUP(B286,[2]Kreise!$A$2:$C$53,3,FALSE)</f>
        <v>K03354</v>
      </c>
      <c r="I286">
        <f>'2020_5-2-2_Download'!M34</f>
        <v>256</v>
      </c>
    </row>
    <row r="287" spans="2:9">
      <c r="B287">
        <f>'2020_5-2-2_Download'!B35</f>
        <v>355</v>
      </c>
      <c r="C287">
        <f>'2020_5-2-2_Download'!$K$5</f>
        <v>2019</v>
      </c>
      <c r="D287" t="str">
        <f>VLOOKUP(B287,[1]Tabelle1!$A$1:$B$68,2,FALSE)</f>
        <v>Lüneburg</v>
      </c>
      <c r="E287" t="str">
        <f>'2020_5-2-2_Download'!$M$7</f>
        <v>Frauen</v>
      </c>
      <c r="G287" t="s">
        <v>84</v>
      </c>
      <c r="H287" t="str">
        <f>VLOOKUP(B287,[2]Kreise!$A$2:$C$53,3,FALSE)</f>
        <v>K03355</v>
      </c>
      <c r="I287">
        <f>'2020_5-2-2_Download'!M35</f>
        <v>1351</v>
      </c>
    </row>
    <row r="288" spans="2:9">
      <c r="B288">
        <f>'2020_5-2-2_Download'!B36</f>
        <v>356</v>
      </c>
      <c r="C288">
        <f>'2020_5-2-2_Download'!$K$5</f>
        <v>2019</v>
      </c>
      <c r="D288" t="str">
        <f>VLOOKUP(B288,[1]Tabelle1!$A$1:$B$68,2,FALSE)</f>
        <v>Osterholz</v>
      </c>
      <c r="E288" t="str">
        <f>'2020_5-2-2_Download'!$M$7</f>
        <v>Frauen</v>
      </c>
      <c r="G288" t="s">
        <v>84</v>
      </c>
      <c r="H288" t="str">
        <f>VLOOKUP(B288,[2]Kreise!$A$2:$C$53,3,FALSE)</f>
        <v>K03356</v>
      </c>
      <c r="I288">
        <f>'2020_5-2-2_Download'!M36</f>
        <v>590</v>
      </c>
    </row>
    <row r="289" spans="2:9">
      <c r="B289">
        <f>'2020_5-2-2_Download'!B37</f>
        <v>357</v>
      </c>
      <c r="C289">
        <f>'2020_5-2-2_Download'!$K$5</f>
        <v>2019</v>
      </c>
      <c r="D289" t="str">
        <f>VLOOKUP(B289,[1]Tabelle1!$A$1:$B$68,2,FALSE)</f>
        <v>Rotenburg (Wümme)</v>
      </c>
      <c r="E289" t="str">
        <f>'2020_5-2-2_Download'!$M$7</f>
        <v>Frauen</v>
      </c>
      <c r="G289" t="s">
        <v>84</v>
      </c>
      <c r="H289" t="str">
        <f>VLOOKUP(B289,[2]Kreise!$A$2:$C$53,3,FALSE)</f>
        <v>K03357</v>
      </c>
      <c r="I289">
        <f>'2020_5-2-2_Download'!M37</f>
        <v>1288</v>
      </c>
    </row>
    <row r="290" spans="2:9">
      <c r="B290">
        <f>'2020_5-2-2_Download'!B38</f>
        <v>358</v>
      </c>
      <c r="C290">
        <f>'2020_5-2-2_Download'!$K$5</f>
        <v>2019</v>
      </c>
      <c r="D290" t="str">
        <f>VLOOKUP(B290,[1]Tabelle1!$A$1:$B$68,2,FALSE)</f>
        <v>Heidekreis</v>
      </c>
      <c r="E290" t="str">
        <f>'2020_5-2-2_Download'!$M$7</f>
        <v>Frauen</v>
      </c>
      <c r="G290" t="s">
        <v>84</v>
      </c>
      <c r="H290" t="str">
        <f>VLOOKUP(B290,[2]Kreise!$A$2:$C$53,3,FALSE)</f>
        <v>K03358</v>
      </c>
      <c r="I290">
        <f>'2020_5-2-2_Download'!M38</f>
        <v>1480</v>
      </c>
    </row>
    <row r="291" spans="2:9">
      <c r="B291">
        <f>'2020_5-2-2_Download'!B39</f>
        <v>359</v>
      </c>
      <c r="C291">
        <f>'2020_5-2-2_Download'!$K$5</f>
        <v>2019</v>
      </c>
      <c r="D291" t="str">
        <f>VLOOKUP(B291,[1]Tabelle1!$A$1:$B$68,2,FALSE)</f>
        <v>Stade</v>
      </c>
      <c r="E291" t="str">
        <f>'2020_5-2-2_Download'!$M$7</f>
        <v>Frauen</v>
      </c>
      <c r="G291" t="s">
        <v>84</v>
      </c>
      <c r="H291" t="str">
        <f>VLOOKUP(B291,[2]Kreise!$A$2:$C$53,3,FALSE)</f>
        <v>K03359</v>
      </c>
      <c r="I291">
        <f>'2020_5-2-2_Download'!M39</f>
        <v>1616</v>
      </c>
    </row>
    <row r="292" spans="2:9">
      <c r="B292">
        <f>'2020_5-2-2_Download'!B40</f>
        <v>360</v>
      </c>
      <c r="C292">
        <f>'2020_5-2-2_Download'!$K$5</f>
        <v>2019</v>
      </c>
      <c r="D292" t="str">
        <f>VLOOKUP(B292,[1]Tabelle1!$A$1:$B$68,2,FALSE)</f>
        <v>Uelzen</v>
      </c>
      <c r="E292" t="str">
        <f>'2020_5-2-2_Download'!$M$7</f>
        <v>Frauen</v>
      </c>
      <c r="G292" t="s">
        <v>84</v>
      </c>
      <c r="H292" t="str">
        <f>VLOOKUP(B292,[2]Kreise!$A$2:$C$53,3,FALSE)</f>
        <v>K03360</v>
      </c>
      <c r="I292">
        <f>'2020_5-2-2_Download'!M40</f>
        <v>599</v>
      </c>
    </row>
    <row r="293" spans="2:9">
      <c r="B293">
        <f>'2020_5-2-2_Download'!B41</f>
        <v>361</v>
      </c>
      <c r="C293">
        <f>'2020_5-2-2_Download'!$K$5</f>
        <v>2019</v>
      </c>
      <c r="D293" t="str">
        <f>VLOOKUP(B293,[1]Tabelle1!$A$1:$B$68,2,FALSE)</f>
        <v>Verden</v>
      </c>
      <c r="E293" t="str">
        <f>'2020_5-2-2_Download'!$M$7</f>
        <v>Frauen</v>
      </c>
      <c r="G293" t="s">
        <v>84</v>
      </c>
      <c r="H293" t="str">
        <f>VLOOKUP(B293,[2]Kreise!$A$2:$C$53,3,FALSE)</f>
        <v>K03361</v>
      </c>
      <c r="I293">
        <f>'2020_5-2-2_Download'!M41</f>
        <v>1434</v>
      </c>
    </row>
    <row r="294" spans="2:9">
      <c r="B294">
        <f>'2020_5-2-2_Download'!B42</f>
        <v>3</v>
      </c>
      <c r="C294">
        <f>'2020_5-2-2_Download'!$K$5</f>
        <v>2019</v>
      </c>
      <c r="D294" t="str">
        <f>VLOOKUP(B294,[1]Tabelle1!$A$1:$B$68,2,FALSE)</f>
        <v>Stat. Region Lüneburg</v>
      </c>
      <c r="E294" t="str">
        <f>'2020_5-2-2_Download'!$M$7</f>
        <v>Frauen</v>
      </c>
      <c r="G294" t="s">
        <v>84</v>
      </c>
      <c r="H294" t="str">
        <f>VLOOKUP(B294,[2]Kreise!$A$2:$C$53,3,FALSE)</f>
        <v>K033</v>
      </c>
      <c r="I294">
        <f>'2020_5-2-2_Download'!M42</f>
        <v>13827</v>
      </c>
    </row>
    <row r="295" spans="2:9">
      <c r="B295">
        <f>'2020_5-2-2_Download'!B43</f>
        <v>401</v>
      </c>
      <c r="C295">
        <f>'2020_5-2-2_Download'!$K$5</f>
        <v>2019</v>
      </c>
      <c r="D295" t="str">
        <f>VLOOKUP(B295,[1]Tabelle1!$A$1:$B$68,2,FALSE)</f>
        <v>Delmenhorst  Stadt</v>
      </c>
      <c r="E295" t="str">
        <f>'2020_5-2-2_Download'!$M$7</f>
        <v>Frauen</v>
      </c>
      <c r="G295" t="s">
        <v>84</v>
      </c>
      <c r="H295" t="str">
        <f>VLOOKUP(B295,[2]Kreise!$A$2:$C$53,3,FALSE)</f>
        <v>K03401</v>
      </c>
      <c r="I295">
        <f>'2020_5-2-2_Download'!M43</f>
        <v>657</v>
      </c>
    </row>
    <row r="296" spans="2:9">
      <c r="B296">
        <f>'2020_5-2-2_Download'!B44</f>
        <v>402</v>
      </c>
      <c r="C296">
        <f>'2020_5-2-2_Download'!$K$5</f>
        <v>2019</v>
      </c>
      <c r="D296" t="str">
        <f>VLOOKUP(B296,[1]Tabelle1!$A$1:$B$68,2,FALSE)</f>
        <v>Emden  Stadt</v>
      </c>
      <c r="E296" t="str">
        <f>'2020_5-2-2_Download'!$M$7</f>
        <v>Frauen</v>
      </c>
      <c r="G296" t="s">
        <v>84</v>
      </c>
      <c r="H296" t="str">
        <f>VLOOKUP(B296,[2]Kreise!$A$2:$C$53,3,FALSE)</f>
        <v>K03402</v>
      </c>
      <c r="I296">
        <f>'2020_5-2-2_Download'!M44</f>
        <v>490</v>
      </c>
    </row>
    <row r="297" spans="2:9">
      <c r="B297">
        <f>'2020_5-2-2_Download'!B45</f>
        <v>403</v>
      </c>
      <c r="C297">
        <f>'2020_5-2-2_Download'!$K$5</f>
        <v>2019</v>
      </c>
      <c r="D297" t="str">
        <f>VLOOKUP(B297,[1]Tabelle1!$A$1:$B$68,2,FALSE)</f>
        <v>Oldenburg(Oldb)  Stadt</v>
      </c>
      <c r="E297" t="str">
        <f>'2020_5-2-2_Download'!$M$7</f>
        <v>Frauen</v>
      </c>
      <c r="G297" t="s">
        <v>84</v>
      </c>
      <c r="H297" t="str">
        <f>VLOOKUP(B297,[2]Kreise!$A$2:$C$53,3,FALSE)</f>
        <v>K03403</v>
      </c>
      <c r="I297">
        <f>'2020_5-2-2_Download'!M45</f>
        <v>2080</v>
      </c>
    </row>
    <row r="298" spans="2:9">
      <c r="B298">
        <f>'2020_5-2-2_Download'!B46</f>
        <v>404</v>
      </c>
      <c r="C298">
        <f>'2020_5-2-2_Download'!$K$5</f>
        <v>2019</v>
      </c>
      <c r="D298" t="str">
        <f>VLOOKUP(B298,[1]Tabelle1!$A$1:$B$68,2,FALSE)</f>
        <v>Osnabrück  Stadt</v>
      </c>
      <c r="E298" t="str">
        <f>'2020_5-2-2_Download'!$M$7</f>
        <v>Frauen</v>
      </c>
      <c r="G298" t="s">
        <v>84</v>
      </c>
      <c r="H298" t="str">
        <f>VLOOKUP(B298,[2]Kreise!$A$2:$C$53,3,FALSE)</f>
        <v>K03404</v>
      </c>
      <c r="I298">
        <f>'2020_5-2-2_Download'!M46</f>
        <v>3722</v>
      </c>
    </row>
    <row r="299" spans="2:9">
      <c r="B299">
        <f>'2020_5-2-2_Download'!B47</f>
        <v>405</v>
      </c>
      <c r="C299">
        <f>'2020_5-2-2_Download'!$K$5</f>
        <v>2019</v>
      </c>
      <c r="D299" t="str">
        <f>VLOOKUP(B299,[1]Tabelle1!$A$1:$B$68,2,FALSE)</f>
        <v>Wilhelmshaven  Stadt</v>
      </c>
      <c r="E299" t="str">
        <f>'2020_5-2-2_Download'!$M$7</f>
        <v>Frauen</v>
      </c>
      <c r="G299" t="s">
        <v>84</v>
      </c>
      <c r="H299" t="str">
        <f>VLOOKUP(B299,[2]Kreise!$A$2:$C$53,3,FALSE)</f>
        <v>K03405</v>
      </c>
      <c r="I299">
        <f>'2020_5-2-2_Download'!M47</f>
        <v>491</v>
      </c>
    </row>
    <row r="300" spans="2:9">
      <c r="B300">
        <f>'2020_5-2-2_Download'!B48</f>
        <v>451</v>
      </c>
      <c r="C300">
        <f>'2020_5-2-2_Download'!$K$5</f>
        <v>2019</v>
      </c>
      <c r="D300" t="str">
        <f>VLOOKUP(B300,[1]Tabelle1!$A$1:$B$68,2,FALSE)</f>
        <v>Ammerland</v>
      </c>
      <c r="E300" t="str">
        <f>'2020_5-2-2_Download'!$M$7</f>
        <v>Frauen</v>
      </c>
      <c r="G300" t="s">
        <v>84</v>
      </c>
      <c r="H300" t="str">
        <f>VLOOKUP(B300,[2]Kreise!$A$2:$C$53,3,FALSE)</f>
        <v>K03451</v>
      </c>
      <c r="I300">
        <f>'2020_5-2-2_Download'!M48</f>
        <v>1172</v>
      </c>
    </row>
    <row r="301" spans="2:9">
      <c r="B301">
        <f>'2020_5-2-2_Download'!B49</f>
        <v>452</v>
      </c>
      <c r="C301">
        <f>'2020_5-2-2_Download'!$K$5</f>
        <v>2019</v>
      </c>
      <c r="D301" t="str">
        <f>VLOOKUP(B301,[1]Tabelle1!$A$1:$B$68,2,FALSE)</f>
        <v>Aurich</v>
      </c>
      <c r="E301" t="str">
        <f>'2020_5-2-2_Download'!$M$7</f>
        <v>Frauen</v>
      </c>
      <c r="G301" t="s">
        <v>84</v>
      </c>
      <c r="H301" t="str">
        <f>VLOOKUP(B301,[2]Kreise!$A$2:$C$53,3,FALSE)</f>
        <v>K03452</v>
      </c>
      <c r="I301">
        <f>'2020_5-2-2_Download'!M49</f>
        <v>1572</v>
      </c>
    </row>
    <row r="302" spans="2:9">
      <c r="B302">
        <f>'2020_5-2-2_Download'!B50</f>
        <v>453</v>
      </c>
      <c r="C302">
        <f>'2020_5-2-2_Download'!$K$5</f>
        <v>2019</v>
      </c>
      <c r="D302" t="str">
        <f>VLOOKUP(B302,[1]Tabelle1!$A$1:$B$68,2,FALSE)</f>
        <v>Cloppenburg</v>
      </c>
      <c r="E302" t="str">
        <f>'2020_5-2-2_Download'!$M$7</f>
        <v>Frauen</v>
      </c>
      <c r="G302" t="s">
        <v>84</v>
      </c>
      <c r="H302" t="str">
        <f>VLOOKUP(B302,[2]Kreise!$A$2:$C$53,3,FALSE)</f>
        <v>K03453</v>
      </c>
      <c r="I302">
        <f>'2020_5-2-2_Download'!M50</f>
        <v>3058</v>
      </c>
    </row>
    <row r="303" spans="2:9">
      <c r="B303">
        <f>'2020_5-2-2_Download'!B51</f>
        <v>454</v>
      </c>
      <c r="C303">
        <f>'2020_5-2-2_Download'!$K$5</f>
        <v>2019</v>
      </c>
      <c r="D303" t="str">
        <f>VLOOKUP(B303,[1]Tabelle1!$A$1:$B$68,2,FALSE)</f>
        <v>Emsland</v>
      </c>
      <c r="E303" t="str">
        <f>'2020_5-2-2_Download'!$M$7</f>
        <v>Frauen</v>
      </c>
      <c r="G303" t="s">
        <v>84</v>
      </c>
      <c r="H303" t="str">
        <f>VLOOKUP(B303,[2]Kreise!$A$2:$C$53,3,FALSE)</f>
        <v>K03454</v>
      </c>
      <c r="I303">
        <f>'2020_5-2-2_Download'!M51</f>
        <v>3668</v>
      </c>
    </row>
    <row r="304" spans="2:9">
      <c r="B304">
        <f>'2020_5-2-2_Download'!B52</f>
        <v>455</v>
      </c>
      <c r="C304">
        <f>'2020_5-2-2_Download'!$K$5</f>
        <v>2019</v>
      </c>
      <c r="D304" t="str">
        <f>VLOOKUP(B304,[1]Tabelle1!$A$1:$B$68,2,FALSE)</f>
        <v>Friesland</v>
      </c>
      <c r="E304" t="str">
        <f>'2020_5-2-2_Download'!$M$7</f>
        <v>Frauen</v>
      </c>
      <c r="G304" t="s">
        <v>84</v>
      </c>
      <c r="H304" t="str">
        <f>VLOOKUP(B304,[2]Kreise!$A$2:$C$53,3,FALSE)</f>
        <v>K03455</v>
      </c>
      <c r="I304">
        <f>'2020_5-2-2_Download'!M52</f>
        <v>502</v>
      </c>
    </row>
    <row r="305" spans="2:9">
      <c r="B305">
        <f>'2020_5-2-2_Download'!B53</f>
        <v>456</v>
      </c>
      <c r="C305">
        <f>'2020_5-2-2_Download'!$K$5</f>
        <v>2019</v>
      </c>
      <c r="D305" t="str">
        <f>VLOOKUP(B305,[1]Tabelle1!$A$1:$B$68,2,FALSE)</f>
        <v>Grafschaft Bentheim</v>
      </c>
      <c r="E305" t="str">
        <f>'2020_5-2-2_Download'!$M$7</f>
        <v>Frauen</v>
      </c>
      <c r="G305" t="s">
        <v>84</v>
      </c>
      <c r="H305" t="str">
        <f>VLOOKUP(B305,[2]Kreise!$A$2:$C$53,3,FALSE)</f>
        <v>K03456</v>
      </c>
      <c r="I305">
        <f>'2020_5-2-2_Download'!M53</f>
        <v>1783</v>
      </c>
    </row>
    <row r="306" spans="2:9">
      <c r="B306">
        <f>'2020_5-2-2_Download'!B54</f>
        <v>457</v>
      </c>
      <c r="C306">
        <f>'2020_5-2-2_Download'!$K$5</f>
        <v>2019</v>
      </c>
      <c r="D306" t="str">
        <f>VLOOKUP(B306,[1]Tabelle1!$A$1:$B$68,2,FALSE)</f>
        <v>Leer</v>
      </c>
      <c r="E306" t="str">
        <f>'2020_5-2-2_Download'!$M$7</f>
        <v>Frauen</v>
      </c>
      <c r="G306" t="s">
        <v>84</v>
      </c>
      <c r="H306" t="str">
        <f>VLOOKUP(B306,[2]Kreise!$A$2:$C$53,3,FALSE)</f>
        <v>K03457</v>
      </c>
      <c r="I306">
        <f>'2020_5-2-2_Download'!M54</f>
        <v>1054</v>
      </c>
    </row>
    <row r="307" spans="2:9">
      <c r="B307">
        <f>'2020_5-2-2_Download'!B55</f>
        <v>458</v>
      </c>
      <c r="C307">
        <f>'2020_5-2-2_Download'!$K$5</f>
        <v>2019</v>
      </c>
      <c r="D307" t="str">
        <f>VLOOKUP(B307,[1]Tabelle1!$A$1:$B$68,2,FALSE)</f>
        <v>Oldenburg</v>
      </c>
      <c r="E307" t="str">
        <f>'2020_5-2-2_Download'!$M$7</f>
        <v>Frauen</v>
      </c>
      <c r="G307" t="s">
        <v>84</v>
      </c>
      <c r="H307" t="str">
        <f>VLOOKUP(B307,[2]Kreise!$A$2:$C$53,3,FALSE)</f>
        <v>K03458</v>
      </c>
      <c r="I307">
        <f>'2020_5-2-2_Download'!M55</f>
        <v>1064</v>
      </c>
    </row>
    <row r="308" spans="2:9">
      <c r="B308">
        <f>'2020_5-2-2_Download'!B56</f>
        <v>459</v>
      </c>
      <c r="C308">
        <f>'2020_5-2-2_Download'!$K$5</f>
        <v>2019</v>
      </c>
      <c r="D308" t="str">
        <f>VLOOKUP(B308,[1]Tabelle1!$A$1:$B$68,2,FALSE)</f>
        <v>Osnabrück</v>
      </c>
      <c r="E308" t="str">
        <f>'2020_5-2-2_Download'!$M$7</f>
        <v>Frauen</v>
      </c>
      <c r="G308" t="s">
        <v>84</v>
      </c>
      <c r="H308" t="str">
        <f>VLOOKUP(B308,[2]Kreise!$A$2:$C$53,3,FALSE)</f>
        <v>K03459</v>
      </c>
      <c r="I308">
        <f>'2020_5-2-2_Download'!M56</f>
        <v>5829</v>
      </c>
    </row>
    <row r="309" spans="2:9">
      <c r="B309">
        <f>'2020_5-2-2_Download'!B57</f>
        <v>460</v>
      </c>
      <c r="C309">
        <f>'2020_5-2-2_Download'!$K$5</f>
        <v>2019</v>
      </c>
      <c r="D309" t="str">
        <f>VLOOKUP(B309,[1]Tabelle1!$A$1:$B$68,2,FALSE)</f>
        <v>Vechta</v>
      </c>
      <c r="E309" t="str">
        <f>'2020_5-2-2_Download'!$M$7</f>
        <v>Frauen</v>
      </c>
      <c r="G309" t="s">
        <v>84</v>
      </c>
      <c r="H309" t="str">
        <f>VLOOKUP(B309,[2]Kreise!$A$2:$C$53,3,FALSE)</f>
        <v>K03460</v>
      </c>
      <c r="I309">
        <f>'2020_5-2-2_Download'!M57</f>
        <v>3471</v>
      </c>
    </row>
    <row r="310" spans="2:9">
      <c r="B310">
        <f>'2020_5-2-2_Download'!B58</f>
        <v>461</v>
      </c>
      <c r="C310">
        <f>'2020_5-2-2_Download'!$K$5</f>
        <v>2019</v>
      </c>
      <c r="D310" t="str">
        <f>VLOOKUP(B310,[1]Tabelle1!$A$1:$B$68,2,FALSE)</f>
        <v>Wesermarsch</v>
      </c>
      <c r="E310" t="str">
        <f>'2020_5-2-2_Download'!$M$7</f>
        <v>Frauen</v>
      </c>
      <c r="G310" t="s">
        <v>84</v>
      </c>
      <c r="H310" t="str">
        <f>VLOOKUP(B310,[2]Kreise!$A$2:$C$53,3,FALSE)</f>
        <v>K03461</v>
      </c>
      <c r="I310">
        <f>'2020_5-2-2_Download'!M58</f>
        <v>471</v>
      </c>
    </row>
    <row r="311" spans="2:9">
      <c r="B311">
        <f>'2020_5-2-2_Download'!B59</f>
        <v>462</v>
      </c>
      <c r="C311">
        <f>'2020_5-2-2_Download'!$K$5</f>
        <v>2019</v>
      </c>
      <c r="D311" t="str">
        <f>VLOOKUP(B311,[1]Tabelle1!$A$1:$B$68,2,FALSE)</f>
        <v>Wittmund</v>
      </c>
      <c r="E311" t="str">
        <f>'2020_5-2-2_Download'!$M$7</f>
        <v>Frauen</v>
      </c>
      <c r="G311" t="s">
        <v>84</v>
      </c>
      <c r="H311" t="str">
        <f>VLOOKUP(B311,[2]Kreise!$A$2:$C$53,3,FALSE)</f>
        <v>K03462</v>
      </c>
      <c r="I311">
        <f>'2020_5-2-2_Download'!M59</f>
        <v>411</v>
      </c>
    </row>
    <row r="312" spans="2:9">
      <c r="B312">
        <f>'2020_5-2-2_Download'!B60</f>
        <v>4</v>
      </c>
      <c r="C312">
        <f>'2020_5-2-2_Download'!$K$5</f>
        <v>2019</v>
      </c>
      <c r="D312" t="str">
        <f>VLOOKUP(B312,[1]Tabelle1!$A$1:$B$68,2,FALSE)</f>
        <v>Stat. Region Weser-Ems</v>
      </c>
      <c r="E312" t="str">
        <f>'2020_5-2-2_Download'!$M$7</f>
        <v>Frauen</v>
      </c>
      <c r="G312" t="s">
        <v>84</v>
      </c>
      <c r="H312" t="str">
        <f>VLOOKUP(B312,[2]Kreise!$A$2:$C$53,3,FALSE)</f>
        <v>K034</v>
      </c>
      <c r="I312">
        <f>'2020_5-2-2_Download'!M60</f>
        <v>31495</v>
      </c>
    </row>
    <row r="313" spans="2:9">
      <c r="B313">
        <f>'2020_5-2-2_Download'!B61</f>
        <v>0</v>
      </c>
      <c r="C313">
        <f>'2020_5-2-2_Download'!$K$5</f>
        <v>2019</v>
      </c>
      <c r="D313" t="str">
        <f>VLOOKUP(B313,[1]Tabelle1!$A$1:$B$68,2,FALSE)</f>
        <v>Niedersachsen</v>
      </c>
      <c r="E313" t="str">
        <f>'2020_5-2-2_Download'!$M$7</f>
        <v>Frauen</v>
      </c>
      <c r="G313" t="s">
        <v>84</v>
      </c>
      <c r="H313" t="str">
        <f>VLOOKUP(B313,[2]Kreise!$A$2:$C$53,3,FALSE)</f>
        <v>K030</v>
      </c>
      <c r="I313">
        <f>'2020_5-2-2_Download'!M61</f>
        <v>93737</v>
      </c>
    </row>
    <row r="314" spans="2:9">
      <c r="B314">
        <f>'2020_5-2-2_Download'!B10</f>
        <v>101</v>
      </c>
      <c r="C314">
        <f>'2020_5-2-2_Download'!$R$5</f>
        <v>2018</v>
      </c>
      <c r="D314" t="str">
        <f>VLOOKUP(B314,[1]Tabelle1!$A$1:$B$68,2,FALSE)</f>
        <v>Braunschweig  Stadt</v>
      </c>
      <c r="E314" t="str">
        <f>'2020_5-2-2_Download'!$R$7</f>
        <v>Insgesamt</v>
      </c>
      <c r="G314" t="s">
        <v>84</v>
      </c>
      <c r="H314" t="str">
        <f>VLOOKUP(B314,[2]Kreise!$A$2:$C$53,3,FALSE)</f>
        <v>K03101</v>
      </c>
      <c r="I314">
        <f>'2020_5-2-2_Download'!R10</f>
        <v>10097</v>
      </c>
    </row>
    <row r="315" spans="2:9">
      <c r="B315">
        <f>'2020_5-2-2_Download'!B11</f>
        <v>102</v>
      </c>
      <c r="C315">
        <f>'2020_5-2-2_Download'!$R$5</f>
        <v>2018</v>
      </c>
      <c r="D315" t="str">
        <f>VLOOKUP(B315,[1]Tabelle1!$A$1:$B$68,2,FALSE)</f>
        <v>Salzgitter  Stadt</v>
      </c>
      <c r="E315" t="str">
        <f>'2020_5-2-2_Download'!$R$7</f>
        <v>Insgesamt</v>
      </c>
      <c r="G315" t="s">
        <v>84</v>
      </c>
      <c r="H315" t="str">
        <f>VLOOKUP(B315,[2]Kreise!$A$2:$C$53,3,FALSE)</f>
        <v>K03102</v>
      </c>
      <c r="I315">
        <f>'2020_5-2-2_Download'!R11</f>
        <v>4348</v>
      </c>
    </row>
    <row r="316" spans="2:9">
      <c r="B316">
        <f>'2020_5-2-2_Download'!B12</f>
        <v>103</v>
      </c>
      <c r="C316">
        <f>'2020_5-2-2_Download'!$R$5</f>
        <v>2018</v>
      </c>
      <c r="D316" t="str">
        <f>VLOOKUP(B316,[1]Tabelle1!$A$1:$B$68,2,FALSE)</f>
        <v>Wolfsburg  Stadt</v>
      </c>
      <c r="E316" t="str">
        <f>'2020_5-2-2_Download'!$R$7</f>
        <v>Insgesamt</v>
      </c>
      <c r="G316" t="s">
        <v>84</v>
      </c>
      <c r="H316" t="str">
        <f>VLOOKUP(B316,[2]Kreise!$A$2:$C$53,3,FALSE)</f>
        <v>K03103</v>
      </c>
      <c r="I316">
        <f>'2020_5-2-2_Download'!R12</f>
        <v>9961</v>
      </c>
    </row>
    <row r="317" spans="2:9">
      <c r="B317">
        <f>'2020_5-2-2_Download'!B13</f>
        <v>151</v>
      </c>
      <c r="C317">
        <f>'2020_5-2-2_Download'!$R$5</f>
        <v>2018</v>
      </c>
      <c r="D317" t="str">
        <f>VLOOKUP(B317,[1]Tabelle1!$A$1:$B$68,2,FALSE)</f>
        <v>Gifhorn</v>
      </c>
      <c r="E317" t="str">
        <f>'2020_5-2-2_Download'!$R$7</f>
        <v>Insgesamt</v>
      </c>
      <c r="G317" t="s">
        <v>84</v>
      </c>
      <c r="H317" t="str">
        <f>VLOOKUP(B317,[2]Kreise!$A$2:$C$53,3,FALSE)</f>
        <v>K03151</v>
      </c>
      <c r="I317">
        <f>'2020_5-2-2_Download'!R13</f>
        <v>2689</v>
      </c>
    </row>
    <row r="318" spans="2:9">
      <c r="B318">
        <f>'2020_5-2-2_Download'!B14</f>
        <v>153</v>
      </c>
      <c r="C318">
        <f>'2020_5-2-2_Download'!$R$5</f>
        <v>2018</v>
      </c>
      <c r="D318" t="str">
        <f>VLOOKUP(B318,[1]Tabelle1!$A$1:$B$68,2,FALSE)</f>
        <v>Goslar</v>
      </c>
      <c r="E318" t="str">
        <f>'2020_5-2-2_Download'!$R$7</f>
        <v>Insgesamt</v>
      </c>
      <c r="G318" t="s">
        <v>84</v>
      </c>
      <c r="H318" t="str">
        <f>VLOOKUP(B318,[2]Kreise!$A$2:$C$53,3,FALSE)</f>
        <v>K03153</v>
      </c>
      <c r="I318">
        <f>'2020_5-2-2_Download'!R14</f>
        <v>2762</v>
      </c>
    </row>
    <row r="319" spans="2:9">
      <c r="B319">
        <f>'2020_5-2-2_Download'!B15</f>
        <v>154</v>
      </c>
      <c r="C319">
        <f>'2020_5-2-2_Download'!$R$5</f>
        <v>2018</v>
      </c>
      <c r="D319" t="str">
        <f>VLOOKUP(B319,[1]Tabelle1!$A$1:$B$68,2,FALSE)</f>
        <v>Helmstedt</v>
      </c>
      <c r="E319" t="str">
        <f>'2020_5-2-2_Download'!$R$7</f>
        <v>Insgesamt</v>
      </c>
      <c r="G319" t="s">
        <v>84</v>
      </c>
      <c r="H319" t="str">
        <f>VLOOKUP(B319,[2]Kreise!$A$2:$C$53,3,FALSE)</f>
        <v>K03154</v>
      </c>
      <c r="I319">
        <f>'2020_5-2-2_Download'!R15</f>
        <v>1431</v>
      </c>
    </row>
    <row r="320" spans="2:9">
      <c r="B320">
        <f>'2020_5-2-2_Download'!B16</f>
        <v>155</v>
      </c>
      <c r="C320">
        <f>'2020_5-2-2_Download'!$R$5</f>
        <v>2018</v>
      </c>
      <c r="D320" t="str">
        <f>VLOOKUP(B320,[1]Tabelle1!$A$1:$B$68,2,FALSE)</f>
        <v>Northeim</v>
      </c>
      <c r="E320" t="str">
        <f>'2020_5-2-2_Download'!$R$7</f>
        <v>Insgesamt</v>
      </c>
      <c r="G320" t="s">
        <v>84</v>
      </c>
      <c r="H320" t="str">
        <f>VLOOKUP(B320,[2]Kreise!$A$2:$C$53,3,FALSE)</f>
        <v>K03155</v>
      </c>
      <c r="I320">
        <f>'2020_5-2-2_Download'!R16</f>
        <v>3117</v>
      </c>
    </row>
    <row r="321" spans="2:9">
      <c r="B321">
        <f>'2020_5-2-2_Download'!B17</f>
        <v>157</v>
      </c>
      <c r="C321">
        <f>'2020_5-2-2_Download'!$R$5</f>
        <v>2018</v>
      </c>
      <c r="D321" t="str">
        <f>VLOOKUP(B321,[1]Tabelle1!$A$1:$B$68,2,FALSE)</f>
        <v>Peine</v>
      </c>
      <c r="E321" t="str">
        <f>'2020_5-2-2_Download'!$R$7</f>
        <v>Insgesamt</v>
      </c>
      <c r="G321" t="s">
        <v>84</v>
      </c>
      <c r="H321" t="str">
        <f>VLOOKUP(B321,[2]Kreise!$A$2:$C$53,3,FALSE)</f>
        <v>K03157</v>
      </c>
      <c r="I321">
        <f>'2020_5-2-2_Download'!R17</f>
        <v>2590</v>
      </c>
    </row>
    <row r="322" spans="2:9">
      <c r="B322">
        <f>'2020_5-2-2_Download'!B18</f>
        <v>158</v>
      </c>
      <c r="C322">
        <f>'2020_5-2-2_Download'!$R$5</f>
        <v>2018</v>
      </c>
      <c r="D322" t="str">
        <f>VLOOKUP(B322,[1]Tabelle1!$A$1:$B$68,2,FALSE)</f>
        <v>Wolfenbüttel</v>
      </c>
      <c r="E322" t="str">
        <f>'2020_5-2-2_Download'!$R$7</f>
        <v>Insgesamt</v>
      </c>
      <c r="G322" t="s">
        <v>84</v>
      </c>
      <c r="H322" t="str">
        <f>VLOOKUP(B322,[2]Kreise!$A$2:$C$53,3,FALSE)</f>
        <v>K03158</v>
      </c>
      <c r="I322">
        <f>'2020_5-2-2_Download'!R18</f>
        <v>1412</v>
      </c>
    </row>
    <row r="323" spans="2:9">
      <c r="B323">
        <f>'2020_5-2-2_Download'!B19</f>
        <v>159</v>
      </c>
      <c r="C323">
        <f>'2020_5-2-2_Download'!$R$5</f>
        <v>2018</v>
      </c>
      <c r="D323" t="str">
        <f>VLOOKUP(B323,[1]Tabelle1!$A$1:$B$68,2,FALSE)</f>
        <v>Göttingen</v>
      </c>
      <c r="E323" t="str">
        <f>'2020_5-2-2_Download'!$R$7</f>
        <v>Insgesamt</v>
      </c>
      <c r="G323" t="s">
        <v>84</v>
      </c>
      <c r="H323" t="str">
        <f>VLOOKUP(B323,[2]Kreise!$A$2:$C$53,3,FALSE)</f>
        <v>K03159</v>
      </c>
      <c r="I323">
        <f>'2020_5-2-2_Download'!R19</f>
        <v>8659</v>
      </c>
    </row>
    <row r="324" spans="2:9">
      <c r="B324">
        <f>'2020_5-2-2_Download'!B20</f>
        <v>1</v>
      </c>
      <c r="C324">
        <f>'2020_5-2-2_Download'!$R$5</f>
        <v>2018</v>
      </c>
      <c r="D324" t="str">
        <f>VLOOKUP(B324,[1]Tabelle1!$A$1:$B$68,2,FALSE)</f>
        <v>Stat. Region Braunschweig</v>
      </c>
      <c r="E324" t="str">
        <f>'2020_5-2-2_Download'!$R$7</f>
        <v>Insgesamt</v>
      </c>
      <c r="G324" t="s">
        <v>84</v>
      </c>
      <c r="H324" t="str">
        <f>VLOOKUP(B324,[2]Kreise!$A$2:$C$53,3,FALSE)</f>
        <v>K031</v>
      </c>
      <c r="I324">
        <f>'2020_5-2-2_Download'!R20</f>
        <v>47066</v>
      </c>
    </row>
    <row r="325" spans="2:9">
      <c r="B325">
        <f>'2020_5-2-2_Download'!B21</f>
        <v>241</v>
      </c>
      <c r="C325">
        <f>'2020_5-2-2_Download'!$R$5</f>
        <v>2018</v>
      </c>
      <c r="D325" t="str">
        <f>VLOOKUP(B325,[1]Tabelle1!$A$1:$B$68,2,FALSE)</f>
        <v>Hannover  Region</v>
      </c>
      <c r="E325" t="str">
        <f>'2020_5-2-2_Download'!$R$7</f>
        <v>Insgesamt</v>
      </c>
      <c r="G325" t="s">
        <v>84</v>
      </c>
      <c r="H325" t="str">
        <f>VLOOKUP(B325,[2]Kreise!$A$2:$C$53,3,FALSE)</f>
        <v>K03241</v>
      </c>
      <c r="I325">
        <f>'2020_5-2-2_Download'!R21</f>
        <v>56204</v>
      </c>
    </row>
    <row r="326" spans="2:9">
      <c r="B326">
        <f>'2020_5-2-2_Download'!B22</f>
        <v>241001</v>
      </c>
      <c r="C326">
        <f>'2020_5-2-2_Download'!$R$5</f>
        <v>2018</v>
      </c>
      <c r="D326" t="str">
        <f>VLOOKUP(B326,[1]Tabelle1!$A$1:$B$68,2,FALSE)</f>
        <v>dav. Hannover  Lhst.</v>
      </c>
      <c r="E326" t="str">
        <f>'2020_5-2-2_Download'!$R$7</f>
        <v>Insgesamt</v>
      </c>
      <c r="G326" t="s">
        <v>84</v>
      </c>
      <c r="H326" t="str">
        <f>VLOOKUP(B326,[2]Kreise!$A$2:$C$53,3,FALSE)</f>
        <v>K03241001</v>
      </c>
      <c r="I326">
        <f>'2020_5-2-2_Download'!R22</f>
        <v>35942</v>
      </c>
    </row>
    <row r="327" spans="2:9">
      <c r="B327">
        <f>'2020_5-2-2_Download'!B23</f>
        <v>241999</v>
      </c>
      <c r="C327">
        <f>'2020_5-2-2_Download'!$R$5</f>
        <v>2018</v>
      </c>
      <c r="D327" t="str">
        <f>VLOOKUP(B327,[1]Tabelle1!$A$1:$B$68,2,FALSE)</f>
        <v>dav. Hannover  Umland</v>
      </c>
      <c r="E327" t="str">
        <f>'2020_5-2-2_Download'!$R$7</f>
        <v>Insgesamt</v>
      </c>
      <c r="G327" t="s">
        <v>84</v>
      </c>
      <c r="H327" t="str">
        <f>VLOOKUP(B327,[2]Kreise!$A$2:$C$53,3,FALSE)</f>
        <v>K03241999</v>
      </c>
      <c r="I327">
        <f>'2020_5-2-2_Download'!R23</f>
        <v>20262</v>
      </c>
    </row>
    <row r="328" spans="2:9">
      <c r="B328">
        <f>'2020_5-2-2_Download'!B24</f>
        <v>251</v>
      </c>
      <c r="C328">
        <f>'2020_5-2-2_Download'!$R$5</f>
        <v>2018</v>
      </c>
      <c r="D328" t="str">
        <f>VLOOKUP(B328,[1]Tabelle1!$A$1:$B$68,2,FALSE)</f>
        <v>Diepholz</v>
      </c>
      <c r="E328" t="str">
        <f>'2020_5-2-2_Download'!$R$7</f>
        <v>Insgesamt</v>
      </c>
      <c r="G328" t="s">
        <v>84</v>
      </c>
      <c r="H328" t="str">
        <f>VLOOKUP(B328,[2]Kreise!$A$2:$C$53,3,FALSE)</f>
        <v>K03251</v>
      </c>
      <c r="I328">
        <f>'2020_5-2-2_Download'!R24</f>
        <v>5644</v>
      </c>
    </row>
    <row r="329" spans="2:9">
      <c r="B329">
        <f>'2020_5-2-2_Download'!B25</f>
        <v>252</v>
      </c>
      <c r="C329">
        <f>'2020_5-2-2_Download'!$R$5</f>
        <v>2018</v>
      </c>
      <c r="D329" t="str">
        <f>VLOOKUP(B329,[1]Tabelle1!$A$1:$B$68,2,FALSE)</f>
        <v>Hameln-Pyrmont</v>
      </c>
      <c r="E329" t="str">
        <f>'2020_5-2-2_Download'!$R$7</f>
        <v>Insgesamt</v>
      </c>
      <c r="G329" t="s">
        <v>84</v>
      </c>
      <c r="H329" t="str">
        <f>VLOOKUP(B329,[2]Kreise!$A$2:$C$53,3,FALSE)</f>
        <v>K03252</v>
      </c>
      <c r="I329">
        <f>'2020_5-2-2_Download'!R25</f>
        <v>3678</v>
      </c>
    </row>
    <row r="330" spans="2:9">
      <c r="B330">
        <f>'2020_5-2-2_Download'!B26</f>
        <v>254</v>
      </c>
      <c r="C330">
        <f>'2020_5-2-2_Download'!$R$5</f>
        <v>2018</v>
      </c>
      <c r="D330" t="str">
        <f>VLOOKUP(B330,[1]Tabelle1!$A$1:$B$68,2,FALSE)</f>
        <v>Hildesheim</v>
      </c>
      <c r="E330" t="str">
        <f>'2020_5-2-2_Download'!$R$7</f>
        <v>Insgesamt</v>
      </c>
      <c r="G330" t="s">
        <v>84</v>
      </c>
      <c r="H330" t="str">
        <f>VLOOKUP(B330,[2]Kreise!$A$2:$C$53,3,FALSE)</f>
        <v>K03254</v>
      </c>
      <c r="I330">
        <f>'2020_5-2-2_Download'!R26</f>
        <v>5755</v>
      </c>
    </row>
    <row r="331" spans="2:9">
      <c r="B331">
        <f>'2020_5-2-2_Download'!B27</f>
        <v>255</v>
      </c>
      <c r="C331">
        <f>'2020_5-2-2_Download'!$R$5</f>
        <v>2018</v>
      </c>
      <c r="D331" t="str">
        <f>VLOOKUP(B331,[1]Tabelle1!$A$1:$B$68,2,FALSE)</f>
        <v>Holzminden</v>
      </c>
      <c r="E331" t="str">
        <f>'2020_5-2-2_Download'!$R$7</f>
        <v>Insgesamt</v>
      </c>
      <c r="G331" t="s">
        <v>84</v>
      </c>
      <c r="H331" t="str">
        <f>VLOOKUP(B331,[2]Kreise!$A$2:$C$53,3,FALSE)</f>
        <v>K03255</v>
      </c>
      <c r="I331">
        <f>'2020_5-2-2_Download'!R27</f>
        <v>1260</v>
      </c>
    </row>
    <row r="332" spans="2:9">
      <c r="B332">
        <f>'2020_5-2-2_Download'!B28</f>
        <v>256</v>
      </c>
      <c r="C332">
        <f>'2020_5-2-2_Download'!$R$5</f>
        <v>2018</v>
      </c>
      <c r="D332" t="str">
        <f>VLOOKUP(B332,[1]Tabelle1!$A$1:$B$68,2,FALSE)</f>
        <v>Nienburg (Weser)</v>
      </c>
      <c r="E332" t="str">
        <f>'2020_5-2-2_Download'!$R$7</f>
        <v>Insgesamt</v>
      </c>
      <c r="G332" t="s">
        <v>84</v>
      </c>
      <c r="H332" t="str">
        <f>VLOOKUP(B332,[2]Kreise!$A$2:$C$53,3,FALSE)</f>
        <v>K03256</v>
      </c>
      <c r="I332">
        <f>'2020_5-2-2_Download'!R28</f>
        <v>3442</v>
      </c>
    </row>
    <row r="333" spans="2:9">
      <c r="B333">
        <f>'2020_5-2-2_Download'!B29</f>
        <v>257</v>
      </c>
      <c r="C333">
        <f>'2020_5-2-2_Download'!$R$5</f>
        <v>2018</v>
      </c>
      <c r="D333" t="str">
        <f>VLOOKUP(B333,[1]Tabelle1!$A$1:$B$68,2,FALSE)</f>
        <v>Schaumburg</v>
      </c>
      <c r="E333" t="str">
        <f>'2020_5-2-2_Download'!$R$7</f>
        <v>Insgesamt</v>
      </c>
      <c r="G333" t="s">
        <v>84</v>
      </c>
      <c r="H333" t="str">
        <f>VLOOKUP(B333,[2]Kreise!$A$2:$C$53,3,FALSE)</f>
        <v>K03257</v>
      </c>
      <c r="I333">
        <f>'2020_5-2-2_Download'!R29</f>
        <v>3435</v>
      </c>
    </row>
    <row r="334" spans="2:9">
      <c r="B334">
        <f>'2020_5-2-2_Download'!B30</f>
        <v>2</v>
      </c>
      <c r="C334">
        <f>'2020_5-2-2_Download'!$R$5</f>
        <v>2018</v>
      </c>
      <c r="D334" t="str">
        <f>VLOOKUP(B334,[1]Tabelle1!$A$1:$B$68,2,FALSE)</f>
        <v>Stat. Region Hannover</v>
      </c>
      <c r="E334" t="str">
        <f>'2020_5-2-2_Download'!$R$7</f>
        <v>Insgesamt</v>
      </c>
      <c r="G334" t="s">
        <v>84</v>
      </c>
      <c r="H334" t="str">
        <f>VLOOKUP(B334,[2]Kreise!$A$2:$C$53,3,FALSE)</f>
        <v>K032</v>
      </c>
      <c r="I334">
        <f>'2020_5-2-2_Download'!R30</f>
        <v>79418</v>
      </c>
    </row>
    <row r="335" spans="2:9">
      <c r="B335">
        <f>'2020_5-2-2_Download'!B31</f>
        <v>351</v>
      </c>
      <c r="C335">
        <f>'2020_5-2-2_Download'!$R$5</f>
        <v>2018</v>
      </c>
      <c r="D335" t="str">
        <f>VLOOKUP(B335,[1]Tabelle1!$A$1:$B$68,2,FALSE)</f>
        <v>Celle</v>
      </c>
      <c r="E335" t="str">
        <f>'2020_5-2-2_Download'!$R$7</f>
        <v>Insgesamt</v>
      </c>
      <c r="G335" t="s">
        <v>84</v>
      </c>
      <c r="H335" t="str">
        <f>VLOOKUP(B335,[2]Kreise!$A$2:$C$53,3,FALSE)</f>
        <v>K03351</v>
      </c>
      <c r="I335">
        <f>'2020_5-2-2_Download'!R31</f>
        <v>3438</v>
      </c>
    </row>
    <row r="336" spans="2:9">
      <c r="B336">
        <f>'2020_5-2-2_Download'!B32</f>
        <v>352</v>
      </c>
      <c r="C336">
        <f>'2020_5-2-2_Download'!$R$5</f>
        <v>2018</v>
      </c>
      <c r="D336" t="str">
        <f>VLOOKUP(B336,[1]Tabelle1!$A$1:$B$68,2,FALSE)</f>
        <v>Cuxhaven</v>
      </c>
      <c r="E336" t="str">
        <f>'2020_5-2-2_Download'!$R$7</f>
        <v>Insgesamt</v>
      </c>
      <c r="G336" t="s">
        <v>84</v>
      </c>
      <c r="H336" t="str">
        <f>VLOOKUP(B336,[2]Kreise!$A$2:$C$53,3,FALSE)</f>
        <v>K03352</v>
      </c>
      <c r="I336">
        <f>'2020_5-2-2_Download'!R32</f>
        <v>4156</v>
      </c>
    </row>
    <row r="337" spans="2:9">
      <c r="B337">
        <f>'2020_5-2-2_Download'!B33</f>
        <v>353</v>
      </c>
      <c r="C337">
        <f>'2020_5-2-2_Download'!$R$5</f>
        <v>2018</v>
      </c>
      <c r="D337" t="str">
        <f>VLOOKUP(B337,[1]Tabelle1!$A$1:$B$68,2,FALSE)</f>
        <v>Harburg</v>
      </c>
      <c r="E337" t="str">
        <f>'2020_5-2-2_Download'!$R$7</f>
        <v>Insgesamt</v>
      </c>
      <c r="G337" t="s">
        <v>84</v>
      </c>
      <c r="H337" t="str">
        <f>VLOOKUP(B337,[2]Kreise!$A$2:$C$53,3,FALSE)</f>
        <v>K03353</v>
      </c>
      <c r="I337">
        <f>'2020_5-2-2_Download'!R33</f>
        <v>8032</v>
      </c>
    </row>
    <row r="338" spans="2:9">
      <c r="B338">
        <f>'2020_5-2-2_Download'!B34</f>
        <v>354</v>
      </c>
      <c r="C338">
        <f>'2020_5-2-2_Download'!$R$5</f>
        <v>2018</v>
      </c>
      <c r="D338" t="str">
        <f>VLOOKUP(B338,[1]Tabelle1!$A$1:$B$68,2,FALSE)</f>
        <v>Lüchow-Dannenberg</v>
      </c>
      <c r="E338" t="str">
        <f>'2020_5-2-2_Download'!$R$7</f>
        <v>Insgesamt</v>
      </c>
      <c r="G338" t="s">
        <v>84</v>
      </c>
      <c r="H338" t="str">
        <f>VLOOKUP(B338,[2]Kreise!$A$2:$C$53,3,FALSE)</f>
        <v>K03354</v>
      </c>
      <c r="I338">
        <f>'2020_5-2-2_Download'!R34</f>
        <v>677</v>
      </c>
    </row>
    <row r="339" spans="2:9">
      <c r="B339">
        <f>'2020_5-2-2_Download'!B35</f>
        <v>355</v>
      </c>
      <c r="C339">
        <f>'2020_5-2-2_Download'!$R$5</f>
        <v>2018</v>
      </c>
      <c r="D339" t="str">
        <f>VLOOKUP(B339,[1]Tabelle1!$A$1:$B$68,2,FALSE)</f>
        <v>Lüneburg</v>
      </c>
      <c r="E339" t="str">
        <f>'2020_5-2-2_Download'!$R$7</f>
        <v>Insgesamt</v>
      </c>
      <c r="G339" t="s">
        <v>84</v>
      </c>
      <c r="H339" t="str">
        <f>VLOOKUP(B339,[2]Kreise!$A$2:$C$53,3,FALSE)</f>
        <v>K03355</v>
      </c>
      <c r="I339">
        <f>'2020_5-2-2_Download'!R35</f>
        <v>3651</v>
      </c>
    </row>
    <row r="340" spans="2:9">
      <c r="B340">
        <f>'2020_5-2-2_Download'!B36</f>
        <v>356</v>
      </c>
      <c r="C340">
        <f>'2020_5-2-2_Download'!$R$5</f>
        <v>2018</v>
      </c>
      <c r="D340" t="str">
        <f>VLOOKUP(B340,[1]Tabelle1!$A$1:$B$68,2,FALSE)</f>
        <v>Osterholz</v>
      </c>
      <c r="E340" t="str">
        <f>'2020_5-2-2_Download'!$R$7</f>
        <v>Insgesamt</v>
      </c>
      <c r="G340" t="s">
        <v>84</v>
      </c>
      <c r="H340" t="str">
        <f>VLOOKUP(B340,[2]Kreise!$A$2:$C$53,3,FALSE)</f>
        <v>K03356</v>
      </c>
      <c r="I340">
        <f>'2020_5-2-2_Download'!R36</f>
        <v>1703</v>
      </c>
    </row>
    <row r="341" spans="2:9">
      <c r="B341">
        <f>'2020_5-2-2_Download'!B37</f>
        <v>357</v>
      </c>
      <c r="C341">
        <f>'2020_5-2-2_Download'!$R$5</f>
        <v>2018</v>
      </c>
      <c r="D341" t="str">
        <f>VLOOKUP(B341,[1]Tabelle1!$A$1:$B$68,2,FALSE)</f>
        <v>Rotenburg (Wümme)</v>
      </c>
      <c r="E341" t="str">
        <f>'2020_5-2-2_Download'!$R$7</f>
        <v>Insgesamt</v>
      </c>
      <c r="G341" t="s">
        <v>84</v>
      </c>
      <c r="H341" t="str">
        <f>VLOOKUP(B341,[2]Kreise!$A$2:$C$53,3,FALSE)</f>
        <v>K03357</v>
      </c>
      <c r="I341">
        <f>'2020_5-2-2_Download'!R37</f>
        <v>3606</v>
      </c>
    </row>
    <row r="342" spans="2:9">
      <c r="B342">
        <f>'2020_5-2-2_Download'!B38</f>
        <v>358</v>
      </c>
      <c r="C342">
        <f>'2020_5-2-2_Download'!$R$5</f>
        <v>2018</v>
      </c>
      <c r="D342" t="str">
        <f>VLOOKUP(B342,[1]Tabelle1!$A$1:$B$68,2,FALSE)</f>
        <v>Heidekreis</v>
      </c>
      <c r="E342" t="str">
        <f>'2020_5-2-2_Download'!$R$7</f>
        <v>Insgesamt</v>
      </c>
      <c r="G342" t="s">
        <v>84</v>
      </c>
      <c r="H342" t="str">
        <f>VLOOKUP(B342,[2]Kreise!$A$2:$C$53,3,FALSE)</f>
        <v>K03358</v>
      </c>
      <c r="I342">
        <f>'2020_5-2-2_Download'!R38</f>
        <v>3797</v>
      </c>
    </row>
    <row r="343" spans="2:9">
      <c r="B343">
        <f>'2020_5-2-2_Download'!B39</f>
        <v>359</v>
      </c>
      <c r="C343">
        <f>'2020_5-2-2_Download'!$R$5</f>
        <v>2018</v>
      </c>
      <c r="D343" t="str">
        <f>VLOOKUP(B343,[1]Tabelle1!$A$1:$B$68,2,FALSE)</f>
        <v>Stade</v>
      </c>
      <c r="E343" t="str">
        <f>'2020_5-2-2_Download'!$R$7</f>
        <v>Insgesamt</v>
      </c>
      <c r="G343" t="s">
        <v>84</v>
      </c>
      <c r="H343" t="str">
        <f>VLOOKUP(B343,[2]Kreise!$A$2:$C$53,3,FALSE)</f>
        <v>K03359</v>
      </c>
      <c r="I343">
        <f>'2020_5-2-2_Download'!R39</f>
        <v>5030</v>
      </c>
    </row>
    <row r="344" spans="2:9">
      <c r="B344">
        <f>'2020_5-2-2_Download'!B40</f>
        <v>360</v>
      </c>
      <c r="C344">
        <f>'2020_5-2-2_Download'!$R$5</f>
        <v>2018</v>
      </c>
      <c r="D344" t="str">
        <f>VLOOKUP(B344,[1]Tabelle1!$A$1:$B$68,2,FALSE)</f>
        <v>Uelzen</v>
      </c>
      <c r="E344" t="str">
        <f>'2020_5-2-2_Download'!$R$7</f>
        <v>Insgesamt</v>
      </c>
      <c r="G344" t="s">
        <v>84</v>
      </c>
      <c r="H344" t="str">
        <f>VLOOKUP(B344,[2]Kreise!$A$2:$C$53,3,FALSE)</f>
        <v>K03360</v>
      </c>
      <c r="I344">
        <f>'2020_5-2-2_Download'!R40</f>
        <v>1413</v>
      </c>
    </row>
    <row r="345" spans="2:9">
      <c r="B345">
        <f>'2020_5-2-2_Download'!B41</f>
        <v>361</v>
      </c>
      <c r="C345">
        <f>'2020_5-2-2_Download'!$R$5</f>
        <v>2018</v>
      </c>
      <c r="D345" t="str">
        <f>VLOOKUP(B345,[1]Tabelle1!$A$1:$B$68,2,FALSE)</f>
        <v>Verden</v>
      </c>
      <c r="E345" t="str">
        <f>'2020_5-2-2_Download'!$R$7</f>
        <v>Insgesamt</v>
      </c>
      <c r="G345" t="s">
        <v>84</v>
      </c>
      <c r="H345" t="str">
        <f>VLOOKUP(B345,[2]Kreise!$A$2:$C$53,3,FALSE)</f>
        <v>K03361</v>
      </c>
      <c r="I345">
        <f>'2020_5-2-2_Download'!R41</f>
        <v>4393</v>
      </c>
    </row>
    <row r="346" spans="2:9">
      <c r="B346">
        <f>'2020_5-2-2_Download'!B42</f>
        <v>3</v>
      </c>
      <c r="C346">
        <f>'2020_5-2-2_Download'!$R$5</f>
        <v>2018</v>
      </c>
      <c r="D346" t="str">
        <f>VLOOKUP(B346,[1]Tabelle1!$A$1:$B$68,2,FALSE)</f>
        <v>Stat. Region Lüneburg</v>
      </c>
      <c r="E346" t="str">
        <f>'2020_5-2-2_Download'!$R$7</f>
        <v>Insgesamt</v>
      </c>
      <c r="G346" t="s">
        <v>84</v>
      </c>
      <c r="H346" t="str">
        <f>VLOOKUP(B346,[2]Kreise!$A$2:$C$53,3,FALSE)</f>
        <v>K033</v>
      </c>
      <c r="I346">
        <f>'2020_5-2-2_Download'!R42</f>
        <v>39896</v>
      </c>
    </row>
    <row r="347" spans="2:9">
      <c r="B347">
        <f>'2020_5-2-2_Download'!B43</f>
        <v>401</v>
      </c>
      <c r="C347">
        <f>'2020_5-2-2_Download'!$R$5</f>
        <v>2018</v>
      </c>
      <c r="D347" t="str">
        <f>VLOOKUP(B347,[1]Tabelle1!$A$1:$B$68,2,FALSE)</f>
        <v>Delmenhorst  Stadt</v>
      </c>
      <c r="E347" t="str">
        <f>'2020_5-2-2_Download'!$R$7</f>
        <v>Insgesamt</v>
      </c>
      <c r="G347" t="s">
        <v>84</v>
      </c>
      <c r="H347" t="str">
        <f>VLOOKUP(B347,[2]Kreise!$A$2:$C$53,3,FALSE)</f>
        <v>K03401</v>
      </c>
      <c r="I347">
        <f>'2020_5-2-2_Download'!R43</f>
        <v>1707</v>
      </c>
    </row>
    <row r="348" spans="2:9">
      <c r="B348">
        <f>'2020_5-2-2_Download'!B44</f>
        <v>402</v>
      </c>
      <c r="C348">
        <f>'2020_5-2-2_Download'!$R$5</f>
        <v>2018</v>
      </c>
      <c r="D348" t="str">
        <f>VLOOKUP(B348,[1]Tabelle1!$A$1:$B$68,2,FALSE)</f>
        <v>Emden  Stadt</v>
      </c>
      <c r="E348" t="str">
        <f>'2020_5-2-2_Download'!$R$7</f>
        <v>Insgesamt</v>
      </c>
      <c r="G348" t="s">
        <v>84</v>
      </c>
      <c r="H348" t="str">
        <f>VLOOKUP(B348,[2]Kreise!$A$2:$C$53,3,FALSE)</f>
        <v>K03402</v>
      </c>
      <c r="I348">
        <f>'2020_5-2-2_Download'!R44</f>
        <v>1906</v>
      </c>
    </row>
    <row r="349" spans="2:9">
      <c r="B349">
        <f>'2020_5-2-2_Download'!B45</f>
        <v>403</v>
      </c>
      <c r="C349">
        <f>'2020_5-2-2_Download'!$R$5</f>
        <v>2018</v>
      </c>
      <c r="D349" t="str">
        <f>VLOOKUP(B349,[1]Tabelle1!$A$1:$B$68,2,FALSE)</f>
        <v>Oldenburg(Oldb)  Stadt</v>
      </c>
      <c r="E349" t="str">
        <f>'2020_5-2-2_Download'!$R$7</f>
        <v>Insgesamt</v>
      </c>
      <c r="G349" t="s">
        <v>84</v>
      </c>
      <c r="H349" t="str">
        <f>VLOOKUP(B349,[2]Kreise!$A$2:$C$53,3,FALSE)</f>
        <v>K03403</v>
      </c>
      <c r="I349">
        <f>'2020_5-2-2_Download'!R45</f>
        <v>4897</v>
      </c>
    </row>
    <row r="350" spans="2:9">
      <c r="B350">
        <f>'2020_5-2-2_Download'!B46</f>
        <v>404</v>
      </c>
      <c r="C350">
        <f>'2020_5-2-2_Download'!$R$5</f>
        <v>2018</v>
      </c>
      <c r="D350" t="str">
        <f>VLOOKUP(B350,[1]Tabelle1!$A$1:$B$68,2,FALSE)</f>
        <v>Osnabrück  Stadt</v>
      </c>
      <c r="E350" t="str">
        <f>'2020_5-2-2_Download'!$R$7</f>
        <v>Insgesamt</v>
      </c>
      <c r="G350" t="s">
        <v>84</v>
      </c>
      <c r="H350" t="str">
        <f>VLOOKUP(B350,[2]Kreise!$A$2:$C$53,3,FALSE)</f>
        <v>K03404</v>
      </c>
      <c r="I350">
        <f>'2020_5-2-2_Download'!R46</f>
        <v>7549</v>
      </c>
    </row>
    <row r="351" spans="2:9">
      <c r="B351">
        <f>'2020_5-2-2_Download'!B47</f>
        <v>405</v>
      </c>
      <c r="C351">
        <f>'2020_5-2-2_Download'!$R$5</f>
        <v>2018</v>
      </c>
      <c r="D351" t="str">
        <f>VLOOKUP(B351,[1]Tabelle1!$A$1:$B$68,2,FALSE)</f>
        <v>Wilhelmshaven  Stadt</v>
      </c>
      <c r="E351" t="str">
        <f>'2020_5-2-2_Download'!$R$7</f>
        <v>Insgesamt</v>
      </c>
      <c r="G351" t="s">
        <v>84</v>
      </c>
      <c r="H351" t="str">
        <f>VLOOKUP(B351,[2]Kreise!$A$2:$C$53,3,FALSE)</f>
        <v>K03405</v>
      </c>
      <c r="I351">
        <f>'2020_5-2-2_Download'!R47</f>
        <v>1589</v>
      </c>
    </row>
    <row r="352" spans="2:9">
      <c r="B352">
        <f>'2020_5-2-2_Download'!B48</f>
        <v>451</v>
      </c>
      <c r="C352">
        <f>'2020_5-2-2_Download'!$R$5</f>
        <v>2018</v>
      </c>
      <c r="D352" t="str">
        <f>VLOOKUP(B352,[1]Tabelle1!$A$1:$B$68,2,FALSE)</f>
        <v>Ammerland</v>
      </c>
      <c r="E352" t="str">
        <f>'2020_5-2-2_Download'!$R$7</f>
        <v>Insgesamt</v>
      </c>
      <c r="G352" t="s">
        <v>84</v>
      </c>
      <c r="H352" t="str">
        <f>VLOOKUP(B352,[2]Kreise!$A$2:$C$53,3,FALSE)</f>
        <v>K03451</v>
      </c>
      <c r="I352">
        <f>'2020_5-2-2_Download'!R48</f>
        <v>3428</v>
      </c>
    </row>
    <row r="353" spans="2:9">
      <c r="B353">
        <f>'2020_5-2-2_Download'!B49</f>
        <v>452</v>
      </c>
      <c r="C353">
        <f>'2020_5-2-2_Download'!$R$5</f>
        <v>2018</v>
      </c>
      <c r="D353" t="str">
        <f>VLOOKUP(B353,[1]Tabelle1!$A$1:$B$68,2,FALSE)</f>
        <v>Aurich</v>
      </c>
      <c r="E353" t="str">
        <f>'2020_5-2-2_Download'!$R$7</f>
        <v>Insgesamt</v>
      </c>
      <c r="G353" t="s">
        <v>84</v>
      </c>
      <c r="H353" t="str">
        <f>VLOOKUP(B353,[2]Kreise!$A$2:$C$53,3,FALSE)</f>
        <v>K03452</v>
      </c>
      <c r="I353">
        <f>'2020_5-2-2_Download'!R49</f>
        <v>4232</v>
      </c>
    </row>
    <row r="354" spans="2:9">
      <c r="B354">
        <f>'2020_5-2-2_Download'!B50</f>
        <v>453</v>
      </c>
      <c r="C354">
        <f>'2020_5-2-2_Download'!$R$5</f>
        <v>2018</v>
      </c>
      <c r="D354" t="str">
        <f>VLOOKUP(B354,[1]Tabelle1!$A$1:$B$68,2,FALSE)</f>
        <v>Cloppenburg</v>
      </c>
      <c r="E354" t="str">
        <f>'2020_5-2-2_Download'!$R$7</f>
        <v>Insgesamt</v>
      </c>
      <c r="G354" t="s">
        <v>84</v>
      </c>
      <c r="H354" t="str">
        <f>VLOOKUP(B354,[2]Kreise!$A$2:$C$53,3,FALSE)</f>
        <v>K03453</v>
      </c>
      <c r="I354">
        <f>'2020_5-2-2_Download'!R50</f>
        <v>9140</v>
      </c>
    </row>
    <row r="355" spans="2:9">
      <c r="B355">
        <f>'2020_5-2-2_Download'!B51</f>
        <v>454</v>
      </c>
      <c r="C355">
        <f>'2020_5-2-2_Download'!$R$5</f>
        <v>2018</v>
      </c>
      <c r="D355" t="str">
        <f>VLOOKUP(B355,[1]Tabelle1!$A$1:$B$68,2,FALSE)</f>
        <v>Emsland</v>
      </c>
      <c r="E355" t="str">
        <f>'2020_5-2-2_Download'!$R$7</f>
        <v>Insgesamt</v>
      </c>
      <c r="G355" t="s">
        <v>84</v>
      </c>
      <c r="H355" t="str">
        <f>VLOOKUP(B355,[2]Kreise!$A$2:$C$53,3,FALSE)</f>
        <v>K03454</v>
      </c>
      <c r="I355">
        <f>'2020_5-2-2_Download'!R51</f>
        <v>12405</v>
      </c>
    </row>
    <row r="356" spans="2:9">
      <c r="B356">
        <f>'2020_5-2-2_Download'!B52</f>
        <v>455</v>
      </c>
      <c r="C356">
        <f>'2020_5-2-2_Download'!$R$5</f>
        <v>2018</v>
      </c>
      <c r="D356" t="str">
        <f>VLOOKUP(B356,[1]Tabelle1!$A$1:$B$68,2,FALSE)</f>
        <v>Friesland</v>
      </c>
      <c r="E356" t="str">
        <f>'2020_5-2-2_Download'!$R$7</f>
        <v>Insgesamt</v>
      </c>
      <c r="G356" t="s">
        <v>84</v>
      </c>
      <c r="H356" t="str">
        <f>VLOOKUP(B356,[2]Kreise!$A$2:$C$53,3,FALSE)</f>
        <v>K03455</v>
      </c>
      <c r="I356">
        <f>'2020_5-2-2_Download'!R52</f>
        <v>1301</v>
      </c>
    </row>
    <row r="357" spans="2:9">
      <c r="B357">
        <f>'2020_5-2-2_Download'!B53</f>
        <v>456</v>
      </c>
      <c r="C357">
        <f>'2020_5-2-2_Download'!$R$5</f>
        <v>2018</v>
      </c>
      <c r="D357" t="str">
        <f>VLOOKUP(B357,[1]Tabelle1!$A$1:$B$68,2,FALSE)</f>
        <v>Grafschaft Bentheim</v>
      </c>
      <c r="E357" t="str">
        <f>'2020_5-2-2_Download'!$R$7</f>
        <v>Insgesamt</v>
      </c>
      <c r="G357" t="s">
        <v>84</v>
      </c>
      <c r="H357" t="str">
        <f>VLOOKUP(B357,[2]Kreise!$A$2:$C$53,3,FALSE)</f>
        <v>K03456</v>
      </c>
      <c r="I357">
        <f>'2020_5-2-2_Download'!R53</f>
        <v>5166</v>
      </c>
    </row>
    <row r="358" spans="2:9">
      <c r="B358">
        <f>'2020_5-2-2_Download'!B54</f>
        <v>457</v>
      </c>
      <c r="C358">
        <f>'2020_5-2-2_Download'!$R$5</f>
        <v>2018</v>
      </c>
      <c r="D358" t="str">
        <f>VLOOKUP(B358,[1]Tabelle1!$A$1:$B$68,2,FALSE)</f>
        <v>Leer</v>
      </c>
      <c r="E358" t="str">
        <f>'2020_5-2-2_Download'!$R$7</f>
        <v>Insgesamt</v>
      </c>
      <c r="G358" t="s">
        <v>84</v>
      </c>
      <c r="H358" t="str">
        <f>VLOOKUP(B358,[2]Kreise!$A$2:$C$53,3,FALSE)</f>
        <v>K03457</v>
      </c>
      <c r="I358">
        <f>'2020_5-2-2_Download'!R54</f>
        <v>3327</v>
      </c>
    </row>
    <row r="359" spans="2:9">
      <c r="B359">
        <f>'2020_5-2-2_Download'!B55</f>
        <v>458</v>
      </c>
      <c r="C359">
        <f>'2020_5-2-2_Download'!$R$5</f>
        <v>2018</v>
      </c>
      <c r="D359" t="str">
        <f>VLOOKUP(B359,[1]Tabelle1!$A$1:$B$68,2,FALSE)</f>
        <v>Oldenburg</v>
      </c>
      <c r="E359" t="str">
        <f>'2020_5-2-2_Download'!$R$7</f>
        <v>Insgesamt</v>
      </c>
      <c r="G359" t="s">
        <v>84</v>
      </c>
      <c r="H359" t="str">
        <f>VLOOKUP(B359,[2]Kreise!$A$2:$C$53,3,FALSE)</f>
        <v>K03458</v>
      </c>
      <c r="I359">
        <f>'2020_5-2-2_Download'!R55</f>
        <v>3207</v>
      </c>
    </row>
    <row r="360" spans="2:9">
      <c r="B360">
        <f>'2020_5-2-2_Download'!B56</f>
        <v>459</v>
      </c>
      <c r="C360">
        <f>'2020_5-2-2_Download'!$R$5</f>
        <v>2018</v>
      </c>
      <c r="D360" t="str">
        <f>VLOOKUP(B360,[1]Tabelle1!$A$1:$B$68,2,FALSE)</f>
        <v>Osnabrück</v>
      </c>
      <c r="E360" t="str">
        <f>'2020_5-2-2_Download'!$R$7</f>
        <v>Insgesamt</v>
      </c>
      <c r="G360" t="s">
        <v>84</v>
      </c>
      <c r="H360" t="str">
        <f>VLOOKUP(B360,[2]Kreise!$A$2:$C$53,3,FALSE)</f>
        <v>K03459</v>
      </c>
      <c r="I360">
        <f>'2020_5-2-2_Download'!R56</f>
        <v>16160</v>
      </c>
    </row>
    <row r="361" spans="2:9">
      <c r="B361">
        <f>'2020_5-2-2_Download'!B57</f>
        <v>460</v>
      </c>
      <c r="C361">
        <f>'2020_5-2-2_Download'!$R$5</f>
        <v>2018</v>
      </c>
      <c r="D361" t="str">
        <f>VLOOKUP(B361,[1]Tabelle1!$A$1:$B$68,2,FALSE)</f>
        <v>Vechta</v>
      </c>
      <c r="E361" t="str">
        <f>'2020_5-2-2_Download'!$R$7</f>
        <v>Insgesamt</v>
      </c>
      <c r="G361" t="s">
        <v>84</v>
      </c>
      <c r="H361" t="str">
        <f>VLOOKUP(B361,[2]Kreise!$A$2:$C$53,3,FALSE)</f>
        <v>K03460</v>
      </c>
      <c r="I361">
        <f>'2020_5-2-2_Download'!R57</f>
        <v>9815</v>
      </c>
    </row>
    <row r="362" spans="2:9">
      <c r="B362">
        <f>'2020_5-2-2_Download'!B58</f>
        <v>461</v>
      </c>
      <c r="C362">
        <f>'2020_5-2-2_Download'!$R$5</f>
        <v>2018</v>
      </c>
      <c r="D362" t="str">
        <f>VLOOKUP(B362,[1]Tabelle1!$A$1:$B$68,2,FALSE)</f>
        <v>Wesermarsch</v>
      </c>
      <c r="E362" t="str">
        <f>'2020_5-2-2_Download'!$R$7</f>
        <v>Insgesamt</v>
      </c>
      <c r="G362" t="s">
        <v>84</v>
      </c>
      <c r="H362" t="str">
        <f>VLOOKUP(B362,[2]Kreise!$A$2:$C$53,3,FALSE)</f>
        <v>K03461</v>
      </c>
      <c r="I362">
        <f>'2020_5-2-2_Download'!R58</f>
        <v>2455</v>
      </c>
    </row>
    <row r="363" spans="2:9">
      <c r="B363">
        <f>'2020_5-2-2_Download'!B59</f>
        <v>462</v>
      </c>
      <c r="C363">
        <f>'2020_5-2-2_Download'!$R$5</f>
        <v>2018</v>
      </c>
      <c r="D363" t="str">
        <f>VLOOKUP(B363,[1]Tabelle1!$A$1:$B$68,2,FALSE)</f>
        <v>Wittmund</v>
      </c>
      <c r="E363" t="str">
        <f>'2020_5-2-2_Download'!$R$7</f>
        <v>Insgesamt</v>
      </c>
      <c r="G363" t="s">
        <v>84</v>
      </c>
      <c r="H363" t="str">
        <f>VLOOKUP(B363,[2]Kreise!$A$2:$C$53,3,FALSE)</f>
        <v>K03462</v>
      </c>
      <c r="I363">
        <f>'2020_5-2-2_Download'!R59</f>
        <v>855</v>
      </c>
    </row>
    <row r="364" spans="2:9">
      <c r="B364">
        <f>'2020_5-2-2_Download'!B60</f>
        <v>4</v>
      </c>
      <c r="C364">
        <f>'2020_5-2-2_Download'!$R$5</f>
        <v>2018</v>
      </c>
      <c r="D364" t="str">
        <f>VLOOKUP(B364,[1]Tabelle1!$A$1:$B$68,2,FALSE)</f>
        <v>Stat. Region Weser-Ems</v>
      </c>
      <c r="E364" t="str">
        <f>'2020_5-2-2_Download'!$R$7</f>
        <v>Insgesamt</v>
      </c>
      <c r="G364" t="s">
        <v>84</v>
      </c>
      <c r="H364" t="str">
        <f>VLOOKUP(B364,[2]Kreise!$A$2:$C$53,3,FALSE)</f>
        <v>K034</v>
      </c>
      <c r="I364">
        <f>'2020_5-2-2_Download'!R60</f>
        <v>89139</v>
      </c>
    </row>
    <row r="365" spans="2:9">
      <c r="B365">
        <f>'2020_5-2-2_Download'!B61</f>
        <v>0</v>
      </c>
      <c r="C365">
        <f>'2020_5-2-2_Download'!$R$5</f>
        <v>2018</v>
      </c>
      <c r="D365" t="str">
        <f>VLOOKUP(B365,[1]Tabelle1!$A$1:$B$68,2,FALSE)</f>
        <v>Niedersachsen</v>
      </c>
      <c r="E365" t="str">
        <f>'2020_5-2-2_Download'!$R$7</f>
        <v>Insgesamt</v>
      </c>
      <c r="G365" t="s">
        <v>84</v>
      </c>
      <c r="H365" t="str">
        <f>VLOOKUP(B365,[2]Kreise!$A$2:$C$53,3,FALSE)</f>
        <v>K030</v>
      </c>
      <c r="I365">
        <f>'2020_5-2-2_Download'!R61</f>
        <v>255519</v>
      </c>
    </row>
    <row r="366" spans="2:9">
      <c r="B366">
        <f>'2020_5-2-2_Download'!B10</f>
        <v>101</v>
      </c>
      <c r="C366">
        <f>'2020_5-2-2_Download'!$R$5</f>
        <v>2018</v>
      </c>
      <c r="D366" t="str">
        <f>VLOOKUP(B366,[1]Tabelle1!$A$1:$B$68,2,FALSE)</f>
        <v>Braunschweig  Stadt</v>
      </c>
      <c r="E366" t="str">
        <f>'2020_5-2-2_Download'!$S$7</f>
        <v>Männer</v>
      </c>
      <c r="G366" t="s">
        <v>84</v>
      </c>
      <c r="H366" t="str">
        <f>VLOOKUP(B366,[2]Kreise!$A$2:$C$53,3,FALSE)</f>
        <v>K03101</v>
      </c>
      <c r="I366">
        <f>'2020_5-2-2_Download'!S10</f>
        <v>6123</v>
      </c>
    </row>
    <row r="367" spans="2:9">
      <c r="B367">
        <f>'2020_5-2-2_Download'!B11</f>
        <v>102</v>
      </c>
      <c r="C367">
        <f>'2020_5-2-2_Download'!$R$5</f>
        <v>2018</v>
      </c>
      <c r="D367" t="str">
        <f>VLOOKUP(B367,[1]Tabelle1!$A$1:$B$68,2,FALSE)</f>
        <v>Salzgitter  Stadt</v>
      </c>
      <c r="E367" t="str">
        <f>'2020_5-2-2_Download'!$S$7</f>
        <v>Männer</v>
      </c>
      <c r="G367" t="s">
        <v>84</v>
      </c>
      <c r="H367" t="str">
        <f>VLOOKUP(B367,[2]Kreise!$A$2:$C$53,3,FALSE)</f>
        <v>K03102</v>
      </c>
      <c r="I367">
        <f>'2020_5-2-2_Download'!S11</f>
        <v>3378</v>
      </c>
    </row>
    <row r="368" spans="2:9">
      <c r="B368">
        <f>'2020_5-2-2_Download'!B12</f>
        <v>103</v>
      </c>
      <c r="C368">
        <f>'2020_5-2-2_Download'!$R$5</f>
        <v>2018</v>
      </c>
      <c r="D368" t="str">
        <f>VLOOKUP(B368,[1]Tabelle1!$A$1:$B$68,2,FALSE)</f>
        <v>Wolfsburg  Stadt</v>
      </c>
      <c r="E368" t="str">
        <f>'2020_5-2-2_Download'!$S$7</f>
        <v>Männer</v>
      </c>
      <c r="G368" t="s">
        <v>84</v>
      </c>
      <c r="H368" t="str">
        <f>VLOOKUP(B368,[2]Kreise!$A$2:$C$53,3,FALSE)</f>
        <v>K03103</v>
      </c>
      <c r="I368">
        <f>'2020_5-2-2_Download'!S12</f>
        <v>6958</v>
      </c>
    </row>
    <row r="369" spans="2:9">
      <c r="B369">
        <f>'2020_5-2-2_Download'!B13</f>
        <v>151</v>
      </c>
      <c r="C369">
        <f>'2020_5-2-2_Download'!$R$5</f>
        <v>2018</v>
      </c>
      <c r="D369" t="str">
        <f>VLOOKUP(B369,[1]Tabelle1!$A$1:$B$68,2,FALSE)</f>
        <v>Gifhorn</v>
      </c>
      <c r="E369" t="str">
        <f>'2020_5-2-2_Download'!$S$7</f>
        <v>Männer</v>
      </c>
      <c r="G369" t="s">
        <v>84</v>
      </c>
      <c r="H369" t="str">
        <f>VLOOKUP(B369,[2]Kreise!$A$2:$C$53,3,FALSE)</f>
        <v>K03151</v>
      </c>
      <c r="I369">
        <f>'2020_5-2-2_Download'!S13</f>
        <v>1771</v>
      </c>
    </row>
    <row r="370" spans="2:9">
      <c r="B370">
        <f>'2020_5-2-2_Download'!B14</f>
        <v>153</v>
      </c>
      <c r="C370">
        <f>'2020_5-2-2_Download'!$R$5</f>
        <v>2018</v>
      </c>
      <c r="D370" t="str">
        <f>VLOOKUP(B370,[1]Tabelle1!$A$1:$B$68,2,FALSE)</f>
        <v>Goslar</v>
      </c>
      <c r="E370" t="str">
        <f>'2020_5-2-2_Download'!$S$7</f>
        <v>Männer</v>
      </c>
      <c r="G370" t="s">
        <v>84</v>
      </c>
      <c r="H370" t="str">
        <f>VLOOKUP(B370,[2]Kreise!$A$2:$C$53,3,FALSE)</f>
        <v>K03153</v>
      </c>
      <c r="I370">
        <f>'2020_5-2-2_Download'!S14</f>
        <v>1800</v>
      </c>
    </row>
    <row r="371" spans="2:9">
      <c r="B371">
        <f>'2020_5-2-2_Download'!B15</f>
        <v>154</v>
      </c>
      <c r="C371">
        <f>'2020_5-2-2_Download'!$R$5</f>
        <v>2018</v>
      </c>
      <c r="D371" t="str">
        <f>VLOOKUP(B371,[1]Tabelle1!$A$1:$B$68,2,FALSE)</f>
        <v>Helmstedt</v>
      </c>
      <c r="E371" t="str">
        <f>'2020_5-2-2_Download'!$S$7</f>
        <v>Männer</v>
      </c>
      <c r="G371" t="s">
        <v>84</v>
      </c>
      <c r="H371" t="str">
        <f>VLOOKUP(B371,[2]Kreise!$A$2:$C$53,3,FALSE)</f>
        <v>K03154</v>
      </c>
      <c r="I371">
        <f>'2020_5-2-2_Download'!S15</f>
        <v>994</v>
      </c>
    </row>
    <row r="372" spans="2:9">
      <c r="B372">
        <f>'2020_5-2-2_Download'!B16</f>
        <v>155</v>
      </c>
      <c r="C372">
        <f>'2020_5-2-2_Download'!$R$5</f>
        <v>2018</v>
      </c>
      <c r="D372" t="str">
        <f>VLOOKUP(B372,[1]Tabelle1!$A$1:$B$68,2,FALSE)</f>
        <v>Northeim</v>
      </c>
      <c r="E372" t="str">
        <f>'2020_5-2-2_Download'!$S$7</f>
        <v>Männer</v>
      </c>
      <c r="G372" t="s">
        <v>84</v>
      </c>
      <c r="H372" t="str">
        <f>VLOOKUP(B372,[2]Kreise!$A$2:$C$53,3,FALSE)</f>
        <v>K03155</v>
      </c>
      <c r="I372">
        <f>'2020_5-2-2_Download'!S16</f>
        <v>2391</v>
      </c>
    </row>
    <row r="373" spans="2:9">
      <c r="B373">
        <f>'2020_5-2-2_Download'!B17</f>
        <v>157</v>
      </c>
      <c r="C373">
        <f>'2020_5-2-2_Download'!$R$5</f>
        <v>2018</v>
      </c>
      <c r="D373" t="str">
        <f>VLOOKUP(B373,[1]Tabelle1!$A$1:$B$68,2,FALSE)</f>
        <v>Peine</v>
      </c>
      <c r="E373" t="str">
        <f>'2020_5-2-2_Download'!$S$7</f>
        <v>Männer</v>
      </c>
      <c r="G373" t="s">
        <v>84</v>
      </c>
      <c r="H373" t="str">
        <f>VLOOKUP(B373,[2]Kreise!$A$2:$C$53,3,FALSE)</f>
        <v>K03157</v>
      </c>
      <c r="I373">
        <f>'2020_5-2-2_Download'!S17</f>
        <v>1871</v>
      </c>
    </row>
    <row r="374" spans="2:9">
      <c r="B374">
        <f>'2020_5-2-2_Download'!B18</f>
        <v>158</v>
      </c>
      <c r="C374">
        <f>'2020_5-2-2_Download'!$R$5</f>
        <v>2018</v>
      </c>
      <c r="D374" t="str">
        <f>VLOOKUP(B374,[1]Tabelle1!$A$1:$B$68,2,FALSE)</f>
        <v>Wolfenbüttel</v>
      </c>
      <c r="E374" t="str">
        <f>'2020_5-2-2_Download'!$S$7</f>
        <v>Männer</v>
      </c>
      <c r="G374" t="s">
        <v>84</v>
      </c>
      <c r="H374" t="str">
        <f>VLOOKUP(B374,[2]Kreise!$A$2:$C$53,3,FALSE)</f>
        <v>K03158</v>
      </c>
      <c r="I374">
        <f>'2020_5-2-2_Download'!S18</f>
        <v>873</v>
      </c>
    </row>
    <row r="375" spans="2:9">
      <c r="B375">
        <f>'2020_5-2-2_Download'!B19</f>
        <v>159</v>
      </c>
      <c r="C375">
        <f>'2020_5-2-2_Download'!$R$5</f>
        <v>2018</v>
      </c>
      <c r="D375" t="str">
        <f>VLOOKUP(B375,[1]Tabelle1!$A$1:$B$68,2,FALSE)</f>
        <v>Göttingen</v>
      </c>
      <c r="E375" t="str">
        <f>'2020_5-2-2_Download'!$S$7</f>
        <v>Männer</v>
      </c>
      <c r="G375" t="s">
        <v>84</v>
      </c>
      <c r="H375" t="str">
        <f>VLOOKUP(B375,[2]Kreise!$A$2:$C$53,3,FALSE)</f>
        <v>K03159</v>
      </c>
      <c r="I375">
        <f>'2020_5-2-2_Download'!S19</f>
        <v>5270</v>
      </c>
    </row>
    <row r="376" spans="2:9">
      <c r="B376">
        <f>'2020_5-2-2_Download'!B20</f>
        <v>1</v>
      </c>
      <c r="C376">
        <f>'2020_5-2-2_Download'!$R$5</f>
        <v>2018</v>
      </c>
      <c r="D376" t="str">
        <f>VLOOKUP(B376,[1]Tabelle1!$A$1:$B$68,2,FALSE)</f>
        <v>Stat. Region Braunschweig</v>
      </c>
      <c r="E376" t="str">
        <f>'2020_5-2-2_Download'!$S$7</f>
        <v>Männer</v>
      </c>
      <c r="G376" t="s">
        <v>84</v>
      </c>
      <c r="H376" t="str">
        <f>VLOOKUP(B376,[2]Kreise!$A$2:$C$53,3,FALSE)</f>
        <v>K031</v>
      </c>
      <c r="I376">
        <f>'2020_5-2-2_Download'!S20</f>
        <v>31429</v>
      </c>
    </row>
    <row r="377" spans="2:9">
      <c r="B377">
        <f>'2020_5-2-2_Download'!B21</f>
        <v>241</v>
      </c>
      <c r="C377">
        <f>'2020_5-2-2_Download'!$R$5</f>
        <v>2018</v>
      </c>
      <c r="D377" t="str">
        <f>VLOOKUP(B377,[1]Tabelle1!$A$1:$B$68,2,FALSE)</f>
        <v>Hannover  Region</v>
      </c>
      <c r="E377" t="str">
        <f>'2020_5-2-2_Download'!$S$7</f>
        <v>Männer</v>
      </c>
      <c r="G377" t="s">
        <v>84</v>
      </c>
      <c r="H377" t="str">
        <f>VLOOKUP(B377,[2]Kreise!$A$2:$C$53,3,FALSE)</f>
        <v>K03241</v>
      </c>
      <c r="I377">
        <f>'2020_5-2-2_Download'!S21</f>
        <v>35024</v>
      </c>
    </row>
    <row r="378" spans="2:9">
      <c r="B378">
        <f>'2020_5-2-2_Download'!B22</f>
        <v>241001</v>
      </c>
      <c r="C378">
        <f>'2020_5-2-2_Download'!$R$5</f>
        <v>2018</v>
      </c>
      <c r="D378" t="str">
        <f>VLOOKUP(B378,[1]Tabelle1!$A$1:$B$68,2,FALSE)</f>
        <v>dav. Hannover  Lhst.</v>
      </c>
      <c r="E378" t="str">
        <f>'2020_5-2-2_Download'!$S$7</f>
        <v>Männer</v>
      </c>
      <c r="G378" t="s">
        <v>84</v>
      </c>
      <c r="H378" t="str">
        <f>VLOOKUP(B378,[2]Kreise!$A$2:$C$53,3,FALSE)</f>
        <v>K03241001</v>
      </c>
      <c r="I378">
        <f>'2020_5-2-2_Download'!S22</f>
        <v>21620</v>
      </c>
    </row>
    <row r="379" spans="2:9">
      <c r="B379">
        <f>'2020_5-2-2_Download'!B23</f>
        <v>241999</v>
      </c>
      <c r="C379">
        <f>'2020_5-2-2_Download'!$R$5</f>
        <v>2018</v>
      </c>
      <c r="D379" t="str">
        <f>VLOOKUP(B379,[1]Tabelle1!$A$1:$B$68,2,FALSE)</f>
        <v>dav. Hannover  Umland</v>
      </c>
      <c r="E379" t="str">
        <f>'2020_5-2-2_Download'!$S$7</f>
        <v>Männer</v>
      </c>
      <c r="G379" t="s">
        <v>84</v>
      </c>
      <c r="H379" t="str">
        <f>VLOOKUP(B379,[2]Kreise!$A$2:$C$53,3,FALSE)</f>
        <v>K03241999</v>
      </c>
      <c r="I379">
        <f>'2020_5-2-2_Download'!S23</f>
        <v>13404</v>
      </c>
    </row>
    <row r="380" spans="2:9">
      <c r="B380">
        <f>'2020_5-2-2_Download'!B24</f>
        <v>251</v>
      </c>
      <c r="C380">
        <f>'2020_5-2-2_Download'!$R$5</f>
        <v>2018</v>
      </c>
      <c r="D380" t="str">
        <f>VLOOKUP(B380,[1]Tabelle1!$A$1:$B$68,2,FALSE)</f>
        <v>Diepholz</v>
      </c>
      <c r="E380" t="str">
        <f>'2020_5-2-2_Download'!$S$7</f>
        <v>Männer</v>
      </c>
      <c r="G380" t="s">
        <v>84</v>
      </c>
      <c r="H380" t="str">
        <f>VLOOKUP(B380,[2]Kreise!$A$2:$C$53,3,FALSE)</f>
        <v>K03251</v>
      </c>
      <c r="I380">
        <f>'2020_5-2-2_Download'!S24</f>
        <v>3930</v>
      </c>
    </row>
    <row r="381" spans="2:9">
      <c r="B381">
        <f>'2020_5-2-2_Download'!B25</f>
        <v>252</v>
      </c>
      <c r="C381">
        <f>'2020_5-2-2_Download'!$R$5</f>
        <v>2018</v>
      </c>
      <c r="D381" t="str">
        <f>VLOOKUP(B381,[1]Tabelle1!$A$1:$B$68,2,FALSE)</f>
        <v>Hameln-Pyrmont</v>
      </c>
      <c r="E381" t="str">
        <f>'2020_5-2-2_Download'!$S$7</f>
        <v>Männer</v>
      </c>
      <c r="G381" t="s">
        <v>84</v>
      </c>
      <c r="H381" t="str">
        <f>VLOOKUP(B381,[2]Kreise!$A$2:$C$53,3,FALSE)</f>
        <v>K03252</v>
      </c>
      <c r="I381">
        <f>'2020_5-2-2_Download'!S25</f>
        <v>2263</v>
      </c>
    </row>
    <row r="382" spans="2:9">
      <c r="B382">
        <f>'2020_5-2-2_Download'!B26</f>
        <v>254</v>
      </c>
      <c r="C382">
        <f>'2020_5-2-2_Download'!$R$5</f>
        <v>2018</v>
      </c>
      <c r="D382" t="str">
        <f>VLOOKUP(B382,[1]Tabelle1!$A$1:$B$68,2,FALSE)</f>
        <v>Hildesheim</v>
      </c>
      <c r="E382" t="str">
        <f>'2020_5-2-2_Download'!$S$7</f>
        <v>Männer</v>
      </c>
      <c r="G382" t="s">
        <v>84</v>
      </c>
      <c r="H382" t="str">
        <f>VLOOKUP(B382,[2]Kreise!$A$2:$C$53,3,FALSE)</f>
        <v>K03254</v>
      </c>
      <c r="I382">
        <f>'2020_5-2-2_Download'!S26</f>
        <v>3694</v>
      </c>
    </row>
    <row r="383" spans="2:9">
      <c r="B383">
        <f>'2020_5-2-2_Download'!B27</f>
        <v>255</v>
      </c>
      <c r="C383">
        <f>'2020_5-2-2_Download'!$R$5</f>
        <v>2018</v>
      </c>
      <c r="D383" t="str">
        <f>VLOOKUP(B383,[1]Tabelle1!$A$1:$B$68,2,FALSE)</f>
        <v>Holzminden</v>
      </c>
      <c r="E383" t="str">
        <f>'2020_5-2-2_Download'!$S$7</f>
        <v>Männer</v>
      </c>
      <c r="G383" t="s">
        <v>84</v>
      </c>
      <c r="H383" t="str">
        <f>VLOOKUP(B383,[2]Kreise!$A$2:$C$53,3,FALSE)</f>
        <v>K03255</v>
      </c>
      <c r="I383">
        <f>'2020_5-2-2_Download'!S27</f>
        <v>840</v>
      </c>
    </row>
    <row r="384" spans="2:9">
      <c r="B384">
        <f>'2020_5-2-2_Download'!B28</f>
        <v>256</v>
      </c>
      <c r="C384">
        <f>'2020_5-2-2_Download'!$R$5</f>
        <v>2018</v>
      </c>
      <c r="D384" t="str">
        <f>VLOOKUP(B384,[1]Tabelle1!$A$1:$B$68,2,FALSE)</f>
        <v>Nienburg (Weser)</v>
      </c>
      <c r="E384" t="str">
        <f>'2020_5-2-2_Download'!$S$7</f>
        <v>Männer</v>
      </c>
      <c r="G384" t="s">
        <v>84</v>
      </c>
      <c r="H384" t="str">
        <f>VLOOKUP(B384,[2]Kreise!$A$2:$C$53,3,FALSE)</f>
        <v>K03256</v>
      </c>
      <c r="I384">
        <f>'2020_5-2-2_Download'!S28</f>
        <v>2472</v>
      </c>
    </row>
    <row r="385" spans="2:9">
      <c r="B385">
        <f>'2020_5-2-2_Download'!B29</f>
        <v>257</v>
      </c>
      <c r="C385">
        <f>'2020_5-2-2_Download'!$R$5</f>
        <v>2018</v>
      </c>
      <c r="D385" t="str">
        <f>VLOOKUP(B385,[1]Tabelle1!$A$1:$B$68,2,FALSE)</f>
        <v>Schaumburg</v>
      </c>
      <c r="E385" t="str">
        <f>'2020_5-2-2_Download'!$S$7</f>
        <v>Männer</v>
      </c>
      <c r="G385" t="s">
        <v>84</v>
      </c>
      <c r="H385" t="str">
        <f>VLOOKUP(B385,[2]Kreise!$A$2:$C$53,3,FALSE)</f>
        <v>K03257</v>
      </c>
      <c r="I385">
        <f>'2020_5-2-2_Download'!S29</f>
        <v>2251</v>
      </c>
    </row>
    <row r="386" spans="2:9">
      <c r="B386">
        <f>'2020_5-2-2_Download'!B30</f>
        <v>2</v>
      </c>
      <c r="C386">
        <f>'2020_5-2-2_Download'!$R$5</f>
        <v>2018</v>
      </c>
      <c r="D386" t="str">
        <f>VLOOKUP(B386,[1]Tabelle1!$A$1:$B$68,2,FALSE)</f>
        <v>Stat. Region Hannover</v>
      </c>
      <c r="E386" t="str">
        <f>'2020_5-2-2_Download'!$S$7</f>
        <v>Männer</v>
      </c>
      <c r="G386" t="s">
        <v>84</v>
      </c>
      <c r="H386" t="str">
        <f>VLOOKUP(B386,[2]Kreise!$A$2:$C$53,3,FALSE)</f>
        <v>K032</v>
      </c>
      <c r="I386">
        <f>'2020_5-2-2_Download'!S30</f>
        <v>50474</v>
      </c>
    </row>
    <row r="387" spans="2:9">
      <c r="B387">
        <f>'2020_5-2-2_Download'!B31</f>
        <v>351</v>
      </c>
      <c r="C387">
        <f>'2020_5-2-2_Download'!$R$5</f>
        <v>2018</v>
      </c>
      <c r="D387" t="str">
        <f>VLOOKUP(B387,[1]Tabelle1!$A$1:$B$68,2,FALSE)</f>
        <v>Celle</v>
      </c>
      <c r="E387" t="str">
        <f>'2020_5-2-2_Download'!$S$7</f>
        <v>Männer</v>
      </c>
      <c r="G387" t="s">
        <v>84</v>
      </c>
      <c r="H387" t="str">
        <f>VLOOKUP(B387,[2]Kreise!$A$2:$C$53,3,FALSE)</f>
        <v>K03351</v>
      </c>
      <c r="I387">
        <f>'2020_5-2-2_Download'!S31</f>
        <v>2240</v>
      </c>
    </row>
    <row r="388" spans="2:9">
      <c r="B388">
        <f>'2020_5-2-2_Download'!B32</f>
        <v>352</v>
      </c>
      <c r="C388">
        <f>'2020_5-2-2_Download'!$R$5</f>
        <v>2018</v>
      </c>
      <c r="D388" t="str">
        <f>VLOOKUP(B388,[1]Tabelle1!$A$1:$B$68,2,FALSE)</f>
        <v>Cuxhaven</v>
      </c>
      <c r="E388" t="str">
        <f>'2020_5-2-2_Download'!$S$7</f>
        <v>Männer</v>
      </c>
      <c r="G388" t="s">
        <v>84</v>
      </c>
      <c r="H388" t="str">
        <f>VLOOKUP(B388,[2]Kreise!$A$2:$C$53,3,FALSE)</f>
        <v>K03352</v>
      </c>
      <c r="I388">
        <f>'2020_5-2-2_Download'!S32</f>
        <v>2828</v>
      </c>
    </row>
    <row r="389" spans="2:9">
      <c r="B389">
        <f>'2020_5-2-2_Download'!B33</f>
        <v>353</v>
      </c>
      <c r="C389">
        <f>'2020_5-2-2_Download'!$R$5</f>
        <v>2018</v>
      </c>
      <c r="D389" t="str">
        <f>VLOOKUP(B389,[1]Tabelle1!$A$1:$B$68,2,FALSE)</f>
        <v>Harburg</v>
      </c>
      <c r="E389" t="str">
        <f>'2020_5-2-2_Download'!$S$7</f>
        <v>Männer</v>
      </c>
      <c r="G389" t="s">
        <v>84</v>
      </c>
      <c r="H389" t="str">
        <f>VLOOKUP(B389,[2]Kreise!$A$2:$C$53,3,FALSE)</f>
        <v>K03353</v>
      </c>
      <c r="I389">
        <f>'2020_5-2-2_Download'!S33</f>
        <v>5853</v>
      </c>
    </row>
    <row r="390" spans="2:9">
      <c r="B390">
        <f>'2020_5-2-2_Download'!B34</f>
        <v>354</v>
      </c>
      <c r="C390">
        <f>'2020_5-2-2_Download'!$R$5</f>
        <v>2018</v>
      </c>
      <c r="D390" t="str">
        <f>VLOOKUP(B390,[1]Tabelle1!$A$1:$B$68,2,FALSE)</f>
        <v>Lüchow-Dannenberg</v>
      </c>
      <c r="E390" t="str">
        <f>'2020_5-2-2_Download'!$S$7</f>
        <v>Männer</v>
      </c>
      <c r="G390" t="s">
        <v>84</v>
      </c>
      <c r="H390" t="str">
        <f>VLOOKUP(B390,[2]Kreise!$A$2:$C$53,3,FALSE)</f>
        <v>K03354</v>
      </c>
      <c r="I390">
        <f>'2020_5-2-2_Download'!S34</f>
        <v>397</v>
      </c>
    </row>
    <row r="391" spans="2:9">
      <c r="B391">
        <f>'2020_5-2-2_Download'!B35</f>
        <v>355</v>
      </c>
      <c r="C391">
        <f>'2020_5-2-2_Download'!$R$5</f>
        <v>2018</v>
      </c>
      <c r="D391" t="str">
        <f>VLOOKUP(B391,[1]Tabelle1!$A$1:$B$68,2,FALSE)</f>
        <v>Lüneburg</v>
      </c>
      <c r="E391" t="str">
        <f>'2020_5-2-2_Download'!$S$7</f>
        <v>Männer</v>
      </c>
      <c r="G391" t="s">
        <v>84</v>
      </c>
      <c r="H391" t="str">
        <f>VLOOKUP(B391,[2]Kreise!$A$2:$C$53,3,FALSE)</f>
        <v>K03355</v>
      </c>
      <c r="I391">
        <f>'2020_5-2-2_Download'!S35</f>
        <v>2418</v>
      </c>
    </row>
    <row r="392" spans="2:9">
      <c r="B392">
        <f>'2020_5-2-2_Download'!B36</f>
        <v>356</v>
      </c>
      <c r="C392">
        <f>'2020_5-2-2_Download'!$R$5</f>
        <v>2018</v>
      </c>
      <c r="D392" t="str">
        <f>VLOOKUP(B392,[1]Tabelle1!$A$1:$B$68,2,FALSE)</f>
        <v>Osterholz</v>
      </c>
      <c r="E392" t="str">
        <f>'2020_5-2-2_Download'!$S$7</f>
        <v>Männer</v>
      </c>
      <c r="G392" t="s">
        <v>84</v>
      </c>
      <c r="H392" t="str">
        <f>VLOOKUP(B392,[2]Kreise!$A$2:$C$53,3,FALSE)</f>
        <v>K03356</v>
      </c>
      <c r="I392">
        <f>'2020_5-2-2_Download'!S36</f>
        <v>1163</v>
      </c>
    </row>
    <row r="393" spans="2:9">
      <c r="B393">
        <f>'2020_5-2-2_Download'!B37</f>
        <v>357</v>
      </c>
      <c r="C393">
        <f>'2020_5-2-2_Download'!$R$5</f>
        <v>2018</v>
      </c>
      <c r="D393" t="str">
        <f>VLOOKUP(B393,[1]Tabelle1!$A$1:$B$68,2,FALSE)</f>
        <v>Rotenburg (Wümme)</v>
      </c>
      <c r="E393" t="str">
        <f>'2020_5-2-2_Download'!$S$7</f>
        <v>Männer</v>
      </c>
      <c r="G393" t="s">
        <v>84</v>
      </c>
      <c r="H393" t="str">
        <f>VLOOKUP(B393,[2]Kreise!$A$2:$C$53,3,FALSE)</f>
        <v>K03357</v>
      </c>
      <c r="I393">
        <f>'2020_5-2-2_Download'!S37</f>
        <v>2464</v>
      </c>
    </row>
    <row r="394" spans="2:9">
      <c r="B394">
        <f>'2020_5-2-2_Download'!B38</f>
        <v>358</v>
      </c>
      <c r="C394">
        <f>'2020_5-2-2_Download'!$R$5</f>
        <v>2018</v>
      </c>
      <c r="D394" t="str">
        <f>VLOOKUP(B394,[1]Tabelle1!$A$1:$B$68,2,FALSE)</f>
        <v>Heidekreis</v>
      </c>
      <c r="E394" t="str">
        <f>'2020_5-2-2_Download'!$S$7</f>
        <v>Männer</v>
      </c>
      <c r="G394" t="s">
        <v>84</v>
      </c>
      <c r="H394" t="str">
        <f>VLOOKUP(B394,[2]Kreise!$A$2:$C$53,3,FALSE)</f>
        <v>K03358</v>
      </c>
      <c r="I394">
        <f>'2020_5-2-2_Download'!S38</f>
        <v>2508</v>
      </c>
    </row>
    <row r="395" spans="2:9">
      <c r="B395">
        <f>'2020_5-2-2_Download'!B39</f>
        <v>359</v>
      </c>
      <c r="C395">
        <f>'2020_5-2-2_Download'!$R$5</f>
        <v>2018</v>
      </c>
      <c r="D395" t="str">
        <f>VLOOKUP(B395,[1]Tabelle1!$A$1:$B$68,2,FALSE)</f>
        <v>Stade</v>
      </c>
      <c r="E395" t="str">
        <f>'2020_5-2-2_Download'!$S$7</f>
        <v>Männer</v>
      </c>
      <c r="G395" t="s">
        <v>84</v>
      </c>
      <c r="H395" t="str">
        <f>VLOOKUP(B395,[2]Kreise!$A$2:$C$53,3,FALSE)</f>
        <v>K03359</v>
      </c>
      <c r="I395">
        <f>'2020_5-2-2_Download'!S39</f>
        <v>3638</v>
      </c>
    </row>
    <row r="396" spans="2:9">
      <c r="B396">
        <f>'2020_5-2-2_Download'!B40</f>
        <v>360</v>
      </c>
      <c r="C396">
        <f>'2020_5-2-2_Download'!$R$5</f>
        <v>2018</v>
      </c>
      <c r="D396" t="str">
        <f>VLOOKUP(B396,[1]Tabelle1!$A$1:$B$68,2,FALSE)</f>
        <v>Uelzen</v>
      </c>
      <c r="E396" t="str">
        <f>'2020_5-2-2_Download'!$S$7</f>
        <v>Männer</v>
      </c>
      <c r="G396" t="s">
        <v>84</v>
      </c>
      <c r="H396" t="str">
        <f>VLOOKUP(B396,[2]Kreise!$A$2:$C$53,3,FALSE)</f>
        <v>K03360</v>
      </c>
      <c r="I396">
        <f>'2020_5-2-2_Download'!S40</f>
        <v>883</v>
      </c>
    </row>
    <row r="397" spans="2:9">
      <c r="B397">
        <f>'2020_5-2-2_Download'!B41</f>
        <v>361</v>
      </c>
      <c r="C397">
        <f>'2020_5-2-2_Download'!$R$5</f>
        <v>2018</v>
      </c>
      <c r="D397" t="str">
        <f>VLOOKUP(B397,[1]Tabelle1!$A$1:$B$68,2,FALSE)</f>
        <v>Verden</v>
      </c>
      <c r="E397" t="str">
        <f>'2020_5-2-2_Download'!$S$7</f>
        <v>Männer</v>
      </c>
      <c r="G397" t="s">
        <v>84</v>
      </c>
      <c r="H397" t="str">
        <f>VLOOKUP(B397,[2]Kreise!$A$2:$C$53,3,FALSE)</f>
        <v>K03361</v>
      </c>
      <c r="I397">
        <f>'2020_5-2-2_Download'!S41</f>
        <v>3082</v>
      </c>
    </row>
    <row r="398" spans="2:9">
      <c r="B398">
        <f>'2020_5-2-2_Download'!B42</f>
        <v>3</v>
      </c>
      <c r="C398">
        <f>'2020_5-2-2_Download'!$R$5</f>
        <v>2018</v>
      </c>
      <c r="D398" t="str">
        <f>VLOOKUP(B398,[1]Tabelle1!$A$1:$B$68,2,FALSE)</f>
        <v>Stat. Region Lüneburg</v>
      </c>
      <c r="E398" t="str">
        <f>'2020_5-2-2_Download'!$S$7</f>
        <v>Männer</v>
      </c>
      <c r="G398" t="s">
        <v>84</v>
      </c>
      <c r="H398" t="str">
        <f>VLOOKUP(B398,[2]Kreise!$A$2:$C$53,3,FALSE)</f>
        <v>K033</v>
      </c>
      <c r="I398">
        <f>'2020_5-2-2_Download'!S42</f>
        <v>27474</v>
      </c>
    </row>
    <row r="399" spans="2:9">
      <c r="B399">
        <f>'2020_5-2-2_Download'!B43</f>
        <v>401</v>
      </c>
      <c r="C399">
        <f>'2020_5-2-2_Download'!$R$5</f>
        <v>2018</v>
      </c>
      <c r="D399" t="str">
        <f>VLOOKUP(B399,[1]Tabelle1!$A$1:$B$68,2,FALSE)</f>
        <v>Delmenhorst  Stadt</v>
      </c>
      <c r="E399" t="str">
        <f>'2020_5-2-2_Download'!$S$7</f>
        <v>Männer</v>
      </c>
      <c r="G399" t="s">
        <v>84</v>
      </c>
      <c r="H399" t="str">
        <f>VLOOKUP(B399,[2]Kreise!$A$2:$C$53,3,FALSE)</f>
        <v>K03401</v>
      </c>
      <c r="I399">
        <f>'2020_5-2-2_Download'!S43</f>
        <v>1028</v>
      </c>
    </row>
    <row r="400" spans="2:9">
      <c r="B400">
        <f>'2020_5-2-2_Download'!B44</f>
        <v>402</v>
      </c>
      <c r="C400">
        <f>'2020_5-2-2_Download'!$R$5</f>
        <v>2018</v>
      </c>
      <c r="D400" t="str">
        <f>VLOOKUP(B400,[1]Tabelle1!$A$1:$B$68,2,FALSE)</f>
        <v>Emden  Stadt</v>
      </c>
      <c r="E400" t="str">
        <f>'2020_5-2-2_Download'!$S$7</f>
        <v>Männer</v>
      </c>
      <c r="G400" t="s">
        <v>84</v>
      </c>
      <c r="H400" t="str">
        <f>VLOOKUP(B400,[2]Kreise!$A$2:$C$53,3,FALSE)</f>
        <v>K03402</v>
      </c>
      <c r="I400">
        <f>'2020_5-2-2_Download'!S44</f>
        <v>1444</v>
      </c>
    </row>
    <row r="401" spans="2:9">
      <c r="B401">
        <f>'2020_5-2-2_Download'!B45</f>
        <v>403</v>
      </c>
      <c r="C401">
        <f>'2020_5-2-2_Download'!$R$5</f>
        <v>2018</v>
      </c>
      <c r="D401" t="str">
        <f>VLOOKUP(B401,[1]Tabelle1!$A$1:$B$68,2,FALSE)</f>
        <v>Oldenburg(Oldb)  Stadt</v>
      </c>
      <c r="E401" t="str">
        <f>'2020_5-2-2_Download'!$S$7</f>
        <v>Männer</v>
      </c>
      <c r="G401" t="s">
        <v>84</v>
      </c>
      <c r="H401" t="str">
        <f>VLOOKUP(B401,[2]Kreise!$A$2:$C$53,3,FALSE)</f>
        <v>K03403</v>
      </c>
      <c r="I401">
        <f>'2020_5-2-2_Download'!S45</f>
        <v>3124</v>
      </c>
    </row>
    <row r="402" spans="2:9">
      <c r="B402">
        <f>'2020_5-2-2_Download'!B46</f>
        <v>404</v>
      </c>
      <c r="C402">
        <f>'2020_5-2-2_Download'!$R$5</f>
        <v>2018</v>
      </c>
      <c r="D402" t="str">
        <f>VLOOKUP(B402,[1]Tabelle1!$A$1:$B$68,2,FALSE)</f>
        <v>Osnabrück  Stadt</v>
      </c>
      <c r="E402" t="str">
        <f>'2020_5-2-2_Download'!$S$7</f>
        <v>Männer</v>
      </c>
      <c r="G402" t="s">
        <v>84</v>
      </c>
      <c r="H402" t="str">
        <f>VLOOKUP(B402,[2]Kreise!$A$2:$C$53,3,FALSE)</f>
        <v>K03404</v>
      </c>
      <c r="I402">
        <f>'2020_5-2-2_Download'!S46</f>
        <v>4282</v>
      </c>
    </row>
    <row r="403" spans="2:9">
      <c r="B403">
        <f>'2020_5-2-2_Download'!B47</f>
        <v>405</v>
      </c>
      <c r="C403">
        <f>'2020_5-2-2_Download'!$R$5</f>
        <v>2018</v>
      </c>
      <c r="D403" t="str">
        <f>VLOOKUP(B403,[1]Tabelle1!$A$1:$B$68,2,FALSE)</f>
        <v>Wilhelmshaven  Stadt</v>
      </c>
      <c r="E403" t="str">
        <f>'2020_5-2-2_Download'!$S$7</f>
        <v>Männer</v>
      </c>
      <c r="G403" t="s">
        <v>84</v>
      </c>
      <c r="H403" t="str">
        <f>VLOOKUP(B403,[2]Kreise!$A$2:$C$53,3,FALSE)</f>
        <v>K03405</v>
      </c>
      <c r="I403">
        <f>'2020_5-2-2_Download'!S47</f>
        <v>1167</v>
      </c>
    </row>
    <row r="404" spans="2:9">
      <c r="B404">
        <f>'2020_5-2-2_Download'!B48</f>
        <v>451</v>
      </c>
      <c r="C404">
        <f>'2020_5-2-2_Download'!$R$5</f>
        <v>2018</v>
      </c>
      <c r="D404" t="str">
        <f>VLOOKUP(B404,[1]Tabelle1!$A$1:$B$68,2,FALSE)</f>
        <v>Ammerland</v>
      </c>
      <c r="E404" t="str">
        <f>'2020_5-2-2_Download'!$S$7</f>
        <v>Männer</v>
      </c>
      <c r="G404" t="s">
        <v>84</v>
      </c>
      <c r="H404" t="str">
        <f>VLOOKUP(B404,[2]Kreise!$A$2:$C$53,3,FALSE)</f>
        <v>K03451</v>
      </c>
      <c r="I404">
        <f>'2020_5-2-2_Download'!S48</f>
        <v>2332</v>
      </c>
    </row>
    <row r="405" spans="2:9">
      <c r="B405">
        <f>'2020_5-2-2_Download'!B49</f>
        <v>452</v>
      </c>
      <c r="C405">
        <f>'2020_5-2-2_Download'!$R$5</f>
        <v>2018</v>
      </c>
      <c r="D405" t="str">
        <f>VLOOKUP(B405,[1]Tabelle1!$A$1:$B$68,2,FALSE)</f>
        <v>Aurich</v>
      </c>
      <c r="E405" t="str">
        <f>'2020_5-2-2_Download'!$S$7</f>
        <v>Männer</v>
      </c>
      <c r="G405" t="s">
        <v>84</v>
      </c>
      <c r="H405" t="str">
        <f>VLOOKUP(B405,[2]Kreise!$A$2:$C$53,3,FALSE)</f>
        <v>K03452</v>
      </c>
      <c r="I405">
        <f>'2020_5-2-2_Download'!S49</f>
        <v>2716</v>
      </c>
    </row>
    <row r="406" spans="2:9">
      <c r="B406">
        <f>'2020_5-2-2_Download'!B50</f>
        <v>453</v>
      </c>
      <c r="C406">
        <f>'2020_5-2-2_Download'!$R$5</f>
        <v>2018</v>
      </c>
      <c r="D406" t="str">
        <f>VLOOKUP(B406,[1]Tabelle1!$A$1:$B$68,2,FALSE)</f>
        <v>Cloppenburg</v>
      </c>
      <c r="E406" t="str">
        <f>'2020_5-2-2_Download'!$S$7</f>
        <v>Männer</v>
      </c>
      <c r="G406" t="s">
        <v>84</v>
      </c>
      <c r="H406" t="str">
        <f>VLOOKUP(B406,[2]Kreise!$A$2:$C$53,3,FALSE)</f>
        <v>K03453</v>
      </c>
      <c r="I406">
        <f>'2020_5-2-2_Download'!S50</f>
        <v>6398</v>
      </c>
    </row>
    <row r="407" spans="2:9">
      <c r="B407">
        <f>'2020_5-2-2_Download'!B51</f>
        <v>454</v>
      </c>
      <c r="C407">
        <f>'2020_5-2-2_Download'!$R$5</f>
        <v>2018</v>
      </c>
      <c r="D407" t="str">
        <f>VLOOKUP(B407,[1]Tabelle1!$A$1:$B$68,2,FALSE)</f>
        <v>Emsland</v>
      </c>
      <c r="E407" t="str">
        <f>'2020_5-2-2_Download'!$S$7</f>
        <v>Männer</v>
      </c>
      <c r="G407" t="s">
        <v>84</v>
      </c>
      <c r="H407" t="str">
        <f>VLOOKUP(B407,[2]Kreise!$A$2:$C$53,3,FALSE)</f>
        <v>K03454</v>
      </c>
      <c r="I407">
        <f>'2020_5-2-2_Download'!S51</f>
        <v>9075</v>
      </c>
    </row>
    <row r="408" spans="2:9">
      <c r="B408">
        <f>'2020_5-2-2_Download'!B52</f>
        <v>455</v>
      </c>
      <c r="C408">
        <f>'2020_5-2-2_Download'!$R$5</f>
        <v>2018</v>
      </c>
      <c r="D408" t="str">
        <f>VLOOKUP(B408,[1]Tabelle1!$A$1:$B$68,2,FALSE)</f>
        <v>Friesland</v>
      </c>
      <c r="E408" t="str">
        <f>'2020_5-2-2_Download'!$S$7</f>
        <v>Männer</v>
      </c>
      <c r="G408" t="s">
        <v>84</v>
      </c>
      <c r="H408" t="str">
        <f>VLOOKUP(B408,[2]Kreise!$A$2:$C$53,3,FALSE)</f>
        <v>K03455</v>
      </c>
      <c r="I408">
        <f>'2020_5-2-2_Download'!S52</f>
        <v>846</v>
      </c>
    </row>
    <row r="409" spans="2:9">
      <c r="B409">
        <f>'2020_5-2-2_Download'!B53</f>
        <v>456</v>
      </c>
      <c r="C409">
        <f>'2020_5-2-2_Download'!$R$5</f>
        <v>2018</v>
      </c>
      <c r="D409" t="str">
        <f>VLOOKUP(B409,[1]Tabelle1!$A$1:$B$68,2,FALSE)</f>
        <v>Grafschaft Bentheim</v>
      </c>
      <c r="E409" t="str">
        <f>'2020_5-2-2_Download'!$S$7</f>
        <v>Männer</v>
      </c>
      <c r="G409" t="s">
        <v>84</v>
      </c>
      <c r="H409" t="str">
        <f>VLOOKUP(B409,[2]Kreise!$A$2:$C$53,3,FALSE)</f>
        <v>K03456</v>
      </c>
      <c r="I409">
        <f>'2020_5-2-2_Download'!S53</f>
        <v>3511</v>
      </c>
    </row>
    <row r="410" spans="2:9">
      <c r="B410">
        <f>'2020_5-2-2_Download'!B54</f>
        <v>457</v>
      </c>
      <c r="C410">
        <f>'2020_5-2-2_Download'!$R$5</f>
        <v>2018</v>
      </c>
      <c r="D410" t="str">
        <f>VLOOKUP(B410,[1]Tabelle1!$A$1:$B$68,2,FALSE)</f>
        <v>Leer</v>
      </c>
      <c r="E410" t="str">
        <f>'2020_5-2-2_Download'!$S$7</f>
        <v>Männer</v>
      </c>
      <c r="G410" t="s">
        <v>84</v>
      </c>
      <c r="H410" t="str">
        <f>VLOOKUP(B410,[2]Kreise!$A$2:$C$53,3,FALSE)</f>
        <v>K03457</v>
      </c>
      <c r="I410">
        <f>'2020_5-2-2_Download'!S54</f>
        <v>2340</v>
      </c>
    </row>
    <row r="411" spans="2:9">
      <c r="B411">
        <f>'2020_5-2-2_Download'!B55</f>
        <v>458</v>
      </c>
      <c r="C411">
        <f>'2020_5-2-2_Download'!$R$5</f>
        <v>2018</v>
      </c>
      <c r="D411" t="str">
        <f>VLOOKUP(B411,[1]Tabelle1!$A$1:$B$68,2,FALSE)</f>
        <v>Oldenburg</v>
      </c>
      <c r="E411" t="str">
        <f>'2020_5-2-2_Download'!$S$7</f>
        <v>Männer</v>
      </c>
      <c r="G411" t="s">
        <v>84</v>
      </c>
      <c r="H411" t="str">
        <f>VLOOKUP(B411,[2]Kreise!$A$2:$C$53,3,FALSE)</f>
        <v>K03458</v>
      </c>
      <c r="I411">
        <f>'2020_5-2-2_Download'!S55</f>
        <v>2308</v>
      </c>
    </row>
    <row r="412" spans="2:9">
      <c r="B412">
        <f>'2020_5-2-2_Download'!B56</f>
        <v>459</v>
      </c>
      <c r="C412">
        <f>'2020_5-2-2_Download'!$R$5</f>
        <v>2018</v>
      </c>
      <c r="D412" t="str">
        <f>VLOOKUP(B412,[1]Tabelle1!$A$1:$B$68,2,FALSE)</f>
        <v>Osnabrück</v>
      </c>
      <c r="E412" t="str">
        <f>'2020_5-2-2_Download'!$S$7</f>
        <v>Männer</v>
      </c>
      <c r="G412" t="s">
        <v>84</v>
      </c>
      <c r="H412" t="str">
        <f>VLOOKUP(B412,[2]Kreise!$A$2:$C$53,3,FALSE)</f>
        <v>K03459</v>
      </c>
      <c r="I412">
        <f>'2020_5-2-2_Download'!S56</f>
        <v>10937</v>
      </c>
    </row>
    <row r="413" spans="2:9">
      <c r="B413">
        <f>'2020_5-2-2_Download'!B57</f>
        <v>460</v>
      </c>
      <c r="C413">
        <f>'2020_5-2-2_Download'!$R$5</f>
        <v>2018</v>
      </c>
      <c r="D413" t="str">
        <f>VLOOKUP(B413,[1]Tabelle1!$A$1:$B$68,2,FALSE)</f>
        <v>Vechta</v>
      </c>
      <c r="E413" t="str">
        <f>'2020_5-2-2_Download'!$S$7</f>
        <v>Männer</v>
      </c>
      <c r="G413" t="s">
        <v>84</v>
      </c>
      <c r="H413" t="str">
        <f>VLOOKUP(B413,[2]Kreise!$A$2:$C$53,3,FALSE)</f>
        <v>K03460</v>
      </c>
      <c r="I413">
        <f>'2020_5-2-2_Download'!S57</f>
        <v>6648</v>
      </c>
    </row>
    <row r="414" spans="2:9">
      <c r="B414">
        <f>'2020_5-2-2_Download'!B58</f>
        <v>461</v>
      </c>
      <c r="C414">
        <f>'2020_5-2-2_Download'!$R$5</f>
        <v>2018</v>
      </c>
      <c r="D414" t="str">
        <f>VLOOKUP(B414,[1]Tabelle1!$A$1:$B$68,2,FALSE)</f>
        <v>Wesermarsch</v>
      </c>
      <c r="E414" t="str">
        <f>'2020_5-2-2_Download'!$S$7</f>
        <v>Männer</v>
      </c>
      <c r="G414" t="s">
        <v>84</v>
      </c>
      <c r="H414" t="str">
        <f>VLOOKUP(B414,[2]Kreise!$A$2:$C$53,3,FALSE)</f>
        <v>K03461</v>
      </c>
      <c r="I414">
        <f>'2020_5-2-2_Download'!S58</f>
        <v>2010</v>
      </c>
    </row>
    <row r="415" spans="2:9">
      <c r="B415">
        <f>'2020_5-2-2_Download'!B59</f>
        <v>462</v>
      </c>
      <c r="C415">
        <f>'2020_5-2-2_Download'!$R$5</f>
        <v>2018</v>
      </c>
      <c r="D415" t="str">
        <f>VLOOKUP(B415,[1]Tabelle1!$A$1:$B$68,2,FALSE)</f>
        <v>Wittmund</v>
      </c>
      <c r="E415" t="str">
        <f>'2020_5-2-2_Download'!$S$7</f>
        <v>Männer</v>
      </c>
      <c r="G415" t="s">
        <v>84</v>
      </c>
      <c r="H415" t="str">
        <f>VLOOKUP(B415,[2]Kreise!$A$2:$C$53,3,FALSE)</f>
        <v>K03462</v>
      </c>
      <c r="I415">
        <f>'2020_5-2-2_Download'!S59</f>
        <v>503</v>
      </c>
    </row>
    <row r="416" spans="2:9">
      <c r="B416">
        <f>'2020_5-2-2_Download'!B60</f>
        <v>4</v>
      </c>
      <c r="C416">
        <f>'2020_5-2-2_Download'!$R$5</f>
        <v>2018</v>
      </c>
      <c r="D416" t="str">
        <f>VLOOKUP(B416,[1]Tabelle1!$A$1:$B$68,2,FALSE)</f>
        <v>Stat. Region Weser-Ems</v>
      </c>
      <c r="E416" t="str">
        <f>'2020_5-2-2_Download'!$S$7</f>
        <v>Männer</v>
      </c>
      <c r="G416" t="s">
        <v>84</v>
      </c>
      <c r="H416" t="str">
        <f>VLOOKUP(B416,[2]Kreise!$A$2:$C$53,3,FALSE)</f>
        <v>K034</v>
      </c>
      <c r="I416">
        <f>'2020_5-2-2_Download'!S60</f>
        <v>60669</v>
      </c>
    </row>
    <row r="417" spans="2:9">
      <c r="B417">
        <f>'2020_5-2-2_Download'!B61</f>
        <v>0</v>
      </c>
      <c r="C417">
        <f>'2020_5-2-2_Download'!$R$5</f>
        <v>2018</v>
      </c>
      <c r="D417" t="str">
        <f>VLOOKUP(B417,[1]Tabelle1!$A$1:$B$68,2,FALSE)</f>
        <v>Niedersachsen</v>
      </c>
      <c r="E417" t="str">
        <f>'2020_5-2-2_Download'!$S$7</f>
        <v>Männer</v>
      </c>
      <c r="G417" t="s">
        <v>84</v>
      </c>
      <c r="H417" t="str">
        <f>VLOOKUP(B417,[2]Kreise!$A$2:$C$53,3,FALSE)</f>
        <v>K030</v>
      </c>
      <c r="I417">
        <f>'2020_5-2-2_Download'!S61</f>
        <v>170046</v>
      </c>
    </row>
    <row r="418" spans="2:9">
      <c r="B418">
        <f>'2020_5-2-2_Download'!B10</f>
        <v>101</v>
      </c>
      <c r="C418">
        <f>'2020_5-2-2_Download'!$R$5</f>
        <v>2018</v>
      </c>
      <c r="D418" t="str">
        <f>VLOOKUP(B418,[1]Tabelle1!$A$1:$B$68,2,FALSE)</f>
        <v>Braunschweig  Stadt</v>
      </c>
      <c r="E418" t="str">
        <f>'2020_5-2-2_Download'!$T$7</f>
        <v>Frauen</v>
      </c>
      <c r="G418" t="s">
        <v>84</v>
      </c>
      <c r="H418" t="str">
        <f>VLOOKUP(B418,[2]Kreise!$A$2:$C$53,3,FALSE)</f>
        <v>K03101</v>
      </c>
      <c r="I418">
        <f>'2020_5-2-2_Download'!S10</f>
        <v>6123</v>
      </c>
    </row>
    <row r="419" spans="2:9">
      <c r="B419">
        <f>'2020_5-2-2_Download'!B11</f>
        <v>102</v>
      </c>
      <c r="C419">
        <f>'2020_5-2-2_Download'!$R$5</f>
        <v>2018</v>
      </c>
      <c r="D419" t="str">
        <f>VLOOKUP(B419,[1]Tabelle1!$A$1:$B$68,2,FALSE)</f>
        <v>Salzgitter  Stadt</v>
      </c>
      <c r="E419" t="str">
        <f>'2020_5-2-2_Download'!$T$7</f>
        <v>Frauen</v>
      </c>
      <c r="G419" t="s">
        <v>84</v>
      </c>
      <c r="H419" t="str">
        <f>VLOOKUP(B419,[2]Kreise!$A$2:$C$53,3,FALSE)</f>
        <v>K03102</v>
      </c>
      <c r="I419">
        <f>'2020_5-2-2_Download'!T11</f>
        <v>970</v>
      </c>
    </row>
    <row r="420" spans="2:9">
      <c r="B420">
        <f>'2020_5-2-2_Download'!B12</f>
        <v>103</v>
      </c>
      <c r="C420">
        <f>'2020_5-2-2_Download'!$R$5</f>
        <v>2018</v>
      </c>
      <c r="D420" t="str">
        <f>VLOOKUP(B420,[1]Tabelle1!$A$1:$B$68,2,FALSE)</f>
        <v>Wolfsburg  Stadt</v>
      </c>
      <c r="E420" t="str">
        <f>'2020_5-2-2_Download'!$T$7</f>
        <v>Frauen</v>
      </c>
      <c r="G420" t="s">
        <v>84</v>
      </c>
      <c r="H420" t="str">
        <f>VLOOKUP(B420,[2]Kreise!$A$2:$C$53,3,FALSE)</f>
        <v>K03103</v>
      </c>
      <c r="I420">
        <f>'2020_5-2-2_Download'!T12</f>
        <v>3003</v>
      </c>
    </row>
    <row r="421" spans="2:9">
      <c r="B421">
        <f>'2020_5-2-2_Download'!B13</f>
        <v>151</v>
      </c>
      <c r="C421">
        <f>'2020_5-2-2_Download'!$R$5</f>
        <v>2018</v>
      </c>
      <c r="D421" t="str">
        <f>VLOOKUP(B421,[1]Tabelle1!$A$1:$B$68,2,FALSE)</f>
        <v>Gifhorn</v>
      </c>
      <c r="E421" t="str">
        <f>'2020_5-2-2_Download'!$T$7</f>
        <v>Frauen</v>
      </c>
      <c r="G421" t="s">
        <v>84</v>
      </c>
      <c r="H421" t="str">
        <f>VLOOKUP(B421,[2]Kreise!$A$2:$C$53,3,FALSE)</f>
        <v>K03151</v>
      </c>
      <c r="I421">
        <f>'2020_5-2-2_Download'!T13</f>
        <v>918</v>
      </c>
    </row>
    <row r="422" spans="2:9">
      <c r="B422">
        <f>'2020_5-2-2_Download'!B14</f>
        <v>153</v>
      </c>
      <c r="C422">
        <f>'2020_5-2-2_Download'!$R$5</f>
        <v>2018</v>
      </c>
      <c r="D422" t="str">
        <f>VLOOKUP(B422,[1]Tabelle1!$A$1:$B$68,2,FALSE)</f>
        <v>Goslar</v>
      </c>
      <c r="E422" t="str">
        <f>'2020_5-2-2_Download'!$T$7</f>
        <v>Frauen</v>
      </c>
      <c r="G422" t="s">
        <v>84</v>
      </c>
      <c r="H422" t="str">
        <f>VLOOKUP(B422,[2]Kreise!$A$2:$C$53,3,FALSE)</f>
        <v>K03153</v>
      </c>
      <c r="I422">
        <f>'2020_5-2-2_Download'!T14</f>
        <v>962</v>
      </c>
    </row>
    <row r="423" spans="2:9">
      <c r="B423">
        <f>'2020_5-2-2_Download'!B15</f>
        <v>154</v>
      </c>
      <c r="C423">
        <f>'2020_5-2-2_Download'!$R$5</f>
        <v>2018</v>
      </c>
      <c r="D423" t="str">
        <f>VLOOKUP(B423,[1]Tabelle1!$A$1:$B$68,2,FALSE)</f>
        <v>Helmstedt</v>
      </c>
      <c r="E423" t="str">
        <f>'2020_5-2-2_Download'!$T$7</f>
        <v>Frauen</v>
      </c>
      <c r="G423" t="s">
        <v>84</v>
      </c>
      <c r="H423" t="str">
        <f>VLOOKUP(B423,[2]Kreise!$A$2:$C$53,3,FALSE)</f>
        <v>K03154</v>
      </c>
      <c r="I423">
        <f>'2020_5-2-2_Download'!T15</f>
        <v>437</v>
      </c>
    </row>
    <row r="424" spans="2:9">
      <c r="B424">
        <f>'2020_5-2-2_Download'!B16</f>
        <v>155</v>
      </c>
      <c r="C424">
        <f>'2020_5-2-2_Download'!$R$5</f>
        <v>2018</v>
      </c>
      <c r="D424" t="str">
        <f>VLOOKUP(B424,[1]Tabelle1!$A$1:$B$68,2,FALSE)</f>
        <v>Northeim</v>
      </c>
      <c r="E424" t="str">
        <f>'2020_5-2-2_Download'!$T$7</f>
        <v>Frauen</v>
      </c>
      <c r="G424" t="s">
        <v>84</v>
      </c>
      <c r="H424" t="str">
        <f>VLOOKUP(B424,[2]Kreise!$A$2:$C$53,3,FALSE)</f>
        <v>K03155</v>
      </c>
      <c r="I424">
        <f>'2020_5-2-2_Download'!T16</f>
        <v>726</v>
      </c>
    </row>
    <row r="425" spans="2:9">
      <c r="B425">
        <f>'2020_5-2-2_Download'!B17</f>
        <v>157</v>
      </c>
      <c r="C425">
        <f>'2020_5-2-2_Download'!$R$5</f>
        <v>2018</v>
      </c>
      <c r="D425" t="str">
        <f>VLOOKUP(B425,[1]Tabelle1!$A$1:$B$68,2,FALSE)</f>
        <v>Peine</v>
      </c>
      <c r="E425" t="str">
        <f>'2020_5-2-2_Download'!$T$7</f>
        <v>Frauen</v>
      </c>
      <c r="G425" t="s">
        <v>84</v>
      </c>
      <c r="H425" t="str">
        <f>VLOOKUP(B425,[2]Kreise!$A$2:$C$53,3,FALSE)</f>
        <v>K03157</v>
      </c>
      <c r="I425">
        <f>'2020_5-2-2_Download'!T17</f>
        <v>719</v>
      </c>
    </row>
    <row r="426" spans="2:9">
      <c r="B426">
        <f>'2020_5-2-2_Download'!B18</f>
        <v>158</v>
      </c>
      <c r="C426">
        <f>'2020_5-2-2_Download'!$R$5</f>
        <v>2018</v>
      </c>
      <c r="D426" t="str">
        <f>VLOOKUP(B426,[1]Tabelle1!$A$1:$B$68,2,FALSE)</f>
        <v>Wolfenbüttel</v>
      </c>
      <c r="E426" t="str">
        <f>'2020_5-2-2_Download'!$T$7</f>
        <v>Frauen</v>
      </c>
      <c r="G426" t="s">
        <v>84</v>
      </c>
      <c r="H426" t="str">
        <f>VLOOKUP(B426,[2]Kreise!$A$2:$C$53,3,FALSE)</f>
        <v>K03158</v>
      </c>
      <c r="I426">
        <f>'2020_5-2-2_Download'!T18</f>
        <v>539</v>
      </c>
    </row>
    <row r="427" spans="2:9">
      <c r="B427">
        <f>'2020_5-2-2_Download'!B19</f>
        <v>159</v>
      </c>
      <c r="C427">
        <f>'2020_5-2-2_Download'!$R$5</f>
        <v>2018</v>
      </c>
      <c r="D427" t="str">
        <f>VLOOKUP(B427,[1]Tabelle1!$A$1:$B$68,2,FALSE)</f>
        <v>Göttingen</v>
      </c>
      <c r="E427" t="str">
        <f>'2020_5-2-2_Download'!$T$7</f>
        <v>Frauen</v>
      </c>
      <c r="G427" t="s">
        <v>84</v>
      </c>
      <c r="H427" t="str">
        <f>VLOOKUP(B427,[2]Kreise!$A$2:$C$53,3,FALSE)</f>
        <v>K03159</v>
      </c>
      <c r="I427">
        <f>'2020_5-2-2_Download'!T19</f>
        <v>3389</v>
      </c>
    </row>
    <row r="428" spans="2:9">
      <c r="B428">
        <f>'2020_5-2-2_Download'!B20</f>
        <v>1</v>
      </c>
      <c r="C428">
        <f>'2020_5-2-2_Download'!$R$5</f>
        <v>2018</v>
      </c>
      <c r="D428" t="str">
        <f>VLOOKUP(B428,[1]Tabelle1!$A$1:$B$68,2,FALSE)</f>
        <v>Stat. Region Braunschweig</v>
      </c>
      <c r="E428" t="str">
        <f>'2020_5-2-2_Download'!$T$7</f>
        <v>Frauen</v>
      </c>
      <c r="G428" t="s">
        <v>84</v>
      </c>
      <c r="H428" t="str">
        <f>VLOOKUP(B428,[2]Kreise!$A$2:$C$53,3,FALSE)</f>
        <v>K031</v>
      </c>
      <c r="I428">
        <f>'2020_5-2-2_Download'!T20</f>
        <v>15637</v>
      </c>
    </row>
    <row r="429" spans="2:9">
      <c r="B429">
        <f>'2020_5-2-2_Download'!B21</f>
        <v>241</v>
      </c>
      <c r="C429">
        <f>'2020_5-2-2_Download'!$R$5</f>
        <v>2018</v>
      </c>
      <c r="D429" t="str">
        <f>VLOOKUP(B429,[1]Tabelle1!$A$1:$B$68,2,FALSE)</f>
        <v>Hannover  Region</v>
      </c>
      <c r="E429" t="str">
        <f>'2020_5-2-2_Download'!$T$7</f>
        <v>Frauen</v>
      </c>
      <c r="G429" t="s">
        <v>84</v>
      </c>
      <c r="H429" t="str">
        <f>VLOOKUP(B429,[2]Kreise!$A$2:$C$53,3,FALSE)</f>
        <v>K03241</v>
      </c>
      <c r="I429">
        <f>'2020_5-2-2_Download'!T21</f>
        <v>21180</v>
      </c>
    </row>
    <row r="430" spans="2:9">
      <c r="B430">
        <f>'2020_5-2-2_Download'!B22</f>
        <v>241001</v>
      </c>
      <c r="C430">
        <f>'2020_5-2-2_Download'!$R$5</f>
        <v>2018</v>
      </c>
      <c r="D430" t="str">
        <f>VLOOKUP(B430,[1]Tabelle1!$A$1:$B$68,2,FALSE)</f>
        <v>dav. Hannover  Lhst.</v>
      </c>
      <c r="E430" t="str">
        <f>'2020_5-2-2_Download'!$T$7</f>
        <v>Frauen</v>
      </c>
      <c r="G430" t="s">
        <v>84</v>
      </c>
      <c r="H430" t="str">
        <f>VLOOKUP(B430,[2]Kreise!$A$2:$C$53,3,FALSE)</f>
        <v>K03241001</v>
      </c>
      <c r="I430">
        <f>'2020_5-2-2_Download'!T22</f>
        <v>14322</v>
      </c>
    </row>
    <row r="431" spans="2:9">
      <c r="B431">
        <f>'2020_5-2-2_Download'!B23</f>
        <v>241999</v>
      </c>
      <c r="C431">
        <f>'2020_5-2-2_Download'!$R$5</f>
        <v>2018</v>
      </c>
      <c r="D431" t="str">
        <f>VLOOKUP(B431,[1]Tabelle1!$A$1:$B$68,2,FALSE)</f>
        <v>dav. Hannover  Umland</v>
      </c>
      <c r="E431" t="str">
        <f>'2020_5-2-2_Download'!$T$7</f>
        <v>Frauen</v>
      </c>
      <c r="G431" t="s">
        <v>84</v>
      </c>
      <c r="H431" t="str">
        <f>VLOOKUP(B431,[2]Kreise!$A$2:$C$53,3,FALSE)</f>
        <v>K03241999</v>
      </c>
      <c r="I431">
        <f>'2020_5-2-2_Download'!T23</f>
        <v>6858</v>
      </c>
    </row>
    <row r="432" spans="2:9">
      <c r="B432">
        <f>'2020_5-2-2_Download'!B24</f>
        <v>251</v>
      </c>
      <c r="C432">
        <f>'2020_5-2-2_Download'!$R$5</f>
        <v>2018</v>
      </c>
      <c r="D432" t="str">
        <f>VLOOKUP(B432,[1]Tabelle1!$A$1:$B$68,2,FALSE)</f>
        <v>Diepholz</v>
      </c>
      <c r="E432" t="str">
        <f>'2020_5-2-2_Download'!$T$7</f>
        <v>Frauen</v>
      </c>
      <c r="G432" t="s">
        <v>84</v>
      </c>
      <c r="H432" t="str">
        <f>VLOOKUP(B432,[2]Kreise!$A$2:$C$53,3,FALSE)</f>
        <v>K03251</v>
      </c>
      <c r="I432">
        <f>'2020_5-2-2_Download'!T24</f>
        <v>1714</v>
      </c>
    </row>
    <row r="433" spans="2:9">
      <c r="B433">
        <f>'2020_5-2-2_Download'!B25</f>
        <v>252</v>
      </c>
      <c r="C433">
        <f>'2020_5-2-2_Download'!$R$5</f>
        <v>2018</v>
      </c>
      <c r="D433" t="str">
        <f>VLOOKUP(B433,[1]Tabelle1!$A$1:$B$68,2,FALSE)</f>
        <v>Hameln-Pyrmont</v>
      </c>
      <c r="E433" t="str">
        <f>'2020_5-2-2_Download'!$T$7</f>
        <v>Frauen</v>
      </c>
      <c r="G433" t="s">
        <v>84</v>
      </c>
      <c r="H433" t="str">
        <f>VLOOKUP(B433,[2]Kreise!$A$2:$C$53,3,FALSE)</f>
        <v>K03252</v>
      </c>
      <c r="I433">
        <f>'2020_5-2-2_Download'!T25</f>
        <v>1415</v>
      </c>
    </row>
    <row r="434" spans="2:9">
      <c r="B434">
        <f>'2020_5-2-2_Download'!B26</f>
        <v>254</v>
      </c>
      <c r="C434">
        <f>'2020_5-2-2_Download'!$R$5</f>
        <v>2018</v>
      </c>
      <c r="D434" t="str">
        <f>VLOOKUP(B434,[1]Tabelle1!$A$1:$B$68,2,FALSE)</f>
        <v>Hildesheim</v>
      </c>
      <c r="E434" t="str">
        <f>'2020_5-2-2_Download'!$T$7</f>
        <v>Frauen</v>
      </c>
      <c r="G434" t="s">
        <v>84</v>
      </c>
      <c r="H434" t="str">
        <f>VLOOKUP(B434,[2]Kreise!$A$2:$C$53,3,FALSE)</f>
        <v>K03254</v>
      </c>
      <c r="I434">
        <f>'2020_5-2-2_Download'!T26</f>
        <v>2061</v>
      </c>
    </row>
    <row r="435" spans="2:9">
      <c r="B435">
        <f>'2020_5-2-2_Download'!B27</f>
        <v>255</v>
      </c>
      <c r="C435">
        <f>'2020_5-2-2_Download'!$R$5</f>
        <v>2018</v>
      </c>
      <c r="D435" t="str">
        <f>VLOOKUP(B435,[1]Tabelle1!$A$1:$B$68,2,FALSE)</f>
        <v>Holzminden</v>
      </c>
      <c r="E435" t="str">
        <f>'2020_5-2-2_Download'!$T$7</f>
        <v>Frauen</v>
      </c>
      <c r="G435" t="s">
        <v>84</v>
      </c>
      <c r="H435" t="str">
        <f>VLOOKUP(B435,[2]Kreise!$A$2:$C$53,3,FALSE)</f>
        <v>K03255</v>
      </c>
      <c r="I435">
        <f>'2020_5-2-2_Download'!T27</f>
        <v>420</v>
      </c>
    </row>
    <row r="436" spans="2:9">
      <c r="B436">
        <f>'2020_5-2-2_Download'!B28</f>
        <v>256</v>
      </c>
      <c r="C436">
        <f>'2020_5-2-2_Download'!$R$5</f>
        <v>2018</v>
      </c>
      <c r="D436" t="str">
        <f>VLOOKUP(B436,[1]Tabelle1!$A$1:$B$68,2,FALSE)</f>
        <v>Nienburg (Weser)</v>
      </c>
      <c r="E436" t="str">
        <f>'2020_5-2-2_Download'!$T$7</f>
        <v>Frauen</v>
      </c>
      <c r="G436" t="s">
        <v>84</v>
      </c>
      <c r="H436" t="str">
        <f>VLOOKUP(B436,[2]Kreise!$A$2:$C$53,3,FALSE)</f>
        <v>K03256</v>
      </c>
      <c r="I436">
        <f>'2020_5-2-2_Download'!T28</f>
        <v>970</v>
      </c>
    </row>
    <row r="437" spans="2:9">
      <c r="B437">
        <f>'2020_5-2-2_Download'!B29</f>
        <v>257</v>
      </c>
      <c r="C437">
        <f>'2020_5-2-2_Download'!$R$5</f>
        <v>2018</v>
      </c>
      <c r="D437" t="str">
        <f>VLOOKUP(B437,[1]Tabelle1!$A$1:$B$68,2,FALSE)</f>
        <v>Schaumburg</v>
      </c>
      <c r="E437" t="str">
        <f>'2020_5-2-2_Download'!$T$7</f>
        <v>Frauen</v>
      </c>
      <c r="G437" t="s">
        <v>84</v>
      </c>
      <c r="H437" t="str">
        <f>VLOOKUP(B437,[2]Kreise!$A$2:$C$53,3,FALSE)</f>
        <v>K03257</v>
      </c>
      <c r="I437">
        <f>'2020_5-2-2_Download'!T29</f>
        <v>1184</v>
      </c>
    </row>
    <row r="438" spans="2:9">
      <c r="B438">
        <f>'2020_5-2-2_Download'!B30</f>
        <v>2</v>
      </c>
      <c r="C438">
        <f>'2020_5-2-2_Download'!$R$5</f>
        <v>2018</v>
      </c>
      <c r="D438" t="str">
        <f>VLOOKUP(B438,[1]Tabelle1!$A$1:$B$68,2,FALSE)</f>
        <v>Stat. Region Hannover</v>
      </c>
      <c r="E438" t="str">
        <f>'2020_5-2-2_Download'!$T$7</f>
        <v>Frauen</v>
      </c>
      <c r="G438" t="s">
        <v>84</v>
      </c>
      <c r="H438" t="str">
        <f>VLOOKUP(B438,[2]Kreise!$A$2:$C$53,3,FALSE)</f>
        <v>K032</v>
      </c>
      <c r="I438">
        <f>'2020_5-2-2_Download'!T30</f>
        <v>28944</v>
      </c>
    </row>
    <row r="439" spans="2:9">
      <c r="B439">
        <f>'2020_5-2-2_Download'!B31</f>
        <v>351</v>
      </c>
      <c r="C439">
        <f>'2020_5-2-2_Download'!$R$5</f>
        <v>2018</v>
      </c>
      <c r="D439" t="str">
        <f>VLOOKUP(B439,[1]Tabelle1!$A$1:$B$68,2,FALSE)</f>
        <v>Celle</v>
      </c>
      <c r="E439" t="str">
        <f>'2020_5-2-2_Download'!$T$7</f>
        <v>Frauen</v>
      </c>
      <c r="G439" t="s">
        <v>84</v>
      </c>
      <c r="H439" t="str">
        <f>VLOOKUP(B439,[2]Kreise!$A$2:$C$53,3,FALSE)</f>
        <v>K03351</v>
      </c>
      <c r="I439">
        <f>'2020_5-2-2_Download'!T31</f>
        <v>1198</v>
      </c>
    </row>
    <row r="440" spans="2:9">
      <c r="B440">
        <f>'2020_5-2-2_Download'!B32</f>
        <v>352</v>
      </c>
      <c r="C440">
        <f>'2020_5-2-2_Download'!$R$5</f>
        <v>2018</v>
      </c>
      <c r="D440" t="str">
        <f>VLOOKUP(B440,[1]Tabelle1!$A$1:$B$68,2,FALSE)</f>
        <v>Cuxhaven</v>
      </c>
      <c r="E440" t="str">
        <f>'2020_5-2-2_Download'!$T$7</f>
        <v>Frauen</v>
      </c>
      <c r="G440" t="s">
        <v>84</v>
      </c>
      <c r="H440" t="str">
        <f>VLOOKUP(B440,[2]Kreise!$A$2:$C$53,3,FALSE)</f>
        <v>K03352</v>
      </c>
      <c r="I440">
        <f>'2020_5-2-2_Download'!T32</f>
        <v>1328</v>
      </c>
    </row>
    <row r="441" spans="2:9">
      <c r="B441">
        <f>'2020_5-2-2_Download'!B33</f>
        <v>353</v>
      </c>
      <c r="C441">
        <f>'2020_5-2-2_Download'!$R$5</f>
        <v>2018</v>
      </c>
      <c r="D441" t="str">
        <f>VLOOKUP(B441,[1]Tabelle1!$A$1:$B$68,2,FALSE)</f>
        <v>Harburg</v>
      </c>
      <c r="E441" t="str">
        <f>'2020_5-2-2_Download'!$T$7</f>
        <v>Frauen</v>
      </c>
      <c r="G441" t="s">
        <v>84</v>
      </c>
      <c r="H441" t="str">
        <f>VLOOKUP(B441,[2]Kreise!$A$2:$C$53,3,FALSE)</f>
        <v>K03353</v>
      </c>
      <c r="I441">
        <f>'2020_5-2-2_Download'!T33</f>
        <v>2179</v>
      </c>
    </row>
    <row r="442" spans="2:9">
      <c r="B442">
        <f>'2020_5-2-2_Download'!B34</f>
        <v>354</v>
      </c>
      <c r="C442">
        <f>'2020_5-2-2_Download'!$R$5</f>
        <v>2018</v>
      </c>
      <c r="D442" t="str">
        <f>VLOOKUP(B442,[1]Tabelle1!$A$1:$B$68,2,FALSE)</f>
        <v>Lüchow-Dannenberg</v>
      </c>
      <c r="E442" t="str">
        <f>'2020_5-2-2_Download'!$T$7</f>
        <v>Frauen</v>
      </c>
      <c r="G442" t="s">
        <v>84</v>
      </c>
      <c r="H442" t="str">
        <f>VLOOKUP(B442,[2]Kreise!$A$2:$C$53,3,FALSE)</f>
        <v>K03354</v>
      </c>
      <c r="I442">
        <f>'2020_5-2-2_Download'!T34</f>
        <v>280</v>
      </c>
    </row>
    <row r="443" spans="2:9">
      <c r="B443">
        <f>'2020_5-2-2_Download'!B35</f>
        <v>355</v>
      </c>
      <c r="C443">
        <f>'2020_5-2-2_Download'!$R$5</f>
        <v>2018</v>
      </c>
      <c r="D443" t="str">
        <f>VLOOKUP(B443,[1]Tabelle1!$A$1:$B$68,2,FALSE)</f>
        <v>Lüneburg</v>
      </c>
      <c r="E443" t="str">
        <f>'2020_5-2-2_Download'!$T$7</f>
        <v>Frauen</v>
      </c>
      <c r="G443" t="s">
        <v>84</v>
      </c>
      <c r="H443" t="str">
        <f>VLOOKUP(B443,[2]Kreise!$A$2:$C$53,3,FALSE)</f>
        <v>K03355</v>
      </c>
      <c r="I443">
        <f>'2020_5-2-2_Download'!T35</f>
        <v>1233</v>
      </c>
    </row>
    <row r="444" spans="2:9">
      <c r="B444">
        <f>'2020_5-2-2_Download'!B36</f>
        <v>356</v>
      </c>
      <c r="C444">
        <f>'2020_5-2-2_Download'!$R$5</f>
        <v>2018</v>
      </c>
      <c r="D444" t="str">
        <f>VLOOKUP(B444,[1]Tabelle1!$A$1:$B$68,2,FALSE)</f>
        <v>Osterholz</v>
      </c>
      <c r="E444" t="str">
        <f>'2020_5-2-2_Download'!$T$7</f>
        <v>Frauen</v>
      </c>
      <c r="G444" t="s">
        <v>84</v>
      </c>
      <c r="H444" t="str">
        <f>VLOOKUP(B444,[2]Kreise!$A$2:$C$53,3,FALSE)</f>
        <v>K03356</v>
      </c>
      <c r="I444">
        <f>'2020_5-2-2_Download'!T36</f>
        <v>540</v>
      </c>
    </row>
    <row r="445" spans="2:9">
      <c r="B445">
        <f>'2020_5-2-2_Download'!B37</f>
        <v>357</v>
      </c>
      <c r="C445">
        <f>'2020_5-2-2_Download'!$R$5</f>
        <v>2018</v>
      </c>
      <c r="D445" t="str">
        <f>VLOOKUP(B445,[1]Tabelle1!$A$1:$B$68,2,FALSE)</f>
        <v>Rotenburg (Wümme)</v>
      </c>
      <c r="E445" t="str">
        <f>'2020_5-2-2_Download'!$T$7</f>
        <v>Frauen</v>
      </c>
      <c r="G445" t="s">
        <v>84</v>
      </c>
      <c r="H445" t="str">
        <f>VLOOKUP(B445,[2]Kreise!$A$2:$C$53,3,FALSE)</f>
        <v>K03357</v>
      </c>
      <c r="I445">
        <f>'2020_5-2-2_Download'!T37</f>
        <v>1142</v>
      </c>
    </row>
    <row r="446" spans="2:9">
      <c r="B446">
        <f>'2020_5-2-2_Download'!B38</f>
        <v>358</v>
      </c>
      <c r="C446">
        <f>'2020_5-2-2_Download'!$R$5</f>
        <v>2018</v>
      </c>
      <c r="D446" t="str">
        <f>VLOOKUP(B446,[1]Tabelle1!$A$1:$B$68,2,FALSE)</f>
        <v>Heidekreis</v>
      </c>
      <c r="E446" t="str">
        <f>'2020_5-2-2_Download'!$T$7</f>
        <v>Frauen</v>
      </c>
      <c r="G446" t="s">
        <v>84</v>
      </c>
      <c r="H446" t="str">
        <f>VLOOKUP(B446,[2]Kreise!$A$2:$C$53,3,FALSE)</f>
        <v>K03358</v>
      </c>
      <c r="I446">
        <f>'2020_5-2-2_Download'!T38</f>
        <v>1289</v>
      </c>
    </row>
    <row r="447" spans="2:9">
      <c r="B447">
        <f>'2020_5-2-2_Download'!B39</f>
        <v>359</v>
      </c>
      <c r="C447">
        <f>'2020_5-2-2_Download'!$R$5</f>
        <v>2018</v>
      </c>
      <c r="D447" t="str">
        <f>VLOOKUP(B447,[1]Tabelle1!$A$1:$B$68,2,FALSE)</f>
        <v>Stade</v>
      </c>
      <c r="E447" t="str">
        <f>'2020_5-2-2_Download'!$T$7</f>
        <v>Frauen</v>
      </c>
      <c r="G447" t="s">
        <v>84</v>
      </c>
      <c r="H447" t="str">
        <f>VLOOKUP(B447,[2]Kreise!$A$2:$C$53,3,FALSE)</f>
        <v>K03359</v>
      </c>
      <c r="I447">
        <f>'2020_5-2-2_Download'!T39</f>
        <v>1392</v>
      </c>
    </row>
    <row r="448" spans="2:9">
      <c r="B448">
        <f>'2020_5-2-2_Download'!B40</f>
        <v>360</v>
      </c>
      <c r="C448">
        <f>'2020_5-2-2_Download'!$R$5</f>
        <v>2018</v>
      </c>
      <c r="D448" t="str">
        <f>VLOOKUP(B448,[1]Tabelle1!$A$1:$B$68,2,FALSE)</f>
        <v>Uelzen</v>
      </c>
      <c r="E448" t="str">
        <f>'2020_5-2-2_Download'!$T$7</f>
        <v>Frauen</v>
      </c>
      <c r="G448" t="s">
        <v>84</v>
      </c>
      <c r="H448" t="str">
        <f>VLOOKUP(B448,[2]Kreise!$A$2:$C$53,3,FALSE)</f>
        <v>K03360</v>
      </c>
      <c r="I448">
        <f>'2020_5-2-2_Download'!T40</f>
        <v>530</v>
      </c>
    </row>
    <row r="449" spans="2:9">
      <c r="B449">
        <f>'2020_5-2-2_Download'!B41</f>
        <v>361</v>
      </c>
      <c r="C449">
        <f>'2020_5-2-2_Download'!$R$5</f>
        <v>2018</v>
      </c>
      <c r="D449" t="str">
        <f>VLOOKUP(B449,[1]Tabelle1!$A$1:$B$68,2,FALSE)</f>
        <v>Verden</v>
      </c>
      <c r="E449" t="str">
        <f>'2020_5-2-2_Download'!$T$7</f>
        <v>Frauen</v>
      </c>
      <c r="G449" t="s">
        <v>84</v>
      </c>
      <c r="H449" t="str">
        <f>VLOOKUP(B449,[2]Kreise!$A$2:$C$53,3,FALSE)</f>
        <v>K03361</v>
      </c>
      <c r="I449">
        <f>'2020_5-2-2_Download'!T41</f>
        <v>1311</v>
      </c>
    </row>
    <row r="450" spans="2:9">
      <c r="B450">
        <f>'2020_5-2-2_Download'!B42</f>
        <v>3</v>
      </c>
      <c r="C450">
        <f>'2020_5-2-2_Download'!$R$5</f>
        <v>2018</v>
      </c>
      <c r="D450" t="str">
        <f>VLOOKUP(B450,[1]Tabelle1!$A$1:$B$68,2,FALSE)</f>
        <v>Stat. Region Lüneburg</v>
      </c>
      <c r="E450" t="str">
        <f>'2020_5-2-2_Download'!$T$7</f>
        <v>Frauen</v>
      </c>
      <c r="G450" t="s">
        <v>84</v>
      </c>
      <c r="H450" t="str">
        <f>VLOOKUP(B450,[2]Kreise!$A$2:$C$53,3,FALSE)</f>
        <v>K033</v>
      </c>
      <c r="I450">
        <f>'2020_5-2-2_Download'!T42</f>
        <v>12422</v>
      </c>
    </row>
    <row r="451" spans="2:9">
      <c r="B451">
        <f>'2020_5-2-2_Download'!B43</f>
        <v>401</v>
      </c>
      <c r="C451">
        <f>'2020_5-2-2_Download'!$R$5</f>
        <v>2018</v>
      </c>
      <c r="D451" t="str">
        <f>VLOOKUP(B451,[1]Tabelle1!$A$1:$B$68,2,FALSE)</f>
        <v>Delmenhorst  Stadt</v>
      </c>
      <c r="E451" t="str">
        <f>'2020_5-2-2_Download'!$T$7</f>
        <v>Frauen</v>
      </c>
      <c r="G451" t="s">
        <v>84</v>
      </c>
      <c r="H451" t="str">
        <f>VLOOKUP(B451,[2]Kreise!$A$2:$C$53,3,FALSE)</f>
        <v>K03401</v>
      </c>
      <c r="I451">
        <f>'2020_5-2-2_Download'!T43</f>
        <v>679</v>
      </c>
    </row>
    <row r="452" spans="2:9">
      <c r="B452">
        <f>'2020_5-2-2_Download'!B44</f>
        <v>402</v>
      </c>
      <c r="C452">
        <f>'2020_5-2-2_Download'!$R$5</f>
        <v>2018</v>
      </c>
      <c r="D452" t="str">
        <f>VLOOKUP(B452,[1]Tabelle1!$A$1:$B$68,2,FALSE)</f>
        <v>Emden  Stadt</v>
      </c>
      <c r="E452" t="str">
        <f>'2020_5-2-2_Download'!$T$7</f>
        <v>Frauen</v>
      </c>
      <c r="G452" t="s">
        <v>84</v>
      </c>
      <c r="H452" t="str">
        <f>VLOOKUP(B452,[2]Kreise!$A$2:$C$53,3,FALSE)</f>
        <v>K03402</v>
      </c>
      <c r="I452">
        <f>'2020_5-2-2_Download'!T44</f>
        <v>462</v>
      </c>
    </row>
    <row r="453" spans="2:9">
      <c r="B453">
        <f>'2020_5-2-2_Download'!B45</f>
        <v>403</v>
      </c>
      <c r="C453">
        <f>'2020_5-2-2_Download'!$R$5</f>
        <v>2018</v>
      </c>
      <c r="D453" t="str">
        <f>VLOOKUP(B453,[1]Tabelle1!$A$1:$B$68,2,FALSE)</f>
        <v>Oldenburg(Oldb)  Stadt</v>
      </c>
      <c r="E453" t="str">
        <f>'2020_5-2-2_Download'!$T$7</f>
        <v>Frauen</v>
      </c>
      <c r="G453" t="s">
        <v>84</v>
      </c>
      <c r="H453" t="str">
        <f>VLOOKUP(B453,[2]Kreise!$A$2:$C$53,3,FALSE)</f>
        <v>K03403</v>
      </c>
      <c r="I453">
        <f>'2020_5-2-2_Download'!T45</f>
        <v>1773</v>
      </c>
    </row>
    <row r="454" spans="2:9">
      <c r="B454">
        <f>'2020_5-2-2_Download'!B46</f>
        <v>404</v>
      </c>
      <c r="C454">
        <f>'2020_5-2-2_Download'!$R$5</f>
        <v>2018</v>
      </c>
      <c r="D454" t="str">
        <f>VLOOKUP(B454,[1]Tabelle1!$A$1:$B$68,2,FALSE)</f>
        <v>Osnabrück  Stadt</v>
      </c>
      <c r="E454" t="str">
        <f>'2020_5-2-2_Download'!$T$7</f>
        <v>Frauen</v>
      </c>
      <c r="G454" t="s">
        <v>84</v>
      </c>
      <c r="H454" t="str">
        <f>VLOOKUP(B454,[2]Kreise!$A$2:$C$53,3,FALSE)</f>
        <v>K03404</v>
      </c>
      <c r="I454">
        <f>'2020_5-2-2_Download'!T46</f>
        <v>3267</v>
      </c>
    </row>
    <row r="455" spans="2:9">
      <c r="B455">
        <f>'2020_5-2-2_Download'!B47</f>
        <v>405</v>
      </c>
      <c r="C455">
        <f>'2020_5-2-2_Download'!$R$5</f>
        <v>2018</v>
      </c>
      <c r="D455" t="str">
        <f>VLOOKUP(B455,[1]Tabelle1!$A$1:$B$68,2,FALSE)</f>
        <v>Wilhelmshaven  Stadt</v>
      </c>
      <c r="E455" t="str">
        <f>'2020_5-2-2_Download'!$T$7</f>
        <v>Frauen</v>
      </c>
      <c r="G455" t="s">
        <v>84</v>
      </c>
      <c r="H455" t="str">
        <f>VLOOKUP(B455,[2]Kreise!$A$2:$C$53,3,FALSE)</f>
        <v>K03405</v>
      </c>
      <c r="I455">
        <f>'2020_5-2-2_Download'!T47</f>
        <v>422</v>
      </c>
    </row>
    <row r="456" spans="2:9">
      <c r="B456">
        <f>'2020_5-2-2_Download'!B48</f>
        <v>451</v>
      </c>
      <c r="C456">
        <f>'2020_5-2-2_Download'!$R$5</f>
        <v>2018</v>
      </c>
      <c r="D456" t="str">
        <f>VLOOKUP(B456,[1]Tabelle1!$A$1:$B$68,2,FALSE)</f>
        <v>Ammerland</v>
      </c>
      <c r="E456" t="str">
        <f>'2020_5-2-2_Download'!$T$7</f>
        <v>Frauen</v>
      </c>
      <c r="G456" t="s">
        <v>84</v>
      </c>
      <c r="H456" t="str">
        <f>VLOOKUP(B456,[2]Kreise!$A$2:$C$53,3,FALSE)</f>
        <v>K03451</v>
      </c>
      <c r="I456">
        <f>'2020_5-2-2_Download'!T48</f>
        <v>1096</v>
      </c>
    </row>
    <row r="457" spans="2:9">
      <c r="B457">
        <f>'2020_5-2-2_Download'!B49</f>
        <v>452</v>
      </c>
      <c r="C457">
        <f>'2020_5-2-2_Download'!$R$5</f>
        <v>2018</v>
      </c>
      <c r="D457" t="str">
        <f>VLOOKUP(B457,[1]Tabelle1!$A$1:$B$68,2,FALSE)</f>
        <v>Aurich</v>
      </c>
      <c r="E457" t="str">
        <f>'2020_5-2-2_Download'!$T$7</f>
        <v>Frauen</v>
      </c>
      <c r="G457" t="s">
        <v>84</v>
      </c>
      <c r="H457" t="str">
        <f>VLOOKUP(B457,[2]Kreise!$A$2:$C$53,3,FALSE)</f>
        <v>K03452</v>
      </c>
      <c r="I457">
        <f>'2020_5-2-2_Download'!T49</f>
        <v>1516</v>
      </c>
    </row>
    <row r="458" spans="2:9">
      <c r="B458">
        <f>'2020_5-2-2_Download'!B50</f>
        <v>453</v>
      </c>
      <c r="C458">
        <f>'2020_5-2-2_Download'!$R$5</f>
        <v>2018</v>
      </c>
      <c r="D458" t="str">
        <f>VLOOKUP(B458,[1]Tabelle1!$A$1:$B$68,2,FALSE)</f>
        <v>Cloppenburg</v>
      </c>
      <c r="E458" t="str">
        <f>'2020_5-2-2_Download'!$T$7</f>
        <v>Frauen</v>
      </c>
      <c r="G458" t="s">
        <v>84</v>
      </c>
      <c r="H458" t="str">
        <f>VLOOKUP(B458,[2]Kreise!$A$2:$C$53,3,FALSE)</f>
        <v>K03453</v>
      </c>
      <c r="I458">
        <f>'2020_5-2-2_Download'!T50</f>
        <v>2742</v>
      </c>
    </row>
    <row r="459" spans="2:9">
      <c r="B459">
        <f>'2020_5-2-2_Download'!B51</f>
        <v>454</v>
      </c>
      <c r="C459">
        <f>'2020_5-2-2_Download'!$R$5</f>
        <v>2018</v>
      </c>
      <c r="D459" t="str">
        <f>VLOOKUP(B459,[1]Tabelle1!$A$1:$B$68,2,FALSE)</f>
        <v>Emsland</v>
      </c>
      <c r="E459" t="str">
        <f>'2020_5-2-2_Download'!$T$7</f>
        <v>Frauen</v>
      </c>
      <c r="G459" t="s">
        <v>84</v>
      </c>
      <c r="H459" t="str">
        <f>VLOOKUP(B459,[2]Kreise!$A$2:$C$53,3,FALSE)</f>
        <v>K03454</v>
      </c>
      <c r="I459">
        <f>'2020_5-2-2_Download'!T51</f>
        <v>3330</v>
      </c>
    </row>
    <row r="460" spans="2:9">
      <c r="B460">
        <f>'2020_5-2-2_Download'!B52</f>
        <v>455</v>
      </c>
      <c r="C460">
        <f>'2020_5-2-2_Download'!$R$5</f>
        <v>2018</v>
      </c>
      <c r="D460" t="str">
        <f>VLOOKUP(B460,[1]Tabelle1!$A$1:$B$68,2,FALSE)</f>
        <v>Friesland</v>
      </c>
      <c r="E460" t="str">
        <f>'2020_5-2-2_Download'!$T$7</f>
        <v>Frauen</v>
      </c>
      <c r="G460" t="s">
        <v>84</v>
      </c>
      <c r="H460" t="str">
        <f>VLOOKUP(B460,[2]Kreise!$A$2:$C$53,3,FALSE)</f>
        <v>K03455</v>
      </c>
      <c r="I460">
        <f>'2020_5-2-2_Download'!T52</f>
        <v>455</v>
      </c>
    </row>
    <row r="461" spans="2:9">
      <c r="B461">
        <f>'2020_5-2-2_Download'!B53</f>
        <v>456</v>
      </c>
      <c r="C461">
        <f>'2020_5-2-2_Download'!$R$5</f>
        <v>2018</v>
      </c>
      <c r="D461" t="str">
        <f>VLOOKUP(B461,[1]Tabelle1!$A$1:$B$68,2,FALSE)</f>
        <v>Grafschaft Bentheim</v>
      </c>
      <c r="E461" t="str">
        <f>'2020_5-2-2_Download'!$T$7</f>
        <v>Frauen</v>
      </c>
      <c r="G461" t="s">
        <v>84</v>
      </c>
      <c r="H461" t="str">
        <f>VLOOKUP(B461,[2]Kreise!$A$2:$C$53,3,FALSE)</f>
        <v>K03456</v>
      </c>
      <c r="I461">
        <f>'2020_5-2-2_Download'!T53</f>
        <v>1655</v>
      </c>
    </row>
    <row r="462" spans="2:9">
      <c r="B462">
        <f>'2020_5-2-2_Download'!B54</f>
        <v>457</v>
      </c>
      <c r="C462">
        <f>'2020_5-2-2_Download'!$R$5</f>
        <v>2018</v>
      </c>
      <c r="D462" t="str">
        <f>VLOOKUP(B462,[1]Tabelle1!$A$1:$B$68,2,FALSE)</f>
        <v>Leer</v>
      </c>
      <c r="E462" t="str">
        <f>'2020_5-2-2_Download'!$T$7</f>
        <v>Frauen</v>
      </c>
      <c r="G462" t="s">
        <v>84</v>
      </c>
      <c r="H462" t="str">
        <f>VLOOKUP(B462,[2]Kreise!$A$2:$C$53,3,FALSE)</f>
        <v>K03457</v>
      </c>
      <c r="I462">
        <f>'2020_5-2-2_Download'!T54</f>
        <v>987</v>
      </c>
    </row>
    <row r="463" spans="2:9">
      <c r="B463">
        <f>'2020_5-2-2_Download'!B55</f>
        <v>458</v>
      </c>
      <c r="C463">
        <f>'2020_5-2-2_Download'!$R$5</f>
        <v>2018</v>
      </c>
      <c r="D463" t="str">
        <f>VLOOKUP(B463,[1]Tabelle1!$A$1:$B$68,2,FALSE)</f>
        <v>Oldenburg</v>
      </c>
      <c r="E463" t="str">
        <f>'2020_5-2-2_Download'!$T$7</f>
        <v>Frauen</v>
      </c>
      <c r="G463" t="s">
        <v>84</v>
      </c>
      <c r="H463" t="str">
        <f>VLOOKUP(B463,[2]Kreise!$A$2:$C$53,3,FALSE)</f>
        <v>K03458</v>
      </c>
      <c r="I463">
        <f>'2020_5-2-2_Download'!T55</f>
        <v>899</v>
      </c>
    </row>
    <row r="464" spans="2:9">
      <c r="B464">
        <f>'2020_5-2-2_Download'!B56</f>
        <v>459</v>
      </c>
      <c r="C464">
        <f>'2020_5-2-2_Download'!$R$5</f>
        <v>2018</v>
      </c>
      <c r="D464" t="str">
        <f>VLOOKUP(B464,[1]Tabelle1!$A$1:$B$68,2,FALSE)</f>
        <v>Osnabrück</v>
      </c>
      <c r="E464" t="str">
        <f>'2020_5-2-2_Download'!$T$7</f>
        <v>Frauen</v>
      </c>
      <c r="G464" t="s">
        <v>84</v>
      </c>
      <c r="H464" t="str">
        <f>VLOOKUP(B464,[2]Kreise!$A$2:$C$53,3,FALSE)</f>
        <v>K03459</v>
      </c>
      <c r="I464">
        <f>'2020_5-2-2_Download'!T56</f>
        <v>5223</v>
      </c>
    </row>
    <row r="465" spans="2:9">
      <c r="B465">
        <f>'2020_5-2-2_Download'!B57</f>
        <v>460</v>
      </c>
      <c r="C465">
        <f>'2020_5-2-2_Download'!$R$5</f>
        <v>2018</v>
      </c>
      <c r="D465" t="str">
        <f>VLOOKUP(B465,[1]Tabelle1!$A$1:$B$68,2,FALSE)</f>
        <v>Vechta</v>
      </c>
      <c r="E465" t="str">
        <f>'2020_5-2-2_Download'!$T$7</f>
        <v>Frauen</v>
      </c>
      <c r="G465" t="s">
        <v>84</v>
      </c>
      <c r="H465" t="str">
        <f>VLOOKUP(B465,[2]Kreise!$A$2:$C$53,3,FALSE)</f>
        <v>K03460</v>
      </c>
      <c r="I465">
        <f>'2020_5-2-2_Download'!T57</f>
        <v>3167</v>
      </c>
    </row>
    <row r="466" spans="2:9">
      <c r="B466">
        <f>'2020_5-2-2_Download'!B58</f>
        <v>461</v>
      </c>
      <c r="C466">
        <f>'2020_5-2-2_Download'!$R$5</f>
        <v>2018</v>
      </c>
      <c r="D466" t="str">
        <f>VLOOKUP(B466,[1]Tabelle1!$A$1:$B$68,2,FALSE)</f>
        <v>Wesermarsch</v>
      </c>
      <c r="E466" t="str">
        <f>'2020_5-2-2_Download'!$T$7</f>
        <v>Frauen</v>
      </c>
      <c r="G466" t="s">
        <v>84</v>
      </c>
      <c r="H466" t="str">
        <f>VLOOKUP(B466,[2]Kreise!$A$2:$C$53,3,FALSE)</f>
        <v>K03461</v>
      </c>
      <c r="I466">
        <f>'2020_5-2-2_Download'!T58</f>
        <v>445</v>
      </c>
    </row>
    <row r="467" spans="2:9">
      <c r="B467">
        <f>'2020_5-2-2_Download'!B59</f>
        <v>462</v>
      </c>
      <c r="C467">
        <f>'2020_5-2-2_Download'!$R$5</f>
        <v>2018</v>
      </c>
      <c r="D467" t="str">
        <f>VLOOKUP(B467,[1]Tabelle1!$A$1:$B$68,2,FALSE)</f>
        <v>Wittmund</v>
      </c>
      <c r="E467" t="str">
        <f>'2020_5-2-2_Download'!$T$7</f>
        <v>Frauen</v>
      </c>
      <c r="G467" t="s">
        <v>84</v>
      </c>
      <c r="H467" t="str">
        <f>VLOOKUP(B467,[2]Kreise!$A$2:$C$53,3,FALSE)</f>
        <v>K03462</v>
      </c>
      <c r="I467">
        <f>'2020_5-2-2_Download'!T59</f>
        <v>352</v>
      </c>
    </row>
    <row r="468" spans="2:9">
      <c r="B468">
        <f>'2020_5-2-2_Download'!B60</f>
        <v>4</v>
      </c>
      <c r="C468">
        <f>'2020_5-2-2_Download'!$R$5</f>
        <v>2018</v>
      </c>
      <c r="D468" t="str">
        <f>VLOOKUP(B468,[1]Tabelle1!$A$1:$B$68,2,FALSE)</f>
        <v>Stat. Region Weser-Ems</v>
      </c>
      <c r="E468" t="str">
        <f>'2020_5-2-2_Download'!$T$7</f>
        <v>Frauen</v>
      </c>
      <c r="G468" t="s">
        <v>84</v>
      </c>
      <c r="H468" t="str">
        <f>VLOOKUP(B468,[2]Kreise!$A$2:$C$53,3,FALSE)</f>
        <v>K034</v>
      </c>
      <c r="I468">
        <f>'2020_5-2-2_Download'!T60</f>
        <v>28470</v>
      </c>
    </row>
    <row r="469" spans="2:9">
      <c r="B469">
        <f>'2020_5-2-2_Download'!B61</f>
        <v>0</v>
      </c>
      <c r="C469">
        <f>'2020_5-2-2_Download'!$R$5</f>
        <v>2018</v>
      </c>
      <c r="D469" t="str">
        <f>VLOOKUP(B469,[1]Tabelle1!$A$1:$B$68,2,FALSE)</f>
        <v>Niedersachsen</v>
      </c>
      <c r="E469" t="str">
        <f>'2020_5-2-2_Download'!$T$7</f>
        <v>Frauen</v>
      </c>
      <c r="G469" t="s">
        <v>84</v>
      </c>
      <c r="H469" t="str">
        <f>VLOOKUP(B469,[2]Kreise!$A$2:$C$53,3,FALSE)</f>
        <v>K030</v>
      </c>
      <c r="I469">
        <f>'2020_5-2-2_Download'!T61</f>
        <v>85473</v>
      </c>
    </row>
    <row r="470" spans="2:9">
      <c r="B470">
        <f>'2020_5-2-2_Download'!B10</f>
        <v>101</v>
      </c>
      <c r="C470">
        <f>'2020_5-2-2_Download'!$Y$5</f>
        <v>2017</v>
      </c>
      <c r="D470" t="str">
        <f>VLOOKUP(B470,[1]Tabelle1!$A$1:$B$68,2,FALSE)</f>
        <v>Braunschweig  Stadt</v>
      </c>
      <c r="E470" t="str">
        <f>'2020_5-2-2_Download'!$Y$7</f>
        <v>Insgesamt</v>
      </c>
      <c r="G470" t="s">
        <v>84</v>
      </c>
      <c r="H470" t="str">
        <f>VLOOKUP(B470,[2]Kreise!$A$2:$C$53,3,FALSE)</f>
        <v>K03101</v>
      </c>
      <c r="I470">
        <f>'2020_5-2-2_Download'!Y10</f>
        <v>9028</v>
      </c>
    </row>
    <row r="471" spans="2:9">
      <c r="B471">
        <f>'2020_5-2-2_Download'!B11</f>
        <v>102</v>
      </c>
      <c r="C471">
        <f>'2020_5-2-2_Download'!$Y$5</f>
        <v>2017</v>
      </c>
      <c r="D471" t="str">
        <f>VLOOKUP(B471,[1]Tabelle1!$A$1:$B$68,2,FALSE)</f>
        <v>Salzgitter  Stadt</v>
      </c>
      <c r="E471" t="str">
        <f>'2020_5-2-2_Download'!$Y$7</f>
        <v>Insgesamt</v>
      </c>
      <c r="G471" t="s">
        <v>84</v>
      </c>
      <c r="H471" t="str">
        <f>VLOOKUP(B471,[2]Kreise!$A$2:$C$53,3,FALSE)</f>
        <v>K03102</v>
      </c>
      <c r="I471">
        <f>'2020_5-2-2_Download'!Y11</f>
        <v>3977</v>
      </c>
    </row>
    <row r="472" spans="2:9">
      <c r="B472">
        <f>'2020_5-2-2_Download'!B12</f>
        <v>103</v>
      </c>
      <c r="C472">
        <f>'2020_5-2-2_Download'!$Y$5</f>
        <v>2017</v>
      </c>
      <c r="D472" t="str">
        <f>VLOOKUP(B472,[1]Tabelle1!$A$1:$B$68,2,FALSE)</f>
        <v>Wolfsburg  Stadt</v>
      </c>
      <c r="E472" t="str">
        <f>'2020_5-2-2_Download'!$Y$7</f>
        <v>Insgesamt</v>
      </c>
      <c r="G472" t="s">
        <v>84</v>
      </c>
      <c r="H472" t="str">
        <f>VLOOKUP(B472,[2]Kreise!$A$2:$C$53,3,FALSE)</f>
        <v>K03103</v>
      </c>
      <c r="I472">
        <f>'2020_5-2-2_Download'!Y12</f>
        <v>8937</v>
      </c>
    </row>
    <row r="473" spans="2:9">
      <c r="B473">
        <f>'2020_5-2-2_Download'!B13</f>
        <v>151</v>
      </c>
      <c r="C473">
        <f>'2020_5-2-2_Download'!$Y$5</f>
        <v>2017</v>
      </c>
      <c r="D473" t="str">
        <f>VLOOKUP(B473,[1]Tabelle1!$A$1:$B$68,2,FALSE)</f>
        <v>Gifhorn</v>
      </c>
      <c r="E473" t="str">
        <f>'2020_5-2-2_Download'!$Y$7</f>
        <v>Insgesamt</v>
      </c>
      <c r="G473" t="s">
        <v>84</v>
      </c>
      <c r="H473" t="str">
        <f>VLOOKUP(B473,[2]Kreise!$A$2:$C$53,3,FALSE)</f>
        <v>K03151</v>
      </c>
      <c r="I473">
        <f>'2020_5-2-2_Download'!Y13</f>
        <v>2431</v>
      </c>
    </row>
    <row r="474" spans="2:9">
      <c r="B474">
        <f>'2020_5-2-2_Download'!B14</f>
        <v>153</v>
      </c>
      <c r="C474">
        <f>'2020_5-2-2_Download'!$Y$5</f>
        <v>2017</v>
      </c>
      <c r="D474" t="str">
        <f>VLOOKUP(B474,[1]Tabelle1!$A$1:$B$68,2,FALSE)</f>
        <v>Goslar</v>
      </c>
      <c r="E474" t="str">
        <f>'2020_5-2-2_Download'!$Y$7</f>
        <v>Insgesamt</v>
      </c>
      <c r="G474" t="s">
        <v>84</v>
      </c>
      <c r="H474" t="str">
        <f>VLOOKUP(B474,[2]Kreise!$A$2:$C$53,3,FALSE)</f>
        <v>K03153</v>
      </c>
      <c r="I474">
        <f>'2020_5-2-2_Download'!Y14</f>
        <v>2405</v>
      </c>
    </row>
    <row r="475" spans="2:9">
      <c r="B475">
        <f>'2020_5-2-2_Download'!B15</f>
        <v>154</v>
      </c>
      <c r="C475">
        <f>'2020_5-2-2_Download'!$Y$5</f>
        <v>2017</v>
      </c>
      <c r="D475" t="str">
        <f>VLOOKUP(B475,[1]Tabelle1!$A$1:$B$68,2,FALSE)</f>
        <v>Helmstedt</v>
      </c>
      <c r="E475" t="str">
        <f>'2020_5-2-2_Download'!$Y$7</f>
        <v>Insgesamt</v>
      </c>
      <c r="G475" t="s">
        <v>84</v>
      </c>
      <c r="H475" t="str">
        <f>VLOOKUP(B475,[2]Kreise!$A$2:$C$53,3,FALSE)</f>
        <v>K03154</v>
      </c>
      <c r="I475">
        <f>'2020_5-2-2_Download'!Y15</f>
        <v>1295</v>
      </c>
    </row>
    <row r="476" spans="2:9">
      <c r="B476">
        <f>'2020_5-2-2_Download'!B16</f>
        <v>155</v>
      </c>
      <c r="C476">
        <f>'2020_5-2-2_Download'!$Y$5</f>
        <v>2017</v>
      </c>
      <c r="D476" t="str">
        <f>VLOOKUP(B476,[1]Tabelle1!$A$1:$B$68,2,FALSE)</f>
        <v>Northeim</v>
      </c>
      <c r="E476" t="str">
        <f>'2020_5-2-2_Download'!$Y$7</f>
        <v>Insgesamt</v>
      </c>
      <c r="G476" t="s">
        <v>84</v>
      </c>
      <c r="H476" t="str">
        <f>VLOOKUP(B476,[2]Kreise!$A$2:$C$53,3,FALSE)</f>
        <v>K03155</v>
      </c>
      <c r="I476">
        <f>'2020_5-2-2_Download'!Y16</f>
        <v>2659</v>
      </c>
    </row>
    <row r="477" spans="2:9">
      <c r="B477">
        <f>'2020_5-2-2_Download'!B17</f>
        <v>157</v>
      </c>
      <c r="C477">
        <f>'2020_5-2-2_Download'!$Y$5</f>
        <v>2017</v>
      </c>
      <c r="D477" t="str">
        <f>VLOOKUP(B477,[1]Tabelle1!$A$1:$B$68,2,FALSE)</f>
        <v>Peine</v>
      </c>
      <c r="E477" t="str">
        <f>'2020_5-2-2_Download'!$Y$7</f>
        <v>Insgesamt</v>
      </c>
      <c r="G477" t="s">
        <v>84</v>
      </c>
      <c r="H477" t="str">
        <f>VLOOKUP(B477,[2]Kreise!$A$2:$C$53,3,FALSE)</f>
        <v>K03157</v>
      </c>
      <c r="I477">
        <f>'2020_5-2-2_Download'!Y17</f>
        <v>2202</v>
      </c>
    </row>
    <row r="478" spans="2:9">
      <c r="B478">
        <f>'2020_5-2-2_Download'!B18</f>
        <v>158</v>
      </c>
      <c r="C478">
        <f>'2020_5-2-2_Download'!$Y$5</f>
        <v>2017</v>
      </c>
      <c r="D478" t="str">
        <f>VLOOKUP(B478,[1]Tabelle1!$A$1:$B$68,2,FALSE)</f>
        <v>Wolfenbüttel</v>
      </c>
      <c r="E478" t="str">
        <f>'2020_5-2-2_Download'!$Y$7</f>
        <v>Insgesamt</v>
      </c>
      <c r="G478" t="s">
        <v>84</v>
      </c>
      <c r="H478" t="str">
        <f>VLOOKUP(B478,[2]Kreise!$A$2:$C$53,3,FALSE)</f>
        <v>K03158</v>
      </c>
      <c r="I478">
        <f>'2020_5-2-2_Download'!Y18</f>
        <v>1212</v>
      </c>
    </row>
    <row r="479" spans="2:9">
      <c r="B479">
        <f>'2020_5-2-2_Download'!B19</f>
        <v>159</v>
      </c>
      <c r="C479">
        <f>'2020_5-2-2_Download'!$Y$5</f>
        <v>2017</v>
      </c>
      <c r="D479" t="str">
        <f>VLOOKUP(B479,[1]Tabelle1!$A$1:$B$68,2,FALSE)</f>
        <v>Göttingen</v>
      </c>
      <c r="E479" t="str">
        <f>'2020_5-2-2_Download'!$Y$7</f>
        <v>Insgesamt</v>
      </c>
      <c r="G479" t="s">
        <v>84</v>
      </c>
      <c r="H479" t="str">
        <f>VLOOKUP(B479,[2]Kreise!$A$2:$C$53,3,FALSE)</f>
        <v>K03159</v>
      </c>
      <c r="I479">
        <f>'2020_5-2-2_Download'!Y19</f>
        <v>7778</v>
      </c>
    </row>
    <row r="480" spans="2:9">
      <c r="B480">
        <f>'2020_5-2-2_Download'!B20</f>
        <v>1</v>
      </c>
      <c r="C480">
        <f>'2020_5-2-2_Download'!$Y$5</f>
        <v>2017</v>
      </c>
      <c r="D480" t="str">
        <f>VLOOKUP(B480,[1]Tabelle1!$A$1:$B$68,2,FALSE)</f>
        <v>Stat. Region Braunschweig</v>
      </c>
      <c r="E480" t="str">
        <f>'2020_5-2-2_Download'!$Y$7</f>
        <v>Insgesamt</v>
      </c>
      <c r="G480" t="s">
        <v>84</v>
      </c>
      <c r="H480" t="str">
        <f>VLOOKUP(B480,[2]Kreise!$A$2:$C$53,3,FALSE)</f>
        <v>K031</v>
      </c>
      <c r="I480">
        <f>'2020_5-2-2_Download'!Y20</f>
        <v>41924</v>
      </c>
    </row>
    <row r="481" spans="2:9">
      <c r="B481">
        <f>'2020_5-2-2_Download'!B21</f>
        <v>241</v>
      </c>
      <c r="C481">
        <f>'2020_5-2-2_Download'!$Y$5</f>
        <v>2017</v>
      </c>
      <c r="D481" t="str">
        <f>VLOOKUP(B481,[1]Tabelle1!$A$1:$B$68,2,FALSE)</f>
        <v>Hannover  Region</v>
      </c>
      <c r="E481" t="str">
        <f>'2020_5-2-2_Download'!$Y$7</f>
        <v>Insgesamt</v>
      </c>
      <c r="G481" t="s">
        <v>84</v>
      </c>
      <c r="H481" t="str">
        <f>VLOOKUP(B481,[2]Kreise!$A$2:$C$53,3,FALSE)</f>
        <v>K03241</v>
      </c>
      <c r="I481">
        <f>'2020_5-2-2_Download'!Y21</f>
        <v>51403</v>
      </c>
    </row>
    <row r="482" spans="2:9">
      <c r="B482">
        <f>'2020_5-2-2_Download'!B22</f>
        <v>241001</v>
      </c>
      <c r="C482">
        <f>'2020_5-2-2_Download'!$Y$5</f>
        <v>2017</v>
      </c>
      <c r="D482" t="str">
        <f>VLOOKUP(B482,[1]Tabelle1!$A$1:$B$68,2,FALSE)</f>
        <v>dav. Hannover  Lhst.</v>
      </c>
      <c r="E482" t="str">
        <f>'2020_5-2-2_Download'!$Y$7</f>
        <v>Insgesamt</v>
      </c>
      <c r="G482" t="s">
        <v>84</v>
      </c>
      <c r="H482" t="str">
        <f>VLOOKUP(B482,[2]Kreise!$A$2:$C$53,3,FALSE)</f>
        <v>K03241001</v>
      </c>
      <c r="I482">
        <f>'2020_5-2-2_Download'!Y22</f>
        <v>33601</v>
      </c>
    </row>
    <row r="483" spans="2:9">
      <c r="B483">
        <f>'2020_5-2-2_Download'!B23</f>
        <v>241999</v>
      </c>
      <c r="C483">
        <f>'2020_5-2-2_Download'!$Y$5</f>
        <v>2017</v>
      </c>
      <c r="D483" t="str">
        <f>VLOOKUP(B483,[1]Tabelle1!$A$1:$B$68,2,FALSE)</f>
        <v>dav. Hannover  Umland</v>
      </c>
      <c r="E483" t="str">
        <f>'2020_5-2-2_Download'!$Y$7</f>
        <v>Insgesamt</v>
      </c>
      <c r="G483" t="s">
        <v>84</v>
      </c>
      <c r="H483" t="str">
        <f>VLOOKUP(B483,[2]Kreise!$A$2:$C$53,3,FALSE)</f>
        <v>K03241999</v>
      </c>
      <c r="I483">
        <f>'2020_5-2-2_Download'!Y23</f>
        <v>17802</v>
      </c>
    </row>
    <row r="484" spans="2:9">
      <c r="B484">
        <f>'2020_5-2-2_Download'!B24</f>
        <v>251</v>
      </c>
      <c r="C484">
        <f>'2020_5-2-2_Download'!$Y$5</f>
        <v>2017</v>
      </c>
      <c r="D484" t="str">
        <f>VLOOKUP(B484,[1]Tabelle1!$A$1:$B$68,2,FALSE)</f>
        <v>Diepholz</v>
      </c>
      <c r="E484" t="str">
        <f>'2020_5-2-2_Download'!$Y$7</f>
        <v>Insgesamt</v>
      </c>
      <c r="G484" t="s">
        <v>84</v>
      </c>
      <c r="H484" t="str">
        <f>VLOOKUP(B484,[2]Kreise!$A$2:$C$53,3,FALSE)</f>
        <v>K03251</v>
      </c>
      <c r="I484">
        <f>'2020_5-2-2_Download'!Y24</f>
        <v>4811</v>
      </c>
    </row>
    <row r="485" spans="2:9">
      <c r="B485">
        <f>'2020_5-2-2_Download'!B25</f>
        <v>252</v>
      </c>
      <c r="C485">
        <f>'2020_5-2-2_Download'!$Y$5</f>
        <v>2017</v>
      </c>
      <c r="D485" t="str">
        <f>VLOOKUP(B485,[1]Tabelle1!$A$1:$B$68,2,FALSE)</f>
        <v>Hameln-Pyrmont</v>
      </c>
      <c r="E485" t="str">
        <f>'2020_5-2-2_Download'!$Y$7</f>
        <v>Insgesamt</v>
      </c>
      <c r="G485" t="s">
        <v>84</v>
      </c>
      <c r="H485" t="str">
        <f>VLOOKUP(B485,[2]Kreise!$A$2:$C$53,3,FALSE)</f>
        <v>K03252</v>
      </c>
      <c r="I485">
        <f>'2020_5-2-2_Download'!Y25</f>
        <v>3270</v>
      </c>
    </row>
    <row r="486" spans="2:9">
      <c r="B486">
        <f>'2020_5-2-2_Download'!B26</f>
        <v>254</v>
      </c>
      <c r="C486">
        <f>'2020_5-2-2_Download'!$Y$5</f>
        <v>2017</v>
      </c>
      <c r="D486" t="str">
        <f>VLOOKUP(B486,[1]Tabelle1!$A$1:$B$68,2,FALSE)</f>
        <v>Hildesheim</v>
      </c>
      <c r="E486" t="str">
        <f>'2020_5-2-2_Download'!$Y$7</f>
        <v>Insgesamt</v>
      </c>
      <c r="G486" t="s">
        <v>84</v>
      </c>
      <c r="H486" t="str">
        <f>VLOOKUP(B486,[2]Kreise!$A$2:$C$53,3,FALSE)</f>
        <v>K03254</v>
      </c>
      <c r="I486">
        <f>'2020_5-2-2_Download'!Y26</f>
        <v>5044</v>
      </c>
    </row>
    <row r="487" spans="2:9">
      <c r="B487">
        <f>'2020_5-2-2_Download'!B27</f>
        <v>255</v>
      </c>
      <c r="C487">
        <f>'2020_5-2-2_Download'!$Y$5</f>
        <v>2017</v>
      </c>
      <c r="D487" t="str">
        <f>VLOOKUP(B487,[1]Tabelle1!$A$1:$B$68,2,FALSE)</f>
        <v>Holzminden</v>
      </c>
      <c r="E487" t="str">
        <f>'2020_5-2-2_Download'!$Y$7</f>
        <v>Insgesamt</v>
      </c>
      <c r="G487" t="s">
        <v>84</v>
      </c>
      <c r="H487" t="str">
        <f>VLOOKUP(B487,[2]Kreise!$A$2:$C$53,3,FALSE)</f>
        <v>K03255</v>
      </c>
      <c r="I487">
        <f>'2020_5-2-2_Download'!Y27</f>
        <v>1088</v>
      </c>
    </row>
    <row r="488" spans="2:9">
      <c r="B488">
        <f>'2020_5-2-2_Download'!B28</f>
        <v>256</v>
      </c>
      <c r="C488">
        <f>'2020_5-2-2_Download'!$Y$5</f>
        <v>2017</v>
      </c>
      <c r="D488" t="str">
        <f>VLOOKUP(B488,[1]Tabelle1!$A$1:$B$68,2,FALSE)</f>
        <v>Nienburg (Weser)</v>
      </c>
      <c r="E488" t="str">
        <f>'2020_5-2-2_Download'!$Y$7</f>
        <v>Insgesamt</v>
      </c>
      <c r="G488" t="s">
        <v>84</v>
      </c>
      <c r="H488" t="str">
        <f>VLOOKUP(B488,[2]Kreise!$A$2:$C$53,3,FALSE)</f>
        <v>K03256</v>
      </c>
      <c r="I488">
        <f>'2020_5-2-2_Download'!Y28</f>
        <v>2668</v>
      </c>
    </row>
    <row r="489" spans="2:9">
      <c r="B489">
        <f>'2020_5-2-2_Download'!B29</f>
        <v>257</v>
      </c>
      <c r="C489">
        <f>'2020_5-2-2_Download'!$Y$5</f>
        <v>2017</v>
      </c>
      <c r="D489" t="str">
        <f>VLOOKUP(B489,[1]Tabelle1!$A$1:$B$68,2,FALSE)</f>
        <v>Schaumburg</v>
      </c>
      <c r="E489" t="str">
        <f>'2020_5-2-2_Download'!$Y$7</f>
        <v>Insgesamt</v>
      </c>
      <c r="G489" t="s">
        <v>84</v>
      </c>
      <c r="H489" t="str">
        <f>VLOOKUP(B489,[2]Kreise!$A$2:$C$53,3,FALSE)</f>
        <v>K03257</v>
      </c>
      <c r="I489">
        <f>'2020_5-2-2_Download'!Y29</f>
        <v>2966</v>
      </c>
    </row>
    <row r="490" spans="2:9">
      <c r="B490">
        <f>'2020_5-2-2_Download'!B30</f>
        <v>2</v>
      </c>
      <c r="C490">
        <f>'2020_5-2-2_Download'!$Y$5</f>
        <v>2017</v>
      </c>
      <c r="D490" t="str">
        <f>VLOOKUP(B490,[1]Tabelle1!$A$1:$B$68,2,FALSE)</f>
        <v>Stat. Region Hannover</v>
      </c>
      <c r="E490" t="str">
        <f>'2020_5-2-2_Download'!$Y$7</f>
        <v>Insgesamt</v>
      </c>
      <c r="G490" t="s">
        <v>84</v>
      </c>
      <c r="H490" t="str">
        <f>VLOOKUP(B490,[2]Kreise!$A$2:$C$53,3,FALSE)</f>
        <v>K032</v>
      </c>
      <c r="I490">
        <f>'2020_5-2-2_Download'!Y30</f>
        <v>71250</v>
      </c>
    </row>
    <row r="491" spans="2:9">
      <c r="B491">
        <f>'2020_5-2-2_Download'!B31</f>
        <v>351</v>
      </c>
      <c r="C491">
        <f>'2020_5-2-2_Download'!$Y$5</f>
        <v>2017</v>
      </c>
      <c r="D491" t="str">
        <f>VLOOKUP(B491,[1]Tabelle1!$A$1:$B$68,2,FALSE)</f>
        <v>Celle</v>
      </c>
      <c r="E491" t="str">
        <f>'2020_5-2-2_Download'!$Y$7</f>
        <v>Insgesamt</v>
      </c>
      <c r="G491" t="s">
        <v>84</v>
      </c>
      <c r="H491" t="str">
        <f>VLOOKUP(B491,[2]Kreise!$A$2:$C$53,3,FALSE)</f>
        <v>K03351</v>
      </c>
      <c r="I491">
        <f>'2020_5-2-2_Download'!Y31</f>
        <v>3061</v>
      </c>
    </row>
    <row r="492" spans="2:9">
      <c r="B492">
        <f>'2020_5-2-2_Download'!B32</f>
        <v>352</v>
      </c>
      <c r="C492">
        <f>'2020_5-2-2_Download'!$Y$5</f>
        <v>2017</v>
      </c>
      <c r="D492" t="str">
        <f>VLOOKUP(B492,[1]Tabelle1!$A$1:$B$68,2,FALSE)</f>
        <v>Cuxhaven</v>
      </c>
      <c r="E492" t="str">
        <f>'2020_5-2-2_Download'!$Y$7</f>
        <v>Insgesamt</v>
      </c>
      <c r="G492" t="s">
        <v>84</v>
      </c>
      <c r="H492" t="str">
        <f>VLOOKUP(B492,[2]Kreise!$A$2:$C$53,3,FALSE)</f>
        <v>K03352</v>
      </c>
      <c r="I492">
        <f>'2020_5-2-2_Download'!Y32</f>
        <v>3769</v>
      </c>
    </row>
    <row r="493" spans="2:9">
      <c r="B493">
        <f>'2020_5-2-2_Download'!B33</f>
        <v>353</v>
      </c>
      <c r="C493">
        <f>'2020_5-2-2_Download'!$Y$5</f>
        <v>2017</v>
      </c>
      <c r="D493" t="str">
        <f>VLOOKUP(B493,[1]Tabelle1!$A$1:$B$68,2,FALSE)</f>
        <v>Harburg</v>
      </c>
      <c r="E493" t="str">
        <f>'2020_5-2-2_Download'!$Y$7</f>
        <v>Insgesamt</v>
      </c>
      <c r="G493" t="s">
        <v>84</v>
      </c>
      <c r="H493" t="str">
        <f>VLOOKUP(B493,[2]Kreise!$A$2:$C$53,3,FALSE)</f>
        <v>K03353</v>
      </c>
      <c r="I493">
        <f>'2020_5-2-2_Download'!Y33</f>
        <v>6224</v>
      </c>
    </row>
    <row r="494" spans="2:9">
      <c r="B494">
        <f>'2020_5-2-2_Download'!B34</f>
        <v>354</v>
      </c>
      <c r="C494">
        <f>'2020_5-2-2_Download'!$Y$5</f>
        <v>2017</v>
      </c>
      <c r="D494" t="str">
        <f>VLOOKUP(B494,[1]Tabelle1!$A$1:$B$68,2,FALSE)</f>
        <v>Lüchow-Dannenberg</v>
      </c>
      <c r="E494" t="str">
        <f>'2020_5-2-2_Download'!$Y$7</f>
        <v>Insgesamt</v>
      </c>
      <c r="G494" t="s">
        <v>84</v>
      </c>
      <c r="H494" t="str">
        <f>VLOOKUP(B494,[2]Kreise!$A$2:$C$53,3,FALSE)</f>
        <v>K03354</v>
      </c>
      <c r="I494">
        <f>'2020_5-2-2_Download'!Y34</f>
        <v>654</v>
      </c>
    </row>
    <row r="495" spans="2:9">
      <c r="B495">
        <f>'2020_5-2-2_Download'!B35</f>
        <v>355</v>
      </c>
      <c r="C495">
        <f>'2020_5-2-2_Download'!$Y$5</f>
        <v>2017</v>
      </c>
      <c r="D495" t="str">
        <f>VLOOKUP(B495,[1]Tabelle1!$A$1:$B$68,2,FALSE)</f>
        <v>Lüneburg</v>
      </c>
      <c r="E495" t="str">
        <f>'2020_5-2-2_Download'!$Y$7</f>
        <v>Insgesamt</v>
      </c>
      <c r="G495" t="s">
        <v>84</v>
      </c>
      <c r="H495" t="str">
        <f>VLOOKUP(B495,[2]Kreise!$A$2:$C$53,3,FALSE)</f>
        <v>K03355</v>
      </c>
      <c r="I495">
        <f>'2020_5-2-2_Download'!Y35</f>
        <v>3125</v>
      </c>
    </row>
    <row r="496" spans="2:9">
      <c r="B496">
        <f>'2020_5-2-2_Download'!B36</f>
        <v>356</v>
      </c>
      <c r="C496">
        <f>'2020_5-2-2_Download'!$Y$5</f>
        <v>2017</v>
      </c>
      <c r="D496" t="str">
        <f>VLOOKUP(B496,[1]Tabelle1!$A$1:$B$68,2,FALSE)</f>
        <v>Osterholz</v>
      </c>
      <c r="E496" t="str">
        <f>'2020_5-2-2_Download'!$Y$7</f>
        <v>Insgesamt</v>
      </c>
      <c r="G496" t="s">
        <v>84</v>
      </c>
      <c r="H496" t="str">
        <f>VLOOKUP(B496,[2]Kreise!$A$2:$C$53,3,FALSE)</f>
        <v>K03356</v>
      </c>
      <c r="I496">
        <f>'2020_5-2-2_Download'!Y36</f>
        <v>1491</v>
      </c>
    </row>
    <row r="497" spans="2:9">
      <c r="B497">
        <f>'2020_5-2-2_Download'!B37</f>
        <v>357</v>
      </c>
      <c r="C497">
        <f>'2020_5-2-2_Download'!$Y$5</f>
        <v>2017</v>
      </c>
      <c r="D497" t="str">
        <f>VLOOKUP(B497,[1]Tabelle1!$A$1:$B$68,2,FALSE)</f>
        <v>Rotenburg (Wümme)</v>
      </c>
      <c r="E497" t="str">
        <f>'2020_5-2-2_Download'!$Y$7</f>
        <v>Insgesamt</v>
      </c>
      <c r="G497" t="s">
        <v>84</v>
      </c>
      <c r="H497" t="str">
        <f>VLOOKUP(B497,[2]Kreise!$A$2:$C$53,3,FALSE)</f>
        <v>K03357</v>
      </c>
      <c r="I497">
        <f>'2020_5-2-2_Download'!Y37</f>
        <v>3356</v>
      </c>
    </row>
    <row r="498" spans="2:9">
      <c r="B498">
        <f>'2020_5-2-2_Download'!B38</f>
        <v>358</v>
      </c>
      <c r="C498">
        <f>'2020_5-2-2_Download'!$Y$5</f>
        <v>2017</v>
      </c>
      <c r="D498" t="str">
        <f>VLOOKUP(B498,[1]Tabelle1!$A$1:$B$68,2,FALSE)</f>
        <v>Heidekreis</v>
      </c>
      <c r="E498" t="str">
        <f>'2020_5-2-2_Download'!$Y$7</f>
        <v>Insgesamt</v>
      </c>
      <c r="G498" t="s">
        <v>84</v>
      </c>
      <c r="H498" t="str">
        <f>VLOOKUP(B498,[2]Kreise!$A$2:$C$53,3,FALSE)</f>
        <v>K03358</v>
      </c>
      <c r="I498">
        <f>'2020_5-2-2_Download'!Y38</f>
        <v>3290</v>
      </c>
    </row>
    <row r="499" spans="2:9">
      <c r="B499">
        <f>'2020_5-2-2_Download'!B39</f>
        <v>359</v>
      </c>
      <c r="C499">
        <f>'2020_5-2-2_Download'!$Y$5</f>
        <v>2017</v>
      </c>
      <c r="D499" t="str">
        <f>VLOOKUP(B499,[1]Tabelle1!$A$1:$B$68,2,FALSE)</f>
        <v>Stade</v>
      </c>
      <c r="E499" t="str">
        <f>'2020_5-2-2_Download'!$Y$7</f>
        <v>Insgesamt</v>
      </c>
      <c r="G499" t="s">
        <v>84</v>
      </c>
      <c r="H499" t="str">
        <f>VLOOKUP(B499,[2]Kreise!$A$2:$C$53,3,FALSE)</f>
        <v>K03359</v>
      </c>
      <c r="I499">
        <f>'2020_5-2-2_Download'!Y39</f>
        <v>4514</v>
      </c>
    </row>
    <row r="500" spans="2:9">
      <c r="B500">
        <f>'2020_5-2-2_Download'!B40</f>
        <v>360</v>
      </c>
      <c r="C500">
        <f>'2020_5-2-2_Download'!$Y$5</f>
        <v>2017</v>
      </c>
      <c r="D500" t="str">
        <f>VLOOKUP(B500,[1]Tabelle1!$A$1:$B$68,2,FALSE)</f>
        <v>Uelzen</v>
      </c>
      <c r="E500" t="str">
        <f>'2020_5-2-2_Download'!$Y$7</f>
        <v>Insgesamt</v>
      </c>
      <c r="G500" t="s">
        <v>84</v>
      </c>
      <c r="H500" t="str">
        <f>VLOOKUP(B500,[2]Kreise!$A$2:$C$53,3,FALSE)</f>
        <v>K03360</v>
      </c>
      <c r="I500">
        <f>'2020_5-2-2_Download'!Y40</f>
        <v>1245</v>
      </c>
    </row>
    <row r="501" spans="2:9">
      <c r="B501">
        <f>'2020_5-2-2_Download'!B41</f>
        <v>361</v>
      </c>
      <c r="C501">
        <f>'2020_5-2-2_Download'!$Y$5</f>
        <v>2017</v>
      </c>
      <c r="D501" t="str">
        <f>VLOOKUP(B501,[1]Tabelle1!$A$1:$B$68,2,FALSE)</f>
        <v>Verden</v>
      </c>
      <c r="E501" t="str">
        <f>'2020_5-2-2_Download'!$Y$7</f>
        <v>Insgesamt</v>
      </c>
      <c r="G501" t="s">
        <v>84</v>
      </c>
      <c r="H501" t="str">
        <f>VLOOKUP(B501,[2]Kreise!$A$2:$C$53,3,FALSE)</f>
        <v>K03361</v>
      </c>
      <c r="I501">
        <f>'2020_5-2-2_Download'!Y41</f>
        <v>3863</v>
      </c>
    </row>
    <row r="502" spans="2:9">
      <c r="B502">
        <f>'2020_5-2-2_Download'!B42</f>
        <v>3</v>
      </c>
      <c r="C502">
        <f>'2020_5-2-2_Download'!$Y$5</f>
        <v>2017</v>
      </c>
      <c r="D502" t="str">
        <f>VLOOKUP(B502,[1]Tabelle1!$A$1:$B$68,2,FALSE)</f>
        <v>Stat. Region Lüneburg</v>
      </c>
      <c r="E502" t="str">
        <f>'2020_5-2-2_Download'!$Y$7</f>
        <v>Insgesamt</v>
      </c>
      <c r="G502" t="s">
        <v>84</v>
      </c>
      <c r="H502" t="str">
        <f>VLOOKUP(B502,[2]Kreise!$A$2:$C$53,3,FALSE)</f>
        <v>K033</v>
      </c>
      <c r="I502">
        <f>'2020_5-2-2_Download'!Y42</f>
        <v>34592</v>
      </c>
    </row>
    <row r="503" spans="2:9">
      <c r="B503">
        <f>'2020_5-2-2_Download'!B43</f>
        <v>401</v>
      </c>
      <c r="C503">
        <f>'2020_5-2-2_Download'!$Y$5</f>
        <v>2017</v>
      </c>
      <c r="D503" t="str">
        <f>VLOOKUP(B503,[1]Tabelle1!$A$1:$B$68,2,FALSE)</f>
        <v>Delmenhorst  Stadt</v>
      </c>
      <c r="E503" t="str">
        <f>'2020_5-2-2_Download'!$Y$7</f>
        <v>Insgesamt</v>
      </c>
      <c r="G503" t="s">
        <v>84</v>
      </c>
      <c r="H503" t="str">
        <f>VLOOKUP(B503,[2]Kreise!$A$2:$C$53,3,FALSE)</f>
        <v>K03401</v>
      </c>
      <c r="I503">
        <f>'2020_5-2-2_Download'!Y43</f>
        <v>1536</v>
      </c>
    </row>
    <row r="504" spans="2:9">
      <c r="B504">
        <f>'2020_5-2-2_Download'!B44</f>
        <v>402</v>
      </c>
      <c r="C504">
        <f>'2020_5-2-2_Download'!$Y$5</f>
        <v>2017</v>
      </c>
      <c r="D504" t="str">
        <f>VLOOKUP(B504,[1]Tabelle1!$A$1:$B$68,2,FALSE)</f>
        <v>Emden  Stadt</v>
      </c>
      <c r="E504" t="str">
        <f>'2020_5-2-2_Download'!$Y$7</f>
        <v>Insgesamt</v>
      </c>
      <c r="G504" t="s">
        <v>84</v>
      </c>
      <c r="H504" t="str">
        <f>VLOOKUP(B504,[2]Kreise!$A$2:$C$53,3,FALSE)</f>
        <v>K03402</v>
      </c>
      <c r="I504">
        <f>'2020_5-2-2_Download'!Y44</f>
        <v>1621</v>
      </c>
    </row>
    <row r="505" spans="2:9">
      <c r="B505">
        <f>'2020_5-2-2_Download'!B45</f>
        <v>403</v>
      </c>
      <c r="C505">
        <f>'2020_5-2-2_Download'!$Y$5</f>
        <v>2017</v>
      </c>
      <c r="D505" t="str">
        <f>VLOOKUP(B505,[1]Tabelle1!$A$1:$B$68,2,FALSE)</f>
        <v>Oldenburg(Oldb)  Stadt</v>
      </c>
      <c r="E505" t="str">
        <f>'2020_5-2-2_Download'!$Y$7</f>
        <v>Insgesamt</v>
      </c>
      <c r="G505" t="s">
        <v>84</v>
      </c>
      <c r="H505" t="str">
        <f>VLOOKUP(B505,[2]Kreise!$A$2:$C$53,3,FALSE)</f>
        <v>K03403</v>
      </c>
      <c r="I505">
        <f>'2020_5-2-2_Download'!Y45</f>
        <v>4306</v>
      </c>
    </row>
    <row r="506" spans="2:9">
      <c r="B506">
        <f>'2020_5-2-2_Download'!B46</f>
        <v>404</v>
      </c>
      <c r="C506">
        <f>'2020_5-2-2_Download'!$Y$5</f>
        <v>2017</v>
      </c>
      <c r="D506" t="str">
        <f>VLOOKUP(B506,[1]Tabelle1!$A$1:$B$68,2,FALSE)</f>
        <v>Osnabrück  Stadt</v>
      </c>
      <c r="E506" t="str">
        <f>'2020_5-2-2_Download'!$Y$7</f>
        <v>Insgesamt</v>
      </c>
      <c r="G506" t="s">
        <v>84</v>
      </c>
      <c r="H506" t="str">
        <f>VLOOKUP(B506,[2]Kreise!$A$2:$C$53,3,FALSE)</f>
        <v>K03404</v>
      </c>
      <c r="I506">
        <f>'2020_5-2-2_Download'!Y46</f>
        <v>6975</v>
      </c>
    </row>
    <row r="507" spans="2:9">
      <c r="B507">
        <f>'2020_5-2-2_Download'!B47</f>
        <v>405</v>
      </c>
      <c r="C507">
        <f>'2020_5-2-2_Download'!$Y$5</f>
        <v>2017</v>
      </c>
      <c r="D507" t="str">
        <f>VLOOKUP(B507,[1]Tabelle1!$A$1:$B$68,2,FALSE)</f>
        <v>Wilhelmshaven  Stadt</v>
      </c>
      <c r="E507" t="str">
        <f>'2020_5-2-2_Download'!$Y$7</f>
        <v>Insgesamt</v>
      </c>
      <c r="G507" t="s">
        <v>84</v>
      </c>
      <c r="H507" t="str">
        <f>VLOOKUP(B507,[2]Kreise!$A$2:$C$53,3,FALSE)</f>
        <v>K03405</v>
      </c>
      <c r="I507">
        <f>'2020_5-2-2_Download'!Y47</f>
        <v>1208</v>
      </c>
    </row>
    <row r="508" spans="2:9">
      <c r="B508">
        <f>'2020_5-2-2_Download'!B48</f>
        <v>451</v>
      </c>
      <c r="C508">
        <f>'2020_5-2-2_Download'!$Y$5</f>
        <v>2017</v>
      </c>
      <c r="D508" t="str">
        <f>VLOOKUP(B508,[1]Tabelle1!$A$1:$B$68,2,FALSE)</f>
        <v>Ammerland</v>
      </c>
      <c r="E508" t="str">
        <f>'2020_5-2-2_Download'!$Y$7</f>
        <v>Insgesamt</v>
      </c>
      <c r="G508" t="s">
        <v>84</v>
      </c>
      <c r="H508" t="str">
        <f>VLOOKUP(B508,[2]Kreise!$A$2:$C$53,3,FALSE)</f>
        <v>K03451</v>
      </c>
      <c r="I508">
        <f>'2020_5-2-2_Download'!Y48</f>
        <v>2934</v>
      </c>
    </row>
    <row r="509" spans="2:9">
      <c r="B509">
        <f>'2020_5-2-2_Download'!B49</f>
        <v>452</v>
      </c>
      <c r="C509">
        <f>'2020_5-2-2_Download'!$Y$5</f>
        <v>2017</v>
      </c>
      <c r="D509" t="str">
        <f>VLOOKUP(B509,[1]Tabelle1!$A$1:$B$68,2,FALSE)</f>
        <v>Aurich</v>
      </c>
      <c r="E509" t="str">
        <f>'2020_5-2-2_Download'!$Y$7</f>
        <v>Insgesamt</v>
      </c>
      <c r="G509" t="s">
        <v>84</v>
      </c>
      <c r="H509" t="str">
        <f>VLOOKUP(B509,[2]Kreise!$A$2:$C$53,3,FALSE)</f>
        <v>K03452</v>
      </c>
      <c r="I509">
        <f>'2020_5-2-2_Download'!Y49</f>
        <v>3934</v>
      </c>
    </row>
    <row r="510" spans="2:9">
      <c r="B510">
        <f>'2020_5-2-2_Download'!B50</f>
        <v>453</v>
      </c>
      <c r="C510">
        <f>'2020_5-2-2_Download'!$Y$5</f>
        <v>2017</v>
      </c>
      <c r="D510" t="str">
        <f>VLOOKUP(B510,[1]Tabelle1!$A$1:$B$68,2,FALSE)</f>
        <v>Cloppenburg</v>
      </c>
      <c r="E510" t="str">
        <f>'2020_5-2-2_Download'!$Y$7</f>
        <v>Insgesamt</v>
      </c>
      <c r="G510" t="s">
        <v>84</v>
      </c>
      <c r="H510" t="str">
        <f>VLOOKUP(B510,[2]Kreise!$A$2:$C$53,3,FALSE)</f>
        <v>K03453</v>
      </c>
      <c r="I510">
        <f>'2020_5-2-2_Download'!Y50</f>
        <v>7928</v>
      </c>
    </row>
    <row r="511" spans="2:9">
      <c r="B511">
        <f>'2020_5-2-2_Download'!B51</f>
        <v>454</v>
      </c>
      <c r="C511">
        <f>'2020_5-2-2_Download'!$Y$5</f>
        <v>2017</v>
      </c>
      <c r="D511" t="str">
        <f>VLOOKUP(B511,[1]Tabelle1!$A$1:$B$68,2,FALSE)</f>
        <v>Emsland</v>
      </c>
      <c r="E511" t="str">
        <f>'2020_5-2-2_Download'!$Y$7</f>
        <v>Insgesamt</v>
      </c>
      <c r="G511" t="s">
        <v>84</v>
      </c>
      <c r="H511" t="str">
        <f>VLOOKUP(B511,[2]Kreise!$A$2:$C$53,3,FALSE)</f>
        <v>K03454</v>
      </c>
      <c r="I511">
        <f>'2020_5-2-2_Download'!Y51</f>
        <v>10836</v>
      </c>
    </row>
    <row r="512" spans="2:9">
      <c r="B512">
        <f>'2020_5-2-2_Download'!B52</f>
        <v>455</v>
      </c>
      <c r="C512">
        <f>'2020_5-2-2_Download'!$Y$5</f>
        <v>2017</v>
      </c>
      <c r="D512" t="str">
        <f>VLOOKUP(B512,[1]Tabelle1!$A$1:$B$68,2,FALSE)</f>
        <v>Friesland</v>
      </c>
      <c r="E512" t="str">
        <f>'2020_5-2-2_Download'!$Y$7</f>
        <v>Insgesamt</v>
      </c>
      <c r="G512" t="s">
        <v>84</v>
      </c>
      <c r="H512" t="str">
        <f>VLOOKUP(B512,[2]Kreise!$A$2:$C$53,3,FALSE)</f>
        <v>K03455</v>
      </c>
      <c r="I512">
        <f>'2020_5-2-2_Download'!Y52</f>
        <v>1141</v>
      </c>
    </row>
    <row r="513" spans="2:9">
      <c r="B513">
        <f>'2020_5-2-2_Download'!B53</f>
        <v>456</v>
      </c>
      <c r="C513">
        <f>'2020_5-2-2_Download'!$Y$5</f>
        <v>2017</v>
      </c>
      <c r="D513" t="str">
        <f>VLOOKUP(B513,[1]Tabelle1!$A$1:$B$68,2,FALSE)</f>
        <v>Grafschaft Bentheim</v>
      </c>
      <c r="E513" t="str">
        <f>'2020_5-2-2_Download'!$Y$7</f>
        <v>Insgesamt</v>
      </c>
      <c r="G513" t="s">
        <v>84</v>
      </c>
      <c r="H513" t="str">
        <f>VLOOKUP(B513,[2]Kreise!$A$2:$C$53,3,FALSE)</f>
        <v>K03456</v>
      </c>
      <c r="I513">
        <f>'2020_5-2-2_Download'!Y53</f>
        <v>4741</v>
      </c>
    </row>
    <row r="514" spans="2:9">
      <c r="B514">
        <f>'2020_5-2-2_Download'!B54</f>
        <v>457</v>
      </c>
      <c r="C514">
        <f>'2020_5-2-2_Download'!$Y$5</f>
        <v>2017</v>
      </c>
      <c r="D514" t="str">
        <f>VLOOKUP(B514,[1]Tabelle1!$A$1:$B$68,2,FALSE)</f>
        <v>Leer</v>
      </c>
      <c r="E514" t="str">
        <f>'2020_5-2-2_Download'!$Y$7</f>
        <v>Insgesamt</v>
      </c>
      <c r="G514" t="s">
        <v>84</v>
      </c>
      <c r="H514" t="str">
        <f>VLOOKUP(B514,[2]Kreise!$A$2:$C$53,3,FALSE)</f>
        <v>K03457</v>
      </c>
      <c r="I514">
        <f>'2020_5-2-2_Download'!Y54</f>
        <v>2855</v>
      </c>
    </row>
    <row r="515" spans="2:9">
      <c r="B515">
        <f>'2020_5-2-2_Download'!B55</f>
        <v>458</v>
      </c>
      <c r="C515">
        <f>'2020_5-2-2_Download'!$Y$5</f>
        <v>2017</v>
      </c>
      <c r="D515" t="str">
        <f>VLOOKUP(B515,[1]Tabelle1!$A$1:$B$68,2,FALSE)</f>
        <v>Oldenburg</v>
      </c>
      <c r="E515" t="str">
        <f>'2020_5-2-2_Download'!$Y$7</f>
        <v>Insgesamt</v>
      </c>
      <c r="G515" t="s">
        <v>84</v>
      </c>
      <c r="H515" t="str">
        <f>VLOOKUP(B515,[2]Kreise!$A$2:$C$53,3,FALSE)</f>
        <v>K03458</v>
      </c>
      <c r="I515">
        <f>'2020_5-2-2_Download'!Y55</f>
        <v>2773</v>
      </c>
    </row>
    <row r="516" spans="2:9">
      <c r="B516">
        <f>'2020_5-2-2_Download'!B56</f>
        <v>459</v>
      </c>
      <c r="C516">
        <f>'2020_5-2-2_Download'!$Y$5</f>
        <v>2017</v>
      </c>
      <c r="D516" t="str">
        <f>VLOOKUP(B516,[1]Tabelle1!$A$1:$B$68,2,FALSE)</f>
        <v>Osnabrück</v>
      </c>
      <c r="E516" t="str">
        <f>'2020_5-2-2_Download'!$Y$7</f>
        <v>Insgesamt</v>
      </c>
      <c r="G516" t="s">
        <v>84</v>
      </c>
      <c r="H516" t="str">
        <f>VLOOKUP(B516,[2]Kreise!$A$2:$C$53,3,FALSE)</f>
        <v>K03459</v>
      </c>
      <c r="I516">
        <f>'2020_5-2-2_Download'!Y56</f>
        <v>13926</v>
      </c>
    </row>
    <row r="517" spans="2:9">
      <c r="B517">
        <f>'2020_5-2-2_Download'!B57</f>
        <v>460</v>
      </c>
      <c r="C517">
        <f>'2020_5-2-2_Download'!$Y$5</f>
        <v>2017</v>
      </c>
      <c r="D517" t="str">
        <f>VLOOKUP(B517,[1]Tabelle1!$A$1:$B$68,2,FALSE)</f>
        <v>Vechta</v>
      </c>
      <c r="E517" t="str">
        <f>'2020_5-2-2_Download'!$Y$7</f>
        <v>Insgesamt</v>
      </c>
      <c r="G517" t="s">
        <v>84</v>
      </c>
      <c r="H517" t="str">
        <f>VLOOKUP(B517,[2]Kreise!$A$2:$C$53,3,FALSE)</f>
        <v>K03460</v>
      </c>
      <c r="I517">
        <f>'2020_5-2-2_Download'!Y57</f>
        <v>9005</v>
      </c>
    </row>
    <row r="518" spans="2:9">
      <c r="B518">
        <f>'2020_5-2-2_Download'!B58</f>
        <v>461</v>
      </c>
      <c r="C518">
        <f>'2020_5-2-2_Download'!$Y$5</f>
        <v>2017</v>
      </c>
      <c r="D518" t="str">
        <f>VLOOKUP(B518,[1]Tabelle1!$A$1:$B$68,2,FALSE)</f>
        <v>Wesermarsch</v>
      </c>
      <c r="E518" t="str">
        <f>'2020_5-2-2_Download'!$Y$7</f>
        <v>Insgesamt</v>
      </c>
      <c r="G518" t="s">
        <v>84</v>
      </c>
      <c r="H518" t="str">
        <f>VLOOKUP(B518,[2]Kreise!$A$2:$C$53,3,FALSE)</f>
        <v>K03461</v>
      </c>
      <c r="I518">
        <f>'2020_5-2-2_Download'!Y58</f>
        <v>2101</v>
      </c>
    </row>
    <row r="519" spans="2:9">
      <c r="B519">
        <f>'2020_5-2-2_Download'!B59</f>
        <v>462</v>
      </c>
      <c r="C519">
        <f>'2020_5-2-2_Download'!$Y$5</f>
        <v>2017</v>
      </c>
      <c r="D519" t="str">
        <f>VLOOKUP(B519,[1]Tabelle1!$A$1:$B$68,2,FALSE)</f>
        <v>Wittmund</v>
      </c>
      <c r="E519" t="str">
        <f>'2020_5-2-2_Download'!$Y$7</f>
        <v>Insgesamt</v>
      </c>
      <c r="G519" t="s">
        <v>84</v>
      </c>
      <c r="H519" t="str">
        <f>VLOOKUP(B519,[2]Kreise!$A$2:$C$53,3,FALSE)</f>
        <v>K03462</v>
      </c>
      <c r="I519">
        <f>'2020_5-2-2_Download'!Y59</f>
        <v>801</v>
      </c>
    </row>
    <row r="520" spans="2:9">
      <c r="B520">
        <f>'2020_5-2-2_Download'!B60</f>
        <v>4</v>
      </c>
      <c r="C520">
        <f>'2020_5-2-2_Download'!$Y$5</f>
        <v>2017</v>
      </c>
      <c r="D520" t="str">
        <f>VLOOKUP(B520,[1]Tabelle1!$A$1:$B$68,2,FALSE)</f>
        <v>Stat. Region Weser-Ems</v>
      </c>
      <c r="E520" t="str">
        <f>'2020_5-2-2_Download'!$Y$7</f>
        <v>Insgesamt</v>
      </c>
      <c r="G520" t="s">
        <v>84</v>
      </c>
      <c r="H520" t="str">
        <f>VLOOKUP(B520,[2]Kreise!$A$2:$C$53,3,FALSE)</f>
        <v>K034</v>
      </c>
      <c r="I520">
        <f>'2020_5-2-2_Download'!Y60</f>
        <v>78621</v>
      </c>
    </row>
    <row r="521" spans="2:9">
      <c r="B521">
        <f>'2020_5-2-2_Download'!B61</f>
        <v>0</v>
      </c>
      <c r="C521">
        <f>'2020_5-2-2_Download'!$Y$5</f>
        <v>2017</v>
      </c>
      <c r="D521" t="str">
        <f>VLOOKUP(B521,[1]Tabelle1!$A$1:$B$68,2,FALSE)</f>
        <v>Niedersachsen</v>
      </c>
      <c r="E521" t="str">
        <f>'2020_5-2-2_Download'!$Y$7</f>
        <v>Insgesamt</v>
      </c>
      <c r="G521" t="s">
        <v>84</v>
      </c>
      <c r="H521" t="str">
        <f>VLOOKUP(B521,[2]Kreise!$A$2:$C$53,3,FALSE)</f>
        <v>K030</v>
      </c>
      <c r="I521">
        <f>'2020_5-2-2_Download'!Y61</f>
        <v>226387</v>
      </c>
    </row>
    <row r="522" spans="2:9">
      <c r="B522">
        <f>'2020_5-2-2_Download'!B10</f>
        <v>101</v>
      </c>
      <c r="C522">
        <f>'2020_5-2-2_Download'!$Y$5</f>
        <v>2017</v>
      </c>
      <c r="D522" t="str">
        <f>VLOOKUP(B522,[1]Tabelle1!$A$1:$B$68,2,FALSE)</f>
        <v>Braunschweig  Stadt</v>
      </c>
      <c r="E522" t="str">
        <f>'2020_5-2-2_Download'!$Z$7</f>
        <v>Männer</v>
      </c>
      <c r="G522" t="s">
        <v>84</v>
      </c>
      <c r="H522" t="str">
        <f>VLOOKUP(B522,[2]Kreise!$A$2:$C$53,3,FALSE)</f>
        <v>K03101</v>
      </c>
      <c r="I522">
        <f>'2020_5-2-2_Download'!Z10</f>
        <v>5388</v>
      </c>
    </row>
    <row r="523" spans="2:9">
      <c r="B523">
        <f>'2020_5-2-2_Download'!B11</f>
        <v>102</v>
      </c>
      <c r="C523">
        <f>'2020_5-2-2_Download'!$Y$5</f>
        <v>2017</v>
      </c>
      <c r="D523" t="str">
        <f>VLOOKUP(B523,[1]Tabelle1!$A$1:$B$68,2,FALSE)</f>
        <v>Salzgitter  Stadt</v>
      </c>
      <c r="E523" t="str">
        <f>'2020_5-2-2_Download'!$Z$7</f>
        <v>Männer</v>
      </c>
      <c r="G523" t="s">
        <v>84</v>
      </c>
      <c r="H523" t="str">
        <f>VLOOKUP(B523,[2]Kreise!$A$2:$C$53,3,FALSE)</f>
        <v>K03102</v>
      </c>
      <c r="I523">
        <f>'2020_5-2-2_Download'!Z11</f>
        <v>3093</v>
      </c>
    </row>
    <row r="524" spans="2:9">
      <c r="B524">
        <f>'2020_5-2-2_Download'!B12</f>
        <v>103</v>
      </c>
      <c r="C524">
        <f>'2020_5-2-2_Download'!$Y$5</f>
        <v>2017</v>
      </c>
      <c r="D524" t="str">
        <f>VLOOKUP(B524,[1]Tabelle1!$A$1:$B$68,2,FALSE)</f>
        <v>Wolfsburg  Stadt</v>
      </c>
      <c r="E524" t="str">
        <f>'2020_5-2-2_Download'!$Z$7</f>
        <v>Männer</v>
      </c>
      <c r="G524" t="s">
        <v>84</v>
      </c>
      <c r="H524" t="str">
        <f>VLOOKUP(B524,[2]Kreise!$A$2:$C$53,3,FALSE)</f>
        <v>K03103</v>
      </c>
      <c r="I524">
        <f>'2020_5-2-2_Download'!Z12</f>
        <v>6215</v>
      </c>
    </row>
    <row r="525" spans="2:9">
      <c r="B525">
        <f>'2020_5-2-2_Download'!B13</f>
        <v>151</v>
      </c>
      <c r="C525">
        <f>'2020_5-2-2_Download'!$Y$5</f>
        <v>2017</v>
      </c>
      <c r="D525" t="str">
        <f>VLOOKUP(B525,[1]Tabelle1!$A$1:$B$68,2,FALSE)</f>
        <v>Gifhorn</v>
      </c>
      <c r="E525" t="str">
        <f>'2020_5-2-2_Download'!$Z$7</f>
        <v>Männer</v>
      </c>
      <c r="G525" t="s">
        <v>84</v>
      </c>
      <c r="H525" t="str">
        <f>VLOOKUP(B525,[2]Kreise!$A$2:$C$53,3,FALSE)</f>
        <v>K03151</v>
      </c>
      <c r="I525">
        <f>'2020_5-2-2_Download'!Z13</f>
        <v>1612</v>
      </c>
    </row>
    <row r="526" spans="2:9">
      <c r="B526">
        <f>'2020_5-2-2_Download'!B14</f>
        <v>153</v>
      </c>
      <c r="C526">
        <f>'2020_5-2-2_Download'!$Y$5</f>
        <v>2017</v>
      </c>
      <c r="D526" t="str">
        <f>VLOOKUP(B526,[1]Tabelle1!$A$1:$B$68,2,FALSE)</f>
        <v>Goslar</v>
      </c>
      <c r="E526" t="str">
        <f>'2020_5-2-2_Download'!$Z$7</f>
        <v>Männer</v>
      </c>
      <c r="G526" t="s">
        <v>84</v>
      </c>
      <c r="H526" t="str">
        <f>VLOOKUP(B526,[2]Kreise!$A$2:$C$53,3,FALSE)</f>
        <v>K03153</v>
      </c>
      <c r="I526">
        <f>'2020_5-2-2_Download'!Z14</f>
        <v>1547</v>
      </c>
    </row>
    <row r="527" spans="2:9">
      <c r="B527">
        <f>'2020_5-2-2_Download'!B15</f>
        <v>154</v>
      </c>
      <c r="C527">
        <f>'2020_5-2-2_Download'!$Y$5</f>
        <v>2017</v>
      </c>
      <c r="D527" t="str">
        <f>VLOOKUP(B527,[1]Tabelle1!$A$1:$B$68,2,FALSE)</f>
        <v>Helmstedt</v>
      </c>
      <c r="E527" t="str">
        <f>'2020_5-2-2_Download'!$Z$7</f>
        <v>Männer</v>
      </c>
      <c r="G527" t="s">
        <v>84</v>
      </c>
      <c r="H527" t="str">
        <f>VLOOKUP(B527,[2]Kreise!$A$2:$C$53,3,FALSE)</f>
        <v>K03154</v>
      </c>
      <c r="I527">
        <f>'2020_5-2-2_Download'!Z15</f>
        <v>882</v>
      </c>
    </row>
    <row r="528" spans="2:9">
      <c r="B528">
        <f>'2020_5-2-2_Download'!B16</f>
        <v>155</v>
      </c>
      <c r="C528">
        <f>'2020_5-2-2_Download'!$Y$5</f>
        <v>2017</v>
      </c>
      <c r="D528" t="str">
        <f>VLOOKUP(B528,[1]Tabelle1!$A$1:$B$68,2,FALSE)</f>
        <v>Northeim</v>
      </c>
      <c r="E528" t="str">
        <f>'2020_5-2-2_Download'!$Z$7</f>
        <v>Männer</v>
      </c>
      <c r="G528" t="s">
        <v>84</v>
      </c>
      <c r="H528" t="str">
        <f>VLOOKUP(B528,[2]Kreise!$A$2:$C$53,3,FALSE)</f>
        <v>K03155</v>
      </c>
      <c r="I528">
        <f>'2020_5-2-2_Download'!Z16</f>
        <v>2052</v>
      </c>
    </row>
    <row r="529" spans="2:9">
      <c r="B529">
        <f>'2020_5-2-2_Download'!B17</f>
        <v>157</v>
      </c>
      <c r="C529">
        <f>'2020_5-2-2_Download'!$Y$5</f>
        <v>2017</v>
      </c>
      <c r="D529" t="str">
        <f>VLOOKUP(B529,[1]Tabelle1!$A$1:$B$68,2,FALSE)</f>
        <v>Peine</v>
      </c>
      <c r="E529" t="str">
        <f>'2020_5-2-2_Download'!$Z$7</f>
        <v>Männer</v>
      </c>
      <c r="G529" t="s">
        <v>84</v>
      </c>
      <c r="H529" t="str">
        <f>VLOOKUP(B529,[2]Kreise!$A$2:$C$53,3,FALSE)</f>
        <v>K03157</v>
      </c>
      <c r="I529">
        <f>'2020_5-2-2_Download'!Z17</f>
        <v>1601</v>
      </c>
    </row>
    <row r="530" spans="2:9">
      <c r="B530">
        <f>'2020_5-2-2_Download'!B18</f>
        <v>158</v>
      </c>
      <c r="C530">
        <f>'2020_5-2-2_Download'!$Y$5</f>
        <v>2017</v>
      </c>
      <c r="D530" t="str">
        <f>VLOOKUP(B530,[1]Tabelle1!$A$1:$B$68,2,FALSE)</f>
        <v>Wolfenbüttel</v>
      </c>
      <c r="E530" t="str">
        <f>'2020_5-2-2_Download'!$Z$7</f>
        <v>Männer</v>
      </c>
      <c r="G530" t="s">
        <v>84</v>
      </c>
      <c r="H530" t="str">
        <f>VLOOKUP(B530,[2]Kreise!$A$2:$C$53,3,FALSE)</f>
        <v>K03158</v>
      </c>
      <c r="I530">
        <f>'2020_5-2-2_Download'!Z18</f>
        <v>730</v>
      </c>
    </row>
    <row r="531" spans="2:9">
      <c r="B531">
        <f>'2020_5-2-2_Download'!B19</f>
        <v>159</v>
      </c>
      <c r="C531">
        <f>'2020_5-2-2_Download'!$Y$5</f>
        <v>2017</v>
      </c>
      <c r="D531" t="str">
        <f>VLOOKUP(B531,[1]Tabelle1!$A$1:$B$68,2,FALSE)</f>
        <v>Göttingen</v>
      </c>
      <c r="E531" t="str">
        <f>'2020_5-2-2_Download'!$Z$7</f>
        <v>Männer</v>
      </c>
      <c r="G531" t="s">
        <v>84</v>
      </c>
      <c r="H531" t="str">
        <f>VLOOKUP(B531,[2]Kreise!$A$2:$C$53,3,FALSE)</f>
        <v>K03159</v>
      </c>
      <c r="I531">
        <f>'2020_5-2-2_Download'!Z19</f>
        <v>4661</v>
      </c>
    </row>
    <row r="532" spans="2:9">
      <c r="B532">
        <f>'2020_5-2-2_Download'!B20</f>
        <v>1</v>
      </c>
      <c r="C532">
        <f>'2020_5-2-2_Download'!$Y$5</f>
        <v>2017</v>
      </c>
      <c r="D532" t="str">
        <f>VLOOKUP(B532,[1]Tabelle1!$A$1:$B$68,2,FALSE)</f>
        <v>Stat. Region Braunschweig</v>
      </c>
      <c r="E532" t="str">
        <f>'2020_5-2-2_Download'!$Z$7</f>
        <v>Männer</v>
      </c>
      <c r="G532" t="s">
        <v>84</v>
      </c>
      <c r="H532" t="str">
        <f>VLOOKUP(B532,[2]Kreise!$A$2:$C$53,3,FALSE)</f>
        <v>K031</v>
      </c>
      <c r="I532">
        <f>'2020_5-2-2_Download'!Z20</f>
        <v>27781</v>
      </c>
    </row>
    <row r="533" spans="2:9">
      <c r="B533">
        <f>'2020_5-2-2_Download'!B21</f>
        <v>241</v>
      </c>
      <c r="C533">
        <f>'2020_5-2-2_Download'!$Y$5</f>
        <v>2017</v>
      </c>
      <c r="D533" t="str">
        <f>VLOOKUP(B533,[1]Tabelle1!$A$1:$B$68,2,FALSE)</f>
        <v>Hannover  Region</v>
      </c>
      <c r="E533" t="str">
        <f>'2020_5-2-2_Download'!$Z$7</f>
        <v>Männer</v>
      </c>
      <c r="G533" t="s">
        <v>84</v>
      </c>
      <c r="H533" t="str">
        <f>VLOOKUP(B533,[2]Kreise!$A$2:$C$53,3,FALSE)</f>
        <v>K03241</v>
      </c>
      <c r="I533">
        <f>'2020_5-2-2_Download'!Z21</f>
        <v>31628</v>
      </c>
    </row>
    <row r="534" spans="2:9">
      <c r="B534">
        <f>'2020_5-2-2_Download'!B22</f>
        <v>241001</v>
      </c>
      <c r="C534">
        <f>'2020_5-2-2_Download'!$Y$5</f>
        <v>2017</v>
      </c>
      <c r="D534" t="str">
        <f>VLOOKUP(B534,[1]Tabelle1!$A$1:$B$68,2,FALSE)</f>
        <v>dav. Hannover  Lhst.</v>
      </c>
      <c r="E534" t="str">
        <f>'2020_5-2-2_Download'!$Z$7</f>
        <v>Männer</v>
      </c>
      <c r="G534" t="s">
        <v>84</v>
      </c>
      <c r="H534" t="str">
        <f>VLOOKUP(B534,[2]Kreise!$A$2:$C$53,3,FALSE)</f>
        <v>K03241001</v>
      </c>
      <c r="I534">
        <f>'2020_5-2-2_Download'!Z22</f>
        <v>20038</v>
      </c>
    </row>
    <row r="535" spans="2:9">
      <c r="B535">
        <f>'2020_5-2-2_Download'!B23</f>
        <v>241999</v>
      </c>
      <c r="C535">
        <f>'2020_5-2-2_Download'!$Y$5</f>
        <v>2017</v>
      </c>
      <c r="D535" t="str">
        <f>VLOOKUP(B535,[1]Tabelle1!$A$1:$B$68,2,FALSE)</f>
        <v>dav. Hannover  Umland</v>
      </c>
      <c r="E535" t="str">
        <f>'2020_5-2-2_Download'!$Z$7</f>
        <v>Männer</v>
      </c>
      <c r="G535" t="s">
        <v>84</v>
      </c>
      <c r="H535" t="str">
        <f>VLOOKUP(B535,[2]Kreise!$A$2:$C$53,3,FALSE)</f>
        <v>K03241999</v>
      </c>
      <c r="I535">
        <f>'2020_5-2-2_Download'!Z23</f>
        <v>11590</v>
      </c>
    </row>
    <row r="536" spans="2:9">
      <c r="B536">
        <f>'2020_5-2-2_Download'!B24</f>
        <v>251</v>
      </c>
      <c r="C536">
        <f>'2020_5-2-2_Download'!$Y$5</f>
        <v>2017</v>
      </c>
      <c r="D536" t="str">
        <f>VLOOKUP(B536,[1]Tabelle1!$A$1:$B$68,2,FALSE)</f>
        <v>Diepholz</v>
      </c>
      <c r="E536" t="str">
        <f>'2020_5-2-2_Download'!$Z$7</f>
        <v>Männer</v>
      </c>
      <c r="G536" t="s">
        <v>84</v>
      </c>
      <c r="H536" t="str">
        <f>VLOOKUP(B536,[2]Kreise!$A$2:$C$53,3,FALSE)</f>
        <v>K03251</v>
      </c>
      <c r="I536">
        <f>'2020_5-2-2_Download'!Z24</f>
        <v>3330</v>
      </c>
    </row>
    <row r="537" spans="2:9">
      <c r="B537">
        <f>'2020_5-2-2_Download'!B25</f>
        <v>252</v>
      </c>
      <c r="C537">
        <f>'2020_5-2-2_Download'!$Y$5</f>
        <v>2017</v>
      </c>
      <c r="D537" t="str">
        <f>VLOOKUP(B537,[1]Tabelle1!$A$1:$B$68,2,FALSE)</f>
        <v>Hameln-Pyrmont</v>
      </c>
      <c r="E537" t="str">
        <f>'2020_5-2-2_Download'!$Z$7</f>
        <v>Männer</v>
      </c>
      <c r="G537" t="s">
        <v>84</v>
      </c>
      <c r="H537" t="str">
        <f>VLOOKUP(B537,[2]Kreise!$A$2:$C$53,3,FALSE)</f>
        <v>K03252</v>
      </c>
      <c r="I537">
        <f>'2020_5-2-2_Download'!Z25</f>
        <v>1959</v>
      </c>
    </row>
    <row r="538" spans="2:9">
      <c r="B538">
        <f>'2020_5-2-2_Download'!B26</f>
        <v>254</v>
      </c>
      <c r="C538">
        <f>'2020_5-2-2_Download'!$Y$5</f>
        <v>2017</v>
      </c>
      <c r="D538" t="str">
        <f>VLOOKUP(B538,[1]Tabelle1!$A$1:$B$68,2,FALSE)</f>
        <v>Hildesheim</v>
      </c>
      <c r="E538" t="str">
        <f>'2020_5-2-2_Download'!$Z$7</f>
        <v>Männer</v>
      </c>
      <c r="G538" t="s">
        <v>84</v>
      </c>
      <c r="H538" t="str">
        <f>VLOOKUP(B538,[2]Kreise!$A$2:$C$53,3,FALSE)</f>
        <v>K03254</v>
      </c>
      <c r="I538">
        <f>'2020_5-2-2_Download'!Z26</f>
        <v>3238</v>
      </c>
    </row>
    <row r="539" spans="2:9">
      <c r="B539">
        <f>'2020_5-2-2_Download'!B27</f>
        <v>255</v>
      </c>
      <c r="C539">
        <f>'2020_5-2-2_Download'!$Y$5</f>
        <v>2017</v>
      </c>
      <c r="D539" t="str">
        <f>VLOOKUP(B539,[1]Tabelle1!$A$1:$B$68,2,FALSE)</f>
        <v>Holzminden</v>
      </c>
      <c r="E539" t="str">
        <f>'2020_5-2-2_Download'!$Z$7</f>
        <v>Männer</v>
      </c>
      <c r="G539" t="s">
        <v>84</v>
      </c>
      <c r="H539" t="str">
        <f>VLOOKUP(B539,[2]Kreise!$A$2:$C$53,3,FALSE)</f>
        <v>K03255</v>
      </c>
      <c r="I539">
        <f>'2020_5-2-2_Download'!Z27</f>
        <v>720</v>
      </c>
    </row>
    <row r="540" spans="2:9">
      <c r="B540">
        <f>'2020_5-2-2_Download'!B28</f>
        <v>256</v>
      </c>
      <c r="C540">
        <f>'2020_5-2-2_Download'!$Y$5</f>
        <v>2017</v>
      </c>
      <c r="D540" t="str">
        <f>VLOOKUP(B540,[1]Tabelle1!$A$1:$B$68,2,FALSE)</f>
        <v>Nienburg (Weser)</v>
      </c>
      <c r="E540" t="str">
        <f>'2020_5-2-2_Download'!$Z$7</f>
        <v>Männer</v>
      </c>
      <c r="G540" t="s">
        <v>84</v>
      </c>
      <c r="H540" t="str">
        <f>VLOOKUP(B540,[2]Kreise!$A$2:$C$53,3,FALSE)</f>
        <v>K03256</v>
      </c>
      <c r="I540">
        <f>'2020_5-2-2_Download'!Z28</f>
        <v>1901</v>
      </c>
    </row>
    <row r="541" spans="2:9">
      <c r="B541">
        <f>'2020_5-2-2_Download'!B29</f>
        <v>257</v>
      </c>
      <c r="C541">
        <f>'2020_5-2-2_Download'!$Y$5</f>
        <v>2017</v>
      </c>
      <c r="D541" t="str">
        <f>VLOOKUP(B541,[1]Tabelle1!$A$1:$B$68,2,FALSE)</f>
        <v>Schaumburg</v>
      </c>
      <c r="E541" t="str">
        <f>'2020_5-2-2_Download'!$Z$7</f>
        <v>Männer</v>
      </c>
      <c r="G541" t="s">
        <v>84</v>
      </c>
      <c r="H541" t="str">
        <f>VLOOKUP(B541,[2]Kreise!$A$2:$C$53,3,FALSE)</f>
        <v>K03257</v>
      </c>
      <c r="I541">
        <f>'2020_5-2-2_Download'!Z29</f>
        <v>1935</v>
      </c>
    </row>
    <row r="542" spans="2:9">
      <c r="B542">
        <f>'2020_5-2-2_Download'!B30</f>
        <v>2</v>
      </c>
      <c r="C542">
        <f>'2020_5-2-2_Download'!$Y$5</f>
        <v>2017</v>
      </c>
      <c r="D542" t="str">
        <f>VLOOKUP(B542,[1]Tabelle1!$A$1:$B$68,2,FALSE)</f>
        <v>Stat. Region Hannover</v>
      </c>
      <c r="E542" t="str">
        <f>'2020_5-2-2_Download'!$Z$7</f>
        <v>Männer</v>
      </c>
      <c r="G542" t="s">
        <v>84</v>
      </c>
      <c r="H542" t="str">
        <f>VLOOKUP(B542,[2]Kreise!$A$2:$C$53,3,FALSE)</f>
        <v>K032</v>
      </c>
      <c r="I542">
        <f>'2020_5-2-2_Download'!Z30</f>
        <v>44711</v>
      </c>
    </row>
    <row r="543" spans="2:9">
      <c r="B543">
        <f>'2020_5-2-2_Download'!B31</f>
        <v>351</v>
      </c>
      <c r="C543">
        <f>'2020_5-2-2_Download'!$Y$5</f>
        <v>2017</v>
      </c>
      <c r="D543" t="str">
        <f>VLOOKUP(B543,[1]Tabelle1!$A$1:$B$68,2,FALSE)</f>
        <v>Celle</v>
      </c>
      <c r="E543" t="str">
        <f>'2020_5-2-2_Download'!$Z$7</f>
        <v>Männer</v>
      </c>
      <c r="G543" t="s">
        <v>84</v>
      </c>
      <c r="H543" t="str">
        <f>VLOOKUP(B543,[2]Kreise!$A$2:$C$53,3,FALSE)</f>
        <v>K03351</v>
      </c>
      <c r="I543">
        <f>'2020_5-2-2_Download'!Z31</f>
        <v>1955</v>
      </c>
    </row>
    <row r="544" spans="2:9">
      <c r="B544">
        <f>'2020_5-2-2_Download'!B32</f>
        <v>352</v>
      </c>
      <c r="C544">
        <f>'2020_5-2-2_Download'!$Y$5</f>
        <v>2017</v>
      </c>
      <c r="D544" t="str">
        <f>VLOOKUP(B544,[1]Tabelle1!$A$1:$B$68,2,FALSE)</f>
        <v>Cuxhaven</v>
      </c>
      <c r="E544" t="str">
        <f>'2020_5-2-2_Download'!$Z$7</f>
        <v>Männer</v>
      </c>
      <c r="G544" t="s">
        <v>84</v>
      </c>
      <c r="H544" t="str">
        <f>VLOOKUP(B544,[2]Kreise!$A$2:$C$53,3,FALSE)</f>
        <v>K03352</v>
      </c>
      <c r="I544">
        <f>'2020_5-2-2_Download'!Z32</f>
        <v>2426</v>
      </c>
    </row>
    <row r="545" spans="2:9">
      <c r="B545">
        <f>'2020_5-2-2_Download'!B33</f>
        <v>353</v>
      </c>
      <c r="C545">
        <f>'2020_5-2-2_Download'!$Y$5</f>
        <v>2017</v>
      </c>
      <c r="D545" t="str">
        <f>VLOOKUP(B545,[1]Tabelle1!$A$1:$B$68,2,FALSE)</f>
        <v>Harburg</v>
      </c>
      <c r="E545" t="str">
        <f>'2020_5-2-2_Download'!$Z$7</f>
        <v>Männer</v>
      </c>
      <c r="G545" t="s">
        <v>84</v>
      </c>
      <c r="H545" t="str">
        <f>VLOOKUP(B545,[2]Kreise!$A$2:$C$53,3,FALSE)</f>
        <v>K03353</v>
      </c>
      <c r="I545">
        <f>'2020_5-2-2_Download'!Z33</f>
        <v>4363</v>
      </c>
    </row>
    <row r="546" spans="2:9">
      <c r="B546">
        <f>'2020_5-2-2_Download'!B34</f>
        <v>354</v>
      </c>
      <c r="C546">
        <f>'2020_5-2-2_Download'!$Y$5</f>
        <v>2017</v>
      </c>
      <c r="D546" t="str">
        <f>VLOOKUP(B546,[1]Tabelle1!$A$1:$B$68,2,FALSE)</f>
        <v>Lüchow-Dannenberg</v>
      </c>
      <c r="E546" t="str">
        <f>'2020_5-2-2_Download'!$Z$7</f>
        <v>Männer</v>
      </c>
      <c r="G546" t="s">
        <v>84</v>
      </c>
      <c r="H546" t="str">
        <f>VLOOKUP(B546,[2]Kreise!$A$2:$C$53,3,FALSE)</f>
        <v>K03354</v>
      </c>
      <c r="I546">
        <f>'2020_5-2-2_Download'!Z34</f>
        <v>370</v>
      </c>
    </row>
    <row r="547" spans="2:9">
      <c r="B547">
        <f>'2020_5-2-2_Download'!B35</f>
        <v>355</v>
      </c>
      <c r="C547">
        <f>'2020_5-2-2_Download'!$Y$5</f>
        <v>2017</v>
      </c>
      <c r="D547" t="str">
        <f>VLOOKUP(B547,[1]Tabelle1!$A$1:$B$68,2,FALSE)</f>
        <v>Lüneburg</v>
      </c>
      <c r="E547" t="str">
        <f>'2020_5-2-2_Download'!$Z$7</f>
        <v>Männer</v>
      </c>
      <c r="G547" t="s">
        <v>84</v>
      </c>
      <c r="H547" t="str">
        <f>VLOOKUP(B547,[2]Kreise!$A$2:$C$53,3,FALSE)</f>
        <v>K03355</v>
      </c>
      <c r="I547">
        <f>'2020_5-2-2_Download'!Z35</f>
        <v>1975</v>
      </c>
    </row>
    <row r="548" spans="2:9">
      <c r="B548">
        <f>'2020_5-2-2_Download'!B36</f>
        <v>356</v>
      </c>
      <c r="C548">
        <f>'2020_5-2-2_Download'!$Y$5</f>
        <v>2017</v>
      </c>
      <c r="D548" t="str">
        <f>VLOOKUP(B548,[1]Tabelle1!$A$1:$B$68,2,FALSE)</f>
        <v>Osterholz</v>
      </c>
      <c r="E548" t="str">
        <f>'2020_5-2-2_Download'!$Z$7</f>
        <v>Männer</v>
      </c>
      <c r="G548" t="s">
        <v>84</v>
      </c>
      <c r="H548" t="str">
        <f>VLOOKUP(B548,[2]Kreise!$A$2:$C$53,3,FALSE)</f>
        <v>K03356</v>
      </c>
      <c r="I548">
        <f>'2020_5-2-2_Download'!Z36</f>
        <v>1002</v>
      </c>
    </row>
    <row r="549" spans="2:9">
      <c r="B549">
        <f>'2020_5-2-2_Download'!B37</f>
        <v>357</v>
      </c>
      <c r="C549">
        <f>'2020_5-2-2_Download'!$Y$5</f>
        <v>2017</v>
      </c>
      <c r="D549" t="str">
        <f>VLOOKUP(B549,[1]Tabelle1!$A$1:$B$68,2,FALSE)</f>
        <v>Rotenburg (Wümme)</v>
      </c>
      <c r="E549" t="str">
        <f>'2020_5-2-2_Download'!$Z$7</f>
        <v>Männer</v>
      </c>
      <c r="G549" t="s">
        <v>84</v>
      </c>
      <c r="H549" t="str">
        <f>VLOOKUP(B549,[2]Kreise!$A$2:$C$53,3,FALSE)</f>
        <v>K03357</v>
      </c>
      <c r="I549">
        <f>'2020_5-2-2_Download'!Z37</f>
        <v>2263</v>
      </c>
    </row>
    <row r="550" spans="2:9">
      <c r="B550">
        <f>'2020_5-2-2_Download'!B38</f>
        <v>358</v>
      </c>
      <c r="C550">
        <f>'2020_5-2-2_Download'!$Y$5</f>
        <v>2017</v>
      </c>
      <c r="D550" t="str">
        <f>VLOOKUP(B550,[1]Tabelle1!$A$1:$B$68,2,FALSE)</f>
        <v>Heidekreis</v>
      </c>
      <c r="E550" t="str">
        <f>'2020_5-2-2_Download'!$Z$7</f>
        <v>Männer</v>
      </c>
      <c r="G550" t="s">
        <v>84</v>
      </c>
      <c r="H550" t="str">
        <f>VLOOKUP(B550,[2]Kreise!$A$2:$C$53,3,FALSE)</f>
        <v>K03358</v>
      </c>
      <c r="I550">
        <f>'2020_5-2-2_Download'!Z38</f>
        <v>2171</v>
      </c>
    </row>
    <row r="551" spans="2:9">
      <c r="B551">
        <f>'2020_5-2-2_Download'!B39</f>
        <v>359</v>
      </c>
      <c r="C551">
        <f>'2020_5-2-2_Download'!$Y$5</f>
        <v>2017</v>
      </c>
      <c r="D551" t="str">
        <f>VLOOKUP(B551,[1]Tabelle1!$A$1:$B$68,2,FALSE)</f>
        <v>Stade</v>
      </c>
      <c r="E551" t="str">
        <f>'2020_5-2-2_Download'!$Z$7</f>
        <v>Männer</v>
      </c>
      <c r="G551" t="s">
        <v>84</v>
      </c>
      <c r="H551" t="str">
        <f>VLOOKUP(B551,[2]Kreise!$A$2:$C$53,3,FALSE)</f>
        <v>K03359</v>
      </c>
      <c r="I551">
        <f>'2020_5-2-2_Download'!Z39</f>
        <v>3241</v>
      </c>
    </row>
    <row r="552" spans="2:9">
      <c r="B552">
        <f>'2020_5-2-2_Download'!B40</f>
        <v>360</v>
      </c>
      <c r="C552">
        <f>'2020_5-2-2_Download'!$Y$5</f>
        <v>2017</v>
      </c>
      <c r="D552" t="str">
        <f>VLOOKUP(B552,[1]Tabelle1!$A$1:$B$68,2,FALSE)</f>
        <v>Uelzen</v>
      </c>
      <c r="E552" t="str">
        <f>'2020_5-2-2_Download'!$Z$7</f>
        <v>Männer</v>
      </c>
      <c r="G552" t="s">
        <v>84</v>
      </c>
      <c r="H552" t="str">
        <f>VLOOKUP(B552,[2]Kreise!$A$2:$C$53,3,FALSE)</f>
        <v>K03360</v>
      </c>
      <c r="I552">
        <f>'2020_5-2-2_Download'!Z40</f>
        <v>750</v>
      </c>
    </row>
    <row r="553" spans="2:9">
      <c r="B553">
        <f>'2020_5-2-2_Download'!B41</f>
        <v>361</v>
      </c>
      <c r="C553">
        <f>'2020_5-2-2_Download'!$Y$5</f>
        <v>2017</v>
      </c>
      <c r="D553" t="str">
        <f>VLOOKUP(B553,[1]Tabelle1!$A$1:$B$68,2,FALSE)</f>
        <v>Verden</v>
      </c>
      <c r="E553" t="str">
        <f>'2020_5-2-2_Download'!$Z$7</f>
        <v>Männer</v>
      </c>
      <c r="G553" t="s">
        <v>84</v>
      </c>
      <c r="H553" t="str">
        <f>VLOOKUP(B553,[2]Kreise!$A$2:$C$53,3,FALSE)</f>
        <v>K03361</v>
      </c>
      <c r="I553">
        <f>'2020_5-2-2_Download'!Z41</f>
        <v>2605</v>
      </c>
    </row>
    <row r="554" spans="2:9">
      <c r="B554">
        <f>'2020_5-2-2_Download'!B42</f>
        <v>3</v>
      </c>
      <c r="C554">
        <f>'2020_5-2-2_Download'!$Y$5</f>
        <v>2017</v>
      </c>
      <c r="D554" t="str">
        <f>VLOOKUP(B554,[1]Tabelle1!$A$1:$B$68,2,FALSE)</f>
        <v>Stat. Region Lüneburg</v>
      </c>
      <c r="E554" t="str">
        <f>'2020_5-2-2_Download'!$Z$7</f>
        <v>Männer</v>
      </c>
      <c r="G554" t="s">
        <v>84</v>
      </c>
      <c r="H554" t="str">
        <f>VLOOKUP(B554,[2]Kreise!$A$2:$C$53,3,FALSE)</f>
        <v>K033</v>
      </c>
      <c r="I554">
        <f>'2020_5-2-2_Download'!Z42</f>
        <v>23121</v>
      </c>
    </row>
    <row r="555" spans="2:9">
      <c r="B555">
        <f>'2020_5-2-2_Download'!B43</f>
        <v>401</v>
      </c>
      <c r="C555">
        <f>'2020_5-2-2_Download'!$Y$5</f>
        <v>2017</v>
      </c>
      <c r="D555" t="str">
        <f>VLOOKUP(B555,[1]Tabelle1!$A$1:$B$68,2,FALSE)</f>
        <v>Delmenhorst  Stadt</v>
      </c>
      <c r="E555" t="str">
        <f>'2020_5-2-2_Download'!$Z$7</f>
        <v>Männer</v>
      </c>
      <c r="G555" t="s">
        <v>84</v>
      </c>
      <c r="H555" t="str">
        <f>VLOOKUP(B555,[2]Kreise!$A$2:$C$53,3,FALSE)</f>
        <v>K03401</v>
      </c>
      <c r="I555">
        <f>'2020_5-2-2_Download'!Z43</f>
        <v>891</v>
      </c>
    </row>
    <row r="556" spans="2:9">
      <c r="B556">
        <f>'2020_5-2-2_Download'!B44</f>
        <v>402</v>
      </c>
      <c r="C556">
        <f>'2020_5-2-2_Download'!$Y$5</f>
        <v>2017</v>
      </c>
      <c r="D556" t="str">
        <f>VLOOKUP(B556,[1]Tabelle1!$A$1:$B$68,2,FALSE)</f>
        <v>Emden  Stadt</v>
      </c>
      <c r="E556" t="str">
        <f>'2020_5-2-2_Download'!$Z$7</f>
        <v>Männer</v>
      </c>
      <c r="G556" t="s">
        <v>84</v>
      </c>
      <c r="H556" t="str">
        <f>VLOOKUP(B556,[2]Kreise!$A$2:$C$53,3,FALSE)</f>
        <v>K03402</v>
      </c>
      <c r="I556">
        <f>'2020_5-2-2_Download'!Z44</f>
        <v>1203</v>
      </c>
    </row>
    <row r="557" spans="2:9">
      <c r="B557">
        <f>'2020_5-2-2_Download'!B45</f>
        <v>403</v>
      </c>
      <c r="C557">
        <f>'2020_5-2-2_Download'!$Y$5</f>
        <v>2017</v>
      </c>
      <c r="D557" t="str">
        <f>VLOOKUP(B557,[1]Tabelle1!$A$1:$B$68,2,FALSE)</f>
        <v>Oldenburg(Oldb)  Stadt</v>
      </c>
      <c r="E557" t="str">
        <f>'2020_5-2-2_Download'!$Z$7</f>
        <v>Männer</v>
      </c>
      <c r="G557" t="s">
        <v>84</v>
      </c>
      <c r="H557" t="str">
        <f>VLOOKUP(B557,[2]Kreise!$A$2:$C$53,3,FALSE)</f>
        <v>K03403</v>
      </c>
      <c r="I557">
        <f>'2020_5-2-2_Download'!Z45</f>
        <v>2682</v>
      </c>
    </row>
    <row r="558" spans="2:9">
      <c r="B558">
        <f>'2020_5-2-2_Download'!B46</f>
        <v>404</v>
      </c>
      <c r="C558">
        <f>'2020_5-2-2_Download'!$Y$5</f>
        <v>2017</v>
      </c>
      <c r="D558" t="str">
        <f>VLOOKUP(B558,[1]Tabelle1!$A$1:$B$68,2,FALSE)</f>
        <v>Osnabrück  Stadt</v>
      </c>
      <c r="E558" t="str">
        <f>'2020_5-2-2_Download'!$Z$7</f>
        <v>Männer</v>
      </c>
      <c r="G558" t="s">
        <v>84</v>
      </c>
      <c r="H558" t="str">
        <f>VLOOKUP(B558,[2]Kreise!$A$2:$C$53,3,FALSE)</f>
        <v>K03404</v>
      </c>
      <c r="I558">
        <f>'2020_5-2-2_Download'!Z46</f>
        <v>3933</v>
      </c>
    </row>
    <row r="559" spans="2:9">
      <c r="B559">
        <f>'2020_5-2-2_Download'!B47</f>
        <v>405</v>
      </c>
      <c r="C559">
        <f>'2020_5-2-2_Download'!$Y$5</f>
        <v>2017</v>
      </c>
      <c r="D559" t="str">
        <f>VLOOKUP(B559,[1]Tabelle1!$A$1:$B$68,2,FALSE)</f>
        <v>Wilhelmshaven  Stadt</v>
      </c>
      <c r="E559" t="str">
        <f>'2020_5-2-2_Download'!$Z$7</f>
        <v>Männer</v>
      </c>
      <c r="G559" t="s">
        <v>84</v>
      </c>
      <c r="H559" t="str">
        <f>VLOOKUP(B559,[2]Kreise!$A$2:$C$53,3,FALSE)</f>
        <v>K03405</v>
      </c>
      <c r="I559">
        <f>'2020_5-2-2_Download'!Z47</f>
        <v>826</v>
      </c>
    </row>
    <row r="560" spans="2:9">
      <c r="B560">
        <f>'2020_5-2-2_Download'!B48</f>
        <v>451</v>
      </c>
      <c r="C560">
        <f>'2020_5-2-2_Download'!$Y$5</f>
        <v>2017</v>
      </c>
      <c r="D560" t="str">
        <f>VLOOKUP(B560,[1]Tabelle1!$A$1:$B$68,2,FALSE)</f>
        <v>Ammerland</v>
      </c>
      <c r="E560" t="str">
        <f>'2020_5-2-2_Download'!$Z$7</f>
        <v>Männer</v>
      </c>
      <c r="G560" t="s">
        <v>84</v>
      </c>
      <c r="H560" t="str">
        <f>VLOOKUP(B560,[2]Kreise!$A$2:$C$53,3,FALSE)</f>
        <v>K03451</v>
      </c>
      <c r="I560">
        <f>'2020_5-2-2_Download'!Z48</f>
        <v>2033</v>
      </c>
    </row>
    <row r="561" spans="2:9">
      <c r="B561">
        <f>'2020_5-2-2_Download'!B49</f>
        <v>452</v>
      </c>
      <c r="C561">
        <f>'2020_5-2-2_Download'!$Y$5</f>
        <v>2017</v>
      </c>
      <c r="D561" t="str">
        <f>VLOOKUP(B561,[1]Tabelle1!$A$1:$B$68,2,FALSE)</f>
        <v>Aurich</v>
      </c>
      <c r="E561" t="str">
        <f>'2020_5-2-2_Download'!$Z$7</f>
        <v>Männer</v>
      </c>
      <c r="G561" t="s">
        <v>84</v>
      </c>
      <c r="H561" t="str">
        <f>VLOOKUP(B561,[2]Kreise!$A$2:$C$53,3,FALSE)</f>
        <v>K03452</v>
      </c>
      <c r="I561">
        <f>'2020_5-2-2_Download'!Z49</f>
        <v>2507</v>
      </c>
    </row>
    <row r="562" spans="2:9">
      <c r="B562">
        <f>'2020_5-2-2_Download'!B50</f>
        <v>453</v>
      </c>
      <c r="C562">
        <f>'2020_5-2-2_Download'!$Y$5</f>
        <v>2017</v>
      </c>
      <c r="D562" t="str">
        <f>VLOOKUP(B562,[1]Tabelle1!$A$1:$B$68,2,FALSE)</f>
        <v>Cloppenburg</v>
      </c>
      <c r="E562" t="str">
        <f>'2020_5-2-2_Download'!$Z$7</f>
        <v>Männer</v>
      </c>
      <c r="G562" t="s">
        <v>84</v>
      </c>
      <c r="H562" t="str">
        <f>VLOOKUP(B562,[2]Kreise!$A$2:$C$53,3,FALSE)</f>
        <v>K03453</v>
      </c>
      <c r="I562">
        <f>'2020_5-2-2_Download'!Z50</f>
        <v>5694</v>
      </c>
    </row>
    <row r="563" spans="2:9">
      <c r="B563">
        <f>'2020_5-2-2_Download'!B51</f>
        <v>454</v>
      </c>
      <c r="C563">
        <f>'2020_5-2-2_Download'!$Y$5</f>
        <v>2017</v>
      </c>
      <c r="D563" t="str">
        <f>VLOOKUP(B563,[1]Tabelle1!$A$1:$B$68,2,FALSE)</f>
        <v>Emsland</v>
      </c>
      <c r="E563" t="str">
        <f>'2020_5-2-2_Download'!$Z$7</f>
        <v>Männer</v>
      </c>
      <c r="G563" t="s">
        <v>84</v>
      </c>
      <c r="H563" t="str">
        <f>VLOOKUP(B563,[2]Kreise!$A$2:$C$53,3,FALSE)</f>
        <v>K03454</v>
      </c>
      <c r="I563">
        <f>'2020_5-2-2_Download'!Z51</f>
        <v>7902</v>
      </c>
    </row>
    <row r="564" spans="2:9">
      <c r="B564">
        <f>'2020_5-2-2_Download'!B52</f>
        <v>455</v>
      </c>
      <c r="C564">
        <f>'2020_5-2-2_Download'!$Y$5</f>
        <v>2017</v>
      </c>
      <c r="D564" t="str">
        <f>VLOOKUP(B564,[1]Tabelle1!$A$1:$B$68,2,FALSE)</f>
        <v>Friesland</v>
      </c>
      <c r="E564" t="str">
        <f>'2020_5-2-2_Download'!$Z$7</f>
        <v>Männer</v>
      </c>
      <c r="G564" t="s">
        <v>84</v>
      </c>
      <c r="H564" t="str">
        <f>VLOOKUP(B564,[2]Kreise!$A$2:$C$53,3,FALSE)</f>
        <v>K03455</v>
      </c>
      <c r="I564">
        <f>'2020_5-2-2_Download'!Z52</f>
        <v>726</v>
      </c>
    </row>
    <row r="565" spans="2:9">
      <c r="B565">
        <f>'2020_5-2-2_Download'!B53</f>
        <v>456</v>
      </c>
      <c r="C565">
        <f>'2020_5-2-2_Download'!$Y$5</f>
        <v>2017</v>
      </c>
      <c r="D565" t="str">
        <f>VLOOKUP(B565,[1]Tabelle1!$A$1:$B$68,2,FALSE)</f>
        <v>Grafschaft Bentheim</v>
      </c>
      <c r="E565" t="str">
        <f>'2020_5-2-2_Download'!$Z$7</f>
        <v>Männer</v>
      </c>
      <c r="G565" t="s">
        <v>84</v>
      </c>
      <c r="H565" t="str">
        <f>VLOOKUP(B565,[2]Kreise!$A$2:$C$53,3,FALSE)</f>
        <v>K03456</v>
      </c>
      <c r="I565">
        <f>'2020_5-2-2_Download'!Z53</f>
        <v>3221</v>
      </c>
    </row>
    <row r="566" spans="2:9">
      <c r="B566">
        <f>'2020_5-2-2_Download'!B54</f>
        <v>457</v>
      </c>
      <c r="C566">
        <f>'2020_5-2-2_Download'!$Y$5</f>
        <v>2017</v>
      </c>
      <c r="D566" t="str">
        <f>VLOOKUP(B566,[1]Tabelle1!$A$1:$B$68,2,FALSE)</f>
        <v>Leer</v>
      </c>
      <c r="E566" t="str">
        <f>'2020_5-2-2_Download'!$Z$7</f>
        <v>Männer</v>
      </c>
      <c r="G566" t="s">
        <v>84</v>
      </c>
      <c r="H566" t="str">
        <f>VLOOKUP(B566,[2]Kreise!$A$2:$C$53,3,FALSE)</f>
        <v>K03457</v>
      </c>
      <c r="I566">
        <f>'2020_5-2-2_Download'!Z54</f>
        <v>1943</v>
      </c>
    </row>
    <row r="567" spans="2:9">
      <c r="B567">
        <f>'2020_5-2-2_Download'!B55</f>
        <v>458</v>
      </c>
      <c r="C567">
        <f>'2020_5-2-2_Download'!$Y$5</f>
        <v>2017</v>
      </c>
      <c r="D567" t="str">
        <f>VLOOKUP(B567,[1]Tabelle1!$A$1:$B$68,2,FALSE)</f>
        <v>Oldenburg</v>
      </c>
      <c r="E567" t="str">
        <f>'2020_5-2-2_Download'!$Z$7</f>
        <v>Männer</v>
      </c>
      <c r="G567" t="s">
        <v>84</v>
      </c>
      <c r="H567" t="str">
        <f>VLOOKUP(B567,[2]Kreise!$A$2:$C$53,3,FALSE)</f>
        <v>K03458</v>
      </c>
      <c r="I567">
        <f>'2020_5-2-2_Download'!Z55</f>
        <v>1968</v>
      </c>
    </row>
    <row r="568" spans="2:9">
      <c r="B568">
        <f>'2020_5-2-2_Download'!B56</f>
        <v>459</v>
      </c>
      <c r="C568">
        <f>'2020_5-2-2_Download'!$Y$5</f>
        <v>2017</v>
      </c>
      <c r="D568" t="str">
        <f>VLOOKUP(B568,[1]Tabelle1!$A$1:$B$68,2,FALSE)</f>
        <v>Osnabrück</v>
      </c>
      <c r="E568" t="str">
        <f>'2020_5-2-2_Download'!$Z$7</f>
        <v>Männer</v>
      </c>
      <c r="G568" t="s">
        <v>84</v>
      </c>
      <c r="H568" t="str">
        <f>VLOOKUP(B568,[2]Kreise!$A$2:$C$53,3,FALSE)</f>
        <v>K03459</v>
      </c>
      <c r="I568">
        <f>'2020_5-2-2_Download'!Z56</f>
        <v>9370</v>
      </c>
    </row>
    <row r="569" spans="2:9">
      <c r="B569">
        <f>'2020_5-2-2_Download'!B57</f>
        <v>460</v>
      </c>
      <c r="C569">
        <f>'2020_5-2-2_Download'!$Y$5</f>
        <v>2017</v>
      </c>
      <c r="D569" t="str">
        <f>VLOOKUP(B569,[1]Tabelle1!$A$1:$B$68,2,FALSE)</f>
        <v>Vechta</v>
      </c>
      <c r="E569" t="str">
        <f>'2020_5-2-2_Download'!$Z$7</f>
        <v>Männer</v>
      </c>
      <c r="G569" t="s">
        <v>84</v>
      </c>
      <c r="H569" t="str">
        <f>VLOOKUP(B569,[2]Kreise!$A$2:$C$53,3,FALSE)</f>
        <v>K03460</v>
      </c>
      <c r="I569">
        <f>'2020_5-2-2_Download'!Z57</f>
        <v>6010</v>
      </c>
    </row>
    <row r="570" spans="2:9">
      <c r="B570">
        <f>'2020_5-2-2_Download'!B58</f>
        <v>461</v>
      </c>
      <c r="C570">
        <f>'2020_5-2-2_Download'!$Y$5</f>
        <v>2017</v>
      </c>
      <c r="D570" t="str">
        <f>VLOOKUP(B570,[1]Tabelle1!$A$1:$B$68,2,FALSE)</f>
        <v>Wesermarsch</v>
      </c>
      <c r="E570" t="str">
        <f>'2020_5-2-2_Download'!$Z$7</f>
        <v>Männer</v>
      </c>
      <c r="G570" t="s">
        <v>84</v>
      </c>
      <c r="H570" t="str">
        <f>VLOOKUP(B570,[2]Kreise!$A$2:$C$53,3,FALSE)</f>
        <v>K03461</v>
      </c>
      <c r="I570">
        <f>'2020_5-2-2_Download'!Z58</f>
        <v>1739</v>
      </c>
    </row>
    <row r="571" spans="2:9">
      <c r="B571">
        <f>'2020_5-2-2_Download'!B59</f>
        <v>462</v>
      </c>
      <c r="C571">
        <f>'2020_5-2-2_Download'!$Y$5</f>
        <v>2017</v>
      </c>
      <c r="D571" t="str">
        <f>VLOOKUP(B571,[1]Tabelle1!$A$1:$B$68,2,FALSE)</f>
        <v>Wittmund</v>
      </c>
      <c r="E571" t="str">
        <f>'2020_5-2-2_Download'!$Z$7</f>
        <v>Männer</v>
      </c>
      <c r="G571" t="s">
        <v>84</v>
      </c>
      <c r="H571" t="str">
        <f>VLOOKUP(B571,[2]Kreise!$A$2:$C$53,3,FALSE)</f>
        <v>K03462</v>
      </c>
      <c r="I571">
        <f>'2020_5-2-2_Download'!Z59</f>
        <v>462</v>
      </c>
    </row>
    <row r="572" spans="2:9">
      <c r="B572">
        <f>'2020_5-2-2_Download'!B60</f>
        <v>4</v>
      </c>
      <c r="C572">
        <f>'2020_5-2-2_Download'!$Y$5</f>
        <v>2017</v>
      </c>
      <c r="D572" t="str">
        <f>VLOOKUP(B572,[1]Tabelle1!$A$1:$B$68,2,FALSE)</f>
        <v>Stat. Region Weser-Ems</v>
      </c>
      <c r="E572" t="str">
        <f>'2020_5-2-2_Download'!$Z$7</f>
        <v>Männer</v>
      </c>
      <c r="G572" t="s">
        <v>84</v>
      </c>
      <c r="H572" t="str">
        <f>VLOOKUP(B572,[2]Kreise!$A$2:$C$53,3,FALSE)</f>
        <v>K034</v>
      </c>
      <c r="I572">
        <f>'2020_5-2-2_Download'!Z60</f>
        <v>53110</v>
      </c>
    </row>
    <row r="573" spans="2:9">
      <c r="B573">
        <f>'2020_5-2-2_Download'!B61</f>
        <v>0</v>
      </c>
      <c r="C573">
        <f>'2020_5-2-2_Download'!$Y$5</f>
        <v>2017</v>
      </c>
      <c r="D573" t="str">
        <f>VLOOKUP(B573,[1]Tabelle1!$A$1:$B$68,2,FALSE)</f>
        <v>Niedersachsen</v>
      </c>
      <c r="E573" t="str">
        <f>'2020_5-2-2_Download'!$Z$7</f>
        <v>Männer</v>
      </c>
      <c r="G573" t="s">
        <v>84</v>
      </c>
      <c r="H573" t="str">
        <f>VLOOKUP(B573,[2]Kreise!$A$2:$C$53,3,FALSE)</f>
        <v>K030</v>
      </c>
      <c r="I573">
        <f>'2020_5-2-2_Download'!Z61</f>
        <v>148723</v>
      </c>
    </row>
    <row r="574" spans="2:9">
      <c r="B574">
        <f>'2020_5-2-2_Download'!B10</f>
        <v>101</v>
      </c>
      <c r="C574">
        <f>'2020_5-2-2_Download'!$Y$5</f>
        <v>2017</v>
      </c>
      <c r="D574" t="str">
        <f>VLOOKUP(B574,[1]Tabelle1!$A$1:$B$68,2,FALSE)</f>
        <v>Braunschweig  Stadt</v>
      </c>
      <c r="E574" t="str">
        <f>'2020_5-2-2_Download'!$AA$7</f>
        <v>Frauen</v>
      </c>
      <c r="G574" t="s">
        <v>84</v>
      </c>
      <c r="H574" t="str">
        <f>VLOOKUP(B574,[2]Kreise!$A$2:$C$53,3,FALSE)</f>
        <v>K03101</v>
      </c>
      <c r="I574">
        <f>'2020_5-2-2_Download'!AA10</f>
        <v>3640</v>
      </c>
    </row>
    <row r="575" spans="2:9">
      <c r="B575">
        <f>'2020_5-2-2_Download'!B11</f>
        <v>102</v>
      </c>
      <c r="C575">
        <f>'2020_5-2-2_Download'!$Y$5</f>
        <v>2017</v>
      </c>
      <c r="D575" t="str">
        <f>VLOOKUP(B575,[1]Tabelle1!$A$1:$B$68,2,FALSE)</f>
        <v>Salzgitter  Stadt</v>
      </c>
      <c r="E575" t="str">
        <f>'2020_5-2-2_Download'!$AA$7</f>
        <v>Frauen</v>
      </c>
      <c r="G575" t="s">
        <v>84</v>
      </c>
      <c r="H575" t="str">
        <f>VLOOKUP(B575,[2]Kreise!$A$2:$C$53,3,FALSE)</f>
        <v>K03102</v>
      </c>
      <c r="I575">
        <f>'2020_5-2-2_Download'!AA11</f>
        <v>884</v>
      </c>
    </row>
    <row r="576" spans="2:9">
      <c r="B576">
        <f>'2020_5-2-2_Download'!B12</f>
        <v>103</v>
      </c>
      <c r="C576">
        <f>'2020_5-2-2_Download'!$Y$5</f>
        <v>2017</v>
      </c>
      <c r="D576" t="str">
        <f>VLOOKUP(B576,[1]Tabelle1!$A$1:$B$68,2,FALSE)</f>
        <v>Wolfsburg  Stadt</v>
      </c>
      <c r="E576" t="str">
        <f>'2020_5-2-2_Download'!$AA$7</f>
        <v>Frauen</v>
      </c>
      <c r="G576" t="s">
        <v>84</v>
      </c>
      <c r="H576" t="str">
        <f>VLOOKUP(B576,[2]Kreise!$A$2:$C$53,3,FALSE)</f>
        <v>K03103</v>
      </c>
      <c r="I576">
        <f>'2020_5-2-2_Download'!AA12</f>
        <v>2722</v>
      </c>
    </row>
    <row r="577" spans="2:9">
      <c r="B577">
        <f>'2020_5-2-2_Download'!B13</f>
        <v>151</v>
      </c>
      <c r="C577">
        <f>'2020_5-2-2_Download'!$Y$5</f>
        <v>2017</v>
      </c>
      <c r="D577" t="str">
        <f>VLOOKUP(B577,[1]Tabelle1!$A$1:$B$68,2,FALSE)</f>
        <v>Gifhorn</v>
      </c>
      <c r="E577" t="str">
        <f>'2020_5-2-2_Download'!$AA$7</f>
        <v>Frauen</v>
      </c>
      <c r="G577" t="s">
        <v>84</v>
      </c>
      <c r="H577" t="str">
        <f>VLOOKUP(B577,[2]Kreise!$A$2:$C$53,3,FALSE)</f>
        <v>K03151</v>
      </c>
      <c r="I577">
        <f>'2020_5-2-2_Download'!AA13</f>
        <v>819</v>
      </c>
    </row>
    <row r="578" spans="2:9">
      <c r="B578">
        <f>'2020_5-2-2_Download'!B14</f>
        <v>153</v>
      </c>
      <c r="C578">
        <f>'2020_5-2-2_Download'!$Y$5</f>
        <v>2017</v>
      </c>
      <c r="D578" t="str">
        <f>VLOOKUP(B578,[1]Tabelle1!$A$1:$B$68,2,FALSE)</f>
        <v>Goslar</v>
      </c>
      <c r="E578" t="str">
        <f>'2020_5-2-2_Download'!$AA$7</f>
        <v>Frauen</v>
      </c>
      <c r="G578" t="s">
        <v>84</v>
      </c>
      <c r="H578" t="str">
        <f>VLOOKUP(B578,[2]Kreise!$A$2:$C$53,3,FALSE)</f>
        <v>K03153</v>
      </c>
      <c r="I578">
        <f>'2020_5-2-2_Download'!AA14</f>
        <v>858</v>
      </c>
    </row>
    <row r="579" spans="2:9">
      <c r="B579">
        <f>'2020_5-2-2_Download'!B15</f>
        <v>154</v>
      </c>
      <c r="C579">
        <f>'2020_5-2-2_Download'!$Y$5</f>
        <v>2017</v>
      </c>
      <c r="D579" t="str">
        <f>VLOOKUP(B579,[1]Tabelle1!$A$1:$B$68,2,FALSE)</f>
        <v>Helmstedt</v>
      </c>
      <c r="E579" t="str">
        <f>'2020_5-2-2_Download'!$AA$7</f>
        <v>Frauen</v>
      </c>
      <c r="G579" t="s">
        <v>84</v>
      </c>
      <c r="H579" t="str">
        <f>VLOOKUP(B579,[2]Kreise!$A$2:$C$53,3,FALSE)</f>
        <v>K03154</v>
      </c>
      <c r="I579">
        <f>'2020_5-2-2_Download'!AA15</f>
        <v>413</v>
      </c>
    </row>
    <row r="580" spans="2:9">
      <c r="B580">
        <f>'2020_5-2-2_Download'!B16</f>
        <v>155</v>
      </c>
      <c r="C580">
        <f>'2020_5-2-2_Download'!$Y$5</f>
        <v>2017</v>
      </c>
      <c r="D580" t="str">
        <f>VLOOKUP(B580,[1]Tabelle1!$A$1:$B$68,2,FALSE)</f>
        <v>Northeim</v>
      </c>
      <c r="E580" t="str">
        <f>'2020_5-2-2_Download'!$AA$7</f>
        <v>Frauen</v>
      </c>
      <c r="G580" t="s">
        <v>84</v>
      </c>
      <c r="H580" t="str">
        <f>VLOOKUP(B580,[2]Kreise!$A$2:$C$53,3,FALSE)</f>
        <v>K03155</v>
      </c>
      <c r="I580">
        <f>'2020_5-2-2_Download'!AA16</f>
        <v>607</v>
      </c>
    </row>
    <row r="581" spans="2:9">
      <c r="B581">
        <f>'2020_5-2-2_Download'!B17</f>
        <v>157</v>
      </c>
      <c r="C581">
        <f>'2020_5-2-2_Download'!$Y$5</f>
        <v>2017</v>
      </c>
      <c r="D581" t="str">
        <f>VLOOKUP(B581,[1]Tabelle1!$A$1:$B$68,2,FALSE)</f>
        <v>Peine</v>
      </c>
      <c r="E581" t="str">
        <f>'2020_5-2-2_Download'!$AA$7</f>
        <v>Frauen</v>
      </c>
      <c r="G581" t="s">
        <v>84</v>
      </c>
      <c r="H581" t="str">
        <f>VLOOKUP(B581,[2]Kreise!$A$2:$C$53,3,FALSE)</f>
        <v>K03157</v>
      </c>
      <c r="I581">
        <f>'2020_5-2-2_Download'!AA17</f>
        <v>601</v>
      </c>
    </row>
    <row r="582" spans="2:9">
      <c r="B582">
        <f>'2020_5-2-2_Download'!B18</f>
        <v>158</v>
      </c>
      <c r="C582">
        <f>'2020_5-2-2_Download'!$Y$5</f>
        <v>2017</v>
      </c>
      <c r="D582" t="str">
        <f>VLOOKUP(B582,[1]Tabelle1!$A$1:$B$68,2,FALSE)</f>
        <v>Wolfenbüttel</v>
      </c>
      <c r="E582" t="str">
        <f>'2020_5-2-2_Download'!$AA$7</f>
        <v>Frauen</v>
      </c>
      <c r="G582" t="s">
        <v>84</v>
      </c>
      <c r="H582" t="str">
        <f>VLOOKUP(B582,[2]Kreise!$A$2:$C$53,3,FALSE)</f>
        <v>K03158</v>
      </c>
      <c r="I582">
        <f>'2020_5-2-2_Download'!AA18</f>
        <v>482</v>
      </c>
    </row>
    <row r="583" spans="2:9">
      <c r="B583">
        <f>'2020_5-2-2_Download'!B19</f>
        <v>159</v>
      </c>
      <c r="C583">
        <f>'2020_5-2-2_Download'!$Y$5</f>
        <v>2017</v>
      </c>
      <c r="D583" t="str">
        <f>VLOOKUP(B583,[1]Tabelle1!$A$1:$B$68,2,FALSE)</f>
        <v>Göttingen</v>
      </c>
      <c r="E583" t="str">
        <f>'2020_5-2-2_Download'!$AA$7</f>
        <v>Frauen</v>
      </c>
      <c r="G583" t="s">
        <v>84</v>
      </c>
      <c r="H583" t="str">
        <f>VLOOKUP(B583,[2]Kreise!$A$2:$C$53,3,FALSE)</f>
        <v>K03159</v>
      </c>
      <c r="I583">
        <f>'2020_5-2-2_Download'!AA19</f>
        <v>3117</v>
      </c>
    </row>
    <row r="584" spans="2:9">
      <c r="B584">
        <f>'2020_5-2-2_Download'!B20</f>
        <v>1</v>
      </c>
      <c r="C584">
        <f>'2020_5-2-2_Download'!$Y$5</f>
        <v>2017</v>
      </c>
      <c r="D584" t="str">
        <f>VLOOKUP(B584,[1]Tabelle1!$A$1:$B$68,2,FALSE)</f>
        <v>Stat. Region Braunschweig</v>
      </c>
      <c r="E584" t="str">
        <f>'2020_5-2-2_Download'!$AA$7</f>
        <v>Frauen</v>
      </c>
      <c r="G584" t="s">
        <v>84</v>
      </c>
      <c r="H584" t="str">
        <f>VLOOKUP(B584,[2]Kreise!$A$2:$C$53,3,FALSE)</f>
        <v>K031</v>
      </c>
      <c r="I584">
        <f>'2020_5-2-2_Download'!AA20</f>
        <v>14143</v>
      </c>
    </row>
    <row r="585" spans="2:9">
      <c r="B585">
        <f>'2020_5-2-2_Download'!B21</f>
        <v>241</v>
      </c>
      <c r="C585">
        <f>'2020_5-2-2_Download'!$Y$5</f>
        <v>2017</v>
      </c>
      <c r="D585" t="str">
        <f>VLOOKUP(B585,[1]Tabelle1!$A$1:$B$68,2,FALSE)</f>
        <v>Hannover  Region</v>
      </c>
      <c r="E585" t="str">
        <f>'2020_5-2-2_Download'!$AA$7</f>
        <v>Frauen</v>
      </c>
      <c r="G585" t="s">
        <v>84</v>
      </c>
      <c r="H585" t="str">
        <f>VLOOKUP(B585,[2]Kreise!$A$2:$C$53,3,FALSE)</f>
        <v>K03241</v>
      </c>
      <c r="I585">
        <f>'2020_5-2-2_Download'!AA21</f>
        <v>19775</v>
      </c>
    </row>
    <row r="586" spans="2:9">
      <c r="B586">
        <f>'2020_5-2-2_Download'!B22</f>
        <v>241001</v>
      </c>
      <c r="C586">
        <f>'2020_5-2-2_Download'!$Y$5</f>
        <v>2017</v>
      </c>
      <c r="D586" t="str">
        <f>VLOOKUP(B586,[1]Tabelle1!$A$1:$B$68,2,FALSE)</f>
        <v>dav. Hannover  Lhst.</v>
      </c>
      <c r="E586" t="str">
        <f>'2020_5-2-2_Download'!$AA$7</f>
        <v>Frauen</v>
      </c>
      <c r="G586" t="s">
        <v>84</v>
      </c>
      <c r="H586" t="str">
        <f>VLOOKUP(B586,[2]Kreise!$A$2:$C$53,3,FALSE)</f>
        <v>K03241001</v>
      </c>
      <c r="I586">
        <f>'2020_5-2-2_Download'!AA22</f>
        <v>13563</v>
      </c>
    </row>
    <row r="587" spans="2:9">
      <c r="B587">
        <f>'2020_5-2-2_Download'!B23</f>
        <v>241999</v>
      </c>
      <c r="C587">
        <f>'2020_5-2-2_Download'!$Y$5</f>
        <v>2017</v>
      </c>
      <c r="D587" t="str">
        <f>VLOOKUP(B587,[1]Tabelle1!$A$1:$B$68,2,FALSE)</f>
        <v>dav. Hannover  Umland</v>
      </c>
      <c r="E587" t="str">
        <f>'2020_5-2-2_Download'!$AA$7</f>
        <v>Frauen</v>
      </c>
      <c r="G587" t="s">
        <v>84</v>
      </c>
      <c r="H587" t="str">
        <f>VLOOKUP(B587,[2]Kreise!$A$2:$C$53,3,FALSE)</f>
        <v>K03241999</v>
      </c>
      <c r="I587">
        <f>'2020_5-2-2_Download'!AA23</f>
        <v>6212</v>
      </c>
    </row>
    <row r="588" spans="2:9">
      <c r="B588">
        <f>'2020_5-2-2_Download'!B24</f>
        <v>251</v>
      </c>
      <c r="C588">
        <f>'2020_5-2-2_Download'!$Y$5</f>
        <v>2017</v>
      </c>
      <c r="D588" t="str">
        <f>VLOOKUP(B588,[1]Tabelle1!$A$1:$B$68,2,FALSE)</f>
        <v>Diepholz</v>
      </c>
      <c r="E588" t="str">
        <f>'2020_5-2-2_Download'!$AA$7</f>
        <v>Frauen</v>
      </c>
      <c r="G588" t="s">
        <v>84</v>
      </c>
      <c r="H588" t="str">
        <f>VLOOKUP(B588,[2]Kreise!$A$2:$C$53,3,FALSE)</f>
        <v>K03251</v>
      </c>
      <c r="I588">
        <f>'2020_5-2-2_Download'!AA24</f>
        <v>1481</v>
      </c>
    </row>
    <row r="589" spans="2:9">
      <c r="B589">
        <f>'2020_5-2-2_Download'!B25</f>
        <v>252</v>
      </c>
      <c r="C589">
        <f>'2020_5-2-2_Download'!$Y$5</f>
        <v>2017</v>
      </c>
      <c r="D589" t="str">
        <f>VLOOKUP(B589,[1]Tabelle1!$A$1:$B$68,2,FALSE)</f>
        <v>Hameln-Pyrmont</v>
      </c>
      <c r="E589" t="str">
        <f>'2020_5-2-2_Download'!$AA$7</f>
        <v>Frauen</v>
      </c>
      <c r="G589" t="s">
        <v>84</v>
      </c>
      <c r="H589" t="str">
        <f>VLOOKUP(B589,[2]Kreise!$A$2:$C$53,3,FALSE)</f>
        <v>K03252</v>
      </c>
      <c r="I589">
        <f>'2020_5-2-2_Download'!AA25</f>
        <v>1311</v>
      </c>
    </row>
    <row r="590" spans="2:9">
      <c r="B590">
        <f>'2020_5-2-2_Download'!B26</f>
        <v>254</v>
      </c>
      <c r="C590">
        <f>'2020_5-2-2_Download'!$Y$5</f>
        <v>2017</v>
      </c>
      <c r="D590" t="str">
        <f>VLOOKUP(B590,[1]Tabelle1!$A$1:$B$68,2,FALSE)</f>
        <v>Hildesheim</v>
      </c>
      <c r="E590" t="str">
        <f>'2020_5-2-2_Download'!$AA$7</f>
        <v>Frauen</v>
      </c>
      <c r="G590" t="s">
        <v>84</v>
      </c>
      <c r="H590" t="str">
        <f>VLOOKUP(B590,[2]Kreise!$A$2:$C$53,3,FALSE)</f>
        <v>K03254</v>
      </c>
      <c r="I590">
        <f>'2020_5-2-2_Download'!AA26</f>
        <v>1806</v>
      </c>
    </row>
    <row r="591" spans="2:9">
      <c r="B591">
        <f>'2020_5-2-2_Download'!B27</f>
        <v>255</v>
      </c>
      <c r="C591">
        <f>'2020_5-2-2_Download'!$Y$5</f>
        <v>2017</v>
      </c>
      <c r="D591" t="str">
        <f>VLOOKUP(B591,[1]Tabelle1!$A$1:$B$68,2,FALSE)</f>
        <v>Holzminden</v>
      </c>
      <c r="E591" t="str">
        <f>'2020_5-2-2_Download'!$AA$7</f>
        <v>Frauen</v>
      </c>
      <c r="G591" t="s">
        <v>84</v>
      </c>
      <c r="H591" t="str">
        <f>VLOOKUP(B591,[2]Kreise!$A$2:$C$53,3,FALSE)</f>
        <v>K03255</v>
      </c>
      <c r="I591">
        <f>'2020_5-2-2_Download'!AA27</f>
        <v>368</v>
      </c>
    </row>
    <row r="592" spans="2:9">
      <c r="B592">
        <f>'2020_5-2-2_Download'!B28</f>
        <v>256</v>
      </c>
      <c r="C592">
        <f>'2020_5-2-2_Download'!$Y$5</f>
        <v>2017</v>
      </c>
      <c r="D592" t="str">
        <f>VLOOKUP(B592,[1]Tabelle1!$A$1:$B$68,2,FALSE)</f>
        <v>Nienburg (Weser)</v>
      </c>
      <c r="E592" t="str">
        <f>'2020_5-2-2_Download'!$AA$7</f>
        <v>Frauen</v>
      </c>
      <c r="G592" t="s">
        <v>84</v>
      </c>
      <c r="H592" t="str">
        <f>VLOOKUP(B592,[2]Kreise!$A$2:$C$53,3,FALSE)</f>
        <v>K03256</v>
      </c>
      <c r="I592">
        <f>'2020_5-2-2_Download'!AA28</f>
        <v>767</v>
      </c>
    </row>
    <row r="593" spans="2:9">
      <c r="B593">
        <f>'2020_5-2-2_Download'!B29</f>
        <v>257</v>
      </c>
      <c r="C593">
        <f>'2020_5-2-2_Download'!$Y$5</f>
        <v>2017</v>
      </c>
      <c r="D593" t="str">
        <f>VLOOKUP(B593,[1]Tabelle1!$A$1:$B$68,2,FALSE)</f>
        <v>Schaumburg</v>
      </c>
      <c r="E593" t="str">
        <f>'2020_5-2-2_Download'!$AA$7</f>
        <v>Frauen</v>
      </c>
      <c r="G593" t="s">
        <v>84</v>
      </c>
      <c r="H593" t="str">
        <f>VLOOKUP(B593,[2]Kreise!$A$2:$C$53,3,FALSE)</f>
        <v>K03257</v>
      </c>
      <c r="I593">
        <f>'2020_5-2-2_Download'!AA29</f>
        <v>1031</v>
      </c>
    </row>
    <row r="594" spans="2:9">
      <c r="B594">
        <f>'2020_5-2-2_Download'!B30</f>
        <v>2</v>
      </c>
      <c r="C594">
        <f>'2020_5-2-2_Download'!$Y$5</f>
        <v>2017</v>
      </c>
      <c r="D594" t="str">
        <f>VLOOKUP(B594,[1]Tabelle1!$A$1:$B$68,2,FALSE)</f>
        <v>Stat. Region Hannover</v>
      </c>
      <c r="E594" t="str">
        <f>'2020_5-2-2_Download'!$AA$7</f>
        <v>Frauen</v>
      </c>
      <c r="G594" t="s">
        <v>84</v>
      </c>
      <c r="H594" t="str">
        <f>VLOOKUP(B594,[2]Kreise!$A$2:$C$53,3,FALSE)</f>
        <v>K032</v>
      </c>
      <c r="I594">
        <f>'2020_5-2-2_Download'!AA30</f>
        <v>26539</v>
      </c>
    </row>
    <row r="595" spans="2:9">
      <c r="B595">
        <f>'2020_5-2-2_Download'!B31</f>
        <v>351</v>
      </c>
      <c r="C595">
        <f>'2020_5-2-2_Download'!$Y$5</f>
        <v>2017</v>
      </c>
      <c r="D595" t="str">
        <f>VLOOKUP(B595,[1]Tabelle1!$A$1:$B$68,2,FALSE)</f>
        <v>Celle</v>
      </c>
      <c r="E595" t="str">
        <f>'2020_5-2-2_Download'!$AA$7</f>
        <v>Frauen</v>
      </c>
      <c r="G595" t="s">
        <v>84</v>
      </c>
      <c r="H595" t="str">
        <f>VLOOKUP(B595,[2]Kreise!$A$2:$C$53,3,FALSE)</f>
        <v>K03351</v>
      </c>
      <c r="I595">
        <f>'2020_5-2-2_Download'!AA31</f>
        <v>1106</v>
      </c>
    </row>
    <row r="596" spans="2:9">
      <c r="B596">
        <f>'2020_5-2-2_Download'!B32</f>
        <v>352</v>
      </c>
      <c r="C596">
        <f>'2020_5-2-2_Download'!$Y$5</f>
        <v>2017</v>
      </c>
      <c r="D596" t="str">
        <f>VLOOKUP(B596,[1]Tabelle1!$A$1:$B$68,2,FALSE)</f>
        <v>Cuxhaven</v>
      </c>
      <c r="E596" t="str">
        <f>'2020_5-2-2_Download'!$AA$7</f>
        <v>Frauen</v>
      </c>
      <c r="G596" t="s">
        <v>84</v>
      </c>
      <c r="H596" t="str">
        <f>VLOOKUP(B596,[2]Kreise!$A$2:$C$53,3,FALSE)</f>
        <v>K03352</v>
      </c>
      <c r="I596">
        <f>'2020_5-2-2_Download'!AA32</f>
        <v>1343</v>
      </c>
    </row>
    <row r="597" spans="2:9">
      <c r="B597">
        <f>'2020_5-2-2_Download'!B33</f>
        <v>353</v>
      </c>
      <c r="C597">
        <f>'2020_5-2-2_Download'!$Y$5</f>
        <v>2017</v>
      </c>
      <c r="D597" t="str">
        <f>VLOOKUP(B597,[1]Tabelle1!$A$1:$B$68,2,FALSE)</f>
        <v>Harburg</v>
      </c>
      <c r="E597" t="str">
        <f>'2020_5-2-2_Download'!$AA$7</f>
        <v>Frauen</v>
      </c>
      <c r="G597" t="s">
        <v>84</v>
      </c>
      <c r="H597" t="str">
        <f>VLOOKUP(B597,[2]Kreise!$A$2:$C$53,3,FALSE)</f>
        <v>K03353</v>
      </c>
      <c r="I597">
        <f>'2020_5-2-2_Download'!AA33</f>
        <v>1861</v>
      </c>
    </row>
    <row r="598" spans="2:9">
      <c r="B598">
        <f>'2020_5-2-2_Download'!B34</f>
        <v>354</v>
      </c>
      <c r="C598">
        <f>'2020_5-2-2_Download'!$Y$5</f>
        <v>2017</v>
      </c>
      <c r="D598" t="str">
        <f>VLOOKUP(B598,[1]Tabelle1!$A$1:$B$68,2,FALSE)</f>
        <v>Lüchow-Dannenberg</v>
      </c>
      <c r="E598" t="str">
        <f>'2020_5-2-2_Download'!$AA$7</f>
        <v>Frauen</v>
      </c>
      <c r="G598" t="s">
        <v>84</v>
      </c>
      <c r="H598" t="str">
        <f>VLOOKUP(B598,[2]Kreise!$A$2:$C$53,3,FALSE)</f>
        <v>K03354</v>
      </c>
      <c r="I598">
        <f>'2020_5-2-2_Download'!AA34</f>
        <v>284</v>
      </c>
    </row>
    <row r="599" spans="2:9">
      <c r="B599">
        <f>'2020_5-2-2_Download'!B35</f>
        <v>355</v>
      </c>
      <c r="C599">
        <f>'2020_5-2-2_Download'!$Y$5</f>
        <v>2017</v>
      </c>
      <c r="D599" t="str">
        <f>VLOOKUP(B599,[1]Tabelle1!$A$1:$B$68,2,FALSE)</f>
        <v>Lüneburg</v>
      </c>
      <c r="E599" t="str">
        <f>'2020_5-2-2_Download'!$AA$7</f>
        <v>Frauen</v>
      </c>
      <c r="G599" t="s">
        <v>84</v>
      </c>
      <c r="H599" t="str">
        <f>VLOOKUP(B599,[2]Kreise!$A$2:$C$53,3,FALSE)</f>
        <v>K03355</v>
      </c>
      <c r="I599">
        <f>'2020_5-2-2_Download'!AA35</f>
        <v>1150</v>
      </c>
    </row>
    <row r="600" spans="2:9">
      <c r="B600">
        <f>'2020_5-2-2_Download'!B36</f>
        <v>356</v>
      </c>
      <c r="C600">
        <f>'2020_5-2-2_Download'!$Y$5</f>
        <v>2017</v>
      </c>
      <c r="D600" t="str">
        <f>VLOOKUP(B600,[1]Tabelle1!$A$1:$B$68,2,FALSE)</f>
        <v>Osterholz</v>
      </c>
      <c r="E600" t="str">
        <f>'2020_5-2-2_Download'!$AA$7</f>
        <v>Frauen</v>
      </c>
      <c r="G600" t="s">
        <v>84</v>
      </c>
      <c r="H600" t="str">
        <f>VLOOKUP(B600,[2]Kreise!$A$2:$C$53,3,FALSE)</f>
        <v>K03356</v>
      </c>
      <c r="I600">
        <f>'2020_5-2-2_Download'!AA36</f>
        <v>489</v>
      </c>
    </row>
    <row r="601" spans="2:9">
      <c r="B601">
        <f>'2020_5-2-2_Download'!B37</f>
        <v>357</v>
      </c>
      <c r="C601">
        <f>'2020_5-2-2_Download'!$Y$5</f>
        <v>2017</v>
      </c>
      <c r="D601" t="str">
        <f>VLOOKUP(B601,[1]Tabelle1!$A$1:$B$68,2,FALSE)</f>
        <v>Rotenburg (Wümme)</v>
      </c>
      <c r="E601" t="str">
        <f>'2020_5-2-2_Download'!$AA$7</f>
        <v>Frauen</v>
      </c>
      <c r="G601" t="s">
        <v>84</v>
      </c>
      <c r="H601" t="str">
        <f>VLOOKUP(B601,[2]Kreise!$A$2:$C$53,3,FALSE)</f>
        <v>K03357</v>
      </c>
      <c r="I601">
        <f>'2020_5-2-2_Download'!AA37</f>
        <v>1093</v>
      </c>
    </row>
    <row r="602" spans="2:9">
      <c r="B602">
        <f>'2020_5-2-2_Download'!B38</f>
        <v>358</v>
      </c>
      <c r="C602">
        <f>'2020_5-2-2_Download'!$Y$5</f>
        <v>2017</v>
      </c>
      <c r="D602" t="str">
        <f>VLOOKUP(B602,[1]Tabelle1!$A$1:$B$68,2,FALSE)</f>
        <v>Heidekreis</v>
      </c>
      <c r="E602" t="str">
        <f>'2020_5-2-2_Download'!$AA$7</f>
        <v>Frauen</v>
      </c>
      <c r="G602" t="s">
        <v>84</v>
      </c>
      <c r="H602" t="str">
        <f>VLOOKUP(B602,[2]Kreise!$A$2:$C$53,3,FALSE)</f>
        <v>K03358</v>
      </c>
      <c r="I602">
        <f>'2020_5-2-2_Download'!AA38</f>
        <v>1119</v>
      </c>
    </row>
    <row r="603" spans="2:9">
      <c r="B603">
        <f>'2020_5-2-2_Download'!B39</f>
        <v>359</v>
      </c>
      <c r="C603">
        <f>'2020_5-2-2_Download'!$Y$5</f>
        <v>2017</v>
      </c>
      <c r="D603" t="str">
        <f>VLOOKUP(B603,[1]Tabelle1!$A$1:$B$68,2,FALSE)</f>
        <v>Stade</v>
      </c>
      <c r="E603" t="str">
        <f>'2020_5-2-2_Download'!$AA$7</f>
        <v>Frauen</v>
      </c>
      <c r="G603" t="s">
        <v>84</v>
      </c>
      <c r="H603" t="str">
        <f>VLOOKUP(B603,[2]Kreise!$A$2:$C$53,3,FALSE)</f>
        <v>K03359</v>
      </c>
      <c r="I603">
        <f>'2020_5-2-2_Download'!AA39</f>
        <v>1273</v>
      </c>
    </row>
    <row r="604" spans="2:9">
      <c r="B604">
        <f>'2020_5-2-2_Download'!B40</f>
        <v>360</v>
      </c>
      <c r="C604">
        <f>'2020_5-2-2_Download'!$Y$5</f>
        <v>2017</v>
      </c>
      <c r="D604" t="str">
        <f>VLOOKUP(B604,[1]Tabelle1!$A$1:$B$68,2,FALSE)</f>
        <v>Uelzen</v>
      </c>
      <c r="E604" t="str">
        <f>'2020_5-2-2_Download'!$AA$7</f>
        <v>Frauen</v>
      </c>
      <c r="G604" t="s">
        <v>84</v>
      </c>
      <c r="H604" t="str">
        <f>VLOOKUP(B604,[2]Kreise!$A$2:$C$53,3,FALSE)</f>
        <v>K03360</v>
      </c>
      <c r="I604">
        <f>'2020_5-2-2_Download'!AA40</f>
        <v>495</v>
      </c>
    </row>
    <row r="605" spans="2:9">
      <c r="B605">
        <f>'2020_5-2-2_Download'!B41</f>
        <v>361</v>
      </c>
      <c r="C605">
        <f>'2020_5-2-2_Download'!$Y$5</f>
        <v>2017</v>
      </c>
      <c r="D605" t="str">
        <f>VLOOKUP(B605,[1]Tabelle1!$A$1:$B$68,2,FALSE)</f>
        <v>Verden</v>
      </c>
      <c r="E605" t="str">
        <f>'2020_5-2-2_Download'!$AA$7</f>
        <v>Frauen</v>
      </c>
      <c r="G605" t="s">
        <v>84</v>
      </c>
      <c r="H605" t="str">
        <f>VLOOKUP(B605,[2]Kreise!$A$2:$C$53,3,FALSE)</f>
        <v>K03361</v>
      </c>
      <c r="I605">
        <f>'2020_5-2-2_Download'!AA41</f>
        <v>1258</v>
      </c>
    </row>
    <row r="606" spans="2:9">
      <c r="B606">
        <f>'2020_5-2-2_Download'!B42</f>
        <v>3</v>
      </c>
      <c r="C606">
        <f>'2020_5-2-2_Download'!$Y$5</f>
        <v>2017</v>
      </c>
      <c r="D606" t="str">
        <f>VLOOKUP(B606,[1]Tabelle1!$A$1:$B$68,2,FALSE)</f>
        <v>Stat. Region Lüneburg</v>
      </c>
      <c r="E606" t="str">
        <f>'2020_5-2-2_Download'!$AA$7</f>
        <v>Frauen</v>
      </c>
      <c r="G606" t="s">
        <v>84</v>
      </c>
      <c r="H606" t="str">
        <f>VLOOKUP(B606,[2]Kreise!$A$2:$C$53,3,FALSE)</f>
        <v>K033</v>
      </c>
      <c r="I606">
        <f>'2020_5-2-2_Download'!AA42</f>
        <v>11471</v>
      </c>
    </row>
    <row r="607" spans="2:9">
      <c r="B607">
        <f>'2020_5-2-2_Download'!B43</f>
        <v>401</v>
      </c>
      <c r="C607">
        <f>'2020_5-2-2_Download'!$Y$5</f>
        <v>2017</v>
      </c>
      <c r="D607" t="str">
        <f>VLOOKUP(B607,[1]Tabelle1!$A$1:$B$68,2,FALSE)</f>
        <v>Delmenhorst  Stadt</v>
      </c>
      <c r="E607" t="str">
        <f>'2020_5-2-2_Download'!$AA$7</f>
        <v>Frauen</v>
      </c>
      <c r="G607" t="s">
        <v>84</v>
      </c>
      <c r="H607" t="str">
        <f>VLOOKUP(B607,[2]Kreise!$A$2:$C$53,3,FALSE)</f>
        <v>K03401</v>
      </c>
      <c r="I607">
        <f>'2020_5-2-2_Download'!AA43</f>
        <v>645</v>
      </c>
    </row>
    <row r="608" spans="2:9">
      <c r="B608">
        <f>'2020_5-2-2_Download'!B44</f>
        <v>402</v>
      </c>
      <c r="C608">
        <f>'2020_5-2-2_Download'!$Y$5</f>
        <v>2017</v>
      </c>
      <c r="D608" t="str">
        <f>VLOOKUP(B608,[1]Tabelle1!$A$1:$B$68,2,FALSE)</f>
        <v>Emden  Stadt</v>
      </c>
      <c r="E608" t="str">
        <f>'2020_5-2-2_Download'!$AA$7</f>
        <v>Frauen</v>
      </c>
      <c r="G608" t="s">
        <v>84</v>
      </c>
      <c r="H608" t="str">
        <f>VLOOKUP(B608,[2]Kreise!$A$2:$C$53,3,FALSE)</f>
        <v>K03402</v>
      </c>
      <c r="I608">
        <f>'2020_5-2-2_Download'!AA44</f>
        <v>418</v>
      </c>
    </row>
    <row r="609" spans="2:9">
      <c r="B609">
        <f>'2020_5-2-2_Download'!B45</f>
        <v>403</v>
      </c>
      <c r="C609">
        <f>'2020_5-2-2_Download'!$Y$5</f>
        <v>2017</v>
      </c>
      <c r="D609" t="str">
        <f>VLOOKUP(B609,[1]Tabelle1!$A$1:$B$68,2,FALSE)</f>
        <v>Oldenburg(Oldb)  Stadt</v>
      </c>
      <c r="E609" t="str">
        <f>'2020_5-2-2_Download'!$AA$7</f>
        <v>Frauen</v>
      </c>
      <c r="G609" t="s">
        <v>84</v>
      </c>
      <c r="H609" t="str">
        <f>VLOOKUP(B609,[2]Kreise!$A$2:$C$53,3,FALSE)</f>
        <v>K03403</v>
      </c>
      <c r="I609">
        <f>'2020_5-2-2_Download'!AA45</f>
        <v>1624</v>
      </c>
    </row>
    <row r="610" spans="2:9">
      <c r="B610">
        <f>'2020_5-2-2_Download'!B46</f>
        <v>404</v>
      </c>
      <c r="C610">
        <f>'2020_5-2-2_Download'!$Y$5</f>
        <v>2017</v>
      </c>
      <c r="D610" t="str">
        <f>VLOOKUP(B610,[1]Tabelle1!$A$1:$B$68,2,FALSE)</f>
        <v>Osnabrück  Stadt</v>
      </c>
      <c r="E610" t="str">
        <f>'2020_5-2-2_Download'!$AA$7</f>
        <v>Frauen</v>
      </c>
      <c r="G610" t="s">
        <v>84</v>
      </c>
      <c r="H610" t="str">
        <f>VLOOKUP(B610,[2]Kreise!$A$2:$C$53,3,FALSE)</f>
        <v>K03404</v>
      </c>
      <c r="I610">
        <f>'2020_5-2-2_Download'!AA46</f>
        <v>3042</v>
      </c>
    </row>
    <row r="611" spans="2:9">
      <c r="B611">
        <f>'2020_5-2-2_Download'!B47</f>
        <v>405</v>
      </c>
      <c r="C611">
        <f>'2020_5-2-2_Download'!$Y$5</f>
        <v>2017</v>
      </c>
      <c r="D611" t="str">
        <f>VLOOKUP(B611,[1]Tabelle1!$A$1:$B$68,2,FALSE)</f>
        <v>Wilhelmshaven  Stadt</v>
      </c>
      <c r="E611" t="str">
        <f>'2020_5-2-2_Download'!$AA$7</f>
        <v>Frauen</v>
      </c>
      <c r="G611" t="s">
        <v>84</v>
      </c>
      <c r="H611" t="str">
        <f>VLOOKUP(B611,[2]Kreise!$A$2:$C$53,3,FALSE)</f>
        <v>K03405</v>
      </c>
      <c r="I611">
        <f>'2020_5-2-2_Download'!AA47</f>
        <v>382</v>
      </c>
    </row>
    <row r="612" spans="2:9">
      <c r="B612">
        <f>'2020_5-2-2_Download'!B48</f>
        <v>451</v>
      </c>
      <c r="C612">
        <f>'2020_5-2-2_Download'!$Y$5</f>
        <v>2017</v>
      </c>
      <c r="D612" t="str">
        <f>VLOOKUP(B612,[1]Tabelle1!$A$1:$B$68,2,FALSE)</f>
        <v>Ammerland</v>
      </c>
      <c r="E612" t="str">
        <f>'2020_5-2-2_Download'!$AA$7</f>
        <v>Frauen</v>
      </c>
      <c r="G612" t="s">
        <v>84</v>
      </c>
      <c r="H612" t="str">
        <f>VLOOKUP(B612,[2]Kreise!$A$2:$C$53,3,FALSE)</f>
        <v>K03451</v>
      </c>
      <c r="I612">
        <f>'2020_5-2-2_Download'!AA48</f>
        <v>901</v>
      </c>
    </row>
    <row r="613" spans="2:9">
      <c r="B613">
        <f>'2020_5-2-2_Download'!B49</f>
        <v>452</v>
      </c>
      <c r="C613">
        <f>'2020_5-2-2_Download'!$Y$5</f>
        <v>2017</v>
      </c>
      <c r="D613" t="str">
        <f>VLOOKUP(B613,[1]Tabelle1!$A$1:$B$68,2,FALSE)</f>
        <v>Aurich</v>
      </c>
      <c r="E613" t="str">
        <f>'2020_5-2-2_Download'!$AA$7</f>
        <v>Frauen</v>
      </c>
      <c r="G613" t="s">
        <v>84</v>
      </c>
      <c r="H613" t="str">
        <f>VLOOKUP(B613,[2]Kreise!$A$2:$C$53,3,FALSE)</f>
        <v>K03452</v>
      </c>
      <c r="I613">
        <f>'2020_5-2-2_Download'!AA49</f>
        <v>1427</v>
      </c>
    </row>
    <row r="614" spans="2:9">
      <c r="B614">
        <f>'2020_5-2-2_Download'!B50</f>
        <v>453</v>
      </c>
      <c r="C614">
        <f>'2020_5-2-2_Download'!$Y$5</f>
        <v>2017</v>
      </c>
      <c r="D614" t="str">
        <f>VLOOKUP(B614,[1]Tabelle1!$A$1:$B$68,2,FALSE)</f>
        <v>Cloppenburg</v>
      </c>
      <c r="E614" t="str">
        <f>'2020_5-2-2_Download'!$AA$7</f>
        <v>Frauen</v>
      </c>
      <c r="G614" t="s">
        <v>84</v>
      </c>
      <c r="H614" t="str">
        <f>VLOOKUP(B614,[2]Kreise!$A$2:$C$53,3,FALSE)</f>
        <v>K03453</v>
      </c>
      <c r="I614">
        <f>'2020_5-2-2_Download'!AA50</f>
        <v>2234</v>
      </c>
    </row>
    <row r="615" spans="2:9">
      <c r="B615">
        <f>'2020_5-2-2_Download'!B51</f>
        <v>454</v>
      </c>
      <c r="C615">
        <f>'2020_5-2-2_Download'!$Y$5</f>
        <v>2017</v>
      </c>
      <c r="D615" t="str">
        <f>VLOOKUP(B615,[1]Tabelle1!$A$1:$B$68,2,FALSE)</f>
        <v>Emsland</v>
      </c>
      <c r="E615" t="str">
        <f>'2020_5-2-2_Download'!$AA$7</f>
        <v>Frauen</v>
      </c>
      <c r="G615" t="s">
        <v>84</v>
      </c>
      <c r="H615" t="str">
        <f>VLOOKUP(B615,[2]Kreise!$A$2:$C$53,3,FALSE)</f>
        <v>K03454</v>
      </c>
      <c r="I615">
        <f>'2020_5-2-2_Download'!AA51</f>
        <v>2934</v>
      </c>
    </row>
    <row r="616" spans="2:9">
      <c r="B616">
        <f>'2020_5-2-2_Download'!B52</f>
        <v>455</v>
      </c>
      <c r="C616">
        <f>'2020_5-2-2_Download'!$Y$5</f>
        <v>2017</v>
      </c>
      <c r="D616" t="str">
        <f>VLOOKUP(B616,[1]Tabelle1!$A$1:$B$68,2,FALSE)</f>
        <v>Friesland</v>
      </c>
      <c r="E616" t="str">
        <f>'2020_5-2-2_Download'!$AA$7</f>
        <v>Frauen</v>
      </c>
      <c r="G616" t="s">
        <v>84</v>
      </c>
      <c r="H616" t="str">
        <f>VLOOKUP(B616,[2]Kreise!$A$2:$C$53,3,FALSE)</f>
        <v>K03455</v>
      </c>
      <c r="I616">
        <f>'2020_5-2-2_Download'!AA52</f>
        <v>415</v>
      </c>
    </row>
    <row r="617" spans="2:9">
      <c r="B617">
        <f>'2020_5-2-2_Download'!B53</f>
        <v>456</v>
      </c>
      <c r="C617">
        <f>'2020_5-2-2_Download'!$Y$5</f>
        <v>2017</v>
      </c>
      <c r="D617" t="str">
        <f>VLOOKUP(B617,[1]Tabelle1!$A$1:$B$68,2,FALSE)</f>
        <v>Grafschaft Bentheim</v>
      </c>
      <c r="E617" t="str">
        <f>'2020_5-2-2_Download'!$AA$7</f>
        <v>Frauen</v>
      </c>
      <c r="G617" t="s">
        <v>84</v>
      </c>
      <c r="H617" t="str">
        <f>VLOOKUP(B617,[2]Kreise!$A$2:$C$53,3,FALSE)</f>
        <v>K03456</v>
      </c>
      <c r="I617">
        <f>'2020_5-2-2_Download'!AA53</f>
        <v>1520</v>
      </c>
    </row>
    <row r="618" spans="2:9">
      <c r="B618">
        <f>'2020_5-2-2_Download'!B54</f>
        <v>457</v>
      </c>
      <c r="C618">
        <f>'2020_5-2-2_Download'!$Y$5</f>
        <v>2017</v>
      </c>
      <c r="D618" t="str">
        <f>VLOOKUP(B618,[1]Tabelle1!$A$1:$B$68,2,FALSE)</f>
        <v>Leer</v>
      </c>
      <c r="E618" t="str">
        <f>'2020_5-2-2_Download'!$AA$7</f>
        <v>Frauen</v>
      </c>
      <c r="G618" t="s">
        <v>84</v>
      </c>
      <c r="H618" t="str">
        <f>VLOOKUP(B618,[2]Kreise!$A$2:$C$53,3,FALSE)</f>
        <v>K03457</v>
      </c>
      <c r="I618">
        <f>'2020_5-2-2_Download'!AA54</f>
        <v>912</v>
      </c>
    </row>
    <row r="619" spans="2:9">
      <c r="B619">
        <f>'2020_5-2-2_Download'!B55</f>
        <v>458</v>
      </c>
      <c r="C619">
        <f>'2020_5-2-2_Download'!$Y$5</f>
        <v>2017</v>
      </c>
      <c r="D619" t="str">
        <f>VLOOKUP(B619,[1]Tabelle1!$A$1:$B$68,2,FALSE)</f>
        <v>Oldenburg</v>
      </c>
      <c r="E619" t="str">
        <f>'2020_5-2-2_Download'!$AA$7</f>
        <v>Frauen</v>
      </c>
      <c r="G619" t="s">
        <v>84</v>
      </c>
      <c r="H619" t="str">
        <f>VLOOKUP(B619,[2]Kreise!$A$2:$C$53,3,FALSE)</f>
        <v>K03458</v>
      </c>
      <c r="I619">
        <f>'2020_5-2-2_Download'!AA55</f>
        <v>805</v>
      </c>
    </row>
    <row r="620" spans="2:9">
      <c r="B620">
        <f>'2020_5-2-2_Download'!B56</f>
        <v>459</v>
      </c>
      <c r="C620">
        <f>'2020_5-2-2_Download'!$Y$5</f>
        <v>2017</v>
      </c>
      <c r="D620" t="str">
        <f>VLOOKUP(B620,[1]Tabelle1!$A$1:$B$68,2,FALSE)</f>
        <v>Osnabrück</v>
      </c>
      <c r="E620" t="str">
        <f>'2020_5-2-2_Download'!$AA$7</f>
        <v>Frauen</v>
      </c>
      <c r="G620" t="s">
        <v>84</v>
      </c>
      <c r="H620" t="str">
        <f>VLOOKUP(B620,[2]Kreise!$A$2:$C$53,3,FALSE)</f>
        <v>K03459</v>
      </c>
      <c r="I620">
        <f>'2020_5-2-2_Download'!AA56</f>
        <v>4556</v>
      </c>
    </row>
    <row r="621" spans="2:9">
      <c r="B621">
        <f>'2020_5-2-2_Download'!B57</f>
        <v>460</v>
      </c>
      <c r="C621">
        <f>'2020_5-2-2_Download'!$Y$5</f>
        <v>2017</v>
      </c>
      <c r="D621" t="str">
        <f>VLOOKUP(B621,[1]Tabelle1!$A$1:$B$68,2,FALSE)</f>
        <v>Vechta</v>
      </c>
      <c r="E621" t="str">
        <f>'2020_5-2-2_Download'!$AA$7</f>
        <v>Frauen</v>
      </c>
      <c r="G621" t="s">
        <v>84</v>
      </c>
      <c r="H621" t="str">
        <f>VLOOKUP(B621,[2]Kreise!$A$2:$C$53,3,FALSE)</f>
        <v>K03460</v>
      </c>
      <c r="I621">
        <f>'2020_5-2-2_Download'!AA57</f>
        <v>2995</v>
      </c>
    </row>
    <row r="622" spans="2:9">
      <c r="B622">
        <f>'2020_5-2-2_Download'!B58</f>
        <v>461</v>
      </c>
      <c r="C622">
        <f>'2020_5-2-2_Download'!$Y$5</f>
        <v>2017</v>
      </c>
      <c r="D622" t="str">
        <f>VLOOKUP(B622,[1]Tabelle1!$A$1:$B$68,2,FALSE)</f>
        <v>Wesermarsch</v>
      </c>
      <c r="E622" t="str">
        <f>'2020_5-2-2_Download'!$AA$7</f>
        <v>Frauen</v>
      </c>
      <c r="G622" t="s">
        <v>84</v>
      </c>
      <c r="H622" t="str">
        <f>VLOOKUP(B622,[2]Kreise!$A$2:$C$53,3,FALSE)</f>
        <v>K03461</v>
      </c>
      <c r="I622">
        <f>'2020_5-2-2_Download'!AA58</f>
        <v>362</v>
      </c>
    </row>
    <row r="623" spans="2:9">
      <c r="B623">
        <f>'2020_5-2-2_Download'!B59</f>
        <v>462</v>
      </c>
      <c r="C623">
        <f>'2020_5-2-2_Download'!$Y$5</f>
        <v>2017</v>
      </c>
      <c r="D623" t="str">
        <f>VLOOKUP(B623,[1]Tabelle1!$A$1:$B$68,2,FALSE)</f>
        <v>Wittmund</v>
      </c>
      <c r="E623" t="str">
        <f>'2020_5-2-2_Download'!$AA$7</f>
        <v>Frauen</v>
      </c>
      <c r="G623" t="s">
        <v>84</v>
      </c>
      <c r="H623" t="str">
        <f>VLOOKUP(B623,[2]Kreise!$A$2:$C$53,3,FALSE)</f>
        <v>K03462</v>
      </c>
      <c r="I623">
        <f>'2020_5-2-2_Download'!AA59</f>
        <v>339</v>
      </c>
    </row>
    <row r="624" spans="2:9">
      <c r="B624">
        <f>'2020_5-2-2_Download'!B60</f>
        <v>4</v>
      </c>
      <c r="C624">
        <f>'2020_5-2-2_Download'!$Y$5</f>
        <v>2017</v>
      </c>
      <c r="D624" t="str">
        <f>VLOOKUP(B624,[1]Tabelle1!$A$1:$B$68,2,FALSE)</f>
        <v>Stat. Region Weser-Ems</v>
      </c>
      <c r="E624" t="str">
        <f>'2020_5-2-2_Download'!$AA$7</f>
        <v>Frauen</v>
      </c>
      <c r="G624" t="s">
        <v>84</v>
      </c>
      <c r="H624" t="str">
        <f>VLOOKUP(B624,[2]Kreise!$A$2:$C$53,3,FALSE)</f>
        <v>K034</v>
      </c>
      <c r="I624">
        <f>'2020_5-2-2_Download'!AA60</f>
        <v>25511</v>
      </c>
    </row>
    <row r="625" spans="2:9">
      <c r="B625">
        <f>'2020_5-2-2_Download'!B61</f>
        <v>0</v>
      </c>
      <c r="C625">
        <f>'2020_5-2-2_Download'!$Y$5</f>
        <v>2017</v>
      </c>
      <c r="D625" t="str">
        <f>VLOOKUP(B625,[1]Tabelle1!$A$1:$B$68,2,FALSE)</f>
        <v>Niedersachsen</v>
      </c>
      <c r="E625" t="str">
        <f>'2020_5-2-2_Download'!$AA$7</f>
        <v>Frauen</v>
      </c>
      <c r="G625" t="s">
        <v>84</v>
      </c>
      <c r="H625" t="str">
        <f>VLOOKUP(B625,[2]Kreise!$A$2:$C$53,3,FALSE)</f>
        <v>K030</v>
      </c>
      <c r="I625">
        <f>'2020_5-2-2_Download'!AA61</f>
        <v>77664</v>
      </c>
    </row>
    <row r="626" spans="2:9">
      <c r="B626">
        <f>'2020_5-2-2_Download'!B10</f>
        <v>101</v>
      </c>
      <c r="C626">
        <f>'2020_5-2-2_Download'!$AF$5</f>
        <v>2016</v>
      </c>
      <c r="D626" t="str">
        <f>VLOOKUP(B626,[1]Tabelle1!$A$1:$B$68,2,FALSE)</f>
        <v>Braunschweig  Stadt</v>
      </c>
      <c r="E626" t="str">
        <f>'2020_5-2-2_Download'!$AF$7</f>
        <v>Insgesamt</v>
      </c>
      <c r="G626" t="s">
        <v>84</v>
      </c>
      <c r="H626" t="str">
        <f>VLOOKUP(B626,[2]Kreise!$A$2:$C$53,3,FALSE)</f>
        <v>K03101</v>
      </c>
      <c r="I626">
        <f>'2020_5-2-2_Download'!AF10</f>
        <v>7951</v>
      </c>
    </row>
    <row r="627" spans="2:9">
      <c r="B627">
        <f>'2020_5-2-2_Download'!B11</f>
        <v>102</v>
      </c>
      <c r="C627">
        <f>'2020_5-2-2_Download'!$AF$5</f>
        <v>2016</v>
      </c>
      <c r="D627" t="str">
        <f>VLOOKUP(B627,[1]Tabelle1!$A$1:$B$68,2,FALSE)</f>
        <v>Salzgitter  Stadt</v>
      </c>
      <c r="E627" t="str">
        <f>'2020_5-2-2_Download'!$AF$7</f>
        <v>Insgesamt</v>
      </c>
      <c r="G627" t="s">
        <v>84</v>
      </c>
      <c r="H627" t="str">
        <f>VLOOKUP(B627,[2]Kreise!$A$2:$C$53,3,FALSE)</f>
        <v>K03102</v>
      </c>
      <c r="I627">
        <f>'2020_5-2-2_Download'!AF11</f>
        <v>3635</v>
      </c>
    </row>
    <row r="628" spans="2:9">
      <c r="B628">
        <f>'2020_5-2-2_Download'!B12</f>
        <v>103</v>
      </c>
      <c r="C628">
        <f>'2020_5-2-2_Download'!$AF$5</f>
        <v>2016</v>
      </c>
      <c r="D628" t="str">
        <f>VLOOKUP(B628,[1]Tabelle1!$A$1:$B$68,2,FALSE)</f>
        <v>Wolfsburg  Stadt</v>
      </c>
      <c r="E628" t="str">
        <f>'2020_5-2-2_Download'!$AF$7</f>
        <v>Insgesamt</v>
      </c>
      <c r="G628" t="s">
        <v>84</v>
      </c>
      <c r="H628" t="str">
        <f>VLOOKUP(B628,[2]Kreise!$A$2:$C$53,3,FALSE)</f>
        <v>K03103</v>
      </c>
      <c r="I628">
        <f>'2020_5-2-2_Download'!AF12</f>
        <v>8705</v>
      </c>
    </row>
    <row r="629" spans="2:9">
      <c r="B629">
        <f>'2020_5-2-2_Download'!B13</f>
        <v>151</v>
      </c>
      <c r="C629">
        <f>'2020_5-2-2_Download'!$AF$5</f>
        <v>2016</v>
      </c>
      <c r="D629" t="str">
        <f>VLOOKUP(B629,[1]Tabelle1!$A$1:$B$68,2,FALSE)</f>
        <v>Gifhorn</v>
      </c>
      <c r="E629" t="str">
        <f>'2020_5-2-2_Download'!$AF$7</f>
        <v>Insgesamt</v>
      </c>
      <c r="G629" t="s">
        <v>84</v>
      </c>
      <c r="H629" t="str">
        <f>VLOOKUP(B629,[2]Kreise!$A$2:$C$53,3,FALSE)</f>
        <v>K03151</v>
      </c>
      <c r="I629">
        <f>'2020_5-2-2_Download'!AF13</f>
        <v>2218</v>
      </c>
    </row>
    <row r="630" spans="2:9">
      <c r="B630">
        <f>'2020_5-2-2_Download'!B14</f>
        <v>153</v>
      </c>
      <c r="C630">
        <f>'2020_5-2-2_Download'!$AF$5</f>
        <v>2016</v>
      </c>
      <c r="D630" t="str">
        <f>VLOOKUP(B630,[1]Tabelle1!$A$1:$B$68,2,FALSE)</f>
        <v>Goslar</v>
      </c>
      <c r="E630" t="str">
        <f>'2020_5-2-2_Download'!$AF$7</f>
        <v>Insgesamt</v>
      </c>
      <c r="G630" t="s">
        <v>84</v>
      </c>
      <c r="H630" t="str">
        <f>VLOOKUP(B630,[2]Kreise!$A$2:$C$53,3,FALSE)</f>
        <v>K03153</v>
      </c>
      <c r="I630">
        <f>'2020_5-2-2_Download'!AF14</f>
        <v>2132</v>
      </c>
    </row>
    <row r="631" spans="2:9">
      <c r="B631">
        <f>'2020_5-2-2_Download'!B15</f>
        <v>154</v>
      </c>
      <c r="C631">
        <f>'2020_5-2-2_Download'!$AF$5</f>
        <v>2016</v>
      </c>
      <c r="D631" t="str">
        <f>VLOOKUP(B631,[1]Tabelle1!$A$1:$B$68,2,FALSE)</f>
        <v>Helmstedt</v>
      </c>
      <c r="E631" t="str">
        <f>'2020_5-2-2_Download'!$AF$7</f>
        <v>Insgesamt</v>
      </c>
      <c r="G631" t="s">
        <v>84</v>
      </c>
      <c r="H631" t="str">
        <f>VLOOKUP(B631,[2]Kreise!$A$2:$C$53,3,FALSE)</f>
        <v>K03154</v>
      </c>
      <c r="I631">
        <f>'2020_5-2-2_Download'!AF15</f>
        <v>862</v>
      </c>
    </row>
    <row r="632" spans="2:9">
      <c r="B632">
        <f>'2020_5-2-2_Download'!B16</f>
        <v>155</v>
      </c>
      <c r="C632">
        <f>'2020_5-2-2_Download'!$AF$5</f>
        <v>2016</v>
      </c>
      <c r="D632" t="str">
        <f>VLOOKUP(B632,[1]Tabelle1!$A$1:$B$68,2,FALSE)</f>
        <v>Northeim</v>
      </c>
      <c r="E632" t="str">
        <f>'2020_5-2-2_Download'!$AF$7</f>
        <v>Insgesamt</v>
      </c>
      <c r="G632" t="s">
        <v>84</v>
      </c>
      <c r="H632" t="str">
        <f>VLOOKUP(B632,[2]Kreise!$A$2:$C$53,3,FALSE)</f>
        <v>K03155</v>
      </c>
      <c r="I632">
        <f>'2020_5-2-2_Download'!AF16</f>
        <v>2414</v>
      </c>
    </row>
    <row r="633" spans="2:9">
      <c r="B633">
        <f>'2020_5-2-2_Download'!B17</f>
        <v>157</v>
      </c>
      <c r="C633">
        <f>'2020_5-2-2_Download'!$AF$5</f>
        <v>2016</v>
      </c>
      <c r="D633" t="str">
        <f>VLOOKUP(B633,[1]Tabelle1!$A$1:$B$68,2,FALSE)</f>
        <v>Peine</v>
      </c>
      <c r="E633" t="str">
        <f>'2020_5-2-2_Download'!$AF$7</f>
        <v>Insgesamt</v>
      </c>
      <c r="G633" t="s">
        <v>84</v>
      </c>
      <c r="H633" t="str">
        <f>VLOOKUP(B633,[2]Kreise!$A$2:$C$53,3,FALSE)</f>
        <v>K03157</v>
      </c>
      <c r="I633">
        <f>'2020_5-2-2_Download'!AF17</f>
        <v>1899</v>
      </c>
    </row>
    <row r="634" spans="2:9">
      <c r="B634">
        <f>'2020_5-2-2_Download'!B18</f>
        <v>158</v>
      </c>
      <c r="C634">
        <f>'2020_5-2-2_Download'!$AF$5</f>
        <v>2016</v>
      </c>
      <c r="D634" t="str">
        <f>VLOOKUP(B634,[1]Tabelle1!$A$1:$B$68,2,FALSE)</f>
        <v>Wolfenbüttel</v>
      </c>
      <c r="E634" t="str">
        <f>'2020_5-2-2_Download'!$AF$7</f>
        <v>Insgesamt</v>
      </c>
      <c r="G634" t="s">
        <v>84</v>
      </c>
      <c r="H634" t="str">
        <f>VLOOKUP(B634,[2]Kreise!$A$2:$C$53,3,FALSE)</f>
        <v>K03158</v>
      </c>
      <c r="I634">
        <f>'2020_5-2-2_Download'!AF18</f>
        <v>1041</v>
      </c>
    </row>
    <row r="635" spans="2:9">
      <c r="B635">
        <f>'2020_5-2-2_Download'!B19</f>
        <v>159</v>
      </c>
      <c r="C635">
        <f>'2020_5-2-2_Download'!$AF$5</f>
        <v>2016</v>
      </c>
      <c r="D635" t="str">
        <f>VLOOKUP(B635,[1]Tabelle1!$A$1:$B$68,2,FALSE)</f>
        <v>Göttingen</v>
      </c>
      <c r="E635" t="str">
        <f>'2020_5-2-2_Download'!$AF$7</f>
        <v>Insgesamt</v>
      </c>
      <c r="G635" t="s">
        <v>84</v>
      </c>
      <c r="H635" t="str">
        <f>VLOOKUP(B635,[2]Kreise!$A$2:$C$53,3,FALSE)</f>
        <v>K03159</v>
      </c>
      <c r="I635">
        <f>'2020_5-2-2_Download'!AF19</f>
        <v>7135</v>
      </c>
    </row>
    <row r="636" spans="2:9">
      <c r="B636">
        <f>'2020_5-2-2_Download'!B20</f>
        <v>1</v>
      </c>
      <c r="C636">
        <f>'2020_5-2-2_Download'!$AF$5</f>
        <v>2016</v>
      </c>
      <c r="D636" t="str">
        <f>VLOOKUP(B636,[1]Tabelle1!$A$1:$B$68,2,FALSE)</f>
        <v>Stat. Region Braunschweig</v>
      </c>
      <c r="E636" t="str">
        <f>'2020_5-2-2_Download'!$AF$7</f>
        <v>Insgesamt</v>
      </c>
      <c r="G636" t="s">
        <v>84</v>
      </c>
      <c r="H636" t="str">
        <f>VLOOKUP(B636,[2]Kreise!$A$2:$C$53,3,FALSE)</f>
        <v>K031</v>
      </c>
      <c r="I636">
        <f>'2020_5-2-2_Download'!AF20</f>
        <v>37992</v>
      </c>
    </row>
    <row r="637" spans="2:9">
      <c r="B637">
        <f>'2020_5-2-2_Download'!B21</f>
        <v>241</v>
      </c>
      <c r="C637">
        <f>'2020_5-2-2_Download'!$AF$5</f>
        <v>2016</v>
      </c>
      <c r="D637" t="str">
        <f>VLOOKUP(B637,[1]Tabelle1!$A$1:$B$68,2,FALSE)</f>
        <v>Hannover  Region</v>
      </c>
      <c r="E637" t="str">
        <f>'2020_5-2-2_Download'!$AF$7</f>
        <v>Insgesamt</v>
      </c>
      <c r="G637" t="s">
        <v>84</v>
      </c>
      <c r="H637" t="str">
        <f>VLOOKUP(B637,[2]Kreise!$A$2:$C$53,3,FALSE)</f>
        <v>K03241</v>
      </c>
      <c r="I637">
        <f>'2020_5-2-2_Download'!AF21</f>
        <v>47129</v>
      </c>
    </row>
    <row r="638" spans="2:9">
      <c r="B638">
        <f>'2020_5-2-2_Download'!B22</f>
        <v>241001</v>
      </c>
      <c r="C638">
        <f>'2020_5-2-2_Download'!$AF$5</f>
        <v>2016</v>
      </c>
      <c r="D638" t="str">
        <f>VLOOKUP(B638,[1]Tabelle1!$A$1:$B$68,2,FALSE)</f>
        <v>dav. Hannover  Lhst.</v>
      </c>
      <c r="E638" t="str">
        <f>'2020_5-2-2_Download'!$AF$7</f>
        <v>Insgesamt</v>
      </c>
      <c r="G638" t="s">
        <v>84</v>
      </c>
      <c r="H638" t="str">
        <f>VLOOKUP(B638,[2]Kreise!$A$2:$C$53,3,FALSE)</f>
        <v>K03241001</v>
      </c>
      <c r="I638">
        <f>'2020_5-2-2_Download'!AF22</f>
        <v>31290</v>
      </c>
    </row>
    <row r="639" spans="2:9">
      <c r="B639">
        <f>'2020_5-2-2_Download'!B23</f>
        <v>241999</v>
      </c>
      <c r="C639">
        <f>'2020_5-2-2_Download'!$AF$5</f>
        <v>2016</v>
      </c>
      <c r="D639" t="str">
        <f>VLOOKUP(B639,[1]Tabelle1!$A$1:$B$68,2,FALSE)</f>
        <v>dav. Hannover  Umland</v>
      </c>
      <c r="E639" t="str">
        <f>'2020_5-2-2_Download'!$AF$7</f>
        <v>Insgesamt</v>
      </c>
      <c r="G639" t="s">
        <v>84</v>
      </c>
      <c r="H639" t="str">
        <f>VLOOKUP(B639,[2]Kreise!$A$2:$C$53,3,FALSE)</f>
        <v>K03241999</v>
      </c>
      <c r="I639">
        <f>'2020_5-2-2_Download'!AF23</f>
        <v>15839</v>
      </c>
    </row>
    <row r="640" spans="2:9">
      <c r="B640">
        <f>'2020_5-2-2_Download'!B24</f>
        <v>251</v>
      </c>
      <c r="C640">
        <f>'2020_5-2-2_Download'!$AF$5</f>
        <v>2016</v>
      </c>
      <c r="D640" t="str">
        <f>VLOOKUP(B640,[1]Tabelle1!$A$1:$B$68,2,FALSE)</f>
        <v>Diepholz</v>
      </c>
      <c r="E640" t="str">
        <f>'2020_5-2-2_Download'!$AF$7</f>
        <v>Insgesamt</v>
      </c>
      <c r="G640" t="s">
        <v>84</v>
      </c>
      <c r="H640" t="str">
        <f>VLOOKUP(B640,[2]Kreise!$A$2:$C$53,3,FALSE)</f>
        <v>K03251</v>
      </c>
      <c r="I640">
        <f>'2020_5-2-2_Download'!AF24</f>
        <v>4067</v>
      </c>
    </row>
    <row r="641" spans="2:9">
      <c r="B641">
        <f>'2020_5-2-2_Download'!B25</f>
        <v>252</v>
      </c>
      <c r="C641">
        <f>'2020_5-2-2_Download'!$AF$5</f>
        <v>2016</v>
      </c>
      <c r="D641" t="str">
        <f>VLOOKUP(B641,[1]Tabelle1!$A$1:$B$68,2,FALSE)</f>
        <v>Hameln-Pyrmont</v>
      </c>
      <c r="E641" t="str">
        <f>'2020_5-2-2_Download'!$AF$7</f>
        <v>Insgesamt</v>
      </c>
      <c r="G641" t="s">
        <v>84</v>
      </c>
      <c r="H641" t="str">
        <f>VLOOKUP(B641,[2]Kreise!$A$2:$C$53,3,FALSE)</f>
        <v>K03252</v>
      </c>
      <c r="I641">
        <f>'2020_5-2-2_Download'!AF25</f>
        <v>3023</v>
      </c>
    </row>
    <row r="642" spans="2:9">
      <c r="B642">
        <f>'2020_5-2-2_Download'!B26</f>
        <v>254</v>
      </c>
      <c r="C642">
        <f>'2020_5-2-2_Download'!$AF$5</f>
        <v>2016</v>
      </c>
      <c r="D642" t="str">
        <f>VLOOKUP(B642,[1]Tabelle1!$A$1:$B$68,2,FALSE)</f>
        <v>Hildesheim</v>
      </c>
      <c r="E642" t="str">
        <f>'2020_5-2-2_Download'!$AF$7</f>
        <v>Insgesamt</v>
      </c>
      <c r="G642" t="s">
        <v>84</v>
      </c>
      <c r="H642" t="str">
        <f>VLOOKUP(B642,[2]Kreise!$A$2:$C$53,3,FALSE)</f>
        <v>K03254</v>
      </c>
      <c r="I642">
        <f>'2020_5-2-2_Download'!AF26</f>
        <v>4436</v>
      </c>
    </row>
    <row r="643" spans="2:9">
      <c r="B643">
        <f>'2020_5-2-2_Download'!B27</f>
        <v>255</v>
      </c>
      <c r="C643">
        <f>'2020_5-2-2_Download'!$AF$5</f>
        <v>2016</v>
      </c>
      <c r="D643" t="str">
        <f>VLOOKUP(B643,[1]Tabelle1!$A$1:$B$68,2,FALSE)</f>
        <v>Holzminden</v>
      </c>
      <c r="E643" t="str">
        <f>'2020_5-2-2_Download'!$AF$7</f>
        <v>Insgesamt</v>
      </c>
      <c r="G643" t="s">
        <v>84</v>
      </c>
      <c r="H643" t="str">
        <f>VLOOKUP(B643,[2]Kreise!$A$2:$C$53,3,FALSE)</f>
        <v>K03255</v>
      </c>
      <c r="I643">
        <f>'2020_5-2-2_Download'!AF27</f>
        <v>980</v>
      </c>
    </row>
    <row r="644" spans="2:9">
      <c r="B644">
        <f>'2020_5-2-2_Download'!B28</f>
        <v>256</v>
      </c>
      <c r="C644">
        <f>'2020_5-2-2_Download'!$AF$5</f>
        <v>2016</v>
      </c>
      <c r="D644" t="str">
        <f>VLOOKUP(B644,[1]Tabelle1!$A$1:$B$68,2,FALSE)</f>
        <v>Nienburg (Weser)</v>
      </c>
      <c r="E644" t="str">
        <f>'2020_5-2-2_Download'!$AF$7</f>
        <v>Insgesamt</v>
      </c>
      <c r="G644" t="s">
        <v>84</v>
      </c>
      <c r="H644" t="str">
        <f>VLOOKUP(B644,[2]Kreise!$A$2:$C$53,3,FALSE)</f>
        <v>K03256</v>
      </c>
      <c r="I644">
        <f>'2020_5-2-2_Download'!AF28</f>
        <v>2391</v>
      </c>
    </row>
    <row r="645" spans="2:9">
      <c r="B645">
        <f>'2020_5-2-2_Download'!B29</f>
        <v>257</v>
      </c>
      <c r="C645">
        <f>'2020_5-2-2_Download'!$AF$5</f>
        <v>2016</v>
      </c>
      <c r="D645" t="str">
        <f>VLOOKUP(B645,[1]Tabelle1!$A$1:$B$68,2,FALSE)</f>
        <v>Schaumburg</v>
      </c>
      <c r="E645" t="str">
        <f>'2020_5-2-2_Download'!$AF$7</f>
        <v>Insgesamt</v>
      </c>
      <c r="G645" t="s">
        <v>84</v>
      </c>
      <c r="H645" t="str">
        <f>VLOOKUP(B645,[2]Kreise!$A$2:$C$53,3,FALSE)</f>
        <v>K03257</v>
      </c>
      <c r="I645">
        <f>'2020_5-2-2_Download'!AF29</f>
        <v>2642</v>
      </c>
    </row>
    <row r="646" spans="2:9">
      <c r="B646">
        <f>'2020_5-2-2_Download'!B30</f>
        <v>2</v>
      </c>
      <c r="C646">
        <f>'2020_5-2-2_Download'!$AF$5</f>
        <v>2016</v>
      </c>
      <c r="D646" t="str">
        <f>VLOOKUP(B646,[1]Tabelle1!$A$1:$B$68,2,FALSE)</f>
        <v>Stat. Region Hannover</v>
      </c>
      <c r="E646" t="str">
        <f>'2020_5-2-2_Download'!$AF$7</f>
        <v>Insgesamt</v>
      </c>
      <c r="G646" t="s">
        <v>84</v>
      </c>
      <c r="H646" t="str">
        <f>VLOOKUP(B646,[2]Kreise!$A$2:$C$53,3,FALSE)</f>
        <v>K032</v>
      </c>
      <c r="I646">
        <f>'2020_5-2-2_Download'!AF30</f>
        <v>64668</v>
      </c>
    </row>
    <row r="647" spans="2:9">
      <c r="B647">
        <f>'2020_5-2-2_Download'!B31</f>
        <v>351</v>
      </c>
      <c r="C647">
        <f>'2020_5-2-2_Download'!$AF$5</f>
        <v>2016</v>
      </c>
      <c r="D647" t="str">
        <f>VLOOKUP(B647,[1]Tabelle1!$A$1:$B$68,2,FALSE)</f>
        <v>Celle</v>
      </c>
      <c r="E647" t="str">
        <f>'2020_5-2-2_Download'!$AF$7</f>
        <v>Insgesamt</v>
      </c>
      <c r="G647" t="s">
        <v>84</v>
      </c>
      <c r="H647" t="str">
        <f>VLOOKUP(B647,[2]Kreise!$A$2:$C$53,3,FALSE)</f>
        <v>K03351</v>
      </c>
      <c r="I647">
        <f>'2020_5-2-2_Download'!AF31</f>
        <v>2746</v>
      </c>
    </row>
    <row r="648" spans="2:9">
      <c r="B648">
        <f>'2020_5-2-2_Download'!B32</f>
        <v>352</v>
      </c>
      <c r="C648">
        <f>'2020_5-2-2_Download'!$AF$5</f>
        <v>2016</v>
      </c>
      <c r="D648" t="str">
        <f>VLOOKUP(B648,[1]Tabelle1!$A$1:$B$68,2,FALSE)</f>
        <v>Cuxhaven</v>
      </c>
      <c r="E648" t="str">
        <f>'2020_5-2-2_Download'!$AF$7</f>
        <v>Insgesamt</v>
      </c>
      <c r="G648" t="s">
        <v>84</v>
      </c>
      <c r="H648" t="str">
        <f>VLOOKUP(B648,[2]Kreise!$A$2:$C$53,3,FALSE)</f>
        <v>K03352</v>
      </c>
      <c r="I648">
        <f>'2020_5-2-2_Download'!AF32</f>
        <v>3391</v>
      </c>
    </row>
    <row r="649" spans="2:9">
      <c r="B649">
        <f>'2020_5-2-2_Download'!B33</f>
        <v>353</v>
      </c>
      <c r="C649">
        <f>'2020_5-2-2_Download'!$AF$5</f>
        <v>2016</v>
      </c>
      <c r="D649" t="str">
        <f>VLOOKUP(B649,[1]Tabelle1!$A$1:$B$68,2,FALSE)</f>
        <v>Harburg</v>
      </c>
      <c r="E649" t="str">
        <f>'2020_5-2-2_Download'!$AF$7</f>
        <v>Insgesamt</v>
      </c>
      <c r="G649" t="s">
        <v>84</v>
      </c>
      <c r="H649" t="str">
        <f>VLOOKUP(B649,[2]Kreise!$A$2:$C$53,3,FALSE)</f>
        <v>K03353</v>
      </c>
      <c r="I649">
        <f>'2020_5-2-2_Download'!AF33</f>
        <v>5337</v>
      </c>
    </row>
    <row r="650" spans="2:9">
      <c r="B650">
        <f>'2020_5-2-2_Download'!B34</f>
        <v>354</v>
      </c>
      <c r="C650">
        <f>'2020_5-2-2_Download'!$AF$5</f>
        <v>2016</v>
      </c>
      <c r="D650" t="str">
        <f>VLOOKUP(B650,[1]Tabelle1!$A$1:$B$68,2,FALSE)</f>
        <v>Lüchow-Dannenberg</v>
      </c>
      <c r="E650" t="str">
        <f>'2020_5-2-2_Download'!$AF$7</f>
        <v>Insgesamt</v>
      </c>
      <c r="G650" t="s">
        <v>84</v>
      </c>
      <c r="H650" t="str">
        <f>VLOOKUP(B650,[2]Kreise!$A$2:$C$53,3,FALSE)</f>
        <v>K03354</v>
      </c>
      <c r="I650">
        <f>'2020_5-2-2_Download'!AF34</f>
        <v>521</v>
      </c>
    </row>
    <row r="651" spans="2:9">
      <c r="B651">
        <f>'2020_5-2-2_Download'!B35</f>
        <v>355</v>
      </c>
      <c r="C651">
        <f>'2020_5-2-2_Download'!$AF$5</f>
        <v>2016</v>
      </c>
      <c r="D651" t="str">
        <f>VLOOKUP(B651,[1]Tabelle1!$A$1:$B$68,2,FALSE)</f>
        <v>Lüneburg</v>
      </c>
      <c r="E651" t="str">
        <f>'2020_5-2-2_Download'!$AF$7</f>
        <v>Insgesamt</v>
      </c>
      <c r="G651" t="s">
        <v>84</v>
      </c>
      <c r="H651" t="str">
        <f>VLOOKUP(B651,[2]Kreise!$A$2:$C$53,3,FALSE)</f>
        <v>K03355</v>
      </c>
      <c r="I651">
        <f>'2020_5-2-2_Download'!AF35</f>
        <v>2745</v>
      </c>
    </row>
    <row r="652" spans="2:9">
      <c r="B652">
        <f>'2020_5-2-2_Download'!B36</f>
        <v>356</v>
      </c>
      <c r="C652">
        <f>'2020_5-2-2_Download'!$AF$5</f>
        <v>2016</v>
      </c>
      <c r="D652" t="str">
        <f>VLOOKUP(B652,[1]Tabelle1!$A$1:$B$68,2,FALSE)</f>
        <v>Osterholz</v>
      </c>
      <c r="E652" t="str">
        <f>'2020_5-2-2_Download'!$AF$7</f>
        <v>Insgesamt</v>
      </c>
      <c r="G652" t="s">
        <v>84</v>
      </c>
      <c r="H652" t="str">
        <f>VLOOKUP(B652,[2]Kreise!$A$2:$C$53,3,FALSE)</f>
        <v>K03356</v>
      </c>
      <c r="I652">
        <f>'2020_5-2-2_Download'!AF36</f>
        <v>1321</v>
      </c>
    </row>
    <row r="653" spans="2:9">
      <c r="B653">
        <f>'2020_5-2-2_Download'!B37</f>
        <v>357</v>
      </c>
      <c r="C653">
        <f>'2020_5-2-2_Download'!$AF$5</f>
        <v>2016</v>
      </c>
      <c r="D653" t="str">
        <f>VLOOKUP(B653,[1]Tabelle1!$A$1:$B$68,2,FALSE)</f>
        <v>Rotenburg (Wümme)</v>
      </c>
      <c r="E653" t="str">
        <f>'2020_5-2-2_Download'!$AF$7</f>
        <v>Insgesamt</v>
      </c>
      <c r="G653" t="s">
        <v>84</v>
      </c>
      <c r="H653" t="str">
        <f>VLOOKUP(B653,[2]Kreise!$A$2:$C$53,3,FALSE)</f>
        <v>K03357</v>
      </c>
      <c r="I653">
        <f>'2020_5-2-2_Download'!AF37</f>
        <v>2984</v>
      </c>
    </row>
    <row r="654" spans="2:9">
      <c r="B654">
        <f>'2020_5-2-2_Download'!B38</f>
        <v>358</v>
      </c>
      <c r="C654">
        <f>'2020_5-2-2_Download'!$AF$5</f>
        <v>2016</v>
      </c>
      <c r="D654" t="str">
        <f>VLOOKUP(B654,[1]Tabelle1!$A$1:$B$68,2,FALSE)</f>
        <v>Heidekreis</v>
      </c>
      <c r="E654" t="str">
        <f>'2020_5-2-2_Download'!$AF$7</f>
        <v>Insgesamt</v>
      </c>
      <c r="G654" t="s">
        <v>84</v>
      </c>
      <c r="H654" t="str">
        <f>VLOOKUP(B654,[2]Kreise!$A$2:$C$53,3,FALSE)</f>
        <v>K03358</v>
      </c>
      <c r="I654">
        <f>'2020_5-2-2_Download'!AF38</f>
        <v>2855</v>
      </c>
    </row>
    <row r="655" spans="2:9">
      <c r="B655">
        <f>'2020_5-2-2_Download'!B39</f>
        <v>359</v>
      </c>
      <c r="C655">
        <f>'2020_5-2-2_Download'!$AF$5</f>
        <v>2016</v>
      </c>
      <c r="D655" t="str">
        <f>VLOOKUP(B655,[1]Tabelle1!$A$1:$B$68,2,FALSE)</f>
        <v>Stade</v>
      </c>
      <c r="E655" t="str">
        <f>'2020_5-2-2_Download'!$AF$7</f>
        <v>Insgesamt</v>
      </c>
      <c r="G655" t="s">
        <v>84</v>
      </c>
      <c r="H655" t="str">
        <f>VLOOKUP(B655,[2]Kreise!$A$2:$C$53,3,FALSE)</f>
        <v>K03359</v>
      </c>
      <c r="I655">
        <f>'2020_5-2-2_Download'!AF39</f>
        <v>4321</v>
      </c>
    </row>
    <row r="656" spans="2:9">
      <c r="B656">
        <f>'2020_5-2-2_Download'!B40</f>
        <v>360</v>
      </c>
      <c r="C656">
        <f>'2020_5-2-2_Download'!$AF$5</f>
        <v>2016</v>
      </c>
      <c r="D656" t="str">
        <f>VLOOKUP(B656,[1]Tabelle1!$A$1:$B$68,2,FALSE)</f>
        <v>Uelzen</v>
      </c>
      <c r="E656" t="str">
        <f>'2020_5-2-2_Download'!$AF$7</f>
        <v>Insgesamt</v>
      </c>
      <c r="G656" t="s">
        <v>84</v>
      </c>
      <c r="H656" t="str">
        <f>VLOOKUP(B656,[2]Kreise!$A$2:$C$53,3,FALSE)</f>
        <v>K03360</v>
      </c>
      <c r="I656">
        <f>'2020_5-2-2_Download'!AF40</f>
        <v>1068</v>
      </c>
    </row>
    <row r="657" spans="2:9">
      <c r="B657">
        <f>'2020_5-2-2_Download'!B41</f>
        <v>361</v>
      </c>
      <c r="C657">
        <f>'2020_5-2-2_Download'!$AF$5</f>
        <v>2016</v>
      </c>
      <c r="D657" t="str">
        <f>VLOOKUP(B657,[1]Tabelle1!$A$1:$B$68,2,FALSE)</f>
        <v>Verden</v>
      </c>
      <c r="E657" t="str">
        <f>'2020_5-2-2_Download'!$AF$7</f>
        <v>Insgesamt</v>
      </c>
      <c r="G657" t="s">
        <v>84</v>
      </c>
      <c r="H657" t="str">
        <f>VLOOKUP(B657,[2]Kreise!$A$2:$C$53,3,FALSE)</f>
        <v>K03361</v>
      </c>
      <c r="I657">
        <f>'2020_5-2-2_Download'!AF41</f>
        <v>3287</v>
      </c>
    </row>
    <row r="658" spans="2:9">
      <c r="B658">
        <f>'2020_5-2-2_Download'!B42</f>
        <v>3</v>
      </c>
      <c r="C658">
        <f>'2020_5-2-2_Download'!$AF$5</f>
        <v>2016</v>
      </c>
      <c r="D658" t="str">
        <f>VLOOKUP(B658,[1]Tabelle1!$A$1:$B$68,2,FALSE)</f>
        <v>Stat. Region Lüneburg</v>
      </c>
      <c r="E658" t="str">
        <f>'2020_5-2-2_Download'!$AF$7</f>
        <v>Insgesamt</v>
      </c>
      <c r="G658" t="s">
        <v>84</v>
      </c>
      <c r="H658" t="str">
        <f>VLOOKUP(B658,[2]Kreise!$A$2:$C$53,3,FALSE)</f>
        <v>K033</v>
      </c>
      <c r="I658">
        <f>'2020_5-2-2_Download'!AF42</f>
        <v>30576</v>
      </c>
    </row>
    <row r="659" spans="2:9">
      <c r="B659">
        <f>'2020_5-2-2_Download'!B43</f>
        <v>401</v>
      </c>
      <c r="C659">
        <f>'2020_5-2-2_Download'!$AF$5</f>
        <v>2016</v>
      </c>
      <c r="D659" t="str">
        <f>VLOOKUP(B659,[1]Tabelle1!$A$1:$B$68,2,FALSE)</f>
        <v>Delmenhorst  Stadt</v>
      </c>
      <c r="E659" t="str">
        <f>'2020_5-2-2_Download'!$AF$7</f>
        <v>Insgesamt</v>
      </c>
      <c r="G659" t="s">
        <v>84</v>
      </c>
      <c r="H659" t="str">
        <f>VLOOKUP(B659,[2]Kreise!$A$2:$C$53,3,FALSE)</f>
        <v>K03401</v>
      </c>
      <c r="I659">
        <f>'2020_5-2-2_Download'!AF43</f>
        <v>1350</v>
      </c>
    </row>
    <row r="660" spans="2:9">
      <c r="B660">
        <f>'2020_5-2-2_Download'!B44</f>
        <v>402</v>
      </c>
      <c r="C660">
        <f>'2020_5-2-2_Download'!$AF$5</f>
        <v>2016</v>
      </c>
      <c r="D660" t="str">
        <f>VLOOKUP(B660,[1]Tabelle1!$A$1:$B$68,2,FALSE)</f>
        <v>Emden  Stadt</v>
      </c>
      <c r="E660" t="str">
        <f>'2020_5-2-2_Download'!$AF$7</f>
        <v>Insgesamt</v>
      </c>
      <c r="G660" t="s">
        <v>84</v>
      </c>
      <c r="H660" t="str">
        <f>VLOOKUP(B660,[2]Kreise!$A$2:$C$53,3,FALSE)</f>
        <v>K03402</v>
      </c>
      <c r="I660">
        <f>'2020_5-2-2_Download'!AF44</f>
        <v>1508</v>
      </c>
    </row>
    <row r="661" spans="2:9">
      <c r="B661">
        <f>'2020_5-2-2_Download'!B45</f>
        <v>403</v>
      </c>
      <c r="C661">
        <f>'2020_5-2-2_Download'!$AF$5</f>
        <v>2016</v>
      </c>
      <c r="D661" t="str">
        <f>VLOOKUP(B661,[1]Tabelle1!$A$1:$B$68,2,FALSE)</f>
        <v>Oldenburg(Oldb)  Stadt</v>
      </c>
      <c r="E661" t="str">
        <f>'2020_5-2-2_Download'!$AF$7</f>
        <v>Insgesamt</v>
      </c>
      <c r="G661" t="s">
        <v>84</v>
      </c>
      <c r="H661" t="str">
        <f>VLOOKUP(B661,[2]Kreise!$A$2:$C$53,3,FALSE)</f>
        <v>K03403</v>
      </c>
      <c r="I661">
        <f>'2020_5-2-2_Download'!AF45</f>
        <v>3802</v>
      </c>
    </row>
    <row r="662" spans="2:9">
      <c r="B662">
        <f>'2020_5-2-2_Download'!B46</f>
        <v>404</v>
      </c>
      <c r="C662">
        <f>'2020_5-2-2_Download'!$AF$5</f>
        <v>2016</v>
      </c>
      <c r="D662" t="str">
        <f>VLOOKUP(B662,[1]Tabelle1!$A$1:$B$68,2,FALSE)</f>
        <v>Osnabrück  Stadt</v>
      </c>
      <c r="E662" t="str">
        <f>'2020_5-2-2_Download'!$AF$7</f>
        <v>Insgesamt</v>
      </c>
      <c r="G662" t="s">
        <v>84</v>
      </c>
      <c r="H662" t="str">
        <f>VLOOKUP(B662,[2]Kreise!$A$2:$C$53,3,FALSE)</f>
        <v>K03404</v>
      </c>
      <c r="I662">
        <f>'2020_5-2-2_Download'!AF46</f>
        <v>6418</v>
      </c>
    </row>
    <row r="663" spans="2:9">
      <c r="B663">
        <f>'2020_5-2-2_Download'!B47</f>
        <v>405</v>
      </c>
      <c r="C663">
        <f>'2020_5-2-2_Download'!$AF$5</f>
        <v>2016</v>
      </c>
      <c r="D663" t="str">
        <f>VLOOKUP(B663,[1]Tabelle1!$A$1:$B$68,2,FALSE)</f>
        <v>Wilhelmshaven  Stadt</v>
      </c>
      <c r="E663" t="str">
        <f>'2020_5-2-2_Download'!$AF$7</f>
        <v>Insgesamt</v>
      </c>
      <c r="G663" t="s">
        <v>84</v>
      </c>
      <c r="H663" t="str">
        <f>VLOOKUP(B663,[2]Kreise!$A$2:$C$53,3,FALSE)</f>
        <v>K03405</v>
      </c>
      <c r="I663">
        <f>'2020_5-2-2_Download'!AF47</f>
        <v>1156</v>
      </c>
    </row>
    <row r="664" spans="2:9">
      <c r="B664">
        <f>'2020_5-2-2_Download'!B48</f>
        <v>451</v>
      </c>
      <c r="C664">
        <f>'2020_5-2-2_Download'!$AF$5</f>
        <v>2016</v>
      </c>
      <c r="D664" t="str">
        <f>VLOOKUP(B664,[1]Tabelle1!$A$1:$B$68,2,FALSE)</f>
        <v>Ammerland</v>
      </c>
      <c r="E664" t="str">
        <f>'2020_5-2-2_Download'!$AF$7</f>
        <v>Insgesamt</v>
      </c>
      <c r="G664" t="s">
        <v>84</v>
      </c>
      <c r="H664" t="str">
        <f>VLOOKUP(B664,[2]Kreise!$A$2:$C$53,3,FALSE)</f>
        <v>K03451</v>
      </c>
      <c r="I664">
        <f>'2020_5-2-2_Download'!AF48</f>
        <v>2769</v>
      </c>
    </row>
    <row r="665" spans="2:9">
      <c r="B665">
        <f>'2020_5-2-2_Download'!B49</f>
        <v>452</v>
      </c>
      <c r="C665">
        <f>'2020_5-2-2_Download'!$AF$5</f>
        <v>2016</v>
      </c>
      <c r="D665" t="str">
        <f>VLOOKUP(B665,[1]Tabelle1!$A$1:$B$68,2,FALSE)</f>
        <v>Aurich</v>
      </c>
      <c r="E665" t="str">
        <f>'2020_5-2-2_Download'!$AF$7</f>
        <v>Insgesamt</v>
      </c>
      <c r="G665" t="s">
        <v>84</v>
      </c>
      <c r="H665" t="str">
        <f>VLOOKUP(B665,[2]Kreise!$A$2:$C$53,3,FALSE)</f>
        <v>K03452</v>
      </c>
      <c r="I665">
        <f>'2020_5-2-2_Download'!AF49</f>
        <v>3395</v>
      </c>
    </row>
    <row r="666" spans="2:9">
      <c r="B666">
        <f>'2020_5-2-2_Download'!B50</f>
        <v>453</v>
      </c>
      <c r="C666">
        <f>'2020_5-2-2_Download'!$AF$5</f>
        <v>2016</v>
      </c>
      <c r="D666" t="str">
        <f>VLOOKUP(B666,[1]Tabelle1!$A$1:$B$68,2,FALSE)</f>
        <v>Cloppenburg</v>
      </c>
      <c r="E666" t="str">
        <f>'2020_5-2-2_Download'!$AF$7</f>
        <v>Insgesamt</v>
      </c>
      <c r="G666" t="s">
        <v>84</v>
      </c>
      <c r="H666" t="str">
        <f>VLOOKUP(B666,[2]Kreise!$A$2:$C$53,3,FALSE)</f>
        <v>K03453</v>
      </c>
      <c r="I666">
        <f>'2020_5-2-2_Download'!AF50</f>
        <v>6135</v>
      </c>
    </row>
    <row r="667" spans="2:9">
      <c r="B667">
        <f>'2020_5-2-2_Download'!B51</f>
        <v>454</v>
      </c>
      <c r="C667">
        <f>'2020_5-2-2_Download'!$AF$5</f>
        <v>2016</v>
      </c>
      <c r="D667" t="str">
        <f>VLOOKUP(B667,[1]Tabelle1!$A$1:$B$68,2,FALSE)</f>
        <v>Emsland</v>
      </c>
      <c r="E667" t="str">
        <f>'2020_5-2-2_Download'!$AF$7</f>
        <v>Insgesamt</v>
      </c>
      <c r="G667" t="s">
        <v>84</v>
      </c>
      <c r="H667" t="str">
        <f>VLOOKUP(B667,[2]Kreise!$A$2:$C$53,3,FALSE)</f>
        <v>K03454</v>
      </c>
      <c r="I667">
        <f>'2020_5-2-2_Download'!AF51</f>
        <v>9390</v>
      </c>
    </row>
    <row r="668" spans="2:9">
      <c r="B668">
        <f>'2020_5-2-2_Download'!B52</f>
        <v>455</v>
      </c>
      <c r="C668">
        <f>'2020_5-2-2_Download'!$AF$5</f>
        <v>2016</v>
      </c>
      <c r="D668" t="str">
        <f>VLOOKUP(B668,[1]Tabelle1!$A$1:$B$68,2,FALSE)</f>
        <v>Friesland</v>
      </c>
      <c r="E668" t="str">
        <f>'2020_5-2-2_Download'!$AF$7</f>
        <v>Insgesamt</v>
      </c>
      <c r="G668" t="s">
        <v>84</v>
      </c>
      <c r="H668" t="str">
        <f>VLOOKUP(B668,[2]Kreise!$A$2:$C$53,3,FALSE)</f>
        <v>K03455</v>
      </c>
      <c r="I668">
        <f>'2020_5-2-2_Download'!AF52</f>
        <v>992</v>
      </c>
    </row>
    <row r="669" spans="2:9">
      <c r="B669">
        <f>'2020_5-2-2_Download'!B53</f>
        <v>456</v>
      </c>
      <c r="C669">
        <f>'2020_5-2-2_Download'!$AF$5</f>
        <v>2016</v>
      </c>
      <c r="D669" t="str">
        <f>VLOOKUP(B669,[1]Tabelle1!$A$1:$B$68,2,FALSE)</f>
        <v>Grafschaft Bentheim</v>
      </c>
      <c r="E669" t="str">
        <f>'2020_5-2-2_Download'!$AF$7</f>
        <v>Insgesamt</v>
      </c>
      <c r="G669" t="s">
        <v>84</v>
      </c>
      <c r="H669" t="str">
        <f>VLOOKUP(B669,[2]Kreise!$A$2:$C$53,3,FALSE)</f>
        <v>K03456</v>
      </c>
      <c r="I669">
        <f>'2020_5-2-2_Download'!AF53</f>
        <v>4464</v>
      </c>
    </row>
    <row r="670" spans="2:9">
      <c r="B670">
        <f>'2020_5-2-2_Download'!B54</f>
        <v>457</v>
      </c>
      <c r="C670">
        <f>'2020_5-2-2_Download'!$AF$5</f>
        <v>2016</v>
      </c>
      <c r="D670" t="str">
        <f>VLOOKUP(B670,[1]Tabelle1!$A$1:$B$68,2,FALSE)</f>
        <v>Leer</v>
      </c>
      <c r="E670" t="str">
        <f>'2020_5-2-2_Download'!$AF$7</f>
        <v>Insgesamt</v>
      </c>
      <c r="G670" t="s">
        <v>84</v>
      </c>
      <c r="H670" t="str">
        <f>VLOOKUP(B670,[2]Kreise!$A$2:$C$53,3,FALSE)</f>
        <v>K03457</v>
      </c>
      <c r="I670">
        <f>'2020_5-2-2_Download'!AF54</f>
        <v>2482</v>
      </c>
    </row>
    <row r="671" spans="2:9">
      <c r="B671">
        <f>'2020_5-2-2_Download'!B55</f>
        <v>458</v>
      </c>
      <c r="C671">
        <f>'2020_5-2-2_Download'!$AF$5</f>
        <v>2016</v>
      </c>
      <c r="D671" t="str">
        <f>VLOOKUP(B671,[1]Tabelle1!$A$1:$B$68,2,FALSE)</f>
        <v>Oldenburg</v>
      </c>
      <c r="E671" t="str">
        <f>'2020_5-2-2_Download'!$AF$7</f>
        <v>Insgesamt</v>
      </c>
      <c r="G671" t="s">
        <v>84</v>
      </c>
      <c r="H671" t="str">
        <f>VLOOKUP(B671,[2]Kreise!$A$2:$C$53,3,FALSE)</f>
        <v>K03458</v>
      </c>
      <c r="I671">
        <f>'2020_5-2-2_Download'!AF55</f>
        <v>2350</v>
      </c>
    </row>
    <row r="672" spans="2:9">
      <c r="B672">
        <f>'2020_5-2-2_Download'!B56</f>
        <v>459</v>
      </c>
      <c r="C672">
        <f>'2020_5-2-2_Download'!$AF$5</f>
        <v>2016</v>
      </c>
      <c r="D672" t="str">
        <f>VLOOKUP(B672,[1]Tabelle1!$A$1:$B$68,2,FALSE)</f>
        <v>Osnabrück</v>
      </c>
      <c r="E672" t="str">
        <f>'2020_5-2-2_Download'!$AF$7</f>
        <v>Insgesamt</v>
      </c>
      <c r="G672" t="s">
        <v>84</v>
      </c>
      <c r="H672" t="str">
        <f>VLOOKUP(B672,[2]Kreise!$A$2:$C$53,3,FALSE)</f>
        <v>K03459</v>
      </c>
      <c r="I672">
        <f>'2020_5-2-2_Download'!AF56</f>
        <v>11933</v>
      </c>
    </row>
    <row r="673" spans="2:9">
      <c r="B673">
        <f>'2020_5-2-2_Download'!B57</f>
        <v>460</v>
      </c>
      <c r="C673">
        <f>'2020_5-2-2_Download'!$AF$5</f>
        <v>2016</v>
      </c>
      <c r="D673" t="str">
        <f>VLOOKUP(B673,[1]Tabelle1!$A$1:$B$68,2,FALSE)</f>
        <v>Vechta</v>
      </c>
      <c r="E673" t="str">
        <f>'2020_5-2-2_Download'!$AF$7</f>
        <v>Insgesamt</v>
      </c>
      <c r="G673" t="s">
        <v>84</v>
      </c>
      <c r="H673" t="str">
        <f>VLOOKUP(B673,[2]Kreise!$A$2:$C$53,3,FALSE)</f>
        <v>K03460</v>
      </c>
      <c r="I673">
        <f>'2020_5-2-2_Download'!AF57</f>
        <v>8345</v>
      </c>
    </row>
    <row r="674" spans="2:9">
      <c r="B674">
        <f>'2020_5-2-2_Download'!B58</f>
        <v>461</v>
      </c>
      <c r="C674">
        <f>'2020_5-2-2_Download'!$AF$5</f>
        <v>2016</v>
      </c>
      <c r="D674" t="str">
        <f>VLOOKUP(B674,[1]Tabelle1!$A$1:$B$68,2,FALSE)</f>
        <v>Wesermarsch</v>
      </c>
      <c r="E674" t="str">
        <f>'2020_5-2-2_Download'!$AF$7</f>
        <v>Insgesamt</v>
      </c>
      <c r="G674" t="s">
        <v>84</v>
      </c>
      <c r="H674" t="str">
        <f>VLOOKUP(B674,[2]Kreise!$A$2:$C$53,3,FALSE)</f>
        <v>K03461</v>
      </c>
      <c r="I674">
        <f>'2020_5-2-2_Download'!AF58</f>
        <v>1850</v>
      </c>
    </row>
    <row r="675" spans="2:9">
      <c r="B675">
        <f>'2020_5-2-2_Download'!B59</f>
        <v>462</v>
      </c>
      <c r="C675">
        <f>'2020_5-2-2_Download'!$AF$5</f>
        <v>2016</v>
      </c>
      <c r="D675" t="str">
        <f>VLOOKUP(B675,[1]Tabelle1!$A$1:$B$68,2,FALSE)</f>
        <v>Wittmund</v>
      </c>
      <c r="E675" t="str">
        <f>'2020_5-2-2_Download'!$AF$7</f>
        <v>Insgesamt</v>
      </c>
      <c r="G675" t="s">
        <v>84</v>
      </c>
      <c r="H675" t="str">
        <f>VLOOKUP(B675,[2]Kreise!$A$2:$C$53,3,FALSE)</f>
        <v>K03462</v>
      </c>
      <c r="I675">
        <f>'2020_5-2-2_Download'!AF59</f>
        <v>688</v>
      </c>
    </row>
    <row r="676" spans="2:9">
      <c r="B676">
        <f>'2020_5-2-2_Download'!B60</f>
        <v>4</v>
      </c>
      <c r="C676">
        <f>'2020_5-2-2_Download'!$AF$5</f>
        <v>2016</v>
      </c>
      <c r="D676" t="str">
        <f>VLOOKUP(B676,[1]Tabelle1!$A$1:$B$68,2,FALSE)</f>
        <v>Stat. Region Weser-Ems</v>
      </c>
      <c r="E676" t="str">
        <f>'2020_5-2-2_Download'!$AF$7</f>
        <v>Insgesamt</v>
      </c>
      <c r="G676" t="s">
        <v>84</v>
      </c>
      <c r="H676" t="str">
        <f>VLOOKUP(B676,[2]Kreise!$A$2:$C$53,3,FALSE)</f>
        <v>K034</v>
      </c>
      <c r="I676">
        <f>'2020_5-2-2_Download'!AF60</f>
        <v>69027</v>
      </c>
    </row>
    <row r="677" spans="2:9">
      <c r="B677">
        <f>'2020_5-2-2_Download'!B61</f>
        <v>0</v>
      </c>
      <c r="C677">
        <f>'2020_5-2-2_Download'!$AF$5</f>
        <v>2016</v>
      </c>
      <c r="D677" t="str">
        <f>VLOOKUP(B677,[1]Tabelle1!$A$1:$B$68,2,FALSE)</f>
        <v>Niedersachsen</v>
      </c>
      <c r="E677" t="str">
        <f>'2020_5-2-2_Download'!$AF$7</f>
        <v>Insgesamt</v>
      </c>
      <c r="G677" t="s">
        <v>84</v>
      </c>
      <c r="H677" t="str">
        <f>VLOOKUP(B677,[2]Kreise!$A$2:$C$53,3,FALSE)</f>
        <v>K030</v>
      </c>
      <c r="I677">
        <f>'2020_5-2-2_Download'!AF61</f>
        <v>202263</v>
      </c>
    </row>
    <row r="678" spans="2:9">
      <c r="B678">
        <f>'2020_5-2-2_Download'!B10</f>
        <v>101</v>
      </c>
      <c r="C678">
        <f>'2020_5-2-2_Download'!$AF$5</f>
        <v>2016</v>
      </c>
      <c r="D678" t="str">
        <f>VLOOKUP(B678,[1]Tabelle1!$A$1:$B$68,2,FALSE)</f>
        <v>Braunschweig  Stadt</v>
      </c>
      <c r="E678" t="str">
        <f>'2020_5-2-2_Download'!$AG$7</f>
        <v>Männer</v>
      </c>
      <c r="G678" t="s">
        <v>84</v>
      </c>
      <c r="H678" t="str">
        <f>VLOOKUP(B678,[2]Kreise!$A$2:$C$53,3,FALSE)</f>
        <v>K03101</v>
      </c>
      <c r="I678">
        <f>'2020_5-2-2_Download'!AG10</f>
        <v>4671</v>
      </c>
    </row>
    <row r="679" spans="2:9">
      <c r="B679">
        <f>'2020_5-2-2_Download'!B11</f>
        <v>102</v>
      </c>
      <c r="C679">
        <f>'2020_5-2-2_Download'!$AF$5</f>
        <v>2016</v>
      </c>
      <c r="D679" t="str">
        <f>VLOOKUP(B679,[1]Tabelle1!$A$1:$B$68,2,FALSE)</f>
        <v>Salzgitter  Stadt</v>
      </c>
      <c r="E679" t="str">
        <f>'2020_5-2-2_Download'!$AG$7</f>
        <v>Männer</v>
      </c>
      <c r="G679" t="s">
        <v>84</v>
      </c>
      <c r="H679" t="str">
        <f>VLOOKUP(B679,[2]Kreise!$A$2:$C$53,3,FALSE)</f>
        <v>K03102</v>
      </c>
      <c r="I679">
        <f>'2020_5-2-2_Download'!AG11</f>
        <v>2863</v>
      </c>
    </row>
    <row r="680" spans="2:9">
      <c r="B680">
        <f>'2020_5-2-2_Download'!B12</f>
        <v>103</v>
      </c>
      <c r="C680">
        <f>'2020_5-2-2_Download'!$AF$5</f>
        <v>2016</v>
      </c>
      <c r="D680" t="str">
        <f>VLOOKUP(B680,[1]Tabelle1!$A$1:$B$68,2,FALSE)</f>
        <v>Wolfsburg  Stadt</v>
      </c>
      <c r="E680" t="str">
        <f>'2020_5-2-2_Download'!$AG$7</f>
        <v>Männer</v>
      </c>
      <c r="G680" t="s">
        <v>84</v>
      </c>
      <c r="H680" t="str">
        <f>VLOOKUP(B680,[2]Kreise!$A$2:$C$53,3,FALSE)</f>
        <v>K03103</v>
      </c>
      <c r="I680">
        <f>'2020_5-2-2_Download'!AG12</f>
        <v>6078</v>
      </c>
    </row>
    <row r="681" spans="2:9">
      <c r="B681">
        <f>'2020_5-2-2_Download'!B13</f>
        <v>151</v>
      </c>
      <c r="C681">
        <f>'2020_5-2-2_Download'!$AF$5</f>
        <v>2016</v>
      </c>
      <c r="D681" t="str">
        <f>VLOOKUP(B681,[1]Tabelle1!$A$1:$B$68,2,FALSE)</f>
        <v>Gifhorn</v>
      </c>
      <c r="E681" t="str">
        <f>'2020_5-2-2_Download'!$AG$7</f>
        <v>Männer</v>
      </c>
      <c r="G681" t="s">
        <v>84</v>
      </c>
      <c r="H681" t="str">
        <f>VLOOKUP(B681,[2]Kreise!$A$2:$C$53,3,FALSE)</f>
        <v>K03151</v>
      </c>
      <c r="I681">
        <f>'2020_5-2-2_Download'!AG13</f>
        <v>1464</v>
      </c>
    </row>
    <row r="682" spans="2:9">
      <c r="B682">
        <f>'2020_5-2-2_Download'!B14</f>
        <v>153</v>
      </c>
      <c r="C682">
        <f>'2020_5-2-2_Download'!$AF$5</f>
        <v>2016</v>
      </c>
      <c r="D682" t="str">
        <f>VLOOKUP(B682,[1]Tabelle1!$A$1:$B$68,2,FALSE)</f>
        <v>Goslar</v>
      </c>
      <c r="E682" t="str">
        <f>'2020_5-2-2_Download'!$AG$7</f>
        <v>Männer</v>
      </c>
      <c r="G682" t="s">
        <v>84</v>
      </c>
      <c r="H682" t="str">
        <f>VLOOKUP(B682,[2]Kreise!$A$2:$C$53,3,FALSE)</f>
        <v>K03153</v>
      </c>
      <c r="I682">
        <f>'2020_5-2-2_Download'!AG14</f>
        <v>1379</v>
      </c>
    </row>
    <row r="683" spans="2:9">
      <c r="B683">
        <f>'2020_5-2-2_Download'!B15</f>
        <v>154</v>
      </c>
      <c r="C683">
        <f>'2020_5-2-2_Download'!$AF$5</f>
        <v>2016</v>
      </c>
      <c r="D683" t="str">
        <f>VLOOKUP(B683,[1]Tabelle1!$A$1:$B$68,2,FALSE)</f>
        <v>Helmstedt</v>
      </c>
      <c r="E683" t="str">
        <f>'2020_5-2-2_Download'!$AG$7</f>
        <v>Männer</v>
      </c>
      <c r="G683" t="s">
        <v>84</v>
      </c>
      <c r="H683" t="str">
        <f>VLOOKUP(B683,[2]Kreise!$A$2:$C$53,3,FALSE)</f>
        <v>K03154</v>
      </c>
      <c r="I683">
        <f>'2020_5-2-2_Download'!AG15</f>
        <v>509</v>
      </c>
    </row>
    <row r="684" spans="2:9">
      <c r="B684">
        <f>'2020_5-2-2_Download'!B16</f>
        <v>155</v>
      </c>
      <c r="C684">
        <f>'2020_5-2-2_Download'!$AF$5</f>
        <v>2016</v>
      </c>
      <c r="D684" t="str">
        <f>VLOOKUP(B684,[1]Tabelle1!$A$1:$B$68,2,FALSE)</f>
        <v>Northeim</v>
      </c>
      <c r="E684" t="str">
        <f>'2020_5-2-2_Download'!$AG$7</f>
        <v>Männer</v>
      </c>
      <c r="G684" t="s">
        <v>84</v>
      </c>
      <c r="H684" t="str">
        <f>VLOOKUP(B684,[2]Kreise!$A$2:$C$53,3,FALSE)</f>
        <v>K03155</v>
      </c>
      <c r="I684">
        <f>'2020_5-2-2_Download'!AG16</f>
        <v>1841</v>
      </c>
    </row>
    <row r="685" spans="2:9">
      <c r="B685">
        <f>'2020_5-2-2_Download'!B17</f>
        <v>157</v>
      </c>
      <c r="C685">
        <f>'2020_5-2-2_Download'!$AF$5</f>
        <v>2016</v>
      </c>
      <c r="D685" t="str">
        <f>VLOOKUP(B685,[1]Tabelle1!$A$1:$B$68,2,FALSE)</f>
        <v>Peine</v>
      </c>
      <c r="E685" t="str">
        <f>'2020_5-2-2_Download'!$AG$7</f>
        <v>Männer</v>
      </c>
      <c r="G685" t="s">
        <v>84</v>
      </c>
      <c r="H685" t="str">
        <f>VLOOKUP(B685,[2]Kreise!$A$2:$C$53,3,FALSE)</f>
        <v>K03157</v>
      </c>
      <c r="I685">
        <f>'2020_5-2-2_Download'!AG17</f>
        <v>1350</v>
      </c>
    </row>
    <row r="686" spans="2:9">
      <c r="B686">
        <f>'2020_5-2-2_Download'!B18</f>
        <v>158</v>
      </c>
      <c r="C686">
        <f>'2020_5-2-2_Download'!$AF$5</f>
        <v>2016</v>
      </c>
      <c r="D686" t="str">
        <f>VLOOKUP(B686,[1]Tabelle1!$A$1:$B$68,2,FALSE)</f>
        <v>Wolfenbüttel</v>
      </c>
      <c r="E686" t="str">
        <f>'2020_5-2-2_Download'!$AG$7</f>
        <v>Männer</v>
      </c>
      <c r="G686" t="s">
        <v>84</v>
      </c>
      <c r="H686" t="str">
        <f>VLOOKUP(B686,[2]Kreise!$A$2:$C$53,3,FALSE)</f>
        <v>K03158</v>
      </c>
      <c r="I686">
        <f>'2020_5-2-2_Download'!AG18</f>
        <v>635</v>
      </c>
    </row>
    <row r="687" spans="2:9">
      <c r="B687">
        <f>'2020_5-2-2_Download'!B19</f>
        <v>159</v>
      </c>
      <c r="C687">
        <f>'2020_5-2-2_Download'!$AF$5</f>
        <v>2016</v>
      </c>
      <c r="D687" t="str">
        <f>VLOOKUP(B687,[1]Tabelle1!$A$1:$B$68,2,FALSE)</f>
        <v>Göttingen</v>
      </c>
      <c r="E687" t="str">
        <f>'2020_5-2-2_Download'!$AG$7</f>
        <v>Männer</v>
      </c>
      <c r="G687" t="s">
        <v>84</v>
      </c>
      <c r="H687" t="str">
        <f>VLOOKUP(B687,[2]Kreise!$A$2:$C$53,3,FALSE)</f>
        <v>K03159</v>
      </c>
      <c r="I687">
        <f>'2020_5-2-2_Download'!AG19</f>
        <v>4274</v>
      </c>
    </row>
    <row r="688" spans="2:9">
      <c r="B688">
        <f>'2020_5-2-2_Download'!B20</f>
        <v>1</v>
      </c>
      <c r="C688">
        <f>'2020_5-2-2_Download'!$AF$5</f>
        <v>2016</v>
      </c>
      <c r="D688" t="str">
        <f>VLOOKUP(B688,[1]Tabelle1!$A$1:$B$68,2,FALSE)</f>
        <v>Stat. Region Braunschweig</v>
      </c>
      <c r="E688" t="str">
        <f>'2020_5-2-2_Download'!$AG$7</f>
        <v>Männer</v>
      </c>
      <c r="G688" t="s">
        <v>84</v>
      </c>
      <c r="H688" t="str">
        <f>VLOOKUP(B688,[2]Kreise!$A$2:$C$53,3,FALSE)</f>
        <v>K031</v>
      </c>
      <c r="I688">
        <f>'2020_5-2-2_Download'!AG20</f>
        <v>25064</v>
      </c>
    </row>
    <row r="689" spans="2:9">
      <c r="B689">
        <f>'2020_5-2-2_Download'!B21</f>
        <v>241</v>
      </c>
      <c r="C689">
        <f>'2020_5-2-2_Download'!$AF$5</f>
        <v>2016</v>
      </c>
      <c r="D689" t="str">
        <f>VLOOKUP(B689,[1]Tabelle1!$A$1:$B$68,2,FALSE)</f>
        <v>Hannover  Region</v>
      </c>
      <c r="E689" t="str">
        <f>'2020_5-2-2_Download'!$AG$7</f>
        <v>Männer</v>
      </c>
      <c r="G689" t="s">
        <v>84</v>
      </c>
      <c r="H689" t="str">
        <f>VLOOKUP(B689,[2]Kreise!$A$2:$C$53,3,FALSE)</f>
        <v>K03241</v>
      </c>
      <c r="I689">
        <f>'2020_5-2-2_Download'!AG21</f>
        <v>28379</v>
      </c>
    </row>
    <row r="690" spans="2:9">
      <c r="B690">
        <f>'2020_5-2-2_Download'!B22</f>
        <v>241001</v>
      </c>
      <c r="C690">
        <f>'2020_5-2-2_Download'!$AF$5</f>
        <v>2016</v>
      </c>
      <c r="D690" t="str">
        <f>VLOOKUP(B690,[1]Tabelle1!$A$1:$B$68,2,FALSE)</f>
        <v>dav. Hannover  Lhst.</v>
      </c>
      <c r="E690" t="str">
        <f>'2020_5-2-2_Download'!$AG$7</f>
        <v>Männer</v>
      </c>
      <c r="G690" t="s">
        <v>84</v>
      </c>
      <c r="H690" t="str">
        <f>VLOOKUP(B690,[2]Kreise!$A$2:$C$53,3,FALSE)</f>
        <v>K03241001</v>
      </c>
      <c r="I690">
        <f>'2020_5-2-2_Download'!AG22</f>
        <v>18178</v>
      </c>
    </row>
    <row r="691" spans="2:9">
      <c r="B691">
        <f>'2020_5-2-2_Download'!B23</f>
        <v>241999</v>
      </c>
      <c r="C691">
        <f>'2020_5-2-2_Download'!$AF$5</f>
        <v>2016</v>
      </c>
      <c r="D691" t="str">
        <f>VLOOKUP(B691,[1]Tabelle1!$A$1:$B$68,2,FALSE)</f>
        <v>dav. Hannover  Umland</v>
      </c>
      <c r="E691" t="str">
        <f>'2020_5-2-2_Download'!$AG$7</f>
        <v>Männer</v>
      </c>
      <c r="G691" t="s">
        <v>84</v>
      </c>
      <c r="H691" t="str">
        <f>VLOOKUP(B691,[2]Kreise!$A$2:$C$53,3,FALSE)</f>
        <v>K03241999</v>
      </c>
      <c r="I691">
        <f>'2020_5-2-2_Download'!AG23</f>
        <v>10201</v>
      </c>
    </row>
    <row r="692" spans="2:9">
      <c r="B692">
        <f>'2020_5-2-2_Download'!B24</f>
        <v>251</v>
      </c>
      <c r="C692">
        <f>'2020_5-2-2_Download'!$AF$5</f>
        <v>2016</v>
      </c>
      <c r="D692" t="str">
        <f>VLOOKUP(B692,[1]Tabelle1!$A$1:$B$68,2,FALSE)</f>
        <v>Diepholz</v>
      </c>
      <c r="E692" t="str">
        <f>'2020_5-2-2_Download'!$AG$7</f>
        <v>Männer</v>
      </c>
      <c r="G692" t="s">
        <v>84</v>
      </c>
      <c r="H692" t="str">
        <f>VLOOKUP(B692,[2]Kreise!$A$2:$C$53,3,FALSE)</f>
        <v>K03251</v>
      </c>
      <c r="I692">
        <f>'2020_5-2-2_Download'!AG24</f>
        <v>2806</v>
      </c>
    </row>
    <row r="693" spans="2:9">
      <c r="B693">
        <f>'2020_5-2-2_Download'!B25</f>
        <v>252</v>
      </c>
      <c r="C693">
        <f>'2020_5-2-2_Download'!$AF$5</f>
        <v>2016</v>
      </c>
      <c r="D693" t="str">
        <f>VLOOKUP(B693,[1]Tabelle1!$A$1:$B$68,2,FALSE)</f>
        <v>Hameln-Pyrmont</v>
      </c>
      <c r="E693" t="str">
        <f>'2020_5-2-2_Download'!$AG$7</f>
        <v>Männer</v>
      </c>
      <c r="G693" t="s">
        <v>84</v>
      </c>
      <c r="H693" t="str">
        <f>VLOOKUP(B693,[2]Kreise!$A$2:$C$53,3,FALSE)</f>
        <v>K03252</v>
      </c>
      <c r="I693">
        <f>'2020_5-2-2_Download'!AG25</f>
        <v>1793</v>
      </c>
    </row>
    <row r="694" spans="2:9">
      <c r="B694">
        <f>'2020_5-2-2_Download'!B26</f>
        <v>254</v>
      </c>
      <c r="C694">
        <f>'2020_5-2-2_Download'!$AF$5</f>
        <v>2016</v>
      </c>
      <c r="D694" t="str">
        <f>VLOOKUP(B694,[1]Tabelle1!$A$1:$B$68,2,FALSE)</f>
        <v>Hildesheim</v>
      </c>
      <c r="E694" t="str">
        <f>'2020_5-2-2_Download'!$AG$7</f>
        <v>Männer</v>
      </c>
      <c r="G694" t="s">
        <v>84</v>
      </c>
      <c r="H694" t="str">
        <f>VLOOKUP(B694,[2]Kreise!$A$2:$C$53,3,FALSE)</f>
        <v>K03254</v>
      </c>
      <c r="I694">
        <f>'2020_5-2-2_Download'!AG26</f>
        <v>2817</v>
      </c>
    </row>
    <row r="695" spans="2:9">
      <c r="B695">
        <f>'2020_5-2-2_Download'!B27</f>
        <v>255</v>
      </c>
      <c r="C695">
        <f>'2020_5-2-2_Download'!$AF$5</f>
        <v>2016</v>
      </c>
      <c r="D695" t="str">
        <f>VLOOKUP(B695,[1]Tabelle1!$A$1:$B$68,2,FALSE)</f>
        <v>Holzminden</v>
      </c>
      <c r="E695" t="str">
        <f>'2020_5-2-2_Download'!$AG$7</f>
        <v>Männer</v>
      </c>
      <c r="G695" t="s">
        <v>84</v>
      </c>
      <c r="H695" t="str">
        <f>VLOOKUP(B695,[2]Kreise!$A$2:$C$53,3,FALSE)</f>
        <v>K03255</v>
      </c>
      <c r="I695">
        <f>'2020_5-2-2_Download'!AG27</f>
        <v>637</v>
      </c>
    </row>
    <row r="696" spans="2:9">
      <c r="B696">
        <f>'2020_5-2-2_Download'!B28</f>
        <v>256</v>
      </c>
      <c r="C696">
        <f>'2020_5-2-2_Download'!$AF$5</f>
        <v>2016</v>
      </c>
      <c r="D696" t="str">
        <f>VLOOKUP(B696,[1]Tabelle1!$A$1:$B$68,2,FALSE)</f>
        <v>Nienburg (Weser)</v>
      </c>
      <c r="E696" t="str">
        <f>'2020_5-2-2_Download'!$AG$7</f>
        <v>Männer</v>
      </c>
      <c r="G696" t="s">
        <v>84</v>
      </c>
      <c r="H696" t="str">
        <f>VLOOKUP(B696,[2]Kreise!$A$2:$C$53,3,FALSE)</f>
        <v>K03256</v>
      </c>
      <c r="I696">
        <f>'2020_5-2-2_Download'!AG28</f>
        <v>1701</v>
      </c>
    </row>
    <row r="697" spans="2:9">
      <c r="B697">
        <f>'2020_5-2-2_Download'!B29</f>
        <v>257</v>
      </c>
      <c r="C697">
        <f>'2020_5-2-2_Download'!$AF$5</f>
        <v>2016</v>
      </c>
      <c r="D697" t="str">
        <f>VLOOKUP(B697,[1]Tabelle1!$A$1:$B$68,2,FALSE)</f>
        <v>Schaumburg</v>
      </c>
      <c r="E697" t="str">
        <f>'2020_5-2-2_Download'!$AG$7</f>
        <v>Männer</v>
      </c>
      <c r="G697" t="s">
        <v>84</v>
      </c>
      <c r="H697" t="str">
        <f>VLOOKUP(B697,[2]Kreise!$A$2:$C$53,3,FALSE)</f>
        <v>K03257</v>
      </c>
      <c r="I697">
        <f>'2020_5-2-2_Download'!AG29</f>
        <v>1720</v>
      </c>
    </row>
    <row r="698" spans="2:9">
      <c r="B698">
        <f>'2020_5-2-2_Download'!B30</f>
        <v>2</v>
      </c>
      <c r="C698">
        <f>'2020_5-2-2_Download'!$AF$5</f>
        <v>2016</v>
      </c>
      <c r="D698" t="str">
        <f>VLOOKUP(B698,[1]Tabelle1!$A$1:$B$68,2,FALSE)</f>
        <v>Stat. Region Hannover</v>
      </c>
      <c r="E698" t="str">
        <f>'2020_5-2-2_Download'!$AG$7</f>
        <v>Männer</v>
      </c>
      <c r="G698" t="s">
        <v>84</v>
      </c>
      <c r="H698" t="str">
        <f>VLOOKUP(B698,[2]Kreise!$A$2:$C$53,3,FALSE)</f>
        <v>K032</v>
      </c>
      <c r="I698">
        <f>'2020_5-2-2_Download'!AG30</f>
        <v>39853</v>
      </c>
    </row>
    <row r="699" spans="2:9">
      <c r="B699">
        <f>'2020_5-2-2_Download'!B31</f>
        <v>351</v>
      </c>
      <c r="C699">
        <f>'2020_5-2-2_Download'!$AF$5</f>
        <v>2016</v>
      </c>
      <c r="D699" t="str">
        <f>VLOOKUP(B699,[1]Tabelle1!$A$1:$B$68,2,FALSE)</f>
        <v>Celle</v>
      </c>
      <c r="E699" t="str">
        <f>'2020_5-2-2_Download'!$AG$7</f>
        <v>Männer</v>
      </c>
      <c r="G699" t="s">
        <v>84</v>
      </c>
      <c r="H699" t="str">
        <f>VLOOKUP(B699,[2]Kreise!$A$2:$C$53,3,FALSE)</f>
        <v>K03351</v>
      </c>
      <c r="I699">
        <f>'2020_5-2-2_Download'!AG31</f>
        <v>1734</v>
      </c>
    </row>
    <row r="700" spans="2:9">
      <c r="B700">
        <f>'2020_5-2-2_Download'!B32</f>
        <v>352</v>
      </c>
      <c r="C700">
        <f>'2020_5-2-2_Download'!$AF$5</f>
        <v>2016</v>
      </c>
      <c r="D700" t="str">
        <f>VLOOKUP(B700,[1]Tabelle1!$A$1:$B$68,2,FALSE)</f>
        <v>Cuxhaven</v>
      </c>
      <c r="E700" t="str">
        <f>'2020_5-2-2_Download'!$AG$7</f>
        <v>Männer</v>
      </c>
      <c r="G700" t="s">
        <v>84</v>
      </c>
      <c r="H700" t="str">
        <f>VLOOKUP(B700,[2]Kreise!$A$2:$C$53,3,FALSE)</f>
        <v>K03352</v>
      </c>
      <c r="I700">
        <f>'2020_5-2-2_Download'!AG32</f>
        <v>2178</v>
      </c>
    </row>
    <row r="701" spans="2:9">
      <c r="B701">
        <f>'2020_5-2-2_Download'!B33</f>
        <v>353</v>
      </c>
      <c r="C701">
        <f>'2020_5-2-2_Download'!$AF$5</f>
        <v>2016</v>
      </c>
      <c r="D701" t="str">
        <f>VLOOKUP(B701,[1]Tabelle1!$A$1:$B$68,2,FALSE)</f>
        <v>Harburg</v>
      </c>
      <c r="E701" t="str">
        <f>'2020_5-2-2_Download'!$AG$7</f>
        <v>Männer</v>
      </c>
      <c r="G701" t="s">
        <v>84</v>
      </c>
      <c r="H701" t="str">
        <f>VLOOKUP(B701,[2]Kreise!$A$2:$C$53,3,FALSE)</f>
        <v>K03353</v>
      </c>
      <c r="I701">
        <f>'2020_5-2-2_Download'!AG33</f>
        <v>3666</v>
      </c>
    </row>
    <row r="702" spans="2:9">
      <c r="B702">
        <f>'2020_5-2-2_Download'!B34</f>
        <v>354</v>
      </c>
      <c r="C702">
        <f>'2020_5-2-2_Download'!$AF$5</f>
        <v>2016</v>
      </c>
      <c r="D702" t="str">
        <f>VLOOKUP(B702,[1]Tabelle1!$A$1:$B$68,2,FALSE)</f>
        <v>Lüchow-Dannenberg</v>
      </c>
      <c r="E702" t="str">
        <f>'2020_5-2-2_Download'!$AG$7</f>
        <v>Männer</v>
      </c>
      <c r="G702" t="s">
        <v>84</v>
      </c>
      <c r="H702" t="str">
        <f>VLOOKUP(B702,[2]Kreise!$A$2:$C$53,3,FALSE)</f>
        <v>K03354</v>
      </c>
      <c r="I702">
        <f>'2020_5-2-2_Download'!AG34</f>
        <v>282</v>
      </c>
    </row>
    <row r="703" spans="2:9">
      <c r="B703">
        <f>'2020_5-2-2_Download'!B35</f>
        <v>355</v>
      </c>
      <c r="C703">
        <f>'2020_5-2-2_Download'!$AF$5</f>
        <v>2016</v>
      </c>
      <c r="D703" t="str">
        <f>VLOOKUP(B703,[1]Tabelle1!$A$1:$B$68,2,FALSE)</f>
        <v>Lüneburg</v>
      </c>
      <c r="E703" t="str">
        <f>'2020_5-2-2_Download'!$AG$7</f>
        <v>Männer</v>
      </c>
      <c r="G703" t="s">
        <v>84</v>
      </c>
      <c r="H703" t="str">
        <f>VLOOKUP(B703,[2]Kreise!$A$2:$C$53,3,FALSE)</f>
        <v>K03355</v>
      </c>
      <c r="I703">
        <f>'2020_5-2-2_Download'!AG35</f>
        <v>1676</v>
      </c>
    </row>
    <row r="704" spans="2:9">
      <c r="B704">
        <f>'2020_5-2-2_Download'!B36</f>
        <v>356</v>
      </c>
      <c r="C704">
        <f>'2020_5-2-2_Download'!$AF$5</f>
        <v>2016</v>
      </c>
      <c r="D704" t="str">
        <f>VLOOKUP(B704,[1]Tabelle1!$A$1:$B$68,2,FALSE)</f>
        <v>Osterholz</v>
      </c>
      <c r="E704" t="str">
        <f>'2020_5-2-2_Download'!$AG$7</f>
        <v>Männer</v>
      </c>
      <c r="G704" t="s">
        <v>84</v>
      </c>
      <c r="H704" t="str">
        <f>VLOOKUP(B704,[2]Kreise!$A$2:$C$53,3,FALSE)</f>
        <v>K03356</v>
      </c>
      <c r="I704">
        <f>'2020_5-2-2_Download'!AG36</f>
        <v>905</v>
      </c>
    </row>
    <row r="705" spans="2:9">
      <c r="B705">
        <f>'2020_5-2-2_Download'!B37</f>
        <v>357</v>
      </c>
      <c r="C705">
        <f>'2020_5-2-2_Download'!$AF$5</f>
        <v>2016</v>
      </c>
      <c r="D705" t="str">
        <f>VLOOKUP(B705,[1]Tabelle1!$A$1:$B$68,2,FALSE)</f>
        <v>Rotenburg (Wümme)</v>
      </c>
      <c r="E705" t="str">
        <f>'2020_5-2-2_Download'!$AG$7</f>
        <v>Männer</v>
      </c>
      <c r="G705" t="s">
        <v>84</v>
      </c>
      <c r="H705" t="str">
        <f>VLOOKUP(B705,[2]Kreise!$A$2:$C$53,3,FALSE)</f>
        <v>K03357</v>
      </c>
      <c r="I705">
        <f>'2020_5-2-2_Download'!AG37</f>
        <v>1975</v>
      </c>
    </row>
    <row r="706" spans="2:9">
      <c r="B706">
        <f>'2020_5-2-2_Download'!B38</f>
        <v>358</v>
      </c>
      <c r="C706">
        <f>'2020_5-2-2_Download'!$AF$5</f>
        <v>2016</v>
      </c>
      <c r="D706" t="str">
        <f>VLOOKUP(B706,[1]Tabelle1!$A$1:$B$68,2,FALSE)</f>
        <v>Heidekreis</v>
      </c>
      <c r="E706" t="str">
        <f>'2020_5-2-2_Download'!$AG$7</f>
        <v>Männer</v>
      </c>
      <c r="G706" t="s">
        <v>84</v>
      </c>
      <c r="H706" t="str">
        <f>VLOOKUP(B706,[2]Kreise!$A$2:$C$53,3,FALSE)</f>
        <v>K03358</v>
      </c>
      <c r="I706">
        <f>'2020_5-2-2_Download'!AG38</f>
        <v>1854</v>
      </c>
    </row>
    <row r="707" spans="2:9">
      <c r="B707">
        <f>'2020_5-2-2_Download'!B39</f>
        <v>359</v>
      </c>
      <c r="C707">
        <f>'2020_5-2-2_Download'!$AF$5</f>
        <v>2016</v>
      </c>
      <c r="D707" t="str">
        <f>VLOOKUP(B707,[1]Tabelle1!$A$1:$B$68,2,FALSE)</f>
        <v>Stade</v>
      </c>
      <c r="E707" t="str">
        <f>'2020_5-2-2_Download'!$AG$7</f>
        <v>Männer</v>
      </c>
      <c r="G707" t="s">
        <v>84</v>
      </c>
      <c r="H707" t="str">
        <f>VLOOKUP(B707,[2]Kreise!$A$2:$C$53,3,FALSE)</f>
        <v>K03359</v>
      </c>
      <c r="I707">
        <f>'2020_5-2-2_Download'!AG39</f>
        <v>3253</v>
      </c>
    </row>
    <row r="708" spans="2:9">
      <c r="B708">
        <f>'2020_5-2-2_Download'!B40</f>
        <v>360</v>
      </c>
      <c r="C708">
        <f>'2020_5-2-2_Download'!$AF$5</f>
        <v>2016</v>
      </c>
      <c r="D708" t="str">
        <f>VLOOKUP(B708,[1]Tabelle1!$A$1:$B$68,2,FALSE)</f>
        <v>Uelzen</v>
      </c>
      <c r="E708" t="str">
        <f>'2020_5-2-2_Download'!$AG$7</f>
        <v>Männer</v>
      </c>
      <c r="G708" t="s">
        <v>84</v>
      </c>
      <c r="H708" t="str">
        <f>VLOOKUP(B708,[2]Kreise!$A$2:$C$53,3,FALSE)</f>
        <v>K03360</v>
      </c>
      <c r="I708">
        <f>'2020_5-2-2_Download'!AG40</f>
        <v>660</v>
      </c>
    </row>
    <row r="709" spans="2:9">
      <c r="B709">
        <f>'2020_5-2-2_Download'!B41</f>
        <v>361</v>
      </c>
      <c r="C709">
        <f>'2020_5-2-2_Download'!$AF$5</f>
        <v>2016</v>
      </c>
      <c r="D709" t="str">
        <f>VLOOKUP(B709,[1]Tabelle1!$A$1:$B$68,2,FALSE)</f>
        <v>Verden</v>
      </c>
      <c r="E709" t="str">
        <f>'2020_5-2-2_Download'!$AG$7</f>
        <v>Männer</v>
      </c>
      <c r="G709" t="s">
        <v>84</v>
      </c>
      <c r="H709" t="str">
        <f>VLOOKUP(B709,[2]Kreise!$A$2:$C$53,3,FALSE)</f>
        <v>K03361</v>
      </c>
      <c r="I709">
        <f>'2020_5-2-2_Download'!AG41</f>
        <v>2209</v>
      </c>
    </row>
    <row r="710" spans="2:9">
      <c r="B710">
        <f>'2020_5-2-2_Download'!B42</f>
        <v>3</v>
      </c>
      <c r="C710">
        <f>'2020_5-2-2_Download'!$AF$5</f>
        <v>2016</v>
      </c>
      <c r="D710" t="str">
        <f>VLOOKUP(B710,[1]Tabelle1!$A$1:$B$68,2,FALSE)</f>
        <v>Stat. Region Lüneburg</v>
      </c>
      <c r="E710" t="str">
        <f>'2020_5-2-2_Download'!$AG$7</f>
        <v>Männer</v>
      </c>
      <c r="G710" t="s">
        <v>84</v>
      </c>
      <c r="H710" t="str">
        <f>VLOOKUP(B710,[2]Kreise!$A$2:$C$53,3,FALSE)</f>
        <v>K033</v>
      </c>
      <c r="I710">
        <f>'2020_5-2-2_Download'!AG42</f>
        <v>20392</v>
      </c>
    </row>
    <row r="711" spans="2:9">
      <c r="B711">
        <f>'2020_5-2-2_Download'!B43</f>
        <v>401</v>
      </c>
      <c r="C711">
        <f>'2020_5-2-2_Download'!$AF$5</f>
        <v>2016</v>
      </c>
      <c r="D711" t="str">
        <f>VLOOKUP(B711,[1]Tabelle1!$A$1:$B$68,2,FALSE)</f>
        <v>Delmenhorst  Stadt</v>
      </c>
      <c r="E711" t="str">
        <f>'2020_5-2-2_Download'!$AG$7</f>
        <v>Männer</v>
      </c>
      <c r="G711" t="s">
        <v>84</v>
      </c>
      <c r="H711" t="str">
        <f>VLOOKUP(B711,[2]Kreise!$A$2:$C$53,3,FALSE)</f>
        <v>K03401</v>
      </c>
      <c r="I711">
        <f>'2020_5-2-2_Download'!AG43</f>
        <v>754</v>
      </c>
    </row>
    <row r="712" spans="2:9">
      <c r="B712">
        <f>'2020_5-2-2_Download'!B44</f>
        <v>402</v>
      </c>
      <c r="C712">
        <f>'2020_5-2-2_Download'!$AF$5</f>
        <v>2016</v>
      </c>
      <c r="D712" t="str">
        <f>VLOOKUP(B712,[1]Tabelle1!$A$1:$B$68,2,FALSE)</f>
        <v>Emden  Stadt</v>
      </c>
      <c r="E712" t="str">
        <f>'2020_5-2-2_Download'!$AG$7</f>
        <v>Männer</v>
      </c>
      <c r="G712" t="s">
        <v>84</v>
      </c>
      <c r="H712" t="str">
        <f>VLOOKUP(B712,[2]Kreise!$A$2:$C$53,3,FALSE)</f>
        <v>K03402</v>
      </c>
      <c r="I712">
        <f>'2020_5-2-2_Download'!AG44</f>
        <v>1127</v>
      </c>
    </row>
    <row r="713" spans="2:9">
      <c r="B713">
        <f>'2020_5-2-2_Download'!B45</f>
        <v>403</v>
      </c>
      <c r="C713">
        <f>'2020_5-2-2_Download'!$AF$5</f>
        <v>2016</v>
      </c>
      <c r="D713" t="str">
        <f>VLOOKUP(B713,[1]Tabelle1!$A$1:$B$68,2,FALSE)</f>
        <v>Oldenburg(Oldb)  Stadt</v>
      </c>
      <c r="E713" t="str">
        <f>'2020_5-2-2_Download'!$AG$7</f>
        <v>Männer</v>
      </c>
      <c r="G713" t="s">
        <v>84</v>
      </c>
      <c r="H713" t="str">
        <f>VLOOKUP(B713,[2]Kreise!$A$2:$C$53,3,FALSE)</f>
        <v>K03403</v>
      </c>
      <c r="I713">
        <f>'2020_5-2-2_Download'!AG45</f>
        <v>2298</v>
      </c>
    </row>
    <row r="714" spans="2:9">
      <c r="B714">
        <f>'2020_5-2-2_Download'!B46</f>
        <v>404</v>
      </c>
      <c r="C714">
        <f>'2020_5-2-2_Download'!$AF$5</f>
        <v>2016</v>
      </c>
      <c r="D714" t="str">
        <f>VLOOKUP(B714,[1]Tabelle1!$A$1:$B$68,2,FALSE)</f>
        <v>Osnabrück  Stadt</v>
      </c>
      <c r="E714" t="str">
        <f>'2020_5-2-2_Download'!$AG$7</f>
        <v>Männer</v>
      </c>
      <c r="G714" t="s">
        <v>84</v>
      </c>
      <c r="H714" t="str">
        <f>VLOOKUP(B714,[2]Kreise!$A$2:$C$53,3,FALSE)</f>
        <v>K03404</v>
      </c>
      <c r="I714">
        <f>'2020_5-2-2_Download'!AG46</f>
        <v>3581</v>
      </c>
    </row>
    <row r="715" spans="2:9">
      <c r="B715">
        <f>'2020_5-2-2_Download'!B47</f>
        <v>405</v>
      </c>
      <c r="C715">
        <f>'2020_5-2-2_Download'!$AF$5</f>
        <v>2016</v>
      </c>
      <c r="D715" t="str">
        <f>VLOOKUP(B715,[1]Tabelle1!$A$1:$B$68,2,FALSE)</f>
        <v>Wilhelmshaven  Stadt</v>
      </c>
      <c r="E715" t="str">
        <f>'2020_5-2-2_Download'!$AG$7</f>
        <v>Männer</v>
      </c>
      <c r="G715" t="s">
        <v>84</v>
      </c>
      <c r="H715" t="str">
        <f>VLOOKUP(B715,[2]Kreise!$A$2:$C$53,3,FALSE)</f>
        <v>K03405</v>
      </c>
      <c r="I715">
        <f>'2020_5-2-2_Download'!AG47</f>
        <v>808</v>
      </c>
    </row>
    <row r="716" spans="2:9">
      <c r="B716">
        <f>'2020_5-2-2_Download'!B48</f>
        <v>451</v>
      </c>
      <c r="C716">
        <f>'2020_5-2-2_Download'!$AF$5</f>
        <v>2016</v>
      </c>
      <c r="D716" t="str">
        <f>VLOOKUP(B716,[1]Tabelle1!$A$1:$B$68,2,FALSE)</f>
        <v>Ammerland</v>
      </c>
      <c r="E716" t="str">
        <f>'2020_5-2-2_Download'!$AG$7</f>
        <v>Männer</v>
      </c>
      <c r="G716" t="s">
        <v>84</v>
      </c>
      <c r="H716" t="str">
        <f>VLOOKUP(B716,[2]Kreise!$A$2:$C$53,3,FALSE)</f>
        <v>K03451</v>
      </c>
      <c r="I716">
        <f>'2020_5-2-2_Download'!AG48</f>
        <v>1962</v>
      </c>
    </row>
    <row r="717" spans="2:9">
      <c r="B717">
        <f>'2020_5-2-2_Download'!B49</f>
        <v>452</v>
      </c>
      <c r="C717">
        <f>'2020_5-2-2_Download'!$AF$5</f>
        <v>2016</v>
      </c>
      <c r="D717" t="str">
        <f>VLOOKUP(B717,[1]Tabelle1!$A$1:$B$68,2,FALSE)</f>
        <v>Aurich</v>
      </c>
      <c r="E717" t="str">
        <f>'2020_5-2-2_Download'!$AG$7</f>
        <v>Männer</v>
      </c>
      <c r="G717" t="s">
        <v>84</v>
      </c>
      <c r="H717" t="str">
        <f>VLOOKUP(B717,[2]Kreise!$A$2:$C$53,3,FALSE)</f>
        <v>K03452</v>
      </c>
      <c r="I717">
        <f>'2020_5-2-2_Download'!AG49</f>
        <v>2094</v>
      </c>
    </row>
    <row r="718" spans="2:9">
      <c r="B718">
        <f>'2020_5-2-2_Download'!B50</f>
        <v>453</v>
      </c>
      <c r="C718">
        <f>'2020_5-2-2_Download'!$AF$5</f>
        <v>2016</v>
      </c>
      <c r="D718" t="str">
        <f>VLOOKUP(B718,[1]Tabelle1!$A$1:$B$68,2,FALSE)</f>
        <v>Cloppenburg</v>
      </c>
      <c r="E718" t="str">
        <f>'2020_5-2-2_Download'!$AG$7</f>
        <v>Männer</v>
      </c>
      <c r="G718" t="s">
        <v>84</v>
      </c>
      <c r="H718" t="str">
        <f>VLOOKUP(B718,[2]Kreise!$A$2:$C$53,3,FALSE)</f>
        <v>K03453</v>
      </c>
      <c r="I718">
        <f>'2020_5-2-2_Download'!AG50</f>
        <v>4327</v>
      </c>
    </row>
    <row r="719" spans="2:9">
      <c r="B719">
        <f>'2020_5-2-2_Download'!B51</f>
        <v>454</v>
      </c>
      <c r="C719">
        <f>'2020_5-2-2_Download'!$AF$5</f>
        <v>2016</v>
      </c>
      <c r="D719" t="str">
        <f>VLOOKUP(B719,[1]Tabelle1!$A$1:$B$68,2,FALSE)</f>
        <v>Emsland</v>
      </c>
      <c r="E719" t="str">
        <f>'2020_5-2-2_Download'!$AG$7</f>
        <v>Männer</v>
      </c>
      <c r="G719" t="s">
        <v>84</v>
      </c>
      <c r="H719" t="str">
        <f>VLOOKUP(B719,[2]Kreise!$A$2:$C$53,3,FALSE)</f>
        <v>K03454</v>
      </c>
      <c r="I719">
        <f>'2020_5-2-2_Download'!AG51</f>
        <v>6844</v>
      </c>
    </row>
    <row r="720" spans="2:9">
      <c r="B720">
        <f>'2020_5-2-2_Download'!B52</f>
        <v>455</v>
      </c>
      <c r="C720">
        <f>'2020_5-2-2_Download'!$AF$5</f>
        <v>2016</v>
      </c>
      <c r="D720" t="str">
        <f>VLOOKUP(B720,[1]Tabelle1!$A$1:$B$68,2,FALSE)</f>
        <v>Friesland</v>
      </c>
      <c r="E720" t="str">
        <f>'2020_5-2-2_Download'!$AG$7</f>
        <v>Männer</v>
      </c>
      <c r="G720" t="s">
        <v>84</v>
      </c>
      <c r="H720" t="str">
        <f>VLOOKUP(B720,[2]Kreise!$A$2:$C$53,3,FALSE)</f>
        <v>K03455</v>
      </c>
      <c r="I720">
        <f>'2020_5-2-2_Download'!AG52</f>
        <v>609</v>
      </c>
    </row>
    <row r="721" spans="2:9">
      <c r="B721">
        <f>'2020_5-2-2_Download'!B53</f>
        <v>456</v>
      </c>
      <c r="C721">
        <f>'2020_5-2-2_Download'!$AF$5</f>
        <v>2016</v>
      </c>
      <c r="D721" t="str">
        <f>VLOOKUP(B721,[1]Tabelle1!$A$1:$B$68,2,FALSE)</f>
        <v>Grafschaft Bentheim</v>
      </c>
      <c r="E721" t="str">
        <f>'2020_5-2-2_Download'!$AG$7</f>
        <v>Männer</v>
      </c>
      <c r="G721" t="s">
        <v>84</v>
      </c>
      <c r="H721" t="str">
        <f>VLOOKUP(B721,[2]Kreise!$A$2:$C$53,3,FALSE)</f>
        <v>K03456</v>
      </c>
      <c r="I721">
        <f>'2020_5-2-2_Download'!AG53</f>
        <v>2998</v>
      </c>
    </row>
    <row r="722" spans="2:9">
      <c r="B722">
        <f>'2020_5-2-2_Download'!B54</f>
        <v>457</v>
      </c>
      <c r="C722">
        <f>'2020_5-2-2_Download'!$AF$5</f>
        <v>2016</v>
      </c>
      <c r="D722" t="str">
        <f>VLOOKUP(B722,[1]Tabelle1!$A$1:$B$68,2,FALSE)</f>
        <v>Leer</v>
      </c>
      <c r="E722" t="str">
        <f>'2020_5-2-2_Download'!$AG$7</f>
        <v>Männer</v>
      </c>
      <c r="G722" t="s">
        <v>84</v>
      </c>
      <c r="H722" t="str">
        <f>VLOOKUP(B722,[2]Kreise!$A$2:$C$53,3,FALSE)</f>
        <v>K03457</v>
      </c>
      <c r="I722">
        <f>'2020_5-2-2_Download'!AG54</f>
        <v>1663</v>
      </c>
    </row>
    <row r="723" spans="2:9">
      <c r="B723">
        <f>'2020_5-2-2_Download'!B55</f>
        <v>458</v>
      </c>
      <c r="C723">
        <f>'2020_5-2-2_Download'!$AF$5</f>
        <v>2016</v>
      </c>
      <c r="D723" t="str">
        <f>VLOOKUP(B723,[1]Tabelle1!$A$1:$B$68,2,FALSE)</f>
        <v>Oldenburg</v>
      </c>
      <c r="E723" t="str">
        <f>'2020_5-2-2_Download'!$AG$7</f>
        <v>Männer</v>
      </c>
      <c r="G723" t="s">
        <v>84</v>
      </c>
      <c r="H723" t="str">
        <f>VLOOKUP(B723,[2]Kreise!$A$2:$C$53,3,FALSE)</f>
        <v>K03458</v>
      </c>
      <c r="I723">
        <f>'2020_5-2-2_Download'!AG55</f>
        <v>1656</v>
      </c>
    </row>
    <row r="724" spans="2:9">
      <c r="B724">
        <f>'2020_5-2-2_Download'!B56</f>
        <v>459</v>
      </c>
      <c r="C724">
        <f>'2020_5-2-2_Download'!$AF$5</f>
        <v>2016</v>
      </c>
      <c r="D724" t="str">
        <f>VLOOKUP(B724,[1]Tabelle1!$A$1:$B$68,2,FALSE)</f>
        <v>Osnabrück</v>
      </c>
      <c r="E724" t="str">
        <f>'2020_5-2-2_Download'!$AG$7</f>
        <v>Männer</v>
      </c>
      <c r="G724" t="s">
        <v>84</v>
      </c>
      <c r="H724" t="str">
        <f>VLOOKUP(B724,[2]Kreise!$A$2:$C$53,3,FALSE)</f>
        <v>K03459</v>
      </c>
      <c r="I724">
        <f>'2020_5-2-2_Download'!AG56</f>
        <v>8100</v>
      </c>
    </row>
    <row r="725" spans="2:9">
      <c r="B725">
        <f>'2020_5-2-2_Download'!B57</f>
        <v>460</v>
      </c>
      <c r="C725">
        <f>'2020_5-2-2_Download'!$AF$5</f>
        <v>2016</v>
      </c>
      <c r="D725" t="str">
        <f>VLOOKUP(B725,[1]Tabelle1!$A$1:$B$68,2,FALSE)</f>
        <v>Vechta</v>
      </c>
      <c r="E725" t="str">
        <f>'2020_5-2-2_Download'!$AG$7</f>
        <v>Männer</v>
      </c>
      <c r="G725" t="s">
        <v>84</v>
      </c>
      <c r="H725" t="str">
        <f>VLOOKUP(B725,[2]Kreise!$A$2:$C$53,3,FALSE)</f>
        <v>K03460</v>
      </c>
      <c r="I725">
        <f>'2020_5-2-2_Download'!AG57</f>
        <v>5481</v>
      </c>
    </row>
    <row r="726" spans="2:9">
      <c r="B726">
        <f>'2020_5-2-2_Download'!B58</f>
        <v>461</v>
      </c>
      <c r="C726">
        <f>'2020_5-2-2_Download'!$AF$5</f>
        <v>2016</v>
      </c>
      <c r="D726" t="str">
        <f>VLOOKUP(B726,[1]Tabelle1!$A$1:$B$68,2,FALSE)</f>
        <v>Wesermarsch</v>
      </c>
      <c r="E726" t="str">
        <f>'2020_5-2-2_Download'!$AG$7</f>
        <v>Männer</v>
      </c>
      <c r="G726" t="s">
        <v>84</v>
      </c>
      <c r="H726" t="str">
        <f>VLOOKUP(B726,[2]Kreise!$A$2:$C$53,3,FALSE)</f>
        <v>K03461</v>
      </c>
      <c r="I726">
        <f>'2020_5-2-2_Download'!AG58</f>
        <v>1511</v>
      </c>
    </row>
    <row r="727" spans="2:9">
      <c r="B727">
        <f>'2020_5-2-2_Download'!B59</f>
        <v>462</v>
      </c>
      <c r="C727">
        <f>'2020_5-2-2_Download'!$AF$5</f>
        <v>2016</v>
      </c>
      <c r="D727" t="str">
        <f>VLOOKUP(B727,[1]Tabelle1!$A$1:$B$68,2,FALSE)</f>
        <v>Wittmund</v>
      </c>
      <c r="E727" t="str">
        <f>'2020_5-2-2_Download'!$AG$7</f>
        <v>Männer</v>
      </c>
      <c r="G727" t="s">
        <v>84</v>
      </c>
      <c r="H727" t="str">
        <f>VLOOKUP(B727,[2]Kreise!$A$2:$C$53,3,FALSE)</f>
        <v>K03462</v>
      </c>
      <c r="I727">
        <f>'2020_5-2-2_Download'!AG59</f>
        <v>396</v>
      </c>
    </row>
    <row r="728" spans="2:9">
      <c r="B728">
        <f>'2020_5-2-2_Download'!B60</f>
        <v>4</v>
      </c>
      <c r="C728">
        <f>'2020_5-2-2_Download'!$AF$5</f>
        <v>2016</v>
      </c>
      <c r="D728" t="str">
        <f>VLOOKUP(B728,[1]Tabelle1!$A$1:$B$68,2,FALSE)</f>
        <v>Stat. Region Weser-Ems</v>
      </c>
      <c r="E728" t="str">
        <f>'2020_5-2-2_Download'!$AG$7</f>
        <v>Männer</v>
      </c>
      <c r="G728" t="s">
        <v>84</v>
      </c>
      <c r="H728" t="str">
        <f>VLOOKUP(B728,[2]Kreise!$A$2:$C$53,3,FALSE)</f>
        <v>K034</v>
      </c>
      <c r="I728">
        <f>'2020_5-2-2_Download'!AG60</f>
        <v>46209</v>
      </c>
    </row>
    <row r="729" spans="2:9">
      <c r="B729">
        <f>'2020_5-2-2_Download'!B61</f>
        <v>0</v>
      </c>
      <c r="C729">
        <f>'2020_5-2-2_Download'!$AF$5</f>
        <v>2016</v>
      </c>
      <c r="D729" t="str">
        <f>VLOOKUP(B729,[1]Tabelle1!$A$1:$B$68,2,FALSE)</f>
        <v>Niedersachsen</v>
      </c>
      <c r="E729" t="str">
        <f>'2020_5-2-2_Download'!$AG$7</f>
        <v>Männer</v>
      </c>
      <c r="G729" t="s">
        <v>84</v>
      </c>
      <c r="H729" t="str">
        <f>VLOOKUP(B729,[2]Kreise!$A$2:$C$53,3,FALSE)</f>
        <v>K030</v>
      </c>
      <c r="I729">
        <f>'2020_5-2-2_Download'!AG61</f>
        <v>131518</v>
      </c>
    </row>
    <row r="730" spans="2:9">
      <c r="B730">
        <f>'2020_5-2-2_Download'!B10</f>
        <v>101</v>
      </c>
      <c r="C730">
        <f>'2020_5-2-2_Download'!$AF$5</f>
        <v>2016</v>
      </c>
      <c r="D730" t="str">
        <f>VLOOKUP(B730,[1]Tabelle1!$A$1:$B$68,2,FALSE)</f>
        <v>Braunschweig  Stadt</v>
      </c>
      <c r="E730" t="str">
        <f>'2020_5-2-2_Download'!$AH$7</f>
        <v>Frauen</v>
      </c>
      <c r="G730" t="s">
        <v>84</v>
      </c>
      <c r="H730" t="str">
        <f>VLOOKUP(B730,[2]Kreise!$A$2:$C$53,3,FALSE)</f>
        <v>K03101</v>
      </c>
      <c r="I730">
        <f>'2020_5-2-2_Download'!AH10</f>
        <v>3280</v>
      </c>
    </row>
    <row r="731" spans="2:9">
      <c r="B731">
        <f>'2020_5-2-2_Download'!B11</f>
        <v>102</v>
      </c>
      <c r="C731">
        <f>'2020_5-2-2_Download'!$AF$5</f>
        <v>2016</v>
      </c>
      <c r="D731" t="str">
        <f>VLOOKUP(B731,[1]Tabelle1!$A$1:$B$68,2,FALSE)</f>
        <v>Salzgitter  Stadt</v>
      </c>
      <c r="E731" t="str">
        <f>'2020_5-2-2_Download'!$AH$7</f>
        <v>Frauen</v>
      </c>
      <c r="G731" t="s">
        <v>84</v>
      </c>
      <c r="H731" t="str">
        <f>VLOOKUP(B731,[2]Kreise!$A$2:$C$53,3,FALSE)</f>
        <v>K03102</v>
      </c>
      <c r="I731">
        <f>'2020_5-2-2_Download'!AH11</f>
        <v>772</v>
      </c>
    </row>
    <row r="732" spans="2:9">
      <c r="B732">
        <f>'2020_5-2-2_Download'!B12</f>
        <v>103</v>
      </c>
      <c r="C732">
        <f>'2020_5-2-2_Download'!$AF$5</f>
        <v>2016</v>
      </c>
      <c r="D732" t="str">
        <f>VLOOKUP(B732,[1]Tabelle1!$A$1:$B$68,2,FALSE)</f>
        <v>Wolfsburg  Stadt</v>
      </c>
      <c r="E732" t="str">
        <f>'2020_5-2-2_Download'!$AH$7</f>
        <v>Frauen</v>
      </c>
      <c r="G732" t="s">
        <v>84</v>
      </c>
      <c r="H732" t="str">
        <f>VLOOKUP(B732,[2]Kreise!$A$2:$C$53,3,FALSE)</f>
        <v>K03103</v>
      </c>
      <c r="I732">
        <f>'2020_5-2-2_Download'!AH12</f>
        <v>2627</v>
      </c>
    </row>
    <row r="733" spans="2:9">
      <c r="B733">
        <f>'2020_5-2-2_Download'!B13</f>
        <v>151</v>
      </c>
      <c r="C733">
        <f>'2020_5-2-2_Download'!$AF$5</f>
        <v>2016</v>
      </c>
      <c r="D733" t="str">
        <f>VLOOKUP(B733,[1]Tabelle1!$A$1:$B$68,2,FALSE)</f>
        <v>Gifhorn</v>
      </c>
      <c r="E733" t="str">
        <f>'2020_5-2-2_Download'!$AH$7</f>
        <v>Frauen</v>
      </c>
      <c r="G733" t="s">
        <v>84</v>
      </c>
      <c r="H733" t="str">
        <f>VLOOKUP(B733,[2]Kreise!$A$2:$C$53,3,FALSE)</f>
        <v>K03151</v>
      </c>
      <c r="I733">
        <f>'2020_5-2-2_Download'!AH13</f>
        <v>754</v>
      </c>
    </row>
    <row r="734" spans="2:9">
      <c r="B734">
        <f>'2020_5-2-2_Download'!B14</f>
        <v>153</v>
      </c>
      <c r="C734">
        <f>'2020_5-2-2_Download'!$AF$5</f>
        <v>2016</v>
      </c>
      <c r="D734" t="str">
        <f>VLOOKUP(B734,[1]Tabelle1!$A$1:$B$68,2,FALSE)</f>
        <v>Goslar</v>
      </c>
      <c r="E734" t="str">
        <f>'2020_5-2-2_Download'!$AH$7</f>
        <v>Frauen</v>
      </c>
      <c r="G734" t="s">
        <v>84</v>
      </c>
      <c r="H734" t="str">
        <f>VLOOKUP(B734,[2]Kreise!$A$2:$C$53,3,FALSE)</f>
        <v>K03153</v>
      </c>
      <c r="I734">
        <f>'2020_5-2-2_Download'!AH14</f>
        <v>753</v>
      </c>
    </row>
    <row r="735" spans="2:9">
      <c r="B735">
        <f>'2020_5-2-2_Download'!B15</f>
        <v>154</v>
      </c>
      <c r="C735">
        <f>'2020_5-2-2_Download'!$AF$5</f>
        <v>2016</v>
      </c>
      <c r="D735" t="str">
        <f>VLOOKUP(B735,[1]Tabelle1!$A$1:$B$68,2,FALSE)</f>
        <v>Helmstedt</v>
      </c>
      <c r="E735" t="str">
        <f>'2020_5-2-2_Download'!$AH$7</f>
        <v>Frauen</v>
      </c>
      <c r="G735" t="s">
        <v>84</v>
      </c>
      <c r="H735" t="str">
        <f>VLOOKUP(B735,[2]Kreise!$A$2:$C$53,3,FALSE)</f>
        <v>K03154</v>
      </c>
      <c r="I735">
        <f>'2020_5-2-2_Download'!AH15</f>
        <v>353</v>
      </c>
    </row>
    <row r="736" spans="2:9">
      <c r="B736">
        <f>'2020_5-2-2_Download'!B16</f>
        <v>155</v>
      </c>
      <c r="C736">
        <f>'2020_5-2-2_Download'!$AF$5</f>
        <v>2016</v>
      </c>
      <c r="D736" t="str">
        <f>VLOOKUP(B736,[1]Tabelle1!$A$1:$B$68,2,FALSE)</f>
        <v>Northeim</v>
      </c>
      <c r="E736" t="str">
        <f>'2020_5-2-2_Download'!$AH$7</f>
        <v>Frauen</v>
      </c>
      <c r="G736" t="s">
        <v>84</v>
      </c>
      <c r="H736" t="str">
        <f>VLOOKUP(B736,[2]Kreise!$A$2:$C$53,3,FALSE)</f>
        <v>K03155</v>
      </c>
      <c r="I736">
        <f>'2020_5-2-2_Download'!AH16</f>
        <v>573</v>
      </c>
    </row>
    <row r="737" spans="2:9">
      <c r="B737">
        <f>'2020_5-2-2_Download'!B17</f>
        <v>157</v>
      </c>
      <c r="C737">
        <f>'2020_5-2-2_Download'!$AF$5</f>
        <v>2016</v>
      </c>
      <c r="D737" t="str">
        <f>VLOOKUP(B737,[1]Tabelle1!$A$1:$B$68,2,FALSE)</f>
        <v>Peine</v>
      </c>
      <c r="E737" t="str">
        <f>'2020_5-2-2_Download'!$AH$7</f>
        <v>Frauen</v>
      </c>
      <c r="G737" t="s">
        <v>84</v>
      </c>
      <c r="H737" t="str">
        <f>VLOOKUP(B737,[2]Kreise!$A$2:$C$53,3,FALSE)</f>
        <v>K03157</v>
      </c>
      <c r="I737">
        <f>'2020_5-2-2_Download'!AH17</f>
        <v>549</v>
      </c>
    </row>
    <row r="738" spans="2:9">
      <c r="B738">
        <f>'2020_5-2-2_Download'!B18</f>
        <v>158</v>
      </c>
      <c r="C738">
        <f>'2020_5-2-2_Download'!$AF$5</f>
        <v>2016</v>
      </c>
      <c r="D738" t="str">
        <f>VLOOKUP(B738,[1]Tabelle1!$A$1:$B$68,2,FALSE)</f>
        <v>Wolfenbüttel</v>
      </c>
      <c r="E738" t="str">
        <f>'2020_5-2-2_Download'!$AH$7</f>
        <v>Frauen</v>
      </c>
      <c r="G738" t="s">
        <v>84</v>
      </c>
      <c r="H738" t="str">
        <f>VLOOKUP(B738,[2]Kreise!$A$2:$C$53,3,FALSE)</f>
        <v>K03158</v>
      </c>
      <c r="I738">
        <f>'2020_5-2-2_Download'!AH18</f>
        <v>406</v>
      </c>
    </row>
    <row r="739" spans="2:9">
      <c r="B739">
        <f>'2020_5-2-2_Download'!B19</f>
        <v>159</v>
      </c>
      <c r="C739">
        <f>'2020_5-2-2_Download'!$AF$5</f>
        <v>2016</v>
      </c>
      <c r="D739" t="str">
        <f>VLOOKUP(B739,[1]Tabelle1!$A$1:$B$68,2,FALSE)</f>
        <v>Göttingen</v>
      </c>
      <c r="E739" t="str">
        <f>'2020_5-2-2_Download'!$AH$7</f>
        <v>Frauen</v>
      </c>
      <c r="G739" t="s">
        <v>84</v>
      </c>
      <c r="H739" t="str">
        <f>VLOOKUP(B739,[2]Kreise!$A$2:$C$53,3,FALSE)</f>
        <v>K03159</v>
      </c>
      <c r="I739">
        <f>'2020_5-2-2_Download'!AH19</f>
        <v>2861</v>
      </c>
    </row>
    <row r="740" spans="2:9">
      <c r="B740">
        <f>'2020_5-2-2_Download'!B20</f>
        <v>1</v>
      </c>
      <c r="C740">
        <f>'2020_5-2-2_Download'!$AF$5</f>
        <v>2016</v>
      </c>
      <c r="D740" t="str">
        <f>VLOOKUP(B740,[1]Tabelle1!$A$1:$B$68,2,FALSE)</f>
        <v>Stat. Region Braunschweig</v>
      </c>
      <c r="E740" t="str">
        <f>'2020_5-2-2_Download'!$AH$7</f>
        <v>Frauen</v>
      </c>
      <c r="G740" t="s">
        <v>84</v>
      </c>
      <c r="H740" t="str">
        <f>VLOOKUP(B740,[2]Kreise!$A$2:$C$53,3,FALSE)</f>
        <v>K031</v>
      </c>
      <c r="I740">
        <f>'2020_5-2-2_Download'!AH20</f>
        <v>12928</v>
      </c>
    </row>
    <row r="741" spans="2:9">
      <c r="B741">
        <f>'2020_5-2-2_Download'!B21</f>
        <v>241</v>
      </c>
      <c r="C741">
        <f>'2020_5-2-2_Download'!$AF$5</f>
        <v>2016</v>
      </c>
      <c r="D741" t="str">
        <f>VLOOKUP(B741,[1]Tabelle1!$A$1:$B$68,2,FALSE)</f>
        <v>Hannover  Region</v>
      </c>
      <c r="E741" t="str">
        <f>'2020_5-2-2_Download'!$AH$7</f>
        <v>Frauen</v>
      </c>
      <c r="G741" t="s">
        <v>84</v>
      </c>
      <c r="H741" t="str">
        <f>VLOOKUP(B741,[2]Kreise!$A$2:$C$53,3,FALSE)</f>
        <v>K03241</v>
      </c>
      <c r="I741">
        <f>'2020_5-2-2_Download'!AH21</f>
        <v>18750</v>
      </c>
    </row>
    <row r="742" spans="2:9">
      <c r="B742">
        <f>'2020_5-2-2_Download'!B22</f>
        <v>241001</v>
      </c>
      <c r="C742">
        <f>'2020_5-2-2_Download'!$AF$5</f>
        <v>2016</v>
      </c>
      <c r="D742" t="str">
        <f>VLOOKUP(B742,[1]Tabelle1!$A$1:$B$68,2,FALSE)</f>
        <v>dav. Hannover  Lhst.</v>
      </c>
      <c r="E742" t="str">
        <f>'2020_5-2-2_Download'!$AH$7</f>
        <v>Frauen</v>
      </c>
      <c r="G742" t="s">
        <v>84</v>
      </c>
      <c r="H742" t="str">
        <f>VLOOKUP(B742,[2]Kreise!$A$2:$C$53,3,FALSE)</f>
        <v>K03241001</v>
      </c>
      <c r="I742">
        <f>'2020_5-2-2_Download'!AH22</f>
        <v>13112</v>
      </c>
    </row>
    <row r="743" spans="2:9">
      <c r="B743">
        <f>'2020_5-2-2_Download'!B23</f>
        <v>241999</v>
      </c>
      <c r="C743">
        <f>'2020_5-2-2_Download'!$AF$5</f>
        <v>2016</v>
      </c>
      <c r="D743" t="str">
        <f>VLOOKUP(B743,[1]Tabelle1!$A$1:$B$68,2,FALSE)</f>
        <v>dav. Hannover  Umland</v>
      </c>
      <c r="E743" t="str">
        <f>'2020_5-2-2_Download'!$AH$7</f>
        <v>Frauen</v>
      </c>
      <c r="G743" t="s">
        <v>84</v>
      </c>
      <c r="H743" t="str">
        <f>VLOOKUP(B743,[2]Kreise!$A$2:$C$53,3,FALSE)</f>
        <v>K03241999</v>
      </c>
      <c r="I743">
        <f>'2020_5-2-2_Download'!AH23</f>
        <v>5638</v>
      </c>
    </row>
    <row r="744" spans="2:9">
      <c r="B744">
        <f>'2020_5-2-2_Download'!B24</f>
        <v>251</v>
      </c>
      <c r="C744">
        <f>'2020_5-2-2_Download'!$AF$5</f>
        <v>2016</v>
      </c>
      <c r="D744" t="str">
        <f>VLOOKUP(B744,[1]Tabelle1!$A$1:$B$68,2,FALSE)</f>
        <v>Diepholz</v>
      </c>
      <c r="E744" t="str">
        <f>'2020_5-2-2_Download'!$AH$7</f>
        <v>Frauen</v>
      </c>
      <c r="G744" t="s">
        <v>84</v>
      </c>
      <c r="H744" t="str">
        <f>VLOOKUP(B744,[2]Kreise!$A$2:$C$53,3,FALSE)</f>
        <v>K03251</v>
      </c>
      <c r="I744">
        <f>'2020_5-2-2_Download'!AH24</f>
        <v>1261</v>
      </c>
    </row>
    <row r="745" spans="2:9">
      <c r="B745">
        <f>'2020_5-2-2_Download'!B25</f>
        <v>252</v>
      </c>
      <c r="C745">
        <f>'2020_5-2-2_Download'!$AF$5</f>
        <v>2016</v>
      </c>
      <c r="D745" t="str">
        <f>VLOOKUP(B745,[1]Tabelle1!$A$1:$B$68,2,FALSE)</f>
        <v>Hameln-Pyrmont</v>
      </c>
      <c r="E745" t="str">
        <f>'2020_5-2-2_Download'!$AH$7</f>
        <v>Frauen</v>
      </c>
      <c r="G745" t="s">
        <v>84</v>
      </c>
      <c r="H745" t="str">
        <f>VLOOKUP(B745,[2]Kreise!$A$2:$C$53,3,FALSE)</f>
        <v>K03252</v>
      </c>
      <c r="I745">
        <f>'2020_5-2-2_Download'!AH25</f>
        <v>1230</v>
      </c>
    </row>
    <row r="746" spans="2:9">
      <c r="B746">
        <f>'2020_5-2-2_Download'!B26</f>
        <v>254</v>
      </c>
      <c r="C746">
        <f>'2020_5-2-2_Download'!$AF$5</f>
        <v>2016</v>
      </c>
      <c r="D746" t="str">
        <f>VLOOKUP(B746,[1]Tabelle1!$A$1:$B$68,2,FALSE)</f>
        <v>Hildesheim</v>
      </c>
      <c r="E746" t="str">
        <f>'2020_5-2-2_Download'!$AH$7</f>
        <v>Frauen</v>
      </c>
      <c r="G746" t="s">
        <v>84</v>
      </c>
      <c r="H746" t="str">
        <f>VLOOKUP(B746,[2]Kreise!$A$2:$C$53,3,FALSE)</f>
        <v>K03254</v>
      </c>
      <c r="I746">
        <f>'2020_5-2-2_Download'!AH26</f>
        <v>1619</v>
      </c>
    </row>
    <row r="747" spans="2:9">
      <c r="B747">
        <f>'2020_5-2-2_Download'!B27</f>
        <v>255</v>
      </c>
      <c r="C747">
        <f>'2020_5-2-2_Download'!$AF$5</f>
        <v>2016</v>
      </c>
      <c r="D747" t="str">
        <f>VLOOKUP(B747,[1]Tabelle1!$A$1:$B$68,2,FALSE)</f>
        <v>Holzminden</v>
      </c>
      <c r="E747" t="str">
        <f>'2020_5-2-2_Download'!$AH$7</f>
        <v>Frauen</v>
      </c>
      <c r="G747" t="s">
        <v>84</v>
      </c>
      <c r="H747" t="str">
        <f>VLOOKUP(B747,[2]Kreise!$A$2:$C$53,3,FALSE)</f>
        <v>K03255</v>
      </c>
      <c r="I747">
        <f>'2020_5-2-2_Download'!AH27</f>
        <v>343</v>
      </c>
    </row>
    <row r="748" spans="2:9">
      <c r="B748">
        <f>'2020_5-2-2_Download'!B28</f>
        <v>256</v>
      </c>
      <c r="C748">
        <f>'2020_5-2-2_Download'!$AF$5</f>
        <v>2016</v>
      </c>
      <c r="D748" t="str">
        <f>VLOOKUP(B748,[1]Tabelle1!$A$1:$B$68,2,FALSE)</f>
        <v>Nienburg (Weser)</v>
      </c>
      <c r="E748" t="str">
        <f>'2020_5-2-2_Download'!$AH$7</f>
        <v>Frauen</v>
      </c>
      <c r="G748" t="s">
        <v>84</v>
      </c>
      <c r="H748" t="str">
        <f>VLOOKUP(B748,[2]Kreise!$A$2:$C$53,3,FALSE)</f>
        <v>K03256</v>
      </c>
      <c r="I748">
        <f>'2020_5-2-2_Download'!AH28</f>
        <v>690</v>
      </c>
    </row>
    <row r="749" spans="2:9">
      <c r="B749">
        <f>'2020_5-2-2_Download'!B29</f>
        <v>257</v>
      </c>
      <c r="C749">
        <f>'2020_5-2-2_Download'!$AF$5</f>
        <v>2016</v>
      </c>
      <c r="D749" t="str">
        <f>VLOOKUP(B749,[1]Tabelle1!$A$1:$B$68,2,FALSE)</f>
        <v>Schaumburg</v>
      </c>
      <c r="E749" t="str">
        <f>'2020_5-2-2_Download'!$AH$7</f>
        <v>Frauen</v>
      </c>
      <c r="G749" t="s">
        <v>84</v>
      </c>
      <c r="H749" t="str">
        <f>VLOOKUP(B749,[2]Kreise!$A$2:$C$53,3,FALSE)</f>
        <v>K03257</v>
      </c>
      <c r="I749">
        <f>'2020_5-2-2_Download'!AH29</f>
        <v>922</v>
      </c>
    </row>
    <row r="750" spans="2:9">
      <c r="B750">
        <f>'2020_5-2-2_Download'!B30</f>
        <v>2</v>
      </c>
      <c r="C750">
        <f>'2020_5-2-2_Download'!$AF$5</f>
        <v>2016</v>
      </c>
      <c r="D750" t="str">
        <f>VLOOKUP(B750,[1]Tabelle1!$A$1:$B$68,2,FALSE)</f>
        <v>Stat. Region Hannover</v>
      </c>
      <c r="E750" t="str">
        <f>'2020_5-2-2_Download'!$AH$7</f>
        <v>Frauen</v>
      </c>
      <c r="G750" t="s">
        <v>84</v>
      </c>
      <c r="H750" t="str">
        <f>VLOOKUP(B750,[2]Kreise!$A$2:$C$53,3,FALSE)</f>
        <v>K032</v>
      </c>
      <c r="I750">
        <f>'2020_5-2-2_Download'!AH30</f>
        <v>24815</v>
      </c>
    </row>
    <row r="751" spans="2:9">
      <c r="B751">
        <f>'2020_5-2-2_Download'!B31</f>
        <v>351</v>
      </c>
      <c r="C751">
        <f>'2020_5-2-2_Download'!$AF$5</f>
        <v>2016</v>
      </c>
      <c r="D751" t="str">
        <f>VLOOKUP(B751,[1]Tabelle1!$A$1:$B$68,2,FALSE)</f>
        <v>Celle</v>
      </c>
      <c r="E751" t="str">
        <f>'2020_5-2-2_Download'!$AH$7</f>
        <v>Frauen</v>
      </c>
      <c r="G751" t="s">
        <v>84</v>
      </c>
      <c r="H751" t="str">
        <f>VLOOKUP(B751,[2]Kreise!$A$2:$C$53,3,FALSE)</f>
        <v>K03351</v>
      </c>
      <c r="I751">
        <f>'2020_5-2-2_Download'!AH31</f>
        <v>1012</v>
      </c>
    </row>
    <row r="752" spans="2:9">
      <c r="B752">
        <f>'2020_5-2-2_Download'!B32</f>
        <v>352</v>
      </c>
      <c r="C752">
        <f>'2020_5-2-2_Download'!$AF$5</f>
        <v>2016</v>
      </c>
      <c r="D752" t="str">
        <f>VLOOKUP(B752,[1]Tabelle1!$A$1:$B$68,2,FALSE)</f>
        <v>Cuxhaven</v>
      </c>
      <c r="E752" t="str">
        <f>'2020_5-2-2_Download'!$AH$7</f>
        <v>Frauen</v>
      </c>
      <c r="G752" t="s">
        <v>84</v>
      </c>
      <c r="H752" t="str">
        <f>VLOOKUP(B752,[2]Kreise!$A$2:$C$53,3,FALSE)</f>
        <v>K03352</v>
      </c>
      <c r="I752">
        <f>'2020_5-2-2_Download'!AH32</f>
        <v>1213</v>
      </c>
    </row>
    <row r="753" spans="2:9">
      <c r="B753">
        <f>'2020_5-2-2_Download'!B33</f>
        <v>353</v>
      </c>
      <c r="C753">
        <f>'2020_5-2-2_Download'!$AF$5</f>
        <v>2016</v>
      </c>
      <c r="D753" t="str">
        <f>VLOOKUP(B753,[1]Tabelle1!$A$1:$B$68,2,FALSE)</f>
        <v>Harburg</v>
      </c>
      <c r="E753" t="str">
        <f>'2020_5-2-2_Download'!$AH$7</f>
        <v>Frauen</v>
      </c>
      <c r="G753" t="s">
        <v>84</v>
      </c>
      <c r="H753" t="str">
        <f>VLOOKUP(B753,[2]Kreise!$A$2:$C$53,3,FALSE)</f>
        <v>K03353</v>
      </c>
      <c r="I753">
        <f>'2020_5-2-2_Download'!AH33</f>
        <v>1671</v>
      </c>
    </row>
    <row r="754" spans="2:9">
      <c r="B754">
        <f>'2020_5-2-2_Download'!B34</f>
        <v>354</v>
      </c>
      <c r="C754">
        <f>'2020_5-2-2_Download'!$AF$5</f>
        <v>2016</v>
      </c>
      <c r="D754" t="str">
        <f>VLOOKUP(B754,[1]Tabelle1!$A$1:$B$68,2,FALSE)</f>
        <v>Lüchow-Dannenberg</v>
      </c>
      <c r="E754" t="str">
        <f>'2020_5-2-2_Download'!$AH$7</f>
        <v>Frauen</v>
      </c>
      <c r="G754" t="s">
        <v>84</v>
      </c>
      <c r="H754" t="str">
        <f>VLOOKUP(B754,[2]Kreise!$A$2:$C$53,3,FALSE)</f>
        <v>K03354</v>
      </c>
      <c r="I754">
        <f>'2020_5-2-2_Download'!AH34</f>
        <v>239</v>
      </c>
    </row>
    <row r="755" spans="2:9">
      <c r="B755">
        <f>'2020_5-2-2_Download'!B35</f>
        <v>355</v>
      </c>
      <c r="C755">
        <f>'2020_5-2-2_Download'!$AF$5</f>
        <v>2016</v>
      </c>
      <c r="D755" t="str">
        <f>VLOOKUP(B755,[1]Tabelle1!$A$1:$B$68,2,FALSE)</f>
        <v>Lüneburg</v>
      </c>
      <c r="E755" t="str">
        <f>'2020_5-2-2_Download'!$AH$7</f>
        <v>Frauen</v>
      </c>
      <c r="G755" t="s">
        <v>84</v>
      </c>
      <c r="H755" t="str">
        <f>VLOOKUP(B755,[2]Kreise!$A$2:$C$53,3,FALSE)</f>
        <v>K03355</v>
      </c>
      <c r="I755">
        <f>'2020_5-2-2_Download'!AH35</f>
        <v>1069</v>
      </c>
    </row>
    <row r="756" spans="2:9">
      <c r="B756">
        <f>'2020_5-2-2_Download'!B36</f>
        <v>356</v>
      </c>
      <c r="C756">
        <f>'2020_5-2-2_Download'!$AF$5</f>
        <v>2016</v>
      </c>
      <c r="D756" t="str">
        <f>VLOOKUP(B756,[1]Tabelle1!$A$1:$B$68,2,FALSE)</f>
        <v>Osterholz</v>
      </c>
      <c r="E756" t="str">
        <f>'2020_5-2-2_Download'!$AH$7</f>
        <v>Frauen</v>
      </c>
      <c r="G756" t="s">
        <v>84</v>
      </c>
      <c r="H756" t="str">
        <f>VLOOKUP(B756,[2]Kreise!$A$2:$C$53,3,FALSE)</f>
        <v>K03356</v>
      </c>
      <c r="I756">
        <f>'2020_5-2-2_Download'!AH36</f>
        <v>416</v>
      </c>
    </row>
    <row r="757" spans="2:9">
      <c r="B757">
        <f>'2020_5-2-2_Download'!B37</f>
        <v>357</v>
      </c>
      <c r="C757">
        <f>'2020_5-2-2_Download'!$AF$5</f>
        <v>2016</v>
      </c>
      <c r="D757" t="str">
        <f>VLOOKUP(B757,[1]Tabelle1!$A$1:$B$68,2,FALSE)</f>
        <v>Rotenburg (Wümme)</v>
      </c>
      <c r="E757" t="str">
        <f>'2020_5-2-2_Download'!$AH$7</f>
        <v>Frauen</v>
      </c>
      <c r="G757" t="s">
        <v>84</v>
      </c>
      <c r="H757" t="str">
        <f>VLOOKUP(B757,[2]Kreise!$A$2:$C$53,3,FALSE)</f>
        <v>K03357</v>
      </c>
      <c r="I757">
        <f>'2020_5-2-2_Download'!AH37</f>
        <v>1009</v>
      </c>
    </row>
    <row r="758" spans="2:9">
      <c r="B758">
        <f>'2020_5-2-2_Download'!B38</f>
        <v>358</v>
      </c>
      <c r="C758">
        <f>'2020_5-2-2_Download'!$AF$5</f>
        <v>2016</v>
      </c>
      <c r="D758" t="str">
        <f>VLOOKUP(B758,[1]Tabelle1!$A$1:$B$68,2,FALSE)</f>
        <v>Heidekreis</v>
      </c>
      <c r="E758" t="str">
        <f>'2020_5-2-2_Download'!$AH$7</f>
        <v>Frauen</v>
      </c>
      <c r="G758" t="s">
        <v>84</v>
      </c>
      <c r="H758" t="str">
        <f>VLOOKUP(B758,[2]Kreise!$A$2:$C$53,3,FALSE)</f>
        <v>K03358</v>
      </c>
      <c r="I758">
        <f>'2020_5-2-2_Download'!AH38</f>
        <v>1001</v>
      </c>
    </row>
    <row r="759" spans="2:9">
      <c r="B759">
        <f>'2020_5-2-2_Download'!B39</f>
        <v>359</v>
      </c>
      <c r="C759">
        <f>'2020_5-2-2_Download'!$AF$5</f>
        <v>2016</v>
      </c>
      <c r="D759" t="str">
        <f>VLOOKUP(B759,[1]Tabelle1!$A$1:$B$68,2,FALSE)</f>
        <v>Stade</v>
      </c>
      <c r="E759" t="str">
        <f>'2020_5-2-2_Download'!$AH$7</f>
        <v>Frauen</v>
      </c>
      <c r="G759" t="s">
        <v>84</v>
      </c>
      <c r="H759" t="str">
        <f>VLOOKUP(B759,[2]Kreise!$A$2:$C$53,3,FALSE)</f>
        <v>K03359</v>
      </c>
      <c r="I759">
        <f>'2020_5-2-2_Download'!AH39</f>
        <v>1068</v>
      </c>
    </row>
    <row r="760" spans="2:9">
      <c r="B760">
        <f>'2020_5-2-2_Download'!B40</f>
        <v>360</v>
      </c>
      <c r="C760">
        <f>'2020_5-2-2_Download'!$AF$5</f>
        <v>2016</v>
      </c>
      <c r="D760" t="str">
        <f>VLOOKUP(B760,[1]Tabelle1!$A$1:$B$68,2,FALSE)</f>
        <v>Uelzen</v>
      </c>
      <c r="E760" t="str">
        <f>'2020_5-2-2_Download'!$AH$7</f>
        <v>Frauen</v>
      </c>
      <c r="G760" t="s">
        <v>84</v>
      </c>
      <c r="H760" t="str">
        <f>VLOOKUP(B760,[2]Kreise!$A$2:$C$53,3,FALSE)</f>
        <v>K03360</v>
      </c>
      <c r="I760">
        <f>'2020_5-2-2_Download'!AH40</f>
        <v>408</v>
      </c>
    </row>
    <row r="761" spans="2:9">
      <c r="B761">
        <f>'2020_5-2-2_Download'!B41</f>
        <v>361</v>
      </c>
      <c r="C761">
        <f>'2020_5-2-2_Download'!$AF$5</f>
        <v>2016</v>
      </c>
      <c r="D761" t="str">
        <f>VLOOKUP(B761,[1]Tabelle1!$A$1:$B$68,2,FALSE)</f>
        <v>Verden</v>
      </c>
      <c r="E761" t="str">
        <f>'2020_5-2-2_Download'!$AH$7</f>
        <v>Frauen</v>
      </c>
      <c r="G761" t="s">
        <v>84</v>
      </c>
      <c r="H761" t="str">
        <f>VLOOKUP(B761,[2]Kreise!$A$2:$C$53,3,FALSE)</f>
        <v>K03361</v>
      </c>
      <c r="I761">
        <f>'2020_5-2-2_Download'!AH41</f>
        <v>1078</v>
      </c>
    </row>
    <row r="762" spans="2:9">
      <c r="B762">
        <f>'2020_5-2-2_Download'!B42</f>
        <v>3</v>
      </c>
      <c r="C762">
        <f>'2020_5-2-2_Download'!$AF$5</f>
        <v>2016</v>
      </c>
      <c r="D762" t="str">
        <f>VLOOKUP(B762,[1]Tabelle1!$A$1:$B$68,2,FALSE)</f>
        <v>Stat. Region Lüneburg</v>
      </c>
      <c r="E762" t="str">
        <f>'2020_5-2-2_Download'!$AH$7</f>
        <v>Frauen</v>
      </c>
      <c r="G762" t="s">
        <v>84</v>
      </c>
      <c r="H762" t="str">
        <f>VLOOKUP(B762,[2]Kreise!$A$2:$C$53,3,FALSE)</f>
        <v>K033</v>
      </c>
      <c r="I762">
        <f>'2020_5-2-2_Download'!AH42</f>
        <v>10184</v>
      </c>
    </row>
    <row r="763" spans="2:9">
      <c r="B763">
        <f>'2020_5-2-2_Download'!B43</f>
        <v>401</v>
      </c>
      <c r="C763">
        <f>'2020_5-2-2_Download'!$AF$5</f>
        <v>2016</v>
      </c>
      <c r="D763" t="str">
        <f>VLOOKUP(B763,[1]Tabelle1!$A$1:$B$68,2,FALSE)</f>
        <v>Delmenhorst  Stadt</v>
      </c>
      <c r="E763" t="str">
        <f>'2020_5-2-2_Download'!$AH$7</f>
        <v>Frauen</v>
      </c>
      <c r="G763" t="s">
        <v>84</v>
      </c>
      <c r="H763" t="str">
        <f>VLOOKUP(B763,[2]Kreise!$A$2:$C$53,3,FALSE)</f>
        <v>K03401</v>
      </c>
      <c r="I763">
        <f>'2020_5-2-2_Download'!AH43</f>
        <v>596</v>
      </c>
    </row>
    <row r="764" spans="2:9">
      <c r="B764">
        <f>'2020_5-2-2_Download'!B44</f>
        <v>402</v>
      </c>
      <c r="C764">
        <f>'2020_5-2-2_Download'!$AF$5</f>
        <v>2016</v>
      </c>
      <c r="D764" t="str">
        <f>VLOOKUP(B764,[1]Tabelle1!$A$1:$B$68,2,FALSE)</f>
        <v>Emden  Stadt</v>
      </c>
      <c r="E764" t="str">
        <f>'2020_5-2-2_Download'!$AH$7</f>
        <v>Frauen</v>
      </c>
      <c r="G764" t="s">
        <v>84</v>
      </c>
      <c r="H764" t="str">
        <f>VLOOKUP(B764,[2]Kreise!$A$2:$C$53,3,FALSE)</f>
        <v>K03402</v>
      </c>
      <c r="I764">
        <f>'2020_5-2-2_Download'!AH44</f>
        <v>381</v>
      </c>
    </row>
    <row r="765" spans="2:9">
      <c r="B765">
        <f>'2020_5-2-2_Download'!B45</f>
        <v>403</v>
      </c>
      <c r="C765">
        <f>'2020_5-2-2_Download'!$AF$5</f>
        <v>2016</v>
      </c>
      <c r="D765" t="str">
        <f>VLOOKUP(B765,[1]Tabelle1!$A$1:$B$68,2,FALSE)</f>
        <v>Oldenburg(Oldb)  Stadt</v>
      </c>
      <c r="E765" t="str">
        <f>'2020_5-2-2_Download'!$AH$7</f>
        <v>Frauen</v>
      </c>
      <c r="G765" t="s">
        <v>84</v>
      </c>
      <c r="H765" t="str">
        <f>VLOOKUP(B765,[2]Kreise!$A$2:$C$53,3,FALSE)</f>
        <v>K03403</v>
      </c>
      <c r="I765">
        <f>'2020_5-2-2_Download'!AH45</f>
        <v>1504</v>
      </c>
    </row>
    <row r="766" spans="2:9">
      <c r="B766">
        <f>'2020_5-2-2_Download'!B46</f>
        <v>404</v>
      </c>
      <c r="C766">
        <f>'2020_5-2-2_Download'!$AF$5</f>
        <v>2016</v>
      </c>
      <c r="D766" t="str">
        <f>VLOOKUP(B766,[1]Tabelle1!$A$1:$B$68,2,FALSE)</f>
        <v>Osnabrück  Stadt</v>
      </c>
      <c r="E766" t="str">
        <f>'2020_5-2-2_Download'!$AH$7</f>
        <v>Frauen</v>
      </c>
      <c r="G766" t="s">
        <v>84</v>
      </c>
      <c r="H766" t="str">
        <f>VLOOKUP(B766,[2]Kreise!$A$2:$C$53,3,FALSE)</f>
        <v>K03404</v>
      </c>
      <c r="I766">
        <f>'2020_5-2-2_Download'!AH46</f>
        <v>2837</v>
      </c>
    </row>
    <row r="767" spans="2:9">
      <c r="B767">
        <f>'2020_5-2-2_Download'!B47</f>
        <v>405</v>
      </c>
      <c r="C767">
        <f>'2020_5-2-2_Download'!$AF$5</f>
        <v>2016</v>
      </c>
      <c r="D767" t="str">
        <f>VLOOKUP(B767,[1]Tabelle1!$A$1:$B$68,2,FALSE)</f>
        <v>Wilhelmshaven  Stadt</v>
      </c>
      <c r="E767" t="str">
        <f>'2020_5-2-2_Download'!$AH$7</f>
        <v>Frauen</v>
      </c>
      <c r="G767" t="s">
        <v>84</v>
      </c>
      <c r="H767" t="str">
        <f>VLOOKUP(B767,[2]Kreise!$A$2:$C$53,3,FALSE)</f>
        <v>K03405</v>
      </c>
      <c r="I767">
        <f>'2020_5-2-2_Download'!AH47</f>
        <v>348</v>
      </c>
    </row>
    <row r="768" spans="2:9">
      <c r="B768">
        <f>'2020_5-2-2_Download'!B48</f>
        <v>451</v>
      </c>
      <c r="C768">
        <f>'2020_5-2-2_Download'!$AF$5</f>
        <v>2016</v>
      </c>
      <c r="D768" t="str">
        <f>VLOOKUP(B768,[1]Tabelle1!$A$1:$B$68,2,FALSE)</f>
        <v>Ammerland</v>
      </c>
      <c r="E768" t="str">
        <f>'2020_5-2-2_Download'!$AH$7</f>
        <v>Frauen</v>
      </c>
      <c r="G768" t="s">
        <v>84</v>
      </c>
      <c r="H768" t="str">
        <f>VLOOKUP(B768,[2]Kreise!$A$2:$C$53,3,FALSE)</f>
        <v>K03451</v>
      </c>
      <c r="I768">
        <f>'2020_5-2-2_Download'!AH48</f>
        <v>807</v>
      </c>
    </row>
    <row r="769" spans="2:9">
      <c r="B769">
        <f>'2020_5-2-2_Download'!B49</f>
        <v>452</v>
      </c>
      <c r="C769">
        <f>'2020_5-2-2_Download'!$AF$5</f>
        <v>2016</v>
      </c>
      <c r="D769" t="str">
        <f>VLOOKUP(B769,[1]Tabelle1!$A$1:$B$68,2,FALSE)</f>
        <v>Aurich</v>
      </c>
      <c r="E769" t="str">
        <f>'2020_5-2-2_Download'!$AH$7</f>
        <v>Frauen</v>
      </c>
      <c r="G769" t="s">
        <v>84</v>
      </c>
      <c r="H769" t="str">
        <f>VLOOKUP(B769,[2]Kreise!$A$2:$C$53,3,FALSE)</f>
        <v>K03452</v>
      </c>
      <c r="I769">
        <f>'2020_5-2-2_Download'!AH49</f>
        <v>1301</v>
      </c>
    </row>
    <row r="770" spans="2:9">
      <c r="B770">
        <f>'2020_5-2-2_Download'!B50</f>
        <v>453</v>
      </c>
      <c r="C770">
        <f>'2020_5-2-2_Download'!$AF$5</f>
        <v>2016</v>
      </c>
      <c r="D770" t="str">
        <f>VLOOKUP(B770,[1]Tabelle1!$A$1:$B$68,2,FALSE)</f>
        <v>Cloppenburg</v>
      </c>
      <c r="E770" t="str">
        <f>'2020_5-2-2_Download'!$AH$7</f>
        <v>Frauen</v>
      </c>
      <c r="G770" t="s">
        <v>84</v>
      </c>
      <c r="H770" t="str">
        <f>VLOOKUP(B770,[2]Kreise!$A$2:$C$53,3,FALSE)</f>
        <v>K03453</v>
      </c>
      <c r="I770">
        <f>'2020_5-2-2_Download'!AH50</f>
        <v>1808</v>
      </c>
    </row>
    <row r="771" spans="2:9">
      <c r="B771">
        <f>'2020_5-2-2_Download'!B51</f>
        <v>454</v>
      </c>
      <c r="C771">
        <f>'2020_5-2-2_Download'!$AF$5</f>
        <v>2016</v>
      </c>
      <c r="D771" t="str">
        <f>VLOOKUP(B771,[1]Tabelle1!$A$1:$B$68,2,FALSE)</f>
        <v>Emsland</v>
      </c>
      <c r="E771" t="str">
        <f>'2020_5-2-2_Download'!$AH$7</f>
        <v>Frauen</v>
      </c>
      <c r="G771" t="s">
        <v>84</v>
      </c>
      <c r="H771" t="str">
        <f>VLOOKUP(B771,[2]Kreise!$A$2:$C$53,3,FALSE)</f>
        <v>K03454</v>
      </c>
      <c r="I771">
        <f>'2020_5-2-2_Download'!AH51</f>
        <v>2546</v>
      </c>
    </row>
    <row r="772" spans="2:9">
      <c r="B772">
        <f>'2020_5-2-2_Download'!B52</f>
        <v>455</v>
      </c>
      <c r="C772">
        <f>'2020_5-2-2_Download'!$AF$5</f>
        <v>2016</v>
      </c>
      <c r="D772" t="str">
        <f>VLOOKUP(B772,[1]Tabelle1!$A$1:$B$68,2,FALSE)</f>
        <v>Friesland</v>
      </c>
      <c r="E772" t="str">
        <f>'2020_5-2-2_Download'!$AH$7</f>
        <v>Frauen</v>
      </c>
      <c r="G772" t="s">
        <v>84</v>
      </c>
      <c r="H772" t="str">
        <f>VLOOKUP(B772,[2]Kreise!$A$2:$C$53,3,FALSE)</f>
        <v>K03455</v>
      </c>
      <c r="I772">
        <f>'2020_5-2-2_Download'!AH52</f>
        <v>383</v>
      </c>
    </row>
    <row r="773" spans="2:9">
      <c r="B773">
        <f>'2020_5-2-2_Download'!B53</f>
        <v>456</v>
      </c>
      <c r="C773">
        <f>'2020_5-2-2_Download'!$AF$5</f>
        <v>2016</v>
      </c>
      <c r="D773" t="str">
        <f>VLOOKUP(B773,[1]Tabelle1!$A$1:$B$68,2,FALSE)</f>
        <v>Grafschaft Bentheim</v>
      </c>
      <c r="E773" t="str">
        <f>'2020_5-2-2_Download'!$AH$7</f>
        <v>Frauen</v>
      </c>
      <c r="G773" t="s">
        <v>84</v>
      </c>
      <c r="H773" t="str">
        <f>VLOOKUP(B773,[2]Kreise!$A$2:$C$53,3,FALSE)</f>
        <v>K03456</v>
      </c>
      <c r="I773">
        <f>'2020_5-2-2_Download'!AH53</f>
        <v>1466</v>
      </c>
    </row>
    <row r="774" spans="2:9">
      <c r="B774">
        <f>'2020_5-2-2_Download'!B54</f>
        <v>457</v>
      </c>
      <c r="C774">
        <f>'2020_5-2-2_Download'!$AF$5</f>
        <v>2016</v>
      </c>
      <c r="D774" t="str">
        <f>VLOOKUP(B774,[1]Tabelle1!$A$1:$B$68,2,FALSE)</f>
        <v>Leer</v>
      </c>
      <c r="E774" t="str">
        <f>'2020_5-2-2_Download'!$AH$7</f>
        <v>Frauen</v>
      </c>
      <c r="G774" t="s">
        <v>84</v>
      </c>
      <c r="H774" t="str">
        <f>VLOOKUP(B774,[2]Kreise!$A$2:$C$53,3,FALSE)</f>
        <v>K03457</v>
      </c>
      <c r="I774">
        <f>'2020_5-2-2_Download'!AH54</f>
        <v>819</v>
      </c>
    </row>
    <row r="775" spans="2:9">
      <c r="B775">
        <f>'2020_5-2-2_Download'!B55</f>
        <v>458</v>
      </c>
      <c r="C775">
        <f>'2020_5-2-2_Download'!$AF$5</f>
        <v>2016</v>
      </c>
      <c r="D775" t="str">
        <f>VLOOKUP(B775,[1]Tabelle1!$A$1:$B$68,2,FALSE)</f>
        <v>Oldenburg</v>
      </c>
      <c r="E775" t="str">
        <f>'2020_5-2-2_Download'!$AH$7</f>
        <v>Frauen</v>
      </c>
      <c r="G775" t="s">
        <v>84</v>
      </c>
      <c r="H775" t="str">
        <f>VLOOKUP(B775,[2]Kreise!$A$2:$C$53,3,FALSE)</f>
        <v>K03458</v>
      </c>
      <c r="I775">
        <f>'2020_5-2-2_Download'!AH55</f>
        <v>694</v>
      </c>
    </row>
    <row r="776" spans="2:9">
      <c r="B776">
        <f>'2020_5-2-2_Download'!B56</f>
        <v>459</v>
      </c>
      <c r="C776">
        <f>'2020_5-2-2_Download'!$AF$5</f>
        <v>2016</v>
      </c>
      <c r="D776" t="str">
        <f>VLOOKUP(B776,[1]Tabelle1!$A$1:$B$68,2,FALSE)</f>
        <v>Osnabrück</v>
      </c>
      <c r="E776" t="str">
        <f>'2020_5-2-2_Download'!$AH$7</f>
        <v>Frauen</v>
      </c>
      <c r="G776" t="s">
        <v>84</v>
      </c>
      <c r="H776" t="str">
        <f>VLOOKUP(B776,[2]Kreise!$A$2:$C$53,3,FALSE)</f>
        <v>K03459</v>
      </c>
      <c r="I776">
        <f>'2020_5-2-2_Download'!AH56</f>
        <v>3833</v>
      </c>
    </row>
    <row r="777" spans="2:9">
      <c r="B777">
        <f>'2020_5-2-2_Download'!B57</f>
        <v>460</v>
      </c>
      <c r="C777">
        <f>'2020_5-2-2_Download'!$AF$5</f>
        <v>2016</v>
      </c>
      <c r="D777" t="str">
        <f>VLOOKUP(B777,[1]Tabelle1!$A$1:$B$68,2,FALSE)</f>
        <v>Vechta</v>
      </c>
      <c r="E777" t="str">
        <f>'2020_5-2-2_Download'!$AH$7</f>
        <v>Frauen</v>
      </c>
      <c r="G777" t="s">
        <v>84</v>
      </c>
      <c r="H777" t="str">
        <f>VLOOKUP(B777,[2]Kreise!$A$2:$C$53,3,FALSE)</f>
        <v>K03460</v>
      </c>
      <c r="I777">
        <f>'2020_5-2-2_Download'!AH57</f>
        <v>2864</v>
      </c>
    </row>
    <row r="778" spans="2:9">
      <c r="B778">
        <f>'2020_5-2-2_Download'!B58</f>
        <v>461</v>
      </c>
      <c r="C778">
        <f>'2020_5-2-2_Download'!$AF$5</f>
        <v>2016</v>
      </c>
      <c r="D778" t="str">
        <f>VLOOKUP(B778,[1]Tabelle1!$A$1:$B$68,2,FALSE)</f>
        <v>Wesermarsch</v>
      </c>
      <c r="E778" t="str">
        <f>'2020_5-2-2_Download'!$AH$7</f>
        <v>Frauen</v>
      </c>
      <c r="G778" t="s">
        <v>84</v>
      </c>
      <c r="H778" t="str">
        <f>VLOOKUP(B778,[2]Kreise!$A$2:$C$53,3,FALSE)</f>
        <v>K03461</v>
      </c>
      <c r="I778">
        <f>'2020_5-2-2_Download'!AH58</f>
        <v>339</v>
      </c>
    </row>
    <row r="779" spans="2:9">
      <c r="B779">
        <f>'2020_5-2-2_Download'!B59</f>
        <v>462</v>
      </c>
      <c r="C779">
        <f>'2020_5-2-2_Download'!$AF$5</f>
        <v>2016</v>
      </c>
      <c r="D779" t="str">
        <f>VLOOKUP(B779,[1]Tabelle1!$A$1:$B$68,2,FALSE)</f>
        <v>Wittmund</v>
      </c>
      <c r="E779" t="str">
        <f>'2020_5-2-2_Download'!$AH$7</f>
        <v>Frauen</v>
      </c>
      <c r="G779" t="s">
        <v>84</v>
      </c>
      <c r="H779" t="str">
        <f>VLOOKUP(B779,[2]Kreise!$A$2:$C$53,3,FALSE)</f>
        <v>K03462</v>
      </c>
      <c r="I779">
        <f>'2020_5-2-2_Download'!AH59</f>
        <v>292</v>
      </c>
    </row>
    <row r="780" spans="2:9">
      <c r="B780">
        <f>'2020_5-2-2_Download'!B60</f>
        <v>4</v>
      </c>
      <c r="C780">
        <f>'2020_5-2-2_Download'!$AF$5</f>
        <v>2016</v>
      </c>
      <c r="D780" t="str">
        <f>VLOOKUP(B780,[1]Tabelle1!$A$1:$B$68,2,FALSE)</f>
        <v>Stat. Region Weser-Ems</v>
      </c>
      <c r="E780" t="str">
        <f>'2020_5-2-2_Download'!$AH$7</f>
        <v>Frauen</v>
      </c>
      <c r="G780" t="s">
        <v>84</v>
      </c>
      <c r="H780" t="str">
        <f>VLOOKUP(B780,[2]Kreise!$A$2:$C$53,3,FALSE)</f>
        <v>K034</v>
      </c>
      <c r="I780">
        <f>'2020_5-2-2_Download'!AH60</f>
        <v>22818</v>
      </c>
    </row>
    <row r="781" spans="2:9">
      <c r="B781">
        <f>'2020_5-2-2_Download'!B61</f>
        <v>0</v>
      </c>
      <c r="C781">
        <f>'2020_5-2-2_Download'!$AF$5</f>
        <v>2016</v>
      </c>
      <c r="D781" t="str">
        <f>VLOOKUP(B781,[1]Tabelle1!$A$1:$B$68,2,FALSE)</f>
        <v>Niedersachsen</v>
      </c>
      <c r="E781" t="str">
        <f>'2020_5-2-2_Download'!$AH$7</f>
        <v>Frauen</v>
      </c>
      <c r="G781" t="s">
        <v>84</v>
      </c>
      <c r="H781" t="str">
        <f>VLOOKUP(B781,[2]Kreise!$A$2:$C$53,3,FALSE)</f>
        <v>K030</v>
      </c>
      <c r="I781">
        <f>'2020_5-2-2_Download'!AH61</f>
        <v>70745</v>
      </c>
    </row>
    <row r="782" spans="2:9">
      <c r="B782">
        <f>'2020_5-2-2_Download'!B10</f>
        <v>101</v>
      </c>
      <c r="C782">
        <f>'2020_5-2-2_Download'!$AM$5</f>
        <v>2015</v>
      </c>
      <c r="D782" t="str">
        <f>VLOOKUP(B782,[1]Tabelle1!$A$1:$B$68,2,FALSE)</f>
        <v>Braunschweig  Stadt</v>
      </c>
      <c r="E782" t="str">
        <f>'2020_5-2-2_Download'!$AM$7</f>
        <v>Insgesamt</v>
      </c>
      <c r="G782" t="s">
        <v>84</v>
      </c>
      <c r="H782" t="str">
        <f>VLOOKUP(B782,[2]Kreise!$A$2:$C$53,3,FALSE)</f>
        <v>K03101</v>
      </c>
      <c r="I782">
        <f>'2020_5-2-2_Download'!AM10</f>
        <v>7339</v>
      </c>
    </row>
    <row r="783" spans="2:9">
      <c r="B783">
        <f>'2020_5-2-2_Download'!B11</f>
        <v>102</v>
      </c>
      <c r="C783">
        <f>'2020_5-2-2_Download'!$AM$5</f>
        <v>2015</v>
      </c>
      <c r="D783" t="str">
        <f>VLOOKUP(B783,[1]Tabelle1!$A$1:$B$68,2,FALSE)</f>
        <v>Salzgitter  Stadt</v>
      </c>
      <c r="E783" t="str">
        <f>'2020_5-2-2_Download'!$AM$7</f>
        <v>Insgesamt</v>
      </c>
      <c r="G783" t="s">
        <v>84</v>
      </c>
      <c r="H783" t="str">
        <f>VLOOKUP(B783,[2]Kreise!$A$2:$C$53,3,FALSE)</f>
        <v>K03102</v>
      </c>
      <c r="I783">
        <f>'2020_5-2-2_Download'!AM11</f>
        <v>3420</v>
      </c>
    </row>
    <row r="784" spans="2:9">
      <c r="B784">
        <f>'2020_5-2-2_Download'!B12</f>
        <v>103</v>
      </c>
      <c r="C784">
        <f>'2020_5-2-2_Download'!$AM$5</f>
        <v>2015</v>
      </c>
      <c r="D784" t="str">
        <f>VLOOKUP(B784,[1]Tabelle1!$A$1:$B$68,2,FALSE)</f>
        <v>Wolfsburg  Stadt</v>
      </c>
      <c r="E784" t="str">
        <f>'2020_5-2-2_Download'!$AM$7</f>
        <v>Insgesamt</v>
      </c>
      <c r="G784" t="s">
        <v>84</v>
      </c>
      <c r="H784" t="str">
        <f>VLOOKUP(B784,[2]Kreise!$A$2:$C$53,3,FALSE)</f>
        <v>K03103</v>
      </c>
      <c r="I784">
        <f>'2020_5-2-2_Download'!AM12</f>
        <v>8235</v>
      </c>
    </row>
    <row r="785" spans="2:9">
      <c r="B785">
        <f>'2020_5-2-2_Download'!B13</f>
        <v>151</v>
      </c>
      <c r="C785">
        <f>'2020_5-2-2_Download'!$AM$5</f>
        <v>2015</v>
      </c>
      <c r="D785" t="str">
        <f>VLOOKUP(B785,[1]Tabelle1!$A$1:$B$68,2,FALSE)</f>
        <v>Gifhorn</v>
      </c>
      <c r="E785" t="str">
        <f>'2020_5-2-2_Download'!$AM$7</f>
        <v>Insgesamt</v>
      </c>
      <c r="G785" t="s">
        <v>84</v>
      </c>
      <c r="H785" t="str">
        <f>VLOOKUP(B785,[2]Kreise!$A$2:$C$53,3,FALSE)</f>
        <v>K03151</v>
      </c>
      <c r="I785">
        <f>'2020_5-2-2_Download'!AM13</f>
        <v>2136</v>
      </c>
    </row>
    <row r="786" spans="2:9">
      <c r="B786">
        <f>'2020_5-2-2_Download'!B14</f>
        <v>153</v>
      </c>
      <c r="C786">
        <f>'2020_5-2-2_Download'!$AM$5</f>
        <v>2015</v>
      </c>
      <c r="D786" t="str">
        <f>VLOOKUP(B786,[1]Tabelle1!$A$1:$B$68,2,FALSE)</f>
        <v>Goslar</v>
      </c>
      <c r="E786" t="str">
        <f>'2020_5-2-2_Download'!$AM$7</f>
        <v>Insgesamt</v>
      </c>
      <c r="G786" t="s">
        <v>84</v>
      </c>
      <c r="H786" t="str">
        <f>VLOOKUP(B786,[2]Kreise!$A$2:$C$53,3,FALSE)</f>
        <v>K03153</v>
      </c>
      <c r="I786">
        <f>'2020_5-2-2_Download'!AM14</f>
        <v>1970</v>
      </c>
    </row>
    <row r="787" spans="2:9">
      <c r="B787">
        <f>'2020_5-2-2_Download'!B15</f>
        <v>154</v>
      </c>
      <c r="C787">
        <f>'2020_5-2-2_Download'!$AM$5</f>
        <v>2015</v>
      </c>
      <c r="D787" t="str">
        <f>VLOOKUP(B787,[1]Tabelle1!$A$1:$B$68,2,FALSE)</f>
        <v>Helmstedt</v>
      </c>
      <c r="E787" t="str">
        <f>'2020_5-2-2_Download'!$AM$7</f>
        <v>Insgesamt</v>
      </c>
      <c r="G787" t="s">
        <v>84</v>
      </c>
      <c r="H787" t="str">
        <f>VLOOKUP(B787,[2]Kreise!$A$2:$C$53,3,FALSE)</f>
        <v>K03154</v>
      </c>
      <c r="I787">
        <f>'2020_5-2-2_Download'!AM15</f>
        <v>712</v>
      </c>
    </row>
    <row r="788" spans="2:9">
      <c r="B788">
        <f>'2020_5-2-2_Download'!B16</f>
        <v>155</v>
      </c>
      <c r="C788">
        <f>'2020_5-2-2_Download'!$AM$5</f>
        <v>2015</v>
      </c>
      <c r="D788" t="str">
        <f>VLOOKUP(B788,[1]Tabelle1!$A$1:$B$68,2,FALSE)</f>
        <v>Northeim</v>
      </c>
      <c r="E788" t="str">
        <f>'2020_5-2-2_Download'!$AM$7</f>
        <v>Insgesamt</v>
      </c>
      <c r="G788" t="s">
        <v>84</v>
      </c>
      <c r="H788" t="str">
        <f>VLOOKUP(B788,[2]Kreise!$A$2:$C$53,3,FALSE)</f>
        <v>K03155</v>
      </c>
      <c r="I788">
        <f>'2020_5-2-2_Download'!AM16</f>
        <v>2052</v>
      </c>
    </row>
    <row r="789" spans="2:9">
      <c r="B789">
        <f>'2020_5-2-2_Download'!B17</f>
        <v>157</v>
      </c>
      <c r="C789">
        <f>'2020_5-2-2_Download'!$AM$5</f>
        <v>2015</v>
      </c>
      <c r="D789" t="str">
        <f>VLOOKUP(B789,[1]Tabelle1!$A$1:$B$68,2,FALSE)</f>
        <v>Peine</v>
      </c>
      <c r="E789" t="str">
        <f>'2020_5-2-2_Download'!$AM$7</f>
        <v>Insgesamt</v>
      </c>
      <c r="G789" t="s">
        <v>84</v>
      </c>
      <c r="H789" t="str">
        <f>VLOOKUP(B789,[2]Kreise!$A$2:$C$53,3,FALSE)</f>
        <v>K03157</v>
      </c>
      <c r="I789">
        <f>'2020_5-2-2_Download'!AM17</f>
        <v>1599</v>
      </c>
    </row>
    <row r="790" spans="2:9">
      <c r="B790">
        <f>'2020_5-2-2_Download'!B18</f>
        <v>158</v>
      </c>
      <c r="C790">
        <f>'2020_5-2-2_Download'!$AM$5</f>
        <v>2015</v>
      </c>
      <c r="D790" t="str">
        <f>VLOOKUP(B790,[1]Tabelle1!$A$1:$B$68,2,FALSE)</f>
        <v>Wolfenbüttel</v>
      </c>
      <c r="E790" t="str">
        <f>'2020_5-2-2_Download'!$AM$7</f>
        <v>Insgesamt</v>
      </c>
      <c r="G790" t="s">
        <v>84</v>
      </c>
      <c r="H790" t="str">
        <f>VLOOKUP(B790,[2]Kreise!$A$2:$C$53,3,FALSE)</f>
        <v>K03158</v>
      </c>
      <c r="I790">
        <f>'2020_5-2-2_Download'!AM18</f>
        <v>885</v>
      </c>
    </row>
    <row r="791" spans="2:9">
      <c r="B791">
        <f>'2020_5-2-2_Download'!B19</f>
        <v>159</v>
      </c>
      <c r="C791">
        <f>'2020_5-2-2_Download'!$AM$5</f>
        <v>2015</v>
      </c>
      <c r="D791" t="str">
        <f>VLOOKUP(B791,[1]Tabelle1!$A$1:$B$68,2,FALSE)</f>
        <v>Göttingen</v>
      </c>
      <c r="E791" t="str">
        <f>'2020_5-2-2_Download'!$AM$7</f>
        <v>Insgesamt</v>
      </c>
      <c r="G791" t="s">
        <v>84</v>
      </c>
      <c r="H791" t="str">
        <f>VLOOKUP(B791,[2]Kreise!$A$2:$C$53,3,FALSE)</f>
        <v>K03159</v>
      </c>
      <c r="I791">
        <f>'2020_5-2-2_Download'!AM19</f>
        <v>6297</v>
      </c>
    </row>
    <row r="792" spans="2:9">
      <c r="B792">
        <f>'2020_5-2-2_Download'!B20</f>
        <v>1</v>
      </c>
      <c r="C792">
        <f>'2020_5-2-2_Download'!$AM$5</f>
        <v>2015</v>
      </c>
      <c r="D792" t="str">
        <f>VLOOKUP(B792,[1]Tabelle1!$A$1:$B$68,2,FALSE)</f>
        <v>Stat. Region Braunschweig</v>
      </c>
      <c r="E792" t="str">
        <f>'2020_5-2-2_Download'!$AM$7</f>
        <v>Insgesamt</v>
      </c>
      <c r="G792" t="s">
        <v>84</v>
      </c>
      <c r="H792" t="str">
        <f>VLOOKUP(B792,[2]Kreise!$A$2:$C$53,3,FALSE)</f>
        <v>K031</v>
      </c>
      <c r="I792">
        <f>'2020_5-2-2_Download'!AM20</f>
        <v>34645</v>
      </c>
    </row>
    <row r="793" spans="2:9">
      <c r="B793">
        <f>'2020_5-2-2_Download'!B21</f>
        <v>241</v>
      </c>
      <c r="C793">
        <f>'2020_5-2-2_Download'!$AM$5</f>
        <v>2015</v>
      </c>
      <c r="D793" t="str">
        <f>VLOOKUP(B793,[1]Tabelle1!$A$1:$B$68,2,FALSE)</f>
        <v>Hannover  Region</v>
      </c>
      <c r="E793" t="str">
        <f>'2020_5-2-2_Download'!$AM$7</f>
        <v>Insgesamt</v>
      </c>
      <c r="G793" t="s">
        <v>84</v>
      </c>
      <c r="H793" t="str">
        <f>VLOOKUP(B793,[2]Kreise!$A$2:$C$53,3,FALSE)</f>
        <v>K03241</v>
      </c>
      <c r="I793">
        <f>'2020_5-2-2_Download'!AM21</f>
        <v>42697</v>
      </c>
    </row>
    <row r="794" spans="2:9">
      <c r="B794">
        <f>'2020_5-2-2_Download'!B22</f>
        <v>241001</v>
      </c>
      <c r="C794">
        <f>'2020_5-2-2_Download'!$AM$5</f>
        <v>2015</v>
      </c>
      <c r="D794" t="str">
        <f>VLOOKUP(B794,[1]Tabelle1!$A$1:$B$68,2,FALSE)</f>
        <v>dav. Hannover  Lhst.</v>
      </c>
      <c r="E794" t="str">
        <f>'2020_5-2-2_Download'!$AM$7</f>
        <v>Insgesamt</v>
      </c>
      <c r="G794" t="s">
        <v>84</v>
      </c>
      <c r="H794" t="str">
        <f>VLOOKUP(B794,[2]Kreise!$A$2:$C$53,3,FALSE)</f>
        <v>K03241001</v>
      </c>
      <c r="I794">
        <f>'2020_5-2-2_Download'!AM22</f>
        <v>28583</v>
      </c>
    </row>
    <row r="795" spans="2:9">
      <c r="B795">
        <f>'2020_5-2-2_Download'!B23</f>
        <v>241999</v>
      </c>
      <c r="C795">
        <f>'2020_5-2-2_Download'!$AM$5</f>
        <v>2015</v>
      </c>
      <c r="D795" t="str">
        <f>VLOOKUP(B795,[1]Tabelle1!$A$1:$B$68,2,FALSE)</f>
        <v>dav. Hannover  Umland</v>
      </c>
      <c r="E795" t="str">
        <f>'2020_5-2-2_Download'!$AM$7</f>
        <v>Insgesamt</v>
      </c>
      <c r="G795" t="s">
        <v>84</v>
      </c>
      <c r="H795" t="str">
        <f>VLOOKUP(B795,[2]Kreise!$A$2:$C$53,3,FALSE)</f>
        <v>K03241999</v>
      </c>
      <c r="I795">
        <f>'2020_5-2-2_Download'!AM23</f>
        <v>14114</v>
      </c>
    </row>
    <row r="796" spans="2:9">
      <c r="B796">
        <f>'2020_5-2-2_Download'!B24</f>
        <v>251</v>
      </c>
      <c r="C796">
        <f>'2020_5-2-2_Download'!$AM$5</f>
        <v>2015</v>
      </c>
      <c r="D796" t="str">
        <f>VLOOKUP(B796,[1]Tabelle1!$A$1:$B$68,2,FALSE)</f>
        <v>Diepholz</v>
      </c>
      <c r="E796" t="str">
        <f>'2020_5-2-2_Download'!$AM$7</f>
        <v>Insgesamt</v>
      </c>
      <c r="G796" t="s">
        <v>84</v>
      </c>
      <c r="H796" t="str">
        <f>VLOOKUP(B796,[2]Kreise!$A$2:$C$53,3,FALSE)</f>
        <v>K03251</v>
      </c>
      <c r="I796">
        <f>'2020_5-2-2_Download'!AM24</f>
        <v>3781</v>
      </c>
    </row>
    <row r="797" spans="2:9">
      <c r="B797">
        <f>'2020_5-2-2_Download'!B25</f>
        <v>252</v>
      </c>
      <c r="C797">
        <f>'2020_5-2-2_Download'!$AM$5</f>
        <v>2015</v>
      </c>
      <c r="D797" t="str">
        <f>VLOOKUP(B797,[1]Tabelle1!$A$1:$B$68,2,FALSE)</f>
        <v>Hameln-Pyrmont</v>
      </c>
      <c r="E797" t="str">
        <f>'2020_5-2-2_Download'!$AM$7</f>
        <v>Insgesamt</v>
      </c>
      <c r="G797" t="s">
        <v>84</v>
      </c>
      <c r="H797" t="str">
        <f>VLOOKUP(B797,[2]Kreise!$A$2:$C$53,3,FALSE)</f>
        <v>K03252</v>
      </c>
      <c r="I797">
        <f>'2020_5-2-2_Download'!AM25</f>
        <v>2786</v>
      </c>
    </row>
    <row r="798" spans="2:9">
      <c r="B798">
        <f>'2020_5-2-2_Download'!B26</f>
        <v>254</v>
      </c>
      <c r="C798">
        <f>'2020_5-2-2_Download'!$AM$5</f>
        <v>2015</v>
      </c>
      <c r="D798" t="str">
        <f>VLOOKUP(B798,[1]Tabelle1!$A$1:$B$68,2,FALSE)</f>
        <v>Hildesheim</v>
      </c>
      <c r="E798" t="str">
        <f>'2020_5-2-2_Download'!$AM$7</f>
        <v>Insgesamt</v>
      </c>
      <c r="G798" t="s">
        <v>84</v>
      </c>
      <c r="H798" t="str">
        <f>VLOOKUP(B798,[2]Kreise!$A$2:$C$53,3,FALSE)</f>
        <v>K03254</v>
      </c>
      <c r="I798">
        <f>'2020_5-2-2_Download'!AM26</f>
        <v>3866</v>
      </c>
    </row>
    <row r="799" spans="2:9">
      <c r="B799">
        <f>'2020_5-2-2_Download'!B27</f>
        <v>255</v>
      </c>
      <c r="C799">
        <f>'2020_5-2-2_Download'!$AM$5</f>
        <v>2015</v>
      </c>
      <c r="D799" t="str">
        <f>VLOOKUP(B799,[1]Tabelle1!$A$1:$B$68,2,FALSE)</f>
        <v>Holzminden</v>
      </c>
      <c r="E799" t="str">
        <f>'2020_5-2-2_Download'!$AM$7</f>
        <v>Insgesamt</v>
      </c>
      <c r="G799" t="s">
        <v>84</v>
      </c>
      <c r="H799" t="str">
        <f>VLOOKUP(B799,[2]Kreise!$A$2:$C$53,3,FALSE)</f>
        <v>K03255</v>
      </c>
      <c r="I799">
        <f>'2020_5-2-2_Download'!AM27</f>
        <v>851</v>
      </c>
    </row>
    <row r="800" spans="2:9">
      <c r="B800">
        <f>'2020_5-2-2_Download'!B28</f>
        <v>256</v>
      </c>
      <c r="C800">
        <f>'2020_5-2-2_Download'!$AM$5</f>
        <v>2015</v>
      </c>
      <c r="D800" t="str">
        <f>VLOOKUP(B800,[1]Tabelle1!$A$1:$B$68,2,FALSE)</f>
        <v>Nienburg (Weser)</v>
      </c>
      <c r="E800" t="str">
        <f>'2020_5-2-2_Download'!$AM$7</f>
        <v>Insgesamt</v>
      </c>
      <c r="G800" t="s">
        <v>84</v>
      </c>
      <c r="H800" t="str">
        <f>VLOOKUP(B800,[2]Kreise!$A$2:$C$53,3,FALSE)</f>
        <v>K03256</v>
      </c>
      <c r="I800">
        <f>'2020_5-2-2_Download'!AM28</f>
        <v>2038</v>
      </c>
    </row>
    <row r="801" spans="2:9">
      <c r="B801">
        <f>'2020_5-2-2_Download'!B29</f>
        <v>257</v>
      </c>
      <c r="C801">
        <f>'2020_5-2-2_Download'!$AM$5</f>
        <v>2015</v>
      </c>
      <c r="D801" t="str">
        <f>VLOOKUP(B801,[1]Tabelle1!$A$1:$B$68,2,FALSE)</f>
        <v>Schaumburg</v>
      </c>
      <c r="E801" t="str">
        <f>'2020_5-2-2_Download'!$AM$7</f>
        <v>Insgesamt</v>
      </c>
      <c r="G801" t="s">
        <v>84</v>
      </c>
      <c r="H801" t="str">
        <f>VLOOKUP(B801,[2]Kreise!$A$2:$C$53,3,FALSE)</f>
        <v>K03257</v>
      </c>
      <c r="I801">
        <f>'2020_5-2-2_Download'!AM29</f>
        <v>2296</v>
      </c>
    </row>
    <row r="802" spans="2:9">
      <c r="B802">
        <f>'2020_5-2-2_Download'!B30</f>
        <v>2</v>
      </c>
      <c r="C802">
        <f>'2020_5-2-2_Download'!$AM$5</f>
        <v>2015</v>
      </c>
      <c r="D802" t="str">
        <f>VLOOKUP(B802,[1]Tabelle1!$A$1:$B$68,2,FALSE)</f>
        <v>Stat. Region Hannover</v>
      </c>
      <c r="E802" t="str">
        <f>'2020_5-2-2_Download'!$AM$7</f>
        <v>Insgesamt</v>
      </c>
      <c r="G802" t="s">
        <v>84</v>
      </c>
      <c r="H802" t="str">
        <f>VLOOKUP(B802,[2]Kreise!$A$2:$C$53,3,FALSE)</f>
        <v>K032</v>
      </c>
      <c r="I802">
        <f>'2020_5-2-2_Download'!AM30</f>
        <v>58315</v>
      </c>
    </row>
    <row r="803" spans="2:9">
      <c r="B803">
        <f>'2020_5-2-2_Download'!B31</f>
        <v>351</v>
      </c>
      <c r="C803">
        <f>'2020_5-2-2_Download'!$AM$5</f>
        <v>2015</v>
      </c>
      <c r="D803" t="str">
        <f>VLOOKUP(B803,[1]Tabelle1!$A$1:$B$68,2,FALSE)</f>
        <v>Celle</v>
      </c>
      <c r="E803" t="str">
        <f>'2020_5-2-2_Download'!$AM$7</f>
        <v>Insgesamt</v>
      </c>
      <c r="G803" t="s">
        <v>84</v>
      </c>
      <c r="H803" t="str">
        <f>VLOOKUP(B803,[2]Kreise!$A$2:$C$53,3,FALSE)</f>
        <v>K03351</v>
      </c>
      <c r="I803">
        <f>'2020_5-2-2_Download'!AM31</f>
        <v>2601</v>
      </c>
    </row>
    <row r="804" spans="2:9">
      <c r="B804">
        <f>'2020_5-2-2_Download'!B32</f>
        <v>352</v>
      </c>
      <c r="C804">
        <f>'2020_5-2-2_Download'!$AM$5</f>
        <v>2015</v>
      </c>
      <c r="D804" t="str">
        <f>VLOOKUP(B804,[1]Tabelle1!$A$1:$B$68,2,FALSE)</f>
        <v>Cuxhaven</v>
      </c>
      <c r="E804" t="str">
        <f>'2020_5-2-2_Download'!$AM$7</f>
        <v>Insgesamt</v>
      </c>
      <c r="G804" t="s">
        <v>84</v>
      </c>
      <c r="H804" t="str">
        <f>VLOOKUP(B804,[2]Kreise!$A$2:$C$53,3,FALSE)</f>
        <v>K03352</v>
      </c>
      <c r="I804">
        <f>'2020_5-2-2_Download'!AM32</f>
        <v>2948</v>
      </c>
    </row>
    <row r="805" spans="2:9">
      <c r="B805">
        <f>'2020_5-2-2_Download'!B33</f>
        <v>353</v>
      </c>
      <c r="C805">
        <f>'2020_5-2-2_Download'!$AM$5</f>
        <v>2015</v>
      </c>
      <c r="D805" t="str">
        <f>VLOOKUP(B805,[1]Tabelle1!$A$1:$B$68,2,FALSE)</f>
        <v>Harburg</v>
      </c>
      <c r="E805" t="str">
        <f>'2020_5-2-2_Download'!$AM$7</f>
        <v>Insgesamt</v>
      </c>
      <c r="G805" t="s">
        <v>84</v>
      </c>
      <c r="H805" t="str">
        <f>VLOOKUP(B805,[2]Kreise!$A$2:$C$53,3,FALSE)</f>
        <v>K03353</v>
      </c>
      <c r="I805">
        <f>'2020_5-2-2_Download'!AM33</f>
        <v>4482</v>
      </c>
    </row>
    <row r="806" spans="2:9">
      <c r="B806">
        <f>'2020_5-2-2_Download'!B34</f>
        <v>354</v>
      </c>
      <c r="C806">
        <f>'2020_5-2-2_Download'!$AM$5</f>
        <v>2015</v>
      </c>
      <c r="D806" t="str">
        <f>VLOOKUP(B806,[1]Tabelle1!$A$1:$B$68,2,FALSE)</f>
        <v>Lüchow-Dannenberg</v>
      </c>
      <c r="E806" t="str">
        <f>'2020_5-2-2_Download'!$AM$7</f>
        <v>Insgesamt</v>
      </c>
      <c r="G806" t="s">
        <v>84</v>
      </c>
      <c r="H806" t="str">
        <f>VLOOKUP(B806,[2]Kreise!$A$2:$C$53,3,FALSE)</f>
        <v>K03354</v>
      </c>
      <c r="I806">
        <f>'2020_5-2-2_Download'!AM34</f>
        <v>629</v>
      </c>
    </row>
    <row r="807" spans="2:9">
      <c r="B807">
        <f>'2020_5-2-2_Download'!B35</f>
        <v>355</v>
      </c>
      <c r="C807">
        <f>'2020_5-2-2_Download'!$AM$5</f>
        <v>2015</v>
      </c>
      <c r="D807" t="str">
        <f>VLOOKUP(B807,[1]Tabelle1!$A$1:$B$68,2,FALSE)</f>
        <v>Lüneburg</v>
      </c>
      <c r="E807" t="str">
        <f>'2020_5-2-2_Download'!$AM$7</f>
        <v>Insgesamt</v>
      </c>
      <c r="G807" t="s">
        <v>84</v>
      </c>
      <c r="H807" t="str">
        <f>VLOOKUP(B807,[2]Kreise!$A$2:$C$53,3,FALSE)</f>
        <v>K03355</v>
      </c>
      <c r="I807">
        <f>'2020_5-2-2_Download'!AM35</f>
        <v>2309</v>
      </c>
    </row>
    <row r="808" spans="2:9">
      <c r="B808">
        <f>'2020_5-2-2_Download'!B36</f>
        <v>356</v>
      </c>
      <c r="C808">
        <f>'2020_5-2-2_Download'!$AM$5</f>
        <v>2015</v>
      </c>
      <c r="D808" t="str">
        <f>VLOOKUP(B808,[1]Tabelle1!$A$1:$B$68,2,FALSE)</f>
        <v>Osterholz</v>
      </c>
      <c r="E808" t="str">
        <f>'2020_5-2-2_Download'!$AM$7</f>
        <v>Insgesamt</v>
      </c>
      <c r="G808" t="s">
        <v>84</v>
      </c>
      <c r="H808" t="str">
        <f>VLOOKUP(B808,[2]Kreise!$A$2:$C$53,3,FALSE)</f>
        <v>K03356</v>
      </c>
      <c r="I808">
        <f>'2020_5-2-2_Download'!AM36</f>
        <v>1054</v>
      </c>
    </row>
    <row r="809" spans="2:9">
      <c r="B809">
        <f>'2020_5-2-2_Download'!B37</f>
        <v>357</v>
      </c>
      <c r="C809">
        <f>'2020_5-2-2_Download'!$AM$5</f>
        <v>2015</v>
      </c>
      <c r="D809" t="str">
        <f>VLOOKUP(B809,[1]Tabelle1!$A$1:$B$68,2,FALSE)</f>
        <v>Rotenburg (Wümme)</v>
      </c>
      <c r="E809" t="str">
        <f>'2020_5-2-2_Download'!$AM$7</f>
        <v>Insgesamt</v>
      </c>
      <c r="G809" t="s">
        <v>84</v>
      </c>
      <c r="H809" t="str">
        <f>VLOOKUP(B809,[2]Kreise!$A$2:$C$53,3,FALSE)</f>
        <v>K03357</v>
      </c>
      <c r="I809">
        <f>'2020_5-2-2_Download'!AM37</f>
        <v>2229</v>
      </c>
    </row>
    <row r="810" spans="2:9">
      <c r="B810">
        <f>'2020_5-2-2_Download'!B38</f>
        <v>358</v>
      </c>
      <c r="C810">
        <f>'2020_5-2-2_Download'!$AM$5</f>
        <v>2015</v>
      </c>
      <c r="D810" t="str">
        <f>VLOOKUP(B810,[1]Tabelle1!$A$1:$B$68,2,FALSE)</f>
        <v>Heidekreis</v>
      </c>
      <c r="E810" t="str">
        <f>'2020_5-2-2_Download'!$AM$7</f>
        <v>Insgesamt</v>
      </c>
      <c r="G810" t="s">
        <v>84</v>
      </c>
      <c r="H810" t="str">
        <f>VLOOKUP(B810,[2]Kreise!$A$2:$C$53,3,FALSE)</f>
        <v>K03358</v>
      </c>
      <c r="I810">
        <f>'2020_5-2-2_Download'!AM38</f>
        <v>2484</v>
      </c>
    </row>
    <row r="811" spans="2:9">
      <c r="B811">
        <f>'2020_5-2-2_Download'!B39</f>
        <v>359</v>
      </c>
      <c r="C811">
        <f>'2020_5-2-2_Download'!$AM$5</f>
        <v>2015</v>
      </c>
      <c r="D811" t="str">
        <f>VLOOKUP(B811,[1]Tabelle1!$A$1:$B$68,2,FALSE)</f>
        <v>Stade</v>
      </c>
      <c r="E811" t="str">
        <f>'2020_5-2-2_Download'!$AM$7</f>
        <v>Insgesamt</v>
      </c>
      <c r="G811" t="s">
        <v>84</v>
      </c>
      <c r="H811" t="str">
        <f>VLOOKUP(B811,[2]Kreise!$A$2:$C$53,3,FALSE)</f>
        <v>K03359</v>
      </c>
      <c r="I811">
        <f>'2020_5-2-2_Download'!AM39</f>
        <v>4157</v>
      </c>
    </row>
    <row r="812" spans="2:9">
      <c r="B812">
        <f>'2020_5-2-2_Download'!B40</f>
        <v>360</v>
      </c>
      <c r="C812">
        <f>'2020_5-2-2_Download'!$AM$5</f>
        <v>2015</v>
      </c>
      <c r="D812" t="str">
        <f>VLOOKUP(B812,[1]Tabelle1!$A$1:$B$68,2,FALSE)</f>
        <v>Uelzen</v>
      </c>
      <c r="E812" t="str">
        <f>'2020_5-2-2_Download'!$AM$7</f>
        <v>Insgesamt</v>
      </c>
      <c r="G812" t="s">
        <v>84</v>
      </c>
      <c r="H812" t="str">
        <f>VLOOKUP(B812,[2]Kreise!$A$2:$C$53,3,FALSE)</f>
        <v>K03360</v>
      </c>
      <c r="I812">
        <f>'2020_5-2-2_Download'!AM40</f>
        <v>962</v>
      </c>
    </row>
    <row r="813" spans="2:9">
      <c r="B813">
        <f>'2020_5-2-2_Download'!B41</f>
        <v>361</v>
      </c>
      <c r="C813">
        <f>'2020_5-2-2_Download'!$AM$5</f>
        <v>2015</v>
      </c>
      <c r="D813" t="str">
        <f>VLOOKUP(B813,[1]Tabelle1!$A$1:$B$68,2,FALSE)</f>
        <v>Verden</v>
      </c>
      <c r="E813" t="str">
        <f>'2020_5-2-2_Download'!$AM$7</f>
        <v>Insgesamt</v>
      </c>
      <c r="G813" t="s">
        <v>84</v>
      </c>
      <c r="H813" t="str">
        <f>VLOOKUP(B813,[2]Kreise!$A$2:$C$53,3,FALSE)</f>
        <v>K03361</v>
      </c>
      <c r="I813">
        <f>'2020_5-2-2_Download'!AM41</f>
        <v>2706</v>
      </c>
    </row>
    <row r="814" spans="2:9">
      <c r="B814">
        <f>'2020_5-2-2_Download'!B42</f>
        <v>3</v>
      </c>
      <c r="C814">
        <f>'2020_5-2-2_Download'!$AM$5</f>
        <v>2015</v>
      </c>
      <c r="D814" t="str">
        <f>VLOOKUP(B814,[1]Tabelle1!$A$1:$B$68,2,FALSE)</f>
        <v>Stat. Region Lüneburg</v>
      </c>
      <c r="E814" t="str">
        <f>'2020_5-2-2_Download'!$AM$7</f>
        <v>Insgesamt</v>
      </c>
      <c r="G814" t="s">
        <v>84</v>
      </c>
      <c r="H814" t="str">
        <f>VLOOKUP(B814,[2]Kreise!$A$2:$C$53,3,FALSE)</f>
        <v>K033</v>
      </c>
      <c r="I814">
        <f>'2020_5-2-2_Download'!AM42</f>
        <v>26561</v>
      </c>
    </row>
    <row r="815" spans="2:9">
      <c r="B815">
        <f>'2020_5-2-2_Download'!B43</f>
        <v>401</v>
      </c>
      <c r="C815">
        <f>'2020_5-2-2_Download'!$AM$5</f>
        <v>2015</v>
      </c>
      <c r="D815" t="str">
        <f>VLOOKUP(B815,[1]Tabelle1!$A$1:$B$68,2,FALSE)</f>
        <v>Delmenhorst  Stadt</v>
      </c>
      <c r="E815" t="str">
        <f>'2020_5-2-2_Download'!$AM$7</f>
        <v>Insgesamt</v>
      </c>
      <c r="G815" t="s">
        <v>84</v>
      </c>
      <c r="H815" t="str">
        <f>VLOOKUP(B815,[2]Kreise!$A$2:$C$53,3,FALSE)</f>
        <v>K03401</v>
      </c>
      <c r="I815">
        <f>'2020_5-2-2_Download'!AM43</f>
        <v>1165</v>
      </c>
    </row>
    <row r="816" spans="2:9">
      <c r="B816">
        <f>'2020_5-2-2_Download'!B44</f>
        <v>402</v>
      </c>
      <c r="C816">
        <f>'2020_5-2-2_Download'!$AM$5</f>
        <v>2015</v>
      </c>
      <c r="D816" t="str">
        <f>VLOOKUP(B816,[1]Tabelle1!$A$1:$B$68,2,FALSE)</f>
        <v>Emden  Stadt</v>
      </c>
      <c r="E816" t="str">
        <f>'2020_5-2-2_Download'!$AM$7</f>
        <v>Insgesamt</v>
      </c>
      <c r="G816" t="s">
        <v>84</v>
      </c>
      <c r="H816" t="str">
        <f>VLOOKUP(B816,[2]Kreise!$A$2:$C$53,3,FALSE)</f>
        <v>K03402</v>
      </c>
      <c r="I816">
        <f>'2020_5-2-2_Download'!AM44</f>
        <v>1507</v>
      </c>
    </row>
    <row r="817" spans="2:9">
      <c r="B817">
        <f>'2020_5-2-2_Download'!B45</f>
        <v>403</v>
      </c>
      <c r="C817">
        <f>'2020_5-2-2_Download'!$AM$5</f>
        <v>2015</v>
      </c>
      <c r="D817" t="str">
        <f>VLOOKUP(B817,[1]Tabelle1!$A$1:$B$68,2,FALSE)</f>
        <v>Oldenburg(Oldb)  Stadt</v>
      </c>
      <c r="E817" t="str">
        <f>'2020_5-2-2_Download'!$AM$7</f>
        <v>Insgesamt</v>
      </c>
      <c r="G817" t="s">
        <v>84</v>
      </c>
      <c r="H817" t="str">
        <f>VLOOKUP(B817,[2]Kreise!$A$2:$C$53,3,FALSE)</f>
        <v>K03403</v>
      </c>
      <c r="I817">
        <f>'2020_5-2-2_Download'!AM45</f>
        <v>3254</v>
      </c>
    </row>
    <row r="818" spans="2:9">
      <c r="B818">
        <f>'2020_5-2-2_Download'!B46</f>
        <v>404</v>
      </c>
      <c r="C818">
        <f>'2020_5-2-2_Download'!$AM$5</f>
        <v>2015</v>
      </c>
      <c r="D818" t="str">
        <f>VLOOKUP(B818,[1]Tabelle1!$A$1:$B$68,2,FALSE)</f>
        <v>Osnabrück  Stadt</v>
      </c>
      <c r="E818" t="str">
        <f>'2020_5-2-2_Download'!$AM$7</f>
        <v>Insgesamt</v>
      </c>
      <c r="G818" t="s">
        <v>84</v>
      </c>
      <c r="H818" t="str">
        <f>VLOOKUP(B818,[2]Kreise!$A$2:$C$53,3,FALSE)</f>
        <v>K03404</v>
      </c>
      <c r="I818">
        <f>'2020_5-2-2_Download'!AM46</f>
        <v>5656</v>
      </c>
    </row>
    <row r="819" spans="2:9">
      <c r="B819">
        <f>'2020_5-2-2_Download'!B47</f>
        <v>405</v>
      </c>
      <c r="C819">
        <f>'2020_5-2-2_Download'!$AM$5</f>
        <v>2015</v>
      </c>
      <c r="D819" t="str">
        <f>VLOOKUP(B819,[1]Tabelle1!$A$1:$B$68,2,FALSE)</f>
        <v>Wilhelmshaven  Stadt</v>
      </c>
      <c r="E819" t="str">
        <f>'2020_5-2-2_Download'!$AM$7</f>
        <v>Insgesamt</v>
      </c>
      <c r="G819" t="s">
        <v>84</v>
      </c>
      <c r="H819" t="str">
        <f>VLOOKUP(B819,[2]Kreise!$A$2:$C$53,3,FALSE)</f>
        <v>K03405</v>
      </c>
      <c r="I819">
        <f>'2020_5-2-2_Download'!AM47</f>
        <v>954</v>
      </c>
    </row>
    <row r="820" spans="2:9">
      <c r="B820">
        <f>'2020_5-2-2_Download'!B48</f>
        <v>451</v>
      </c>
      <c r="C820">
        <f>'2020_5-2-2_Download'!$AM$5</f>
        <v>2015</v>
      </c>
      <c r="D820" t="str">
        <f>VLOOKUP(B820,[1]Tabelle1!$A$1:$B$68,2,FALSE)</f>
        <v>Ammerland</v>
      </c>
      <c r="E820" t="str">
        <f>'2020_5-2-2_Download'!$AM$7</f>
        <v>Insgesamt</v>
      </c>
      <c r="G820" t="s">
        <v>84</v>
      </c>
      <c r="H820" t="str">
        <f>VLOOKUP(B820,[2]Kreise!$A$2:$C$53,3,FALSE)</f>
        <v>K03451</v>
      </c>
      <c r="I820">
        <f>'2020_5-2-2_Download'!AM48</f>
        <v>2321</v>
      </c>
    </row>
    <row r="821" spans="2:9">
      <c r="B821">
        <f>'2020_5-2-2_Download'!B49</f>
        <v>452</v>
      </c>
      <c r="C821">
        <f>'2020_5-2-2_Download'!$AM$5</f>
        <v>2015</v>
      </c>
      <c r="D821" t="str">
        <f>VLOOKUP(B821,[1]Tabelle1!$A$1:$B$68,2,FALSE)</f>
        <v>Aurich</v>
      </c>
      <c r="E821" t="str">
        <f>'2020_5-2-2_Download'!$AM$7</f>
        <v>Insgesamt</v>
      </c>
      <c r="G821" t="s">
        <v>84</v>
      </c>
      <c r="H821" t="str">
        <f>VLOOKUP(B821,[2]Kreise!$A$2:$C$53,3,FALSE)</f>
        <v>K03452</v>
      </c>
      <c r="I821">
        <f>'2020_5-2-2_Download'!AM49</f>
        <v>3182</v>
      </c>
    </row>
    <row r="822" spans="2:9">
      <c r="B822">
        <f>'2020_5-2-2_Download'!B50</f>
        <v>453</v>
      </c>
      <c r="C822">
        <f>'2020_5-2-2_Download'!$AM$5</f>
        <v>2015</v>
      </c>
      <c r="D822" t="str">
        <f>VLOOKUP(B822,[1]Tabelle1!$A$1:$B$68,2,FALSE)</f>
        <v>Cloppenburg</v>
      </c>
      <c r="E822" t="str">
        <f>'2020_5-2-2_Download'!$AM$7</f>
        <v>Insgesamt</v>
      </c>
      <c r="G822" t="s">
        <v>84</v>
      </c>
      <c r="H822" t="str">
        <f>VLOOKUP(B822,[2]Kreise!$A$2:$C$53,3,FALSE)</f>
        <v>K03453</v>
      </c>
      <c r="I822">
        <f>'2020_5-2-2_Download'!AM50</f>
        <v>5111</v>
      </c>
    </row>
    <row r="823" spans="2:9">
      <c r="B823">
        <f>'2020_5-2-2_Download'!B51</f>
        <v>454</v>
      </c>
      <c r="C823">
        <f>'2020_5-2-2_Download'!$AM$5</f>
        <v>2015</v>
      </c>
      <c r="D823" t="str">
        <f>VLOOKUP(B823,[1]Tabelle1!$A$1:$B$68,2,FALSE)</f>
        <v>Emsland</v>
      </c>
      <c r="E823" t="str">
        <f>'2020_5-2-2_Download'!$AM$7</f>
        <v>Insgesamt</v>
      </c>
      <c r="G823" t="s">
        <v>84</v>
      </c>
      <c r="H823" t="str">
        <f>VLOOKUP(B823,[2]Kreise!$A$2:$C$53,3,FALSE)</f>
        <v>K03454</v>
      </c>
      <c r="I823">
        <f>'2020_5-2-2_Download'!AM51</f>
        <v>7801</v>
      </c>
    </row>
    <row r="824" spans="2:9">
      <c r="B824">
        <f>'2020_5-2-2_Download'!B52</f>
        <v>455</v>
      </c>
      <c r="C824">
        <f>'2020_5-2-2_Download'!$AM$5</f>
        <v>2015</v>
      </c>
      <c r="D824" t="str">
        <f>VLOOKUP(B824,[1]Tabelle1!$A$1:$B$68,2,FALSE)</f>
        <v>Friesland</v>
      </c>
      <c r="E824" t="str">
        <f>'2020_5-2-2_Download'!$AM$7</f>
        <v>Insgesamt</v>
      </c>
      <c r="G824" t="s">
        <v>84</v>
      </c>
      <c r="H824" t="str">
        <f>VLOOKUP(B824,[2]Kreise!$A$2:$C$53,3,FALSE)</f>
        <v>K03455</v>
      </c>
      <c r="I824">
        <f>'2020_5-2-2_Download'!AM52</f>
        <v>961</v>
      </c>
    </row>
    <row r="825" spans="2:9">
      <c r="B825">
        <f>'2020_5-2-2_Download'!B53</f>
        <v>456</v>
      </c>
      <c r="C825">
        <f>'2020_5-2-2_Download'!$AM$5</f>
        <v>2015</v>
      </c>
      <c r="D825" t="str">
        <f>VLOOKUP(B825,[1]Tabelle1!$A$1:$B$68,2,FALSE)</f>
        <v>Grafschaft Bentheim</v>
      </c>
      <c r="E825" t="str">
        <f>'2020_5-2-2_Download'!$AM$7</f>
        <v>Insgesamt</v>
      </c>
      <c r="G825" t="s">
        <v>84</v>
      </c>
      <c r="H825" t="str">
        <f>VLOOKUP(B825,[2]Kreise!$A$2:$C$53,3,FALSE)</f>
        <v>K03456</v>
      </c>
      <c r="I825">
        <f>'2020_5-2-2_Download'!AM53</f>
        <v>3906</v>
      </c>
    </row>
    <row r="826" spans="2:9">
      <c r="B826">
        <f>'2020_5-2-2_Download'!B54</f>
        <v>457</v>
      </c>
      <c r="C826">
        <f>'2020_5-2-2_Download'!$AM$5</f>
        <v>2015</v>
      </c>
      <c r="D826" t="str">
        <f>VLOOKUP(B826,[1]Tabelle1!$A$1:$B$68,2,FALSE)</f>
        <v>Leer</v>
      </c>
      <c r="E826" t="str">
        <f>'2020_5-2-2_Download'!$AM$7</f>
        <v>Insgesamt</v>
      </c>
      <c r="G826" t="s">
        <v>84</v>
      </c>
      <c r="H826" t="str">
        <f>VLOOKUP(B826,[2]Kreise!$A$2:$C$53,3,FALSE)</f>
        <v>K03457</v>
      </c>
      <c r="I826">
        <f>'2020_5-2-2_Download'!AM54</f>
        <v>2168</v>
      </c>
    </row>
    <row r="827" spans="2:9">
      <c r="B827">
        <f>'2020_5-2-2_Download'!B55</f>
        <v>458</v>
      </c>
      <c r="C827">
        <f>'2020_5-2-2_Download'!$AM$5</f>
        <v>2015</v>
      </c>
      <c r="D827" t="str">
        <f>VLOOKUP(B827,[1]Tabelle1!$A$1:$B$68,2,FALSE)</f>
        <v>Oldenburg</v>
      </c>
      <c r="E827" t="str">
        <f>'2020_5-2-2_Download'!$AM$7</f>
        <v>Insgesamt</v>
      </c>
      <c r="G827" t="s">
        <v>84</v>
      </c>
      <c r="H827" t="str">
        <f>VLOOKUP(B827,[2]Kreise!$A$2:$C$53,3,FALSE)</f>
        <v>K03458</v>
      </c>
      <c r="I827">
        <f>'2020_5-2-2_Download'!AM55</f>
        <v>2064</v>
      </c>
    </row>
    <row r="828" spans="2:9">
      <c r="B828">
        <f>'2020_5-2-2_Download'!B56</f>
        <v>459</v>
      </c>
      <c r="C828">
        <f>'2020_5-2-2_Download'!$AM$5</f>
        <v>2015</v>
      </c>
      <c r="D828" t="str">
        <f>VLOOKUP(B828,[1]Tabelle1!$A$1:$B$68,2,FALSE)</f>
        <v>Osnabrück</v>
      </c>
      <c r="E828" t="str">
        <f>'2020_5-2-2_Download'!$AM$7</f>
        <v>Insgesamt</v>
      </c>
      <c r="G828" t="s">
        <v>84</v>
      </c>
      <c r="H828" t="str">
        <f>VLOOKUP(B828,[2]Kreise!$A$2:$C$53,3,FALSE)</f>
        <v>K03459</v>
      </c>
      <c r="I828">
        <f>'2020_5-2-2_Download'!AM56</f>
        <v>10321</v>
      </c>
    </row>
    <row r="829" spans="2:9">
      <c r="B829">
        <f>'2020_5-2-2_Download'!B57</f>
        <v>460</v>
      </c>
      <c r="C829">
        <f>'2020_5-2-2_Download'!$AM$5</f>
        <v>2015</v>
      </c>
      <c r="D829" t="str">
        <f>VLOOKUP(B829,[1]Tabelle1!$A$1:$B$68,2,FALSE)</f>
        <v>Vechta</v>
      </c>
      <c r="E829" t="str">
        <f>'2020_5-2-2_Download'!$AM$7</f>
        <v>Insgesamt</v>
      </c>
      <c r="G829" t="s">
        <v>84</v>
      </c>
      <c r="H829" t="str">
        <f>VLOOKUP(B829,[2]Kreise!$A$2:$C$53,3,FALSE)</f>
        <v>K03460</v>
      </c>
      <c r="I829">
        <f>'2020_5-2-2_Download'!AM57</f>
        <v>7530</v>
      </c>
    </row>
    <row r="830" spans="2:9">
      <c r="B830">
        <f>'2020_5-2-2_Download'!B58</f>
        <v>461</v>
      </c>
      <c r="C830">
        <f>'2020_5-2-2_Download'!$AM$5</f>
        <v>2015</v>
      </c>
      <c r="D830" t="str">
        <f>VLOOKUP(B830,[1]Tabelle1!$A$1:$B$68,2,FALSE)</f>
        <v>Wesermarsch</v>
      </c>
      <c r="E830" t="str">
        <f>'2020_5-2-2_Download'!$AM$7</f>
        <v>Insgesamt</v>
      </c>
      <c r="G830" t="s">
        <v>84</v>
      </c>
      <c r="H830" t="str">
        <f>VLOOKUP(B830,[2]Kreise!$A$2:$C$53,3,FALSE)</f>
        <v>K03461</v>
      </c>
      <c r="I830">
        <f>'2020_5-2-2_Download'!AM58</f>
        <v>1550</v>
      </c>
    </row>
    <row r="831" spans="2:9">
      <c r="B831">
        <f>'2020_5-2-2_Download'!B59</f>
        <v>462</v>
      </c>
      <c r="C831">
        <f>'2020_5-2-2_Download'!$AM$5</f>
        <v>2015</v>
      </c>
      <c r="D831" t="str">
        <f>VLOOKUP(B831,[1]Tabelle1!$A$1:$B$68,2,FALSE)</f>
        <v>Wittmund</v>
      </c>
      <c r="E831" t="str">
        <f>'2020_5-2-2_Download'!$AM$7</f>
        <v>Insgesamt</v>
      </c>
      <c r="G831" t="s">
        <v>84</v>
      </c>
      <c r="H831" t="str">
        <f>VLOOKUP(B831,[2]Kreise!$A$2:$C$53,3,FALSE)</f>
        <v>K03462</v>
      </c>
      <c r="I831">
        <f>'2020_5-2-2_Download'!AM59</f>
        <v>675</v>
      </c>
    </row>
    <row r="832" spans="2:9">
      <c r="B832">
        <f>'2020_5-2-2_Download'!B60</f>
        <v>4</v>
      </c>
      <c r="C832">
        <f>'2020_5-2-2_Download'!$AM$5</f>
        <v>2015</v>
      </c>
      <c r="D832" t="str">
        <f>VLOOKUP(B832,[1]Tabelle1!$A$1:$B$68,2,FALSE)</f>
        <v>Stat. Region Weser-Ems</v>
      </c>
      <c r="E832" t="str">
        <f>'2020_5-2-2_Download'!$AM$7</f>
        <v>Insgesamt</v>
      </c>
      <c r="G832" t="s">
        <v>84</v>
      </c>
      <c r="H832" t="str">
        <f>VLOOKUP(B832,[2]Kreise!$A$2:$C$53,3,FALSE)</f>
        <v>K034</v>
      </c>
      <c r="I832">
        <f>'2020_5-2-2_Download'!AM60</f>
        <v>60126</v>
      </c>
    </row>
    <row r="833" spans="2:9">
      <c r="B833">
        <f>'2020_5-2-2_Download'!B61</f>
        <v>0</v>
      </c>
      <c r="C833">
        <f>'2020_5-2-2_Download'!$AM$5</f>
        <v>2015</v>
      </c>
      <c r="D833" t="str">
        <f>VLOOKUP(B833,[1]Tabelle1!$A$1:$B$68,2,FALSE)</f>
        <v>Niedersachsen</v>
      </c>
      <c r="E833" t="str">
        <f>'2020_5-2-2_Download'!$AM$7</f>
        <v>Insgesamt</v>
      </c>
      <c r="G833" t="s">
        <v>84</v>
      </c>
      <c r="H833" t="str">
        <f>VLOOKUP(B833,[2]Kreise!$A$2:$C$53,3,FALSE)</f>
        <v>K030</v>
      </c>
      <c r="I833">
        <f>'2020_5-2-2_Download'!AM61</f>
        <v>179647</v>
      </c>
    </row>
    <row r="834" spans="2:9">
      <c r="B834">
        <f>'2020_5-2-2_Download'!B10</f>
        <v>101</v>
      </c>
      <c r="C834">
        <f>'2020_5-2-2_Download'!$AM$5</f>
        <v>2015</v>
      </c>
      <c r="D834" t="str">
        <f>VLOOKUP(B834,[1]Tabelle1!$A$1:$B$68,2,FALSE)</f>
        <v>Braunschweig  Stadt</v>
      </c>
      <c r="E834" t="str">
        <f>'2020_5-2-2_Download'!$AN$7</f>
        <v>Männer</v>
      </c>
      <c r="G834" t="s">
        <v>84</v>
      </c>
      <c r="H834" t="str">
        <f>VLOOKUP(B834,[2]Kreise!$A$2:$C$53,3,FALSE)</f>
        <v>K03101</v>
      </c>
      <c r="I834">
        <f>'2020_5-2-2_Download'!AN10</f>
        <v>4285</v>
      </c>
    </row>
    <row r="835" spans="2:9">
      <c r="B835">
        <f>'2020_5-2-2_Download'!B11</f>
        <v>102</v>
      </c>
      <c r="C835">
        <f>'2020_5-2-2_Download'!$AM$5</f>
        <v>2015</v>
      </c>
      <c r="D835" t="str">
        <f>VLOOKUP(B835,[1]Tabelle1!$A$1:$B$68,2,FALSE)</f>
        <v>Salzgitter  Stadt</v>
      </c>
      <c r="E835" t="str">
        <f>'2020_5-2-2_Download'!$AN$7</f>
        <v>Männer</v>
      </c>
      <c r="G835" t="s">
        <v>84</v>
      </c>
      <c r="H835" t="str">
        <f>VLOOKUP(B835,[2]Kreise!$A$2:$C$53,3,FALSE)</f>
        <v>K03102</v>
      </c>
      <c r="I835">
        <f>'2020_5-2-2_Download'!AN11</f>
        <v>2684</v>
      </c>
    </row>
    <row r="836" spans="2:9">
      <c r="B836">
        <f>'2020_5-2-2_Download'!B12</f>
        <v>103</v>
      </c>
      <c r="C836">
        <f>'2020_5-2-2_Download'!$AM$5</f>
        <v>2015</v>
      </c>
      <c r="D836" t="str">
        <f>VLOOKUP(B836,[1]Tabelle1!$A$1:$B$68,2,FALSE)</f>
        <v>Wolfsburg  Stadt</v>
      </c>
      <c r="E836" t="str">
        <f>'2020_5-2-2_Download'!$AN$7</f>
        <v>Männer</v>
      </c>
      <c r="G836" t="s">
        <v>84</v>
      </c>
      <c r="H836" t="str">
        <f>VLOOKUP(B836,[2]Kreise!$A$2:$C$53,3,FALSE)</f>
        <v>K03103</v>
      </c>
      <c r="I836">
        <f>'2020_5-2-2_Download'!AN12</f>
        <v>5780</v>
      </c>
    </row>
    <row r="837" spans="2:9">
      <c r="B837">
        <f>'2020_5-2-2_Download'!B13</f>
        <v>151</v>
      </c>
      <c r="C837">
        <f>'2020_5-2-2_Download'!$AM$5</f>
        <v>2015</v>
      </c>
      <c r="D837" t="str">
        <f>VLOOKUP(B837,[1]Tabelle1!$A$1:$B$68,2,FALSE)</f>
        <v>Gifhorn</v>
      </c>
      <c r="E837" t="str">
        <f>'2020_5-2-2_Download'!$AN$7</f>
        <v>Männer</v>
      </c>
      <c r="G837" t="s">
        <v>84</v>
      </c>
      <c r="H837" t="str">
        <f>VLOOKUP(B837,[2]Kreise!$A$2:$C$53,3,FALSE)</f>
        <v>K03151</v>
      </c>
      <c r="I837">
        <f>'2020_5-2-2_Download'!AN13</f>
        <v>1406</v>
      </c>
    </row>
    <row r="838" spans="2:9">
      <c r="B838">
        <f>'2020_5-2-2_Download'!B14</f>
        <v>153</v>
      </c>
      <c r="C838">
        <f>'2020_5-2-2_Download'!$AM$5</f>
        <v>2015</v>
      </c>
      <c r="D838" t="str">
        <f>VLOOKUP(B838,[1]Tabelle1!$A$1:$B$68,2,FALSE)</f>
        <v>Goslar</v>
      </c>
      <c r="E838" t="str">
        <f>'2020_5-2-2_Download'!$AN$7</f>
        <v>Männer</v>
      </c>
      <c r="G838" t="s">
        <v>84</v>
      </c>
      <c r="H838" t="str">
        <f>VLOOKUP(B838,[2]Kreise!$A$2:$C$53,3,FALSE)</f>
        <v>K03153</v>
      </c>
      <c r="I838">
        <f>'2020_5-2-2_Download'!AN14</f>
        <v>1301</v>
      </c>
    </row>
    <row r="839" spans="2:9">
      <c r="B839">
        <f>'2020_5-2-2_Download'!B15</f>
        <v>154</v>
      </c>
      <c r="C839">
        <f>'2020_5-2-2_Download'!$AM$5</f>
        <v>2015</v>
      </c>
      <c r="D839" t="str">
        <f>VLOOKUP(B839,[1]Tabelle1!$A$1:$B$68,2,FALSE)</f>
        <v>Helmstedt</v>
      </c>
      <c r="E839" t="str">
        <f>'2020_5-2-2_Download'!$AN$7</f>
        <v>Männer</v>
      </c>
      <c r="G839" t="s">
        <v>84</v>
      </c>
      <c r="H839" t="str">
        <f>VLOOKUP(B839,[2]Kreise!$A$2:$C$53,3,FALSE)</f>
        <v>K03154</v>
      </c>
      <c r="I839">
        <f>'2020_5-2-2_Download'!AN15</f>
        <v>399</v>
      </c>
    </row>
    <row r="840" spans="2:9">
      <c r="B840">
        <f>'2020_5-2-2_Download'!B16</f>
        <v>155</v>
      </c>
      <c r="C840">
        <f>'2020_5-2-2_Download'!$AM$5</f>
        <v>2015</v>
      </c>
      <c r="D840" t="str">
        <f>VLOOKUP(B840,[1]Tabelle1!$A$1:$B$68,2,FALSE)</f>
        <v>Northeim</v>
      </c>
      <c r="E840" t="str">
        <f>'2020_5-2-2_Download'!$AN$7</f>
        <v>Männer</v>
      </c>
      <c r="G840" t="s">
        <v>84</v>
      </c>
      <c r="H840" t="str">
        <f>VLOOKUP(B840,[2]Kreise!$A$2:$C$53,3,FALSE)</f>
        <v>K03155</v>
      </c>
      <c r="I840">
        <f>'2020_5-2-2_Download'!AN16</f>
        <v>1540</v>
      </c>
    </row>
    <row r="841" spans="2:9">
      <c r="B841">
        <f>'2020_5-2-2_Download'!B17</f>
        <v>157</v>
      </c>
      <c r="C841">
        <f>'2020_5-2-2_Download'!$AM$5</f>
        <v>2015</v>
      </c>
      <c r="D841" t="str">
        <f>VLOOKUP(B841,[1]Tabelle1!$A$1:$B$68,2,FALSE)</f>
        <v>Peine</v>
      </c>
      <c r="E841" t="str">
        <f>'2020_5-2-2_Download'!$AN$7</f>
        <v>Männer</v>
      </c>
      <c r="G841" t="s">
        <v>84</v>
      </c>
      <c r="H841" t="str">
        <f>VLOOKUP(B841,[2]Kreise!$A$2:$C$53,3,FALSE)</f>
        <v>K03157</v>
      </c>
      <c r="I841">
        <f>'2020_5-2-2_Download'!AN17</f>
        <v>1112</v>
      </c>
    </row>
    <row r="842" spans="2:9">
      <c r="B842">
        <f>'2020_5-2-2_Download'!B18</f>
        <v>158</v>
      </c>
      <c r="C842">
        <f>'2020_5-2-2_Download'!$AM$5</f>
        <v>2015</v>
      </c>
      <c r="D842" t="str">
        <f>VLOOKUP(B842,[1]Tabelle1!$A$1:$B$68,2,FALSE)</f>
        <v>Wolfenbüttel</v>
      </c>
      <c r="E842" t="str">
        <f>'2020_5-2-2_Download'!$AN$7</f>
        <v>Männer</v>
      </c>
      <c r="G842" t="s">
        <v>84</v>
      </c>
      <c r="H842" t="str">
        <f>VLOOKUP(B842,[2]Kreise!$A$2:$C$53,3,FALSE)</f>
        <v>K03158</v>
      </c>
      <c r="I842">
        <f>'2020_5-2-2_Download'!AN18</f>
        <v>529</v>
      </c>
    </row>
    <row r="843" spans="2:9">
      <c r="B843">
        <f>'2020_5-2-2_Download'!B19</f>
        <v>159</v>
      </c>
      <c r="C843">
        <f>'2020_5-2-2_Download'!$AM$5</f>
        <v>2015</v>
      </c>
      <c r="D843" t="str">
        <f>VLOOKUP(B843,[1]Tabelle1!$A$1:$B$68,2,FALSE)</f>
        <v>Göttingen</v>
      </c>
      <c r="E843" t="str">
        <f>'2020_5-2-2_Download'!$AN$7</f>
        <v>Männer</v>
      </c>
      <c r="G843" t="s">
        <v>84</v>
      </c>
      <c r="H843" t="str">
        <f>VLOOKUP(B843,[2]Kreise!$A$2:$C$53,3,FALSE)</f>
        <v>K03159</v>
      </c>
      <c r="I843">
        <f>'2020_5-2-2_Download'!AN19</f>
        <v>3748</v>
      </c>
    </row>
    <row r="844" spans="2:9">
      <c r="B844">
        <f>'2020_5-2-2_Download'!B20</f>
        <v>1</v>
      </c>
      <c r="C844">
        <f>'2020_5-2-2_Download'!$AM$5</f>
        <v>2015</v>
      </c>
      <c r="D844" t="str">
        <f>VLOOKUP(B844,[1]Tabelle1!$A$1:$B$68,2,FALSE)</f>
        <v>Stat. Region Braunschweig</v>
      </c>
      <c r="E844" t="str">
        <f>'2020_5-2-2_Download'!$AN$7</f>
        <v>Männer</v>
      </c>
      <c r="G844" t="s">
        <v>84</v>
      </c>
      <c r="H844" t="str">
        <f>VLOOKUP(B844,[2]Kreise!$A$2:$C$53,3,FALSE)</f>
        <v>K031</v>
      </c>
      <c r="I844">
        <f>'2020_5-2-2_Download'!AN20</f>
        <v>22784</v>
      </c>
    </row>
    <row r="845" spans="2:9">
      <c r="B845">
        <f>'2020_5-2-2_Download'!B21</f>
        <v>241</v>
      </c>
      <c r="C845">
        <f>'2020_5-2-2_Download'!$AM$5</f>
        <v>2015</v>
      </c>
      <c r="D845" t="str">
        <f>VLOOKUP(B845,[1]Tabelle1!$A$1:$B$68,2,FALSE)</f>
        <v>Hannover  Region</v>
      </c>
      <c r="E845" t="str">
        <f>'2020_5-2-2_Download'!$AN$7</f>
        <v>Männer</v>
      </c>
      <c r="G845" t="s">
        <v>84</v>
      </c>
      <c r="H845" t="str">
        <f>VLOOKUP(B845,[2]Kreise!$A$2:$C$53,3,FALSE)</f>
        <v>K03241</v>
      </c>
      <c r="I845">
        <f>'2020_5-2-2_Download'!AN21</f>
        <v>25611</v>
      </c>
    </row>
    <row r="846" spans="2:9">
      <c r="B846">
        <f>'2020_5-2-2_Download'!B22</f>
        <v>241001</v>
      </c>
      <c r="C846">
        <f>'2020_5-2-2_Download'!$AM$5</f>
        <v>2015</v>
      </c>
      <c r="D846" t="str">
        <f>VLOOKUP(B846,[1]Tabelle1!$A$1:$B$68,2,FALSE)</f>
        <v>dav. Hannover  Lhst.</v>
      </c>
      <c r="E846" t="str">
        <f>'2020_5-2-2_Download'!$AN$7</f>
        <v>Männer</v>
      </c>
      <c r="G846" t="s">
        <v>84</v>
      </c>
      <c r="H846" t="str">
        <f>VLOOKUP(B846,[2]Kreise!$A$2:$C$53,3,FALSE)</f>
        <v>K03241001</v>
      </c>
      <c r="I846">
        <f>'2020_5-2-2_Download'!AN22</f>
        <v>16567</v>
      </c>
    </row>
    <row r="847" spans="2:9">
      <c r="B847">
        <f>'2020_5-2-2_Download'!B23</f>
        <v>241999</v>
      </c>
      <c r="C847">
        <f>'2020_5-2-2_Download'!$AM$5</f>
        <v>2015</v>
      </c>
      <c r="D847" t="str">
        <f>VLOOKUP(B847,[1]Tabelle1!$A$1:$B$68,2,FALSE)</f>
        <v>dav. Hannover  Umland</v>
      </c>
      <c r="E847" t="str">
        <f>'2020_5-2-2_Download'!$AN$7</f>
        <v>Männer</v>
      </c>
      <c r="G847" t="s">
        <v>84</v>
      </c>
      <c r="H847" t="str">
        <f>VLOOKUP(B847,[2]Kreise!$A$2:$C$53,3,FALSE)</f>
        <v>K03241999</v>
      </c>
      <c r="I847">
        <f>'2020_5-2-2_Download'!AN23</f>
        <v>9044</v>
      </c>
    </row>
    <row r="848" spans="2:9">
      <c r="B848">
        <f>'2020_5-2-2_Download'!B24</f>
        <v>251</v>
      </c>
      <c r="C848">
        <f>'2020_5-2-2_Download'!$AM$5</f>
        <v>2015</v>
      </c>
      <c r="D848" t="str">
        <f>VLOOKUP(B848,[1]Tabelle1!$A$1:$B$68,2,FALSE)</f>
        <v>Diepholz</v>
      </c>
      <c r="E848" t="str">
        <f>'2020_5-2-2_Download'!$AN$7</f>
        <v>Männer</v>
      </c>
      <c r="G848" t="s">
        <v>84</v>
      </c>
      <c r="H848" t="str">
        <f>VLOOKUP(B848,[2]Kreise!$A$2:$C$53,3,FALSE)</f>
        <v>K03251</v>
      </c>
      <c r="I848">
        <f>'2020_5-2-2_Download'!AN24</f>
        <v>2662</v>
      </c>
    </row>
    <row r="849" spans="2:9">
      <c r="B849">
        <f>'2020_5-2-2_Download'!B25</f>
        <v>252</v>
      </c>
      <c r="C849">
        <f>'2020_5-2-2_Download'!$AM$5</f>
        <v>2015</v>
      </c>
      <c r="D849" t="str">
        <f>VLOOKUP(B849,[1]Tabelle1!$A$1:$B$68,2,FALSE)</f>
        <v>Hameln-Pyrmont</v>
      </c>
      <c r="E849" t="str">
        <f>'2020_5-2-2_Download'!$AN$7</f>
        <v>Männer</v>
      </c>
      <c r="G849" t="s">
        <v>84</v>
      </c>
      <c r="H849" t="str">
        <f>VLOOKUP(B849,[2]Kreise!$A$2:$C$53,3,FALSE)</f>
        <v>K03252</v>
      </c>
      <c r="I849">
        <f>'2020_5-2-2_Download'!AN25</f>
        <v>1655</v>
      </c>
    </row>
    <row r="850" spans="2:9">
      <c r="B850">
        <f>'2020_5-2-2_Download'!B26</f>
        <v>254</v>
      </c>
      <c r="C850">
        <f>'2020_5-2-2_Download'!$AM$5</f>
        <v>2015</v>
      </c>
      <c r="D850" t="str">
        <f>VLOOKUP(B850,[1]Tabelle1!$A$1:$B$68,2,FALSE)</f>
        <v>Hildesheim</v>
      </c>
      <c r="E850" t="str">
        <f>'2020_5-2-2_Download'!$AN$7</f>
        <v>Männer</v>
      </c>
      <c r="G850" t="s">
        <v>84</v>
      </c>
      <c r="H850" t="str">
        <f>VLOOKUP(B850,[2]Kreise!$A$2:$C$53,3,FALSE)</f>
        <v>K03254</v>
      </c>
      <c r="I850">
        <f>'2020_5-2-2_Download'!AN26</f>
        <v>2410</v>
      </c>
    </row>
    <row r="851" spans="2:9">
      <c r="B851">
        <f>'2020_5-2-2_Download'!B27</f>
        <v>255</v>
      </c>
      <c r="C851">
        <f>'2020_5-2-2_Download'!$AM$5</f>
        <v>2015</v>
      </c>
      <c r="D851" t="str">
        <f>VLOOKUP(B851,[1]Tabelle1!$A$1:$B$68,2,FALSE)</f>
        <v>Holzminden</v>
      </c>
      <c r="E851" t="str">
        <f>'2020_5-2-2_Download'!$AN$7</f>
        <v>Männer</v>
      </c>
      <c r="G851" t="s">
        <v>84</v>
      </c>
      <c r="H851" t="str">
        <f>VLOOKUP(B851,[2]Kreise!$A$2:$C$53,3,FALSE)</f>
        <v>K03255</v>
      </c>
      <c r="I851">
        <f>'2020_5-2-2_Download'!AN27</f>
        <v>567</v>
      </c>
    </row>
    <row r="852" spans="2:9">
      <c r="B852">
        <f>'2020_5-2-2_Download'!B28</f>
        <v>256</v>
      </c>
      <c r="C852">
        <f>'2020_5-2-2_Download'!$AM$5</f>
        <v>2015</v>
      </c>
      <c r="D852" t="str">
        <f>VLOOKUP(B852,[1]Tabelle1!$A$1:$B$68,2,FALSE)</f>
        <v>Nienburg (Weser)</v>
      </c>
      <c r="E852" t="str">
        <f>'2020_5-2-2_Download'!$AN$7</f>
        <v>Männer</v>
      </c>
      <c r="G852" t="s">
        <v>84</v>
      </c>
      <c r="H852" t="str">
        <f>VLOOKUP(B852,[2]Kreise!$A$2:$C$53,3,FALSE)</f>
        <v>K03256</v>
      </c>
      <c r="I852">
        <f>'2020_5-2-2_Download'!AN28</f>
        <v>1438</v>
      </c>
    </row>
    <row r="853" spans="2:9">
      <c r="B853">
        <f>'2020_5-2-2_Download'!B29</f>
        <v>257</v>
      </c>
      <c r="C853">
        <f>'2020_5-2-2_Download'!$AM$5</f>
        <v>2015</v>
      </c>
      <c r="D853" t="str">
        <f>VLOOKUP(B853,[1]Tabelle1!$A$1:$B$68,2,FALSE)</f>
        <v>Schaumburg</v>
      </c>
      <c r="E853" t="str">
        <f>'2020_5-2-2_Download'!$AN$7</f>
        <v>Männer</v>
      </c>
      <c r="G853" t="s">
        <v>84</v>
      </c>
      <c r="H853" t="str">
        <f>VLOOKUP(B853,[2]Kreise!$A$2:$C$53,3,FALSE)</f>
        <v>K03257</v>
      </c>
      <c r="I853">
        <f>'2020_5-2-2_Download'!AN29</f>
        <v>1494</v>
      </c>
    </row>
    <row r="854" spans="2:9">
      <c r="B854">
        <f>'2020_5-2-2_Download'!B30</f>
        <v>2</v>
      </c>
      <c r="C854">
        <f>'2020_5-2-2_Download'!$AM$5</f>
        <v>2015</v>
      </c>
      <c r="D854" t="str">
        <f>VLOOKUP(B854,[1]Tabelle1!$A$1:$B$68,2,FALSE)</f>
        <v>Stat. Region Hannover</v>
      </c>
      <c r="E854" t="str">
        <f>'2020_5-2-2_Download'!$AN$7</f>
        <v>Männer</v>
      </c>
      <c r="G854" t="s">
        <v>84</v>
      </c>
      <c r="H854" t="str">
        <f>VLOOKUP(B854,[2]Kreise!$A$2:$C$53,3,FALSE)</f>
        <v>K032</v>
      </c>
      <c r="I854">
        <f>'2020_5-2-2_Download'!AN30</f>
        <v>35837</v>
      </c>
    </row>
    <row r="855" spans="2:9">
      <c r="B855">
        <f>'2020_5-2-2_Download'!B31</f>
        <v>351</v>
      </c>
      <c r="C855">
        <f>'2020_5-2-2_Download'!$AM$5</f>
        <v>2015</v>
      </c>
      <c r="D855" t="str">
        <f>VLOOKUP(B855,[1]Tabelle1!$A$1:$B$68,2,FALSE)</f>
        <v>Celle</v>
      </c>
      <c r="E855" t="str">
        <f>'2020_5-2-2_Download'!$AN$7</f>
        <v>Männer</v>
      </c>
      <c r="G855" t="s">
        <v>84</v>
      </c>
      <c r="H855" t="str">
        <f>VLOOKUP(B855,[2]Kreise!$A$2:$C$53,3,FALSE)</f>
        <v>K03351</v>
      </c>
      <c r="I855">
        <f>'2020_5-2-2_Download'!AN31</f>
        <v>1639</v>
      </c>
    </row>
    <row r="856" spans="2:9">
      <c r="B856">
        <f>'2020_5-2-2_Download'!B32</f>
        <v>352</v>
      </c>
      <c r="C856">
        <f>'2020_5-2-2_Download'!$AM$5</f>
        <v>2015</v>
      </c>
      <c r="D856" t="str">
        <f>VLOOKUP(B856,[1]Tabelle1!$A$1:$B$68,2,FALSE)</f>
        <v>Cuxhaven</v>
      </c>
      <c r="E856" t="str">
        <f>'2020_5-2-2_Download'!$AN$7</f>
        <v>Männer</v>
      </c>
      <c r="G856" t="s">
        <v>84</v>
      </c>
      <c r="H856" t="str">
        <f>VLOOKUP(B856,[2]Kreise!$A$2:$C$53,3,FALSE)</f>
        <v>K03352</v>
      </c>
      <c r="I856">
        <f>'2020_5-2-2_Download'!AN32</f>
        <v>1881</v>
      </c>
    </row>
    <row r="857" spans="2:9">
      <c r="B857">
        <f>'2020_5-2-2_Download'!B33</f>
        <v>353</v>
      </c>
      <c r="C857">
        <f>'2020_5-2-2_Download'!$AM$5</f>
        <v>2015</v>
      </c>
      <c r="D857" t="str">
        <f>VLOOKUP(B857,[1]Tabelle1!$A$1:$B$68,2,FALSE)</f>
        <v>Harburg</v>
      </c>
      <c r="E857" t="str">
        <f>'2020_5-2-2_Download'!$AN$7</f>
        <v>Männer</v>
      </c>
      <c r="G857" t="s">
        <v>84</v>
      </c>
      <c r="H857" t="str">
        <f>VLOOKUP(B857,[2]Kreise!$A$2:$C$53,3,FALSE)</f>
        <v>K03353</v>
      </c>
      <c r="I857">
        <f>'2020_5-2-2_Download'!AN33</f>
        <v>3072</v>
      </c>
    </row>
    <row r="858" spans="2:9">
      <c r="B858">
        <f>'2020_5-2-2_Download'!B34</f>
        <v>354</v>
      </c>
      <c r="C858">
        <f>'2020_5-2-2_Download'!$AM$5</f>
        <v>2015</v>
      </c>
      <c r="D858" t="str">
        <f>VLOOKUP(B858,[1]Tabelle1!$A$1:$B$68,2,FALSE)</f>
        <v>Lüchow-Dannenberg</v>
      </c>
      <c r="E858" t="str">
        <f>'2020_5-2-2_Download'!$AN$7</f>
        <v>Männer</v>
      </c>
      <c r="G858" t="s">
        <v>84</v>
      </c>
      <c r="H858" t="str">
        <f>VLOOKUP(B858,[2]Kreise!$A$2:$C$53,3,FALSE)</f>
        <v>K03354</v>
      </c>
      <c r="I858">
        <f>'2020_5-2-2_Download'!AN34</f>
        <v>394</v>
      </c>
    </row>
    <row r="859" spans="2:9">
      <c r="B859">
        <f>'2020_5-2-2_Download'!B35</f>
        <v>355</v>
      </c>
      <c r="C859">
        <f>'2020_5-2-2_Download'!$AM$5</f>
        <v>2015</v>
      </c>
      <c r="D859" t="str">
        <f>VLOOKUP(B859,[1]Tabelle1!$A$1:$B$68,2,FALSE)</f>
        <v>Lüneburg</v>
      </c>
      <c r="E859" t="str">
        <f>'2020_5-2-2_Download'!$AN$7</f>
        <v>Männer</v>
      </c>
      <c r="G859" t="s">
        <v>84</v>
      </c>
      <c r="H859" t="str">
        <f>VLOOKUP(B859,[2]Kreise!$A$2:$C$53,3,FALSE)</f>
        <v>K03355</v>
      </c>
      <c r="I859">
        <f>'2020_5-2-2_Download'!AN35</f>
        <v>1378</v>
      </c>
    </row>
    <row r="860" spans="2:9">
      <c r="B860">
        <f>'2020_5-2-2_Download'!B36</f>
        <v>356</v>
      </c>
      <c r="C860">
        <f>'2020_5-2-2_Download'!$AM$5</f>
        <v>2015</v>
      </c>
      <c r="D860" t="str">
        <f>VLOOKUP(B860,[1]Tabelle1!$A$1:$B$68,2,FALSE)</f>
        <v>Osterholz</v>
      </c>
      <c r="E860" t="str">
        <f>'2020_5-2-2_Download'!$AN$7</f>
        <v>Männer</v>
      </c>
      <c r="G860" t="s">
        <v>84</v>
      </c>
      <c r="H860" t="str">
        <f>VLOOKUP(B860,[2]Kreise!$A$2:$C$53,3,FALSE)</f>
        <v>K03356</v>
      </c>
      <c r="I860">
        <f>'2020_5-2-2_Download'!AN36</f>
        <v>700</v>
      </c>
    </row>
    <row r="861" spans="2:9">
      <c r="B861">
        <f>'2020_5-2-2_Download'!B37</f>
        <v>357</v>
      </c>
      <c r="C861">
        <f>'2020_5-2-2_Download'!$AM$5</f>
        <v>2015</v>
      </c>
      <c r="D861" t="str">
        <f>VLOOKUP(B861,[1]Tabelle1!$A$1:$B$68,2,FALSE)</f>
        <v>Rotenburg (Wümme)</v>
      </c>
      <c r="E861" t="str">
        <f>'2020_5-2-2_Download'!$AN$7</f>
        <v>Männer</v>
      </c>
      <c r="G861" t="s">
        <v>84</v>
      </c>
      <c r="H861" t="str">
        <f>VLOOKUP(B861,[2]Kreise!$A$2:$C$53,3,FALSE)</f>
        <v>K03357</v>
      </c>
      <c r="I861">
        <f>'2020_5-2-2_Download'!AN37</f>
        <v>1487</v>
      </c>
    </row>
    <row r="862" spans="2:9">
      <c r="B862">
        <f>'2020_5-2-2_Download'!B38</f>
        <v>358</v>
      </c>
      <c r="C862">
        <f>'2020_5-2-2_Download'!$AM$5</f>
        <v>2015</v>
      </c>
      <c r="D862" t="str">
        <f>VLOOKUP(B862,[1]Tabelle1!$A$1:$B$68,2,FALSE)</f>
        <v>Heidekreis</v>
      </c>
      <c r="E862" t="str">
        <f>'2020_5-2-2_Download'!$AN$7</f>
        <v>Männer</v>
      </c>
      <c r="G862" t="s">
        <v>84</v>
      </c>
      <c r="H862" t="str">
        <f>VLOOKUP(B862,[2]Kreise!$A$2:$C$53,3,FALSE)</f>
        <v>K03358</v>
      </c>
      <c r="I862">
        <f>'2020_5-2-2_Download'!AN38</f>
        <v>1634</v>
      </c>
    </row>
    <row r="863" spans="2:9">
      <c r="B863">
        <f>'2020_5-2-2_Download'!B39</f>
        <v>359</v>
      </c>
      <c r="C863">
        <f>'2020_5-2-2_Download'!$AM$5</f>
        <v>2015</v>
      </c>
      <c r="D863" t="str">
        <f>VLOOKUP(B863,[1]Tabelle1!$A$1:$B$68,2,FALSE)</f>
        <v>Stade</v>
      </c>
      <c r="E863" t="str">
        <f>'2020_5-2-2_Download'!$AN$7</f>
        <v>Männer</v>
      </c>
      <c r="G863" t="s">
        <v>84</v>
      </c>
      <c r="H863" t="str">
        <f>VLOOKUP(B863,[2]Kreise!$A$2:$C$53,3,FALSE)</f>
        <v>K03359</v>
      </c>
      <c r="I863">
        <f>'2020_5-2-2_Download'!AN39</f>
        <v>3195</v>
      </c>
    </row>
    <row r="864" spans="2:9">
      <c r="B864">
        <f>'2020_5-2-2_Download'!B40</f>
        <v>360</v>
      </c>
      <c r="C864">
        <f>'2020_5-2-2_Download'!$AM$5</f>
        <v>2015</v>
      </c>
      <c r="D864" t="str">
        <f>VLOOKUP(B864,[1]Tabelle1!$A$1:$B$68,2,FALSE)</f>
        <v>Uelzen</v>
      </c>
      <c r="E864" t="str">
        <f>'2020_5-2-2_Download'!$AN$7</f>
        <v>Männer</v>
      </c>
      <c r="G864" t="s">
        <v>84</v>
      </c>
      <c r="H864" t="str">
        <f>VLOOKUP(B864,[2]Kreise!$A$2:$C$53,3,FALSE)</f>
        <v>K03360</v>
      </c>
      <c r="I864">
        <f>'2020_5-2-2_Download'!AN40</f>
        <v>570</v>
      </c>
    </row>
    <row r="865" spans="2:9">
      <c r="B865">
        <f>'2020_5-2-2_Download'!B41</f>
        <v>361</v>
      </c>
      <c r="C865">
        <f>'2020_5-2-2_Download'!$AM$5</f>
        <v>2015</v>
      </c>
      <c r="D865" t="str">
        <f>VLOOKUP(B865,[1]Tabelle1!$A$1:$B$68,2,FALSE)</f>
        <v>Verden</v>
      </c>
      <c r="E865" t="str">
        <f>'2020_5-2-2_Download'!$AN$7</f>
        <v>Männer</v>
      </c>
      <c r="G865" t="s">
        <v>84</v>
      </c>
      <c r="H865" t="str">
        <f>VLOOKUP(B865,[2]Kreise!$A$2:$C$53,3,FALSE)</f>
        <v>K03361</v>
      </c>
      <c r="I865">
        <f>'2020_5-2-2_Download'!AN41</f>
        <v>1764</v>
      </c>
    </row>
    <row r="866" spans="2:9">
      <c r="B866">
        <f>'2020_5-2-2_Download'!B42</f>
        <v>3</v>
      </c>
      <c r="C866">
        <f>'2020_5-2-2_Download'!$AM$5</f>
        <v>2015</v>
      </c>
      <c r="D866" t="str">
        <f>VLOOKUP(B866,[1]Tabelle1!$A$1:$B$68,2,FALSE)</f>
        <v>Stat. Region Lüneburg</v>
      </c>
      <c r="E866" t="str">
        <f>'2020_5-2-2_Download'!$AN$7</f>
        <v>Männer</v>
      </c>
      <c r="G866" t="s">
        <v>84</v>
      </c>
      <c r="H866" t="str">
        <f>VLOOKUP(B866,[2]Kreise!$A$2:$C$53,3,FALSE)</f>
        <v>K033</v>
      </c>
      <c r="I866">
        <f>'2020_5-2-2_Download'!AN42</f>
        <v>17714</v>
      </c>
    </row>
    <row r="867" spans="2:9">
      <c r="B867">
        <f>'2020_5-2-2_Download'!B43</f>
        <v>401</v>
      </c>
      <c r="C867">
        <f>'2020_5-2-2_Download'!$AM$5</f>
        <v>2015</v>
      </c>
      <c r="D867" t="str">
        <f>VLOOKUP(B867,[1]Tabelle1!$A$1:$B$68,2,FALSE)</f>
        <v>Delmenhorst  Stadt</v>
      </c>
      <c r="E867" t="str">
        <f>'2020_5-2-2_Download'!$AN$7</f>
        <v>Männer</v>
      </c>
      <c r="G867" t="s">
        <v>84</v>
      </c>
      <c r="H867" t="str">
        <f>VLOOKUP(B867,[2]Kreise!$A$2:$C$53,3,FALSE)</f>
        <v>K03401</v>
      </c>
      <c r="I867">
        <f>'2020_5-2-2_Download'!AN43</f>
        <v>617</v>
      </c>
    </row>
    <row r="868" spans="2:9">
      <c r="B868">
        <f>'2020_5-2-2_Download'!B44</f>
        <v>402</v>
      </c>
      <c r="C868">
        <f>'2020_5-2-2_Download'!$AM$5</f>
        <v>2015</v>
      </c>
      <c r="D868" t="str">
        <f>VLOOKUP(B868,[1]Tabelle1!$A$1:$B$68,2,FALSE)</f>
        <v>Emden  Stadt</v>
      </c>
      <c r="E868" t="str">
        <f>'2020_5-2-2_Download'!$AN$7</f>
        <v>Männer</v>
      </c>
      <c r="G868" t="s">
        <v>84</v>
      </c>
      <c r="H868" t="str">
        <f>VLOOKUP(B868,[2]Kreise!$A$2:$C$53,3,FALSE)</f>
        <v>K03402</v>
      </c>
      <c r="I868">
        <f>'2020_5-2-2_Download'!AN44</f>
        <v>1196</v>
      </c>
    </row>
    <row r="869" spans="2:9">
      <c r="B869">
        <f>'2020_5-2-2_Download'!B45</f>
        <v>403</v>
      </c>
      <c r="C869">
        <f>'2020_5-2-2_Download'!$AM$5</f>
        <v>2015</v>
      </c>
      <c r="D869" t="str">
        <f>VLOOKUP(B869,[1]Tabelle1!$A$1:$B$68,2,FALSE)</f>
        <v>Oldenburg(Oldb)  Stadt</v>
      </c>
      <c r="E869" t="str">
        <f>'2020_5-2-2_Download'!$AN$7</f>
        <v>Männer</v>
      </c>
      <c r="G869" t="s">
        <v>84</v>
      </c>
      <c r="H869" t="str">
        <f>VLOOKUP(B869,[2]Kreise!$A$2:$C$53,3,FALSE)</f>
        <v>K03403</v>
      </c>
      <c r="I869">
        <f>'2020_5-2-2_Download'!AN45</f>
        <v>1894</v>
      </c>
    </row>
    <row r="870" spans="2:9">
      <c r="B870">
        <f>'2020_5-2-2_Download'!B46</f>
        <v>404</v>
      </c>
      <c r="C870">
        <f>'2020_5-2-2_Download'!$AM$5</f>
        <v>2015</v>
      </c>
      <c r="D870" t="str">
        <f>VLOOKUP(B870,[1]Tabelle1!$A$1:$B$68,2,FALSE)</f>
        <v>Osnabrück  Stadt</v>
      </c>
      <c r="E870" t="str">
        <f>'2020_5-2-2_Download'!$AN$7</f>
        <v>Männer</v>
      </c>
      <c r="G870" t="s">
        <v>84</v>
      </c>
      <c r="H870" t="str">
        <f>VLOOKUP(B870,[2]Kreise!$A$2:$C$53,3,FALSE)</f>
        <v>K03404</v>
      </c>
      <c r="I870">
        <f>'2020_5-2-2_Download'!AN46</f>
        <v>3101</v>
      </c>
    </row>
    <row r="871" spans="2:9">
      <c r="B871">
        <f>'2020_5-2-2_Download'!B47</f>
        <v>405</v>
      </c>
      <c r="C871">
        <f>'2020_5-2-2_Download'!$AM$5</f>
        <v>2015</v>
      </c>
      <c r="D871" t="str">
        <f>VLOOKUP(B871,[1]Tabelle1!$A$1:$B$68,2,FALSE)</f>
        <v>Wilhelmshaven  Stadt</v>
      </c>
      <c r="E871" t="str">
        <f>'2020_5-2-2_Download'!$AN$7</f>
        <v>Männer</v>
      </c>
      <c r="G871" t="s">
        <v>84</v>
      </c>
      <c r="H871" t="str">
        <f>VLOOKUP(B871,[2]Kreise!$A$2:$C$53,3,FALSE)</f>
        <v>K03405</v>
      </c>
      <c r="I871">
        <f>'2020_5-2-2_Download'!AN47</f>
        <v>637</v>
      </c>
    </row>
    <row r="872" spans="2:9">
      <c r="B872">
        <f>'2020_5-2-2_Download'!B48</f>
        <v>451</v>
      </c>
      <c r="C872">
        <f>'2020_5-2-2_Download'!$AM$5</f>
        <v>2015</v>
      </c>
      <c r="D872" t="str">
        <f>VLOOKUP(B872,[1]Tabelle1!$A$1:$B$68,2,FALSE)</f>
        <v>Ammerland</v>
      </c>
      <c r="E872" t="str">
        <f>'2020_5-2-2_Download'!$AN$7</f>
        <v>Männer</v>
      </c>
      <c r="G872" t="s">
        <v>84</v>
      </c>
      <c r="H872" t="str">
        <f>VLOOKUP(B872,[2]Kreise!$A$2:$C$53,3,FALSE)</f>
        <v>K03451</v>
      </c>
      <c r="I872">
        <f>'2020_5-2-2_Download'!AN48</f>
        <v>1570</v>
      </c>
    </row>
    <row r="873" spans="2:9">
      <c r="B873">
        <f>'2020_5-2-2_Download'!B49</f>
        <v>452</v>
      </c>
      <c r="C873">
        <f>'2020_5-2-2_Download'!$AM$5</f>
        <v>2015</v>
      </c>
      <c r="D873" t="str">
        <f>VLOOKUP(B873,[1]Tabelle1!$A$1:$B$68,2,FALSE)</f>
        <v>Aurich</v>
      </c>
      <c r="E873" t="str">
        <f>'2020_5-2-2_Download'!$AN$7</f>
        <v>Männer</v>
      </c>
      <c r="G873" t="s">
        <v>84</v>
      </c>
      <c r="H873" t="str">
        <f>VLOOKUP(B873,[2]Kreise!$A$2:$C$53,3,FALSE)</f>
        <v>K03452</v>
      </c>
      <c r="I873">
        <f>'2020_5-2-2_Download'!AN49</f>
        <v>1983</v>
      </c>
    </row>
    <row r="874" spans="2:9">
      <c r="B874">
        <f>'2020_5-2-2_Download'!B50</f>
        <v>453</v>
      </c>
      <c r="C874">
        <f>'2020_5-2-2_Download'!$AM$5</f>
        <v>2015</v>
      </c>
      <c r="D874" t="str">
        <f>VLOOKUP(B874,[1]Tabelle1!$A$1:$B$68,2,FALSE)</f>
        <v>Cloppenburg</v>
      </c>
      <c r="E874" t="str">
        <f>'2020_5-2-2_Download'!$AN$7</f>
        <v>Männer</v>
      </c>
      <c r="G874" t="s">
        <v>84</v>
      </c>
      <c r="H874" t="str">
        <f>VLOOKUP(B874,[2]Kreise!$A$2:$C$53,3,FALSE)</f>
        <v>K03453</v>
      </c>
      <c r="I874">
        <f>'2020_5-2-2_Download'!AN50</f>
        <v>3624</v>
      </c>
    </row>
    <row r="875" spans="2:9">
      <c r="B875">
        <f>'2020_5-2-2_Download'!B51</f>
        <v>454</v>
      </c>
      <c r="C875">
        <f>'2020_5-2-2_Download'!$AM$5</f>
        <v>2015</v>
      </c>
      <c r="D875" t="str">
        <f>VLOOKUP(B875,[1]Tabelle1!$A$1:$B$68,2,FALSE)</f>
        <v>Emsland</v>
      </c>
      <c r="E875" t="str">
        <f>'2020_5-2-2_Download'!$AN$7</f>
        <v>Männer</v>
      </c>
      <c r="G875" t="s">
        <v>84</v>
      </c>
      <c r="H875" t="str">
        <f>VLOOKUP(B875,[2]Kreise!$A$2:$C$53,3,FALSE)</f>
        <v>K03454</v>
      </c>
      <c r="I875">
        <f>'2020_5-2-2_Download'!AN51</f>
        <v>5793</v>
      </c>
    </row>
    <row r="876" spans="2:9">
      <c r="B876">
        <f>'2020_5-2-2_Download'!B52</f>
        <v>455</v>
      </c>
      <c r="C876">
        <f>'2020_5-2-2_Download'!$AM$5</f>
        <v>2015</v>
      </c>
      <c r="D876" t="str">
        <f>VLOOKUP(B876,[1]Tabelle1!$A$1:$B$68,2,FALSE)</f>
        <v>Friesland</v>
      </c>
      <c r="E876" t="str">
        <f>'2020_5-2-2_Download'!$AN$7</f>
        <v>Männer</v>
      </c>
      <c r="G876" t="s">
        <v>84</v>
      </c>
      <c r="H876" t="str">
        <f>VLOOKUP(B876,[2]Kreise!$A$2:$C$53,3,FALSE)</f>
        <v>K03455</v>
      </c>
      <c r="I876">
        <f>'2020_5-2-2_Download'!AN52</f>
        <v>580</v>
      </c>
    </row>
    <row r="877" spans="2:9">
      <c r="B877">
        <f>'2020_5-2-2_Download'!B53</f>
        <v>456</v>
      </c>
      <c r="C877">
        <f>'2020_5-2-2_Download'!$AM$5</f>
        <v>2015</v>
      </c>
      <c r="D877" t="str">
        <f>VLOOKUP(B877,[1]Tabelle1!$A$1:$B$68,2,FALSE)</f>
        <v>Grafschaft Bentheim</v>
      </c>
      <c r="E877" t="str">
        <f>'2020_5-2-2_Download'!$AN$7</f>
        <v>Männer</v>
      </c>
      <c r="G877" t="s">
        <v>84</v>
      </c>
      <c r="H877" t="str">
        <f>VLOOKUP(B877,[2]Kreise!$A$2:$C$53,3,FALSE)</f>
        <v>K03456</v>
      </c>
      <c r="I877">
        <f>'2020_5-2-2_Download'!AN53</f>
        <v>2577</v>
      </c>
    </row>
    <row r="878" spans="2:9">
      <c r="B878">
        <f>'2020_5-2-2_Download'!B54</f>
        <v>457</v>
      </c>
      <c r="C878">
        <f>'2020_5-2-2_Download'!$AM$5</f>
        <v>2015</v>
      </c>
      <c r="D878" t="str">
        <f>VLOOKUP(B878,[1]Tabelle1!$A$1:$B$68,2,FALSE)</f>
        <v>Leer</v>
      </c>
      <c r="E878" t="str">
        <f>'2020_5-2-2_Download'!$AN$7</f>
        <v>Männer</v>
      </c>
      <c r="G878" t="s">
        <v>84</v>
      </c>
      <c r="H878" t="str">
        <f>VLOOKUP(B878,[2]Kreise!$A$2:$C$53,3,FALSE)</f>
        <v>K03457</v>
      </c>
      <c r="I878">
        <f>'2020_5-2-2_Download'!AN54</f>
        <v>1460</v>
      </c>
    </row>
    <row r="879" spans="2:9">
      <c r="B879">
        <f>'2020_5-2-2_Download'!B55</f>
        <v>458</v>
      </c>
      <c r="C879">
        <f>'2020_5-2-2_Download'!$AM$5</f>
        <v>2015</v>
      </c>
      <c r="D879" t="str">
        <f>VLOOKUP(B879,[1]Tabelle1!$A$1:$B$68,2,FALSE)</f>
        <v>Oldenburg</v>
      </c>
      <c r="E879" t="str">
        <f>'2020_5-2-2_Download'!$AN$7</f>
        <v>Männer</v>
      </c>
      <c r="G879" t="s">
        <v>84</v>
      </c>
      <c r="H879" t="str">
        <f>VLOOKUP(B879,[2]Kreise!$A$2:$C$53,3,FALSE)</f>
        <v>K03458</v>
      </c>
      <c r="I879">
        <f>'2020_5-2-2_Download'!AN55</f>
        <v>1474</v>
      </c>
    </row>
    <row r="880" spans="2:9">
      <c r="B880">
        <f>'2020_5-2-2_Download'!B56</f>
        <v>459</v>
      </c>
      <c r="C880">
        <f>'2020_5-2-2_Download'!$AM$5</f>
        <v>2015</v>
      </c>
      <c r="D880" t="str">
        <f>VLOOKUP(B880,[1]Tabelle1!$A$1:$B$68,2,FALSE)</f>
        <v>Osnabrück</v>
      </c>
      <c r="E880" t="str">
        <f>'2020_5-2-2_Download'!$AN$7</f>
        <v>Männer</v>
      </c>
      <c r="G880" t="s">
        <v>84</v>
      </c>
      <c r="H880" t="str">
        <f>VLOOKUP(B880,[2]Kreise!$A$2:$C$53,3,FALSE)</f>
        <v>K03459</v>
      </c>
      <c r="I880">
        <f>'2020_5-2-2_Download'!AN56</f>
        <v>7130</v>
      </c>
    </row>
    <row r="881" spans="2:9">
      <c r="B881">
        <f>'2020_5-2-2_Download'!B57</f>
        <v>460</v>
      </c>
      <c r="C881">
        <f>'2020_5-2-2_Download'!$AM$5</f>
        <v>2015</v>
      </c>
      <c r="D881" t="str">
        <f>VLOOKUP(B881,[1]Tabelle1!$A$1:$B$68,2,FALSE)</f>
        <v>Vechta</v>
      </c>
      <c r="E881" t="str">
        <f>'2020_5-2-2_Download'!$AN$7</f>
        <v>Männer</v>
      </c>
      <c r="G881" t="s">
        <v>84</v>
      </c>
      <c r="H881" t="str">
        <f>VLOOKUP(B881,[2]Kreise!$A$2:$C$53,3,FALSE)</f>
        <v>K03460</v>
      </c>
      <c r="I881">
        <f>'2020_5-2-2_Download'!AN57</f>
        <v>4866</v>
      </c>
    </row>
    <row r="882" spans="2:9">
      <c r="B882">
        <f>'2020_5-2-2_Download'!B58</f>
        <v>461</v>
      </c>
      <c r="C882">
        <f>'2020_5-2-2_Download'!$AM$5</f>
        <v>2015</v>
      </c>
      <c r="D882" t="str">
        <f>VLOOKUP(B882,[1]Tabelle1!$A$1:$B$68,2,FALSE)</f>
        <v>Wesermarsch</v>
      </c>
      <c r="E882" t="str">
        <f>'2020_5-2-2_Download'!$AN$7</f>
        <v>Männer</v>
      </c>
      <c r="G882" t="s">
        <v>84</v>
      </c>
      <c r="H882" t="str">
        <f>VLOOKUP(B882,[2]Kreise!$A$2:$C$53,3,FALSE)</f>
        <v>K03461</v>
      </c>
      <c r="I882">
        <f>'2020_5-2-2_Download'!AN58</f>
        <v>1283</v>
      </c>
    </row>
    <row r="883" spans="2:9">
      <c r="B883">
        <f>'2020_5-2-2_Download'!B59</f>
        <v>462</v>
      </c>
      <c r="C883">
        <f>'2020_5-2-2_Download'!$AM$5</f>
        <v>2015</v>
      </c>
      <c r="D883" t="str">
        <f>VLOOKUP(B883,[1]Tabelle1!$A$1:$B$68,2,FALSE)</f>
        <v>Wittmund</v>
      </c>
      <c r="E883" t="str">
        <f>'2020_5-2-2_Download'!$AN$7</f>
        <v>Männer</v>
      </c>
      <c r="G883" t="s">
        <v>84</v>
      </c>
      <c r="H883" t="str">
        <f>VLOOKUP(B883,[2]Kreise!$A$2:$C$53,3,FALSE)</f>
        <v>K03462</v>
      </c>
      <c r="I883">
        <f>'2020_5-2-2_Download'!AN59</f>
        <v>368</v>
      </c>
    </row>
    <row r="884" spans="2:9">
      <c r="B884">
        <f>'2020_5-2-2_Download'!B60</f>
        <v>4</v>
      </c>
      <c r="C884">
        <f>'2020_5-2-2_Download'!$AM$5</f>
        <v>2015</v>
      </c>
      <c r="D884" t="str">
        <f>VLOOKUP(B884,[1]Tabelle1!$A$1:$B$68,2,FALSE)</f>
        <v>Stat. Region Weser-Ems</v>
      </c>
      <c r="E884" t="str">
        <f>'2020_5-2-2_Download'!$AN$7</f>
        <v>Männer</v>
      </c>
      <c r="G884" t="s">
        <v>84</v>
      </c>
      <c r="H884" t="str">
        <f>VLOOKUP(B884,[2]Kreise!$A$2:$C$53,3,FALSE)</f>
        <v>K034</v>
      </c>
      <c r="I884">
        <f>'2020_5-2-2_Download'!AN60</f>
        <v>40153</v>
      </c>
    </row>
    <row r="885" spans="2:9">
      <c r="B885">
        <f>'2020_5-2-2_Download'!B61</f>
        <v>0</v>
      </c>
      <c r="C885">
        <f>'2020_5-2-2_Download'!$AM$5</f>
        <v>2015</v>
      </c>
      <c r="D885" t="str">
        <f>VLOOKUP(B885,[1]Tabelle1!$A$1:$B$68,2,FALSE)</f>
        <v>Niedersachsen</v>
      </c>
      <c r="E885" t="str">
        <f>'2020_5-2-2_Download'!$AN$7</f>
        <v>Männer</v>
      </c>
      <c r="G885" t="s">
        <v>84</v>
      </c>
      <c r="H885" t="str">
        <f>VLOOKUP(B885,[2]Kreise!$A$2:$C$53,3,FALSE)</f>
        <v>K030</v>
      </c>
      <c r="I885">
        <f>'2020_5-2-2_Download'!AN61</f>
        <v>116488</v>
      </c>
    </row>
    <row r="886" spans="2:9">
      <c r="B886">
        <f>'2020_5-2-2_Download'!B10</f>
        <v>101</v>
      </c>
      <c r="C886">
        <f>'2020_5-2-2_Download'!$AM$5</f>
        <v>2015</v>
      </c>
      <c r="D886" t="str">
        <f>VLOOKUP(B886,[1]Tabelle1!$A$1:$B$68,2,FALSE)</f>
        <v>Braunschweig  Stadt</v>
      </c>
      <c r="E886" t="str">
        <f>'2020_5-2-2_Download'!$AO$7</f>
        <v>Frauen</v>
      </c>
      <c r="G886" t="s">
        <v>84</v>
      </c>
      <c r="H886" t="str">
        <f>VLOOKUP(B886,[2]Kreise!$A$2:$C$53,3,FALSE)</f>
        <v>K03101</v>
      </c>
      <c r="I886">
        <f>'2020_5-2-2_Download'!AO10</f>
        <v>3054</v>
      </c>
    </row>
    <row r="887" spans="2:9">
      <c r="B887">
        <f>'2020_5-2-2_Download'!B11</f>
        <v>102</v>
      </c>
      <c r="C887">
        <f>'2020_5-2-2_Download'!$AM$5</f>
        <v>2015</v>
      </c>
      <c r="D887" t="str">
        <f>VLOOKUP(B887,[1]Tabelle1!$A$1:$B$68,2,FALSE)</f>
        <v>Salzgitter  Stadt</v>
      </c>
      <c r="E887" t="str">
        <f>'2020_5-2-2_Download'!$AO$7</f>
        <v>Frauen</v>
      </c>
      <c r="G887" t="s">
        <v>84</v>
      </c>
      <c r="H887" t="str">
        <f>VLOOKUP(B887,[2]Kreise!$A$2:$C$53,3,FALSE)</f>
        <v>K03102</v>
      </c>
      <c r="I887">
        <f>'2020_5-2-2_Download'!AO11</f>
        <v>736</v>
      </c>
    </row>
    <row r="888" spans="2:9">
      <c r="B888">
        <f>'2020_5-2-2_Download'!B12</f>
        <v>103</v>
      </c>
      <c r="C888">
        <f>'2020_5-2-2_Download'!$AM$5</f>
        <v>2015</v>
      </c>
      <c r="D888" t="str">
        <f>VLOOKUP(B888,[1]Tabelle1!$A$1:$B$68,2,FALSE)</f>
        <v>Wolfsburg  Stadt</v>
      </c>
      <c r="E888" t="str">
        <f>'2020_5-2-2_Download'!$AO$7</f>
        <v>Frauen</v>
      </c>
      <c r="G888" t="s">
        <v>84</v>
      </c>
      <c r="H888" t="str">
        <f>VLOOKUP(B888,[2]Kreise!$A$2:$C$53,3,FALSE)</f>
        <v>K03103</v>
      </c>
      <c r="I888">
        <f>'2020_5-2-2_Download'!AO12</f>
        <v>2455</v>
      </c>
    </row>
    <row r="889" spans="2:9">
      <c r="B889">
        <f>'2020_5-2-2_Download'!B13</f>
        <v>151</v>
      </c>
      <c r="C889">
        <f>'2020_5-2-2_Download'!$AM$5</f>
        <v>2015</v>
      </c>
      <c r="D889" t="str">
        <f>VLOOKUP(B889,[1]Tabelle1!$A$1:$B$68,2,FALSE)</f>
        <v>Gifhorn</v>
      </c>
      <c r="E889" t="str">
        <f>'2020_5-2-2_Download'!$AO$7</f>
        <v>Frauen</v>
      </c>
      <c r="G889" t="s">
        <v>84</v>
      </c>
      <c r="H889" t="str">
        <f>VLOOKUP(B889,[2]Kreise!$A$2:$C$53,3,FALSE)</f>
        <v>K03151</v>
      </c>
      <c r="I889">
        <f>'2020_5-2-2_Download'!AO13</f>
        <v>730</v>
      </c>
    </row>
    <row r="890" spans="2:9">
      <c r="B890">
        <f>'2020_5-2-2_Download'!B14</f>
        <v>153</v>
      </c>
      <c r="C890">
        <f>'2020_5-2-2_Download'!$AM$5</f>
        <v>2015</v>
      </c>
      <c r="D890" t="str">
        <f>VLOOKUP(B890,[1]Tabelle1!$A$1:$B$68,2,FALSE)</f>
        <v>Goslar</v>
      </c>
      <c r="E890" t="str">
        <f>'2020_5-2-2_Download'!$AO$7</f>
        <v>Frauen</v>
      </c>
      <c r="G890" t="s">
        <v>84</v>
      </c>
      <c r="H890" t="str">
        <f>VLOOKUP(B890,[2]Kreise!$A$2:$C$53,3,FALSE)</f>
        <v>K03153</v>
      </c>
      <c r="I890">
        <f>'2020_5-2-2_Download'!AO14</f>
        <v>669</v>
      </c>
    </row>
    <row r="891" spans="2:9">
      <c r="B891">
        <f>'2020_5-2-2_Download'!B15</f>
        <v>154</v>
      </c>
      <c r="C891">
        <f>'2020_5-2-2_Download'!$AM$5</f>
        <v>2015</v>
      </c>
      <c r="D891" t="str">
        <f>VLOOKUP(B891,[1]Tabelle1!$A$1:$B$68,2,FALSE)</f>
        <v>Helmstedt</v>
      </c>
      <c r="E891" t="str">
        <f>'2020_5-2-2_Download'!$AO$7</f>
        <v>Frauen</v>
      </c>
      <c r="G891" t="s">
        <v>84</v>
      </c>
      <c r="H891" t="str">
        <f>VLOOKUP(B891,[2]Kreise!$A$2:$C$53,3,FALSE)</f>
        <v>K03154</v>
      </c>
      <c r="I891">
        <f>'2020_5-2-2_Download'!AO15</f>
        <v>313</v>
      </c>
    </row>
    <row r="892" spans="2:9">
      <c r="B892">
        <f>'2020_5-2-2_Download'!B16</f>
        <v>155</v>
      </c>
      <c r="C892">
        <f>'2020_5-2-2_Download'!$AM$5</f>
        <v>2015</v>
      </c>
      <c r="D892" t="str">
        <f>VLOOKUP(B892,[1]Tabelle1!$A$1:$B$68,2,FALSE)</f>
        <v>Northeim</v>
      </c>
      <c r="E892" t="str">
        <f>'2020_5-2-2_Download'!$AO$7</f>
        <v>Frauen</v>
      </c>
      <c r="G892" t="s">
        <v>84</v>
      </c>
      <c r="H892" t="str">
        <f>VLOOKUP(B892,[2]Kreise!$A$2:$C$53,3,FALSE)</f>
        <v>K03155</v>
      </c>
      <c r="I892">
        <f>'2020_5-2-2_Download'!AO16</f>
        <v>512</v>
      </c>
    </row>
    <row r="893" spans="2:9">
      <c r="B893">
        <f>'2020_5-2-2_Download'!B17</f>
        <v>157</v>
      </c>
      <c r="C893">
        <f>'2020_5-2-2_Download'!$AM$5</f>
        <v>2015</v>
      </c>
      <c r="D893" t="str">
        <f>VLOOKUP(B893,[1]Tabelle1!$A$1:$B$68,2,FALSE)</f>
        <v>Peine</v>
      </c>
      <c r="E893" t="str">
        <f>'2020_5-2-2_Download'!$AO$7</f>
        <v>Frauen</v>
      </c>
      <c r="G893" t="s">
        <v>84</v>
      </c>
      <c r="H893" t="str">
        <f>VLOOKUP(B893,[2]Kreise!$A$2:$C$53,3,FALSE)</f>
        <v>K03157</v>
      </c>
      <c r="I893">
        <f>'2020_5-2-2_Download'!AO17</f>
        <v>487</v>
      </c>
    </row>
    <row r="894" spans="2:9">
      <c r="B894">
        <f>'2020_5-2-2_Download'!B18</f>
        <v>158</v>
      </c>
      <c r="C894">
        <f>'2020_5-2-2_Download'!$AM$5</f>
        <v>2015</v>
      </c>
      <c r="D894" t="str">
        <f>VLOOKUP(B894,[1]Tabelle1!$A$1:$B$68,2,FALSE)</f>
        <v>Wolfenbüttel</v>
      </c>
      <c r="E894" t="str">
        <f>'2020_5-2-2_Download'!$AO$7</f>
        <v>Frauen</v>
      </c>
      <c r="G894" t="s">
        <v>84</v>
      </c>
      <c r="H894" t="str">
        <f>VLOOKUP(B894,[2]Kreise!$A$2:$C$53,3,FALSE)</f>
        <v>K03158</v>
      </c>
      <c r="I894">
        <f>'2020_5-2-2_Download'!AO18</f>
        <v>356</v>
      </c>
    </row>
    <row r="895" spans="2:9">
      <c r="B895">
        <f>'2020_5-2-2_Download'!B19</f>
        <v>159</v>
      </c>
      <c r="C895">
        <f>'2020_5-2-2_Download'!$AM$5</f>
        <v>2015</v>
      </c>
      <c r="D895" t="str">
        <f>VLOOKUP(B895,[1]Tabelle1!$A$1:$B$68,2,FALSE)</f>
        <v>Göttingen</v>
      </c>
      <c r="E895" t="str">
        <f>'2020_5-2-2_Download'!$AO$7</f>
        <v>Frauen</v>
      </c>
      <c r="G895" t="s">
        <v>84</v>
      </c>
      <c r="H895" t="str">
        <f>VLOOKUP(B895,[2]Kreise!$A$2:$C$53,3,FALSE)</f>
        <v>K03159</v>
      </c>
      <c r="I895">
        <f>'2020_5-2-2_Download'!AO19</f>
        <v>2549</v>
      </c>
    </row>
    <row r="896" spans="2:9">
      <c r="B896">
        <f>'2020_5-2-2_Download'!B20</f>
        <v>1</v>
      </c>
      <c r="C896">
        <f>'2020_5-2-2_Download'!$AM$5</f>
        <v>2015</v>
      </c>
      <c r="D896" t="str">
        <f>VLOOKUP(B896,[1]Tabelle1!$A$1:$B$68,2,FALSE)</f>
        <v>Stat. Region Braunschweig</v>
      </c>
      <c r="E896" t="str">
        <f>'2020_5-2-2_Download'!$AO$7</f>
        <v>Frauen</v>
      </c>
      <c r="G896" t="s">
        <v>84</v>
      </c>
      <c r="H896" t="str">
        <f>VLOOKUP(B896,[2]Kreise!$A$2:$C$53,3,FALSE)</f>
        <v>K031</v>
      </c>
      <c r="I896">
        <f>'2020_5-2-2_Download'!AO20</f>
        <v>11861</v>
      </c>
    </row>
    <row r="897" spans="2:9">
      <c r="B897">
        <f>'2020_5-2-2_Download'!B21</f>
        <v>241</v>
      </c>
      <c r="C897">
        <f>'2020_5-2-2_Download'!$AM$5</f>
        <v>2015</v>
      </c>
      <c r="D897" t="str">
        <f>VLOOKUP(B897,[1]Tabelle1!$A$1:$B$68,2,FALSE)</f>
        <v>Hannover  Region</v>
      </c>
      <c r="E897" t="str">
        <f>'2020_5-2-2_Download'!$AO$7</f>
        <v>Frauen</v>
      </c>
      <c r="G897" t="s">
        <v>84</v>
      </c>
      <c r="H897" t="str">
        <f>VLOOKUP(B897,[2]Kreise!$A$2:$C$53,3,FALSE)</f>
        <v>K03241</v>
      </c>
      <c r="I897">
        <f>'2020_5-2-2_Download'!AO21</f>
        <v>17086</v>
      </c>
    </row>
    <row r="898" spans="2:9">
      <c r="B898">
        <f>'2020_5-2-2_Download'!B22</f>
        <v>241001</v>
      </c>
      <c r="C898">
        <f>'2020_5-2-2_Download'!$AM$5</f>
        <v>2015</v>
      </c>
      <c r="D898" t="str">
        <f>VLOOKUP(B898,[1]Tabelle1!$A$1:$B$68,2,FALSE)</f>
        <v>dav. Hannover  Lhst.</v>
      </c>
      <c r="E898" t="str">
        <f>'2020_5-2-2_Download'!$AO$7</f>
        <v>Frauen</v>
      </c>
      <c r="G898" t="s">
        <v>84</v>
      </c>
      <c r="H898" t="str">
        <f>VLOOKUP(B898,[2]Kreise!$A$2:$C$53,3,FALSE)</f>
        <v>K03241001</v>
      </c>
      <c r="I898">
        <f>'2020_5-2-2_Download'!AO22</f>
        <v>12016</v>
      </c>
    </row>
    <row r="899" spans="2:9">
      <c r="B899">
        <f>'2020_5-2-2_Download'!B23</f>
        <v>241999</v>
      </c>
      <c r="C899">
        <f>'2020_5-2-2_Download'!$AM$5</f>
        <v>2015</v>
      </c>
      <c r="D899" t="str">
        <f>VLOOKUP(B899,[1]Tabelle1!$A$1:$B$68,2,FALSE)</f>
        <v>dav. Hannover  Umland</v>
      </c>
      <c r="E899" t="str">
        <f>'2020_5-2-2_Download'!$AO$7</f>
        <v>Frauen</v>
      </c>
      <c r="G899" t="s">
        <v>84</v>
      </c>
      <c r="H899" t="str">
        <f>VLOOKUP(B899,[2]Kreise!$A$2:$C$53,3,FALSE)</f>
        <v>K03241999</v>
      </c>
      <c r="I899">
        <f>'2020_5-2-2_Download'!AO23</f>
        <v>5070</v>
      </c>
    </row>
    <row r="900" spans="2:9">
      <c r="B900">
        <f>'2020_5-2-2_Download'!B24</f>
        <v>251</v>
      </c>
      <c r="C900">
        <f>'2020_5-2-2_Download'!$AM$5</f>
        <v>2015</v>
      </c>
      <c r="D900" t="str">
        <f>VLOOKUP(B900,[1]Tabelle1!$A$1:$B$68,2,FALSE)</f>
        <v>Diepholz</v>
      </c>
      <c r="E900" t="str">
        <f>'2020_5-2-2_Download'!$AO$7</f>
        <v>Frauen</v>
      </c>
      <c r="G900" t="s">
        <v>84</v>
      </c>
      <c r="H900" t="str">
        <f>VLOOKUP(B900,[2]Kreise!$A$2:$C$53,3,FALSE)</f>
        <v>K03251</v>
      </c>
      <c r="I900">
        <f>'2020_5-2-2_Download'!AO24</f>
        <v>1119</v>
      </c>
    </row>
    <row r="901" spans="2:9">
      <c r="B901">
        <f>'2020_5-2-2_Download'!B25</f>
        <v>252</v>
      </c>
      <c r="C901">
        <f>'2020_5-2-2_Download'!$AM$5</f>
        <v>2015</v>
      </c>
      <c r="D901" t="str">
        <f>VLOOKUP(B901,[1]Tabelle1!$A$1:$B$68,2,FALSE)</f>
        <v>Hameln-Pyrmont</v>
      </c>
      <c r="E901" t="str">
        <f>'2020_5-2-2_Download'!$AO$7</f>
        <v>Frauen</v>
      </c>
      <c r="G901" t="s">
        <v>84</v>
      </c>
      <c r="H901" t="str">
        <f>VLOOKUP(B901,[2]Kreise!$A$2:$C$53,3,FALSE)</f>
        <v>K03252</v>
      </c>
      <c r="I901">
        <f>'2020_5-2-2_Download'!AO25</f>
        <v>1131</v>
      </c>
    </row>
    <row r="902" spans="2:9">
      <c r="B902">
        <f>'2020_5-2-2_Download'!B26</f>
        <v>254</v>
      </c>
      <c r="C902">
        <f>'2020_5-2-2_Download'!$AM$5</f>
        <v>2015</v>
      </c>
      <c r="D902" t="str">
        <f>VLOOKUP(B902,[1]Tabelle1!$A$1:$B$68,2,FALSE)</f>
        <v>Hildesheim</v>
      </c>
      <c r="E902" t="str">
        <f>'2020_5-2-2_Download'!$AO$7</f>
        <v>Frauen</v>
      </c>
      <c r="G902" t="s">
        <v>84</v>
      </c>
      <c r="H902" t="str">
        <f>VLOOKUP(B902,[2]Kreise!$A$2:$C$53,3,FALSE)</f>
        <v>K03254</v>
      </c>
      <c r="I902">
        <f>'2020_5-2-2_Download'!AO26</f>
        <v>1456</v>
      </c>
    </row>
    <row r="903" spans="2:9">
      <c r="B903">
        <f>'2020_5-2-2_Download'!B27</f>
        <v>255</v>
      </c>
      <c r="C903">
        <f>'2020_5-2-2_Download'!$AM$5</f>
        <v>2015</v>
      </c>
      <c r="D903" t="str">
        <f>VLOOKUP(B903,[1]Tabelle1!$A$1:$B$68,2,FALSE)</f>
        <v>Holzminden</v>
      </c>
      <c r="E903" t="str">
        <f>'2020_5-2-2_Download'!$AO$7</f>
        <v>Frauen</v>
      </c>
      <c r="G903" t="s">
        <v>84</v>
      </c>
      <c r="H903" t="str">
        <f>VLOOKUP(B903,[2]Kreise!$A$2:$C$53,3,FALSE)</f>
        <v>K03255</v>
      </c>
      <c r="I903">
        <f>'2020_5-2-2_Download'!AO27</f>
        <v>284</v>
      </c>
    </row>
    <row r="904" spans="2:9">
      <c r="B904">
        <f>'2020_5-2-2_Download'!B28</f>
        <v>256</v>
      </c>
      <c r="C904">
        <f>'2020_5-2-2_Download'!$AM$5</f>
        <v>2015</v>
      </c>
      <c r="D904" t="str">
        <f>VLOOKUP(B904,[1]Tabelle1!$A$1:$B$68,2,FALSE)</f>
        <v>Nienburg (Weser)</v>
      </c>
      <c r="E904" t="str">
        <f>'2020_5-2-2_Download'!$AO$7</f>
        <v>Frauen</v>
      </c>
      <c r="G904" t="s">
        <v>84</v>
      </c>
      <c r="H904" t="str">
        <f>VLOOKUP(B904,[2]Kreise!$A$2:$C$53,3,FALSE)</f>
        <v>K03256</v>
      </c>
      <c r="I904">
        <f>'2020_5-2-2_Download'!AO28</f>
        <v>600</v>
      </c>
    </row>
    <row r="905" spans="2:9">
      <c r="B905">
        <f>'2020_5-2-2_Download'!B29</f>
        <v>257</v>
      </c>
      <c r="C905">
        <f>'2020_5-2-2_Download'!$AM$5</f>
        <v>2015</v>
      </c>
      <c r="D905" t="str">
        <f>VLOOKUP(B905,[1]Tabelle1!$A$1:$B$68,2,FALSE)</f>
        <v>Schaumburg</v>
      </c>
      <c r="E905" t="str">
        <f>'2020_5-2-2_Download'!$AO$7</f>
        <v>Frauen</v>
      </c>
      <c r="G905" t="s">
        <v>84</v>
      </c>
      <c r="H905" t="str">
        <f>VLOOKUP(B905,[2]Kreise!$A$2:$C$53,3,FALSE)</f>
        <v>K03257</v>
      </c>
      <c r="I905">
        <f>'2020_5-2-2_Download'!AO29</f>
        <v>802</v>
      </c>
    </row>
    <row r="906" spans="2:9">
      <c r="B906">
        <f>'2020_5-2-2_Download'!B30</f>
        <v>2</v>
      </c>
      <c r="C906">
        <f>'2020_5-2-2_Download'!$AM$5</f>
        <v>2015</v>
      </c>
      <c r="D906" t="str">
        <f>VLOOKUP(B906,[1]Tabelle1!$A$1:$B$68,2,FALSE)</f>
        <v>Stat. Region Hannover</v>
      </c>
      <c r="E906" t="str">
        <f>'2020_5-2-2_Download'!$AO$7</f>
        <v>Frauen</v>
      </c>
      <c r="G906" t="s">
        <v>84</v>
      </c>
      <c r="H906" t="str">
        <f>VLOOKUP(B906,[2]Kreise!$A$2:$C$53,3,FALSE)</f>
        <v>K032</v>
      </c>
      <c r="I906">
        <f>'2020_5-2-2_Download'!AO30</f>
        <v>22478</v>
      </c>
    </row>
    <row r="907" spans="2:9">
      <c r="B907">
        <f>'2020_5-2-2_Download'!B31</f>
        <v>351</v>
      </c>
      <c r="C907">
        <f>'2020_5-2-2_Download'!$AM$5</f>
        <v>2015</v>
      </c>
      <c r="D907" t="str">
        <f>VLOOKUP(B907,[1]Tabelle1!$A$1:$B$68,2,FALSE)</f>
        <v>Celle</v>
      </c>
      <c r="E907" t="str">
        <f>'2020_5-2-2_Download'!$AO$7</f>
        <v>Frauen</v>
      </c>
      <c r="G907" t="s">
        <v>84</v>
      </c>
      <c r="H907" t="str">
        <f>VLOOKUP(B907,[2]Kreise!$A$2:$C$53,3,FALSE)</f>
        <v>K03351</v>
      </c>
      <c r="I907">
        <f>'2020_5-2-2_Download'!AO31</f>
        <v>962</v>
      </c>
    </row>
    <row r="908" spans="2:9">
      <c r="B908">
        <f>'2020_5-2-2_Download'!B32</f>
        <v>352</v>
      </c>
      <c r="C908">
        <f>'2020_5-2-2_Download'!$AM$5</f>
        <v>2015</v>
      </c>
      <c r="D908" t="str">
        <f>VLOOKUP(B908,[1]Tabelle1!$A$1:$B$68,2,FALSE)</f>
        <v>Cuxhaven</v>
      </c>
      <c r="E908" t="str">
        <f>'2020_5-2-2_Download'!$AO$7</f>
        <v>Frauen</v>
      </c>
      <c r="G908" t="s">
        <v>84</v>
      </c>
      <c r="H908" t="str">
        <f>VLOOKUP(B908,[2]Kreise!$A$2:$C$53,3,FALSE)</f>
        <v>K03352</v>
      </c>
      <c r="I908">
        <f>'2020_5-2-2_Download'!AO32</f>
        <v>1067</v>
      </c>
    </row>
    <row r="909" spans="2:9">
      <c r="B909">
        <f>'2020_5-2-2_Download'!B33</f>
        <v>353</v>
      </c>
      <c r="C909">
        <f>'2020_5-2-2_Download'!$AM$5</f>
        <v>2015</v>
      </c>
      <c r="D909" t="str">
        <f>VLOOKUP(B909,[1]Tabelle1!$A$1:$B$68,2,FALSE)</f>
        <v>Harburg</v>
      </c>
      <c r="E909" t="str">
        <f>'2020_5-2-2_Download'!$AO$7</f>
        <v>Frauen</v>
      </c>
      <c r="G909" t="s">
        <v>84</v>
      </c>
      <c r="H909" t="str">
        <f>VLOOKUP(B909,[2]Kreise!$A$2:$C$53,3,FALSE)</f>
        <v>K03353</v>
      </c>
      <c r="I909">
        <f>'2020_5-2-2_Download'!AO33</f>
        <v>1410</v>
      </c>
    </row>
    <row r="910" spans="2:9">
      <c r="B910">
        <f>'2020_5-2-2_Download'!B34</f>
        <v>354</v>
      </c>
      <c r="C910">
        <f>'2020_5-2-2_Download'!$AM$5</f>
        <v>2015</v>
      </c>
      <c r="D910" t="str">
        <f>VLOOKUP(B910,[1]Tabelle1!$A$1:$B$68,2,FALSE)</f>
        <v>Lüchow-Dannenberg</v>
      </c>
      <c r="E910" t="str">
        <f>'2020_5-2-2_Download'!$AO$7</f>
        <v>Frauen</v>
      </c>
      <c r="G910" t="s">
        <v>84</v>
      </c>
      <c r="H910" t="str">
        <f>VLOOKUP(B910,[2]Kreise!$A$2:$C$53,3,FALSE)</f>
        <v>K03354</v>
      </c>
      <c r="I910">
        <f>'2020_5-2-2_Download'!AO34</f>
        <v>235</v>
      </c>
    </row>
    <row r="911" spans="2:9">
      <c r="B911">
        <f>'2020_5-2-2_Download'!B35</f>
        <v>355</v>
      </c>
      <c r="C911">
        <f>'2020_5-2-2_Download'!$AM$5</f>
        <v>2015</v>
      </c>
      <c r="D911" t="str">
        <f>VLOOKUP(B911,[1]Tabelle1!$A$1:$B$68,2,FALSE)</f>
        <v>Lüneburg</v>
      </c>
      <c r="E911" t="str">
        <f>'2020_5-2-2_Download'!$AO$7</f>
        <v>Frauen</v>
      </c>
      <c r="G911" t="s">
        <v>84</v>
      </c>
      <c r="H911" t="str">
        <f>VLOOKUP(B911,[2]Kreise!$A$2:$C$53,3,FALSE)</f>
        <v>K03355</v>
      </c>
      <c r="I911">
        <f>'2020_5-2-2_Download'!AO35</f>
        <v>931</v>
      </c>
    </row>
    <row r="912" spans="2:9">
      <c r="B912">
        <f>'2020_5-2-2_Download'!B36</f>
        <v>356</v>
      </c>
      <c r="C912">
        <f>'2020_5-2-2_Download'!$AM$5</f>
        <v>2015</v>
      </c>
      <c r="D912" t="str">
        <f>VLOOKUP(B912,[1]Tabelle1!$A$1:$B$68,2,FALSE)</f>
        <v>Osterholz</v>
      </c>
      <c r="E912" t="str">
        <f>'2020_5-2-2_Download'!$AO$7</f>
        <v>Frauen</v>
      </c>
      <c r="G912" t="s">
        <v>84</v>
      </c>
      <c r="H912" t="str">
        <f>VLOOKUP(B912,[2]Kreise!$A$2:$C$53,3,FALSE)</f>
        <v>K03356</v>
      </c>
      <c r="I912">
        <f>'2020_5-2-2_Download'!AO36</f>
        <v>354</v>
      </c>
    </row>
    <row r="913" spans="2:9">
      <c r="B913">
        <f>'2020_5-2-2_Download'!B37</f>
        <v>357</v>
      </c>
      <c r="C913">
        <f>'2020_5-2-2_Download'!$AM$5</f>
        <v>2015</v>
      </c>
      <c r="D913" t="str">
        <f>VLOOKUP(B913,[1]Tabelle1!$A$1:$B$68,2,FALSE)</f>
        <v>Rotenburg (Wümme)</v>
      </c>
      <c r="E913" t="str">
        <f>'2020_5-2-2_Download'!$AO$7</f>
        <v>Frauen</v>
      </c>
      <c r="G913" t="s">
        <v>84</v>
      </c>
      <c r="H913" t="str">
        <f>VLOOKUP(B913,[2]Kreise!$A$2:$C$53,3,FALSE)</f>
        <v>K03357</v>
      </c>
      <c r="I913">
        <f>'2020_5-2-2_Download'!AO37</f>
        <v>742</v>
      </c>
    </row>
    <row r="914" spans="2:9">
      <c r="B914">
        <f>'2020_5-2-2_Download'!B38</f>
        <v>358</v>
      </c>
      <c r="C914">
        <f>'2020_5-2-2_Download'!$AM$5</f>
        <v>2015</v>
      </c>
      <c r="D914" t="str">
        <f>VLOOKUP(B914,[1]Tabelle1!$A$1:$B$68,2,FALSE)</f>
        <v>Heidekreis</v>
      </c>
      <c r="E914" t="str">
        <f>'2020_5-2-2_Download'!$AO$7</f>
        <v>Frauen</v>
      </c>
      <c r="G914" t="s">
        <v>84</v>
      </c>
      <c r="H914" t="str">
        <f>VLOOKUP(B914,[2]Kreise!$A$2:$C$53,3,FALSE)</f>
        <v>K03358</v>
      </c>
      <c r="I914">
        <f>'2020_5-2-2_Download'!AO38</f>
        <v>850</v>
      </c>
    </row>
    <row r="915" spans="2:9">
      <c r="B915">
        <f>'2020_5-2-2_Download'!B39</f>
        <v>359</v>
      </c>
      <c r="C915">
        <f>'2020_5-2-2_Download'!$AM$5</f>
        <v>2015</v>
      </c>
      <c r="D915" t="str">
        <f>VLOOKUP(B915,[1]Tabelle1!$A$1:$B$68,2,FALSE)</f>
        <v>Stade</v>
      </c>
      <c r="E915" t="str">
        <f>'2020_5-2-2_Download'!$AO$7</f>
        <v>Frauen</v>
      </c>
      <c r="G915" t="s">
        <v>84</v>
      </c>
      <c r="H915" t="str">
        <f>VLOOKUP(B915,[2]Kreise!$A$2:$C$53,3,FALSE)</f>
        <v>K03359</v>
      </c>
      <c r="I915">
        <f>'2020_5-2-2_Download'!AO39</f>
        <v>962</v>
      </c>
    </row>
    <row r="916" spans="2:9">
      <c r="B916">
        <f>'2020_5-2-2_Download'!B40</f>
        <v>360</v>
      </c>
      <c r="C916">
        <f>'2020_5-2-2_Download'!$AM$5</f>
        <v>2015</v>
      </c>
      <c r="D916" t="str">
        <f>VLOOKUP(B916,[1]Tabelle1!$A$1:$B$68,2,FALSE)</f>
        <v>Uelzen</v>
      </c>
      <c r="E916" t="str">
        <f>'2020_5-2-2_Download'!$AO$7</f>
        <v>Frauen</v>
      </c>
      <c r="G916" t="s">
        <v>84</v>
      </c>
      <c r="H916" t="str">
        <f>VLOOKUP(B916,[2]Kreise!$A$2:$C$53,3,FALSE)</f>
        <v>K03360</v>
      </c>
      <c r="I916">
        <f>'2020_5-2-2_Download'!AO40</f>
        <v>392</v>
      </c>
    </row>
    <row r="917" spans="2:9">
      <c r="B917">
        <f>'2020_5-2-2_Download'!B41</f>
        <v>361</v>
      </c>
      <c r="C917">
        <f>'2020_5-2-2_Download'!$AM$5</f>
        <v>2015</v>
      </c>
      <c r="D917" t="str">
        <f>VLOOKUP(B917,[1]Tabelle1!$A$1:$B$68,2,FALSE)</f>
        <v>Verden</v>
      </c>
      <c r="E917" t="str">
        <f>'2020_5-2-2_Download'!$AO$7</f>
        <v>Frauen</v>
      </c>
      <c r="G917" t="s">
        <v>84</v>
      </c>
      <c r="H917" t="str">
        <f>VLOOKUP(B917,[2]Kreise!$A$2:$C$53,3,FALSE)</f>
        <v>K03361</v>
      </c>
      <c r="I917">
        <f>'2020_5-2-2_Download'!AO41</f>
        <v>942</v>
      </c>
    </row>
    <row r="918" spans="2:9">
      <c r="B918">
        <f>'2020_5-2-2_Download'!B42</f>
        <v>3</v>
      </c>
      <c r="C918">
        <f>'2020_5-2-2_Download'!$AM$5</f>
        <v>2015</v>
      </c>
      <c r="D918" t="str">
        <f>VLOOKUP(B918,[1]Tabelle1!$A$1:$B$68,2,FALSE)</f>
        <v>Stat. Region Lüneburg</v>
      </c>
      <c r="E918" t="str">
        <f>'2020_5-2-2_Download'!$AO$7</f>
        <v>Frauen</v>
      </c>
      <c r="G918" t="s">
        <v>84</v>
      </c>
      <c r="H918" t="str">
        <f>VLOOKUP(B918,[2]Kreise!$A$2:$C$53,3,FALSE)</f>
        <v>K033</v>
      </c>
      <c r="I918">
        <f>'2020_5-2-2_Download'!AO42</f>
        <v>8847</v>
      </c>
    </row>
    <row r="919" spans="2:9">
      <c r="B919">
        <f>'2020_5-2-2_Download'!B43</f>
        <v>401</v>
      </c>
      <c r="C919">
        <f>'2020_5-2-2_Download'!$AM$5</f>
        <v>2015</v>
      </c>
      <c r="D919" t="str">
        <f>VLOOKUP(B919,[1]Tabelle1!$A$1:$B$68,2,FALSE)</f>
        <v>Delmenhorst  Stadt</v>
      </c>
      <c r="E919" t="str">
        <f>'2020_5-2-2_Download'!$AO$7</f>
        <v>Frauen</v>
      </c>
      <c r="G919" t="s">
        <v>84</v>
      </c>
      <c r="H919" t="str">
        <f>VLOOKUP(B919,[2]Kreise!$A$2:$C$53,3,FALSE)</f>
        <v>K03401</v>
      </c>
      <c r="I919">
        <f>'2020_5-2-2_Download'!AO43</f>
        <v>548</v>
      </c>
    </row>
    <row r="920" spans="2:9">
      <c r="B920">
        <f>'2020_5-2-2_Download'!B44</f>
        <v>402</v>
      </c>
      <c r="C920">
        <f>'2020_5-2-2_Download'!$AM$5</f>
        <v>2015</v>
      </c>
      <c r="D920" t="str">
        <f>VLOOKUP(B920,[1]Tabelle1!$A$1:$B$68,2,FALSE)</f>
        <v>Emden  Stadt</v>
      </c>
      <c r="E920" t="str">
        <f>'2020_5-2-2_Download'!$AO$7</f>
        <v>Frauen</v>
      </c>
      <c r="G920" t="s">
        <v>84</v>
      </c>
      <c r="H920" t="str">
        <f>VLOOKUP(B920,[2]Kreise!$A$2:$C$53,3,FALSE)</f>
        <v>K03402</v>
      </c>
      <c r="I920">
        <f>'2020_5-2-2_Download'!AO44</f>
        <v>311</v>
      </c>
    </row>
    <row r="921" spans="2:9">
      <c r="B921">
        <f>'2020_5-2-2_Download'!B45</f>
        <v>403</v>
      </c>
      <c r="C921">
        <f>'2020_5-2-2_Download'!$AM$5</f>
        <v>2015</v>
      </c>
      <c r="D921" t="str">
        <f>VLOOKUP(B921,[1]Tabelle1!$A$1:$B$68,2,FALSE)</f>
        <v>Oldenburg(Oldb)  Stadt</v>
      </c>
      <c r="E921" t="str">
        <f>'2020_5-2-2_Download'!$AO$7</f>
        <v>Frauen</v>
      </c>
      <c r="G921" t="s">
        <v>84</v>
      </c>
      <c r="H921" t="str">
        <f>VLOOKUP(B921,[2]Kreise!$A$2:$C$53,3,FALSE)</f>
        <v>K03403</v>
      </c>
      <c r="I921">
        <f>'2020_5-2-2_Download'!AO45</f>
        <v>1360</v>
      </c>
    </row>
    <row r="922" spans="2:9">
      <c r="B922">
        <f>'2020_5-2-2_Download'!B46</f>
        <v>404</v>
      </c>
      <c r="C922">
        <f>'2020_5-2-2_Download'!$AM$5</f>
        <v>2015</v>
      </c>
      <c r="D922" t="str">
        <f>VLOOKUP(B922,[1]Tabelle1!$A$1:$B$68,2,FALSE)</f>
        <v>Osnabrück  Stadt</v>
      </c>
      <c r="E922" t="str">
        <f>'2020_5-2-2_Download'!$AO$7</f>
        <v>Frauen</v>
      </c>
      <c r="G922" t="s">
        <v>84</v>
      </c>
      <c r="H922" t="str">
        <f>VLOOKUP(B922,[2]Kreise!$A$2:$C$53,3,FALSE)</f>
        <v>K03404</v>
      </c>
      <c r="I922">
        <f>'2020_5-2-2_Download'!AO46</f>
        <v>2555</v>
      </c>
    </row>
    <row r="923" spans="2:9">
      <c r="B923">
        <f>'2020_5-2-2_Download'!B47</f>
        <v>405</v>
      </c>
      <c r="C923">
        <f>'2020_5-2-2_Download'!$AM$5</f>
        <v>2015</v>
      </c>
      <c r="D923" t="str">
        <f>VLOOKUP(B923,[1]Tabelle1!$A$1:$B$68,2,FALSE)</f>
        <v>Wilhelmshaven  Stadt</v>
      </c>
      <c r="E923" t="str">
        <f>'2020_5-2-2_Download'!$AO$7</f>
        <v>Frauen</v>
      </c>
      <c r="G923" t="s">
        <v>84</v>
      </c>
      <c r="H923" t="str">
        <f>VLOOKUP(B923,[2]Kreise!$A$2:$C$53,3,FALSE)</f>
        <v>K03405</v>
      </c>
      <c r="I923">
        <f>'2020_5-2-2_Download'!AO47</f>
        <v>317</v>
      </c>
    </row>
    <row r="924" spans="2:9">
      <c r="B924">
        <f>'2020_5-2-2_Download'!B48</f>
        <v>451</v>
      </c>
      <c r="C924">
        <f>'2020_5-2-2_Download'!$AM$5</f>
        <v>2015</v>
      </c>
      <c r="D924" t="str">
        <f>VLOOKUP(B924,[1]Tabelle1!$A$1:$B$68,2,FALSE)</f>
        <v>Ammerland</v>
      </c>
      <c r="E924" t="str">
        <f>'2020_5-2-2_Download'!$AO$7</f>
        <v>Frauen</v>
      </c>
      <c r="G924" t="s">
        <v>84</v>
      </c>
      <c r="H924" t="str">
        <f>VLOOKUP(B924,[2]Kreise!$A$2:$C$53,3,FALSE)</f>
        <v>K03451</v>
      </c>
      <c r="I924">
        <f>'2020_5-2-2_Download'!AO48</f>
        <v>751</v>
      </c>
    </row>
    <row r="925" spans="2:9">
      <c r="B925">
        <f>'2020_5-2-2_Download'!B49</f>
        <v>452</v>
      </c>
      <c r="C925">
        <f>'2020_5-2-2_Download'!$AM$5</f>
        <v>2015</v>
      </c>
      <c r="D925" t="str">
        <f>VLOOKUP(B925,[1]Tabelle1!$A$1:$B$68,2,FALSE)</f>
        <v>Aurich</v>
      </c>
      <c r="E925" t="str">
        <f>'2020_5-2-2_Download'!$AO$7</f>
        <v>Frauen</v>
      </c>
      <c r="G925" t="s">
        <v>84</v>
      </c>
      <c r="H925" t="str">
        <f>VLOOKUP(B925,[2]Kreise!$A$2:$C$53,3,FALSE)</f>
        <v>K03452</v>
      </c>
      <c r="I925">
        <f>'2020_5-2-2_Download'!AO49</f>
        <v>1199</v>
      </c>
    </row>
    <row r="926" spans="2:9">
      <c r="B926">
        <f>'2020_5-2-2_Download'!B50</f>
        <v>453</v>
      </c>
      <c r="C926">
        <f>'2020_5-2-2_Download'!$AM$5</f>
        <v>2015</v>
      </c>
      <c r="D926" t="str">
        <f>VLOOKUP(B926,[1]Tabelle1!$A$1:$B$68,2,FALSE)</f>
        <v>Cloppenburg</v>
      </c>
      <c r="E926" t="str">
        <f>'2020_5-2-2_Download'!$AO$7</f>
        <v>Frauen</v>
      </c>
      <c r="G926" t="s">
        <v>84</v>
      </c>
      <c r="H926" t="str">
        <f>VLOOKUP(B926,[2]Kreise!$A$2:$C$53,3,FALSE)</f>
        <v>K03453</v>
      </c>
      <c r="I926">
        <f>'2020_5-2-2_Download'!AO50</f>
        <v>1487</v>
      </c>
    </row>
    <row r="927" spans="2:9">
      <c r="B927">
        <f>'2020_5-2-2_Download'!B51</f>
        <v>454</v>
      </c>
      <c r="C927">
        <f>'2020_5-2-2_Download'!$AM$5</f>
        <v>2015</v>
      </c>
      <c r="D927" t="str">
        <f>VLOOKUP(B927,[1]Tabelle1!$A$1:$B$68,2,FALSE)</f>
        <v>Emsland</v>
      </c>
      <c r="E927" t="str">
        <f>'2020_5-2-2_Download'!$AO$7</f>
        <v>Frauen</v>
      </c>
      <c r="G927" t="s">
        <v>84</v>
      </c>
      <c r="H927" t="str">
        <f>VLOOKUP(B927,[2]Kreise!$A$2:$C$53,3,FALSE)</f>
        <v>K03454</v>
      </c>
      <c r="I927">
        <f>'2020_5-2-2_Download'!AO51</f>
        <v>2008</v>
      </c>
    </row>
    <row r="928" spans="2:9">
      <c r="B928">
        <f>'2020_5-2-2_Download'!B52</f>
        <v>455</v>
      </c>
      <c r="C928">
        <f>'2020_5-2-2_Download'!$AM$5</f>
        <v>2015</v>
      </c>
      <c r="D928" t="str">
        <f>VLOOKUP(B928,[1]Tabelle1!$A$1:$B$68,2,FALSE)</f>
        <v>Friesland</v>
      </c>
      <c r="E928" t="str">
        <f>'2020_5-2-2_Download'!$AO$7</f>
        <v>Frauen</v>
      </c>
      <c r="G928" t="s">
        <v>84</v>
      </c>
      <c r="H928" t="str">
        <f>VLOOKUP(B928,[2]Kreise!$A$2:$C$53,3,FALSE)</f>
        <v>K03455</v>
      </c>
      <c r="I928">
        <f>'2020_5-2-2_Download'!AO52</f>
        <v>381</v>
      </c>
    </row>
    <row r="929" spans="2:9">
      <c r="B929">
        <f>'2020_5-2-2_Download'!B53</f>
        <v>456</v>
      </c>
      <c r="C929">
        <f>'2020_5-2-2_Download'!$AM$5</f>
        <v>2015</v>
      </c>
      <c r="D929" t="str">
        <f>VLOOKUP(B929,[1]Tabelle1!$A$1:$B$68,2,FALSE)</f>
        <v>Grafschaft Bentheim</v>
      </c>
      <c r="E929" t="str">
        <f>'2020_5-2-2_Download'!$AO$7</f>
        <v>Frauen</v>
      </c>
      <c r="G929" t="s">
        <v>84</v>
      </c>
      <c r="H929" t="str">
        <f>VLOOKUP(B929,[2]Kreise!$A$2:$C$53,3,FALSE)</f>
        <v>K03456</v>
      </c>
      <c r="I929">
        <f>'2020_5-2-2_Download'!AO53</f>
        <v>1329</v>
      </c>
    </row>
    <row r="930" spans="2:9">
      <c r="B930">
        <f>'2020_5-2-2_Download'!B54</f>
        <v>457</v>
      </c>
      <c r="C930">
        <f>'2020_5-2-2_Download'!$AM$5</f>
        <v>2015</v>
      </c>
      <c r="D930" t="str">
        <f>VLOOKUP(B930,[1]Tabelle1!$A$1:$B$68,2,FALSE)</f>
        <v>Leer</v>
      </c>
      <c r="E930" t="str">
        <f>'2020_5-2-2_Download'!$AO$7</f>
        <v>Frauen</v>
      </c>
      <c r="G930" t="s">
        <v>84</v>
      </c>
      <c r="H930" t="str">
        <f>VLOOKUP(B930,[2]Kreise!$A$2:$C$53,3,FALSE)</f>
        <v>K03457</v>
      </c>
      <c r="I930">
        <f>'2020_5-2-2_Download'!AO54</f>
        <v>708</v>
      </c>
    </row>
    <row r="931" spans="2:9">
      <c r="B931">
        <f>'2020_5-2-2_Download'!B55</f>
        <v>458</v>
      </c>
      <c r="C931">
        <f>'2020_5-2-2_Download'!$AM$5</f>
        <v>2015</v>
      </c>
      <c r="D931" t="str">
        <f>VLOOKUP(B931,[1]Tabelle1!$A$1:$B$68,2,FALSE)</f>
        <v>Oldenburg</v>
      </c>
      <c r="E931" t="str">
        <f>'2020_5-2-2_Download'!$AO$7</f>
        <v>Frauen</v>
      </c>
      <c r="G931" t="s">
        <v>84</v>
      </c>
      <c r="H931" t="str">
        <f>VLOOKUP(B931,[2]Kreise!$A$2:$C$53,3,FALSE)</f>
        <v>K03458</v>
      </c>
      <c r="I931">
        <f>'2020_5-2-2_Download'!AO55</f>
        <v>590</v>
      </c>
    </row>
    <row r="932" spans="2:9">
      <c r="B932">
        <f>'2020_5-2-2_Download'!B56</f>
        <v>459</v>
      </c>
      <c r="C932">
        <f>'2020_5-2-2_Download'!$AM$5</f>
        <v>2015</v>
      </c>
      <c r="D932" t="str">
        <f>VLOOKUP(B932,[1]Tabelle1!$A$1:$B$68,2,FALSE)</f>
        <v>Osnabrück</v>
      </c>
      <c r="E932" t="str">
        <f>'2020_5-2-2_Download'!$AO$7</f>
        <v>Frauen</v>
      </c>
      <c r="G932" t="s">
        <v>84</v>
      </c>
      <c r="H932" t="str">
        <f>VLOOKUP(B932,[2]Kreise!$A$2:$C$53,3,FALSE)</f>
        <v>K03459</v>
      </c>
      <c r="I932">
        <f>'2020_5-2-2_Download'!AO56</f>
        <v>3191</v>
      </c>
    </row>
    <row r="933" spans="2:9">
      <c r="B933">
        <f>'2020_5-2-2_Download'!B57</f>
        <v>460</v>
      </c>
      <c r="C933">
        <f>'2020_5-2-2_Download'!$AM$5</f>
        <v>2015</v>
      </c>
      <c r="D933" t="str">
        <f>VLOOKUP(B933,[1]Tabelle1!$A$1:$B$68,2,FALSE)</f>
        <v>Vechta</v>
      </c>
      <c r="E933" t="str">
        <f>'2020_5-2-2_Download'!$AO$7</f>
        <v>Frauen</v>
      </c>
      <c r="G933" t="s">
        <v>84</v>
      </c>
      <c r="H933" t="str">
        <f>VLOOKUP(B933,[2]Kreise!$A$2:$C$53,3,FALSE)</f>
        <v>K03460</v>
      </c>
      <c r="I933">
        <f>'2020_5-2-2_Download'!AO57</f>
        <v>2664</v>
      </c>
    </row>
    <row r="934" spans="2:9">
      <c r="B934">
        <f>'2020_5-2-2_Download'!B58</f>
        <v>461</v>
      </c>
      <c r="C934">
        <f>'2020_5-2-2_Download'!$AM$5</f>
        <v>2015</v>
      </c>
      <c r="D934" t="str">
        <f>VLOOKUP(B934,[1]Tabelle1!$A$1:$B$68,2,FALSE)</f>
        <v>Wesermarsch</v>
      </c>
      <c r="E934" t="str">
        <f>'2020_5-2-2_Download'!$AO$7</f>
        <v>Frauen</v>
      </c>
      <c r="G934" t="s">
        <v>84</v>
      </c>
      <c r="H934" t="str">
        <f>VLOOKUP(B934,[2]Kreise!$A$2:$C$53,3,FALSE)</f>
        <v>K03461</v>
      </c>
      <c r="I934">
        <f>'2020_5-2-2_Download'!AO58</f>
        <v>267</v>
      </c>
    </row>
    <row r="935" spans="2:9">
      <c r="B935">
        <f>'2020_5-2-2_Download'!B59</f>
        <v>462</v>
      </c>
      <c r="C935">
        <f>'2020_5-2-2_Download'!$AM$5</f>
        <v>2015</v>
      </c>
      <c r="D935" t="str">
        <f>VLOOKUP(B935,[1]Tabelle1!$A$1:$B$68,2,FALSE)</f>
        <v>Wittmund</v>
      </c>
      <c r="E935" t="str">
        <f>'2020_5-2-2_Download'!$AO$7</f>
        <v>Frauen</v>
      </c>
      <c r="G935" t="s">
        <v>84</v>
      </c>
      <c r="H935" t="str">
        <f>VLOOKUP(B935,[2]Kreise!$A$2:$C$53,3,FALSE)</f>
        <v>K03462</v>
      </c>
      <c r="I935">
        <f>'2020_5-2-2_Download'!AO59</f>
        <v>307</v>
      </c>
    </row>
    <row r="936" spans="2:9">
      <c r="B936">
        <f>'2020_5-2-2_Download'!B60</f>
        <v>4</v>
      </c>
      <c r="C936">
        <f>'2020_5-2-2_Download'!$AM$5</f>
        <v>2015</v>
      </c>
      <c r="D936" t="str">
        <f>VLOOKUP(B936,[1]Tabelle1!$A$1:$B$68,2,FALSE)</f>
        <v>Stat. Region Weser-Ems</v>
      </c>
      <c r="E936" t="str">
        <f>'2020_5-2-2_Download'!$AO$7</f>
        <v>Frauen</v>
      </c>
      <c r="G936" t="s">
        <v>84</v>
      </c>
      <c r="H936" t="str">
        <f>VLOOKUP(B936,[2]Kreise!$A$2:$C$53,3,FALSE)</f>
        <v>K034</v>
      </c>
      <c r="I936">
        <f>'2020_5-2-2_Download'!AO60</f>
        <v>19973</v>
      </c>
    </row>
    <row r="937" spans="2:9">
      <c r="B937">
        <f>'2020_5-2-2_Download'!B61</f>
        <v>0</v>
      </c>
      <c r="C937">
        <f>'2020_5-2-2_Download'!$AM$5</f>
        <v>2015</v>
      </c>
      <c r="D937" t="str">
        <f>VLOOKUP(B937,[1]Tabelle1!$A$1:$B$68,2,FALSE)</f>
        <v>Niedersachsen</v>
      </c>
      <c r="E937" t="str">
        <f>'2020_5-2-2_Download'!$AO$7</f>
        <v>Frauen</v>
      </c>
      <c r="G937" t="s">
        <v>84</v>
      </c>
      <c r="H937" t="str">
        <f>VLOOKUP(B937,[2]Kreise!$A$2:$C$53,3,FALSE)</f>
        <v>K030</v>
      </c>
      <c r="I937">
        <f>'2020_5-2-2_Download'!AO61</f>
        <v>63159</v>
      </c>
    </row>
    <row r="938" spans="2:9">
      <c r="B938">
        <f>'2020_5-2-2_Download'!B10</f>
        <v>101</v>
      </c>
      <c r="C938">
        <f>'2020_5-2-2_Download'!$AT$5</f>
        <v>2014</v>
      </c>
      <c r="D938" t="str">
        <f>VLOOKUP(B938,[1]Tabelle1!$A$1:$B$68,2,FALSE)</f>
        <v>Braunschweig  Stadt</v>
      </c>
      <c r="E938" t="str">
        <f>'2020_5-2-2_Download'!$AT$7</f>
        <v>Insgesamt</v>
      </c>
      <c r="G938" t="s">
        <v>84</v>
      </c>
      <c r="H938" t="str">
        <f>VLOOKUP(B938,[2]Kreise!$A$2:$C$53,3,FALSE)</f>
        <v>K03101</v>
      </c>
      <c r="I938">
        <f>'2020_5-2-2_Download'!AT10</f>
        <v>6498</v>
      </c>
    </row>
    <row r="939" spans="2:9">
      <c r="B939">
        <f>'2020_5-2-2_Download'!B11</f>
        <v>102</v>
      </c>
      <c r="C939">
        <f>'2020_5-2-2_Download'!$AT$5</f>
        <v>2014</v>
      </c>
      <c r="D939" t="str">
        <f>VLOOKUP(B939,[1]Tabelle1!$A$1:$B$68,2,FALSE)</f>
        <v>Salzgitter  Stadt</v>
      </c>
      <c r="E939" t="str">
        <f>'2020_5-2-2_Download'!$AT$7</f>
        <v>Insgesamt</v>
      </c>
      <c r="G939" t="s">
        <v>84</v>
      </c>
      <c r="H939" t="str">
        <f>VLOOKUP(B939,[2]Kreise!$A$2:$C$53,3,FALSE)</f>
        <v>K03102</v>
      </c>
      <c r="I939">
        <f>'2020_5-2-2_Download'!AT11</f>
        <v>3197</v>
      </c>
    </row>
    <row r="940" spans="2:9">
      <c r="B940">
        <f>'2020_5-2-2_Download'!B12</f>
        <v>103</v>
      </c>
      <c r="C940">
        <f>'2020_5-2-2_Download'!$AT$5</f>
        <v>2014</v>
      </c>
      <c r="D940" t="str">
        <f>VLOOKUP(B940,[1]Tabelle1!$A$1:$B$68,2,FALSE)</f>
        <v>Wolfsburg  Stadt</v>
      </c>
      <c r="E940" t="str">
        <f>'2020_5-2-2_Download'!$AT$7</f>
        <v>Insgesamt</v>
      </c>
      <c r="G940" t="s">
        <v>84</v>
      </c>
      <c r="H940" t="str">
        <f>VLOOKUP(B940,[2]Kreise!$A$2:$C$53,3,FALSE)</f>
        <v>K03103</v>
      </c>
      <c r="I940">
        <f>'2020_5-2-2_Download'!AT12</f>
        <v>7848</v>
      </c>
    </row>
    <row r="941" spans="2:9">
      <c r="B941">
        <f>'2020_5-2-2_Download'!B13</f>
        <v>151</v>
      </c>
      <c r="C941">
        <f>'2020_5-2-2_Download'!$AT$5</f>
        <v>2014</v>
      </c>
      <c r="D941" t="str">
        <f>VLOOKUP(B941,[1]Tabelle1!$A$1:$B$68,2,FALSE)</f>
        <v>Gifhorn</v>
      </c>
      <c r="E941" t="str">
        <f>'2020_5-2-2_Download'!$AT$7</f>
        <v>Insgesamt</v>
      </c>
      <c r="G941" t="s">
        <v>84</v>
      </c>
      <c r="H941" t="str">
        <f>VLOOKUP(B941,[2]Kreise!$A$2:$C$53,3,FALSE)</f>
        <v>K03151</v>
      </c>
      <c r="I941">
        <f>'2020_5-2-2_Download'!AT13</f>
        <v>1933</v>
      </c>
    </row>
    <row r="942" spans="2:9">
      <c r="B942">
        <f>'2020_5-2-2_Download'!B14</f>
        <v>153</v>
      </c>
      <c r="C942">
        <f>'2020_5-2-2_Download'!$AT$5</f>
        <v>2014</v>
      </c>
      <c r="D942" t="str">
        <f>VLOOKUP(B942,[1]Tabelle1!$A$1:$B$68,2,FALSE)</f>
        <v>Goslar</v>
      </c>
      <c r="E942" t="str">
        <f>'2020_5-2-2_Download'!$AT$7</f>
        <v>Insgesamt</v>
      </c>
      <c r="G942" t="s">
        <v>84</v>
      </c>
      <c r="H942" t="str">
        <f>VLOOKUP(B942,[2]Kreise!$A$2:$C$53,3,FALSE)</f>
        <v>K03153</v>
      </c>
      <c r="I942">
        <f>'2020_5-2-2_Download'!AT14</f>
        <v>1797</v>
      </c>
    </row>
    <row r="943" spans="2:9">
      <c r="B943">
        <f>'2020_5-2-2_Download'!B15</f>
        <v>154</v>
      </c>
      <c r="C943">
        <f>'2020_5-2-2_Download'!$AT$5</f>
        <v>2014</v>
      </c>
      <c r="D943" t="str">
        <f>VLOOKUP(B943,[1]Tabelle1!$A$1:$B$68,2,FALSE)</f>
        <v>Helmstedt</v>
      </c>
      <c r="E943" t="str">
        <f>'2020_5-2-2_Download'!$AT$7</f>
        <v>Insgesamt</v>
      </c>
      <c r="G943" t="s">
        <v>84</v>
      </c>
      <c r="H943" t="str">
        <f>VLOOKUP(B943,[2]Kreise!$A$2:$C$53,3,FALSE)</f>
        <v>K03154</v>
      </c>
      <c r="I943">
        <f>'2020_5-2-2_Download'!AT15</f>
        <v>676</v>
      </c>
    </row>
    <row r="944" spans="2:9">
      <c r="B944">
        <f>'2020_5-2-2_Download'!B16</f>
        <v>155</v>
      </c>
      <c r="C944">
        <f>'2020_5-2-2_Download'!$AT$5</f>
        <v>2014</v>
      </c>
      <c r="D944" t="str">
        <f>VLOOKUP(B944,[1]Tabelle1!$A$1:$B$68,2,FALSE)</f>
        <v>Northeim</v>
      </c>
      <c r="E944" t="str">
        <f>'2020_5-2-2_Download'!$AT$7</f>
        <v>Insgesamt</v>
      </c>
      <c r="G944" t="s">
        <v>84</v>
      </c>
      <c r="H944" t="str">
        <f>VLOOKUP(B944,[2]Kreise!$A$2:$C$53,3,FALSE)</f>
        <v>K03155</v>
      </c>
      <c r="I944">
        <f>'2020_5-2-2_Download'!AT16</f>
        <v>1873</v>
      </c>
    </row>
    <row r="945" spans="2:9">
      <c r="B945">
        <f>'2020_5-2-2_Download'!B17</f>
        <v>157</v>
      </c>
      <c r="C945">
        <f>'2020_5-2-2_Download'!$AT$5</f>
        <v>2014</v>
      </c>
      <c r="D945" t="str">
        <f>VLOOKUP(B945,[1]Tabelle1!$A$1:$B$68,2,FALSE)</f>
        <v>Peine</v>
      </c>
      <c r="E945" t="str">
        <f>'2020_5-2-2_Download'!$AT$7</f>
        <v>Insgesamt</v>
      </c>
      <c r="G945" t="s">
        <v>84</v>
      </c>
      <c r="H945" t="str">
        <f>VLOOKUP(B945,[2]Kreise!$A$2:$C$53,3,FALSE)</f>
        <v>K03157</v>
      </c>
      <c r="I945">
        <f>'2020_5-2-2_Download'!AT17</f>
        <v>1412</v>
      </c>
    </row>
    <row r="946" spans="2:9">
      <c r="B946">
        <f>'2020_5-2-2_Download'!B18</f>
        <v>158</v>
      </c>
      <c r="C946">
        <f>'2020_5-2-2_Download'!$AT$5</f>
        <v>2014</v>
      </c>
      <c r="D946" t="str">
        <f>VLOOKUP(B946,[1]Tabelle1!$A$1:$B$68,2,FALSE)</f>
        <v>Wolfenbüttel</v>
      </c>
      <c r="E946" t="str">
        <f>'2020_5-2-2_Download'!$AT$7</f>
        <v>Insgesamt</v>
      </c>
      <c r="G946" t="s">
        <v>84</v>
      </c>
      <c r="H946" t="str">
        <f>VLOOKUP(B946,[2]Kreise!$A$2:$C$53,3,FALSE)</f>
        <v>K03158</v>
      </c>
      <c r="I946">
        <f>'2020_5-2-2_Download'!AT18</f>
        <v>784</v>
      </c>
    </row>
    <row r="947" spans="2:9">
      <c r="B947">
        <f>'2020_5-2-2_Download'!B19</f>
        <v>159</v>
      </c>
      <c r="C947">
        <f>'2020_5-2-2_Download'!$AT$5</f>
        <v>2014</v>
      </c>
      <c r="D947" t="str">
        <f>VLOOKUP(B947,[1]Tabelle1!$A$1:$B$68,2,FALSE)</f>
        <v>Göttingen</v>
      </c>
      <c r="E947" t="str">
        <f>'2020_5-2-2_Download'!$AT$7</f>
        <v>Insgesamt</v>
      </c>
      <c r="G947" t="s">
        <v>84</v>
      </c>
      <c r="H947" t="str">
        <f>VLOOKUP(B947,[2]Kreise!$A$2:$C$53,3,FALSE)</f>
        <v>K03159</v>
      </c>
      <c r="I947">
        <f>'2020_5-2-2_Download'!AT19</f>
        <v>5660</v>
      </c>
    </row>
    <row r="948" spans="2:9">
      <c r="B948">
        <f>'2020_5-2-2_Download'!B20</f>
        <v>1</v>
      </c>
      <c r="C948">
        <f>'2020_5-2-2_Download'!$AT$5</f>
        <v>2014</v>
      </c>
      <c r="D948" t="str">
        <f>VLOOKUP(B948,[1]Tabelle1!$A$1:$B$68,2,FALSE)</f>
        <v>Stat. Region Braunschweig</v>
      </c>
      <c r="E948" t="str">
        <f>'2020_5-2-2_Download'!$AT$7</f>
        <v>Insgesamt</v>
      </c>
      <c r="G948" t="s">
        <v>84</v>
      </c>
      <c r="H948" t="str">
        <f>VLOOKUP(B948,[2]Kreise!$A$2:$C$53,3,FALSE)</f>
        <v>K031</v>
      </c>
      <c r="I948">
        <f>'2020_5-2-2_Download'!AT20</f>
        <v>31675</v>
      </c>
    </row>
    <row r="949" spans="2:9">
      <c r="B949">
        <f>'2020_5-2-2_Download'!B21</f>
        <v>241</v>
      </c>
      <c r="C949">
        <f>'2020_5-2-2_Download'!$AT$5</f>
        <v>2014</v>
      </c>
      <c r="D949" t="str">
        <f>VLOOKUP(B949,[1]Tabelle1!$A$1:$B$68,2,FALSE)</f>
        <v>Hannover  Region</v>
      </c>
      <c r="E949" t="str">
        <f>'2020_5-2-2_Download'!$AT$7</f>
        <v>Insgesamt</v>
      </c>
      <c r="G949" t="s">
        <v>84</v>
      </c>
      <c r="H949" t="str">
        <f>VLOOKUP(B949,[2]Kreise!$A$2:$C$53,3,FALSE)</f>
        <v>K03241</v>
      </c>
      <c r="I949">
        <f>'2020_5-2-2_Download'!AT21</f>
        <v>38784</v>
      </c>
    </row>
    <row r="950" spans="2:9">
      <c r="B950">
        <f>'2020_5-2-2_Download'!B22</f>
        <v>241001</v>
      </c>
      <c r="C950">
        <f>'2020_5-2-2_Download'!$AT$5</f>
        <v>2014</v>
      </c>
      <c r="D950" t="str">
        <f>VLOOKUP(B950,[1]Tabelle1!$A$1:$B$68,2,FALSE)</f>
        <v>dav. Hannover  Lhst.</v>
      </c>
      <c r="E950" t="str">
        <f>'2020_5-2-2_Download'!$AT$7</f>
        <v>Insgesamt</v>
      </c>
      <c r="G950" t="s">
        <v>84</v>
      </c>
      <c r="H950" t="str">
        <f>VLOOKUP(B950,[2]Kreise!$A$2:$C$53,3,FALSE)</f>
        <v>K03241001</v>
      </c>
      <c r="I950">
        <f>'2020_5-2-2_Download'!AT22</f>
        <v>25406</v>
      </c>
    </row>
    <row r="951" spans="2:9">
      <c r="B951">
        <f>'2020_5-2-2_Download'!B23</f>
        <v>241999</v>
      </c>
      <c r="C951">
        <f>'2020_5-2-2_Download'!$AT$5</f>
        <v>2014</v>
      </c>
      <c r="D951" t="str">
        <f>VLOOKUP(B951,[1]Tabelle1!$A$1:$B$68,2,FALSE)</f>
        <v>dav. Hannover  Umland</v>
      </c>
      <c r="E951" t="str">
        <f>'2020_5-2-2_Download'!$AT$7</f>
        <v>Insgesamt</v>
      </c>
      <c r="G951" t="s">
        <v>84</v>
      </c>
      <c r="H951" t="str">
        <f>VLOOKUP(B951,[2]Kreise!$A$2:$C$53,3,FALSE)</f>
        <v>K03241999</v>
      </c>
      <c r="I951">
        <f>'2020_5-2-2_Download'!AT23</f>
        <v>13378</v>
      </c>
    </row>
    <row r="952" spans="2:9">
      <c r="B952">
        <f>'2020_5-2-2_Download'!B24</f>
        <v>251</v>
      </c>
      <c r="C952">
        <f>'2020_5-2-2_Download'!$AT$5</f>
        <v>2014</v>
      </c>
      <c r="D952" t="str">
        <f>VLOOKUP(B952,[1]Tabelle1!$A$1:$B$68,2,FALSE)</f>
        <v>Diepholz</v>
      </c>
      <c r="E952" t="str">
        <f>'2020_5-2-2_Download'!$AT$7</f>
        <v>Insgesamt</v>
      </c>
      <c r="G952" t="s">
        <v>84</v>
      </c>
      <c r="H952" t="str">
        <f>VLOOKUP(B952,[2]Kreise!$A$2:$C$53,3,FALSE)</f>
        <v>K03251</v>
      </c>
      <c r="I952">
        <f>'2020_5-2-2_Download'!AT24</f>
        <v>3017</v>
      </c>
    </row>
    <row r="953" spans="2:9">
      <c r="B953">
        <f>'2020_5-2-2_Download'!B25</f>
        <v>252</v>
      </c>
      <c r="C953">
        <f>'2020_5-2-2_Download'!$AT$5</f>
        <v>2014</v>
      </c>
      <c r="D953" t="str">
        <f>VLOOKUP(B953,[1]Tabelle1!$A$1:$B$68,2,FALSE)</f>
        <v>Hameln-Pyrmont</v>
      </c>
      <c r="E953" t="str">
        <f>'2020_5-2-2_Download'!$AT$7</f>
        <v>Insgesamt</v>
      </c>
      <c r="G953" t="s">
        <v>84</v>
      </c>
      <c r="H953" t="str">
        <f>VLOOKUP(B953,[2]Kreise!$A$2:$C$53,3,FALSE)</f>
        <v>K03252</v>
      </c>
      <c r="I953">
        <f>'2020_5-2-2_Download'!AT25</f>
        <v>2495</v>
      </c>
    </row>
    <row r="954" spans="2:9">
      <c r="B954">
        <f>'2020_5-2-2_Download'!B26</f>
        <v>254</v>
      </c>
      <c r="C954">
        <f>'2020_5-2-2_Download'!$AT$5</f>
        <v>2014</v>
      </c>
      <c r="D954" t="str">
        <f>VLOOKUP(B954,[1]Tabelle1!$A$1:$B$68,2,FALSE)</f>
        <v>Hildesheim</v>
      </c>
      <c r="E954" t="str">
        <f>'2020_5-2-2_Download'!$AT$7</f>
        <v>Insgesamt</v>
      </c>
      <c r="G954" t="s">
        <v>84</v>
      </c>
      <c r="H954" t="str">
        <f>VLOOKUP(B954,[2]Kreise!$A$2:$C$53,3,FALSE)</f>
        <v>K03254</v>
      </c>
      <c r="I954">
        <f>'2020_5-2-2_Download'!AT26</f>
        <v>3537</v>
      </c>
    </row>
    <row r="955" spans="2:9">
      <c r="B955">
        <f>'2020_5-2-2_Download'!B27</f>
        <v>255</v>
      </c>
      <c r="C955">
        <f>'2020_5-2-2_Download'!$AT$5</f>
        <v>2014</v>
      </c>
      <c r="D955" t="str">
        <f>VLOOKUP(B955,[1]Tabelle1!$A$1:$B$68,2,FALSE)</f>
        <v>Holzminden</v>
      </c>
      <c r="E955" t="str">
        <f>'2020_5-2-2_Download'!$AT$7</f>
        <v>Insgesamt</v>
      </c>
      <c r="G955" t="s">
        <v>84</v>
      </c>
      <c r="H955" t="str">
        <f>VLOOKUP(B955,[2]Kreise!$A$2:$C$53,3,FALSE)</f>
        <v>K03255</v>
      </c>
      <c r="I955">
        <f>'2020_5-2-2_Download'!AT27</f>
        <v>819</v>
      </c>
    </row>
    <row r="956" spans="2:9">
      <c r="B956">
        <f>'2020_5-2-2_Download'!B28</f>
        <v>256</v>
      </c>
      <c r="C956">
        <f>'2020_5-2-2_Download'!$AT$5</f>
        <v>2014</v>
      </c>
      <c r="D956" t="str">
        <f>VLOOKUP(B956,[1]Tabelle1!$A$1:$B$68,2,FALSE)</f>
        <v>Nienburg (Weser)</v>
      </c>
      <c r="E956" t="str">
        <f>'2020_5-2-2_Download'!$AT$7</f>
        <v>Insgesamt</v>
      </c>
      <c r="G956" t="s">
        <v>84</v>
      </c>
      <c r="H956" t="str">
        <f>VLOOKUP(B956,[2]Kreise!$A$2:$C$53,3,FALSE)</f>
        <v>K03256</v>
      </c>
      <c r="I956">
        <f>'2020_5-2-2_Download'!AT28</f>
        <v>1800</v>
      </c>
    </row>
    <row r="957" spans="2:9">
      <c r="B957">
        <f>'2020_5-2-2_Download'!B29</f>
        <v>257</v>
      </c>
      <c r="C957">
        <f>'2020_5-2-2_Download'!$AT$5</f>
        <v>2014</v>
      </c>
      <c r="D957" t="str">
        <f>VLOOKUP(B957,[1]Tabelle1!$A$1:$B$68,2,FALSE)</f>
        <v>Schaumburg</v>
      </c>
      <c r="E957" t="str">
        <f>'2020_5-2-2_Download'!$AT$7</f>
        <v>Insgesamt</v>
      </c>
      <c r="G957" t="s">
        <v>84</v>
      </c>
      <c r="H957" t="str">
        <f>VLOOKUP(B957,[2]Kreise!$A$2:$C$53,3,FALSE)</f>
        <v>K03257</v>
      </c>
      <c r="I957">
        <f>'2020_5-2-2_Download'!AT29</f>
        <v>1920</v>
      </c>
    </row>
    <row r="958" spans="2:9">
      <c r="B958">
        <f>'2020_5-2-2_Download'!B30</f>
        <v>2</v>
      </c>
      <c r="C958">
        <f>'2020_5-2-2_Download'!$AT$5</f>
        <v>2014</v>
      </c>
      <c r="D958" t="str">
        <f>VLOOKUP(B958,[1]Tabelle1!$A$1:$B$68,2,FALSE)</f>
        <v>Stat. Region Hannover</v>
      </c>
      <c r="E958" t="str">
        <f>'2020_5-2-2_Download'!$AT$7</f>
        <v>Insgesamt</v>
      </c>
      <c r="G958" t="s">
        <v>84</v>
      </c>
      <c r="H958" t="str">
        <f>VLOOKUP(B958,[2]Kreise!$A$2:$C$53,3,FALSE)</f>
        <v>K032</v>
      </c>
      <c r="I958">
        <f>'2020_5-2-2_Download'!AT30</f>
        <v>52372</v>
      </c>
    </row>
    <row r="959" spans="2:9">
      <c r="B959">
        <f>'2020_5-2-2_Download'!B31</f>
        <v>351</v>
      </c>
      <c r="C959">
        <f>'2020_5-2-2_Download'!$AT$5</f>
        <v>2014</v>
      </c>
      <c r="D959" t="str">
        <f>VLOOKUP(B959,[1]Tabelle1!$A$1:$B$68,2,FALSE)</f>
        <v>Celle</v>
      </c>
      <c r="E959" t="str">
        <f>'2020_5-2-2_Download'!$AT$7</f>
        <v>Insgesamt</v>
      </c>
      <c r="G959" t="s">
        <v>84</v>
      </c>
      <c r="H959" t="str">
        <f>VLOOKUP(B959,[2]Kreise!$A$2:$C$53,3,FALSE)</f>
        <v>K03351</v>
      </c>
      <c r="I959">
        <f>'2020_5-2-2_Download'!AT31</f>
        <v>2335</v>
      </c>
    </row>
    <row r="960" spans="2:9">
      <c r="B960">
        <f>'2020_5-2-2_Download'!B32</f>
        <v>352</v>
      </c>
      <c r="C960">
        <f>'2020_5-2-2_Download'!$AT$5</f>
        <v>2014</v>
      </c>
      <c r="D960" t="str">
        <f>VLOOKUP(B960,[1]Tabelle1!$A$1:$B$68,2,FALSE)</f>
        <v>Cuxhaven</v>
      </c>
      <c r="E960" t="str">
        <f>'2020_5-2-2_Download'!$AT$7</f>
        <v>Insgesamt</v>
      </c>
      <c r="G960" t="s">
        <v>84</v>
      </c>
      <c r="H960" t="str">
        <f>VLOOKUP(B960,[2]Kreise!$A$2:$C$53,3,FALSE)</f>
        <v>K03352</v>
      </c>
      <c r="I960">
        <f>'2020_5-2-2_Download'!AT32</f>
        <v>2772</v>
      </c>
    </row>
    <row r="961" spans="2:9">
      <c r="B961">
        <f>'2020_5-2-2_Download'!B33</f>
        <v>353</v>
      </c>
      <c r="C961">
        <f>'2020_5-2-2_Download'!$AT$5</f>
        <v>2014</v>
      </c>
      <c r="D961" t="str">
        <f>VLOOKUP(B961,[1]Tabelle1!$A$1:$B$68,2,FALSE)</f>
        <v>Harburg</v>
      </c>
      <c r="E961" t="str">
        <f>'2020_5-2-2_Download'!$AT$7</f>
        <v>Insgesamt</v>
      </c>
      <c r="G961" t="s">
        <v>84</v>
      </c>
      <c r="H961" t="str">
        <f>VLOOKUP(B961,[2]Kreise!$A$2:$C$53,3,FALSE)</f>
        <v>K03353</v>
      </c>
      <c r="I961">
        <f>'2020_5-2-2_Download'!AT33</f>
        <v>3799</v>
      </c>
    </row>
    <row r="962" spans="2:9">
      <c r="B962">
        <f>'2020_5-2-2_Download'!B34</f>
        <v>354</v>
      </c>
      <c r="C962">
        <f>'2020_5-2-2_Download'!$AT$5</f>
        <v>2014</v>
      </c>
      <c r="D962" t="str">
        <f>VLOOKUP(B962,[1]Tabelle1!$A$1:$B$68,2,FALSE)</f>
        <v>Lüchow-Dannenberg</v>
      </c>
      <c r="E962" t="str">
        <f>'2020_5-2-2_Download'!$AT$7</f>
        <v>Insgesamt</v>
      </c>
      <c r="G962" t="s">
        <v>84</v>
      </c>
      <c r="H962" t="str">
        <f>VLOOKUP(B962,[2]Kreise!$A$2:$C$53,3,FALSE)</f>
        <v>K03354</v>
      </c>
      <c r="I962">
        <f>'2020_5-2-2_Download'!AT34</f>
        <v>362</v>
      </c>
    </row>
    <row r="963" spans="2:9">
      <c r="B963">
        <f>'2020_5-2-2_Download'!B35</f>
        <v>355</v>
      </c>
      <c r="C963">
        <f>'2020_5-2-2_Download'!$AT$5</f>
        <v>2014</v>
      </c>
      <c r="D963" t="str">
        <f>VLOOKUP(B963,[1]Tabelle1!$A$1:$B$68,2,FALSE)</f>
        <v>Lüneburg</v>
      </c>
      <c r="E963" t="str">
        <f>'2020_5-2-2_Download'!$AT$7</f>
        <v>Insgesamt</v>
      </c>
      <c r="G963" t="s">
        <v>84</v>
      </c>
      <c r="H963" t="str">
        <f>VLOOKUP(B963,[2]Kreise!$A$2:$C$53,3,FALSE)</f>
        <v>K03355</v>
      </c>
      <c r="I963">
        <f>'2020_5-2-2_Download'!AT35</f>
        <v>2087</v>
      </c>
    </row>
    <row r="964" spans="2:9">
      <c r="B964">
        <f>'2020_5-2-2_Download'!B36</f>
        <v>356</v>
      </c>
      <c r="C964">
        <f>'2020_5-2-2_Download'!$AT$5</f>
        <v>2014</v>
      </c>
      <c r="D964" t="str">
        <f>VLOOKUP(B964,[1]Tabelle1!$A$1:$B$68,2,FALSE)</f>
        <v>Osterholz</v>
      </c>
      <c r="E964" t="str">
        <f>'2020_5-2-2_Download'!$AT$7</f>
        <v>Insgesamt</v>
      </c>
      <c r="G964" t="s">
        <v>84</v>
      </c>
      <c r="H964" t="str">
        <f>VLOOKUP(B964,[2]Kreise!$A$2:$C$53,3,FALSE)</f>
        <v>K03356</v>
      </c>
      <c r="I964">
        <f>'2020_5-2-2_Download'!AT36</f>
        <v>989</v>
      </c>
    </row>
    <row r="965" spans="2:9">
      <c r="B965">
        <f>'2020_5-2-2_Download'!B37</f>
        <v>357</v>
      </c>
      <c r="C965">
        <f>'2020_5-2-2_Download'!$AT$5</f>
        <v>2014</v>
      </c>
      <c r="D965" t="str">
        <f>VLOOKUP(B965,[1]Tabelle1!$A$1:$B$68,2,FALSE)</f>
        <v>Rotenburg (Wümme)</v>
      </c>
      <c r="E965" t="str">
        <f>'2020_5-2-2_Download'!$AT$7</f>
        <v>Insgesamt</v>
      </c>
      <c r="G965" t="s">
        <v>84</v>
      </c>
      <c r="H965" t="str">
        <f>VLOOKUP(B965,[2]Kreise!$A$2:$C$53,3,FALSE)</f>
        <v>K03357</v>
      </c>
      <c r="I965">
        <f>'2020_5-2-2_Download'!AT37</f>
        <v>2018</v>
      </c>
    </row>
    <row r="966" spans="2:9">
      <c r="B966">
        <f>'2020_5-2-2_Download'!B38</f>
        <v>358</v>
      </c>
      <c r="C966">
        <f>'2020_5-2-2_Download'!$AT$5</f>
        <v>2014</v>
      </c>
      <c r="D966" t="str">
        <f>VLOOKUP(B966,[1]Tabelle1!$A$1:$B$68,2,FALSE)</f>
        <v>Heidekreis</v>
      </c>
      <c r="E966" t="str">
        <f>'2020_5-2-2_Download'!$AT$7</f>
        <v>Insgesamt</v>
      </c>
      <c r="G966" t="s">
        <v>84</v>
      </c>
      <c r="H966" t="str">
        <f>VLOOKUP(B966,[2]Kreise!$A$2:$C$53,3,FALSE)</f>
        <v>K03358</v>
      </c>
      <c r="I966">
        <f>'2020_5-2-2_Download'!AT38</f>
        <v>2268</v>
      </c>
    </row>
    <row r="967" spans="2:9">
      <c r="B967">
        <f>'2020_5-2-2_Download'!B39</f>
        <v>359</v>
      </c>
      <c r="C967">
        <f>'2020_5-2-2_Download'!$AT$5</f>
        <v>2014</v>
      </c>
      <c r="D967" t="str">
        <f>VLOOKUP(B967,[1]Tabelle1!$A$1:$B$68,2,FALSE)</f>
        <v>Stade</v>
      </c>
      <c r="E967" t="str">
        <f>'2020_5-2-2_Download'!$AT$7</f>
        <v>Insgesamt</v>
      </c>
      <c r="G967" t="s">
        <v>84</v>
      </c>
      <c r="H967" t="str">
        <f>VLOOKUP(B967,[2]Kreise!$A$2:$C$53,3,FALSE)</f>
        <v>K03359</v>
      </c>
      <c r="I967">
        <f>'2020_5-2-2_Download'!AT39</f>
        <v>4176</v>
      </c>
    </row>
    <row r="968" spans="2:9">
      <c r="B968">
        <f>'2020_5-2-2_Download'!B40</f>
        <v>360</v>
      </c>
      <c r="C968">
        <f>'2020_5-2-2_Download'!$AT$5</f>
        <v>2014</v>
      </c>
      <c r="D968" t="str">
        <f>VLOOKUP(B968,[1]Tabelle1!$A$1:$B$68,2,FALSE)</f>
        <v>Uelzen</v>
      </c>
      <c r="E968" t="str">
        <f>'2020_5-2-2_Download'!$AT$7</f>
        <v>Insgesamt</v>
      </c>
      <c r="G968" t="s">
        <v>84</v>
      </c>
      <c r="H968" t="str">
        <f>VLOOKUP(B968,[2]Kreise!$A$2:$C$53,3,FALSE)</f>
        <v>K03360</v>
      </c>
      <c r="I968">
        <f>'2020_5-2-2_Download'!AT40</f>
        <v>857</v>
      </c>
    </row>
    <row r="969" spans="2:9">
      <c r="B969">
        <f>'2020_5-2-2_Download'!B41</f>
        <v>361</v>
      </c>
      <c r="C969">
        <f>'2020_5-2-2_Download'!$AT$5</f>
        <v>2014</v>
      </c>
      <c r="D969" t="str">
        <f>VLOOKUP(B969,[1]Tabelle1!$A$1:$B$68,2,FALSE)</f>
        <v>Verden</v>
      </c>
      <c r="E969" t="str">
        <f>'2020_5-2-2_Download'!$AT$7</f>
        <v>Insgesamt</v>
      </c>
      <c r="G969" t="s">
        <v>84</v>
      </c>
      <c r="H969" t="str">
        <f>VLOOKUP(B969,[2]Kreise!$A$2:$C$53,3,FALSE)</f>
        <v>K03361</v>
      </c>
      <c r="I969">
        <f>'2020_5-2-2_Download'!AT41</f>
        <v>2427</v>
      </c>
    </row>
    <row r="970" spans="2:9">
      <c r="B970">
        <f>'2020_5-2-2_Download'!B42</f>
        <v>3</v>
      </c>
      <c r="C970">
        <f>'2020_5-2-2_Download'!$AT$5</f>
        <v>2014</v>
      </c>
      <c r="D970" t="str">
        <f>VLOOKUP(B970,[1]Tabelle1!$A$1:$B$68,2,FALSE)</f>
        <v>Stat. Region Lüneburg</v>
      </c>
      <c r="E970" t="str">
        <f>'2020_5-2-2_Download'!$AT$7</f>
        <v>Insgesamt</v>
      </c>
      <c r="G970" t="s">
        <v>84</v>
      </c>
      <c r="H970" t="str">
        <f>VLOOKUP(B970,[2]Kreise!$A$2:$C$53,3,FALSE)</f>
        <v>K033</v>
      </c>
      <c r="I970">
        <f>'2020_5-2-2_Download'!AT42</f>
        <v>24090</v>
      </c>
    </row>
    <row r="971" spans="2:9">
      <c r="B971">
        <f>'2020_5-2-2_Download'!B43</f>
        <v>401</v>
      </c>
      <c r="C971">
        <f>'2020_5-2-2_Download'!$AT$5</f>
        <v>2014</v>
      </c>
      <c r="D971" t="str">
        <f>VLOOKUP(B971,[1]Tabelle1!$A$1:$B$68,2,FALSE)</f>
        <v>Delmenhorst  Stadt</v>
      </c>
      <c r="E971" t="str">
        <f>'2020_5-2-2_Download'!$AT$7</f>
        <v>Insgesamt</v>
      </c>
      <c r="G971" t="s">
        <v>84</v>
      </c>
      <c r="H971" t="str">
        <f>VLOOKUP(B971,[2]Kreise!$A$2:$C$53,3,FALSE)</f>
        <v>K03401</v>
      </c>
      <c r="I971">
        <f>'2020_5-2-2_Download'!AT43</f>
        <v>1088</v>
      </c>
    </row>
    <row r="972" spans="2:9">
      <c r="B972">
        <f>'2020_5-2-2_Download'!B44</f>
        <v>402</v>
      </c>
      <c r="C972">
        <f>'2020_5-2-2_Download'!$AT$5</f>
        <v>2014</v>
      </c>
      <c r="D972" t="str">
        <f>VLOOKUP(B972,[1]Tabelle1!$A$1:$B$68,2,FALSE)</f>
        <v>Emden  Stadt</v>
      </c>
      <c r="E972" t="str">
        <f>'2020_5-2-2_Download'!$AT$7</f>
        <v>Insgesamt</v>
      </c>
      <c r="G972" t="s">
        <v>84</v>
      </c>
      <c r="H972" t="str">
        <f>VLOOKUP(B972,[2]Kreise!$A$2:$C$53,3,FALSE)</f>
        <v>K03402</v>
      </c>
      <c r="I972">
        <f>'2020_5-2-2_Download'!AT44</f>
        <v>1230</v>
      </c>
    </row>
    <row r="973" spans="2:9">
      <c r="B973">
        <f>'2020_5-2-2_Download'!B45</f>
        <v>403</v>
      </c>
      <c r="C973">
        <f>'2020_5-2-2_Download'!$AT$5</f>
        <v>2014</v>
      </c>
      <c r="D973" t="str">
        <f>VLOOKUP(B973,[1]Tabelle1!$A$1:$B$68,2,FALSE)</f>
        <v>Oldenburg(Oldb)  Stadt</v>
      </c>
      <c r="E973" t="str">
        <f>'2020_5-2-2_Download'!$AT$7</f>
        <v>Insgesamt</v>
      </c>
      <c r="G973" t="s">
        <v>84</v>
      </c>
      <c r="H973" t="str">
        <f>VLOOKUP(B973,[2]Kreise!$A$2:$C$53,3,FALSE)</f>
        <v>K03403</v>
      </c>
      <c r="I973">
        <f>'2020_5-2-2_Download'!AT45</f>
        <v>2913</v>
      </c>
    </row>
    <row r="974" spans="2:9">
      <c r="B974">
        <f>'2020_5-2-2_Download'!B46</f>
        <v>404</v>
      </c>
      <c r="C974">
        <f>'2020_5-2-2_Download'!$AT$5</f>
        <v>2014</v>
      </c>
      <c r="D974" t="str">
        <f>VLOOKUP(B974,[1]Tabelle1!$A$1:$B$68,2,FALSE)</f>
        <v>Osnabrück  Stadt</v>
      </c>
      <c r="E974" t="str">
        <f>'2020_5-2-2_Download'!$AT$7</f>
        <v>Insgesamt</v>
      </c>
      <c r="G974" t="s">
        <v>84</v>
      </c>
      <c r="H974" t="str">
        <f>VLOOKUP(B974,[2]Kreise!$A$2:$C$53,3,FALSE)</f>
        <v>K03404</v>
      </c>
      <c r="I974">
        <f>'2020_5-2-2_Download'!AT46</f>
        <v>5043</v>
      </c>
    </row>
    <row r="975" spans="2:9">
      <c r="B975">
        <f>'2020_5-2-2_Download'!B47</f>
        <v>405</v>
      </c>
      <c r="C975">
        <f>'2020_5-2-2_Download'!$AT$5</f>
        <v>2014</v>
      </c>
      <c r="D975" t="str">
        <f>VLOOKUP(B975,[1]Tabelle1!$A$1:$B$68,2,FALSE)</f>
        <v>Wilhelmshaven  Stadt</v>
      </c>
      <c r="E975" t="str">
        <f>'2020_5-2-2_Download'!$AT$7</f>
        <v>Insgesamt</v>
      </c>
      <c r="G975" t="s">
        <v>84</v>
      </c>
      <c r="H975" t="str">
        <f>VLOOKUP(B975,[2]Kreise!$A$2:$C$53,3,FALSE)</f>
        <v>K03405</v>
      </c>
      <c r="I975">
        <f>'2020_5-2-2_Download'!AT47</f>
        <v>772</v>
      </c>
    </row>
    <row r="976" spans="2:9">
      <c r="B976">
        <f>'2020_5-2-2_Download'!B48</f>
        <v>451</v>
      </c>
      <c r="C976">
        <f>'2020_5-2-2_Download'!$AT$5</f>
        <v>2014</v>
      </c>
      <c r="D976" t="str">
        <f>VLOOKUP(B976,[1]Tabelle1!$A$1:$B$68,2,FALSE)</f>
        <v>Ammerland</v>
      </c>
      <c r="E976" t="str">
        <f>'2020_5-2-2_Download'!$AT$7</f>
        <v>Insgesamt</v>
      </c>
      <c r="G976" t="s">
        <v>84</v>
      </c>
      <c r="H976" t="str">
        <f>VLOOKUP(B976,[2]Kreise!$A$2:$C$53,3,FALSE)</f>
        <v>K03451</v>
      </c>
      <c r="I976">
        <f>'2020_5-2-2_Download'!AT48</f>
        <v>2132</v>
      </c>
    </row>
    <row r="977" spans="2:9">
      <c r="B977">
        <f>'2020_5-2-2_Download'!B49</f>
        <v>452</v>
      </c>
      <c r="C977">
        <f>'2020_5-2-2_Download'!$AT$5</f>
        <v>2014</v>
      </c>
      <c r="D977" t="str">
        <f>VLOOKUP(B977,[1]Tabelle1!$A$1:$B$68,2,FALSE)</f>
        <v>Aurich</v>
      </c>
      <c r="E977" t="str">
        <f>'2020_5-2-2_Download'!$AT$7</f>
        <v>Insgesamt</v>
      </c>
      <c r="G977" t="s">
        <v>84</v>
      </c>
      <c r="H977" t="str">
        <f>VLOOKUP(B977,[2]Kreise!$A$2:$C$53,3,FALSE)</f>
        <v>K03452</v>
      </c>
      <c r="I977">
        <f>'2020_5-2-2_Download'!AT49</f>
        <v>2728</v>
      </c>
    </row>
    <row r="978" spans="2:9">
      <c r="B978">
        <f>'2020_5-2-2_Download'!B50</f>
        <v>453</v>
      </c>
      <c r="C978">
        <f>'2020_5-2-2_Download'!$AT$5</f>
        <v>2014</v>
      </c>
      <c r="D978" t="str">
        <f>VLOOKUP(B978,[1]Tabelle1!$A$1:$B$68,2,FALSE)</f>
        <v>Cloppenburg</v>
      </c>
      <c r="E978" t="str">
        <f>'2020_5-2-2_Download'!$AT$7</f>
        <v>Insgesamt</v>
      </c>
      <c r="G978" t="s">
        <v>84</v>
      </c>
      <c r="H978" t="str">
        <f>VLOOKUP(B978,[2]Kreise!$A$2:$C$53,3,FALSE)</f>
        <v>K03453</v>
      </c>
      <c r="I978">
        <f>'2020_5-2-2_Download'!AT50</f>
        <v>4579</v>
      </c>
    </row>
    <row r="979" spans="2:9">
      <c r="B979">
        <f>'2020_5-2-2_Download'!B51</f>
        <v>454</v>
      </c>
      <c r="C979">
        <f>'2020_5-2-2_Download'!$AT$5</f>
        <v>2014</v>
      </c>
      <c r="D979" t="str">
        <f>VLOOKUP(B979,[1]Tabelle1!$A$1:$B$68,2,FALSE)</f>
        <v>Emsland</v>
      </c>
      <c r="E979" t="str">
        <f>'2020_5-2-2_Download'!$AT$7</f>
        <v>Insgesamt</v>
      </c>
      <c r="G979" t="s">
        <v>84</v>
      </c>
      <c r="H979" t="str">
        <f>VLOOKUP(B979,[2]Kreise!$A$2:$C$53,3,FALSE)</f>
        <v>K03454</v>
      </c>
      <c r="I979">
        <f>'2020_5-2-2_Download'!AT51</f>
        <v>5620</v>
      </c>
    </row>
    <row r="980" spans="2:9">
      <c r="B980">
        <f>'2020_5-2-2_Download'!B52</f>
        <v>455</v>
      </c>
      <c r="C980">
        <f>'2020_5-2-2_Download'!$AT$5</f>
        <v>2014</v>
      </c>
      <c r="D980" t="str">
        <f>VLOOKUP(B980,[1]Tabelle1!$A$1:$B$68,2,FALSE)</f>
        <v>Friesland</v>
      </c>
      <c r="E980" t="str">
        <f>'2020_5-2-2_Download'!$AT$7</f>
        <v>Insgesamt</v>
      </c>
      <c r="G980" t="s">
        <v>84</v>
      </c>
      <c r="H980" t="str">
        <f>VLOOKUP(B980,[2]Kreise!$A$2:$C$53,3,FALSE)</f>
        <v>K03455</v>
      </c>
      <c r="I980">
        <f>'2020_5-2-2_Download'!AT52</f>
        <v>856</v>
      </c>
    </row>
    <row r="981" spans="2:9">
      <c r="B981">
        <f>'2020_5-2-2_Download'!B53</f>
        <v>456</v>
      </c>
      <c r="C981">
        <f>'2020_5-2-2_Download'!$AT$5</f>
        <v>2014</v>
      </c>
      <c r="D981" t="str">
        <f>VLOOKUP(B981,[1]Tabelle1!$A$1:$B$68,2,FALSE)</f>
        <v>Grafschaft Bentheim</v>
      </c>
      <c r="E981" t="str">
        <f>'2020_5-2-2_Download'!$AT$7</f>
        <v>Insgesamt</v>
      </c>
      <c r="G981" t="s">
        <v>84</v>
      </c>
      <c r="H981" t="str">
        <f>VLOOKUP(B981,[2]Kreise!$A$2:$C$53,3,FALSE)</f>
        <v>K03456</v>
      </c>
      <c r="I981">
        <f>'2020_5-2-2_Download'!AT53</f>
        <v>3298</v>
      </c>
    </row>
    <row r="982" spans="2:9">
      <c r="B982">
        <f>'2020_5-2-2_Download'!B54</f>
        <v>457</v>
      </c>
      <c r="C982">
        <f>'2020_5-2-2_Download'!$AT$5</f>
        <v>2014</v>
      </c>
      <c r="D982" t="str">
        <f>VLOOKUP(B982,[1]Tabelle1!$A$1:$B$68,2,FALSE)</f>
        <v>Leer</v>
      </c>
      <c r="E982" t="str">
        <f>'2020_5-2-2_Download'!$AT$7</f>
        <v>Insgesamt</v>
      </c>
      <c r="G982" t="s">
        <v>84</v>
      </c>
      <c r="H982" t="str">
        <f>VLOOKUP(B982,[2]Kreise!$A$2:$C$53,3,FALSE)</f>
        <v>K03457</v>
      </c>
      <c r="I982">
        <f>'2020_5-2-2_Download'!AT54</f>
        <v>1862</v>
      </c>
    </row>
    <row r="983" spans="2:9">
      <c r="B983">
        <f>'2020_5-2-2_Download'!B55</f>
        <v>458</v>
      </c>
      <c r="C983">
        <f>'2020_5-2-2_Download'!$AT$5</f>
        <v>2014</v>
      </c>
      <c r="D983" t="str">
        <f>VLOOKUP(B983,[1]Tabelle1!$A$1:$B$68,2,FALSE)</f>
        <v>Oldenburg</v>
      </c>
      <c r="E983" t="str">
        <f>'2020_5-2-2_Download'!$AT$7</f>
        <v>Insgesamt</v>
      </c>
      <c r="G983" t="s">
        <v>84</v>
      </c>
      <c r="H983" t="str">
        <f>VLOOKUP(B983,[2]Kreise!$A$2:$C$53,3,FALSE)</f>
        <v>K03458</v>
      </c>
      <c r="I983">
        <f>'2020_5-2-2_Download'!AT55</f>
        <v>1947</v>
      </c>
    </row>
    <row r="984" spans="2:9">
      <c r="B984">
        <f>'2020_5-2-2_Download'!B56</f>
        <v>459</v>
      </c>
      <c r="C984">
        <f>'2020_5-2-2_Download'!$AT$5</f>
        <v>2014</v>
      </c>
      <c r="D984" t="str">
        <f>VLOOKUP(B984,[1]Tabelle1!$A$1:$B$68,2,FALSE)</f>
        <v>Osnabrück</v>
      </c>
      <c r="E984" t="str">
        <f>'2020_5-2-2_Download'!$AT$7</f>
        <v>Insgesamt</v>
      </c>
      <c r="G984" t="s">
        <v>84</v>
      </c>
      <c r="H984" t="str">
        <f>VLOOKUP(B984,[2]Kreise!$A$2:$C$53,3,FALSE)</f>
        <v>K03459</v>
      </c>
      <c r="I984">
        <f>'2020_5-2-2_Download'!AT56</f>
        <v>8767</v>
      </c>
    </row>
    <row r="985" spans="2:9">
      <c r="B985">
        <f>'2020_5-2-2_Download'!B57</f>
        <v>460</v>
      </c>
      <c r="C985">
        <f>'2020_5-2-2_Download'!$AT$5</f>
        <v>2014</v>
      </c>
      <c r="D985" t="str">
        <f>VLOOKUP(B985,[1]Tabelle1!$A$1:$B$68,2,FALSE)</f>
        <v>Vechta</v>
      </c>
      <c r="E985" t="str">
        <f>'2020_5-2-2_Download'!$AT$7</f>
        <v>Insgesamt</v>
      </c>
      <c r="G985" t="s">
        <v>84</v>
      </c>
      <c r="H985" t="str">
        <f>VLOOKUP(B985,[2]Kreise!$A$2:$C$53,3,FALSE)</f>
        <v>K03460</v>
      </c>
      <c r="I985">
        <f>'2020_5-2-2_Download'!AT57</f>
        <v>6430</v>
      </c>
    </row>
    <row r="986" spans="2:9">
      <c r="B986">
        <f>'2020_5-2-2_Download'!B58</f>
        <v>461</v>
      </c>
      <c r="C986">
        <f>'2020_5-2-2_Download'!$AT$5</f>
        <v>2014</v>
      </c>
      <c r="D986" t="str">
        <f>VLOOKUP(B986,[1]Tabelle1!$A$1:$B$68,2,FALSE)</f>
        <v>Wesermarsch</v>
      </c>
      <c r="E986" t="str">
        <f>'2020_5-2-2_Download'!$AT$7</f>
        <v>Insgesamt</v>
      </c>
      <c r="G986" t="s">
        <v>84</v>
      </c>
      <c r="H986" t="str">
        <f>VLOOKUP(B986,[2]Kreise!$A$2:$C$53,3,FALSE)</f>
        <v>K03461</v>
      </c>
      <c r="I986">
        <f>'2020_5-2-2_Download'!AT58</f>
        <v>1330</v>
      </c>
    </row>
    <row r="987" spans="2:9">
      <c r="B987">
        <f>'2020_5-2-2_Download'!B59</f>
        <v>462</v>
      </c>
      <c r="C987">
        <f>'2020_5-2-2_Download'!$AT$5</f>
        <v>2014</v>
      </c>
      <c r="D987" t="str">
        <f>VLOOKUP(B987,[1]Tabelle1!$A$1:$B$68,2,FALSE)</f>
        <v>Wittmund</v>
      </c>
      <c r="E987" t="str">
        <f>'2020_5-2-2_Download'!$AT$7</f>
        <v>Insgesamt</v>
      </c>
      <c r="G987" t="s">
        <v>84</v>
      </c>
      <c r="H987" t="str">
        <f>VLOOKUP(B987,[2]Kreise!$A$2:$C$53,3,FALSE)</f>
        <v>K03462</v>
      </c>
      <c r="I987">
        <f>'2020_5-2-2_Download'!AT59</f>
        <v>586</v>
      </c>
    </row>
    <row r="988" spans="2:9">
      <c r="B988">
        <f>'2020_5-2-2_Download'!B60</f>
        <v>4</v>
      </c>
      <c r="C988">
        <f>'2020_5-2-2_Download'!$AT$5</f>
        <v>2014</v>
      </c>
      <c r="D988" t="str">
        <f>VLOOKUP(B988,[1]Tabelle1!$A$1:$B$68,2,FALSE)</f>
        <v>Stat. Region Weser-Ems</v>
      </c>
      <c r="E988" t="str">
        <f>'2020_5-2-2_Download'!$AT$7</f>
        <v>Insgesamt</v>
      </c>
      <c r="G988" t="s">
        <v>84</v>
      </c>
      <c r="H988" t="str">
        <f>VLOOKUP(B988,[2]Kreise!$A$2:$C$53,3,FALSE)</f>
        <v>K034</v>
      </c>
      <c r="I988">
        <f>'2020_5-2-2_Download'!AT60</f>
        <v>51181</v>
      </c>
    </row>
    <row r="989" spans="2:9">
      <c r="B989">
        <f>'2020_5-2-2_Download'!B61</f>
        <v>0</v>
      </c>
      <c r="C989">
        <f>'2020_5-2-2_Download'!$AT$5</f>
        <v>2014</v>
      </c>
      <c r="D989" t="str">
        <f>VLOOKUP(B989,[1]Tabelle1!$A$1:$B$68,2,FALSE)</f>
        <v>Niedersachsen</v>
      </c>
      <c r="E989" t="str">
        <f>'2020_5-2-2_Download'!$AT$7</f>
        <v>Insgesamt</v>
      </c>
      <c r="G989" t="s">
        <v>84</v>
      </c>
      <c r="H989" t="str">
        <f>VLOOKUP(B989,[2]Kreise!$A$2:$C$53,3,FALSE)</f>
        <v>K030</v>
      </c>
      <c r="I989">
        <f>'2020_5-2-2_Download'!AT61</f>
        <v>159318</v>
      </c>
    </row>
    <row r="990" spans="2:9">
      <c r="B990">
        <f>'2020_5-2-2_Download'!B10</f>
        <v>101</v>
      </c>
      <c r="C990">
        <f>'2020_5-2-2_Download'!$AT$5</f>
        <v>2014</v>
      </c>
      <c r="D990" t="str">
        <f>VLOOKUP(B990,[1]Tabelle1!$A$1:$B$68,2,FALSE)</f>
        <v>Braunschweig  Stadt</v>
      </c>
      <c r="E990" t="str">
        <f>'2020_5-2-2_Download'!$AU$7</f>
        <v>Männer</v>
      </c>
      <c r="G990" t="s">
        <v>84</v>
      </c>
      <c r="H990" t="str">
        <f>VLOOKUP(B990,[2]Kreise!$A$2:$C$53,3,FALSE)</f>
        <v>K03101</v>
      </c>
      <c r="I990">
        <f>'2020_5-2-2_Download'!AU10</f>
        <v>3809</v>
      </c>
    </row>
    <row r="991" spans="2:9">
      <c r="B991">
        <f>'2020_5-2-2_Download'!B11</f>
        <v>102</v>
      </c>
      <c r="C991">
        <f>'2020_5-2-2_Download'!$AT$5</f>
        <v>2014</v>
      </c>
      <c r="D991" t="str">
        <f>VLOOKUP(B991,[1]Tabelle1!$A$1:$B$68,2,FALSE)</f>
        <v>Salzgitter  Stadt</v>
      </c>
      <c r="E991" t="str">
        <f>'2020_5-2-2_Download'!$AU$7</f>
        <v>Männer</v>
      </c>
      <c r="G991" t="s">
        <v>84</v>
      </c>
      <c r="H991" t="str">
        <f>VLOOKUP(B991,[2]Kreise!$A$2:$C$53,3,FALSE)</f>
        <v>K03102</v>
      </c>
      <c r="I991">
        <f>'2020_5-2-2_Download'!AU11</f>
        <v>2561</v>
      </c>
    </row>
    <row r="992" spans="2:9">
      <c r="B992">
        <f>'2020_5-2-2_Download'!B12</f>
        <v>103</v>
      </c>
      <c r="C992">
        <f>'2020_5-2-2_Download'!$AT$5</f>
        <v>2014</v>
      </c>
      <c r="D992" t="str">
        <f>VLOOKUP(B992,[1]Tabelle1!$A$1:$B$68,2,FALSE)</f>
        <v>Wolfsburg  Stadt</v>
      </c>
      <c r="E992" t="str">
        <f>'2020_5-2-2_Download'!$AU$7</f>
        <v>Männer</v>
      </c>
      <c r="G992" t="s">
        <v>84</v>
      </c>
      <c r="H992" t="str">
        <f>VLOOKUP(B992,[2]Kreise!$A$2:$C$53,3,FALSE)</f>
        <v>K03103</v>
      </c>
      <c r="I992">
        <f>'2020_5-2-2_Download'!AU12</f>
        <v>5502</v>
      </c>
    </row>
    <row r="993" spans="2:9">
      <c r="B993">
        <f>'2020_5-2-2_Download'!B13</f>
        <v>151</v>
      </c>
      <c r="C993">
        <f>'2020_5-2-2_Download'!$AT$5</f>
        <v>2014</v>
      </c>
      <c r="D993" t="str">
        <f>VLOOKUP(B993,[1]Tabelle1!$A$1:$B$68,2,FALSE)</f>
        <v>Gifhorn</v>
      </c>
      <c r="E993" t="str">
        <f>'2020_5-2-2_Download'!$AU$7</f>
        <v>Männer</v>
      </c>
      <c r="G993" t="s">
        <v>84</v>
      </c>
      <c r="H993" t="str">
        <f>VLOOKUP(B993,[2]Kreise!$A$2:$C$53,3,FALSE)</f>
        <v>K03151</v>
      </c>
      <c r="I993">
        <f>'2020_5-2-2_Download'!AU13</f>
        <v>1323</v>
      </c>
    </row>
    <row r="994" spans="2:9">
      <c r="B994">
        <f>'2020_5-2-2_Download'!B14</f>
        <v>153</v>
      </c>
      <c r="C994">
        <f>'2020_5-2-2_Download'!$AT$5</f>
        <v>2014</v>
      </c>
      <c r="D994" t="str">
        <f>VLOOKUP(B994,[1]Tabelle1!$A$1:$B$68,2,FALSE)</f>
        <v>Goslar</v>
      </c>
      <c r="E994" t="str">
        <f>'2020_5-2-2_Download'!$AU$7</f>
        <v>Männer</v>
      </c>
      <c r="G994" t="s">
        <v>84</v>
      </c>
      <c r="H994" t="str">
        <f>VLOOKUP(B994,[2]Kreise!$A$2:$C$53,3,FALSE)</f>
        <v>K03153</v>
      </c>
      <c r="I994">
        <f>'2020_5-2-2_Download'!AU14</f>
        <v>1202</v>
      </c>
    </row>
    <row r="995" spans="2:9">
      <c r="B995">
        <f>'2020_5-2-2_Download'!B15</f>
        <v>154</v>
      </c>
      <c r="C995">
        <f>'2020_5-2-2_Download'!$AT$5</f>
        <v>2014</v>
      </c>
      <c r="D995" t="str">
        <f>VLOOKUP(B995,[1]Tabelle1!$A$1:$B$68,2,FALSE)</f>
        <v>Helmstedt</v>
      </c>
      <c r="E995" t="str">
        <f>'2020_5-2-2_Download'!$AU$7</f>
        <v>Männer</v>
      </c>
      <c r="G995" t="s">
        <v>84</v>
      </c>
      <c r="H995" t="str">
        <f>VLOOKUP(B995,[2]Kreise!$A$2:$C$53,3,FALSE)</f>
        <v>K03154</v>
      </c>
      <c r="I995">
        <f>'2020_5-2-2_Download'!AU15</f>
        <v>373</v>
      </c>
    </row>
    <row r="996" spans="2:9">
      <c r="B996">
        <f>'2020_5-2-2_Download'!B16</f>
        <v>155</v>
      </c>
      <c r="C996">
        <f>'2020_5-2-2_Download'!$AT$5</f>
        <v>2014</v>
      </c>
      <c r="D996" t="str">
        <f>VLOOKUP(B996,[1]Tabelle1!$A$1:$B$68,2,FALSE)</f>
        <v>Northeim</v>
      </c>
      <c r="E996" t="str">
        <f>'2020_5-2-2_Download'!$AU$7</f>
        <v>Männer</v>
      </c>
      <c r="G996" t="s">
        <v>84</v>
      </c>
      <c r="H996" t="str">
        <f>VLOOKUP(B996,[2]Kreise!$A$2:$C$53,3,FALSE)</f>
        <v>K03155</v>
      </c>
      <c r="I996">
        <f>'2020_5-2-2_Download'!AU16</f>
        <v>1400</v>
      </c>
    </row>
    <row r="997" spans="2:9">
      <c r="B997">
        <f>'2020_5-2-2_Download'!B17</f>
        <v>157</v>
      </c>
      <c r="C997">
        <f>'2020_5-2-2_Download'!$AT$5</f>
        <v>2014</v>
      </c>
      <c r="D997" t="str">
        <f>VLOOKUP(B997,[1]Tabelle1!$A$1:$B$68,2,FALSE)</f>
        <v>Peine</v>
      </c>
      <c r="E997" t="str">
        <f>'2020_5-2-2_Download'!$AU$7</f>
        <v>Männer</v>
      </c>
      <c r="G997" t="s">
        <v>84</v>
      </c>
      <c r="H997" t="str">
        <f>VLOOKUP(B997,[2]Kreise!$A$2:$C$53,3,FALSE)</f>
        <v>K03157</v>
      </c>
      <c r="I997">
        <f>'2020_5-2-2_Download'!AU17</f>
        <v>989</v>
      </c>
    </row>
    <row r="998" spans="2:9">
      <c r="B998">
        <f>'2020_5-2-2_Download'!B18</f>
        <v>158</v>
      </c>
      <c r="C998">
        <f>'2020_5-2-2_Download'!$AT$5</f>
        <v>2014</v>
      </c>
      <c r="D998" t="str">
        <f>VLOOKUP(B998,[1]Tabelle1!$A$1:$B$68,2,FALSE)</f>
        <v>Wolfenbüttel</v>
      </c>
      <c r="E998" t="str">
        <f>'2020_5-2-2_Download'!$AU$7</f>
        <v>Männer</v>
      </c>
      <c r="G998" t="s">
        <v>84</v>
      </c>
      <c r="H998" t="str">
        <f>VLOOKUP(B998,[2]Kreise!$A$2:$C$53,3,FALSE)</f>
        <v>K03158</v>
      </c>
      <c r="I998">
        <f>'2020_5-2-2_Download'!AU18</f>
        <v>480</v>
      </c>
    </row>
    <row r="999" spans="2:9">
      <c r="B999">
        <f>'2020_5-2-2_Download'!B19</f>
        <v>159</v>
      </c>
      <c r="C999">
        <f>'2020_5-2-2_Download'!$AT$5</f>
        <v>2014</v>
      </c>
      <c r="D999" t="str">
        <f>VLOOKUP(B999,[1]Tabelle1!$A$1:$B$68,2,FALSE)</f>
        <v>Göttingen</v>
      </c>
      <c r="E999" t="str">
        <f>'2020_5-2-2_Download'!$AU$7</f>
        <v>Männer</v>
      </c>
      <c r="G999" t="s">
        <v>84</v>
      </c>
      <c r="H999" t="str">
        <f>VLOOKUP(B999,[2]Kreise!$A$2:$C$53,3,FALSE)</f>
        <v>K03159</v>
      </c>
      <c r="I999">
        <f>'2020_5-2-2_Download'!AU19</f>
        <v>3317</v>
      </c>
    </row>
    <row r="1000" spans="2:9">
      <c r="B1000">
        <f>'2020_5-2-2_Download'!B20</f>
        <v>1</v>
      </c>
      <c r="C1000">
        <f>'2020_5-2-2_Download'!$AT$5</f>
        <v>2014</v>
      </c>
      <c r="D1000" t="str">
        <f>VLOOKUP(B1000,[1]Tabelle1!$A$1:$B$68,2,FALSE)</f>
        <v>Stat. Region Braunschweig</v>
      </c>
      <c r="E1000" t="str">
        <f>'2020_5-2-2_Download'!$AU$7</f>
        <v>Männer</v>
      </c>
      <c r="G1000" t="s">
        <v>84</v>
      </c>
      <c r="H1000" t="str">
        <f>VLOOKUP(B1000,[2]Kreise!$A$2:$C$53,3,FALSE)</f>
        <v>K031</v>
      </c>
      <c r="I1000">
        <f>'2020_5-2-2_Download'!AU20</f>
        <v>20955</v>
      </c>
    </row>
    <row r="1001" spans="2:9">
      <c r="B1001">
        <f>'2020_5-2-2_Download'!B21</f>
        <v>241</v>
      </c>
      <c r="C1001">
        <f>'2020_5-2-2_Download'!$AT$5</f>
        <v>2014</v>
      </c>
      <c r="D1001" t="str">
        <f>VLOOKUP(B1001,[1]Tabelle1!$A$1:$B$68,2,FALSE)</f>
        <v>Hannover  Region</v>
      </c>
      <c r="E1001" t="str">
        <f>'2020_5-2-2_Download'!$AU$7</f>
        <v>Männer</v>
      </c>
      <c r="G1001" t="s">
        <v>84</v>
      </c>
      <c r="H1001" t="str">
        <f>VLOOKUP(B1001,[2]Kreise!$A$2:$C$53,3,FALSE)</f>
        <v>K03241</v>
      </c>
      <c r="I1001">
        <f>'2020_5-2-2_Download'!AU21</f>
        <v>23178</v>
      </c>
    </row>
    <row r="1002" spans="2:9">
      <c r="B1002">
        <f>'2020_5-2-2_Download'!B22</f>
        <v>241001</v>
      </c>
      <c r="C1002">
        <f>'2020_5-2-2_Download'!$AT$5</f>
        <v>2014</v>
      </c>
      <c r="D1002" t="str">
        <f>VLOOKUP(B1002,[1]Tabelle1!$A$1:$B$68,2,FALSE)</f>
        <v>dav. Hannover  Lhst.</v>
      </c>
      <c r="E1002" t="str">
        <f>'2020_5-2-2_Download'!$AU$7</f>
        <v>Männer</v>
      </c>
      <c r="G1002" t="s">
        <v>84</v>
      </c>
      <c r="H1002" t="str">
        <f>VLOOKUP(B1002,[2]Kreise!$A$2:$C$53,3,FALSE)</f>
        <v>K03241001</v>
      </c>
      <c r="I1002">
        <f>'2020_5-2-2_Download'!AU22</f>
        <v>14610</v>
      </c>
    </row>
    <row r="1003" spans="2:9">
      <c r="B1003">
        <f>'2020_5-2-2_Download'!B23</f>
        <v>241999</v>
      </c>
      <c r="C1003">
        <f>'2020_5-2-2_Download'!$AT$5</f>
        <v>2014</v>
      </c>
      <c r="D1003" t="str">
        <f>VLOOKUP(B1003,[1]Tabelle1!$A$1:$B$68,2,FALSE)</f>
        <v>dav. Hannover  Umland</v>
      </c>
      <c r="E1003" t="str">
        <f>'2020_5-2-2_Download'!$AU$7</f>
        <v>Männer</v>
      </c>
      <c r="G1003" t="s">
        <v>84</v>
      </c>
      <c r="H1003" t="str">
        <f>VLOOKUP(B1003,[2]Kreise!$A$2:$C$53,3,FALSE)</f>
        <v>K03241999</v>
      </c>
      <c r="I1003">
        <f>'2020_5-2-2_Download'!AU23</f>
        <v>8568</v>
      </c>
    </row>
    <row r="1004" spans="2:9">
      <c r="B1004">
        <f>'2020_5-2-2_Download'!B24</f>
        <v>251</v>
      </c>
      <c r="C1004">
        <f>'2020_5-2-2_Download'!$AT$5</f>
        <v>2014</v>
      </c>
      <c r="D1004" t="str">
        <f>VLOOKUP(B1004,[1]Tabelle1!$A$1:$B$68,2,FALSE)</f>
        <v>Diepholz</v>
      </c>
      <c r="E1004" t="str">
        <f>'2020_5-2-2_Download'!$AU$7</f>
        <v>Männer</v>
      </c>
      <c r="G1004" t="s">
        <v>84</v>
      </c>
      <c r="H1004" t="str">
        <f>VLOOKUP(B1004,[2]Kreise!$A$2:$C$53,3,FALSE)</f>
        <v>K03251</v>
      </c>
      <c r="I1004">
        <f>'2020_5-2-2_Download'!AU24</f>
        <v>2084</v>
      </c>
    </row>
    <row r="1005" spans="2:9">
      <c r="B1005">
        <f>'2020_5-2-2_Download'!B25</f>
        <v>252</v>
      </c>
      <c r="C1005">
        <f>'2020_5-2-2_Download'!$AT$5</f>
        <v>2014</v>
      </c>
      <c r="D1005" t="str">
        <f>VLOOKUP(B1005,[1]Tabelle1!$A$1:$B$68,2,FALSE)</f>
        <v>Hameln-Pyrmont</v>
      </c>
      <c r="E1005" t="str">
        <f>'2020_5-2-2_Download'!$AU$7</f>
        <v>Männer</v>
      </c>
      <c r="G1005" t="s">
        <v>84</v>
      </c>
      <c r="H1005" t="str">
        <f>VLOOKUP(B1005,[2]Kreise!$A$2:$C$53,3,FALSE)</f>
        <v>K03252</v>
      </c>
      <c r="I1005">
        <f>'2020_5-2-2_Download'!AU25</f>
        <v>1452</v>
      </c>
    </row>
    <row r="1006" spans="2:9">
      <c r="B1006">
        <f>'2020_5-2-2_Download'!B26</f>
        <v>254</v>
      </c>
      <c r="C1006">
        <f>'2020_5-2-2_Download'!$AT$5</f>
        <v>2014</v>
      </c>
      <c r="D1006" t="str">
        <f>VLOOKUP(B1006,[1]Tabelle1!$A$1:$B$68,2,FALSE)</f>
        <v>Hildesheim</v>
      </c>
      <c r="E1006" t="str">
        <f>'2020_5-2-2_Download'!$AU$7</f>
        <v>Männer</v>
      </c>
      <c r="G1006" t="s">
        <v>84</v>
      </c>
      <c r="H1006" t="str">
        <f>VLOOKUP(B1006,[2]Kreise!$A$2:$C$53,3,FALSE)</f>
        <v>K03254</v>
      </c>
      <c r="I1006">
        <f>'2020_5-2-2_Download'!AU26</f>
        <v>2230</v>
      </c>
    </row>
    <row r="1007" spans="2:9">
      <c r="B1007">
        <f>'2020_5-2-2_Download'!B27</f>
        <v>255</v>
      </c>
      <c r="C1007">
        <f>'2020_5-2-2_Download'!$AT$5</f>
        <v>2014</v>
      </c>
      <c r="D1007" t="str">
        <f>VLOOKUP(B1007,[1]Tabelle1!$A$1:$B$68,2,FALSE)</f>
        <v>Holzminden</v>
      </c>
      <c r="E1007" t="str">
        <f>'2020_5-2-2_Download'!$AU$7</f>
        <v>Männer</v>
      </c>
      <c r="G1007" t="s">
        <v>84</v>
      </c>
      <c r="H1007" t="str">
        <f>VLOOKUP(B1007,[2]Kreise!$A$2:$C$53,3,FALSE)</f>
        <v>K03255</v>
      </c>
      <c r="I1007">
        <f>'2020_5-2-2_Download'!AU27</f>
        <v>557</v>
      </c>
    </row>
    <row r="1008" spans="2:9">
      <c r="B1008">
        <f>'2020_5-2-2_Download'!B28</f>
        <v>256</v>
      </c>
      <c r="C1008">
        <f>'2020_5-2-2_Download'!$AT$5</f>
        <v>2014</v>
      </c>
      <c r="D1008" t="str">
        <f>VLOOKUP(B1008,[1]Tabelle1!$A$1:$B$68,2,FALSE)</f>
        <v>Nienburg (Weser)</v>
      </c>
      <c r="E1008" t="str">
        <f>'2020_5-2-2_Download'!$AU$7</f>
        <v>Männer</v>
      </c>
      <c r="G1008" t="s">
        <v>84</v>
      </c>
      <c r="H1008" t="str">
        <f>VLOOKUP(B1008,[2]Kreise!$A$2:$C$53,3,FALSE)</f>
        <v>K03256</v>
      </c>
      <c r="I1008">
        <f>'2020_5-2-2_Download'!AU28</f>
        <v>1249</v>
      </c>
    </row>
    <row r="1009" spans="2:9">
      <c r="B1009">
        <f>'2020_5-2-2_Download'!B29</f>
        <v>257</v>
      </c>
      <c r="C1009">
        <f>'2020_5-2-2_Download'!$AT$5</f>
        <v>2014</v>
      </c>
      <c r="D1009" t="str">
        <f>VLOOKUP(B1009,[1]Tabelle1!$A$1:$B$68,2,FALSE)</f>
        <v>Schaumburg</v>
      </c>
      <c r="E1009" t="str">
        <f>'2020_5-2-2_Download'!$AU$7</f>
        <v>Männer</v>
      </c>
      <c r="G1009" t="s">
        <v>84</v>
      </c>
      <c r="H1009" t="str">
        <f>VLOOKUP(B1009,[2]Kreise!$A$2:$C$53,3,FALSE)</f>
        <v>K03257</v>
      </c>
      <c r="I1009">
        <f>'2020_5-2-2_Download'!AU29</f>
        <v>1192</v>
      </c>
    </row>
    <row r="1010" spans="2:9">
      <c r="B1010">
        <f>'2020_5-2-2_Download'!B30</f>
        <v>2</v>
      </c>
      <c r="C1010">
        <f>'2020_5-2-2_Download'!$AT$5</f>
        <v>2014</v>
      </c>
      <c r="D1010" t="str">
        <f>VLOOKUP(B1010,[1]Tabelle1!$A$1:$B$68,2,FALSE)</f>
        <v>Stat. Region Hannover</v>
      </c>
      <c r="E1010" t="str">
        <f>'2020_5-2-2_Download'!$AU$7</f>
        <v>Männer</v>
      </c>
      <c r="G1010" t="s">
        <v>84</v>
      </c>
      <c r="H1010" t="str">
        <f>VLOOKUP(B1010,[2]Kreise!$A$2:$C$53,3,FALSE)</f>
        <v>K032</v>
      </c>
      <c r="I1010">
        <f>'2020_5-2-2_Download'!AU30</f>
        <v>31942</v>
      </c>
    </row>
    <row r="1011" spans="2:9">
      <c r="B1011">
        <f>'2020_5-2-2_Download'!B31</f>
        <v>351</v>
      </c>
      <c r="C1011">
        <f>'2020_5-2-2_Download'!$AT$5</f>
        <v>2014</v>
      </c>
      <c r="D1011" t="str">
        <f>VLOOKUP(B1011,[1]Tabelle1!$A$1:$B$68,2,FALSE)</f>
        <v>Celle</v>
      </c>
      <c r="E1011" t="str">
        <f>'2020_5-2-2_Download'!$AU$7</f>
        <v>Männer</v>
      </c>
      <c r="G1011" t="s">
        <v>84</v>
      </c>
      <c r="H1011" t="str">
        <f>VLOOKUP(B1011,[2]Kreise!$A$2:$C$53,3,FALSE)</f>
        <v>K03351</v>
      </c>
      <c r="I1011">
        <f>'2020_5-2-2_Download'!AU31</f>
        <v>1500</v>
      </c>
    </row>
    <row r="1012" spans="2:9">
      <c r="B1012">
        <f>'2020_5-2-2_Download'!B32</f>
        <v>352</v>
      </c>
      <c r="C1012">
        <f>'2020_5-2-2_Download'!$AT$5</f>
        <v>2014</v>
      </c>
      <c r="D1012" t="str">
        <f>VLOOKUP(B1012,[1]Tabelle1!$A$1:$B$68,2,FALSE)</f>
        <v>Cuxhaven</v>
      </c>
      <c r="E1012" t="str">
        <f>'2020_5-2-2_Download'!$AU$7</f>
        <v>Männer</v>
      </c>
      <c r="G1012" t="s">
        <v>84</v>
      </c>
      <c r="H1012" t="str">
        <f>VLOOKUP(B1012,[2]Kreise!$A$2:$C$53,3,FALSE)</f>
        <v>K03352</v>
      </c>
      <c r="I1012">
        <f>'2020_5-2-2_Download'!AU32</f>
        <v>1809</v>
      </c>
    </row>
    <row r="1013" spans="2:9">
      <c r="B1013">
        <f>'2020_5-2-2_Download'!B33</f>
        <v>353</v>
      </c>
      <c r="C1013">
        <f>'2020_5-2-2_Download'!$AT$5</f>
        <v>2014</v>
      </c>
      <c r="D1013" t="str">
        <f>VLOOKUP(B1013,[1]Tabelle1!$A$1:$B$68,2,FALSE)</f>
        <v>Harburg</v>
      </c>
      <c r="E1013" t="str">
        <f>'2020_5-2-2_Download'!$AU$7</f>
        <v>Männer</v>
      </c>
      <c r="G1013" t="s">
        <v>84</v>
      </c>
      <c r="H1013" t="str">
        <f>VLOOKUP(B1013,[2]Kreise!$A$2:$C$53,3,FALSE)</f>
        <v>K03353</v>
      </c>
      <c r="I1013">
        <f>'2020_5-2-2_Download'!AU33</f>
        <v>2541</v>
      </c>
    </row>
    <row r="1014" spans="2:9">
      <c r="B1014">
        <f>'2020_5-2-2_Download'!B34</f>
        <v>354</v>
      </c>
      <c r="C1014">
        <f>'2020_5-2-2_Download'!$AT$5</f>
        <v>2014</v>
      </c>
      <c r="D1014" t="str">
        <f>VLOOKUP(B1014,[1]Tabelle1!$A$1:$B$68,2,FALSE)</f>
        <v>Lüchow-Dannenberg</v>
      </c>
      <c r="E1014" t="str">
        <f>'2020_5-2-2_Download'!$AU$7</f>
        <v>Männer</v>
      </c>
      <c r="G1014" t="s">
        <v>84</v>
      </c>
      <c r="H1014" t="str">
        <f>VLOOKUP(B1014,[2]Kreise!$A$2:$C$53,3,FALSE)</f>
        <v>K03354</v>
      </c>
      <c r="I1014">
        <f>'2020_5-2-2_Download'!AU34</f>
        <v>215</v>
      </c>
    </row>
    <row r="1015" spans="2:9">
      <c r="B1015">
        <f>'2020_5-2-2_Download'!B35</f>
        <v>355</v>
      </c>
      <c r="C1015">
        <f>'2020_5-2-2_Download'!$AT$5</f>
        <v>2014</v>
      </c>
      <c r="D1015" t="str">
        <f>VLOOKUP(B1015,[1]Tabelle1!$A$1:$B$68,2,FALSE)</f>
        <v>Lüneburg</v>
      </c>
      <c r="E1015" t="str">
        <f>'2020_5-2-2_Download'!$AU$7</f>
        <v>Männer</v>
      </c>
      <c r="G1015" t="s">
        <v>84</v>
      </c>
      <c r="H1015" t="str">
        <f>VLOOKUP(B1015,[2]Kreise!$A$2:$C$53,3,FALSE)</f>
        <v>K03355</v>
      </c>
      <c r="I1015">
        <f>'2020_5-2-2_Download'!AU35</f>
        <v>1231</v>
      </c>
    </row>
    <row r="1016" spans="2:9">
      <c r="B1016">
        <f>'2020_5-2-2_Download'!B36</f>
        <v>356</v>
      </c>
      <c r="C1016">
        <f>'2020_5-2-2_Download'!$AT$5</f>
        <v>2014</v>
      </c>
      <c r="D1016" t="str">
        <f>VLOOKUP(B1016,[1]Tabelle1!$A$1:$B$68,2,FALSE)</f>
        <v>Osterholz</v>
      </c>
      <c r="E1016" t="str">
        <f>'2020_5-2-2_Download'!$AU$7</f>
        <v>Männer</v>
      </c>
      <c r="G1016" t="s">
        <v>84</v>
      </c>
      <c r="H1016" t="str">
        <f>VLOOKUP(B1016,[2]Kreise!$A$2:$C$53,3,FALSE)</f>
        <v>K03356</v>
      </c>
      <c r="I1016">
        <f>'2020_5-2-2_Download'!AU36</f>
        <v>675</v>
      </c>
    </row>
    <row r="1017" spans="2:9">
      <c r="B1017">
        <f>'2020_5-2-2_Download'!B37</f>
        <v>357</v>
      </c>
      <c r="C1017">
        <f>'2020_5-2-2_Download'!$AT$5</f>
        <v>2014</v>
      </c>
      <c r="D1017" t="str">
        <f>VLOOKUP(B1017,[1]Tabelle1!$A$1:$B$68,2,FALSE)</f>
        <v>Rotenburg (Wümme)</v>
      </c>
      <c r="E1017" t="str">
        <f>'2020_5-2-2_Download'!$AU$7</f>
        <v>Männer</v>
      </c>
      <c r="G1017" t="s">
        <v>84</v>
      </c>
      <c r="H1017" t="str">
        <f>VLOOKUP(B1017,[2]Kreise!$A$2:$C$53,3,FALSE)</f>
        <v>K03357</v>
      </c>
      <c r="I1017">
        <f>'2020_5-2-2_Download'!AU37</f>
        <v>1339</v>
      </c>
    </row>
    <row r="1018" spans="2:9">
      <c r="B1018">
        <f>'2020_5-2-2_Download'!B38</f>
        <v>358</v>
      </c>
      <c r="C1018">
        <f>'2020_5-2-2_Download'!$AT$5</f>
        <v>2014</v>
      </c>
      <c r="D1018" t="str">
        <f>VLOOKUP(B1018,[1]Tabelle1!$A$1:$B$68,2,FALSE)</f>
        <v>Heidekreis</v>
      </c>
      <c r="E1018" t="str">
        <f>'2020_5-2-2_Download'!$AU$7</f>
        <v>Männer</v>
      </c>
      <c r="G1018" t="s">
        <v>84</v>
      </c>
      <c r="H1018" t="str">
        <f>VLOOKUP(B1018,[2]Kreise!$A$2:$C$53,3,FALSE)</f>
        <v>K03358</v>
      </c>
      <c r="I1018">
        <f>'2020_5-2-2_Download'!AU38</f>
        <v>1510</v>
      </c>
    </row>
    <row r="1019" spans="2:9">
      <c r="B1019">
        <f>'2020_5-2-2_Download'!B39</f>
        <v>359</v>
      </c>
      <c r="C1019">
        <f>'2020_5-2-2_Download'!$AT$5</f>
        <v>2014</v>
      </c>
      <c r="D1019" t="str">
        <f>VLOOKUP(B1019,[1]Tabelle1!$A$1:$B$68,2,FALSE)</f>
        <v>Stade</v>
      </c>
      <c r="E1019" t="str">
        <f>'2020_5-2-2_Download'!$AU$7</f>
        <v>Männer</v>
      </c>
      <c r="G1019" t="s">
        <v>84</v>
      </c>
      <c r="H1019" t="str">
        <f>VLOOKUP(B1019,[2]Kreise!$A$2:$C$53,3,FALSE)</f>
        <v>K03359</v>
      </c>
      <c r="I1019">
        <f>'2020_5-2-2_Download'!AU39</f>
        <v>3228</v>
      </c>
    </row>
    <row r="1020" spans="2:9">
      <c r="B1020">
        <f>'2020_5-2-2_Download'!B40</f>
        <v>360</v>
      </c>
      <c r="C1020">
        <f>'2020_5-2-2_Download'!$AT$5</f>
        <v>2014</v>
      </c>
      <c r="D1020" t="str">
        <f>VLOOKUP(B1020,[1]Tabelle1!$A$1:$B$68,2,FALSE)</f>
        <v>Uelzen</v>
      </c>
      <c r="E1020" t="str">
        <f>'2020_5-2-2_Download'!$AU$7</f>
        <v>Männer</v>
      </c>
      <c r="G1020" t="s">
        <v>84</v>
      </c>
      <c r="H1020" t="str">
        <f>VLOOKUP(B1020,[2]Kreise!$A$2:$C$53,3,FALSE)</f>
        <v>K03360</v>
      </c>
      <c r="I1020">
        <f>'2020_5-2-2_Download'!AU40</f>
        <v>501</v>
      </c>
    </row>
    <row r="1021" spans="2:9">
      <c r="B1021">
        <f>'2020_5-2-2_Download'!B41</f>
        <v>361</v>
      </c>
      <c r="C1021">
        <f>'2020_5-2-2_Download'!$AT$5</f>
        <v>2014</v>
      </c>
      <c r="D1021" t="str">
        <f>VLOOKUP(B1021,[1]Tabelle1!$A$1:$B$68,2,FALSE)</f>
        <v>Verden</v>
      </c>
      <c r="E1021" t="str">
        <f>'2020_5-2-2_Download'!$AU$7</f>
        <v>Männer</v>
      </c>
      <c r="G1021" t="s">
        <v>84</v>
      </c>
      <c r="H1021" t="str">
        <f>VLOOKUP(B1021,[2]Kreise!$A$2:$C$53,3,FALSE)</f>
        <v>K03361</v>
      </c>
      <c r="I1021">
        <f>'2020_5-2-2_Download'!AU41</f>
        <v>1566</v>
      </c>
    </row>
    <row r="1022" spans="2:9">
      <c r="B1022">
        <f>'2020_5-2-2_Download'!B42</f>
        <v>3</v>
      </c>
      <c r="C1022">
        <f>'2020_5-2-2_Download'!$AT$5</f>
        <v>2014</v>
      </c>
      <c r="D1022" t="str">
        <f>VLOOKUP(B1022,[1]Tabelle1!$A$1:$B$68,2,FALSE)</f>
        <v>Stat. Region Lüneburg</v>
      </c>
      <c r="E1022" t="str">
        <f>'2020_5-2-2_Download'!$AU$7</f>
        <v>Männer</v>
      </c>
      <c r="G1022" t="s">
        <v>84</v>
      </c>
      <c r="H1022" t="str">
        <f>VLOOKUP(B1022,[2]Kreise!$A$2:$C$53,3,FALSE)</f>
        <v>K033</v>
      </c>
      <c r="I1022">
        <f>'2020_5-2-2_Download'!AU42</f>
        <v>16115</v>
      </c>
    </row>
    <row r="1023" spans="2:9">
      <c r="B1023">
        <f>'2020_5-2-2_Download'!B43</f>
        <v>401</v>
      </c>
      <c r="C1023">
        <f>'2020_5-2-2_Download'!$AT$5</f>
        <v>2014</v>
      </c>
      <c r="D1023" t="str">
        <f>VLOOKUP(B1023,[1]Tabelle1!$A$1:$B$68,2,FALSE)</f>
        <v>Delmenhorst  Stadt</v>
      </c>
      <c r="E1023" t="str">
        <f>'2020_5-2-2_Download'!$AU$7</f>
        <v>Männer</v>
      </c>
      <c r="G1023" t="s">
        <v>84</v>
      </c>
      <c r="H1023" t="str">
        <f>VLOOKUP(B1023,[2]Kreise!$A$2:$C$53,3,FALSE)</f>
        <v>K03401</v>
      </c>
      <c r="I1023">
        <f>'2020_5-2-2_Download'!AU43</f>
        <v>588</v>
      </c>
    </row>
    <row r="1024" spans="2:9">
      <c r="B1024">
        <f>'2020_5-2-2_Download'!B44</f>
        <v>402</v>
      </c>
      <c r="C1024">
        <f>'2020_5-2-2_Download'!$AT$5</f>
        <v>2014</v>
      </c>
      <c r="D1024" t="str">
        <f>VLOOKUP(B1024,[1]Tabelle1!$A$1:$B$68,2,FALSE)</f>
        <v>Emden  Stadt</v>
      </c>
      <c r="E1024" t="str">
        <f>'2020_5-2-2_Download'!$AU$7</f>
        <v>Männer</v>
      </c>
      <c r="G1024" t="s">
        <v>84</v>
      </c>
      <c r="H1024" t="str">
        <f>VLOOKUP(B1024,[2]Kreise!$A$2:$C$53,3,FALSE)</f>
        <v>K03402</v>
      </c>
      <c r="I1024">
        <f>'2020_5-2-2_Download'!AU44</f>
        <v>984</v>
      </c>
    </row>
    <row r="1025" spans="2:9">
      <c r="B1025">
        <f>'2020_5-2-2_Download'!B45</f>
        <v>403</v>
      </c>
      <c r="C1025">
        <f>'2020_5-2-2_Download'!$AT$5</f>
        <v>2014</v>
      </c>
      <c r="D1025" t="str">
        <f>VLOOKUP(B1025,[1]Tabelle1!$A$1:$B$68,2,FALSE)</f>
        <v>Oldenburg(Oldb)  Stadt</v>
      </c>
      <c r="E1025" t="str">
        <f>'2020_5-2-2_Download'!$AU$7</f>
        <v>Männer</v>
      </c>
      <c r="G1025" t="s">
        <v>84</v>
      </c>
      <c r="H1025" t="str">
        <f>VLOOKUP(B1025,[2]Kreise!$A$2:$C$53,3,FALSE)</f>
        <v>K03403</v>
      </c>
      <c r="I1025">
        <f>'2020_5-2-2_Download'!AU45</f>
        <v>1673</v>
      </c>
    </row>
    <row r="1026" spans="2:9">
      <c r="B1026">
        <f>'2020_5-2-2_Download'!B46</f>
        <v>404</v>
      </c>
      <c r="C1026">
        <f>'2020_5-2-2_Download'!$AT$5</f>
        <v>2014</v>
      </c>
      <c r="D1026" t="str">
        <f>VLOOKUP(B1026,[1]Tabelle1!$A$1:$B$68,2,FALSE)</f>
        <v>Osnabrück  Stadt</v>
      </c>
      <c r="E1026" t="str">
        <f>'2020_5-2-2_Download'!$AU$7</f>
        <v>Männer</v>
      </c>
      <c r="G1026" t="s">
        <v>84</v>
      </c>
      <c r="H1026" t="str">
        <f>VLOOKUP(B1026,[2]Kreise!$A$2:$C$53,3,FALSE)</f>
        <v>K03404</v>
      </c>
      <c r="I1026">
        <f>'2020_5-2-2_Download'!AU46</f>
        <v>2772</v>
      </c>
    </row>
    <row r="1027" spans="2:9">
      <c r="B1027">
        <f>'2020_5-2-2_Download'!B47</f>
        <v>405</v>
      </c>
      <c r="C1027">
        <f>'2020_5-2-2_Download'!$AT$5</f>
        <v>2014</v>
      </c>
      <c r="D1027" t="str">
        <f>VLOOKUP(B1027,[1]Tabelle1!$A$1:$B$68,2,FALSE)</f>
        <v>Wilhelmshaven  Stadt</v>
      </c>
      <c r="E1027" t="str">
        <f>'2020_5-2-2_Download'!$AU$7</f>
        <v>Männer</v>
      </c>
      <c r="G1027" t="s">
        <v>84</v>
      </c>
      <c r="H1027" t="str">
        <f>VLOOKUP(B1027,[2]Kreise!$A$2:$C$53,3,FALSE)</f>
        <v>K03405</v>
      </c>
      <c r="I1027">
        <f>'2020_5-2-2_Download'!AU47</f>
        <v>499</v>
      </c>
    </row>
    <row r="1028" spans="2:9">
      <c r="B1028">
        <f>'2020_5-2-2_Download'!B48</f>
        <v>451</v>
      </c>
      <c r="C1028">
        <f>'2020_5-2-2_Download'!$AT$5</f>
        <v>2014</v>
      </c>
      <c r="D1028" t="str">
        <f>VLOOKUP(B1028,[1]Tabelle1!$A$1:$B$68,2,FALSE)</f>
        <v>Ammerland</v>
      </c>
      <c r="E1028" t="str">
        <f>'2020_5-2-2_Download'!$AU$7</f>
        <v>Männer</v>
      </c>
      <c r="G1028" t="s">
        <v>84</v>
      </c>
      <c r="H1028" t="str">
        <f>VLOOKUP(B1028,[2]Kreise!$A$2:$C$53,3,FALSE)</f>
        <v>K03451</v>
      </c>
      <c r="I1028">
        <f>'2020_5-2-2_Download'!AU48</f>
        <v>1462</v>
      </c>
    </row>
    <row r="1029" spans="2:9">
      <c r="B1029">
        <f>'2020_5-2-2_Download'!B49</f>
        <v>452</v>
      </c>
      <c r="C1029">
        <f>'2020_5-2-2_Download'!$AT$5</f>
        <v>2014</v>
      </c>
      <c r="D1029" t="str">
        <f>VLOOKUP(B1029,[1]Tabelle1!$A$1:$B$68,2,FALSE)</f>
        <v>Aurich</v>
      </c>
      <c r="E1029" t="str">
        <f>'2020_5-2-2_Download'!$AU$7</f>
        <v>Männer</v>
      </c>
      <c r="G1029" t="s">
        <v>84</v>
      </c>
      <c r="H1029" t="str">
        <f>VLOOKUP(B1029,[2]Kreise!$A$2:$C$53,3,FALSE)</f>
        <v>K03452</v>
      </c>
      <c r="I1029">
        <f>'2020_5-2-2_Download'!AU49</f>
        <v>1697</v>
      </c>
    </row>
    <row r="1030" spans="2:9">
      <c r="B1030">
        <f>'2020_5-2-2_Download'!B50</f>
        <v>453</v>
      </c>
      <c r="C1030">
        <f>'2020_5-2-2_Download'!$AT$5</f>
        <v>2014</v>
      </c>
      <c r="D1030" t="str">
        <f>VLOOKUP(B1030,[1]Tabelle1!$A$1:$B$68,2,FALSE)</f>
        <v>Cloppenburg</v>
      </c>
      <c r="E1030" t="str">
        <f>'2020_5-2-2_Download'!$AU$7</f>
        <v>Männer</v>
      </c>
      <c r="G1030" t="s">
        <v>84</v>
      </c>
      <c r="H1030" t="str">
        <f>VLOOKUP(B1030,[2]Kreise!$A$2:$C$53,3,FALSE)</f>
        <v>K03453</v>
      </c>
      <c r="I1030">
        <f>'2020_5-2-2_Download'!AU50</f>
        <v>3248</v>
      </c>
    </row>
    <row r="1031" spans="2:9">
      <c r="B1031">
        <f>'2020_5-2-2_Download'!B51</f>
        <v>454</v>
      </c>
      <c r="C1031">
        <f>'2020_5-2-2_Download'!$AT$5</f>
        <v>2014</v>
      </c>
      <c r="D1031" t="str">
        <f>VLOOKUP(B1031,[1]Tabelle1!$A$1:$B$68,2,FALSE)</f>
        <v>Emsland</v>
      </c>
      <c r="E1031" t="str">
        <f>'2020_5-2-2_Download'!$AU$7</f>
        <v>Männer</v>
      </c>
      <c r="G1031" t="s">
        <v>84</v>
      </c>
      <c r="H1031" t="str">
        <f>VLOOKUP(B1031,[2]Kreise!$A$2:$C$53,3,FALSE)</f>
        <v>K03454</v>
      </c>
      <c r="I1031">
        <f>'2020_5-2-2_Download'!AU51</f>
        <v>4178</v>
      </c>
    </row>
    <row r="1032" spans="2:9">
      <c r="B1032">
        <f>'2020_5-2-2_Download'!B52</f>
        <v>455</v>
      </c>
      <c r="C1032">
        <f>'2020_5-2-2_Download'!$AT$5</f>
        <v>2014</v>
      </c>
      <c r="D1032" t="str">
        <f>VLOOKUP(B1032,[1]Tabelle1!$A$1:$B$68,2,FALSE)</f>
        <v>Friesland</v>
      </c>
      <c r="E1032" t="str">
        <f>'2020_5-2-2_Download'!$AU$7</f>
        <v>Männer</v>
      </c>
      <c r="G1032" t="s">
        <v>84</v>
      </c>
      <c r="H1032" t="str">
        <f>VLOOKUP(B1032,[2]Kreise!$A$2:$C$53,3,FALSE)</f>
        <v>K03455</v>
      </c>
      <c r="I1032">
        <f>'2020_5-2-2_Download'!AU52</f>
        <v>508</v>
      </c>
    </row>
    <row r="1033" spans="2:9">
      <c r="B1033">
        <f>'2020_5-2-2_Download'!B53</f>
        <v>456</v>
      </c>
      <c r="C1033">
        <f>'2020_5-2-2_Download'!$AT$5</f>
        <v>2014</v>
      </c>
      <c r="D1033" t="str">
        <f>VLOOKUP(B1033,[1]Tabelle1!$A$1:$B$68,2,FALSE)</f>
        <v>Grafschaft Bentheim</v>
      </c>
      <c r="E1033" t="str">
        <f>'2020_5-2-2_Download'!$AU$7</f>
        <v>Männer</v>
      </c>
      <c r="G1033" t="s">
        <v>84</v>
      </c>
      <c r="H1033" t="str">
        <f>VLOOKUP(B1033,[2]Kreise!$A$2:$C$53,3,FALSE)</f>
        <v>K03456</v>
      </c>
      <c r="I1033">
        <f>'2020_5-2-2_Download'!AU53</f>
        <v>2222</v>
      </c>
    </row>
    <row r="1034" spans="2:9">
      <c r="B1034">
        <f>'2020_5-2-2_Download'!B54</f>
        <v>457</v>
      </c>
      <c r="C1034">
        <f>'2020_5-2-2_Download'!$AT$5</f>
        <v>2014</v>
      </c>
      <c r="D1034" t="str">
        <f>VLOOKUP(B1034,[1]Tabelle1!$A$1:$B$68,2,FALSE)</f>
        <v>Leer</v>
      </c>
      <c r="E1034" t="str">
        <f>'2020_5-2-2_Download'!$AU$7</f>
        <v>Männer</v>
      </c>
      <c r="G1034" t="s">
        <v>84</v>
      </c>
      <c r="H1034" t="str">
        <f>VLOOKUP(B1034,[2]Kreise!$A$2:$C$53,3,FALSE)</f>
        <v>K03457</v>
      </c>
      <c r="I1034">
        <f>'2020_5-2-2_Download'!AU54</f>
        <v>1250</v>
      </c>
    </row>
    <row r="1035" spans="2:9">
      <c r="B1035">
        <f>'2020_5-2-2_Download'!B55</f>
        <v>458</v>
      </c>
      <c r="C1035">
        <f>'2020_5-2-2_Download'!$AT$5</f>
        <v>2014</v>
      </c>
      <c r="D1035" t="str">
        <f>VLOOKUP(B1035,[1]Tabelle1!$A$1:$B$68,2,FALSE)</f>
        <v>Oldenburg</v>
      </c>
      <c r="E1035" t="str">
        <f>'2020_5-2-2_Download'!$AU$7</f>
        <v>Männer</v>
      </c>
      <c r="G1035" t="s">
        <v>84</v>
      </c>
      <c r="H1035" t="str">
        <f>VLOOKUP(B1035,[2]Kreise!$A$2:$C$53,3,FALSE)</f>
        <v>K03458</v>
      </c>
      <c r="I1035">
        <f>'2020_5-2-2_Download'!AU55</f>
        <v>1328</v>
      </c>
    </row>
    <row r="1036" spans="2:9">
      <c r="B1036">
        <f>'2020_5-2-2_Download'!B56</f>
        <v>459</v>
      </c>
      <c r="C1036">
        <f>'2020_5-2-2_Download'!$AT$5</f>
        <v>2014</v>
      </c>
      <c r="D1036" t="str">
        <f>VLOOKUP(B1036,[1]Tabelle1!$A$1:$B$68,2,FALSE)</f>
        <v>Osnabrück</v>
      </c>
      <c r="E1036" t="str">
        <f>'2020_5-2-2_Download'!$AU$7</f>
        <v>Männer</v>
      </c>
      <c r="G1036" t="s">
        <v>84</v>
      </c>
      <c r="H1036" t="str">
        <f>VLOOKUP(B1036,[2]Kreise!$A$2:$C$53,3,FALSE)</f>
        <v>K03459</v>
      </c>
      <c r="I1036">
        <f>'2020_5-2-2_Download'!AU56</f>
        <v>5978</v>
      </c>
    </row>
    <row r="1037" spans="2:9">
      <c r="B1037">
        <f>'2020_5-2-2_Download'!B57</f>
        <v>460</v>
      </c>
      <c r="C1037">
        <f>'2020_5-2-2_Download'!$AT$5</f>
        <v>2014</v>
      </c>
      <c r="D1037" t="str">
        <f>VLOOKUP(B1037,[1]Tabelle1!$A$1:$B$68,2,FALSE)</f>
        <v>Vechta</v>
      </c>
      <c r="E1037" t="str">
        <f>'2020_5-2-2_Download'!$AU$7</f>
        <v>Männer</v>
      </c>
      <c r="G1037" t="s">
        <v>84</v>
      </c>
      <c r="H1037" t="str">
        <f>VLOOKUP(B1037,[2]Kreise!$A$2:$C$53,3,FALSE)</f>
        <v>K03460</v>
      </c>
      <c r="I1037">
        <f>'2020_5-2-2_Download'!AU57</f>
        <v>4165</v>
      </c>
    </row>
    <row r="1038" spans="2:9">
      <c r="B1038">
        <f>'2020_5-2-2_Download'!B58</f>
        <v>461</v>
      </c>
      <c r="C1038">
        <f>'2020_5-2-2_Download'!$AT$5</f>
        <v>2014</v>
      </c>
      <c r="D1038" t="str">
        <f>VLOOKUP(B1038,[1]Tabelle1!$A$1:$B$68,2,FALSE)</f>
        <v>Wesermarsch</v>
      </c>
      <c r="E1038" t="str">
        <f>'2020_5-2-2_Download'!$AU$7</f>
        <v>Männer</v>
      </c>
      <c r="G1038" t="s">
        <v>84</v>
      </c>
      <c r="H1038" t="str">
        <f>VLOOKUP(B1038,[2]Kreise!$A$2:$C$53,3,FALSE)</f>
        <v>K03461</v>
      </c>
      <c r="I1038">
        <f>'2020_5-2-2_Download'!AU58</f>
        <v>1110</v>
      </c>
    </row>
    <row r="1039" spans="2:9">
      <c r="B1039">
        <f>'2020_5-2-2_Download'!B59</f>
        <v>462</v>
      </c>
      <c r="C1039">
        <f>'2020_5-2-2_Download'!$AT$5</f>
        <v>2014</v>
      </c>
      <c r="D1039" t="str">
        <f>VLOOKUP(B1039,[1]Tabelle1!$A$1:$B$68,2,FALSE)</f>
        <v>Wittmund</v>
      </c>
      <c r="E1039" t="str">
        <f>'2020_5-2-2_Download'!$AU$7</f>
        <v>Männer</v>
      </c>
      <c r="G1039" t="s">
        <v>84</v>
      </c>
      <c r="H1039" t="str">
        <f>VLOOKUP(B1039,[2]Kreise!$A$2:$C$53,3,FALSE)</f>
        <v>K03462</v>
      </c>
      <c r="I1039">
        <f>'2020_5-2-2_Download'!AU59</f>
        <v>317</v>
      </c>
    </row>
    <row r="1040" spans="2:9">
      <c r="B1040">
        <f>'2020_5-2-2_Download'!B60</f>
        <v>4</v>
      </c>
      <c r="C1040">
        <f>'2020_5-2-2_Download'!$AT$5</f>
        <v>2014</v>
      </c>
      <c r="D1040" t="str">
        <f>VLOOKUP(B1040,[1]Tabelle1!$A$1:$B$68,2,FALSE)</f>
        <v>Stat. Region Weser-Ems</v>
      </c>
      <c r="E1040" t="str">
        <f>'2020_5-2-2_Download'!$AU$7</f>
        <v>Männer</v>
      </c>
      <c r="G1040" t="s">
        <v>84</v>
      </c>
      <c r="H1040" t="str">
        <f>VLOOKUP(B1040,[2]Kreise!$A$2:$C$53,3,FALSE)</f>
        <v>K034</v>
      </c>
      <c r="I1040">
        <f>'2020_5-2-2_Download'!AU60</f>
        <v>33979</v>
      </c>
    </row>
    <row r="1041" spans="2:9">
      <c r="B1041">
        <f>'2020_5-2-2_Download'!B61</f>
        <v>0</v>
      </c>
      <c r="C1041">
        <f>'2020_5-2-2_Download'!$AT$5</f>
        <v>2014</v>
      </c>
      <c r="D1041" t="str">
        <f>VLOOKUP(B1041,[1]Tabelle1!$A$1:$B$68,2,FALSE)</f>
        <v>Niedersachsen</v>
      </c>
      <c r="E1041" t="str">
        <f>'2020_5-2-2_Download'!$AU$7</f>
        <v>Männer</v>
      </c>
      <c r="G1041" t="s">
        <v>84</v>
      </c>
      <c r="H1041" t="str">
        <f>VLOOKUP(B1041,[2]Kreise!$A$2:$C$53,3,FALSE)</f>
        <v>K030</v>
      </c>
      <c r="I1041">
        <f>'2020_5-2-2_Download'!AU61</f>
        <v>102991</v>
      </c>
    </row>
    <row r="1042" spans="2:9">
      <c r="B1042">
        <f>'2020_5-2-2_Download'!B10</f>
        <v>101</v>
      </c>
      <c r="C1042">
        <f>'2020_5-2-2_Download'!$AT$5</f>
        <v>2014</v>
      </c>
      <c r="D1042" t="str">
        <f>VLOOKUP(B1042,[1]Tabelle1!$A$1:$B$68,2,FALSE)</f>
        <v>Braunschweig  Stadt</v>
      </c>
      <c r="E1042" t="str">
        <f>'2020_5-2-2_Download'!$AV$7</f>
        <v>Frauen</v>
      </c>
      <c r="G1042" t="s">
        <v>84</v>
      </c>
      <c r="H1042" t="str">
        <f>VLOOKUP(B1042,[2]Kreise!$A$2:$C$53,3,FALSE)</f>
        <v>K03101</v>
      </c>
      <c r="I1042">
        <f>'2020_5-2-2_Download'!AV10</f>
        <v>2689</v>
      </c>
    </row>
    <row r="1043" spans="2:9">
      <c r="B1043">
        <f>'2020_5-2-2_Download'!B11</f>
        <v>102</v>
      </c>
      <c r="C1043">
        <f>'2020_5-2-2_Download'!$AT$5</f>
        <v>2014</v>
      </c>
      <c r="D1043" t="str">
        <f>VLOOKUP(B1043,[1]Tabelle1!$A$1:$B$68,2,FALSE)</f>
        <v>Salzgitter  Stadt</v>
      </c>
      <c r="E1043" t="str">
        <f>'2020_5-2-2_Download'!$AV$7</f>
        <v>Frauen</v>
      </c>
      <c r="G1043" t="s">
        <v>84</v>
      </c>
      <c r="H1043" t="str">
        <f>VLOOKUP(B1043,[2]Kreise!$A$2:$C$53,3,FALSE)</f>
        <v>K03102</v>
      </c>
      <c r="I1043">
        <f>'2020_5-2-2_Download'!AV11</f>
        <v>636</v>
      </c>
    </row>
    <row r="1044" spans="2:9">
      <c r="B1044">
        <f>'2020_5-2-2_Download'!B12</f>
        <v>103</v>
      </c>
      <c r="C1044">
        <f>'2020_5-2-2_Download'!$AT$5</f>
        <v>2014</v>
      </c>
      <c r="D1044" t="str">
        <f>VLOOKUP(B1044,[1]Tabelle1!$A$1:$B$68,2,FALSE)</f>
        <v>Wolfsburg  Stadt</v>
      </c>
      <c r="E1044" t="str">
        <f>'2020_5-2-2_Download'!$AV$7</f>
        <v>Frauen</v>
      </c>
      <c r="G1044" t="s">
        <v>84</v>
      </c>
      <c r="H1044" t="str">
        <f>VLOOKUP(B1044,[2]Kreise!$A$2:$C$53,3,FALSE)</f>
        <v>K03103</v>
      </c>
      <c r="I1044">
        <f>'2020_5-2-2_Download'!AV12</f>
        <v>2346</v>
      </c>
    </row>
    <row r="1045" spans="2:9">
      <c r="B1045">
        <f>'2020_5-2-2_Download'!B13</f>
        <v>151</v>
      </c>
      <c r="C1045">
        <f>'2020_5-2-2_Download'!$AT$5</f>
        <v>2014</v>
      </c>
      <c r="D1045" t="str">
        <f>VLOOKUP(B1045,[1]Tabelle1!$A$1:$B$68,2,FALSE)</f>
        <v>Gifhorn</v>
      </c>
      <c r="E1045" t="str">
        <f>'2020_5-2-2_Download'!$AV$7</f>
        <v>Frauen</v>
      </c>
      <c r="G1045" t="s">
        <v>84</v>
      </c>
      <c r="H1045" t="str">
        <f>VLOOKUP(B1045,[2]Kreise!$A$2:$C$53,3,FALSE)</f>
        <v>K03151</v>
      </c>
      <c r="I1045">
        <f>'2020_5-2-2_Download'!AV13</f>
        <v>610</v>
      </c>
    </row>
    <row r="1046" spans="2:9">
      <c r="B1046">
        <f>'2020_5-2-2_Download'!B14</f>
        <v>153</v>
      </c>
      <c r="C1046">
        <f>'2020_5-2-2_Download'!$AT$5</f>
        <v>2014</v>
      </c>
      <c r="D1046" t="str">
        <f>VLOOKUP(B1046,[1]Tabelle1!$A$1:$B$68,2,FALSE)</f>
        <v>Goslar</v>
      </c>
      <c r="E1046" t="str">
        <f>'2020_5-2-2_Download'!$AV$7</f>
        <v>Frauen</v>
      </c>
      <c r="G1046" t="s">
        <v>84</v>
      </c>
      <c r="H1046" t="str">
        <f>VLOOKUP(B1046,[2]Kreise!$A$2:$C$53,3,FALSE)</f>
        <v>K03153</v>
      </c>
      <c r="I1046">
        <f>'2020_5-2-2_Download'!AV14</f>
        <v>595</v>
      </c>
    </row>
    <row r="1047" spans="2:9">
      <c r="B1047">
        <f>'2020_5-2-2_Download'!B15</f>
        <v>154</v>
      </c>
      <c r="C1047">
        <f>'2020_5-2-2_Download'!$AT$5</f>
        <v>2014</v>
      </c>
      <c r="D1047" t="str">
        <f>VLOOKUP(B1047,[1]Tabelle1!$A$1:$B$68,2,FALSE)</f>
        <v>Helmstedt</v>
      </c>
      <c r="E1047" t="str">
        <f>'2020_5-2-2_Download'!$AV$7</f>
        <v>Frauen</v>
      </c>
      <c r="G1047" t="s">
        <v>84</v>
      </c>
      <c r="H1047" t="str">
        <f>VLOOKUP(B1047,[2]Kreise!$A$2:$C$53,3,FALSE)</f>
        <v>K03154</v>
      </c>
      <c r="I1047">
        <f>'2020_5-2-2_Download'!AV15</f>
        <v>303</v>
      </c>
    </row>
    <row r="1048" spans="2:9">
      <c r="B1048">
        <f>'2020_5-2-2_Download'!B16</f>
        <v>155</v>
      </c>
      <c r="C1048">
        <f>'2020_5-2-2_Download'!$AT$5</f>
        <v>2014</v>
      </c>
      <c r="D1048" t="str">
        <f>VLOOKUP(B1048,[1]Tabelle1!$A$1:$B$68,2,FALSE)</f>
        <v>Northeim</v>
      </c>
      <c r="E1048" t="str">
        <f>'2020_5-2-2_Download'!$AV$7</f>
        <v>Frauen</v>
      </c>
      <c r="G1048" t="s">
        <v>84</v>
      </c>
      <c r="H1048" t="str">
        <f>VLOOKUP(B1048,[2]Kreise!$A$2:$C$53,3,FALSE)</f>
        <v>K03155</v>
      </c>
      <c r="I1048">
        <f>'2020_5-2-2_Download'!AV16</f>
        <v>473</v>
      </c>
    </row>
    <row r="1049" spans="2:9">
      <c r="B1049">
        <f>'2020_5-2-2_Download'!B17</f>
        <v>157</v>
      </c>
      <c r="C1049">
        <f>'2020_5-2-2_Download'!$AT$5</f>
        <v>2014</v>
      </c>
      <c r="D1049" t="str">
        <f>VLOOKUP(B1049,[1]Tabelle1!$A$1:$B$68,2,FALSE)</f>
        <v>Peine</v>
      </c>
      <c r="E1049" t="str">
        <f>'2020_5-2-2_Download'!$AV$7</f>
        <v>Frauen</v>
      </c>
      <c r="G1049" t="s">
        <v>84</v>
      </c>
      <c r="H1049" t="str">
        <f>VLOOKUP(B1049,[2]Kreise!$A$2:$C$53,3,FALSE)</f>
        <v>K03157</v>
      </c>
      <c r="I1049">
        <f>'2020_5-2-2_Download'!AV17</f>
        <v>423</v>
      </c>
    </row>
    <row r="1050" spans="2:9">
      <c r="B1050">
        <f>'2020_5-2-2_Download'!B18</f>
        <v>158</v>
      </c>
      <c r="C1050">
        <f>'2020_5-2-2_Download'!$AT$5</f>
        <v>2014</v>
      </c>
      <c r="D1050" t="str">
        <f>VLOOKUP(B1050,[1]Tabelle1!$A$1:$B$68,2,FALSE)</f>
        <v>Wolfenbüttel</v>
      </c>
      <c r="E1050" t="str">
        <f>'2020_5-2-2_Download'!$AV$7</f>
        <v>Frauen</v>
      </c>
      <c r="G1050" t="s">
        <v>84</v>
      </c>
      <c r="H1050" t="str">
        <f>VLOOKUP(B1050,[2]Kreise!$A$2:$C$53,3,FALSE)</f>
        <v>K03158</v>
      </c>
      <c r="I1050">
        <f>'2020_5-2-2_Download'!AV18</f>
        <v>304</v>
      </c>
    </row>
    <row r="1051" spans="2:9">
      <c r="B1051">
        <f>'2020_5-2-2_Download'!B19</f>
        <v>159</v>
      </c>
      <c r="C1051">
        <f>'2020_5-2-2_Download'!$AT$5</f>
        <v>2014</v>
      </c>
      <c r="D1051" t="str">
        <f>VLOOKUP(B1051,[1]Tabelle1!$A$1:$B$68,2,FALSE)</f>
        <v>Göttingen</v>
      </c>
      <c r="E1051" t="str">
        <f>'2020_5-2-2_Download'!$AV$7</f>
        <v>Frauen</v>
      </c>
      <c r="G1051" t="s">
        <v>84</v>
      </c>
      <c r="H1051" t="str">
        <f>VLOOKUP(B1051,[2]Kreise!$A$2:$C$53,3,FALSE)</f>
        <v>K03159</v>
      </c>
      <c r="I1051">
        <f>'2020_5-2-2_Download'!AV19</f>
        <v>2343</v>
      </c>
    </row>
    <row r="1052" spans="2:9">
      <c r="B1052">
        <f>'2020_5-2-2_Download'!B20</f>
        <v>1</v>
      </c>
      <c r="C1052">
        <f>'2020_5-2-2_Download'!$AT$5</f>
        <v>2014</v>
      </c>
      <c r="D1052" t="str">
        <f>VLOOKUP(B1052,[1]Tabelle1!$A$1:$B$68,2,FALSE)</f>
        <v>Stat. Region Braunschweig</v>
      </c>
      <c r="E1052" t="str">
        <f>'2020_5-2-2_Download'!$AV$7</f>
        <v>Frauen</v>
      </c>
      <c r="G1052" t="s">
        <v>84</v>
      </c>
      <c r="H1052" t="str">
        <f>VLOOKUP(B1052,[2]Kreise!$A$2:$C$53,3,FALSE)</f>
        <v>K031</v>
      </c>
      <c r="I1052">
        <f>'2020_5-2-2_Download'!AV20</f>
        <v>10720</v>
      </c>
    </row>
    <row r="1053" spans="2:9">
      <c r="B1053">
        <f>'2020_5-2-2_Download'!B21</f>
        <v>241</v>
      </c>
      <c r="C1053">
        <f>'2020_5-2-2_Download'!$AT$5</f>
        <v>2014</v>
      </c>
      <c r="D1053" t="str">
        <f>VLOOKUP(B1053,[1]Tabelle1!$A$1:$B$68,2,FALSE)</f>
        <v>Hannover  Region</v>
      </c>
      <c r="E1053" t="str">
        <f>'2020_5-2-2_Download'!$AV$7</f>
        <v>Frauen</v>
      </c>
      <c r="G1053" t="s">
        <v>84</v>
      </c>
      <c r="H1053" t="str">
        <f>VLOOKUP(B1053,[2]Kreise!$A$2:$C$53,3,FALSE)</f>
        <v>K03241</v>
      </c>
      <c r="I1053">
        <f>'2020_5-2-2_Download'!AV21</f>
        <v>15606</v>
      </c>
    </row>
    <row r="1054" spans="2:9">
      <c r="B1054">
        <f>'2020_5-2-2_Download'!B22</f>
        <v>241001</v>
      </c>
      <c r="C1054">
        <f>'2020_5-2-2_Download'!$AT$5</f>
        <v>2014</v>
      </c>
      <c r="D1054" t="str">
        <f>VLOOKUP(B1054,[1]Tabelle1!$A$1:$B$68,2,FALSE)</f>
        <v>dav. Hannover  Lhst.</v>
      </c>
      <c r="E1054" t="str">
        <f>'2020_5-2-2_Download'!$AV$7</f>
        <v>Frauen</v>
      </c>
      <c r="G1054" t="s">
        <v>84</v>
      </c>
      <c r="H1054" t="str">
        <f>VLOOKUP(B1054,[2]Kreise!$A$2:$C$53,3,FALSE)</f>
        <v>K03241001</v>
      </c>
      <c r="I1054">
        <f>'2020_5-2-2_Download'!AV22</f>
        <v>10796</v>
      </c>
    </row>
    <row r="1055" spans="2:9">
      <c r="B1055">
        <f>'2020_5-2-2_Download'!B23</f>
        <v>241999</v>
      </c>
      <c r="C1055">
        <f>'2020_5-2-2_Download'!$AT$5</f>
        <v>2014</v>
      </c>
      <c r="D1055" t="str">
        <f>VLOOKUP(B1055,[1]Tabelle1!$A$1:$B$68,2,FALSE)</f>
        <v>dav. Hannover  Umland</v>
      </c>
      <c r="E1055" t="str">
        <f>'2020_5-2-2_Download'!$AV$7</f>
        <v>Frauen</v>
      </c>
      <c r="G1055" t="s">
        <v>84</v>
      </c>
      <c r="H1055" t="str">
        <f>VLOOKUP(B1055,[2]Kreise!$A$2:$C$53,3,FALSE)</f>
        <v>K03241999</v>
      </c>
      <c r="I1055">
        <f>'2020_5-2-2_Download'!AV23</f>
        <v>4810</v>
      </c>
    </row>
    <row r="1056" spans="2:9">
      <c r="B1056">
        <f>'2020_5-2-2_Download'!B24</f>
        <v>251</v>
      </c>
      <c r="C1056">
        <f>'2020_5-2-2_Download'!$AT$5</f>
        <v>2014</v>
      </c>
      <c r="D1056" t="str">
        <f>VLOOKUP(B1056,[1]Tabelle1!$A$1:$B$68,2,FALSE)</f>
        <v>Diepholz</v>
      </c>
      <c r="E1056" t="str">
        <f>'2020_5-2-2_Download'!$AV$7</f>
        <v>Frauen</v>
      </c>
      <c r="G1056" t="s">
        <v>84</v>
      </c>
      <c r="H1056" t="str">
        <f>VLOOKUP(B1056,[2]Kreise!$A$2:$C$53,3,FALSE)</f>
        <v>K03251</v>
      </c>
      <c r="I1056">
        <f>'2020_5-2-2_Download'!AV24</f>
        <v>933</v>
      </c>
    </row>
    <row r="1057" spans="2:9">
      <c r="B1057">
        <f>'2020_5-2-2_Download'!B25</f>
        <v>252</v>
      </c>
      <c r="C1057">
        <f>'2020_5-2-2_Download'!$AT$5</f>
        <v>2014</v>
      </c>
      <c r="D1057" t="str">
        <f>VLOOKUP(B1057,[1]Tabelle1!$A$1:$B$68,2,FALSE)</f>
        <v>Hameln-Pyrmont</v>
      </c>
      <c r="E1057" t="str">
        <f>'2020_5-2-2_Download'!$AV$7</f>
        <v>Frauen</v>
      </c>
      <c r="G1057" t="s">
        <v>84</v>
      </c>
      <c r="H1057" t="str">
        <f>VLOOKUP(B1057,[2]Kreise!$A$2:$C$53,3,FALSE)</f>
        <v>K03252</v>
      </c>
      <c r="I1057">
        <f>'2020_5-2-2_Download'!AV25</f>
        <v>1043</v>
      </c>
    </row>
    <row r="1058" spans="2:9">
      <c r="B1058">
        <f>'2020_5-2-2_Download'!B26</f>
        <v>254</v>
      </c>
      <c r="C1058">
        <f>'2020_5-2-2_Download'!$AT$5</f>
        <v>2014</v>
      </c>
      <c r="D1058" t="str">
        <f>VLOOKUP(B1058,[1]Tabelle1!$A$1:$B$68,2,FALSE)</f>
        <v>Hildesheim</v>
      </c>
      <c r="E1058" t="str">
        <f>'2020_5-2-2_Download'!$AV$7</f>
        <v>Frauen</v>
      </c>
      <c r="G1058" t="s">
        <v>84</v>
      </c>
      <c r="H1058" t="str">
        <f>VLOOKUP(B1058,[2]Kreise!$A$2:$C$53,3,FALSE)</f>
        <v>K03254</v>
      </c>
      <c r="I1058">
        <f>'2020_5-2-2_Download'!AV26</f>
        <v>1307</v>
      </c>
    </row>
    <row r="1059" spans="2:9">
      <c r="B1059">
        <f>'2020_5-2-2_Download'!B27</f>
        <v>255</v>
      </c>
      <c r="C1059">
        <f>'2020_5-2-2_Download'!$AT$5</f>
        <v>2014</v>
      </c>
      <c r="D1059" t="str">
        <f>VLOOKUP(B1059,[1]Tabelle1!$A$1:$B$68,2,FALSE)</f>
        <v>Holzminden</v>
      </c>
      <c r="E1059" t="str">
        <f>'2020_5-2-2_Download'!$AV$7</f>
        <v>Frauen</v>
      </c>
      <c r="G1059" t="s">
        <v>84</v>
      </c>
      <c r="H1059" t="str">
        <f>VLOOKUP(B1059,[2]Kreise!$A$2:$C$53,3,FALSE)</f>
        <v>K03255</v>
      </c>
      <c r="I1059">
        <f>'2020_5-2-2_Download'!AV27</f>
        <v>262</v>
      </c>
    </row>
    <row r="1060" spans="2:9">
      <c r="B1060">
        <f>'2020_5-2-2_Download'!B28</f>
        <v>256</v>
      </c>
      <c r="C1060">
        <f>'2020_5-2-2_Download'!$AT$5</f>
        <v>2014</v>
      </c>
      <c r="D1060" t="str">
        <f>VLOOKUP(B1060,[1]Tabelle1!$A$1:$B$68,2,FALSE)</f>
        <v>Nienburg (Weser)</v>
      </c>
      <c r="E1060" t="str">
        <f>'2020_5-2-2_Download'!$AV$7</f>
        <v>Frauen</v>
      </c>
      <c r="G1060" t="s">
        <v>84</v>
      </c>
      <c r="H1060" t="str">
        <f>VLOOKUP(B1060,[2]Kreise!$A$2:$C$53,3,FALSE)</f>
        <v>K03256</v>
      </c>
      <c r="I1060">
        <f>'2020_5-2-2_Download'!AV28</f>
        <v>551</v>
      </c>
    </row>
    <row r="1061" spans="2:9">
      <c r="B1061">
        <f>'2020_5-2-2_Download'!B29</f>
        <v>257</v>
      </c>
      <c r="C1061">
        <f>'2020_5-2-2_Download'!$AT$5</f>
        <v>2014</v>
      </c>
      <c r="D1061" t="str">
        <f>VLOOKUP(B1061,[1]Tabelle1!$A$1:$B$68,2,FALSE)</f>
        <v>Schaumburg</v>
      </c>
      <c r="E1061" t="str">
        <f>'2020_5-2-2_Download'!$AV$7</f>
        <v>Frauen</v>
      </c>
      <c r="G1061" t="s">
        <v>84</v>
      </c>
      <c r="H1061" t="str">
        <f>VLOOKUP(B1061,[2]Kreise!$A$2:$C$53,3,FALSE)</f>
        <v>K03257</v>
      </c>
      <c r="I1061">
        <f>'2020_5-2-2_Download'!AV29</f>
        <v>728</v>
      </c>
    </row>
    <row r="1062" spans="2:9">
      <c r="B1062">
        <f>'2020_5-2-2_Download'!B30</f>
        <v>2</v>
      </c>
      <c r="C1062">
        <f>'2020_5-2-2_Download'!$AT$5</f>
        <v>2014</v>
      </c>
      <c r="D1062" t="str">
        <f>VLOOKUP(B1062,[1]Tabelle1!$A$1:$B$68,2,FALSE)</f>
        <v>Stat. Region Hannover</v>
      </c>
      <c r="E1062" t="str">
        <f>'2020_5-2-2_Download'!$AV$7</f>
        <v>Frauen</v>
      </c>
      <c r="G1062" t="s">
        <v>84</v>
      </c>
      <c r="H1062" t="str">
        <f>VLOOKUP(B1062,[2]Kreise!$A$2:$C$53,3,FALSE)</f>
        <v>K032</v>
      </c>
      <c r="I1062">
        <f>'2020_5-2-2_Download'!AV30</f>
        <v>20430</v>
      </c>
    </row>
    <row r="1063" spans="2:9">
      <c r="B1063">
        <f>'2020_5-2-2_Download'!B31</f>
        <v>351</v>
      </c>
      <c r="C1063">
        <f>'2020_5-2-2_Download'!$AT$5</f>
        <v>2014</v>
      </c>
      <c r="D1063" t="str">
        <f>VLOOKUP(B1063,[1]Tabelle1!$A$1:$B$68,2,FALSE)</f>
        <v>Celle</v>
      </c>
      <c r="E1063" t="str">
        <f>'2020_5-2-2_Download'!$AV$7</f>
        <v>Frauen</v>
      </c>
      <c r="G1063" t="s">
        <v>84</v>
      </c>
      <c r="H1063" t="str">
        <f>VLOOKUP(B1063,[2]Kreise!$A$2:$C$53,3,FALSE)</f>
        <v>K03351</v>
      </c>
      <c r="I1063">
        <f>'2020_5-2-2_Download'!AV31</f>
        <v>835</v>
      </c>
    </row>
    <row r="1064" spans="2:9">
      <c r="B1064">
        <f>'2020_5-2-2_Download'!B32</f>
        <v>352</v>
      </c>
      <c r="C1064">
        <f>'2020_5-2-2_Download'!$AT$5</f>
        <v>2014</v>
      </c>
      <c r="D1064" t="str">
        <f>VLOOKUP(B1064,[1]Tabelle1!$A$1:$B$68,2,FALSE)</f>
        <v>Cuxhaven</v>
      </c>
      <c r="E1064" t="str">
        <f>'2020_5-2-2_Download'!$AV$7</f>
        <v>Frauen</v>
      </c>
      <c r="G1064" t="s">
        <v>84</v>
      </c>
      <c r="H1064" t="str">
        <f>VLOOKUP(B1064,[2]Kreise!$A$2:$C$53,3,FALSE)</f>
        <v>K03352</v>
      </c>
      <c r="I1064">
        <f>'2020_5-2-2_Download'!AV32</f>
        <v>963</v>
      </c>
    </row>
    <row r="1065" spans="2:9">
      <c r="B1065">
        <f>'2020_5-2-2_Download'!B33</f>
        <v>353</v>
      </c>
      <c r="C1065">
        <f>'2020_5-2-2_Download'!$AT$5</f>
        <v>2014</v>
      </c>
      <c r="D1065" t="str">
        <f>VLOOKUP(B1065,[1]Tabelle1!$A$1:$B$68,2,FALSE)</f>
        <v>Harburg</v>
      </c>
      <c r="E1065" t="str">
        <f>'2020_5-2-2_Download'!$AV$7</f>
        <v>Frauen</v>
      </c>
      <c r="G1065" t="s">
        <v>84</v>
      </c>
      <c r="H1065" t="str">
        <f>VLOOKUP(B1065,[2]Kreise!$A$2:$C$53,3,FALSE)</f>
        <v>K03353</v>
      </c>
      <c r="I1065">
        <f>'2020_5-2-2_Download'!AV33</f>
        <v>1258</v>
      </c>
    </row>
    <row r="1066" spans="2:9">
      <c r="B1066">
        <f>'2020_5-2-2_Download'!B34</f>
        <v>354</v>
      </c>
      <c r="C1066">
        <f>'2020_5-2-2_Download'!$AT$5</f>
        <v>2014</v>
      </c>
      <c r="D1066" t="str">
        <f>VLOOKUP(B1066,[1]Tabelle1!$A$1:$B$68,2,FALSE)</f>
        <v>Lüchow-Dannenberg</v>
      </c>
      <c r="E1066" t="str">
        <f>'2020_5-2-2_Download'!$AV$7</f>
        <v>Frauen</v>
      </c>
      <c r="G1066" t="s">
        <v>84</v>
      </c>
      <c r="H1066" t="str">
        <f>VLOOKUP(B1066,[2]Kreise!$A$2:$C$53,3,FALSE)</f>
        <v>K03354</v>
      </c>
      <c r="I1066">
        <f>'2020_5-2-2_Download'!AV34</f>
        <v>147</v>
      </c>
    </row>
    <row r="1067" spans="2:9">
      <c r="B1067">
        <f>'2020_5-2-2_Download'!B35</f>
        <v>355</v>
      </c>
      <c r="C1067">
        <f>'2020_5-2-2_Download'!$AT$5</f>
        <v>2014</v>
      </c>
      <c r="D1067" t="str">
        <f>VLOOKUP(B1067,[1]Tabelle1!$A$1:$B$68,2,FALSE)</f>
        <v>Lüneburg</v>
      </c>
      <c r="E1067" t="str">
        <f>'2020_5-2-2_Download'!$AV$7</f>
        <v>Frauen</v>
      </c>
      <c r="G1067" t="s">
        <v>84</v>
      </c>
      <c r="H1067" t="str">
        <f>VLOOKUP(B1067,[2]Kreise!$A$2:$C$53,3,FALSE)</f>
        <v>K03355</v>
      </c>
      <c r="I1067">
        <f>'2020_5-2-2_Download'!AV35</f>
        <v>856</v>
      </c>
    </row>
    <row r="1068" spans="2:9">
      <c r="B1068">
        <f>'2020_5-2-2_Download'!B36</f>
        <v>356</v>
      </c>
      <c r="C1068">
        <f>'2020_5-2-2_Download'!$AT$5</f>
        <v>2014</v>
      </c>
      <c r="D1068" t="str">
        <f>VLOOKUP(B1068,[1]Tabelle1!$A$1:$B$68,2,FALSE)</f>
        <v>Osterholz</v>
      </c>
      <c r="E1068" t="str">
        <f>'2020_5-2-2_Download'!$AV$7</f>
        <v>Frauen</v>
      </c>
      <c r="G1068" t="s">
        <v>84</v>
      </c>
      <c r="H1068" t="str">
        <f>VLOOKUP(B1068,[2]Kreise!$A$2:$C$53,3,FALSE)</f>
        <v>K03356</v>
      </c>
      <c r="I1068">
        <f>'2020_5-2-2_Download'!AV36</f>
        <v>314</v>
      </c>
    </row>
    <row r="1069" spans="2:9">
      <c r="B1069">
        <f>'2020_5-2-2_Download'!B37</f>
        <v>357</v>
      </c>
      <c r="C1069">
        <f>'2020_5-2-2_Download'!$AT$5</f>
        <v>2014</v>
      </c>
      <c r="D1069" t="str">
        <f>VLOOKUP(B1069,[1]Tabelle1!$A$1:$B$68,2,FALSE)</f>
        <v>Rotenburg (Wümme)</v>
      </c>
      <c r="E1069" t="str">
        <f>'2020_5-2-2_Download'!$AV$7</f>
        <v>Frauen</v>
      </c>
      <c r="G1069" t="s">
        <v>84</v>
      </c>
      <c r="H1069" t="str">
        <f>VLOOKUP(B1069,[2]Kreise!$A$2:$C$53,3,FALSE)</f>
        <v>K03357</v>
      </c>
      <c r="I1069">
        <f>'2020_5-2-2_Download'!AV37</f>
        <v>679</v>
      </c>
    </row>
    <row r="1070" spans="2:9">
      <c r="B1070">
        <f>'2020_5-2-2_Download'!B38</f>
        <v>358</v>
      </c>
      <c r="C1070">
        <f>'2020_5-2-2_Download'!$AT$5</f>
        <v>2014</v>
      </c>
      <c r="D1070" t="str">
        <f>VLOOKUP(B1070,[1]Tabelle1!$A$1:$B$68,2,FALSE)</f>
        <v>Heidekreis</v>
      </c>
      <c r="E1070" t="str">
        <f>'2020_5-2-2_Download'!$AV$7</f>
        <v>Frauen</v>
      </c>
      <c r="G1070" t="s">
        <v>84</v>
      </c>
      <c r="H1070" t="str">
        <f>VLOOKUP(B1070,[2]Kreise!$A$2:$C$53,3,FALSE)</f>
        <v>K03358</v>
      </c>
      <c r="I1070">
        <f>'2020_5-2-2_Download'!AV38</f>
        <v>758</v>
      </c>
    </row>
    <row r="1071" spans="2:9">
      <c r="B1071">
        <f>'2020_5-2-2_Download'!B39</f>
        <v>359</v>
      </c>
      <c r="C1071">
        <f>'2020_5-2-2_Download'!$AT$5</f>
        <v>2014</v>
      </c>
      <c r="D1071" t="str">
        <f>VLOOKUP(B1071,[1]Tabelle1!$A$1:$B$68,2,FALSE)</f>
        <v>Stade</v>
      </c>
      <c r="E1071" t="str">
        <f>'2020_5-2-2_Download'!$AV$7</f>
        <v>Frauen</v>
      </c>
      <c r="G1071" t="s">
        <v>84</v>
      </c>
      <c r="H1071" t="str">
        <f>VLOOKUP(B1071,[2]Kreise!$A$2:$C$53,3,FALSE)</f>
        <v>K03359</v>
      </c>
      <c r="I1071">
        <f>'2020_5-2-2_Download'!AV39</f>
        <v>948</v>
      </c>
    </row>
    <row r="1072" spans="2:9">
      <c r="B1072">
        <f>'2020_5-2-2_Download'!B40</f>
        <v>360</v>
      </c>
      <c r="C1072">
        <f>'2020_5-2-2_Download'!$AT$5</f>
        <v>2014</v>
      </c>
      <c r="D1072" t="str">
        <f>VLOOKUP(B1072,[1]Tabelle1!$A$1:$B$68,2,FALSE)</f>
        <v>Uelzen</v>
      </c>
      <c r="E1072" t="str">
        <f>'2020_5-2-2_Download'!$AV$7</f>
        <v>Frauen</v>
      </c>
      <c r="G1072" t="s">
        <v>84</v>
      </c>
      <c r="H1072" t="str">
        <f>VLOOKUP(B1072,[2]Kreise!$A$2:$C$53,3,FALSE)</f>
        <v>K03360</v>
      </c>
      <c r="I1072">
        <f>'2020_5-2-2_Download'!AV40</f>
        <v>356</v>
      </c>
    </row>
    <row r="1073" spans="2:9">
      <c r="B1073">
        <f>'2020_5-2-2_Download'!B41</f>
        <v>361</v>
      </c>
      <c r="C1073">
        <f>'2020_5-2-2_Download'!$AT$5</f>
        <v>2014</v>
      </c>
      <c r="D1073" t="str">
        <f>VLOOKUP(B1073,[1]Tabelle1!$A$1:$B$68,2,FALSE)</f>
        <v>Verden</v>
      </c>
      <c r="E1073" t="str">
        <f>'2020_5-2-2_Download'!$AV$7</f>
        <v>Frauen</v>
      </c>
      <c r="G1073" t="s">
        <v>84</v>
      </c>
      <c r="H1073" t="str">
        <f>VLOOKUP(B1073,[2]Kreise!$A$2:$C$53,3,FALSE)</f>
        <v>K03361</v>
      </c>
      <c r="I1073">
        <f>'2020_5-2-2_Download'!AV41</f>
        <v>861</v>
      </c>
    </row>
    <row r="1074" spans="2:9">
      <c r="B1074">
        <f>'2020_5-2-2_Download'!B42</f>
        <v>3</v>
      </c>
      <c r="C1074">
        <f>'2020_5-2-2_Download'!$AT$5</f>
        <v>2014</v>
      </c>
      <c r="D1074" t="str">
        <f>VLOOKUP(B1074,[1]Tabelle1!$A$1:$B$68,2,FALSE)</f>
        <v>Stat. Region Lüneburg</v>
      </c>
      <c r="E1074" t="str">
        <f>'2020_5-2-2_Download'!$AV$7</f>
        <v>Frauen</v>
      </c>
      <c r="G1074" t="s">
        <v>84</v>
      </c>
      <c r="H1074" t="str">
        <f>VLOOKUP(B1074,[2]Kreise!$A$2:$C$53,3,FALSE)</f>
        <v>K033</v>
      </c>
      <c r="I1074">
        <f>'2020_5-2-2_Download'!AV42</f>
        <v>7975</v>
      </c>
    </row>
    <row r="1075" spans="2:9">
      <c r="B1075">
        <f>'2020_5-2-2_Download'!B43</f>
        <v>401</v>
      </c>
      <c r="C1075">
        <f>'2020_5-2-2_Download'!$AT$5</f>
        <v>2014</v>
      </c>
      <c r="D1075" t="str">
        <f>VLOOKUP(B1075,[1]Tabelle1!$A$1:$B$68,2,FALSE)</f>
        <v>Delmenhorst  Stadt</v>
      </c>
      <c r="E1075" t="str">
        <f>'2020_5-2-2_Download'!$AV$7</f>
        <v>Frauen</v>
      </c>
      <c r="G1075" t="s">
        <v>84</v>
      </c>
      <c r="H1075" t="str">
        <f>VLOOKUP(B1075,[2]Kreise!$A$2:$C$53,3,FALSE)</f>
        <v>K03401</v>
      </c>
      <c r="I1075">
        <f>'2020_5-2-2_Download'!AV43</f>
        <v>500</v>
      </c>
    </row>
    <row r="1076" spans="2:9">
      <c r="B1076">
        <f>'2020_5-2-2_Download'!B44</f>
        <v>402</v>
      </c>
      <c r="C1076">
        <f>'2020_5-2-2_Download'!$AT$5</f>
        <v>2014</v>
      </c>
      <c r="D1076" t="str">
        <f>VLOOKUP(B1076,[1]Tabelle1!$A$1:$B$68,2,FALSE)</f>
        <v>Emden  Stadt</v>
      </c>
      <c r="E1076" t="str">
        <f>'2020_5-2-2_Download'!$AV$7</f>
        <v>Frauen</v>
      </c>
      <c r="G1076" t="s">
        <v>84</v>
      </c>
      <c r="H1076" t="str">
        <f>VLOOKUP(B1076,[2]Kreise!$A$2:$C$53,3,FALSE)</f>
        <v>K03402</v>
      </c>
      <c r="I1076">
        <f>'2020_5-2-2_Download'!AV44</f>
        <v>246</v>
      </c>
    </row>
    <row r="1077" spans="2:9">
      <c r="B1077">
        <f>'2020_5-2-2_Download'!B45</f>
        <v>403</v>
      </c>
      <c r="C1077">
        <f>'2020_5-2-2_Download'!$AT$5</f>
        <v>2014</v>
      </c>
      <c r="D1077" t="str">
        <f>VLOOKUP(B1077,[1]Tabelle1!$A$1:$B$68,2,FALSE)</f>
        <v>Oldenburg(Oldb)  Stadt</v>
      </c>
      <c r="E1077" t="str">
        <f>'2020_5-2-2_Download'!$AV$7</f>
        <v>Frauen</v>
      </c>
      <c r="G1077" t="s">
        <v>84</v>
      </c>
      <c r="H1077" t="str">
        <f>VLOOKUP(B1077,[2]Kreise!$A$2:$C$53,3,FALSE)</f>
        <v>K03403</v>
      </c>
      <c r="I1077">
        <f>'2020_5-2-2_Download'!AV45</f>
        <v>1240</v>
      </c>
    </row>
    <row r="1078" spans="2:9">
      <c r="B1078">
        <f>'2020_5-2-2_Download'!B46</f>
        <v>404</v>
      </c>
      <c r="C1078">
        <f>'2020_5-2-2_Download'!$AT$5</f>
        <v>2014</v>
      </c>
      <c r="D1078" t="str">
        <f>VLOOKUP(B1078,[1]Tabelle1!$A$1:$B$68,2,FALSE)</f>
        <v>Osnabrück  Stadt</v>
      </c>
      <c r="E1078" t="str">
        <f>'2020_5-2-2_Download'!$AV$7</f>
        <v>Frauen</v>
      </c>
      <c r="G1078" t="s">
        <v>84</v>
      </c>
      <c r="H1078" t="str">
        <f>VLOOKUP(B1078,[2]Kreise!$A$2:$C$53,3,FALSE)</f>
        <v>K03404</v>
      </c>
      <c r="I1078">
        <f>'2020_5-2-2_Download'!AV46</f>
        <v>2271</v>
      </c>
    </row>
    <row r="1079" spans="2:9">
      <c r="B1079">
        <f>'2020_5-2-2_Download'!B47</f>
        <v>405</v>
      </c>
      <c r="C1079">
        <f>'2020_5-2-2_Download'!$AT$5</f>
        <v>2014</v>
      </c>
      <c r="D1079" t="str">
        <f>VLOOKUP(B1079,[1]Tabelle1!$A$1:$B$68,2,FALSE)</f>
        <v>Wilhelmshaven  Stadt</v>
      </c>
      <c r="E1079" t="str">
        <f>'2020_5-2-2_Download'!$AV$7</f>
        <v>Frauen</v>
      </c>
      <c r="G1079" t="s">
        <v>84</v>
      </c>
      <c r="H1079" t="str">
        <f>VLOOKUP(B1079,[2]Kreise!$A$2:$C$53,3,FALSE)</f>
        <v>K03405</v>
      </c>
      <c r="I1079">
        <f>'2020_5-2-2_Download'!AV47</f>
        <v>273</v>
      </c>
    </row>
    <row r="1080" spans="2:9">
      <c r="B1080">
        <f>'2020_5-2-2_Download'!B48</f>
        <v>451</v>
      </c>
      <c r="C1080">
        <f>'2020_5-2-2_Download'!$AT$5</f>
        <v>2014</v>
      </c>
      <c r="D1080" t="str">
        <f>VLOOKUP(B1080,[1]Tabelle1!$A$1:$B$68,2,FALSE)</f>
        <v>Ammerland</v>
      </c>
      <c r="E1080" t="str">
        <f>'2020_5-2-2_Download'!$AV$7</f>
        <v>Frauen</v>
      </c>
      <c r="G1080" t="s">
        <v>84</v>
      </c>
      <c r="H1080" t="str">
        <f>VLOOKUP(B1080,[2]Kreise!$A$2:$C$53,3,FALSE)</f>
        <v>K03451</v>
      </c>
      <c r="I1080">
        <f>'2020_5-2-2_Download'!AV48</f>
        <v>670</v>
      </c>
    </row>
    <row r="1081" spans="2:9">
      <c r="B1081">
        <f>'2020_5-2-2_Download'!B49</f>
        <v>452</v>
      </c>
      <c r="C1081">
        <f>'2020_5-2-2_Download'!$AT$5</f>
        <v>2014</v>
      </c>
      <c r="D1081" t="str">
        <f>VLOOKUP(B1081,[1]Tabelle1!$A$1:$B$68,2,FALSE)</f>
        <v>Aurich</v>
      </c>
      <c r="E1081" t="str">
        <f>'2020_5-2-2_Download'!$AV$7</f>
        <v>Frauen</v>
      </c>
      <c r="G1081" t="s">
        <v>84</v>
      </c>
      <c r="H1081" t="str">
        <f>VLOOKUP(B1081,[2]Kreise!$A$2:$C$53,3,FALSE)</f>
        <v>K03452</v>
      </c>
      <c r="I1081">
        <f>'2020_5-2-2_Download'!AV49</f>
        <v>1031</v>
      </c>
    </row>
    <row r="1082" spans="2:9">
      <c r="B1082">
        <f>'2020_5-2-2_Download'!B50</f>
        <v>453</v>
      </c>
      <c r="C1082">
        <f>'2020_5-2-2_Download'!$AT$5</f>
        <v>2014</v>
      </c>
      <c r="D1082" t="str">
        <f>VLOOKUP(B1082,[1]Tabelle1!$A$1:$B$68,2,FALSE)</f>
        <v>Cloppenburg</v>
      </c>
      <c r="E1082" t="str">
        <f>'2020_5-2-2_Download'!$AV$7</f>
        <v>Frauen</v>
      </c>
      <c r="G1082" t="s">
        <v>84</v>
      </c>
      <c r="H1082" t="str">
        <f>VLOOKUP(B1082,[2]Kreise!$A$2:$C$53,3,FALSE)</f>
        <v>K03453</v>
      </c>
      <c r="I1082">
        <f>'2020_5-2-2_Download'!AV50</f>
        <v>1331</v>
      </c>
    </row>
    <row r="1083" spans="2:9">
      <c r="B1083">
        <f>'2020_5-2-2_Download'!B51</f>
        <v>454</v>
      </c>
      <c r="C1083">
        <f>'2020_5-2-2_Download'!$AT$5</f>
        <v>2014</v>
      </c>
      <c r="D1083" t="str">
        <f>VLOOKUP(B1083,[1]Tabelle1!$A$1:$B$68,2,FALSE)</f>
        <v>Emsland</v>
      </c>
      <c r="E1083" t="str">
        <f>'2020_5-2-2_Download'!$AV$7</f>
        <v>Frauen</v>
      </c>
      <c r="G1083" t="s">
        <v>84</v>
      </c>
      <c r="H1083" t="str">
        <f>VLOOKUP(B1083,[2]Kreise!$A$2:$C$53,3,FALSE)</f>
        <v>K03454</v>
      </c>
      <c r="I1083">
        <f>'2020_5-2-2_Download'!AV51</f>
        <v>1442</v>
      </c>
    </row>
    <row r="1084" spans="2:9">
      <c r="B1084">
        <f>'2020_5-2-2_Download'!B52</f>
        <v>455</v>
      </c>
      <c r="C1084">
        <f>'2020_5-2-2_Download'!$AT$5</f>
        <v>2014</v>
      </c>
      <c r="D1084" t="str">
        <f>VLOOKUP(B1084,[1]Tabelle1!$A$1:$B$68,2,FALSE)</f>
        <v>Friesland</v>
      </c>
      <c r="E1084" t="str">
        <f>'2020_5-2-2_Download'!$AV$7</f>
        <v>Frauen</v>
      </c>
      <c r="G1084" t="s">
        <v>84</v>
      </c>
      <c r="H1084" t="str">
        <f>VLOOKUP(B1084,[2]Kreise!$A$2:$C$53,3,FALSE)</f>
        <v>K03455</v>
      </c>
      <c r="I1084">
        <f>'2020_5-2-2_Download'!AV52</f>
        <v>348</v>
      </c>
    </row>
    <row r="1085" spans="2:9">
      <c r="B1085">
        <f>'2020_5-2-2_Download'!B53</f>
        <v>456</v>
      </c>
      <c r="C1085">
        <f>'2020_5-2-2_Download'!$AT$5</f>
        <v>2014</v>
      </c>
      <c r="D1085" t="str">
        <f>VLOOKUP(B1085,[1]Tabelle1!$A$1:$B$68,2,FALSE)</f>
        <v>Grafschaft Bentheim</v>
      </c>
      <c r="E1085" t="str">
        <f>'2020_5-2-2_Download'!$AV$7</f>
        <v>Frauen</v>
      </c>
      <c r="G1085" t="s">
        <v>84</v>
      </c>
      <c r="H1085" t="str">
        <f>VLOOKUP(B1085,[2]Kreise!$A$2:$C$53,3,FALSE)</f>
        <v>K03456</v>
      </c>
      <c r="I1085">
        <f>'2020_5-2-2_Download'!AV53</f>
        <v>1076</v>
      </c>
    </row>
    <row r="1086" spans="2:9">
      <c r="B1086">
        <f>'2020_5-2-2_Download'!B54</f>
        <v>457</v>
      </c>
      <c r="C1086">
        <f>'2020_5-2-2_Download'!$AT$5</f>
        <v>2014</v>
      </c>
      <c r="D1086" t="str">
        <f>VLOOKUP(B1086,[1]Tabelle1!$A$1:$B$68,2,FALSE)</f>
        <v>Leer</v>
      </c>
      <c r="E1086" t="str">
        <f>'2020_5-2-2_Download'!$AV$7</f>
        <v>Frauen</v>
      </c>
      <c r="G1086" t="s">
        <v>84</v>
      </c>
      <c r="H1086" t="str">
        <f>VLOOKUP(B1086,[2]Kreise!$A$2:$C$53,3,FALSE)</f>
        <v>K03457</v>
      </c>
      <c r="I1086">
        <f>'2020_5-2-2_Download'!AV54</f>
        <v>612</v>
      </c>
    </row>
    <row r="1087" spans="2:9">
      <c r="B1087">
        <f>'2020_5-2-2_Download'!B55</f>
        <v>458</v>
      </c>
      <c r="C1087">
        <f>'2020_5-2-2_Download'!$AT$5</f>
        <v>2014</v>
      </c>
      <c r="D1087" t="str">
        <f>VLOOKUP(B1087,[1]Tabelle1!$A$1:$B$68,2,FALSE)</f>
        <v>Oldenburg</v>
      </c>
      <c r="E1087" t="str">
        <f>'2020_5-2-2_Download'!$AV$7</f>
        <v>Frauen</v>
      </c>
      <c r="G1087" t="s">
        <v>84</v>
      </c>
      <c r="H1087" t="str">
        <f>VLOOKUP(B1087,[2]Kreise!$A$2:$C$53,3,FALSE)</f>
        <v>K03458</v>
      </c>
      <c r="I1087">
        <f>'2020_5-2-2_Download'!AV55</f>
        <v>619</v>
      </c>
    </row>
    <row r="1088" spans="2:9">
      <c r="B1088">
        <f>'2020_5-2-2_Download'!B56</f>
        <v>459</v>
      </c>
      <c r="C1088">
        <f>'2020_5-2-2_Download'!$AT$5</f>
        <v>2014</v>
      </c>
      <c r="D1088" t="str">
        <f>VLOOKUP(B1088,[1]Tabelle1!$A$1:$B$68,2,FALSE)</f>
        <v>Osnabrück</v>
      </c>
      <c r="E1088" t="str">
        <f>'2020_5-2-2_Download'!$AV$7</f>
        <v>Frauen</v>
      </c>
      <c r="G1088" t="s">
        <v>84</v>
      </c>
      <c r="H1088" t="str">
        <f>VLOOKUP(B1088,[2]Kreise!$A$2:$C$53,3,FALSE)</f>
        <v>K03459</v>
      </c>
      <c r="I1088">
        <f>'2020_5-2-2_Download'!AV56</f>
        <v>2789</v>
      </c>
    </row>
    <row r="1089" spans="2:9">
      <c r="B1089">
        <f>'2020_5-2-2_Download'!B57</f>
        <v>460</v>
      </c>
      <c r="C1089">
        <f>'2020_5-2-2_Download'!$AT$5</f>
        <v>2014</v>
      </c>
      <c r="D1089" t="str">
        <f>VLOOKUP(B1089,[1]Tabelle1!$A$1:$B$68,2,FALSE)</f>
        <v>Vechta</v>
      </c>
      <c r="E1089" t="str">
        <f>'2020_5-2-2_Download'!$AV$7</f>
        <v>Frauen</v>
      </c>
      <c r="G1089" t="s">
        <v>84</v>
      </c>
      <c r="H1089" t="str">
        <f>VLOOKUP(B1089,[2]Kreise!$A$2:$C$53,3,FALSE)</f>
        <v>K03460</v>
      </c>
      <c r="I1089">
        <f>'2020_5-2-2_Download'!AV57</f>
        <v>2265</v>
      </c>
    </row>
    <row r="1090" spans="2:9">
      <c r="B1090">
        <f>'2020_5-2-2_Download'!B58</f>
        <v>461</v>
      </c>
      <c r="C1090">
        <f>'2020_5-2-2_Download'!$AT$5</f>
        <v>2014</v>
      </c>
      <c r="D1090" t="str">
        <f>VLOOKUP(B1090,[1]Tabelle1!$A$1:$B$68,2,FALSE)</f>
        <v>Wesermarsch</v>
      </c>
      <c r="E1090" t="str">
        <f>'2020_5-2-2_Download'!$AV$7</f>
        <v>Frauen</v>
      </c>
      <c r="G1090" t="s">
        <v>84</v>
      </c>
      <c r="H1090" t="str">
        <f>VLOOKUP(B1090,[2]Kreise!$A$2:$C$53,3,FALSE)</f>
        <v>K03461</v>
      </c>
      <c r="I1090">
        <f>'2020_5-2-2_Download'!AV58</f>
        <v>220</v>
      </c>
    </row>
    <row r="1091" spans="2:9">
      <c r="B1091">
        <f>'2020_5-2-2_Download'!B59</f>
        <v>462</v>
      </c>
      <c r="C1091">
        <f>'2020_5-2-2_Download'!$AT$5</f>
        <v>2014</v>
      </c>
      <c r="D1091" t="str">
        <f>VLOOKUP(B1091,[1]Tabelle1!$A$1:$B$68,2,FALSE)</f>
        <v>Wittmund</v>
      </c>
      <c r="E1091" t="str">
        <f>'2020_5-2-2_Download'!$AV$7</f>
        <v>Frauen</v>
      </c>
      <c r="G1091" t="s">
        <v>84</v>
      </c>
      <c r="H1091" t="str">
        <f>VLOOKUP(B1091,[2]Kreise!$A$2:$C$53,3,FALSE)</f>
        <v>K03462</v>
      </c>
      <c r="I1091">
        <f>'2020_5-2-2_Download'!AV59</f>
        <v>269</v>
      </c>
    </row>
    <row r="1092" spans="2:9">
      <c r="B1092">
        <f>'2020_5-2-2_Download'!B60</f>
        <v>4</v>
      </c>
      <c r="C1092">
        <f>'2020_5-2-2_Download'!$AT$5</f>
        <v>2014</v>
      </c>
      <c r="D1092" t="str">
        <f>VLOOKUP(B1092,[1]Tabelle1!$A$1:$B$68,2,FALSE)</f>
        <v>Stat. Region Weser-Ems</v>
      </c>
      <c r="E1092" t="str">
        <f>'2020_5-2-2_Download'!$AV$7</f>
        <v>Frauen</v>
      </c>
      <c r="G1092" t="s">
        <v>84</v>
      </c>
      <c r="H1092" t="str">
        <f>VLOOKUP(B1092,[2]Kreise!$A$2:$C$53,3,FALSE)</f>
        <v>K034</v>
      </c>
      <c r="I1092">
        <f>'2020_5-2-2_Download'!AV60</f>
        <v>17202</v>
      </c>
    </row>
    <row r="1093" spans="2:9">
      <c r="B1093">
        <f>'2020_5-2-2_Download'!B61</f>
        <v>0</v>
      </c>
      <c r="C1093">
        <f>'2020_5-2-2_Download'!$AT$5</f>
        <v>2014</v>
      </c>
      <c r="D1093" t="str">
        <f>VLOOKUP(B1093,[1]Tabelle1!$A$1:$B$68,2,FALSE)</f>
        <v>Niedersachsen</v>
      </c>
      <c r="E1093" t="str">
        <f>'2020_5-2-2_Download'!$AV$7</f>
        <v>Frauen</v>
      </c>
      <c r="G1093" t="s">
        <v>84</v>
      </c>
      <c r="H1093" t="str">
        <f>VLOOKUP(B1093,[2]Kreise!$A$2:$C$53,3,FALSE)</f>
        <v>K030</v>
      </c>
      <c r="I1093">
        <f>'2020_5-2-2_Download'!AV61</f>
        <v>56327</v>
      </c>
    </row>
    <row r="1094" spans="2:9">
      <c r="B1094">
        <f>'2020_5-2-2_Download'!B10</f>
        <v>101</v>
      </c>
      <c r="C1094">
        <f>'2020_5-2-2_Download'!$BA$5</f>
        <v>2013</v>
      </c>
      <c r="D1094" t="str">
        <f>VLOOKUP(B1094,[1]Tabelle1!$A$1:$B$68,2,FALSE)</f>
        <v>Braunschweig  Stadt</v>
      </c>
      <c r="E1094" t="str">
        <f>'2020_5-2-2_Download'!$BA$7</f>
        <v>Insgesamt</v>
      </c>
      <c r="G1094" t="s">
        <v>84</v>
      </c>
      <c r="H1094" t="str">
        <f>VLOOKUP(B1094,[2]Kreise!$A$2:$C$53,3,FALSE)</f>
        <v>K03101</v>
      </c>
      <c r="I1094">
        <f>'2020_5-2-2_Download'!BA10</f>
        <v>6076</v>
      </c>
    </row>
    <row r="1095" spans="2:9">
      <c r="B1095">
        <f>'2020_5-2-2_Download'!B11</f>
        <v>102</v>
      </c>
      <c r="C1095">
        <f>'2020_5-2-2_Download'!$BA$5</f>
        <v>2013</v>
      </c>
      <c r="D1095" t="str">
        <f>VLOOKUP(B1095,[1]Tabelle1!$A$1:$B$68,2,FALSE)</f>
        <v>Salzgitter  Stadt</v>
      </c>
      <c r="E1095" t="str">
        <f>'2020_5-2-2_Download'!$BA$7</f>
        <v>Insgesamt</v>
      </c>
      <c r="G1095" t="s">
        <v>84</v>
      </c>
      <c r="H1095" t="str">
        <f>VLOOKUP(B1095,[2]Kreise!$A$2:$C$53,3,FALSE)</f>
        <v>K03102</v>
      </c>
      <c r="I1095">
        <f>'2020_5-2-2_Download'!BA11</f>
        <v>3135</v>
      </c>
    </row>
    <row r="1096" spans="2:9">
      <c r="B1096">
        <f>'2020_5-2-2_Download'!B12</f>
        <v>103</v>
      </c>
      <c r="C1096">
        <f>'2020_5-2-2_Download'!$BA$5</f>
        <v>2013</v>
      </c>
      <c r="D1096" t="str">
        <f>VLOOKUP(B1096,[1]Tabelle1!$A$1:$B$68,2,FALSE)</f>
        <v>Wolfsburg  Stadt</v>
      </c>
      <c r="E1096" t="str">
        <f>'2020_5-2-2_Download'!$BA$7</f>
        <v>Insgesamt</v>
      </c>
      <c r="G1096" t="s">
        <v>84</v>
      </c>
      <c r="H1096" t="str">
        <f>VLOOKUP(B1096,[2]Kreise!$A$2:$C$53,3,FALSE)</f>
        <v>K03103</v>
      </c>
      <c r="I1096">
        <f>'2020_5-2-2_Download'!BA12</f>
        <v>7609</v>
      </c>
    </row>
    <row r="1097" spans="2:9">
      <c r="B1097">
        <f>'2020_5-2-2_Download'!B13</f>
        <v>151</v>
      </c>
      <c r="C1097">
        <f>'2020_5-2-2_Download'!$BA$5</f>
        <v>2013</v>
      </c>
      <c r="D1097" t="str">
        <f>VLOOKUP(B1097,[1]Tabelle1!$A$1:$B$68,2,FALSE)</f>
        <v>Gifhorn</v>
      </c>
      <c r="E1097" t="str">
        <f>'2020_5-2-2_Download'!$BA$7</f>
        <v>Insgesamt</v>
      </c>
      <c r="G1097" t="s">
        <v>84</v>
      </c>
      <c r="H1097" t="str">
        <f>VLOOKUP(B1097,[2]Kreise!$A$2:$C$53,3,FALSE)</f>
        <v>K03151</v>
      </c>
      <c r="I1097">
        <f>'2020_5-2-2_Download'!BA13</f>
        <v>1755</v>
      </c>
    </row>
    <row r="1098" spans="2:9">
      <c r="B1098">
        <f>'2020_5-2-2_Download'!B14</f>
        <v>153</v>
      </c>
      <c r="C1098">
        <f>'2020_5-2-2_Download'!$BA$5</f>
        <v>2013</v>
      </c>
      <c r="D1098" t="str">
        <f>VLOOKUP(B1098,[1]Tabelle1!$A$1:$B$68,2,FALSE)</f>
        <v>Goslar</v>
      </c>
      <c r="E1098" t="str">
        <f>'2020_5-2-2_Download'!$BA$7</f>
        <v>Insgesamt</v>
      </c>
      <c r="G1098" t="s">
        <v>84</v>
      </c>
      <c r="H1098" t="str">
        <f>VLOOKUP(B1098,[2]Kreise!$A$2:$C$53,3,FALSE)</f>
        <v>K03153</v>
      </c>
      <c r="I1098">
        <f>'2020_5-2-2_Download'!BA14</f>
        <v>1674</v>
      </c>
    </row>
    <row r="1099" spans="2:9">
      <c r="B1099">
        <f>'2020_5-2-2_Download'!B15</f>
        <v>154</v>
      </c>
      <c r="C1099">
        <f>'2020_5-2-2_Download'!$BA$5</f>
        <v>2013</v>
      </c>
      <c r="D1099" t="str">
        <f>VLOOKUP(B1099,[1]Tabelle1!$A$1:$B$68,2,FALSE)</f>
        <v>Helmstedt</v>
      </c>
      <c r="E1099" t="str">
        <f>'2020_5-2-2_Download'!$BA$7</f>
        <v>Insgesamt</v>
      </c>
      <c r="G1099" t="s">
        <v>84</v>
      </c>
      <c r="H1099" t="str">
        <f>VLOOKUP(B1099,[2]Kreise!$A$2:$C$53,3,FALSE)</f>
        <v>K03154</v>
      </c>
      <c r="I1099">
        <f>'2020_5-2-2_Download'!BA15</f>
        <v>587</v>
      </c>
    </row>
    <row r="1100" spans="2:9">
      <c r="B1100">
        <f>'2020_5-2-2_Download'!B16</f>
        <v>155</v>
      </c>
      <c r="C1100">
        <f>'2020_5-2-2_Download'!$BA$5</f>
        <v>2013</v>
      </c>
      <c r="D1100" t="str">
        <f>VLOOKUP(B1100,[1]Tabelle1!$A$1:$B$68,2,FALSE)</f>
        <v>Northeim</v>
      </c>
      <c r="E1100" t="str">
        <f>'2020_5-2-2_Download'!$BA$7</f>
        <v>Insgesamt</v>
      </c>
      <c r="G1100" t="s">
        <v>84</v>
      </c>
      <c r="H1100" t="str">
        <f>VLOOKUP(B1100,[2]Kreise!$A$2:$C$53,3,FALSE)</f>
        <v>K03155</v>
      </c>
      <c r="I1100">
        <f>'2020_5-2-2_Download'!BA16</f>
        <v>1655</v>
      </c>
    </row>
    <row r="1101" spans="2:9">
      <c r="B1101">
        <f>'2020_5-2-2_Download'!B17</f>
        <v>157</v>
      </c>
      <c r="C1101">
        <f>'2020_5-2-2_Download'!$BA$5</f>
        <v>2013</v>
      </c>
      <c r="D1101" t="str">
        <f>VLOOKUP(B1101,[1]Tabelle1!$A$1:$B$68,2,FALSE)</f>
        <v>Peine</v>
      </c>
      <c r="E1101" t="str">
        <f>'2020_5-2-2_Download'!$BA$7</f>
        <v>Insgesamt</v>
      </c>
      <c r="G1101" t="s">
        <v>84</v>
      </c>
      <c r="H1101" t="str">
        <f>VLOOKUP(B1101,[2]Kreise!$A$2:$C$53,3,FALSE)</f>
        <v>K03157</v>
      </c>
      <c r="I1101">
        <f>'2020_5-2-2_Download'!BA17</f>
        <v>1321</v>
      </c>
    </row>
    <row r="1102" spans="2:9">
      <c r="B1102">
        <f>'2020_5-2-2_Download'!B18</f>
        <v>158</v>
      </c>
      <c r="C1102">
        <f>'2020_5-2-2_Download'!$BA$5</f>
        <v>2013</v>
      </c>
      <c r="D1102" t="str">
        <f>VLOOKUP(B1102,[1]Tabelle1!$A$1:$B$68,2,FALSE)</f>
        <v>Wolfenbüttel</v>
      </c>
      <c r="E1102" t="str">
        <f>'2020_5-2-2_Download'!$BA$7</f>
        <v>Insgesamt</v>
      </c>
      <c r="G1102" t="s">
        <v>84</v>
      </c>
      <c r="H1102" t="str">
        <f>VLOOKUP(B1102,[2]Kreise!$A$2:$C$53,3,FALSE)</f>
        <v>K03158</v>
      </c>
      <c r="I1102">
        <f>'2020_5-2-2_Download'!BA18</f>
        <v>734</v>
      </c>
    </row>
    <row r="1103" spans="2:9">
      <c r="B1103">
        <f>'2020_5-2-2_Download'!B19</f>
        <v>159</v>
      </c>
      <c r="C1103">
        <f>'2020_5-2-2_Download'!$BA$5</f>
        <v>2013</v>
      </c>
      <c r="D1103" t="str">
        <f>VLOOKUP(B1103,[1]Tabelle1!$A$1:$B$68,2,FALSE)</f>
        <v>Göttingen</v>
      </c>
      <c r="E1103" t="str">
        <f>'2020_5-2-2_Download'!$BA$7</f>
        <v>Insgesamt</v>
      </c>
      <c r="G1103" t="s">
        <v>84</v>
      </c>
      <c r="H1103" t="str">
        <f>VLOOKUP(B1103,[2]Kreise!$A$2:$C$53,3,FALSE)</f>
        <v>K03159</v>
      </c>
      <c r="I1103">
        <f>'2020_5-2-2_Download'!BA19</f>
        <v>5218</v>
      </c>
    </row>
    <row r="1104" spans="2:9">
      <c r="B1104">
        <f>'2020_5-2-2_Download'!B20</f>
        <v>1</v>
      </c>
      <c r="C1104">
        <f>'2020_5-2-2_Download'!$BA$5</f>
        <v>2013</v>
      </c>
      <c r="D1104" t="str">
        <f>VLOOKUP(B1104,[1]Tabelle1!$A$1:$B$68,2,FALSE)</f>
        <v>Stat. Region Braunschweig</v>
      </c>
      <c r="E1104" t="str">
        <f>'2020_5-2-2_Download'!$BA$7</f>
        <v>Insgesamt</v>
      </c>
      <c r="G1104" t="s">
        <v>84</v>
      </c>
      <c r="H1104" t="str">
        <f>VLOOKUP(B1104,[2]Kreise!$A$2:$C$53,3,FALSE)</f>
        <v>K031</v>
      </c>
      <c r="I1104">
        <f>'2020_5-2-2_Download'!BA20</f>
        <v>29844</v>
      </c>
    </row>
    <row r="1105" spans="2:9">
      <c r="B1105">
        <f>'2020_5-2-2_Download'!B21</f>
        <v>241</v>
      </c>
      <c r="C1105">
        <f>'2020_5-2-2_Download'!$BA$5</f>
        <v>2013</v>
      </c>
      <c r="D1105" t="str">
        <f>VLOOKUP(B1105,[1]Tabelle1!$A$1:$B$68,2,FALSE)</f>
        <v>Hannover  Region</v>
      </c>
      <c r="E1105" t="str">
        <f>'2020_5-2-2_Download'!$BA$7</f>
        <v>Insgesamt</v>
      </c>
      <c r="G1105" t="s">
        <v>84</v>
      </c>
      <c r="H1105" t="str">
        <f>VLOOKUP(B1105,[2]Kreise!$A$2:$C$53,3,FALSE)</f>
        <v>K03241</v>
      </c>
      <c r="I1105">
        <f>'2020_5-2-2_Download'!BA21</f>
        <v>36262</v>
      </c>
    </row>
    <row r="1106" spans="2:9">
      <c r="B1106">
        <f>'2020_5-2-2_Download'!B22</f>
        <v>241001</v>
      </c>
      <c r="C1106">
        <f>'2020_5-2-2_Download'!$BA$5</f>
        <v>2013</v>
      </c>
      <c r="D1106" t="str">
        <f>VLOOKUP(B1106,[1]Tabelle1!$A$1:$B$68,2,FALSE)</f>
        <v>dav. Hannover  Lhst.</v>
      </c>
      <c r="E1106" t="str">
        <f>'2020_5-2-2_Download'!$BA$7</f>
        <v>Insgesamt</v>
      </c>
      <c r="G1106" t="s">
        <v>84</v>
      </c>
      <c r="H1106" t="str">
        <f>VLOOKUP(B1106,[2]Kreise!$A$2:$C$53,3,FALSE)</f>
        <v>K03241001</v>
      </c>
      <c r="I1106">
        <f>'2020_5-2-2_Download'!BA22</f>
        <v>23903</v>
      </c>
    </row>
    <row r="1107" spans="2:9">
      <c r="B1107">
        <f>'2020_5-2-2_Download'!B23</f>
        <v>241999</v>
      </c>
      <c r="C1107">
        <f>'2020_5-2-2_Download'!$BA$5</f>
        <v>2013</v>
      </c>
      <c r="D1107" t="str">
        <f>VLOOKUP(B1107,[1]Tabelle1!$A$1:$B$68,2,FALSE)</f>
        <v>dav. Hannover  Umland</v>
      </c>
      <c r="E1107" t="str">
        <f>'2020_5-2-2_Download'!$BA$7</f>
        <v>Insgesamt</v>
      </c>
      <c r="G1107" t="s">
        <v>84</v>
      </c>
      <c r="H1107" t="str">
        <f>VLOOKUP(B1107,[2]Kreise!$A$2:$C$53,3,FALSE)</f>
        <v>K03241999</v>
      </c>
      <c r="I1107">
        <f>'2020_5-2-2_Download'!BA23</f>
        <v>12359</v>
      </c>
    </row>
    <row r="1108" spans="2:9">
      <c r="B1108">
        <f>'2020_5-2-2_Download'!B24</f>
        <v>251</v>
      </c>
      <c r="C1108">
        <f>'2020_5-2-2_Download'!$BA$5</f>
        <v>2013</v>
      </c>
      <c r="D1108" t="str">
        <f>VLOOKUP(B1108,[1]Tabelle1!$A$1:$B$68,2,FALSE)</f>
        <v>Diepholz</v>
      </c>
      <c r="E1108" t="str">
        <f>'2020_5-2-2_Download'!$BA$7</f>
        <v>Insgesamt</v>
      </c>
      <c r="G1108" t="s">
        <v>84</v>
      </c>
      <c r="H1108" t="str">
        <f>VLOOKUP(B1108,[2]Kreise!$A$2:$C$53,3,FALSE)</f>
        <v>K03251</v>
      </c>
      <c r="I1108">
        <f>'2020_5-2-2_Download'!BA24</f>
        <v>2539</v>
      </c>
    </row>
    <row r="1109" spans="2:9">
      <c r="B1109">
        <f>'2020_5-2-2_Download'!B25</f>
        <v>252</v>
      </c>
      <c r="C1109">
        <f>'2020_5-2-2_Download'!$BA$5</f>
        <v>2013</v>
      </c>
      <c r="D1109" t="str">
        <f>VLOOKUP(B1109,[1]Tabelle1!$A$1:$B$68,2,FALSE)</f>
        <v>Hameln-Pyrmont</v>
      </c>
      <c r="E1109" t="str">
        <f>'2020_5-2-2_Download'!$BA$7</f>
        <v>Insgesamt</v>
      </c>
      <c r="G1109" t="s">
        <v>84</v>
      </c>
      <c r="H1109" t="str">
        <f>VLOOKUP(B1109,[2]Kreise!$A$2:$C$53,3,FALSE)</f>
        <v>K03252</v>
      </c>
      <c r="I1109">
        <f>'2020_5-2-2_Download'!BA25</f>
        <v>2420</v>
      </c>
    </row>
    <row r="1110" spans="2:9">
      <c r="B1110">
        <f>'2020_5-2-2_Download'!B26</f>
        <v>254</v>
      </c>
      <c r="C1110">
        <f>'2020_5-2-2_Download'!$BA$5</f>
        <v>2013</v>
      </c>
      <c r="D1110" t="str">
        <f>VLOOKUP(B1110,[1]Tabelle1!$A$1:$B$68,2,FALSE)</f>
        <v>Hildesheim</v>
      </c>
      <c r="E1110" t="str">
        <f>'2020_5-2-2_Download'!$BA$7</f>
        <v>Insgesamt</v>
      </c>
      <c r="G1110" t="s">
        <v>84</v>
      </c>
      <c r="H1110" t="str">
        <f>VLOOKUP(B1110,[2]Kreise!$A$2:$C$53,3,FALSE)</f>
        <v>K03254</v>
      </c>
      <c r="I1110">
        <f>'2020_5-2-2_Download'!BA26</f>
        <v>3331</v>
      </c>
    </row>
    <row r="1111" spans="2:9">
      <c r="B1111">
        <f>'2020_5-2-2_Download'!B27</f>
        <v>255</v>
      </c>
      <c r="C1111">
        <f>'2020_5-2-2_Download'!$BA$5</f>
        <v>2013</v>
      </c>
      <c r="D1111" t="str">
        <f>VLOOKUP(B1111,[1]Tabelle1!$A$1:$B$68,2,FALSE)</f>
        <v>Holzminden</v>
      </c>
      <c r="E1111" t="str">
        <f>'2020_5-2-2_Download'!$BA$7</f>
        <v>Insgesamt</v>
      </c>
      <c r="G1111" t="s">
        <v>84</v>
      </c>
      <c r="H1111" t="str">
        <f>VLOOKUP(B1111,[2]Kreise!$A$2:$C$53,3,FALSE)</f>
        <v>K03255</v>
      </c>
      <c r="I1111">
        <f>'2020_5-2-2_Download'!BA27</f>
        <v>745</v>
      </c>
    </row>
    <row r="1112" spans="2:9">
      <c r="B1112">
        <f>'2020_5-2-2_Download'!B28</f>
        <v>256</v>
      </c>
      <c r="C1112">
        <f>'2020_5-2-2_Download'!$BA$5</f>
        <v>2013</v>
      </c>
      <c r="D1112" t="str">
        <f>VLOOKUP(B1112,[1]Tabelle1!$A$1:$B$68,2,FALSE)</f>
        <v>Nienburg (Weser)</v>
      </c>
      <c r="E1112" t="str">
        <f>'2020_5-2-2_Download'!$BA$7</f>
        <v>Insgesamt</v>
      </c>
      <c r="G1112" t="s">
        <v>84</v>
      </c>
      <c r="H1112" t="str">
        <f>VLOOKUP(B1112,[2]Kreise!$A$2:$C$53,3,FALSE)</f>
        <v>K03256</v>
      </c>
      <c r="I1112">
        <f>'2020_5-2-2_Download'!BA28</f>
        <v>1637</v>
      </c>
    </row>
    <row r="1113" spans="2:9">
      <c r="B1113">
        <f>'2020_5-2-2_Download'!B29</f>
        <v>257</v>
      </c>
      <c r="C1113">
        <f>'2020_5-2-2_Download'!$BA$5</f>
        <v>2013</v>
      </c>
      <c r="D1113" t="str">
        <f>VLOOKUP(B1113,[1]Tabelle1!$A$1:$B$68,2,FALSE)</f>
        <v>Schaumburg</v>
      </c>
      <c r="E1113" t="str">
        <f>'2020_5-2-2_Download'!$BA$7</f>
        <v>Insgesamt</v>
      </c>
      <c r="G1113" t="s">
        <v>84</v>
      </c>
      <c r="H1113" t="str">
        <f>VLOOKUP(B1113,[2]Kreise!$A$2:$C$53,3,FALSE)</f>
        <v>K03257</v>
      </c>
      <c r="I1113">
        <f>'2020_5-2-2_Download'!BA29</f>
        <v>1777</v>
      </c>
    </row>
    <row r="1114" spans="2:9">
      <c r="B1114">
        <f>'2020_5-2-2_Download'!B30</f>
        <v>2</v>
      </c>
      <c r="C1114">
        <f>'2020_5-2-2_Download'!$BA$5</f>
        <v>2013</v>
      </c>
      <c r="D1114" t="str">
        <f>VLOOKUP(B1114,[1]Tabelle1!$A$1:$B$68,2,FALSE)</f>
        <v>Stat. Region Hannover</v>
      </c>
      <c r="E1114" t="str">
        <f>'2020_5-2-2_Download'!$BA$7</f>
        <v>Insgesamt</v>
      </c>
      <c r="G1114" t="s">
        <v>84</v>
      </c>
      <c r="H1114" t="str">
        <f>VLOOKUP(B1114,[2]Kreise!$A$2:$C$53,3,FALSE)</f>
        <v>K032</v>
      </c>
      <c r="I1114">
        <f>'2020_5-2-2_Download'!BA30</f>
        <v>48711</v>
      </c>
    </row>
    <row r="1115" spans="2:9">
      <c r="B1115">
        <f>'2020_5-2-2_Download'!B31</f>
        <v>351</v>
      </c>
      <c r="C1115">
        <f>'2020_5-2-2_Download'!$BA$5</f>
        <v>2013</v>
      </c>
      <c r="D1115" t="str">
        <f>VLOOKUP(B1115,[1]Tabelle1!$A$1:$B$68,2,FALSE)</f>
        <v>Celle</v>
      </c>
      <c r="E1115" t="str">
        <f>'2020_5-2-2_Download'!$BA$7</f>
        <v>Insgesamt</v>
      </c>
      <c r="G1115" t="s">
        <v>84</v>
      </c>
      <c r="H1115" t="str">
        <f>VLOOKUP(B1115,[2]Kreise!$A$2:$C$53,3,FALSE)</f>
        <v>K03351</v>
      </c>
      <c r="I1115">
        <f>'2020_5-2-2_Download'!BA31</f>
        <v>2199</v>
      </c>
    </row>
    <row r="1116" spans="2:9">
      <c r="B1116">
        <f>'2020_5-2-2_Download'!B32</f>
        <v>352</v>
      </c>
      <c r="C1116">
        <f>'2020_5-2-2_Download'!$BA$5</f>
        <v>2013</v>
      </c>
      <c r="D1116" t="str">
        <f>VLOOKUP(B1116,[1]Tabelle1!$A$1:$B$68,2,FALSE)</f>
        <v>Cuxhaven</v>
      </c>
      <c r="E1116" t="str">
        <f>'2020_5-2-2_Download'!$BA$7</f>
        <v>Insgesamt</v>
      </c>
      <c r="G1116" t="s">
        <v>84</v>
      </c>
      <c r="H1116" t="str">
        <f>VLOOKUP(B1116,[2]Kreise!$A$2:$C$53,3,FALSE)</f>
        <v>K03352</v>
      </c>
      <c r="I1116">
        <f>'2020_5-2-2_Download'!BA32</f>
        <v>2483</v>
      </c>
    </row>
    <row r="1117" spans="2:9">
      <c r="B1117">
        <f>'2020_5-2-2_Download'!B33</f>
        <v>353</v>
      </c>
      <c r="C1117">
        <f>'2020_5-2-2_Download'!$BA$5</f>
        <v>2013</v>
      </c>
      <c r="D1117" t="str">
        <f>VLOOKUP(B1117,[1]Tabelle1!$A$1:$B$68,2,FALSE)</f>
        <v>Harburg</v>
      </c>
      <c r="E1117" t="str">
        <f>'2020_5-2-2_Download'!$BA$7</f>
        <v>Insgesamt</v>
      </c>
      <c r="G1117" t="s">
        <v>84</v>
      </c>
      <c r="H1117" t="str">
        <f>VLOOKUP(B1117,[2]Kreise!$A$2:$C$53,3,FALSE)</f>
        <v>K03353</v>
      </c>
      <c r="I1117">
        <f>'2020_5-2-2_Download'!BA33</f>
        <v>3361</v>
      </c>
    </row>
    <row r="1118" spans="2:9">
      <c r="B1118">
        <f>'2020_5-2-2_Download'!B34</f>
        <v>354</v>
      </c>
      <c r="C1118">
        <f>'2020_5-2-2_Download'!$BA$5</f>
        <v>2013</v>
      </c>
      <c r="D1118" t="str">
        <f>VLOOKUP(B1118,[1]Tabelle1!$A$1:$B$68,2,FALSE)</f>
        <v>Lüchow-Dannenberg</v>
      </c>
      <c r="E1118" t="str">
        <f>'2020_5-2-2_Download'!$BA$7</f>
        <v>Insgesamt</v>
      </c>
      <c r="G1118" t="s">
        <v>84</v>
      </c>
      <c r="H1118" t="str">
        <f>VLOOKUP(B1118,[2]Kreise!$A$2:$C$53,3,FALSE)</f>
        <v>K03354</v>
      </c>
      <c r="I1118">
        <f>'2020_5-2-2_Download'!BA34</f>
        <v>303</v>
      </c>
    </row>
    <row r="1119" spans="2:9">
      <c r="B1119">
        <f>'2020_5-2-2_Download'!B35</f>
        <v>355</v>
      </c>
      <c r="C1119">
        <f>'2020_5-2-2_Download'!$BA$5</f>
        <v>2013</v>
      </c>
      <c r="D1119" t="str">
        <f>VLOOKUP(B1119,[1]Tabelle1!$A$1:$B$68,2,FALSE)</f>
        <v>Lüneburg</v>
      </c>
      <c r="E1119" t="str">
        <f>'2020_5-2-2_Download'!$BA$7</f>
        <v>Insgesamt</v>
      </c>
      <c r="G1119" t="s">
        <v>84</v>
      </c>
      <c r="H1119" t="str">
        <f>VLOOKUP(B1119,[2]Kreise!$A$2:$C$53,3,FALSE)</f>
        <v>K03355</v>
      </c>
      <c r="I1119">
        <f>'2020_5-2-2_Download'!BA35</f>
        <v>1907</v>
      </c>
    </row>
    <row r="1120" spans="2:9">
      <c r="B1120">
        <f>'2020_5-2-2_Download'!B36</f>
        <v>356</v>
      </c>
      <c r="C1120">
        <f>'2020_5-2-2_Download'!$BA$5</f>
        <v>2013</v>
      </c>
      <c r="D1120" t="str">
        <f>VLOOKUP(B1120,[1]Tabelle1!$A$1:$B$68,2,FALSE)</f>
        <v>Osterholz</v>
      </c>
      <c r="E1120" t="str">
        <f>'2020_5-2-2_Download'!$BA$7</f>
        <v>Insgesamt</v>
      </c>
      <c r="G1120" t="s">
        <v>84</v>
      </c>
      <c r="H1120" t="str">
        <f>VLOOKUP(B1120,[2]Kreise!$A$2:$C$53,3,FALSE)</f>
        <v>K03356</v>
      </c>
      <c r="I1120">
        <f>'2020_5-2-2_Download'!BA36</f>
        <v>909</v>
      </c>
    </row>
    <row r="1121" spans="2:9">
      <c r="B1121">
        <f>'2020_5-2-2_Download'!B37</f>
        <v>357</v>
      </c>
      <c r="C1121">
        <f>'2020_5-2-2_Download'!$BA$5</f>
        <v>2013</v>
      </c>
      <c r="D1121" t="str">
        <f>VLOOKUP(B1121,[1]Tabelle1!$A$1:$B$68,2,FALSE)</f>
        <v>Rotenburg (Wümme)</v>
      </c>
      <c r="E1121" t="str">
        <f>'2020_5-2-2_Download'!$BA$7</f>
        <v>Insgesamt</v>
      </c>
      <c r="G1121" t="s">
        <v>84</v>
      </c>
      <c r="H1121" t="str">
        <f>VLOOKUP(B1121,[2]Kreise!$A$2:$C$53,3,FALSE)</f>
        <v>K03357</v>
      </c>
      <c r="I1121">
        <f>'2020_5-2-2_Download'!BA37</f>
        <v>1752</v>
      </c>
    </row>
    <row r="1122" spans="2:9">
      <c r="B1122">
        <f>'2020_5-2-2_Download'!B38</f>
        <v>358</v>
      </c>
      <c r="C1122">
        <f>'2020_5-2-2_Download'!$BA$5</f>
        <v>2013</v>
      </c>
      <c r="D1122" t="str">
        <f>VLOOKUP(B1122,[1]Tabelle1!$A$1:$B$68,2,FALSE)</f>
        <v>Heidekreis</v>
      </c>
      <c r="E1122" t="str">
        <f>'2020_5-2-2_Download'!$BA$7</f>
        <v>Insgesamt</v>
      </c>
      <c r="G1122" t="s">
        <v>84</v>
      </c>
      <c r="H1122" t="str">
        <f>VLOOKUP(B1122,[2]Kreise!$A$2:$C$53,3,FALSE)</f>
        <v>K03358</v>
      </c>
      <c r="I1122">
        <f>'2020_5-2-2_Download'!BA38</f>
        <v>2105</v>
      </c>
    </row>
    <row r="1123" spans="2:9">
      <c r="B1123">
        <f>'2020_5-2-2_Download'!B39</f>
        <v>359</v>
      </c>
      <c r="C1123">
        <f>'2020_5-2-2_Download'!$BA$5</f>
        <v>2013</v>
      </c>
      <c r="D1123" t="str">
        <f>VLOOKUP(B1123,[1]Tabelle1!$A$1:$B$68,2,FALSE)</f>
        <v>Stade</v>
      </c>
      <c r="E1123" t="str">
        <f>'2020_5-2-2_Download'!$BA$7</f>
        <v>Insgesamt</v>
      </c>
      <c r="G1123" t="s">
        <v>84</v>
      </c>
      <c r="H1123" t="str">
        <f>VLOOKUP(B1123,[2]Kreise!$A$2:$C$53,3,FALSE)</f>
        <v>K03359</v>
      </c>
      <c r="I1123">
        <f>'2020_5-2-2_Download'!BA39</f>
        <v>3996</v>
      </c>
    </row>
    <row r="1124" spans="2:9">
      <c r="B1124">
        <f>'2020_5-2-2_Download'!B40</f>
        <v>360</v>
      </c>
      <c r="C1124">
        <f>'2020_5-2-2_Download'!$BA$5</f>
        <v>2013</v>
      </c>
      <c r="D1124" t="str">
        <f>VLOOKUP(B1124,[1]Tabelle1!$A$1:$B$68,2,FALSE)</f>
        <v>Uelzen</v>
      </c>
      <c r="E1124" t="str">
        <f>'2020_5-2-2_Download'!$BA$7</f>
        <v>Insgesamt</v>
      </c>
      <c r="G1124" t="s">
        <v>84</v>
      </c>
      <c r="H1124" t="str">
        <f>VLOOKUP(B1124,[2]Kreise!$A$2:$C$53,3,FALSE)</f>
        <v>K03360</v>
      </c>
      <c r="I1124">
        <f>'2020_5-2-2_Download'!BA40</f>
        <v>752</v>
      </c>
    </row>
    <row r="1125" spans="2:9">
      <c r="B1125">
        <f>'2020_5-2-2_Download'!B41</f>
        <v>361</v>
      </c>
      <c r="C1125">
        <f>'2020_5-2-2_Download'!$BA$5</f>
        <v>2013</v>
      </c>
      <c r="D1125" t="str">
        <f>VLOOKUP(B1125,[1]Tabelle1!$A$1:$B$68,2,FALSE)</f>
        <v>Verden</v>
      </c>
      <c r="E1125" t="str">
        <f>'2020_5-2-2_Download'!$BA$7</f>
        <v>Insgesamt</v>
      </c>
      <c r="G1125" t="s">
        <v>84</v>
      </c>
      <c r="H1125" t="str">
        <f>VLOOKUP(B1125,[2]Kreise!$A$2:$C$53,3,FALSE)</f>
        <v>K03361</v>
      </c>
      <c r="I1125">
        <f>'2020_5-2-2_Download'!BA41</f>
        <v>2239</v>
      </c>
    </row>
    <row r="1126" spans="2:9">
      <c r="B1126">
        <f>'2020_5-2-2_Download'!B42</f>
        <v>3</v>
      </c>
      <c r="C1126">
        <f>'2020_5-2-2_Download'!$BA$5</f>
        <v>2013</v>
      </c>
      <c r="D1126" t="str">
        <f>VLOOKUP(B1126,[1]Tabelle1!$A$1:$B$68,2,FALSE)</f>
        <v>Stat. Region Lüneburg</v>
      </c>
      <c r="E1126" t="str">
        <f>'2020_5-2-2_Download'!$BA$7</f>
        <v>Insgesamt</v>
      </c>
      <c r="G1126" t="s">
        <v>84</v>
      </c>
      <c r="H1126" t="str">
        <f>VLOOKUP(B1126,[2]Kreise!$A$2:$C$53,3,FALSE)</f>
        <v>K033</v>
      </c>
      <c r="I1126">
        <f>'2020_5-2-2_Download'!BA42</f>
        <v>22006</v>
      </c>
    </row>
    <row r="1127" spans="2:9">
      <c r="B1127">
        <f>'2020_5-2-2_Download'!B43</f>
        <v>401</v>
      </c>
      <c r="C1127">
        <f>'2020_5-2-2_Download'!$BA$5</f>
        <v>2013</v>
      </c>
      <c r="D1127" t="str">
        <f>VLOOKUP(B1127,[1]Tabelle1!$A$1:$B$68,2,FALSE)</f>
        <v>Delmenhorst  Stadt</v>
      </c>
      <c r="E1127" t="str">
        <f>'2020_5-2-2_Download'!$BA$7</f>
        <v>Insgesamt</v>
      </c>
      <c r="G1127" t="s">
        <v>84</v>
      </c>
      <c r="H1127" t="str">
        <f>VLOOKUP(B1127,[2]Kreise!$A$2:$C$53,3,FALSE)</f>
        <v>K03401</v>
      </c>
      <c r="I1127">
        <f>'2020_5-2-2_Download'!BA43</f>
        <v>1035</v>
      </c>
    </row>
    <row r="1128" spans="2:9">
      <c r="B1128">
        <f>'2020_5-2-2_Download'!B44</f>
        <v>402</v>
      </c>
      <c r="C1128">
        <f>'2020_5-2-2_Download'!$BA$5</f>
        <v>2013</v>
      </c>
      <c r="D1128" t="str">
        <f>VLOOKUP(B1128,[1]Tabelle1!$A$1:$B$68,2,FALSE)</f>
        <v>Emden  Stadt</v>
      </c>
      <c r="E1128" t="str">
        <f>'2020_5-2-2_Download'!$BA$7</f>
        <v>Insgesamt</v>
      </c>
      <c r="G1128" t="s">
        <v>84</v>
      </c>
      <c r="H1128" t="str">
        <f>VLOOKUP(B1128,[2]Kreise!$A$2:$C$53,3,FALSE)</f>
        <v>K03402</v>
      </c>
      <c r="I1128">
        <f>'2020_5-2-2_Download'!BA44</f>
        <v>1104</v>
      </c>
    </row>
    <row r="1129" spans="2:9">
      <c r="B1129">
        <f>'2020_5-2-2_Download'!B45</f>
        <v>403</v>
      </c>
      <c r="C1129">
        <f>'2020_5-2-2_Download'!$BA$5</f>
        <v>2013</v>
      </c>
      <c r="D1129" t="str">
        <f>VLOOKUP(B1129,[1]Tabelle1!$A$1:$B$68,2,FALSE)</f>
        <v>Oldenburg(Oldb)  Stadt</v>
      </c>
      <c r="E1129" t="str">
        <f>'2020_5-2-2_Download'!$BA$7</f>
        <v>Insgesamt</v>
      </c>
      <c r="G1129" t="s">
        <v>84</v>
      </c>
      <c r="H1129" t="str">
        <f>VLOOKUP(B1129,[2]Kreise!$A$2:$C$53,3,FALSE)</f>
        <v>K03403</v>
      </c>
      <c r="I1129">
        <f>'2020_5-2-2_Download'!BA45</f>
        <v>2850</v>
      </c>
    </row>
    <row r="1130" spans="2:9">
      <c r="B1130">
        <f>'2020_5-2-2_Download'!B46</f>
        <v>404</v>
      </c>
      <c r="C1130">
        <f>'2020_5-2-2_Download'!$BA$5</f>
        <v>2013</v>
      </c>
      <c r="D1130" t="str">
        <f>VLOOKUP(B1130,[1]Tabelle1!$A$1:$B$68,2,FALSE)</f>
        <v>Osnabrück  Stadt</v>
      </c>
      <c r="E1130" t="str">
        <f>'2020_5-2-2_Download'!$BA$7</f>
        <v>Insgesamt</v>
      </c>
      <c r="G1130" t="s">
        <v>84</v>
      </c>
      <c r="H1130" t="str">
        <f>VLOOKUP(B1130,[2]Kreise!$A$2:$C$53,3,FALSE)</f>
        <v>K03404</v>
      </c>
      <c r="I1130">
        <f>'2020_5-2-2_Download'!BA46</f>
        <v>5026</v>
      </c>
    </row>
    <row r="1131" spans="2:9">
      <c r="B1131">
        <f>'2020_5-2-2_Download'!B47</f>
        <v>405</v>
      </c>
      <c r="C1131">
        <f>'2020_5-2-2_Download'!$BA$5</f>
        <v>2013</v>
      </c>
      <c r="D1131" t="str">
        <f>VLOOKUP(B1131,[1]Tabelle1!$A$1:$B$68,2,FALSE)</f>
        <v>Wilhelmshaven  Stadt</v>
      </c>
      <c r="E1131" t="str">
        <f>'2020_5-2-2_Download'!$BA$7</f>
        <v>Insgesamt</v>
      </c>
      <c r="G1131" t="s">
        <v>84</v>
      </c>
      <c r="H1131" t="str">
        <f>VLOOKUP(B1131,[2]Kreise!$A$2:$C$53,3,FALSE)</f>
        <v>K03405</v>
      </c>
      <c r="I1131">
        <f>'2020_5-2-2_Download'!BA47</f>
        <v>722</v>
      </c>
    </row>
    <row r="1132" spans="2:9">
      <c r="B1132">
        <f>'2020_5-2-2_Download'!B48</f>
        <v>451</v>
      </c>
      <c r="C1132">
        <f>'2020_5-2-2_Download'!$BA$5</f>
        <v>2013</v>
      </c>
      <c r="D1132" t="str">
        <f>VLOOKUP(B1132,[1]Tabelle1!$A$1:$B$68,2,FALSE)</f>
        <v>Ammerland</v>
      </c>
      <c r="E1132" t="str">
        <f>'2020_5-2-2_Download'!$BA$7</f>
        <v>Insgesamt</v>
      </c>
      <c r="G1132" t="s">
        <v>84</v>
      </c>
      <c r="H1132" t="str">
        <f>VLOOKUP(B1132,[2]Kreise!$A$2:$C$53,3,FALSE)</f>
        <v>K03451</v>
      </c>
      <c r="I1132">
        <f>'2020_5-2-2_Download'!BA48</f>
        <v>1917</v>
      </c>
    </row>
    <row r="1133" spans="2:9">
      <c r="B1133">
        <f>'2020_5-2-2_Download'!B49</f>
        <v>452</v>
      </c>
      <c r="C1133">
        <f>'2020_5-2-2_Download'!$BA$5</f>
        <v>2013</v>
      </c>
      <c r="D1133" t="str">
        <f>VLOOKUP(B1133,[1]Tabelle1!$A$1:$B$68,2,FALSE)</f>
        <v>Aurich</v>
      </c>
      <c r="E1133" t="str">
        <f>'2020_5-2-2_Download'!$BA$7</f>
        <v>Insgesamt</v>
      </c>
      <c r="G1133" t="s">
        <v>84</v>
      </c>
      <c r="H1133" t="str">
        <f>VLOOKUP(B1133,[2]Kreise!$A$2:$C$53,3,FALSE)</f>
        <v>K03452</v>
      </c>
      <c r="I1133">
        <f>'2020_5-2-2_Download'!BA49</f>
        <v>2155</v>
      </c>
    </row>
    <row r="1134" spans="2:9">
      <c r="B1134">
        <f>'2020_5-2-2_Download'!B50</f>
        <v>453</v>
      </c>
      <c r="C1134">
        <f>'2020_5-2-2_Download'!$BA$5</f>
        <v>2013</v>
      </c>
      <c r="D1134" t="str">
        <f>VLOOKUP(B1134,[1]Tabelle1!$A$1:$B$68,2,FALSE)</f>
        <v>Cloppenburg</v>
      </c>
      <c r="E1134" t="str">
        <f>'2020_5-2-2_Download'!$BA$7</f>
        <v>Insgesamt</v>
      </c>
      <c r="G1134" t="s">
        <v>84</v>
      </c>
      <c r="H1134" t="str">
        <f>VLOOKUP(B1134,[2]Kreise!$A$2:$C$53,3,FALSE)</f>
        <v>K03453</v>
      </c>
      <c r="I1134">
        <f>'2020_5-2-2_Download'!BA50</f>
        <v>3948</v>
      </c>
    </row>
    <row r="1135" spans="2:9">
      <c r="B1135">
        <f>'2020_5-2-2_Download'!B51</f>
        <v>454</v>
      </c>
      <c r="C1135">
        <f>'2020_5-2-2_Download'!$BA$5</f>
        <v>2013</v>
      </c>
      <c r="D1135" t="str">
        <f>VLOOKUP(B1135,[1]Tabelle1!$A$1:$B$68,2,FALSE)</f>
        <v>Emsland</v>
      </c>
      <c r="E1135" t="str">
        <f>'2020_5-2-2_Download'!$BA$7</f>
        <v>Insgesamt</v>
      </c>
      <c r="G1135" t="s">
        <v>84</v>
      </c>
      <c r="H1135" t="str">
        <f>VLOOKUP(B1135,[2]Kreise!$A$2:$C$53,3,FALSE)</f>
        <v>K03454</v>
      </c>
      <c r="I1135">
        <f>'2020_5-2-2_Download'!BA51</f>
        <v>4817</v>
      </c>
    </row>
    <row r="1136" spans="2:9">
      <c r="B1136">
        <f>'2020_5-2-2_Download'!B52</f>
        <v>455</v>
      </c>
      <c r="C1136">
        <f>'2020_5-2-2_Download'!$BA$5</f>
        <v>2013</v>
      </c>
      <c r="D1136" t="str">
        <f>VLOOKUP(B1136,[1]Tabelle1!$A$1:$B$68,2,FALSE)</f>
        <v>Friesland</v>
      </c>
      <c r="E1136" t="str">
        <f>'2020_5-2-2_Download'!$BA$7</f>
        <v>Insgesamt</v>
      </c>
      <c r="G1136" t="s">
        <v>84</v>
      </c>
      <c r="H1136" t="str">
        <f>VLOOKUP(B1136,[2]Kreise!$A$2:$C$53,3,FALSE)</f>
        <v>K03455</v>
      </c>
      <c r="I1136">
        <f>'2020_5-2-2_Download'!BA52</f>
        <v>737</v>
      </c>
    </row>
    <row r="1137" spans="2:9">
      <c r="B1137">
        <f>'2020_5-2-2_Download'!B53</f>
        <v>456</v>
      </c>
      <c r="C1137">
        <f>'2020_5-2-2_Download'!$BA$5</f>
        <v>2013</v>
      </c>
      <c r="D1137" t="str">
        <f>VLOOKUP(B1137,[1]Tabelle1!$A$1:$B$68,2,FALSE)</f>
        <v>Grafschaft Bentheim</v>
      </c>
      <c r="E1137" t="str">
        <f>'2020_5-2-2_Download'!$BA$7</f>
        <v>Insgesamt</v>
      </c>
      <c r="G1137" t="s">
        <v>84</v>
      </c>
      <c r="H1137" t="str">
        <f>VLOOKUP(B1137,[2]Kreise!$A$2:$C$53,3,FALSE)</f>
        <v>K03456</v>
      </c>
      <c r="I1137">
        <f>'2020_5-2-2_Download'!BA53</f>
        <v>3138</v>
      </c>
    </row>
    <row r="1138" spans="2:9">
      <c r="B1138">
        <f>'2020_5-2-2_Download'!B54</f>
        <v>457</v>
      </c>
      <c r="C1138">
        <f>'2020_5-2-2_Download'!$BA$5</f>
        <v>2013</v>
      </c>
      <c r="D1138" t="str">
        <f>VLOOKUP(B1138,[1]Tabelle1!$A$1:$B$68,2,FALSE)</f>
        <v>Leer</v>
      </c>
      <c r="E1138" t="str">
        <f>'2020_5-2-2_Download'!$BA$7</f>
        <v>Insgesamt</v>
      </c>
      <c r="G1138" t="s">
        <v>84</v>
      </c>
      <c r="H1138" t="str">
        <f>VLOOKUP(B1138,[2]Kreise!$A$2:$C$53,3,FALSE)</f>
        <v>K03457</v>
      </c>
      <c r="I1138">
        <f>'2020_5-2-2_Download'!BA54</f>
        <v>1804</v>
      </c>
    </row>
    <row r="1139" spans="2:9">
      <c r="B1139">
        <f>'2020_5-2-2_Download'!B55</f>
        <v>458</v>
      </c>
      <c r="C1139">
        <f>'2020_5-2-2_Download'!$BA$5</f>
        <v>2013</v>
      </c>
      <c r="D1139" t="str">
        <f>VLOOKUP(B1139,[1]Tabelle1!$A$1:$B$68,2,FALSE)</f>
        <v>Oldenburg</v>
      </c>
      <c r="E1139" t="str">
        <f>'2020_5-2-2_Download'!$BA$7</f>
        <v>Insgesamt</v>
      </c>
      <c r="G1139" t="s">
        <v>84</v>
      </c>
      <c r="H1139" t="str">
        <f>VLOOKUP(B1139,[2]Kreise!$A$2:$C$53,3,FALSE)</f>
        <v>K03458</v>
      </c>
      <c r="I1139">
        <f>'2020_5-2-2_Download'!BA55</f>
        <v>1646</v>
      </c>
    </row>
    <row r="1140" spans="2:9">
      <c r="B1140">
        <f>'2020_5-2-2_Download'!B56</f>
        <v>459</v>
      </c>
      <c r="C1140">
        <f>'2020_5-2-2_Download'!$BA$5</f>
        <v>2013</v>
      </c>
      <c r="D1140" t="str">
        <f>VLOOKUP(B1140,[1]Tabelle1!$A$1:$B$68,2,FALSE)</f>
        <v>Osnabrück</v>
      </c>
      <c r="E1140" t="str">
        <f>'2020_5-2-2_Download'!$BA$7</f>
        <v>Insgesamt</v>
      </c>
      <c r="G1140" t="s">
        <v>84</v>
      </c>
      <c r="H1140" t="str">
        <f>VLOOKUP(B1140,[2]Kreise!$A$2:$C$53,3,FALSE)</f>
        <v>K03459</v>
      </c>
      <c r="I1140">
        <f>'2020_5-2-2_Download'!BA56</f>
        <v>7527</v>
      </c>
    </row>
    <row r="1141" spans="2:9">
      <c r="B1141">
        <f>'2020_5-2-2_Download'!B57</f>
        <v>460</v>
      </c>
      <c r="C1141">
        <f>'2020_5-2-2_Download'!$BA$5</f>
        <v>2013</v>
      </c>
      <c r="D1141" t="str">
        <f>VLOOKUP(B1141,[1]Tabelle1!$A$1:$B$68,2,FALSE)</f>
        <v>Vechta</v>
      </c>
      <c r="E1141" t="str">
        <f>'2020_5-2-2_Download'!$BA$7</f>
        <v>Insgesamt</v>
      </c>
      <c r="G1141" t="s">
        <v>84</v>
      </c>
      <c r="H1141" t="str">
        <f>VLOOKUP(B1141,[2]Kreise!$A$2:$C$53,3,FALSE)</f>
        <v>K03460</v>
      </c>
      <c r="I1141">
        <f>'2020_5-2-2_Download'!BA57</f>
        <v>6068</v>
      </c>
    </row>
    <row r="1142" spans="2:9">
      <c r="B1142">
        <f>'2020_5-2-2_Download'!B58</f>
        <v>461</v>
      </c>
      <c r="C1142">
        <f>'2020_5-2-2_Download'!$BA$5</f>
        <v>2013</v>
      </c>
      <c r="D1142" t="str">
        <f>VLOOKUP(B1142,[1]Tabelle1!$A$1:$B$68,2,FALSE)</f>
        <v>Wesermarsch</v>
      </c>
      <c r="E1142" t="str">
        <f>'2020_5-2-2_Download'!$BA$7</f>
        <v>Insgesamt</v>
      </c>
      <c r="G1142" t="s">
        <v>84</v>
      </c>
      <c r="H1142" t="str">
        <f>VLOOKUP(B1142,[2]Kreise!$A$2:$C$53,3,FALSE)</f>
        <v>K03461</v>
      </c>
      <c r="I1142">
        <f>'2020_5-2-2_Download'!BA58</f>
        <v>1240</v>
      </c>
    </row>
    <row r="1143" spans="2:9">
      <c r="B1143">
        <f>'2020_5-2-2_Download'!B59</f>
        <v>462</v>
      </c>
      <c r="C1143">
        <f>'2020_5-2-2_Download'!$BA$5</f>
        <v>2013</v>
      </c>
      <c r="D1143" t="str">
        <f>VLOOKUP(B1143,[1]Tabelle1!$A$1:$B$68,2,FALSE)</f>
        <v>Wittmund</v>
      </c>
      <c r="E1143" t="str">
        <f>'2020_5-2-2_Download'!$BA$7</f>
        <v>Insgesamt</v>
      </c>
      <c r="G1143" t="s">
        <v>84</v>
      </c>
      <c r="H1143" t="str">
        <f>VLOOKUP(B1143,[2]Kreise!$A$2:$C$53,3,FALSE)</f>
        <v>K03462</v>
      </c>
      <c r="I1143">
        <f>'2020_5-2-2_Download'!BA59</f>
        <v>496</v>
      </c>
    </row>
    <row r="1144" spans="2:9">
      <c r="B1144">
        <f>'2020_5-2-2_Download'!B60</f>
        <v>4</v>
      </c>
      <c r="C1144">
        <f>'2020_5-2-2_Download'!$BA$5</f>
        <v>2013</v>
      </c>
      <c r="D1144" t="str">
        <f>VLOOKUP(B1144,[1]Tabelle1!$A$1:$B$68,2,FALSE)</f>
        <v>Stat. Region Weser-Ems</v>
      </c>
      <c r="E1144" t="str">
        <f>'2020_5-2-2_Download'!$BA$7</f>
        <v>Insgesamt</v>
      </c>
      <c r="G1144" t="s">
        <v>84</v>
      </c>
      <c r="H1144" t="str">
        <f>VLOOKUP(B1144,[2]Kreise!$A$2:$C$53,3,FALSE)</f>
        <v>K034</v>
      </c>
      <c r="I1144">
        <f>'2020_5-2-2_Download'!BA60</f>
        <v>46230</v>
      </c>
    </row>
    <row r="1145" spans="2:9">
      <c r="B1145">
        <f>'2020_5-2-2_Download'!B61</f>
        <v>0</v>
      </c>
      <c r="C1145">
        <f>'2020_5-2-2_Download'!$BA$5</f>
        <v>2013</v>
      </c>
      <c r="D1145" t="str">
        <f>VLOOKUP(B1145,[1]Tabelle1!$A$1:$B$68,2,FALSE)</f>
        <v>Niedersachsen</v>
      </c>
      <c r="E1145" t="str">
        <f>'2020_5-2-2_Download'!$BA$7</f>
        <v>Insgesamt</v>
      </c>
      <c r="G1145" t="s">
        <v>84</v>
      </c>
      <c r="H1145" t="str">
        <f>VLOOKUP(B1145,[2]Kreise!$A$2:$C$53,3,FALSE)</f>
        <v>K030</v>
      </c>
      <c r="I1145">
        <f>'2020_5-2-2_Download'!BA61</f>
        <v>146791</v>
      </c>
    </row>
    <row r="1146" spans="2:9">
      <c r="B1146">
        <f>'2020_5-2-2_Download'!B10</f>
        <v>101</v>
      </c>
      <c r="C1146">
        <f>'2020_5-2-2_Download'!$BA$5</f>
        <v>2013</v>
      </c>
      <c r="D1146" t="str">
        <f>VLOOKUP(B1146,[1]Tabelle1!$A$1:$B$68,2,FALSE)</f>
        <v>Braunschweig  Stadt</v>
      </c>
      <c r="E1146" t="str">
        <f>'2020_5-2-2_Download'!$BB$7</f>
        <v>Männer</v>
      </c>
      <c r="G1146" t="s">
        <v>84</v>
      </c>
      <c r="H1146" t="str">
        <f>VLOOKUP(B1146,[2]Kreise!$A$2:$C$53,3,FALSE)</f>
        <v>K03101</v>
      </c>
      <c r="I1146">
        <f>'2020_5-2-2_Download'!BB10</f>
        <v>3483</v>
      </c>
    </row>
    <row r="1147" spans="2:9">
      <c r="B1147">
        <f>'2020_5-2-2_Download'!B11</f>
        <v>102</v>
      </c>
      <c r="C1147">
        <f>'2020_5-2-2_Download'!$BA$5</f>
        <v>2013</v>
      </c>
      <c r="D1147" t="str">
        <f>VLOOKUP(B1147,[1]Tabelle1!$A$1:$B$68,2,FALSE)</f>
        <v>Salzgitter  Stadt</v>
      </c>
      <c r="E1147" t="str">
        <f>'2020_5-2-2_Download'!$BB$7</f>
        <v>Männer</v>
      </c>
      <c r="G1147" t="s">
        <v>84</v>
      </c>
      <c r="H1147" t="str">
        <f>VLOOKUP(B1147,[2]Kreise!$A$2:$C$53,3,FALSE)</f>
        <v>K03102</v>
      </c>
      <c r="I1147">
        <f>'2020_5-2-2_Download'!BB11</f>
        <v>2514</v>
      </c>
    </row>
    <row r="1148" spans="2:9">
      <c r="B1148">
        <f>'2020_5-2-2_Download'!B12</f>
        <v>103</v>
      </c>
      <c r="C1148">
        <f>'2020_5-2-2_Download'!$BA$5</f>
        <v>2013</v>
      </c>
      <c r="D1148" t="str">
        <f>VLOOKUP(B1148,[1]Tabelle1!$A$1:$B$68,2,FALSE)</f>
        <v>Wolfsburg  Stadt</v>
      </c>
      <c r="E1148" t="str">
        <f>'2020_5-2-2_Download'!$BB$7</f>
        <v>Männer</v>
      </c>
      <c r="G1148" t="s">
        <v>84</v>
      </c>
      <c r="H1148" t="str">
        <f>VLOOKUP(B1148,[2]Kreise!$A$2:$C$53,3,FALSE)</f>
        <v>K03103</v>
      </c>
      <c r="I1148">
        <f>'2020_5-2-2_Download'!BB12</f>
        <v>5458</v>
      </c>
    </row>
    <row r="1149" spans="2:9">
      <c r="B1149">
        <f>'2020_5-2-2_Download'!B13</f>
        <v>151</v>
      </c>
      <c r="C1149">
        <f>'2020_5-2-2_Download'!$BA$5</f>
        <v>2013</v>
      </c>
      <c r="D1149" t="str">
        <f>VLOOKUP(B1149,[1]Tabelle1!$A$1:$B$68,2,FALSE)</f>
        <v>Gifhorn</v>
      </c>
      <c r="E1149" t="str">
        <f>'2020_5-2-2_Download'!$BB$7</f>
        <v>Männer</v>
      </c>
      <c r="G1149" t="s">
        <v>84</v>
      </c>
      <c r="H1149" t="str">
        <f>VLOOKUP(B1149,[2]Kreise!$A$2:$C$53,3,FALSE)</f>
        <v>K03151</v>
      </c>
      <c r="I1149">
        <f>'2020_5-2-2_Download'!BB13</f>
        <v>1205</v>
      </c>
    </row>
    <row r="1150" spans="2:9">
      <c r="B1150">
        <f>'2020_5-2-2_Download'!B14</f>
        <v>153</v>
      </c>
      <c r="C1150">
        <f>'2020_5-2-2_Download'!$BA$5</f>
        <v>2013</v>
      </c>
      <c r="D1150" t="str">
        <f>VLOOKUP(B1150,[1]Tabelle1!$A$1:$B$68,2,FALSE)</f>
        <v>Goslar</v>
      </c>
      <c r="E1150" t="str">
        <f>'2020_5-2-2_Download'!$BB$7</f>
        <v>Männer</v>
      </c>
      <c r="G1150" t="s">
        <v>84</v>
      </c>
      <c r="H1150" t="str">
        <f>VLOOKUP(B1150,[2]Kreise!$A$2:$C$53,3,FALSE)</f>
        <v>K03153</v>
      </c>
      <c r="I1150">
        <f>'2020_5-2-2_Download'!BB14</f>
        <v>1083</v>
      </c>
    </row>
    <row r="1151" spans="2:9">
      <c r="B1151">
        <f>'2020_5-2-2_Download'!B15</f>
        <v>154</v>
      </c>
      <c r="C1151">
        <f>'2020_5-2-2_Download'!$BA$5</f>
        <v>2013</v>
      </c>
      <c r="D1151" t="str">
        <f>VLOOKUP(B1151,[1]Tabelle1!$A$1:$B$68,2,FALSE)</f>
        <v>Helmstedt</v>
      </c>
      <c r="E1151" t="str">
        <f>'2020_5-2-2_Download'!$BB$7</f>
        <v>Männer</v>
      </c>
      <c r="G1151" t="s">
        <v>84</v>
      </c>
      <c r="H1151" t="str">
        <f>VLOOKUP(B1151,[2]Kreise!$A$2:$C$53,3,FALSE)</f>
        <v>K03154</v>
      </c>
      <c r="I1151">
        <f>'2020_5-2-2_Download'!BB15</f>
        <v>315</v>
      </c>
    </row>
    <row r="1152" spans="2:9">
      <c r="B1152">
        <f>'2020_5-2-2_Download'!B16</f>
        <v>155</v>
      </c>
      <c r="C1152">
        <f>'2020_5-2-2_Download'!$BA$5</f>
        <v>2013</v>
      </c>
      <c r="D1152" t="str">
        <f>VLOOKUP(B1152,[1]Tabelle1!$A$1:$B$68,2,FALSE)</f>
        <v>Northeim</v>
      </c>
      <c r="E1152" t="str">
        <f>'2020_5-2-2_Download'!$BB$7</f>
        <v>Männer</v>
      </c>
      <c r="G1152" t="s">
        <v>84</v>
      </c>
      <c r="H1152" t="str">
        <f>VLOOKUP(B1152,[2]Kreise!$A$2:$C$53,3,FALSE)</f>
        <v>K03155</v>
      </c>
      <c r="I1152">
        <f>'2020_5-2-2_Download'!BB16</f>
        <v>1208</v>
      </c>
    </row>
    <row r="1153" spans="2:9">
      <c r="B1153">
        <f>'2020_5-2-2_Download'!B17</f>
        <v>157</v>
      </c>
      <c r="C1153">
        <f>'2020_5-2-2_Download'!$BA$5</f>
        <v>2013</v>
      </c>
      <c r="D1153" t="str">
        <f>VLOOKUP(B1153,[1]Tabelle1!$A$1:$B$68,2,FALSE)</f>
        <v>Peine</v>
      </c>
      <c r="E1153" t="str">
        <f>'2020_5-2-2_Download'!$BB$7</f>
        <v>Männer</v>
      </c>
      <c r="G1153" t="s">
        <v>84</v>
      </c>
      <c r="H1153" t="str">
        <f>VLOOKUP(B1153,[2]Kreise!$A$2:$C$53,3,FALSE)</f>
        <v>K03157</v>
      </c>
      <c r="I1153">
        <f>'2020_5-2-2_Download'!BB17</f>
        <v>926</v>
      </c>
    </row>
    <row r="1154" spans="2:9">
      <c r="B1154">
        <f>'2020_5-2-2_Download'!B18</f>
        <v>158</v>
      </c>
      <c r="C1154">
        <f>'2020_5-2-2_Download'!$BA$5</f>
        <v>2013</v>
      </c>
      <c r="D1154" t="str">
        <f>VLOOKUP(B1154,[1]Tabelle1!$A$1:$B$68,2,FALSE)</f>
        <v>Wolfenbüttel</v>
      </c>
      <c r="E1154" t="str">
        <f>'2020_5-2-2_Download'!$BB$7</f>
        <v>Männer</v>
      </c>
      <c r="G1154" t="s">
        <v>84</v>
      </c>
      <c r="H1154" t="str">
        <f>VLOOKUP(B1154,[2]Kreise!$A$2:$C$53,3,FALSE)</f>
        <v>K03158</v>
      </c>
      <c r="I1154">
        <f>'2020_5-2-2_Download'!BB18</f>
        <v>437</v>
      </c>
    </row>
    <row r="1155" spans="2:9">
      <c r="B1155">
        <f>'2020_5-2-2_Download'!B19</f>
        <v>159</v>
      </c>
      <c r="C1155">
        <f>'2020_5-2-2_Download'!$BA$5</f>
        <v>2013</v>
      </c>
      <c r="D1155" t="str">
        <f>VLOOKUP(B1155,[1]Tabelle1!$A$1:$B$68,2,FALSE)</f>
        <v>Göttingen</v>
      </c>
      <c r="E1155" t="str">
        <f>'2020_5-2-2_Download'!$BB$7</f>
        <v>Männer</v>
      </c>
      <c r="G1155" t="s">
        <v>84</v>
      </c>
      <c r="H1155" t="str">
        <f>VLOOKUP(B1155,[2]Kreise!$A$2:$C$53,3,FALSE)</f>
        <v>K03159</v>
      </c>
      <c r="I1155">
        <f>'2020_5-2-2_Download'!BB19</f>
        <v>3075</v>
      </c>
    </row>
    <row r="1156" spans="2:9">
      <c r="B1156">
        <f>'2020_5-2-2_Download'!B20</f>
        <v>1</v>
      </c>
      <c r="C1156">
        <f>'2020_5-2-2_Download'!$BA$5</f>
        <v>2013</v>
      </c>
      <c r="D1156" t="str">
        <f>VLOOKUP(B1156,[1]Tabelle1!$A$1:$B$68,2,FALSE)</f>
        <v>Stat. Region Braunschweig</v>
      </c>
      <c r="E1156" t="str">
        <f>'2020_5-2-2_Download'!$BB$7</f>
        <v>Männer</v>
      </c>
      <c r="G1156" t="s">
        <v>84</v>
      </c>
      <c r="H1156" t="str">
        <f>VLOOKUP(B1156,[2]Kreise!$A$2:$C$53,3,FALSE)</f>
        <v>K031</v>
      </c>
      <c r="I1156">
        <f>'2020_5-2-2_Download'!BB20</f>
        <v>19733</v>
      </c>
    </row>
    <row r="1157" spans="2:9">
      <c r="B1157">
        <f>'2020_5-2-2_Download'!B21</f>
        <v>241</v>
      </c>
      <c r="C1157">
        <f>'2020_5-2-2_Download'!$BA$5</f>
        <v>2013</v>
      </c>
      <c r="D1157" t="str">
        <f>VLOOKUP(B1157,[1]Tabelle1!$A$1:$B$68,2,FALSE)</f>
        <v>Hannover  Region</v>
      </c>
      <c r="E1157" t="str">
        <f>'2020_5-2-2_Download'!$BB$7</f>
        <v>Männer</v>
      </c>
      <c r="G1157" t="s">
        <v>84</v>
      </c>
      <c r="H1157" t="str">
        <f>VLOOKUP(B1157,[2]Kreise!$A$2:$C$53,3,FALSE)</f>
        <v>K03241</v>
      </c>
      <c r="I1157">
        <f>'2020_5-2-2_Download'!BB21</f>
        <v>21449</v>
      </c>
    </row>
    <row r="1158" spans="2:9">
      <c r="B1158">
        <f>'2020_5-2-2_Download'!B22</f>
        <v>241001</v>
      </c>
      <c r="C1158">
        <f>'2020_5-2-2_Download'!$BA$5</f>
        <v>2013</v>
      </c>
      <c r="D1158" t="str">
        <f>VLOOKUP(B1158,[1]Tabelle1!$A$1:$B$68,2,FALSE)</f>
        <v>dav. Hannover  Lhst.</v>
      </c>
      <c r="E1158" t="str">
        <f>'2020_5-2-2_Download'!$BB$7</f>
        <v>Männer</v>
      </c>
      <c r="G1158" t="s">
        <v>84</v>
      </c>
      <c r="H1158" t="str">
        <f>VLOOKUP(B1158,[2]Kreise!$A$2:$C$53,3,FALSE)</f>
        <v>K03241001</v>
      </c>
      <c r="I1158">
        <f>'2020_5-2-2_Download'!BB22</f>
        <v>13643</v>
      </c>
    </row>
    <row r="1159" spans="2:9">
      <c r="B1159">
        <f>'2020_5-2-2_Download'!B23</f>
        <v>241999</v>
      </c>
      <c r="C1159">
        <f>'2020_5-2-2_Download'!$BA$5</f>
        <v>2013</v>
      </c>
      <c r="D1159" t="str">
        <f>VLOOKUP(B1159,[1]Tabelle1!$A$1:$B$68,2,FALSE)</f>
        <v>dav. Hannover  Umland</v>
      </c>
      <c r="E1159" t="str">
        <f>'2020_5-2-2_Download'!$BB$7</f>
        <v>Männer</v>
      </c>
      <c r="G1159" t="s">
        <v>84</v>
      </c>
      <c r="H1159" t="str">
        <f>VLOOKUP(B1159,[2]Kreise!$A$2:$C$53,3,FALSE)</f>
        <v>K03241999</v>
      </c>
      <c r="I1159">
        <f>'2020_5-2-2_Download'!BB23</f>
        <v>7806</v>
      </c>
    </row>
    <row r="1160" spans="2:9">
      <c r="B1160">
        <f>'2020_5-2-2_Download'!B24</f>
        <v>251</v>
      </c>
      <c r="C1160">
        <f>'2020_5-2-2_Download'!$BA$5</f>
        <v>2013</v>
      </c>
      <c r="D1160" t="str">
        <f>VLOOKUP(B1160,[1]Tabelle1!$A$1:$B$68,2,FALSE)</f>
        <v>Diepholz</v>
      </c>
      <c r="E1160" t="str">
        <f>'2020_5-2-2_Download'!$BB$7</f>
        <v>Männer</v>
      </c>
      <c r="G1160" t="s">
        <v>84</v>
      </c>
      <c r="H1160" t="str">
        <f>VLOOKUP(B1160,[2]Kreise!$A$2:$C$53,3,FALSE)</f>
        <v>K03251</v>
      </c>
      <c r="I1160">
        <f>'2020_5-2-2_Download'!BB24</f>
        <v>1679</v>
      </c>
    </row>
    <row r="1161" spans="2:9">
      <c r="B1161">
        <f>'2020_5-2-2_Download'!B25</f>
        <v>252</v>
      </c>
      <c r="C1161">
        <f>'2020_5-2-2_Download'!$BA$5</f>
        <v>2013</v>
      </c>
      <c r="D1161" t="str">
        <f>VLOOKUP(B1161,[1]Tabelle1!$A$1:$B$68,2,FALSE)</f>
        <v>Hameln-Pyrmont</v>
      </c>
      <c r="E1161" t="str">
        <f>'2020_5-2-2_Download'!$BB$7</f>
        <v>Männer</v>
      </c>
      <c r="G1161" t="s">
        <v>84</v>
      </c>
      <c r="H1161" t="str">
        <f>VLOOKUP(B1161,[2]Kreise!$A$2:$C$53,3,FALSE)</f>
        <v>K03252</v>
      </c>
      <c r="I1161">
        <f>'2020_5-2-2_Download'!BB25</f>
        <v>1381</v>
      </c>
    </row>
    <row r="1162" spans="2:9">
      <c r="B1162">
        <f>'2020_5-2-2_Download'!B26</f>
        <v>254</v>
      </c>
      <c r="C1162">
        <f>'2020_5-2-2_Download'!$BA$5</f>
        <v>2013</v>
      </c>
      <c r="D1162" t="str">
        <f>VLOOKUP(B1162,[1]Tabelle1!$A$1:$B$68,2,FALSE)</f>
        <v>Hildesheim</v>
      </c>
      <c r="E1162" t="str">
        <f>'2020_5-2-2_Download'!$BB$7</f>
        <v>Männer</v>
      </c>
      <c r="G1162" t="s">
        <v>84</v>
      </c>
      <c r="H1162" t="str">
        <f>VLOOKUP(B1162,[2]Kreise!$A$2:$C$53,3,FALSE)</f>
        <v>K03254</v>
      </c>
      <c r="I1162">
        <f>'2020_5-2-2_Download'!BB26</f>
        <v>2102</v>
      </c>
    </row>
    <row r="1163" spans="2:9">
      <c r="B1163">
        <f>'2020_5-2-2_Download'!B27</f>
        <v>255</v>
      </c>
      <c r="C1163">
        <f>'2020_5-2-2_Download'!$BA$5</f>
        <v>2013</v>
      </c>
      <c r="D1163" t="str">
        <f>VLOOKUP(B1163,[1]Tabelle1!$A$1:$B$68,2,FALSE)</f>
        <v>Holzminden</v>
      </c>
      <c r="E1163" t="str">
        <f>'2020_5-2-2_Download'!$BB$7</f>
        <v>Männer</v>
      </c>
      <c r="G1163" t="s">
        <v>84</v>
      </c>
      <c r="H1163" t="str">
        <f>VLOOKUP(B1163,[2]Kreise!$A$2:$C$53,3,FALSE)</f>
        <v>K03255</v>
      </c>
      <c r="I1163">
        <f>'2020_5-2-2_Download'!BB27</f>
        <v>499</v>
      </c>
    </row>
    <row r="1164" spans="2:9">
      <c r="B1164">
        <f>'2020_5-2-2_Download'!B28</f>
        <v>256</v>
      </c>
      <c r="C1164">
        <f>'2020_5-2-2_Download'!$BA$5</f>
        <v>2013</v>
      </c>
      <c r="D1164" t="str">
        <f>VLOOKUP(B1164,[1]Tabelle1!$A$1:$B$68,2,FALSE)</f>
        <v>Nienburg (Weser)</v>
      </c>
      <c r="E1164" t="str">
        <f>'2020_5-2-2_Download'!$BB$7</f>
        <v>Männer</v>
      </c>
      <c r="G1164" t="s">
        <v>84</v>
      </c>
      <c r="H1164" t="str">
        <f>VLOOKUP(B1164,[2]Kreise!$A$2:$C$53,3,FALSE)</f>
        <v>K03256</v>
      </c>
      <c r="I1164">
        <f>'2020_5-2-2_Download'!BB28</f>
        <v>1144</v>
      </c>
    </row>
    <row r="1165" spans="2:9">
      <c r="B1165">
        <f>'2020_5-2-2_Download'!B29</f>
        <v>257</v>
      </c>
      <c r="C1165">
        <f>'2020_5-2-2_Download'!$BA$5</f>
        <v>2013</v>
      </c>
      <c r="D1165" t="str">
        <f>VLOOKUP(B1165,[1]Tabelle1!$A$1:$B$68,2,FALSE)</f>
        <v>Schaumburg</v>
      </c>
      <c r="E1165" t="str">
        <f>'2020_5-2-2_Download'!$BB$7</f>
        <v>Männer</v>
      </c>
      <c r="G1165" t="s">
        <v>84</v>
      </c>
      <c r="H1165" t="str">
        <f>VLOOKUP(B1165,[2]Kreise!$A$2:$C$53,3,FALSE)</f>
        <v>K03257</v>
      </c>
      <c r="I1165">
        <f>'2020_5-2-2_Download'!BB29</f>
        <v>1129</v>
      </c>
    </row>
    <row r="1166" spans="2:9">
      <c r="B1166">
        <f>'2020_5-2-2_Download'!B30</f>
        <v>2</v>
      </c>
      <c r="C1166">
        <f>'2020_5-2-2_Download'!$BA$5</f>
        <v>2013</v>
      </c>
      <c r="D1166" t="str">
        <f>VLOOKUP(B1166,[1]Tabelle1!$A$1:$B$68,2,FALSE)</f>
        <v>Stat. Region Hannover</v>
      </c>
      <c r="E1166" t="str">
        <f>'2020_5-2-2_Download'!$BB$7</f>
        <v>Männer</v>
      </c>
      <c r="G1166" t="s">
        <v>84</v>
      </c>
      <c r="H1166" t="str">
        <f>VLOOKUP(B1166,[2]Kreise!$A$2:$C$53,3,FALSE)</f>
        <v>K032</v>
      </c>
      <c r="I1166">
        <f>'2020_5-2-2_Download'!BB30</f>
        <v>29383</v>
      </c>
    </row>
    <row r="1167" spans="2:9">
      <c r="B1167">
        <f>'2020_5-2-2_Download'!B31</f>
        <v>351</v>
      </c>
      <c r="C1167">
        <f>'2020_5-2-2_Download'!$BA$5</f>
        <v>2013</v>
      </c>
      <c r="D1167" t="str">
        <f>VLOOKUP(B1167,[1]Tabelle1!$A$1:$B$68,2,FALSE)</f>
        <v>Celle</v>
      </c>
      <c r="E1167" t="str">
        <f>'2020_5-2-2_Download'!$BB$7</f>
        <v>Männer</v>
      </c>
      <c r="G1167" t="s">
        <v>84</v>
      </c>
      <c r="H1167" t="str">
        <f>VLOOKUP(B1167,[2]Kreise!$A$2:$C$53,3,FALSE)</f>
        <v>K03351</v>
      </c>
      <c r="I1167">
        <f>'2020_5-2-2_Download'!BB31</f>
        <v>1418</v>
      </c>
    </row>
    <row r="1168" spans="2:9">
      <c r="B1168">
        <f>'2020_5-2-2_Download'!B32</f>
        <v>352</v>
      </c>
      <c r="C1168">
        <f>'2020_5-2-2_Download'!$BA$5</f>
        <v>2013</v>
      </c>
      <c r="D1168" t="str">
        <f>VLOOKUP(B1168,[1]Tabelle1!$A$1:$B$68,2,FALSE)</f>
        <v>Cuxhaven</v>
      </c>
      <c r="E1168" t="str">
        <f>'2020_5-2-2_Download'!$BB$7</f>
        <v>Männer</v>
      </c>
      <c r="G1168" t="s">
        <v>84</v>
      </c>
      <c r="H1168" t="str">
        <f>VLOOKUP(B1168,[2]Kreise!$A$2:$C$53,3,FALSE)</f>
        <v>K03352</v>
      </c>
      <c r="I1168">
        <f>'2020_5-2-2_Download'!BB32</f>
        <v>1529</v>
      </c>
    </row>
    <row r="1169" spans="2:9">
      <c r="B1169">
        <f>'2020_5-2-2_Download'!B33</f>
        <v>353</v>
      </c>
      <c r="C1169">
        <f>'2020_5-2-2_Download'!$BA$5</f>
        <v>2013</v>
      </c>
      <c r="D1169" t="str">
        <f>VLOOKUP(B1169,[1]Tabelle1!$A$1:$B$68,2,FALSE)</f>
        <v>Harburg</v>
      </c>
      <c r="E1169" t="str">
        <f>'2020_5-2-2_Download'!$BB$7</f>
        <v>Männer</v>
      </c>
      <c r="G1169" t="s">
        <v>84</v>
      </c>
      <c r="H1169" t="str">
        <f>VLOOKUP(B1169,[2]Kreise!$A$2:$C$53,3,FALSE)</f>
        <v>K03353</v>
      </c>
      <c r="I1169">
        <f>'2020_5-2-2_Download'!BB33</f>
        <v>2195</v>
      </c>
    </row>
    <row r="1170" spans="2:9">
      <c r="B1170">
        <f>'2020_5-2-2_Download'!B34</f>
        <v>354</v>
      </c>
      <c r="C1170">
        <f>'2020_5-2-2_Download'!$BA$5</f>
        <v>2013</v>
      </c>
      <c r="D1170" t="str">
        <f>VLOOKUP(B1170,[1]Tabelle1!$A$1:$B$68,2,FALSE)</f>
        <v>Lüchow-Dannenberg</v>
      </c>
      <c r="E1170" t="str">
        <f>'2020_5-2-2_Download'!$BB$7</f>
        <v>Männer</v>
      </c>
      <c r="G1170" t="s">
        <v>84</v>
      </c>
      <c r="H1170" t="str">
        <f>VLOOKUP(B1170,[2]Kreise!$A$2:$C$53,3,FALSE)</f>
        <v>K03354</v>
      </c>
      <c r="I1170">
        <f>'2020_5-2-2_Download'!BB34</f>
        <v>183</v>
      </c>
    </row>
    <row r="1171" spans="2:9">
      <c r="B1171">
        <f>'2020_5-2-2_Download'!B35</f>
        <v>355</v>
      </c>
      <c r="C1171">
        <f>'2020_5-2-2_Download'!$BA$5</f>
        <v>2013</v>
      </c>
      <c r="D1171" t="str">
        <f>VLOOKUP(B1171,[1]Tabelle1!$A$1:$B$68,2,FALSE)</f>
        <v>Lüneburg</v>
      </c>
      <c r="E1171" t="str">
        <f>'2020_5-2-2_Download'!$BB$7</f>
        <v>Männer</v>
      </c>
      <c r="G1171" t="s">
        <v>84</v>
      </c>
      <c r="H1171" t="str">
        <f>VLOOKUP(B1171,[2]Kreise!$A$2:$C$53,3,FALSE)</f>
        <v>K03355</v>
      </c>
      <c r="I1171">
        <f>'2020_5-2-2_Download'!BB35</f>
        <v>1099</v>
      </c>
    </row>
    <row r="1172" spans="2:9">
      <c r="B1172">
        <f>'2020_5-2-2_Download'!B36</f>
        <v>356</v>
      </c>
      <c r="C1172">
        <f>'2020_5-2-2_Download'!$BA$5</f>
        <v>2013</v>
      </c>
      <c r="D1172" t="str">
        <f>VLOOKUP(B1172,[1]Tabelle1!$A$1:$B$68,2,FALSE)</f>
        <v>Osterholz</v>
      </c>
      <c r="E1172" t="str">
        <f>'2020_5-2-2_Download'!$BB$7</f>
        <v>Männer</v>
      </c>
      <c r="G1172" t="s">
        <v>84</v>
      </c>
      <c r="H1172" t="str">
        <f>VLOOKUP(B1172,[2]Kreise!$A$2:$C$53,3,FALSE)</f>
        <v>K03356</v>
      </c>
      <c r="I1172">
        <f>'2020_5-2-2_Download'!BB36</f>
        <v>612</v>
      </c>
    </row>
    <row r="1173" spans="2:9">
      <c r="B1173">
        <f>'2020_5-2-2_Download'!B37</f>
        <v>357</v>
      </c>
      <c r="C1173">
        <f>'2020_5-2-2_Download'!$BA$5</f>
        <v>2013</v>
      </c>
      <c r="D1173" t="str">
        <f>VLOOKUP(B1173,[1]Tabelle1!$A$1:$B$68,2,FALSE)</f>
        <v>Rotenburg (Wümme)</v>
      </c>
      <c r="E1173" t="str">
        <f>'2020_5-2-2_Download'!$BB$7</f>
        <v>Männer</v>
      </c>
      <c r="G1173" t="s">
        <v>84</v>
      </c>
      <c r="H1173" t="str">
        <f>VLOOKUP(B1173,[2]Kreise!$A$2:$C$53,3,FALSE)</f>
        <v>K03357</v>
      </c>
      <c r="I1173">
        <f>'2020_5-2-2_Download'!BB37</f>
        <v>1116</v>
      </c>
    </row>
    <row r="1174" spans="2:9">
      <c r="B1174">
        <f>'2020_5-2-2_Download'!B38</f>
        <v>358</v>
      </c>
      <c r="C1174">
        <f>'2020_5-2-2_Download'!$BA$5</f>
        <v>2013</v>
      </c>
      <c r="D1174" t="str">
        <f>VLOOKUP(B1174,[1]Tabelle1!$A$1:$B$68,2,FALSE)</f>
        <v>Heidekreis</v>
      </c>
      <c r="E1174" t="str">
        <f>'2020_5-2-2_Download'!$BB$7</f>
        <v>Männer</v>
      </c>
      <c r="G1174" t="s">
        <v>84</v>
      </c>
      <c r="H1174" t="str">
        <f>VLOOKUP(B1174,[2]Kreise!$A$2:$C$53,3,FALSE)</f>
        <v>K03358</v>
      </c>
      <c r="I1174">
        <f>'2020_5-2-2_Download'!BB38</f>
        <v>1391</v>
      </c>
    </row>
    <row r="1175" spans="2:9">
      <c r="B1175">
        <f>'2020_5-2-2_Download'!B39</f>
        <v>359</v>
      </c>
      <c r="C1175">
        <f>'2020_5-2-2_Download'!$BA$5</f>
        <v>2013</v>
      </c>
      <c r="D1175" t="str">
        <f>VLOOKUP(B1175,[1]Tabelle1!$A$1:$B$68,2,FALSE)</f>
        <v>Stade</v>
      </c>
      <c r="E1175" t="str">
        <f>'2020_5-2-2_Download'!$BB$7</f>
        <v>Männer</v>
      </c>
      <c r="G1175" t="s">
        <v>84</v>
      </c>
      <c r="H1175" t="str">
        <f>VLOOKUP(B1175,[2]Kreise!$A$2:$C$53,3,FALSE)</f>
        <v>K03359</v>
      </c>
      <c r="I1175">
        <f>'2020_5-2-2_Download'!BB39</f>
        <v>3142</v>
      </c>
    </row>
    <row r="1176" spans="2:9">
      <c r="B1176">
        <f>'2020_5-2-2_Download'!B40</f>
        <v>360</v>
      </c>
      <c r="C1176">
        <f>'2020_5-2-2_Download'!$BA$5</f>
        <v>2013</v>
      </c>
      <c r="D1176" t="str">
        <f>VLOOKUP(B1176,[1]Tabelle1!$A$1:$B$68,2,FALSE)</f>
        <v>Uelzen</v>
      </c>
      <c r="E1176" t="str">
        <f>'2020_5-2-2_Download'!$BB$7</f>
        <v>Männer</v>
      </c>
      <c r="G1176" t="s">
        <v>84</v>
      </c>
      <c r="H1176" t="str">
        <f>VLOOKUP(B1176,[2]Kreise!$A$2:$C$53,3,FALSE)</f>
        <v>K03360</v>
      </c>
      <c r="I1176">
        <f>'2020_5-2-2_Download'!BB40</f>
        <v>437</v>
      </c>
    </row>
    <row r="1177" spans="2:9">
      <c r="B1177">
        <f>'2020_5-2-2_Download'!B41</f>
        <v>361</v>
      </c>
      <c r="C1177">
        <f>'2020_5-2-2_Download'!$BA$5</f>
        <v>2013</v>
      </c>
      <c r="D1177" t="str">
        <f>VLOOKUP(B1177,[1]Tabelle1!$A$1:$B$68,2,FALSE)</f>
        <v>Verden</v>
      </c>
      <c r="E1177" t="str">
        <f>'2020_5-2-2_Download'!$BB$7</f>
        <v>Männer</v>
      </c>
      <c r="G1177" t="s">
        <v>84</v>
      </c>
      <c r="H1177" t="str">
        <f>VLOOKUP(B1177,[2]Kreise!$A$2:$C$53,3,FALSE)</f>
        <v>K03361</v>
      </c>
      <c r="I1177">
        <f>'2020_5-2-2_Download'!BB41</f>
        <v>1434</v>
      </c>
    </row>
    <row r="1178" spans="2:9">
      <c r="B1178">
        <f>'2020_5-2-2_Download'!B42</f>
        <v>3</v>
      </c>
      <c r="C1178">
        <f>'2020_5-2-2_Download'!$BA$5</f>
        <v>2013</v>
      </c>
      <c r="D1178" t="str">
        <f>VLOOKUP(B1178,[1]Tabelle1!$A$1:$B$68,2,FALSE)</f>
        <v>Stat. Region Lüneburg</v>
      </c>
      <c r="E1178" t="str">
        <f>'2020_5-2-2_Download'!$BB$7</f>
        <v>Männer</v>
      </c>
      <c r="G1178" t="s">
        <v>84</v>
      </c>
      <c r="H1178" t="str">
        <f>VLOOKUP(B1178,[2]Kreise!$A$2:$C$53,3,FALSE)</f>
        <v>K033</v>
      </c>
      <c r="I1178">
        <f>'2020_5-2-2_Download'!BB42</f>
        <v>14556</v>
      </c>
    </row>
    <row r="1179" spans="2:9">
      <c r="B1179">
        <f>'2020_5-2-2_Download'!B43</f>
        <v>401</v>
      </c>
      <c r="C1179">
        <f>'2020_5-2-2_Download'!$BA$5</f>
        <v>2013</v>
      </c>
      <c r="D1179" t="str">
        <f>VLOOKUP(B1179,[1]Tabelle1!$A$1:$B$68,2,FALSE)</f>
        <v>Delmenhorst  Stadt</v>
      </c>
      <c r="E1179" t="str">
        <f>'2020_5-2-2_Download'!$BB$7</f>
        <v>Männer</v>
      </c>
      <c r="G1179" t="s">
        <v>84</v>
      </c>
      <c r="H1179" t="str">
        <f>VLOOKUP(B1179,[2]Kreise!$A$2:$C$53,3,FALSE)</f>
        <v>K03401</v>
      </c>
      <c r="I1179">
        <f>'2020_5-2-2_Download'!BB43</f>
        <v>515</v>
      </c>
    </row>
    <row r="1180" spans="2:9">
      <c r="B1180">
        <f>'2020_5-2-2_Download'!B44</f>
        <v>402</v>
      </c>
      <c r="C1180">
        <f>'2020_5-2-2_Download'!$BA$5</f>
        <v>2013</v>
      </c>
      <c r="D1180" t="str">
        <f>VLOOKUP(B1180,[1]Tabelle1!$A$1:$B$68,2,FALSE)</f>
        <v>Emden  Stadt</v>
      </c>
      <c r="E1180" t="str">
        <f>'2020_5-2-2_Download'!$BB$7</f>
        <v>Männer</v>
      </c>
      <c r="G1180" t="s">
        <v>84</v>
      </c>
      <c r="H1180" t="str">
        <f>VLOOKUP(B1180,[2]Kreise!$A$2:$C$53,3,FALSE)</f>
        <v>K03402</v>
      </c>
      <c r="I1180">
        <f>'2020_5-2-2_Download'!BB44</f>
        <v>877</v>
      </c>
    </row>
    <row r="1181" spans="2:9">
      <c r="B1181">
        <f>'2020_5-2-2_Download'!B45</f>
        <v>403</v>
      </c>
      <c r="C1181">
        <f>'2020_5-2-2_Download'!$BA$5</f>
        <v>2013</v>
      </c>
      <c r="D1181" t="str">
        <f>VLOOKUP(B1181,[1]Tabelle1!$A$1:$B$68,2,FALSE)</f>
        <v>Oldenburg(Oldb)  Stadt</v>
      </c>
      <c r="E1181" t="str">
        <f>'2020_5-2-2_Download'!$BB$7</f>
        <v>Männer</v>
      </c>
      <c r="G1181" t="s">
        <v>84</v>
      </c>
      <c r="H1181" t="str">
        <f>VLOOKUP(B1181,[2]Kreise!$A$2:$C$53,3,FALSE)</f>
        <v>K03403</v>
      </c>
      <c r="I1181">
        <f>'2020_5-2-2_Download'!BB45</f>
        <v>1654</v>
      </c>
    </row>
    <row r="1182" spans="2:9">
      <c r="B1182">
        <f>'2020_5-2-2_Download'!B46</f>
        <v>404</v>
      </c>
      <c r="C1182">
        <f>'2020_5-2-2_Download'!$BA$5</f>
        <v>2013</v>
      </c>
      <c r="D1182" t="str">
        <f>VLOOKUP(B1182,[1]Tabelle1!$A$1:$B$68,2,FALSE)</f>
        <v>Osnabrück  Stadt</v>
      </c>
      <c r="E1182" t="str">
        <f>'2020_5-2-2_Download'!$BB$7</f>
        <v>Männer</v>
      </c>
      <c r="G1182" t="s">
        <v>84</v>
      </c>
      <c r="H1182" t="str">
        <f>VLOOKUP(B1182,[2]Kreise!$A$2:$C$53,3,FALSE)</f>
        <v>K03404</v>
      </c>
      <c r="I1182">
        <f>'2020_5-2-2_Download'!BB46</f>
        <v>2728</v>
      </c>
    </row>
    <row r="1183" spans="2:9">
      <c r="B1183">
        <f>'2020_5-2-2_Download'!B47</f>
        <v>405</v>
      </c>
      <c r="C1183">
        <f>'2020_5-2-2_Download'!$BA$5</f>
        <v>2013</v>
      </c>
      <c r="D1183" t="str">
        <f>VLOOKUP(B1183,[1]Tabelle1!$A$1:$B$68,2,FALSE)</f>
        <v>Wilhelmshaven  Stadt</v>
      </c>
      <c r="E1183" t="str">
        <f>'2020_5-2-2_Download'!$BB$7</f>
        <v>Männer</v>
      </c>
      <c r="G1183" t="s">
        <v>84</v>
      </c>
      <c r="H1183" t="str">
        <f>VLOOKUP(B1183,[2]Kreise!$A$2:$C$53,3,FALSE)</f>
        <v>K03405</v>
      </c>
      <c r="I1183">
        <f>'2020_5-2-2_Download'!BB47</f>
        <v>474</v>
      </c>
    </row>
    <row r="1184" spans="2:9">
      <c r="B1184">
        <f>'2020_5-2-2_Download'!B48</f>
        <v>451</v>
      </c>
      <c r="C1184">
        <f>'2020_5-2-2_Download'!$BA$5</f>
        <v>2013</v>
      </c>
      <c r="D1184" t="str">
        <f>VLOOKUP(B1184,[1]Tabelle1!$A$1:$B$68,2,FALSE)</f>
        <v>Ammerland</v>
      </c>
      <c r="E1184" t="str">
        <f>'2020_5-2-2_Download'!$BB$7</f>
        <v>Männer</v>
      </c>
      <c r="G1184" t="s">
        <v>84</v>
      </c>
      <c r="H1184" t="str">
        <f>VLOOKUP(B1184,[2]Kreise!$A$2:$C$53,3,FALSE)</f>
        <v>K03451</v>
      </c>
      <c r="I1184">
        <f>'2020_5-2-2_Download'!BB48</f>
        <v>1315</v>
      </c>
    </row>
    <row r="1185" spans="2:9">
      <c r="B1185">
        <f>'2020_5-2-2_Download'!B49</f>
        <v>452</v>
      </c>
      <c r="C1185">
        <f>'2020_5-2-2_Download'!$BA$5</f>
        <v>2013</v>
      </c>
      <c r="D1185" t="str">
        <f>VLOOKUP(B1185,[1]Tabelle1!$A$1:$B$68,2,FALSE)</f>
        <v>Aurich</v>
      </c>
      <c r="E1185" t="str">
        <f>'2020_5-2-2_Download'!$BB$7</f>
        <v>Männer</v>
      </c>
      <c r="G1185" t="s">
        <v>84</v>
      </c>
      <c r="H1185" t="str">
        <f>VLOOKUP(B1185,[2]Kreise!$A$2:$C$53,3,FALSE)</f>
        <v>K03452</v>
      </c>
      <c r="I1185">
        <f>'2020_5-2-2_Download'!BB49</f>
        <v>1250</v>
      </c>
    </row>
    <row r="1186" spans="2:9">
      <c r="B1186">
        <f>'2020_5-2-2_Download'!B50</f>
        <v>453</v>
      </c>
      <c r="C1186">
        <f>'2020_5-2-2_Download'!$BA$5</f>
        <v>2013</v>
      </c>
      <c r="D1186" t="str">
        <f>VLOOKUP(B1186,[1]Tabelle1!$A$1:$B$68,2,FALSE)</f>
        <v>Cloppenburg</v>
      </c>
      <c r="E1186" t="str">
        <f>'2020_5-2-2_Download'!$BB$7</f>
        <v>Männer</v>
      </c>
      <c r="G1186" t="s">
        <v>84</v>
      </c>
      <c r="H1186" t="str">
        <f>VLOOKUP(B1186,[2]Kreise!$A$2:$C$53,3,FALSE)</f>
        <v>K03453</v>
      </c>
      <c r="I1186">
        <f>'2020_5-2-2_Download'!BB50</f>
        <v>2817</v>
      </c>
    </row>
    <row r="1187" spans="2:9">
      <c r="B1187">
        <f>'2020_5-2-2_Download'!B51</f>
        <v>454</v>
      </c>
      <c r="C1187">
        <f>'2020_5-2-2_Download'!$BA$5</f>
        <v>2013</v>
      </c>
      <c r="D1187" t="str">
        <f>VLOOKUP(B1187,[1]Tabelle1!$A$1:$B$68,2,FALSE)</f>
        <v>Emsland</v>
      </c>
      <c r="E1187" t="str">
        <f>'2020_5-2-2_Download'!$BB$7</f>
        <v>Männer</v>
      </c>
      <c r="G1187" t="s">
        <v>84</v>
      </c>
      <c r="H1187" t="str">
        <f>VLOOKUP(B1187,[2]Kreise!$A$2:$C$53,3,FALSE)</f>
        <v>K03454</v>
      </c>
      <c r="I1187">
        <f>'2020_5-2-2_Download'!BB51</f>
        <v>3511</v>
      </c>
    </row>
    <row r="1188" spans="2:9">
      <c r="B1188">
        <f>'2020_5-2-2_Download'!B52</f>
        <v>455</v>
      </c>
      <c r="C1188">
        <f>'2020_5-2-2_Download'!$BA$5</f>
        <v>2013</v>
      </c>
      <c r="D1188" t="str">
        <f>VLOOKUP(B1188,[1]Tabelle1!$A$1:$B$68,2,FALSE)</f>
        <v>Friesland</v>
      </c>
      <c r="E1188" t="str">
        <f>'2020_5-2-2_Download'!$BB$7</f>
        <v>Männer</v>
      </c>
      <c r="G1188" t="s">
        <v>84</v>
      </c>
      <c r="H1188" t="str">
        <f>VLOOKUP(B1188,[2]Kreise!$A$2:$C$53,3,FALSE)</f>
        <v>K03455</v>
      </c>
      <c r="I1188">
        <f>'2020_5-2-2_Download'!BB52</f>
        <v>435</v>
      </c>
    </row>
    <row r="1189" spans="2:9">
      <c r="B1189">
        <f>'2020_5-2-2_Download'!B53</f>
        <v>456</v>
      </c>
      <c r="C1189">
        <f>'2020_5-2-2_Download'!$BA$5</f>
        <v>2013</v>
      </c>
      <c r="D1189" t="str">
        <f>VLOOKUP(B1189,[1]Tabelle1!$A$1:$B$68,2,FALSE)</f>
        <v>Grafschaft Bentheim</v>
      </c>
      <c r="E1189" t="str">
        <f>'2020_5-2-2_Download'!$BB$7</f>
        <v>Männer</v>
      </c>
      <c r="G1189" t="s">
        <v>84</v>
      </c>
      <c r="H1189" t="str">
        <f>VLOOKUP(B1189,[2]Kreise!$A$2:$C$53,3,FALSE)</f>
        <v>K03456</v>
      </c>
      <c r="I1189">
        <f>'2020_5-2-2_Download'!BB53</f>
        <v>2122</v>
      </c>
    </row>
    <row r="1190" spans="2:9">
      <c r="B1190">
        <f>'2020_5-2-2_Download'!B54</f>
        <v>457</v>
      </c>
      <c r="C1190">
        <f>'2020_5-2-2_Download'!$BA$5</f>
        <v>2013</v>
      </c>
      <c r="D1190" t="str">
        <f>VLOOKUP(B1190,[1]Tabelle1!$A$1:$B$68,2,FALSE)</f>
        <v>Leer</v>
      </c>
      <c r="E1190" t="str">
        <f>'2020_5-2-2_Download'!$BB$7</f>
        <v>Männer</v>
      </c>
      <c r="G1190" t="s">
        <v>84</v>
      </c>
      <c r="H1190" t="str">
        <f>VLOOKUP(B1190,[2]Kreise!$A$2:$C$53,3,FALSE)</f>
        <v>K03457</v>
      </c>
      <c r="I1190">
        <f>'2020_5-2-2_Download'!BB54</f>
        <v>1189</v>
      </c>
    </row>
    <row r="1191" spans="2:9">
      <c r="B1191">
        <f>'2020_5-2-2_Download'!B55</f>
        <v>458</v>
      </c>
      <c r="C1191">
        <f>'2020_5-2-2_Download'!$BA$5</f>
        <v>2013</v>
      </c>
      <c r="D1191" t="str">
        <f>VLOOKUP(B1191,[1]Tabelle1!$A$1:$B$68,2,FALSE)</f>
        <v>Oldenburg</v>
      </c>
      <c r="E1191" t="str">
        <f>'2020_5-2-2_Download'!$BB$7</f>
        <v>Männer</v>
      </c>
      <c r="G1191" t="s">
        <v>84</v>
      </c>
      <c r="H1191" t="str">
        <f>VLOOKUP(B1191,[2]Kreise!$A$2:$C$53,3,FALSE)</f>
        <v>K03458</v>
      </c>
      <c r="I1191">
        <f>'2020_5-2-2_Download'!BB55</f>
        <v>1111</v>
      </c>
    </row>
    <row r="1192" spans="2:9">
      <c r="B1192">
        <f>'2020_5-2-2_Download'!B56</f>
        <v>459</v>
      </c>
      <c r="C1192">
        <f>'2020_5-2-2_Download'!$BA$5</f>
        <v>2013</v>
      </c>
      <c r="D1192" t="str">
        <f>VLOOKUP(B1192,[1]Tabelle1!$A$1:$B$68,2,FALSE)</f>
        <v>Osnabrück</v>
      </c>
      <c r="E1192" t="str">
        <f>'2020_5-2-2_Download'!$BB$7</f>
        <v>Männer</v>
      </c>
      <c r="G1192" t="s">
        <v>84</v>
      </c>
      <c r="H1192" t="str">
        <f>VLOOKUP(B1192,[2]Kreise!$A$2:$C$53,3,FALSE)</f>
        <v>K03459</v>
      </c>
      <c r="I1192">
        <f>'2020_5-2-2_Download'!BB56</f>
        <v>5133</v>
      </c>
    </row>
    <row r="1193" spans="2:9">
      <c r="B1193">
        <f>'2020_5-2-2_Download'!B57</f>
        <v>460</v>
      </c>
      <c r="C1193">
        <f>'2020_5-2-2_Download'!$BA$5</f>
        <v>2013</v>
      </c>
      <c r="D1193" t="str">
        <f>VLOOKUP(B1193,[1]Tabelle1!$A$1:$B$68,2,FALSE)</f>
        <v>Vechta</v>
      </c>
      <c r="E1193" t="str">
        <f>'2020_5-2-2_Download'!$BB$7</f>
        <v>Männer</v>
      </c>
      <c r="G1193" t="s">
        <v>84</v>
      </c>
      <c r="H1193" t="str">
        <f>VLOOKUP(B1193,[2]Kreise!$A$2:$C$53,3,FALSE)</f>
        <v>K03460</v>
      </c>
      <c r="I1193">
        <f>'2020_5-2-2_Download'!BB57</f>
        <v>3964</v>
      </c>
    </row>
    <row r="1194" spans="2:9">
      <c r="B1194">
        <f>'2020_5-2-2_Download'!B58</f>
        <v>461</v>
      </c>
      <c r="C1194">
        <f>'2020_5-2-2_Download'!$BA$5</f>
        <v>2013</v>
      </c>
      <c r="D1194" t="str">
        <f>VLOOKUP(B1194,[1]Tabelle1!$A$1:$B$68,2,FALSE)</f>
        <v>Wesermarsch</v>
      </c>
      <c r="E1194" t="str">
        <f>'2020_5-2-2_Download'!$BB$7</f>
        <v>Männer</v>
      </c>
      <c r="G1194" t="s">
        <v>84</v>
      </c>
      <c r="H1194" t="str">
        <f>VLOOKUP(B1194,[2]Kreise!$A$2:$C$53,3,FALSE)</f>
        <v>K03461</v>
      </c>
      <c r="I1194">
        <f>'2020_5-2-2_Download'!BB58</f>
        <v>1014</v>
      </c>
    </row>
    <row r="1195" spans="2:9">
      <c r="B1195">
        <f>'2020_5-2-2_Download'!B59</f>
        <v>462</v>
      </c>
      <c r="C1195">
        <f>'2020_5-2-2_Download'!$BA$5</f>
        <v>2013</v>
      </c>
      <c r="D1195" t="str">
        <f>VLOOKUP(B1195,[1]Tabelle1!$A$1:$B$68,2,FALSE)</f>
        <v>Wittmund</v>
      </c>
      <c r="E1195" t="str">
        <f>'2020_5-2-2_Download'!$BB$7</f>
        <v>Männer</v>
      </c>
      <c r="G1195" t="s">
        <v>84</v>
      </c>
      <c r="H1195" t="str">
        <f>VLOOKUP(B1195,[2]Kreise!$A$2:$C$53,3,FALSE)</f>
        <v>K03462</v>
      </c>
      <c r="I1195">
        <f>'2020_5-2-2_Download'!BB59</f>
        <v>258</v>
      </c>
    </row>
    <row r="1196" spans="2:9">
      <c r="B1196">
        <f>'2020_5-2-2_Download'!B60</f>
        <v>4</v>
      </c>
      <c r="C1196">
        <f>'2020_5-2-2_Download'!$BA$5</f>
        <v>2013</v>
      </c>
      <c r="D1196" t="str">
        <f>VLOOKUP(B1196,[1]Tabelle1!$A$1:$B$68,2,FALSE)</f>
        <v>Stat. Region Weser-Ems</v>
      </c>
      <c r="E1196" t="str">
        <f>'2020_5-2-2_Download'!$BB$7</f>
        <v>Männer</v>
      </c>
      <c r="G1196" t="s">
        <v>84</v>
      </c>
      <c r="H1196" t="str">
        <f>VLOOKUP(B1196,[2]Kreise!$A$2:$C$53,3,FALSE)</f>
        <v>K034</v>
      </c>
      <c r="I1196">
        <f>'2020_5-2-2_Download'!BB60</f>
        <v>30367</v>
      </c>
    </row>
    <row r="1197" spans="2:9">
      <c r="B1197">
        <f>'2020_5-2-2_Download'!B61</f>
        <v>0</v>
      </c>
      <c r="C1197">
        <f>'2020_5-2-2_Download'!$BA$5</f>
        <v>2013</v>
      </c>
      <c r="D1197" t="str">
        <f>VLOOKUP(B1197,[1]Tabelle1!$A$1:$B$68,2,FALSE)</f>
        <v>Niedersachsen</v>
      </c>
      <c r="E1197" t="str">
        <f>'2020_5-2-2_Download'!$BB$7</f>
        <v>Männer</v>
      </c>
      <c r="G1197" t="s">
        <v>84</v>
      </c>
      <c r="H1197" t="str">
        <f>VLOOKUP(B1197,[2]Kreise!$A$2:$C$53,3,FALSE)</f>
        <v>K030</v>
      </c>
      <c r="I1197">
        <f>'2020_5-2-2_Download'!BB61</f>
        <v>94039</v>
      </c>
    </row>
    <row r="1198" spans="2:9">
      <c r="B1198">
        <f>'2020_5-2-2_Download'!B10</f>
        <v>101</v>
      </c>
      <c r="C1198">
        <f>'2020_5-2-2_Download'!$BA$5</f>
        <v>2013</v>
      </c>
      <c r="D1198" t="str">
        <f>VLOOKUP(B1198,[1]Tabelle1!$A$1:$B$68,2,FALSE)</f>
        <v>Braunschweig  Stadt</v>
      </c>
      <c r="E1198" t="str">
        <f>'2020_5-2-2_Download'!$BC$7</f>
        <v>Frauen</v>
      </c>
      <c r="G1198" t="s">
        <v>84</v>
      </c>
      <c r="H1198" t="str">
        <f>VLOOKUP(B1198,[2]Kreise!$A$2:$C$53,3,FALSE)</f>
        <v>K03101</v>
      </c>
      <c r="I1198">
        <f>'2020_5-2-2_Download'!BC10</f>
        <v>2593</v>
      </c>
    </row>
    <row r="1199" spans="2:9">
      <c r="B1199">
        <f>'2020_5-2-2_Download'!B11</f>
        <v>102</v>
      </c>
      <c r="C1199">
        <f>'2020_5-2-2_Download'!$BA$5</f>
        <v>2013</v>
      </c>
      <c r="D1199" t="str">
        <f>VLOOKUP(B1199,[1]Tabelle1!$A$1:$B$68,2,FALSE)</f>
        <v>Salzgitter  Stadt</v>
      </c>
      <c r="E1199" t="str">
        <f>'2020_5-2-2_Download'!$BC$7</f>
        <v>Frauen</v>
      </c>
      <c r="G1199" t="s">
        <v>84</v>
      </c>
      <c r="H1199" t="str">
        <f>VLOOKUP(B1199,[2]Kreise!$A$2:$C$53,3,FALSE)</f>
        <v>K03102</v>
      </c>
      <c r="I1199">
        <f>'2020_5-2-2_Download'!BC11</f>
        <v>621</v>
      </c>
    </row>
    <row r="1200" spans="2:9">
      <c r="B1200">
        <f>'2020_5-2-2_Download'!B12</f>
        <v>103</v>
      </c>
      <c r="C1200">
        <f>'2020_5-2-2_Download'!$BA$5</f>
        <v>2013</v>
      </c>
      <c r="D1200" t="str">
        <f>VLOOKUP(B1200,[1]Tabelle1!$A$1:$B$68,2,FALSE)</f>
        <v>Wolfsburg  Stadt</v>
      </c>
      <c r="E1200" t="str">
        <f>'2020_5-2-2_Download'!$BC$7</f>
        <v>Frauen</v>
      </c>
      <c r="G1200" t="s">
        <v>84</v>
      </c>
      <c r="H1200" t="str">
        <f>VLOOKUP(B1200,[2]Kreise!$A$2:$C$53,3,FALSE)</f>
        <v>K03103</v>
      </c>
      <c r="I1200">
        <f>'2020_5-2-2_Download'!BC12</f>
        <v>2151</v>
      </c>
    </row>
    <row r="1201" spans="2:9">
      <c r="B1201">
        <f>'2020_5-2-2_Download'!B13</f>
        <v>151</v>
      </c>
      <c r="C1201">
        <f>'2020_5-2-2_Download'!$BA$5</f>
        <v>2013</v>
      </c>
      <c r="D1201" t="str">
        <f>VLOOKUP(B1201,[1]Tabelle1!$A$1:$B$68,2,FALSE)</f>
        <v>Gifhorn</v>
      </c>
      <c r="E1201" t="str">
        <f>'2020_5-2-2_Download'!$BC$7</f>
        <v>Frauen</v>
      </c>
      <c r="G1201" t="s">
        <v>84</v>
      </c>
      <c r="H1201" t="str">
        <f>VLOOKUP(B1201,[2]Kreise!$A$2:$C$53,3,FALSE)</f>
        <v>K03151</v>
      </c>
      <c r="I1201">
        <f>'2020_5-2-2_Download'!BC13</f>
        <v>550</v>
      </c>
    </row>
    <row r="1202" spans="2:9">
      <c r="B1202">
        <f>'2020_5-2-2_Download'!B14</f>
        <v>153</v>
      </c>
      <c r="C1202">
        <f>'2020_5-2-2_Download'!$BA$5</f>
        <v>2013</v>
      </c>
      <c r="D1202" t="str">
        <f>VLOOKUP(B1202,[1]Tabelle1!$A$1:$B$68,2,FALSE)</f>
        <v>Goslar</v>
      </c>
      <c r="E1202" t="str">
        <f>'2020_5-2-2_Download'!$BC$7</f>
        <v>Frauen</v>
      </c>
      <c r="G1202" t="s">
        <v>84</v>
      </c>
      <c r="H1202" t="str">
        <f>VLOOKUP(B1202,[2]Kreise!$A$2:$C$53,3,FALSE)</f>
        <v>K03153</v>
      </c>
      <c r="I1202">
        <f>'2020_5-2-2_Download'!BC14</f>
        <v>591</v>
      </c>
    </row>
    <row r="1203" spans="2:9">
      <c r="B1203">
        <f>'2020_5-2-2_Download'!B15</f>
        <v>154</v>
      </c>
      <c r="C1203">
        <f>'2020_5-2-2_Download'!$BA$5</f>
        <v>2013</v>
      </c>
      <c r="D1203" t="str">
        <f>VLOOKUP(B1203,[1]Tabelle1!$A$1:$B$68,2,FALSE)</f>
        <v>Helmstedt</v>
      </c>
      <c r="E1203" t="str">
        <f>'2020_5-2-2_Download'!$BC$7</f>
        <v>Frauen</v>
      </c>
      <c r="G1203" t="s">
        <v>84</v>
      </c>
      <c r="H1203" t="str">
        <f>VLOOKUP(B1203,[2]Kreise!$A$2:$C$53,3,FALSE)</f>
        <v>K03154</v>
      </c>
      <c r="I1203">
        <f>'2020_5-2-2_Download'!BC15</f>
        <v>272</v>
      </c>
    </row>
    <row r="1204" spans="2:9">
      <c r="B1204">
        <f>'2020_5-2-2_Download'!B16</f>
        <v>155</v>
      </c>
      <c r="C1204">
        <f>'2020_5-2-2_Download'!$BA$5</f>
        <v>2013</v>
      </c>
      <c r="D1204" t="str">
        <f>VLOOKUP(B1204,[1]Tabelle1!$A$1:$B$68,2,FALSE)</f>
        <v>Northeim</v>
      </c>
      <c r="E1204" t="str">
        <f>'2020_5-2-2_Download'!$BC$7</f>
        <v>Frauen</v>
      </c>
      <c r="G1204" t="s">
        <v>84</v>
      </c>
      <c r="H1204" t="str">
        <f>VLOOKUP(B1204,[2]Kreise!$A$2:$C$53,3,FALSE)</f>
        <v>K03155</v>
      </c>
      <c r="I1204">
        <f>'2020_5-2-2_Download'!BC16</f>
        <v>447</v>
      </c>
    </row>
    <row r="1205" spans="2:9">
      <c r="B1205">
        <f>'2020_5-2-2_Download'!B17</f>
        <v>157</v>
      </c>
      <c r="C1205">
        <f>'2020_5-2-2_Download'!$BA$5</f>
        <v>2013</v>
      </c>
      <c r="D1205" t="str">
        <f>VLOOKUP(B1205,[1]Tabelle1!$A$1:$B$68,2,FALSE)</f>
        <v>Peine</v>
      </c>
      <c r="E1205" t="str">
        <f>'2020_5-2-2_Download'!$BC$7</f>
        <v>Frauen</v>
      </c>
      <c r="G1205" t="s">
        <v>84</v>
      </c>
      <c r="H1205" t="str">
        <f>VLOOKUP(B1205,[2]Kreise!$A$2:$C$53,3,FALSE)</f>
        <v>K03157</v>
      </c>
      <c r="I1205">
        <f>'2020_5-2-2_Download'!BC17</f>
        <v>395</v>
      </c>
    </row>
    <row r="1206" spans="2:9">
      <c r="B1206">
        <f>'2020_5-2-2_Download'!B18</f>
        <v>158</v>
      </c>
      <c r="C1206">
        <f>'2020_5-2-2_Download'!$BA$5</f>
        <v>2013</v>
      </c>
      <c r="D1206" t="str">
        <f>VLOOKUP(B1206,[1]Tabelle1!$A$1:$B$68,2,FALSE)</f>
        <v>Wolfenbüttel</v>
      </c>
      <c r="E1206" t="str">
        <f>'2020_5-2-2_Download'!$BC$7</f>
        <v>Frauen</v>
      </c>
      <c r="G1206" t="s">
        <v>84</v>
      </c>
      <c r="H1206" t="str">
        <f>VLOOKUP(B1206,[2]Kreise!$A$2:$C$53,3,FALSE)</f>
        <v>K03158</v>
      </c>
      <c r="I1206">
        <f>'2020_5-2-2_Download'!BC18</f>
        <v>297</v>
      </c>
    </row>
    <row r="1207" spans="2:9">
      <c r="B1207">
        <f>'2020_5-2-2_Download'!B19</f>
        <v>159</v>
      </c>
      <c r="C1207">
        <f>'2020_5-2-2_Download'!$BA$5</f>
        <v>2013</v>
      </c>
      <c r="D1207" t="str">
        <f>VLOOKUP(B1207,[1]Tabelle1!$A$1:$B$68,2,FALSE)</f>
        <v>Göttingen</v>
      </c>
      <c r="E1207" t="str">
        <f>'2020_5-2-2_Download'!$BC$7</f>
        <v>Frauen</v>
      </c>
      <c r="G1207" t="s">
        <v>84</v>
      </c>
      <c r="H1207" t="str">
        <f>VLOOKUP(B1207,[2]Kreise!$A$2:$C$53,3,FALSE)</f>
        <v>K03159</v>
      </c>
      <c r="I1207">
        <f>'2020_5-2-2_Download'!BC19</f>
        <v>2143</v>
      </c>
    </row>
    <row r="1208" spans="2:9">
      <c r="B1208">
        <f>'2020_5-2-2_Download'!B20</f>
        <v>1</v>
      </c>
      <c r="C1208">
        <f>'2020_5-2-2_Download'!$BA$5</f>
        <v>2013</v>
      </c>
      <c r="D1208" t="str">
        <f>VLOOKUP(B1208,[1]Tabelle1!$A$1:$B$68,2,FALSE)</f>
        <v>Stat. Region Braunschweig</v>
      </c>
      <c r="E1208" t="str">
        <f>'2020_5-2-2_Download'!$BC$7</f>
        <v>Frauen</v>
      </c>
      <c r="G1208" t="s">
        <v>84</v>
      </c>
      <c r="H1208" t="str">
        <f>VLOOKUP(B1208,[2]Kreise!$A$2:$C$53,3,FALSE)</f>
        <v>K031</v>
      </c>
      <c r="I1208">
        <f>'2020_5-2-2_Download'!BC20</f>
        <v>10111</v>
      </c>
    </row>
    <row r="1209" spans="2:9">
      <c r="B1209">
        <f>'2020_5-2-2_Download'!B21</f>
        <v>241</v>
      </c>
      <c r="C1209">
        <f>'2020_5-2-2_Download'!$BA$5</f>
        <v>2013</v>
      </c>
      <c r="D1209" t="str">
        <f>VLOOKUP(B1209,[1]Tabelle1!$A$1:$B$68,2,FALSE)</f>
        <v>Hannover  Region</v>
      </c>
      <c r="E1209" t="str">
        <f>'2020_5-2-2_Download'!$BC$7</f>
        <v>Frauen</v>
      </c>
      <c r="G1209" t="s">
        <v>84</v>
      </c>
      <c r="H1209" t="str">
        <f>VLOOKUP(B1209,[2]Kreise!$A$2:$C$53,3,FALSE)</f>
        <v>K03241</v>
      </c>
      <c r="I1209">
        <f>'2020_5-2-2_Download'!BC21</f>
        <v>14813</v>
      </c>
    </row>
    <row r="1210" spans="2:9">
      <c r="B1210">
        <f>'2020_5-2-2_Download'!B22</f>
        <v>241001</v>
      </c>
      <c r="C1210">
        <f>'2020_5-2-2_Download'!$BA$5</f>
        <v>2013</v>
      </c>
      <c r="D1210" t="str">
        <f>VLOOKUP(B1210,[1]Tabelle1!$A$1:$B$68,2,FALSE)</f>
        <v>dav. Hannover  Lhst.</v>
      </c>
      <c r="E1210" t="str">
        <f>'2020_5-2-2_Download'!$BC$7</f>
        <v>Frauen</v>
      </c>
      <c r="G1210" t="s">
        <v>84</v>
      </c>
      <c r="H1210" t="str">
        <f>VLOOKUP(B1210,[2]Kreise!$A$2:$C$53,3,FALSE)</f>
        <v>K03241001</v>
      </c>
      <c r="I1210">
        <f>'2020_5-2-2_Download'!BC22</f>
        <v>10260</v>
      </c>
    </row>
    <row r="1211" spans="2:9">
      <c r="B1211">
        <f>'2020_5-2-2_Download'!B23</f>
        <v>241999</v>
      </c>
      <c r="C1211">
        <f>'2020_5-2-2_Download'!$BA$5</f>
        <v>2013</v>
      </c>
      <c r="D1211" t="str">
        <f>VLOOKUP(B1211,[1]Tabelle1!$A$1:$B$68,2,FALSE)</f>
        <v>dav. Hannover  Umland</v>
      </c>
      <c r="E1211" t="str">
        <f>'2020_5-2-2_Download'!$BC$7</f>
        <v>Frauen</v>
      </c>
      <c r="G1211" t="s">
        <v>84</v>
      </c>
      <c r="H1211" t="str">
        <f>VLOOKUP(B1211,[2]Kreise!$A$2:$C$53,3,FALSE)</f>
        <v>K03241999</v>
      </c>
      <c r="I1211">
        <f>'2020_5-2-2_Download'!BC23</f>
        <v>4553</v>
      </c>
    </row>
    <row r="1212" spans="2:9">
      <c r="B1212">
        <f>'2020_5-2-2_Download'!B24</f>
        <v>251</v>
      </c>
      <c r="C1212">
        <f>'2020_5-2-2_Download'!$BA$5</f>
        <v>2013</v>
      </c>
      <c r="D1212" t="str">
        <f>VLOOKUP(B1212,[1]Tabelle1!$A$1:$B$68,2,FALSE)</f>
        <v>Diepholz</v>
      </c>
      <c r="E1212" t="str">
        <f>'2020_5-2-2_Download'!$BC$7</f>
        <v>Frauen</v>
      </c>
      <c r="G1212" t="s">
        <v>84</v>
      </c>
      <c r="H1212" t="str">
        <f>VLOOKUP(B1212,[2]Kreise!$A$2:$C$53,3,FALSE)</f>
        <v>K03251</v>
      </c>
      <c r="I1212">
        <f>'2020_5-2-2_Download'!BC24</f>
        <v>860</v>
      </c>
    </row>
    <row r="1213" spans="2:9">
      <c r="B1213">
        <f>'2020_5-2-2_Download'!B25</f>
        <v>252</v>
      </c>
      <c r="C1213">
        <f>'2020_5-2-2_Download'!$BA$5</f>
        <v>2013</v>
      </c>
      <c r="D1213" t="str">
        <f>VLOOKUP(B1213,[1]Tabelle1!$A$1:$B$68,2,FALSE)</f>
        <v>Hameln-Pyrmont</v>
      </c>
      <c r="E1213" t="str">
        <f>'2020_5-2-2_Download'!$BC$7</f>
        <v>Frauen</v>
      </c>
      <c r="G1213" t="s">
        <v>84</v>
      </c>
      <c r="H1213" t="str">
        <f>VLOOKUP(B1213,[2]Kreise!$A$2:$C$53,3,FALSE)</f>
        <v>K03252</v>
      </c>
      <c r="I1213">
        <f>'2020_5-2-2_Download'!BC25</f>
        <v>1039</v>
      </c>
    </row>
    <row r="1214" spans="2:9">
      <c r="B1214">
        <f>'2020_5-2-2_Download'!B26</f>
        <v>254</v>
      </c>
      <c r="C1214">
        <f>'2020_5-2-2_Download'!$BA$5</f>
        <v>2013</v>
      </c>
      <c r="D1214" t="str">
        <f>VLOOKUP(B1214,[1]Tabelle1!$A$1:$B$68,2,FALSE)</f>
        <v>Hildesheim</v>
      </c>
      <c r="E1214" t="str">
        <f>'2020_5-2-2_Download'!$BC$7</f>
        <v>Frauen</v>
      </c>
      <c r="G1214" t="s">
        <v>84</v>
      </c>
      <c r="H1214" t="str">
        <f>VLOOKUP(B1214,[2]Kreise!$A$2:$C$53,3,FALSE)</f>
        <v>K03254</v>
      </c>
      <c r="I1214">
        <f>'2020_5-2-2_Download'!BC26</f>
        <v>1229</v>
      </c>
    </row>
    <row r="1215" spans="2:9">
      <c r="B1215">
        <f>'2020_5-2-2_Download'!B27</f>
        <v>255</v>
      </c>
      <c r="C1215">
        <f>'2020_5-2-2_Download'!$BA$5</f>
        <v>2013</v>
      </c>
      <c r="D1215" t="str">
        <f>VLOOKUP(B1215,[1]Tabelle1!$A$1:$B$68,2,FALSE)</f>
        <v>Holzminden</v>
      </c>
      <c r="E1215" t="str">
        <f>'2020_5-2-2_Download'!$BC$7</f>
        <v>Frauen</v>
      </c>
      <c r="G1215" t="s">
        <v>84</v>
      </c>
      <c r="H1215" t="str">
        <f>VLOOKUP(B1215,[2]Kreise!$A$2:$C$53,3,FALSE)</f>
        <v>K03255</v>
      </c>
      <c r="I1215">
        <f>'2020_5-2-2_Download'!BC27</f>
        <v>246</v>
      </c>
    </row>
    <row r="1216" spans="2:9">
      <c r="B1216">
        <f>'2020_5-2-2_Download'!B28</f>
        <v>256</v>
      </c>
      <c r="C1216">
        <f>'2020_5-2-2_Download'!$BA$5</f>
        <v>2013</v>
      </c>
      <c r="D1216" t="str">
        <f>VLOOKUP(B1216,[1]Tabelle1!$A$1:$B$68,2,FALSE)</f>
        <v>Nienburg (Weser)</v>
      </c>
      <c r="E1216" t="str">
        <f>'2020_5-2-2_Download'!$BC$7</f>
        <v>Frauen</v>
      </c>
      <c r="G1216" t="s">
        <v>84</v>
      </c>
      <c r="H1216" t="str">
        <f>VLOOKUP(B1216,[2]Kreise!$A$2:$C$53,3,FALSE)</f>
        <v>K03256</v>
      </c>
      <c r="I1216">
        <f>'2020_5-2-2_Download'!BC28</f>
        <v>493</v>
      </c>
    </row>
    <row r="1217" spans="2:9">
      <c r="B1217">
        <f>'2020_5-2-2_Download'!B29</f>
        <v>257</v>
      </c>
      <c r="C1217">
        <f>'2020_5-2-2_Download'!$BA$5</f>
        <v>2013</v>
      </c>
      <c r="D1217" t="str">
        <f>VLOOKUP(B1217,[1]Tabelle1!$A$1:$B$68,2,FALSE)</f>
        <v>Schaumburg</v>
      </c>
      <c r="E1217" t="str">
        <f>'2020_5-2-2_Download'!$BC$7</f>
        <v>Frauen</v>
      </c>
      <c r="G1217" t="s">
        <v>84</v>
      </c>
      <c r="H1217" t="str">
        <f>VLOOKUP(B1217,[2]Kreise!$A$2:$C$53,3,FALSE)</f>
        <v>K03257</v>
      </c>
      <c r="I1217">
        <f>'2020_5-2-2_Download'!BC29</f>
        <v>648</v>
      </c>
    </row>
    <row r="1218" spans="2:9">
      <c r="B1218">
        <f>'2020_5-2-2_Download'!B30</f>
        <v>2</v>
      </c>
      <c r="C1218">
        <f>'2020_5-2-2_Download'!$BA$5</f>
        <v>2013</v>
      </c>
      <c r="D1218" t="str">
        <f>VLOOKUP(B1218,[1]Tabelle1!$A$1:$B$68,2,FALSE)</f>
        <v>Stat. Region Hannover</v>
      </c>
      <c r="E1218" t="str">
        <f>'2020_5-2-2_Download'!$BC$7</f>
        <v>Frauen</v>
      </c>
      <c r="G1218" t="s">
        <v>84</v>
      </c>
      <c r="H1218" t="str">
        <f>VLOOKUP(B1218,[2]Kreise!$A$2:$C$53,3,FALSE)</f>
        <v>K032</v>
      </c>
      <c r="I1218">
        <f>'2020_5-2-2_Download'!BC30</f>
        <v>19328</v>
      </c>
    </row>
    <row r="1219" spans="2:9">
      <c r="B1219">
        <f>'2020_5-2-2_Download'!B31</f>
        <v>351</v>
      </c>
      <c r="C1219">
        <f>'2020_5-2-2_Download'!$BA$5</f>
        <v>2013</v>
      </c>
      <c r="D1219" t="str">
        <f>VLOOKUP(B1219,[1]Tabelle1!$A$1:$B$68,2,FALSE)</f>
        <v>Celle</v>
      </c>
      <c r="E1219" t="str">
        <f>'2020_5-2-2_Download'!$BC$7</f>
        <v>Frauen</v>
      </c>
      <c r="G1219" t="s">
        <v>84</v>
      </c>
      <c r="H1219" t="str">
        <f>VLOOKUP(B1219,[2]Kreise!$A$2:$C$53,3,FALSE)</f>
        <v>K03351</v>
      </c>
      <c r="I1219">
        <f>'2020_5-2-2_Download'!BC31</f>
        <v>781</v>
      </c>
    </row>
    <row r="1220" spans="2:9">
      <c r="B1220">
        <f>'2020_5-2-2_Download'!B32</f>
        <v>352</v>
      </c>
      <c r="C1220">
        <f>'2020_5-2-2_Download'!$BA$5</f>
        <v>2013</v>
      </c>
      <c r="D1220" t="str">
        <f>VLOOKUP(B1220,[1]Tabelle1!$A$1:$B$68,2,FALSE)</f>
        <v>Cuxhaven</v>
      </c>
      <c r="E1220" t="str">
        <f>'2020_5-2-2_Download'!$BC$7</f>
        <v>Frauen</v>
      </c>
      <c r="G1220" t="s">
        <v>84</v>
      </c>
      <c r="H1220" t="str">
        <f>VLOOKUP(B1220,[2]Kreise!$A$2:$C$53,3,FALSE)</f>
        <v>K03352</v>
      </c>
      <c r="I1220">
        <f>'2020_5-2-2_Download'!BC32</f>
        <v>954</v>
      </c>
    </row>
    <row r="1221" spans="2:9">
      <c r="B1221">
        <f>'2020_5-2-2_Download'!B33</f>
        <v>353</v>
      </c>
      <c r="C1221">
        <f>'2020_5-2-2_Download'!$BA$5</f>
        <v>2013</v>
      </c>
      <c r="D1221" t="str">
        <f>VLOOKUP(B1221,[1]Tabelle1!$A$1:$B$68,2,FALSE)</f>
        <v>Harburg</v>
      </c>
      <c r="E1221" t="str">
        <f>'2020_5-2-2_Download'!$BC$7</f>
        <v>Frauen</v>
      </c>
      <c r="G1221" t="s">
        <v>84</v>
      </c>
      <c r="H1221" t="str">
        <f>VLOOKUP(B1221,[2]Kreise!$A$2:$C$53,3,FALSE)</f>
        <v>K03353</v>
      </c>
      <c r="I1221">
        <f>'2020_5-2-2_Download'!BC33</f>
        <v>1166</v>
      </c>
    </row>
    <row r="1222" spans="2:9">
      <c r="B1222">
        <f>'2020_5-2-2_Download'!B34</f>
        <v>354</v>
      </c>
      <c r="C1222">
        <f>'2020_5-2-2_Download'!$BA$5</f>
        <v>2013</v>
      </c>
      <c r="D1222" t="str">
        <f>VLOOKUP(B1222,[1]Tabelle1!$A$1:$B$68,2,FALSE)</f>
        <v>Lüchow-Dannenberg</v>
      </c>
      <c r="E1222" t="str">
        <f>'2020_5-2-2_Download'!$BC$7</f>
        <v>Frauen</v>
      </c>
      <c r="G1222" t="s">
        <v>84</v>
      </c>
      <c r="H1222" t="str">
        <f>VLOOKUP(B1222,[2]Kreise!$A$2:$C$53,3,FALSE)</f>
        <v>K03354</v>
      </c>
      <c r="I1222">
        <f>'2020_5-2-2_Download'!BC34</f>
        <v>120</v>
      </c>
    </row>
    <row r="1223" spans="2:9">
      <c r="B1223">
        <f>'2020_5-2-2_Download'!B35</f>
        <v>355</v>
      </c>
      <c r="C1223">
        <f>'2020_5-2-2_Download'!$BA$5</f>
        <v>2013</v>
      </c>
      <c r="D1223" t="str">
        <f>VLOOKUP(B1223,[1]Tabelle1!$A$1:$B$68,2,FALSE)</f>
        <v>Lüneburg</v>
      </c>
      <c r="E1223" t="str">
        <f>'2020_5-2-2_Download'!$BC$7</f>
        <v>Frauen</v>
      </c>
      <c r="G1223" t="s">
        <v>84</v>
      </c>
      <c r="H1223" t="str">
        <f>VLOOKUP(B1223,[2]Kreise!$A$2:$C$53,3,FALSE)</f>
        <v>K03355</v>
      </c>
      <c r="I1223">
        <f>'2020_5-2-2_Download'!BC35</f>
        <v>808</v>
      </c>
    </row>
    <row r="1224" spans="2:9">
      <c r="B1224">
        <f>'2020_5-2-2_Download'!B36</f>
        <v>356</v>
      </c>
      <c r="C1224">
        <f>'2020_5-2-2_Download'!$BA$5</f>
        <v>2013</v>
      </c>
      <c r="D1224" t="str">
        <f>VLOOKUP(B1224,[1]Tabelle1!$A$1:$B$68,2,FALSE)</f>
        <v>Osterholz</v>
      </c>
      <c r="E1224" t="str">
        <f>'2020_5-2-2_Download'!$BC$7</f>
        <v>Frauen</v>
      </c>
      <c r="G1224" t="s">
        <v>84</v>
      </c>
      <c r="H1224" t="str">
        <f>VLOOKUP(B1224,[2]Kreise!$A$2:$C$53,3,FALSE)</f>
        <v>K03356</v>
      </c>
      <c r="I1224">
        <f>'2020_5-2-2_Download'!BC36</f>
        <v>297</v>
      </c>
    </row>
    <row r="1225" spans="2:9">
      <c r="B1225">
        <f>'2020_5-2-2_Download'!B37</f>
        <v>357</v>
      </c>
      <c r="C1225">
        <f>'2020_5-2-2_Download'!$BA$5</f>
        <v>2013</v>
      </c>
      <c r="D1225" t="str">
        <f>VLOOKUP(B1225,[1]Tabelle1!$A$1:$B$68,2,FALSE)</f>
        <v>Rotenburg (Wümme)</v>
      </c>
      <c r="E1225" t="str">
        <f>'2020_5-2-2_Download'!$BC$7</f>
        <v>Frauen</v>
      </c>
      <c r="G1225" t="s">
        <v>84</v>
      </c>
      <c r="H1225" t="str">
        <f>VLOOKUP(B1225,[2]Kreise!$A$2:$C$53,3,FALSE)</f>
        <v>K03357</v>
      </c>
      <c r="I1225">
        <f>'2020_5-2-2_Download'!BC37</f>
        <v>636</v>
      </c>
    </row>
    <row r="1226" spans="2:9">
      <c r="B1226">
        <f>'2020_5-2-2_Download'!B38</f>
        <v>358</v>
      </c>
      <c r="C1226">
        <f>'2020_5-2-2_Download'!$BA$5</f>
        <v>2013</v>
      </c>
      <c r="D1226" t="str">
        <f>VLOOKUP(B1226,[1]Tabelle1!$A$1:$B$68,2,FALSE)</f>
        <v>Heidekreis</v>
      </c>
      <c r="E1226" t="str">
        <f>'2020_5-2-2_Download'!$BC$7</f>
        <v>Frauen</v>
      </c>
      <c r="G1226" t="s">
        <v>84</v>
      </c>
      <c r="H1226" t="str">
        <f>VLOOKUP(B1226,[2]Kreise!$A$2:$C$53,3,FALSE)</f>
        <v>K03358</v>
      </c>
      <c r="I1226">
        <f>'2020_5-2-2_Download'!BC38</f>
        <v>714</v>
      </c>
    </row>
    <row r="1227" spans="2:9">
      <c r="B1227">
        <f>'2020_5-2-2_Download'!B39</f>
        <v>359</v>
      </c>
      <c r="C1227">
        <f>'2020_5-2-2_Download'!$BA$5</f>
        <v>2013</v>
      </c>
      <c r="D1227" t="str">
        <f>VLOOKUP(B1227,[1]Tabelle1!$A$1:$B$68,2,FALSE)</f>
        <v>Stade</v>
      </c>
      <c r="E1227" t="str">
        <f>'2020_5-2-2_Download'!$BC$7</f>
        <v>Frauen</v>
      </c>
      <c r="G1227" t="s">
        <v>84</v>
      </c>
      <c r="H1227" t="str">
        <f>VLOOKUP(B1227,[2]Kreise!$A$2:$C$53,3,FALSE)</f>
        <v>K03359</v>
      </c>
      <c r="I1227">
        <f>'2020_5-2-2_Download'!BC39</f>
        <v>854</v>
      </c>
    </row>
    <row r="1228" spans="2:9">
      <c r="B1228">
        <f>'2020_5-2-2_Download'!B40</f>
        <v>360</v>
      </c>
      <c r="C1228">
        <f>'2020_5-2-2_Download'!$BA$5</f>
        <v>2013</v>
      </c>
      <c r="D1228" t="str">
        <f>VLOOKUP(B1228,[1]Tabelle1!$A$1:$B$68,2,FALSE)</f>
        <v>Uelzen</v>
      </c>
      <c r="E1228" t="str">
        <f>'2020_5-2-2_Download'!$BC$7</f>
        <v>Frauen</v>
      </c>
      <c r="G1228" t="s">
        <v>84</v>
      </c>
      <c r="H1228" t="str">
        <f>VLOOKUP(B1228,[2]Kreise!$A$2:$C$53,3,FALSE)</f>
        <v>K03360</v>
      </c>
      <c r="I1228">
        <f>'2020_5-2-2_Download'!BC40</f>
        <v>315</v>
      </c>
    </row>
    <row r="1229" spans="2:9">
      <c r="B1229">
        <f>'2020_5-2-2_Download'!B41</f>
        <v>361</v>
      </c>
      <c r="C1229">
        <f>'2020_5-2-2_Download'!$BA$5</f>
        <v>2013</v>
      </c>
      <c r="D1229" t="str">
        <f>VLOOKUP(B1229,[1]Tabelle1!$A$1:$B$68,2,FALSE)</f>
        <v>Verden</v>
      </c>
      <c r="E1229" t="str">
        <f>'2020_5-2-2_Download'!$BC$7</f>
        <v>Frauen</v>
      </c>
      <c r="G1229" t="s">
        <v>84</v>
      </c>
      <c r="H1229" t="str">
        <f>VLOOKUP(B1229,[2]Kreise!$A$2:$C$53,3,FALSE)</f>
        <v>K03361</v>
      </c>
      <c r="I1229">
        <f>'2020_5-2-2_Download'!BC41</f>
        <v>805</v>
      </c>
    </row>
    <row r="1230" spans="2:9">
      <c r="B1230">
        <f>'2020_5-2-2_Download'!B42</f>
        <v>3</v>
      </c>
      <c r="C1230">
        <f>'2020_5-2-2_Download'!$BA$5</f>
        <v>2013</v>
      </c>
      <c r="D1230" t="str">
        <f>VLOOKUP(B1230,[1]Tabelle1!$A$1:$B$68,2,FALSE)</f>
        <v>Stat. Region Lüneburg</v>
      </c>
      <c r="E1230" t="str">
        <f>'2020_5-2-2_Download'!$BC$7</f>
        <v>Frauen</v>
      </c>
      <c r="G1230" t="s">
        <v>84</v>
      </c>
      <c r="H1230" t="str">
        <f>VLOOKUP(B1230,[2]Kreise!$A$2:$C$53,3,FALSE)</f>
        <v>K033</v>
      </c>
      <c r="I1230">
        <f>'2020_5-2-2_Download'!BC42</f>
        <v>7450</v>
      </c>
    </row>
    <row r="1231" spans="2:9">
      <c r="B1231">
        <f>'2020_5-2-2_Download'!B43</f>
        <v>401</v>
      </c>
      <c r="C1231">
        <f>'2020_5-2-2_Download'!$BA$5</f>
        <v>2013</v>
      </c>
      <c r="D1231" t="str">
        <f>VLOOKUP(B1231,[1]Tabelle1!$A$1:$B$68,2,FALSE)</f>
        <v>Delmenhorst  Stadt</v>
      </c>
      <c r="E1231" t="str">
        <f>'2020_5-2-2_Download'!$BC$7</f>
        <v>Frauen</v>
      </c>
      <c r="G1231" t="s">
        <v>84</v>
      </c>
      <c r="H1231" t="str">
        <f>VLOOKUP(B1231,[2]Kreise!$A$2:$C$53,3,FALSE)</f>
        <v>K03401</v>
      </c>
      <c r="I1231">
        <f>'2020_5-2-2_Download'!BC43</f>
        <v>520</v>
      </c>
    </row>
    <row r="1232" spans="2:9">
      <c r="B1232">
        <f>'2020_5-2-2_Download'!B44</f>
        <v>402</v>
      </c>
      <c r="C1232">
        <f>'2020_5-2-2_Download'!$BA$5</f>
        <v>2013</v>
      </c>
      <c r="D1232" t="str">
        <f>VLOOKUP(B1232,[1]Tabelle1!$A$1:$B$68,2,FALSE)</f>
        <v>Emden  Stadt</v>
      </c>
      <c r="E1232" t="str">
        <f>'2020_5-2-2_Download'!$BC$7</f>
        <v>Frauen</v>
      </c>
      <c r="G1232" t="s">
        <v>84</v>
      </c>
      <c r="H1232" t="str">
        <f>VLOOKUP(B1232,[2]Kreise!$A$2:$C$53,3,FALSE)</f>
        <v>K03402</v>
      </c>
      <c r="I1232">
        <f>'2020_5-2-2_Download'!BC44</f>
        <v>227</v>
      </c>
    </row>
    <row r="1233" spans="2:9">
      <c r="B1233">
        <f>'2020_5-2-2_Download'!B45</f>
        <v>403</v>
      </c>
      <c r="C1233">
        <f>'2020_5-2-2_Download'!$BA$5</f>
        <v>2013</v>
      </c>
      <c r="D1233" t="str">
        <f>VLOOKUP(B1233,[1]Tabelle1!$A$1:$B$68,2,FALSE)</f>
        <v>Oldenburg(Oldb)  Stadt</v>
      </c>
      <c r="E1233" t="str">
        <f>'2020_5-2-2_Download'!$BC$7</f>
        <v>Frauen</v>
      </c>
      <c r="G1233" t="s">
        <v>84</v>
      </c>
      <c r="H1233" t="str">
        <f>VLOOKUP(B1233,[2]Kreise!$A$2:$C$53,3,FALSE)</f>
        <v>K03403</v>
      </c>
      <c r="I1233">
        <f>'2020_5-2-2_Download'!BC45</f>
        <v>1196</v>
      </c>
    </row>
    <row r="1234" spans="2:9">
      <c r="B1234">
        <f>'2020_5-2-2_Download'!B46</f>
        <v>404</v>
      </c>
      <c r="C1234">
        <f>'2020_5-2-2_Download'!$BA$5</f>
        <v>2013</v>
      </c>
      <c r="D1234" t="str">
        <f>VLOOKUP(B1234,[1]Tabelle1!$A$1:$B$68,2,FALSE)</f>
        <v>Osnabrück  Stadt</v>
      </c>
      <c r="E1234" t="str">
        <f>'2020_5-2-2_Download'!$BC$7</f>
        <v>Frauen</v>
      </c>
      <c r="G1234" t="s">
        <v>84</v>
      </c>
      <c r="H1234" t="str">
        <f>VLOOKUP(B1234,[2]Kreise!$A$2:$C$53,3,FALSE)</f>
        <v>K03404</v>
      </c>
      <c r="I1234">
        <f>'2020_5-2-2_Download'!BC46</f>
        <v>2298</v>
      </c>
    </row>
    <row r="1235" spans="2:9">
      <c r="B1235">
        <f>'2020_5-2-2_Download'!B47</f>
        <v>405</v>
      </c>
      <c r="C1235">
        <f>'2020_5-2-2_Download'!$BA$5</f>
        <v>2013</v>
      </c>
      <c r="D1235" t="str">
        <f>VLOOKUP(B1235,[1]Tabelle1!$A$1:$B$68,2,FALSE)</f>
        <v>Wilhelmshaven  Stadt</v>
      </c>
      <c r="E1235" t="str">
        <f>'2020_5-2-2_Download'!$BC$7</f>
        <v>Frauen</v>
      </c>
      <c r="G1235" t="s">
        <v>84</v>
      </c>
      <c r="H1235" t="str">
        <f>VLOOKUP(B1235,[2]Kreise!$A$2:$C$53,3,FALSE)</f>
        <v>K03405</v>
      </c>
      <c r="I1235">
        <f>'2020_5-2-2_Download'!BC47</f>
        <v>248</v>
      </c>
    </row>
    <row r="1236" spans="2:9">
      <c r="B1236">
        <f>'2020_5-2-2_Download'!B48</f>
        <v>451</v>
      </c>
      <c r="C1236">
        <f>'2020_5-2-2_Download'!$BA$5</f>
        <v>2013</v>
      </c>
      <c r="D1236" t="str">
        <f>VLOOKUP(B1236,[1]Tabelle1!$A$1:$B$68,2,FALSE)</f>
        <v>Ammerland</v>
      </c>
      <c r="E1236" t="str">
        <f>'2020_5-2-2_Download'!$BC$7</f>
        <v>Frauen</v>
      </c>
      <c r="G1236" t="s">
        <v>84</v>
      </c>
      <c r="H1236" t="str">
        <f>VLOOKUP(B1236,[2]Kreise!$A$2:$C$53,3,FALSE)</f>
        <v>K03451</v>
      </c>
      <c r="I1236">
        <f>'2020_5-2-2_Download'!BC48</f>
        <v>602</v>
      </c>
    </row>
    <row r="1237" spans="2:9">
      <c r="B1237">
        <f>'2020_5-2-2_Download'!B49</f>
        <v>452</v>
      </c>
      <c r="C1237">
        <f>'2020_5-2-2_Download'!$BA$5</f>
        <v>2013</v>
      </c>
      <c r="D1237" t="str">
        <f>VLOOKUP(B1237,[1]Tabelle1!$A$1:$B$68,2,FALSE)</f>
        <v>Aurich</v>
      </c>
      <c r="E1237" t="str">
        <f>'2020_5-2-2_Download'!$BC$7</f>
        <v>Frauen</v>
      </c>
      <c r="G1237" t="s">
        <v>84</v>
      </c>
      <c r="H1237" t="str">
        <f>VLOOKUP(B1237,[2]Kreise!$A$2:$C$53,3,FALSE)</f>
        <v>K03452</v>
      </c>
      <c r="I1237">
        <f>'2020_5-2-2_Download'!BC49</f>
        <v>905</v>
      </c>
    </row>
    <row r="1238" spans="2:9">
      <c r="B1238">
        <f>'2020_5-2-2_Download'!B50</f>
        <v>453</v>
      </c>
      <c r="C1238">
        <f>'2020_5-2-2_Download'!$BA$5</f>
        <v>2013</v>
      </c>
      <c r="D1238" t="str">
        <f>VLOOKUP(B1238,[1]Tabelle1!$A$1:$B$68,2,FALSE)</f>
        <v>Cloppenburg</v>
      </c>
      <c r="E1238" t="str">
        <f>'2020_5-2-2_Download'!$BC$7</f>
        <v>Frauen</v>
      </c>
      <c r="G1238" t="s">
        <v>84</v>
      </c>
      <c r="H1238" t="str">
        <f>VLOOKUP(B1238,[2]Kreise!$A$2:$C$53,3,FALSE)</f>
        <v>K03453</v>
      </c>
      <c r="I1238">
        <f>'2020_5-2-2_Download'!BC50</f>
        <v>1131</v>
      </c>
    </row>
    <row r="1239" spans="2:9">
      <c r="B1239">
        <f>'2020_5-2-2_Download'!B51</f>
        <v>454</v>
      </c>
      <c r="C1239">
        <f>'2020_5-2-2_Download'!$BA$5</f>
        <v>2013</v>
      </c>
      <c r="D1239" t="str">
        <f>VLOOKUP(B1239,[1]Tabelle1!$A$1:$B$68,2,FALSE)</f>
        <v>Emsland</v>
      </c>
      <c r="E1239" t="str">
        <f>'2020_5-2-2_Download'!$BC$7</f>
        <v>Frauen</v>
      </c>
      <c r="G1239" t="s">
        <v>84</v>
      </c>
      <c r="H1239" t="str">
        <f>VLOOKUP(B1239,[2]Kreise!$A$2:$C$53,3,FALSE)</f>
        <v>K03454</v>
      </c>
      <c r="I1239">
        <f>'2020_5-2-2_Download'!BC51</f>
        <v>1306</v>
      </c>
    </row>
    <row r="1240" spans="2:9">
      <c r="B1240">
        <f>'2020_5-2-2_Download'!B52</f>
        <v>455</v>
      </c>
      <c r="C1240">
        <f>'2020_5-2-2_Download'!$BA$5</f>
        <v>2013</v>
      </c>
      <c r="D1240" t="str">
        <f>VLOOKUP(B1240,[1]Tabelle1!$A$1:$B$68,2,FALSE)</f>
        <v>Friesland</v>
      </c>
      <c r="E1240" t="str">
        <f>'2020_5-2-2_Download'!$BC$7</f>
        <v>Frauen</v>
      </c>
      <c r="G1240" t="s">
        <v>84</v>
      </c>
      <c r="H1240" t="str">
        <f>VLOOKUP(B1240,[2]Kreise!$A$2:$C$53,3,FALSE)</f>
        <v>K03455</v>
      </c>
      <c r="I1240">
        <f>'2020_5-2-2_Download'!BC52</f>
        <v>302</v>
      </c>
    </row>
    <row r="1241" spans="2:9">
      <c r="B1241">
        <f>'2020_5-2-2_Download'!B53</f>
        <v>456</v>
      </c>
      <c r="C1241">
        <f>'2020_5-2-2_Download'!$BA$5</f>
        <v>2013</v>
      </c>
      <c r="D1241" t="str">
        <f>VLOOKUP(B1241,[1]Tabelle1!$A$1:$B$68,2,FALSE)</f>
        <v>Grafschaft Bentheim</v>
      </c>
      <c r="E1241" t="str">
        <f>'2020_5-2-2_Download'!$BC$7</f>
        <v>Frauen</v>
      </c>
      <c r="G1241" t="s">
        <v>84</v>
      </c>
      <c r="H1241" t="str">
        <f>VLOOKUP(B1241,[2]Kreise!$A$2:$C$53,3,FALSE)</f>
        <v>K03456</v>
      </c>
      <c r="I1241">
        <f>'2020_5-2-2_Download'!BC53</f>
        <v>1016</v>
      </c>
    </row>
    <row r="1242" spans="2:9">
      <c r="B1242">
        <f>'2020_5-2-2_Download'!B54</f>
        <v>457</v>
      </c>
      <c r="C1242">
        <f>'2020_5-2-2_Download'!$BA$5</f>
        <v>2013</v>
      </c>
      <c r="D1242" t="str">
        <f>VLOOKUP(B1242,[1]Tabelle1!$A$1:$B$68,2,FALSE)</f>
        <v>Leer</v>
      </c>
      <c r="E1242" t="str">
        <f>'2020_5-2-2_Download'!$BC$7</f>
        <v>Frauen</v>
      </c>
      <c r="G1242" t="s">
        <v>84</v>
      </c>
      <c r="H1242" t="str">
        <f>VLOOKUP(B1242,[2]Kreise!$A$2:$C$53,3,FALSE)</f>
        <v>K03457</v>
      </c>
      <c r="I1242">
        <f>'2020_5-2-2_Download'!BC54</f>
        <v>615</v>
      </c>
    </row>
    <row r="1243" spans="2:9">
      <c r="B1243">
        <f>'2020_5-2-2_Download'!B55</f>
        <v>458</v>
      </c>
      <c r="C1243">
        <f>'2020_5-2-2_Download'!$BA$5</f>
        <v>2013</v>
      </c>
      <c r="D1243" t="str">
        <f>VLOOKUP(B1243,[1]Tabelle1!$A$1:$B$68,2,FALSE)</f>
        <v>Oldenburg</v>
      </c>
      <c r="E1243" t="str">
        <f>'2020_5-2-2_Download'!$BC$7</f>
        <v>Frauen</v>
      </c>
      <c r="G1243" t="s">
        <v>84</v>
      </c>
      <c r="H1243" t="str">
        <f>VLOOKUP(B1243,[2]Kreise!$A$2:$C$53,3,FALSE)</f>
        <v>K03458</v>
      </c>
      <c r="I1243">
        <f>'2020_5-2-2_Download'!BC55</f>
        <v>535</v>
      </c>
    </row>
    <row r="1244" spans="2:9">
      <c r="B1244">
        <f>'2020_5-2-2_Download'!B56</f>
        <v>459</v>
      </c>
      <c r="C1244">
        <f>'2020_5-2-2_Download'!$BA$5</f>
        <v>2013</v>
      </c>
      <c r="D1244" t="str">
        <f>VLOOKUP(B1244,[1]Tabelle1!$A$1:$B$68,2,FALSE)</f>
        <v>Osnabrück</v>
      </c>
      <c r="E1244" t="str">
        <f>'2020_5-2-2_Download'!$BC$7</f>
        <v>Frauen</v>
      </c>
      <c r="G1244" t="s">
        <v>84</v>
      </c>
      <c r="H1244" t="str">
        <f>VLOOKUP(B1244,[2]Kreise!$A$2:$C$53,3,FALSE)</f>
        <v>K03459</v>
      </c>
      <c r="I1244">
        <f>'2020_5-2-2_Download'!BC56</f>
        <v>2394</v>
      </c>
    </row>
    <row r="1245" spans="2:9">
      <c r="B1245">
        <f>'2020_5-2-2_Download'!B57</f>
        <v>460</v>
      </c>
      <c r="C1245">
        <f>'2020_5-2-2_Download'!$BA$5</f>
        <v>2013</v>
      </c>
      <c r="D1245" t="str">
        <f>VLOOKUP(B1245,[1]Tabelle1!$A$1:$B$68,2,FALSE)</f>
        <v>Vechta</v>
      </c>
      <c r="E1245" t="str">
        <f>'2020_5-2-2_Download'!$BC$7</f>
        <v>Frauen</v>
      </c>
      <c r="G1245" t="s">
        <v>84</v>
      </c>
      <c r="H1245" t="str">
        <f>VLOOKUP(B1245,[2]Kreise!$A$2:$C$53,3,FALSE)</f>
        <v>K03460</v>
      </c>
      <c r="I1245">
        <f>'2020_5-2-2_Download'!BC57</f>
        <v>2104</v>
      </c>
    </row>
    <row r="1246" spans="2:9">
      <c r="B1246">
        <f>'2020_5-2-2_Download'!B58</f>
        <v>461</v>
      </c>
      <c r="C1246">
        <f>'2020_5-2-2_Download'!$BA$5</f>
        <v>2013</v>
      </c>
      <c r="D1246" t="str">
        <f>VLOOKUP(B1246,[1]Tabelle1!$A$1:$B$68,2,FALSE)</f>
        <v>Wesermarsch</v>
      </c>
      <c r="E1246" t="str">
        <f>'2020_5-2-2_Download'!$BC$7</f>
        <v>Frauen</v>
      </c>
      <c r="G1246" t="s">
        <v>84</v>
      </c>
      <c r="H1246" t="str">
        <f>VLOOKUP(B1246,[2]Kreise!$A$2:$C$53,3,FALSE)</f>
        <v>K03461</v>
      </c>
      <c r="I1246">
        <f>'2020_5-2-2_Download'!BC58</f>
        <v>226</v>
      </c>
    </row>
    <row r="1247" spans="2:9">
      <c r="B1247">
        <f>'2020_5-2-2_Download'!B59</f>
        <v>462</v>
      </c>
      <c r="C1247">
        <f>'2020_5-2-2_Download'!$BA$5</f>
        <v>2013</v>
      </c>
      <c r="D1247" t="str">
        <f>VLOOKUP(B1247,[1]Tabelle1!$A$1:$B$68,2,FALSE)</f>
        <v>Wittmund</v>
      </c>
      <c r="E1247" t="str">
        <f>'2020_5-2-2_Download'!$BC$7</f>
        <v>Frauen</v>
      </c>
      <c r="G1247" t="s">
        <v>84</v>
      </c>
      <c r="H1247" t="str">
        <f>VLOOKUP(B1247,[2]Kreise!$A$2:$C$53,3,FALSE)</f>
        <v>K03462</v>
      </c>
      <c r="I1247">
        <f>'2020_5-2-2_Download'!BC59</f>
        <v>238</v>
      </c>
    </row>
    <row r="1248" spans="2:9">
      <c r="B1248">
        <f>'2020_5-2-2_Download'!B60</f>
        <v>4</v>
      </c>
      <c r="C1248">
        <f>'2020_5-2-2_Download'!$BA$5</f>
        <v>2013</v>
      </c>
      <c r="D1248" t="str">
        <f>VLOOKUP(B1248,[1]Tabelle1!$A$1:$B$68,2,FALSE)</f>
        <v>Stat. Region Weser-Ems</v>
      </c>
      <c r="E1248" t="str">
        <f>'2020_5-2-2_Download'!$BC$7</f>
        <v>Frauen</v>
      </c>
      <c r="G1248" t="s">
        <v>84</v>
      </c>
      <c r="H1248" t="str">
        <f>VLOOKUP(B1248,[2]Kreise!$A$2:$C$53,3,FALSE)</f>
        <v>K034</v>
      </c>
      <c r="I1248">
        <f>'2020_5-2-2_Download'!BC60</f>
        <v>15863</v>
      </c>
    </row>
    <row r="1249" spans="2:9">
      <c r="B1249">
        <f>'2020_5-2-2_Download'!B61</f>
        <v>0</v>
      </c>
      <c r="C1249">
        <f>'2020_5-2-2_Download'!$BA$5</f>
        <v>2013</v>
      </c>
      <c r="D1249" t="str">
        <f>VLOOKUP(B1249,[1]Tabelle1!$A$1:$B$68,2,FALSE)</f>
        <v>Niedersachsen</v>
      </c>
      <c r="E1249" t="str">
        <f>'2020_5-2-2_Download'!$BC$7</f>
        <v>Frauen</v>
      </c>
      <c r="G1249" t="s">
        <v>84</v>
      </c>
      <c r="H1249" t="str">
        <f>VLOOKUP(B1249,[2]Kreise!$A$2:$C$53,3,FALSE)</f>
        <v>K030</v>
      </c>
      <c r="I1249">
        <f>'2020_5-2-2_Download'!BC61</f>
        <v>52752</v>
      </c>
    </row>
    <row r="1250" spans="2:9">
      <c r="B1250">
        <f>'2020_5-2-2_Download'!B10</f>
        <v>101</v>
      </c>
      <c r="C1250">
        <f>'2020_5-2-2_Download'!$BH$5</f>
        <v>2011</v>
      </c>
      <c r="D1250" t="str">
        <f>VLOOKUP(B1250,[1]Tabelle1!$A$1:$B$68,2,FALSE)</f>
        <v>Braunschweig  Stadt</v>
      </c>
      <c r="E1250" t="str">
        <f>'2020_5-2-2_Download'!$BH$7</f>
        <v>Insgesamt</v>
      </c>
      <c r="G1250" t="s">
        <v>84</v>
      </c>
      <c r="H1250" t="str">
        <f>VLOOKUP(B1250,[2]Kreise!$A$2:$C$53,3,FALSE)</f>
        <v>K03101</v>
      </c>
      <c r="I1250">
        <f>'2020_5-2-2_Download'!BH10</f>
        <v>5072</v>
      </c>
    </row>
    <row r="1251" spans="2:9">
      <c r="B1251">
        <f>'2020_5-2-2_Download'!B11</f>
        <v>102</v>
      </c>
      <c r="C1251">
        <f>'2020_5-2-2_Download'!$BH$5</f>
        <v>2011</v>
      </c>
      <c r="D1251" t="str">
        <f>VLOOKUP(B1251,[1]Tabelle1!$A$1:$B$68,2,FALSE)</f>
        <v>Salzgitter  Stadt</v>
      </c>
      <c r="E1251" t="str">
        <f>'2020_5-2-2_Download'!$BH$7</f>
        <v>Insgesamt</v>
      </c>
      <c r="G1251" t="s">
        <v>84</v>
      </c>
      <c r="H1251" t="str">
        <f>VLOOKUP(B1251,[2]Kreise!$A$2:$C$53,3,FALSE)</f>
        <v>K03102</v>
      </c>
      <c r="I1251">
        <f>'2020_5-2-2_Download'!BH11</f>
        <v>2783</v>
      </c>
    </row>
    <row r="1252" spans="2:9">
      <c r="B1252">
        <f>'2020_5-2-2_Download'!B12</f>
        <v>103</v>
      </c>
      <c r="C1252">
        <f>'2020_5-2-2_Download'!$BH$5</f>
        <v>2011</v>
      </c>
      <c r="D1252" t="str">
        <f>VLOOKUP(B1252,[1]Tabelle1!$A$1:$B$68,2,FALSE)</f>
        <v>Wolfsburg  Stadt</v>
      </c>
      <c r="E1252" t="str">
        <f>'2020_5-2-2_Download'!$BH$7</f>
        <v>Insgesamt</v>
      </c>
      <c r="G1252" t="s">
        <v>84</v>
      </c>
      <c r="H1252" t="str">
        <f>VLOOKUP(B1252,[2]Kreise!$A$2:$C$53,3,FALSE)</f>
        <v>K03103</v>
      </c>
      <c r="I1252">
        <f>'2020_5-2-2_Download'!BH12</f>
        <v>6421</v>
      </c>
    </row>
    <row r="1253" spans="2:9">
      <c r="B1253">
        <f>'2020_5-2-2_Download'!B13</f>
        <v>151</v>
      </c>
      <c r="C1253">
        <f>'2020_5-2-2_Download'!$BH$5</f>
        <v>2011</v>
      </c>
      <c r="D1253" t="str">
        <f>VLOOKUP(B1253,[1]Tabelle1!$A$1:$B$68,2,FALSE)</f>
        <v>Gifhorn</v>
      </c>
      <c r="E1253" t="str">
        <f>'2020_5-2-2_Download'!$BH$7</f>
        <v>Insgesamt</v>
      </c>
      <c r="G1253" t="s">
        <v>84</v>
      </c>
      <c r="H1253" t="str">
        <f>VLOOKUP(B1253,[2]Kreise!$A$2:$C$53,3,FALSE)</f>
        <v>K03151</v>
      </c>
      <c r="I1253">
        <f>'2020_5-2-2_Download'!BH13</f>
        <v>1367</v>
      </c>
    </row>
    <row r="1254" spans="2:9">
      <c r="B1254">
        <f>'2020_5-2-2_Download'!B14</f>
        <v>153</v>
      </c>
      <c r="C1254">
        <f>'2020_5-2-2_Download'!$BH$5</f>
        <v>2011</v>
      </c>
      <c r="D1254" t="str">
        <f>VLOOKUP(B1254,[1]Tabelle1!$A$1:$B$68,2,FALSE)</f>
        <v>Goslar</v>
      </c>
      <c r="E1254" t="str">
        <f>'2020_5-2-2_Download'!$BH$7</f>
        <v>Insgesamt</v>
      </c>
      <c r="G1254" t="s">
        <v>84</v>
      </c>
      <c r="H1254" t="str">
        <f>VLOOKUP(B1254,[2]Kreise!$A$2:$C$53,3,FALSE)</f>
        <v>K03153</v>
      </c>
      <c r="I1254">
        <f>'2020_5-2-2_Download'!BH14</f>
        <v>1406</v>
      </c>
    </row>
    <row r="1255" spans="2:9">
      <c r="B1255">
        <f>'2020_5-2-2_Download'!B15</f>
        <v>154</v>
      </c>
      <c r="C1255">
        <f>'2020_5-2-2_Download'!$BH$5</f>
        <v>2011</v>
      </c>
      <c r="D1255" t="str">
        <f>VLOOKUP(B1255,[1]Tabelle1!$A$1:$B$68,2,FALSE)</f>
        <v>Helmstedt</v>
      </c>
      <c r="E1255" t="str">
        <f>'2020_5-2-2_Download'!$BH$7</f>
        <v>Insgesamt</v>
      </c>
      <c r="G1255" t="s">
        <v>84</v>
      </c>
      <c r="H1255" t="str">
        <f>VLOOKUP(B1255,[2]Kreise!$A$2:$C$53,3,FALSE)</f>
        <v>K03154</v>
      </c>
      <c r="I1255">
        <f>'2020_5-2-2_Download'!BH15</f>
        <v>472</v>
      </c>
    </row>
    <row r="1256" spans="2:9">
      <c r="B1256">
        <f>'2020_5-2-2_Download'!B16</f>
        <v>155</v>
      </c>
      <c r="C1256">
        <f>'2020_5-2-2_Download'!$BH$5</f>
        <v>2011</v>
      </c>
      <c r="D1256" t="str">
        <f>VLOOKUP(B1256,[1]Tabelle1!$A$1:$B$68,2,FALSE)</f>
        <v>Northeim</v>
      </c>
      <c r="E1256" t="str">
        <f>'2020_5-2-2_Download'!$BH$7</f>
        <v>Insgesamt</v>
      </c>
      <c r="G1256" t="s">
        <v>84</v>
      </c>
      <c r="H1256" t="str">
        <f>VLOOKUP(B1256,[2]Kreise!$A$2:$C$53,3,FALSE)</f>
        <v>K03155</v>
      </c>
      <c r="I1256">
        <f>'2020_5-2-2_Download'!BH16</f>
        <v>1102</v>
      </c>
    </row>
    <row r="1257" spans="2:9">
      <c r="B1257">
        <f>'2020_5-2-2_Download'!B17</f>
        <v>157</v>
      </c>
      <c r="C1257">
        <f>'2020_5-2-2_Download'!$BH$5</f>
        <v>2011</v>
      </c>
      <c r="D1257" t="str">
        <f>VLOOKUP(B1257,[1]Tabelle1!$A$1:$B$68,2,FALSE)</f>
        <v>Peine</v>
      </c>
      <c r="E1257" t="str">
        <f>'2020_5-2-2_Download'!$BH$7</f>
        <v>Insgesamt</v>
      </c>
      <c r="G1257" t="s">
        <v>84</v>
      </c>
      <c r="H1257" t="str">
        <f>VLOOKUP(B1257,[2]Kreise!$A$2:$C$53,3,FALSE)</f>
        <v>K03157</v>
      </c>
      <c r="I1257">
        <f>'2020_5-2-2_Download'!BH17</f>
        <v>1168</v>
      </c>
    </row>
    <row r="1258" spans="2:9">
      <c r="B1258">
        <f>'2020_5-2-2_Download'!B18</f>
        <v>158</v>
      </c>
      <c r="C1258">
        <f>'2020_5-2-2_Download'!$BH$5</f>
        <v>2011</v>
      </c>
      <c r="D1258" t="str">
        <f>VLOOKUP(B1258,[1]Tabelle1!$A$1:$B$68,2,FALSE)</f>
        <v>Wolfenbüttel</v>
      </c>
      <c r="E1258" t="str">
        <f>'2020_5-2-2_Download'!$BH$7</f>
        <v>Insgesamt</v>
      </c>
      <c r="G1258" t="s">
        <v>84</v>
      </c>
      <c r="H1258" t="str">
        <f>VLOOKUP(B1258,[2]Kreise!$A$2:$C$53,3,FALSE)</f>
        <v>K03158</v>
      </c>
      <c r="I1258">
        <f>'2020_5-2-2_Download'!BH18</f>
        <v>556</v>
      </c>
    </row>
    <row r="1259" spans="2:9">
      <c r="B1259">
        <f>'2020_5-2-2_Download'!B19</f>
        <v>159</v>
      </c>
      <c r="C1259">
        <f>'2020_5-2-2_Download'!$BH$5</f>
        <v>2011</v>
      </c>
      <c r="D1259" t="str">
        <f>VLOOKUP(B1259,[1]Tabelle1!$A$1:$B$68,2,FALSE)</f>
        <v>Göttingen</v>
      </c>
      <c r="E1259" t="str">
        <f>'2020_5-2-2_Download'!$BH$7</f>
        <v>Insgesamt</v>
      </c>
      <c r="G1259" t="s">
        <v>84</v>
      </c>
      <c r="H1259" t="str">
        <f>VLOOKUP(B1259,[2]Kreise!$A$2:$C$53,3,FALSE)</f>
        <v>K03159</v>
      </c>
      <c r="I1259">
        <f>'2020_5-2-2_Download'!BH19</f>
        <v>4656</v>
      </c>
    </row>
    <row r="1260" spans="2:9">
      <c r="B1260">
        <f>'2020_5-2-2_Download'!B20</f>
        <v>1</v>
      </c>
      <c r="C1260">
        <f>'2020_5-2-2_Download'!$BH$5</f>
        <v>2011</v>
      </c>
      <c r="D1260" t="str">
        <f>VLOOKUP(B1260,[1]Tabelle1!$A$1:$B$68,2,FALSE)</f>
        <v>Stat. Region Braunschweig</v>
      </c>
      <c r="E1260" t="str">
        <f>'2020_5-2-2_Download'!$BH$7</f>
        <v>Insgesamt</v>
      </c>
      <c r="G1260" t="s">
        <v>84</v>
      </c>
      <c r="H1260" t="str">
        <f>VLOOKUP(B1260,[2]Kreise!$A$2:$C$53,3,FALSE)</f>
        <v>K031</v>
      </c>
      <c r="I1260">
        <f>'2020_5-2-2_Download'!BH20</f>
        <v>25113</v>
      </c>
    </row>
    <row r="1261" spans="2:9">
      <c r="B1261">
        <f>'2020_5-2-2_Download'!B21</f>
        <v>241</v>
      </c>
      <c r="C1261">
        <f>'2020_5-2-2_Download'!$BH$5</f>
        <v>2011</v>
      </c>
      <c r="D1261" t="str">
        <f>VLOOKUP(B1261,[1]Tabelle1!$A$1:$B$68,2,FALSE)</f>
        <v>Hannover  Region</v>
      </c>
      <c r="E1261" t="str">
        <f>'2020_5-2-2_Download'!$BH$7</f>
        <v>Insgesamt</v>
      </c>
      <c r="G1261" t="s">
        <v>84</v>
      </c>
      <c r="H1261" t="str">
        <f>VLOOKUP(B1261,[2]Kreise!$A$2:$C$53,3,FALSE)</f>
        <v>K03241</v>
      </c>
      <c r="I1261">
        <f>'2020_5-2-2_Download'!BH21</f>
        <v>31033</v>
      </c>
    </row>
    <row r="1262" spans="2:9">
      <c r="B1262">
        <f>'2020_5-2-2_Download'!B22</f>
        <v>241001</v>
      </c>
      <c r="C1262">
        <f>'2020_5-2-2_Download'!$BH$5</f>
        <v>2011</v>
      </c>
      <c r="D1262" t="str">
        <f>VLOOKUP(B1262,[1]Tabelle1!$A$1:$B$68,2,FALSE)</f>
        <v>dav. Hannover  Lhst.</v>
      </c>
      <c r="E1262" t="str">
        <f>'2020_5-2-2_Download'!$BH$7</f>
        <v>Insgesamt</v>
      </c>
      <c r="G1262" t="s">
        <v>84</v>
      </c>
      <c r="H1262" t="str">
        <f>VLOOKUP(B1262,[2]Kreise!$A$2:$C$53,3,FALSE)</f>
        <v>K03241001</v>
      </c>
      <c r="I1262">
        <f>'2020_5-2-2_Download'!BH22</f>
        <v>20895</v>
      </c>
    </row>
    <row r="1263" spans="2:9">
      <c r="B1263">
        <f>'2020_5-2-2_Download'!B23</f>
        <v>241999</v>
      </c>
      <c r="C1263">
        <f>'2020_5-2-2_Download'!$BH$5</f>
        <v>2011</v>
      </c>
      <c r="D1263" t="str">
        <f>VLOOKUP(B1263,[1]Tabelle1!$A$1:$B$68,2,FALSE)</f>
        <v>dav. Hannover  Umland</v>
      </c>
      <c r="E1263" t="str">
        <f>'2020_5-2-2_Download'!$BH$7</f>
        <v>Insgesamt</v>
      </c>
      <c r="G1263" t="s">
        <v>84</v>
      </c>
      <c r="H1263" t="str">
        <f>VLOOKUP(B1263,[2]Kreise!$A$2:$C$53,3,FALSE)</f>
        <v>K03241999</v>
      </c>
      <c r="I1263">
        <f>'2020_5-2-2_Download'!BH23</f>
        <v>0</v>
      </c>
    </row>
    <row r="1264" spans="2:9">
      <c r="B1264">
        <f>'2020_5-2-2_Download'!B24</f>
        <v>251</v>
      </c>
      <c r="C1264">
        <f>'2020_5-2-2_Download'!$BH$5</f>
        <v>2011</v>
      </c>
      <c r="D1264" t="str">
        <f>VLOOKUP(B1264,[1]Tabelle1!$A$1:$B$68,2,FALSE)</f>
        <v>Diepholz</v>
      </c>
      <c r="E1264" t="str">
        <f>'2020_5-2-2_Download'!$BH$7</f>
        <v>Insgesamt</v>
      </c>
      <c r="G1264" t="s">
        <v>84</v>
      </c>
      <c r="H1264" t="str">
        <f>VLOOKUP(B1264,[2]Kreise!$A$2:$C$53,3,FALSE)</f>
        <v>K03251</v>
      </c>
      <c r="I1264">
        <f>'2020_5-2-2_Download'!BH24</f>
        <v>2033</v>
      </c>
    </row>
    <row r="1265" spans="2:9">
      <c r="B1265">
        <f>'2020_5-2-2_Download'!B25</f>
        <v>252</v>
      </c>
      <c r="C1265">
        <f>'2020_5-2-2_Download'!$BH$5</f>
        <v>2011</v>
      </c>
      <c r="D1265" t="str">
        <f>VLOOKUP(B1265,[1]Tabelle1!$A$1:$B$68,2,FALSE)</f>
        <v>Hameln-Pyrmont</v>
      </c>
      <c r="E1265" t="str">
        <f>'2020_5-2-2_Download'!$BH$7</f>
        <v>Insgesamt</v>
      </c>
      <c r="G1265" t="s">
        <v>84</v>
      </c>
      <c r="H1265" t="str">
        <f>VLOOKUP(B1265,[2]Kreise!$A$2:$C$53,3,FALSE)</f>
        <v>K03252</v>
      </c>
      <c r="I1265">
        <f>'2020_5-2-2_Download'!BH25</f>
        <v>2195</v>
      </c>
    </row>
    <row r="1266" spans="2:9">
      <c r="B1266">
        <f>'2020_5-2-2_Download'!B26</f>
        <v>254</v>
      </c>
      <c r="C1266">
        <f>'2020_5-2-2_Download'!$BH$5</f>
        <v>2011</v>
      </c>
      <c r="D1266" t="str">
        <f>VLOOKUP(B1266,[1]Tabelle1!$A$1:$B$68,2,FALSE)</f>
        <v>Hildesheim</v>
      </c>
      <c r="E1266" t="str">
        <f>'2020_5-2-2_Download'!$BH$7</f>
        <v>Insgesamt</v>
      </c>
      <c r="G1266" t="s">
        <v>84</v>
      </c>
      <c r="H1266" t="str">
        <f>VLOOKUP(B1266,[2]Kreise!$A$2:$C$53,3,FALSE)</f>
        <v>K03254</v>
      </c>
      <c r="I1266">
        <f>'2020_5-2-2_Download'!BH26</f>
        <v>2922</v>
      </c>
    </row>
    <row r="1267" spans="2:9">
      <c r="B1267">
        <f>'2020_5-2-2_Download'!B27</f>
        <v>255</v>
      </c>
      <c r="C1267">
        <f>'2020_5-2-2_Download'!$BH$5</f>
        <v>2011</v>
      </c>
      <c r="D1267" t="str">
        <f>VLOOKUP(B1267,[1]Tabelle1!$A$1:$B$68,2,FALSE)</f>
        <v>Holzminden</v>
      </c>
      <c r="E1267" t="str">
        <f>'2020_5-2-2_Download'!$BH$7</f>
        <v>Insgesamt</v>
      </c>
      <c r="G1267" t="s">
        <v>84</v>
      </c>
      <c r="H1267" t="str">
        <f>VLOOKUP(B1267,[2]Kreise!$A$2:$C$53,3,FALSE)</f>
        <v>K03255</v>
      </c>
      <c r="I1267">
        <f>'2020_5-2-2_Download'!BH27</f>
        <v>677</v>
      </c>
    </row>
    <row r="1268" spans="2:9">
      <c r="B1268">
        <f>'2020_5-2-2_Download'!B28</f>
        <v>256</v>
      </c>
      <c r="C1268">
        <f>'2020_5-2-2_Download'!$BH$5</f>
        <v>2011</v>
      </c>
      <c r="D1268" t="str">
        <f>VLOOKUP(B1268,[1]Tabelle1!$A$1:$B$68,2,FALSE)</f>
        <v>Nienburg (Weser)</v>
      </c>
      <c r="E1268" t="str">
        <f>'2020_5-2-2_Download'!$BH$7</f>
        <v>Insgesamt</v>
      </c>
      <c r="G1268" t="s">
        <v>84</v>
      </c>
      <c r="H1268" t="str">
        <f>VLOOKUP(B1268,[2]Kreise!$A$2:$C$53,3,FALSE)</f>
        <v>K03256</v>
      </c>
      <c r="I1268">
        <f>'2020_5-2-2_Download'!BH28</f>
        <v>1245</v>
      </c>
    </row>
    <row r="1269" spans="2:9">
      <c r="B1269">
        <f>'2020_5-2-2_Download'!B29</f>
        <v>257</v>
      </c>
      <c r="C1269">
        <f>'2020_5-2-2_Download'!$BH$5</f>
        <v>2011</v>
      </c>
      <c r="D1269" t="str">
        <f>VLOOKUP(B1269,[1]Tabelle1!$A$1:$B$68,2,FALSE)</f>
        <v>Schaumburg</v>
      </c>
      <c r="E1269" t="str">
        <f>'2020_5-2-2_Download'!$BH$7</f>
        <v>Insgesamt</v>
      </c>
      <c r="G1269" t="s">
        <v>84</v>
      </c>
      <c r="H1269" t="str">
        <f>VLOOKUP(B1269,[2]Kreise!$A$2:$C$53,3,FALSE)</f>
        <v>K03257</v>
      </c>
      <c r="I1269">
        <f>'2020_5-2-2_Download'!BH29</f>
        <v>1538</v>
      </c>
    </row>
    <row r="1270" spans="2:9">
      <c r="B1270">
        <f>'2020_5-2-2_Download'!B30</f>
        <v>2</v>
      </c>
      <c r="C1270">
        <f>'2020_5-2-2_Download'!$BH$5</f>
        <v>2011</v>
      </c>
      <c r="D1270" t="str">
        <f>VLOOKUP(B1270,[1]Tabelle1!$A$1:$B$68,2,FALSE)</f>
        <v>Stat. Region Hannover</v>
      </c>
      <c r="E1270" t="str">
        <f>'2020_5-2-2_Download'!$BH$7</f>
        <v>Insgesamt</v>
      </c>
      <c r="G1270" t="s">
        <v>84</v>
      </c>
      <c r="H1270" t="str">
        <f>VLOOKUP(B1270,[2]Kreise!$A$2:$C$53,3,FALSE)</f>
        <v>K032</v>
      </c>
      <c r="I1270">
        <f>'2020_5-2-2_Download'!BH30</f>
        <v>41643</v>
      </c>
    </row>
    <row r="1271" spans="2:9">
      <c r="B1271">
        <f>'2020_5-2-2_Download'!B31</f>
        <v>351</v>
      </c>
      <c r="C1271">
        <f>'2020_5-2-2_Download'!$BH$5</f>
        <v>2011</v>
      </c>
      <c r="D1271" t="str">
        <f>VLOOKUP(B1271,[1]Tabelle1!$A$1:$B$68,2,FALSE)</f>
        <v>Celle</v>
      </c>
      <c r="E1271" t="str">
        <f>'2020_5-2-2_Download'!$BH$7</f>
        <v>Insgesamt</v>
      </c>
      <c r="G1271" t="s">
        <v>84</v>
      </c>
      <c r="H1271" t="str">
        <f>VLOOKUP(B1271,[2]Kreise!$A$2:$C$53,3,FALSE)</f>
        <v>K03351</v>
      </c>
      <c r="I1271">
        <f>'2020_5-2-2_Download'!BH31</f>
        <v>1680</v>
      </c>
    </row>
    <row r="1272" spans="2:9">
      <c r="B1272">
        <f>'2020_5-2-2_Download'!B32</f>
        <v>352</v>
      </c>
      <c r="C1272">
        <f>'2020_5-2-2_Download'!$BH$5</f>
        <v>2011</v>
      </c>
      <c r="D1272" t="str">
        <f>VLOOKUP(B1272,[1]Tabelle1!$A$1:$B$68,2,FALSE)</f>
        <v>Cuxhaven</v>
      </c>
      <c r="E1272" t="str">
        <f>'2020_5-2-2_Download'!$BH$7</f>
        <v>Insgesamt</v>
      </c>
      <c r="G1272" t="s">
        <v>84</v>
      </c>
      <c r="H1272" t="str">
        <f>VLOOKUP(B1272,[2]Kreise!$A$2:$C$53,3,FALSE)</f>
        <v>K03352</v>
      </c>
      <c r="I1272">
        <f>'2020_5-2-2_Download'!BH32</f>
        <v>2066</v>
      </c>
    </row>
    <row r="1273" spans="2:9">
      <c r="B1273">
        <f>'2020_5-2-2_Download'!B33</f>
        <v>353</v>
      </c>
      <c r="C1273">
        <f>'2020_5-2-2_Download'!$BH$5</f>
        <v>2011</v>
      </c>
      <c r="D1273" t="str">
        <f>VLOOKUP(B1273,[1]Tabelle1!$A$1:$B$68,2,FALSE)</f>
        <v>Harburg</v>
      </c>
      <c r="E1273" t="str">
        <f>'2020_5-2-2_Download'!$BH$7</f>
        <v>Insgesamt</v>
      </c>
      <c r="G1273" t="s">
        <v>84</v>
      </c>
      <c r="H1273" t="str">
        <f>VLOOKUP(B1273,[2]Kreise!$A$2:$C$53,3,FALSE)</f>
        <v>K03353</v>
      </c>
      <c r="I1273">
        <f>'2020_5-2-2_Download'!BH33</f>
        <v>2595</v>
      </c>
    </row>
    <row r="1274" spans="2:9">
      <c r="B1274">
        <f>'2020_5-2-2_Download'!B34</f>
        <v>354</v>
      </c>
      <c r="C1274">
        <f>'2020_5-2-2_Download'!$BH$5</f>
        <v>2011</v>
      </c>
      <c r="D1274" t="str">
        <f>VLOOKUP(B1274,[1]Tabelle1!$A$1:$B$68,2,FALSE)</f>
        <v>Lüchow-Dannenberg</v>
      </c>
      <c r="E1274" t="str">
        <f>'2020_5-2-2_Download'!$BH$7</f>
        <v>Insgesamt</v>
      </c>
      <c r="G1274" t="s">
        <v>84</v>
      </c>
      <c r="H1274" t="str">
        <f>VLOOKUP(B1274,[2]Kreise!$A$2:$C$53,3,FALSE)</f>
        <v>K03354</v>
      </c>
      <c r="I1274">
        <f>'2020_5-2-2_Download'!BH34</f>
        <v>183</v>
      </c>
    </row>
    <row r="1275" spans="2:9">
      <c r="B1275">
        <f>'2020_5-2-2_Download'!B35</f>
        <v>355</v>
      </c>
      <c r="C1275">
        <f>'2020_5-2-2_Download'!$BH$5</f>
        <v>2011</v>
      </c>
      <c r="D1275" t="str">
        <f>VLOOKUP(B1275,[1]Tabelle1!$A$1:$B$68,2,FALSE)</f>
        <v>Lüneburg</v>
      </c>
      <c r="E1275" t="str">
        <f>'2020_5-2-2_Download'!$BH$7</f>
        <v>Insgesamt</v>
      </c>
      <c r="G1275" t="s">
        <v>84</v>
      </c>
      <c r="H1275" t="str">
        <f>VLOOKUP(B1275,[2]Kreise!$A$2:$C$53,3,FALSE)</f>
        <v>K03355</v>
      </c>
      <c r="I1275">
        <f>'2020_5-2-2_Download'!BH35</f>
        <v>1670</v>
      </c>
    </row>
    <row r="1276" spans="2:9">
      <c r="B1276">
        <f>'2020_5-2-2_Download'!B36</f>
        <v>356</v>
      </c>
      <c r="C1276">
        <f>'2020_5-2-2_Download'!$BH$5</f>
        <v>2011</v>
      </c>
      <c r="D1276" t="str">
        <f>VLOOKUP(B1276,[1]Tabelle1!$A$1:$B$68,2,FALSE)</f>
        <v>Osterholz</v>
      </c>
      <c r="E1276" t="str">
        <f>'2020_5-2-2_Download'!$BH$7</f>
        <v>Insgesamt</v>
      </c>
      <c r="G1276" t="s">
        <v>84</v>
      </c>
      <c r="H1276" t="str">
        <f>VLOOKUP(B1276,[2]Kreise!$A$2:$C$53,3,FALSE)</f>
        <v>K03356</v>
      </c>
      <c r="I1276">
        <f>'2020_5-2-2_Download'!BH36</f>
        <v>775</v>
      </c>
    </row>
    <row r="1277" spans="2:9">
      <c r="B1277">
        <f>'2020_5-2-2_Download'!B37</f>
        <v>357</v>
      </c>
      <c r="C1277">
        <f>'2020_5-2-2_Download'!$BH$5</f>
        <v>2011</v>
      </c>
      <c r="D1277" t="str">
        <f>VLOOKUP(B1277,[1]Tabelle1!$A$1:$B$68,2,FALSE)</f>
        <v>Rotenburg (Wümme)</v>
      </c>
      <c r="E1277" t="str">
        <f>'2020_5-2-2_Download'!$BH$7</f>
        <v>Insgesamt</v>
      </c>
      <c r="G1277" t="s">
        <v>84</v>
      </c>
      <c r="H1277" t="str">
        <f>VLOOKUP(B1277,[2]Kreise!$A$2:$C$53,3,FALSE)</f>
        <v>K03357</v>
      </c>
      <c r="I1277">
        <f>'2020_5-2-2_Download'!BH37</f>
        <v>1437</v>
      </c>
    </row>
    <row r="1278" spans="2:9">
      <c r="B1278">
        <f>'2020_5-2-2_Download'!B38</f>
        <v>358</v>
      </c>
      <c r="C1278">
        <f>'2020_5-2-2_Download'!$BH$5</f>
        <v>2011</v>
      </c>
      <c r="D1278" t="str">
        <f>VLOOKUP(B1278,[1]Tabelle1!$A$1:$B$68,2,FALSE)</f>
        <v>Heidekreis</v>
      </c>
      <c r="E1278" t="str">
        <f>'2020_5-2-2_Download'!$BH$7</f>
        <v>Insgesamt</v>
      </c>
      <c r="G1278" t="s">
        <v>84</v>
      </c>
      <c r="H1278" t="str">
        <f>VLOOKUP(B1278,[2]Kreise!$A$2:$C$53,3,FALSE)</f>
        <v>K03358</v>
      </c>
      <c r="I1278">
        <f>'2020_5-2-2_Download'!BH38</f>
        <v>1726</v>
      </c>
    </row>
    <row r="1279" spans="2:9">
      <c r="B1279">
        <f>'2020_5-2-2_Download'!B39</f>
        <v>359</v>
      </c>
      <c r="C1279">
        <f>'2020_5-2-2_Download'!$BH$5</f>
        <v>2011</v>
      </c>
      <c r="D1279" t="str">
        <f>VLOOKUP(B1279,[1]Tabelle1!$A$1:$B$68,2,FALSE)</f>
        <v>Stade</v>
      </c>
      <c r="E1279" t="str">
        <f>'2020_5-2-2_Download'!$BH$7</f>
        <v>Insgesamt</v>
      </c>
      <c r="G1279" t="s">
        <v>84</v>
      </c>
      <c r="H1279" t="str">
        <f>VLOOKUP(B1279,[2]Kreise!$A$2:$C$53,3,FALSE)</f>
        <v>K03359</v>
      </c>
      <c r="I1279">
        <f>'2020_5-2-2_Download'!BH39</f>
        <v>3800</v>
      </c>
    </row>
    <row r="1280" spans="2:9">
      <c r="B1280">
        <f>'2020_5-2-2_Download'!B40</f>
        <v>360</v>
      </c>
      <c r="C1280">
        <f>'2020_5-2-2_Download'!$BH$5</f>
        <v>2011</v>
      </c>
      <c r="D1280" t="str">
        <f>VLOOKUP(B1280,[1]Tabelle1!$A$1:$B$68,2,FALSE)</f>
        <v>Uelzen</v>
      </c>
      <c r="E1280" t="str">
        <f>'2020_5-2-2_Download'!$BH$7</f>
        <v>Insgesamt</v>
      </c>
      <c r="G1280" t="s">
        <v>84</v>
      </c>
      <c r="H1280" t="str">
        <f>VLOOKUP(B1280,[2]Kreise!$A$2:$C$53,3,FALSE)</f>
        <v>K03360</v>
      </c>
      <c r="I1280">
        <f>'2020_5-2-2_Download'!BH40</f>
        <v>596</v>
      </c>
    </row>
    <row r="1281" spans="2:9">
      <c r="B1281">
        <f>'2020_5-2-2_Download'!B41</f>
        <v>361</v>
      </c>
      <c r="C1281">
        <f>'2020_5-2-2_Download'!$BH$5</f>
        <v>2011</v>
      </c>
      <c r="D1281" t="str">
        <f>VLOOKUP(B1281,[1]Tabelle1!$A$1:$B$68,2,FALSE)</f>
        <v>Verden</v>
      </c>
      <c r="E1281" t="str">
        <f>'2020_5-2-2_Download'!$BH$7</f>
        <v>Insgesamt</v>
      </c>
      <c r="G1281" t="s">
        <v>84</v>
      </c>
      <c r="H1281" t="str">
        <f>VLOOKUP(B1281,[2]Kreise!$A$2:$C$53,3,FALSE)</f>
        <v>K03361</v>
      </c>
      <c r="I1281">
        <f>'2020_5-2-2_Download'!BH41</f>
        <v>1943</v>
      </c>
    </row>
    <row r="1282" spans="2:9">
      <c r="B1282">
        <f>'2020_5-2-2_Download'!B42</f>
        <v>3</v>
      </c>
      <c r="C1282">
        <f>'2020_5-2-2_Download'!$BH$5</f>
        <v>2011</v>
      </c>
      <c r="D1282" t="str">
        <f>VLOOKUP(B1282,[1]Tabelle1!$A$1:$B$68,2,FALSE)</f>
        <v>Stat. Region Lüneburg</v>
      </c>
      <c r="E1282" t="str">
        <f>'2020_5-2-2_Download'!$BH$7</f>
        <v>Insgesamt</v>
      </c>
      <c r="G1282" t="s">
        <v>84</v>
      </c>
      <c r="H1282" t="str">
        <f>VLOOKUP(B1282,[2]Kreise!$A$2:$C$53,3,FALSE)</f>
        <v>K033</v>
      </c>
      <c r="I1282">
        <f>'2020_5-2-2_Download'!BH42</f>
        <v>18471</v>
      </c>
    </row>
    <row r="1283" spans="2:9">
      <c r="B1283">
        <f>'2020_5-2-2_Download'!B43</f>
        <v>401</v>
      </c>
      <c r="C1283">
        <f>'2020_5-2-2_Download'!$BH$5</f>
        <v>2011</v>
      </c>
      <c r="D1283" t="str">
        <f>VLOOKUP(B1283,[1]Tabelle1!$A$1:$B$68,2,FALSE)</f>
        <v>Delmenhorst  Stadt</v>
      </c>
      <c r="E1283" t="str">
        <f>'2020_5-2-2_Download'!$BH$7</f>
        <v>Insgesamt</v>
      </c>
      <c r="G1283" t="s">
        <v>84</v>
      </c>
      <c r="H1283" t="str">
        <f>VLOOKUP(B1283,[2]Kreise!$A$2:$C$53,3,FALSE)</f>
        <v>K03401</v>
      </c>
      <c r="I1283">
        <f>'2020_5-2-2_Download'!BH43</f>
        <v>915</v>
      </c>
    </row>
    <row r="1284" spans="2:9">
      <c r="B1284">
        <f>'2020_5-2-2_Download'!B44</f>
        <v>402</v>
      </c>
      <c r="C1284">
        <f>'2020_5-2-2_Download'!$BH$5</f>
        <v>2011</v>
      </c>
      <c r="D1284" t="str">
        <f>VLOOKUP(B1284,[1]Tabelle1!$A$1:$B$68,2,FALSE)</f>
        <v>Emden  Stadt</v>
      </c>
      <c r="E1284" t="str">
        <f>'2020_5-2-2_Download'!$BH$7</f>
        <v>Insgesamt</v>
      </c>
      <c r="G1284" t="s">
        <v>84</v>
      </c>
      <c r="H1284" t="str">
        <f>VLOOKUP(B1284,[2]Kreise!$A$2:$C$53,3,FALSE)</f>
        <v>K03402</v>
      </c>
      <c r="I1284">
        <f>'2020_5-2-2_Download'!BH44</f>
        <v>909</v>
      </c>
    </row>
    <row r="1285" spans="2:9">
      <c r="B1285">
        <f>'2020_5-2-2_Download'!B45</f>
        <v>403</v>
      </c>
      <c r="C1285">
        <f>'2020_5-2-2_Download'!$BH$5</f>
        <v>2011</v>
      </c>
      <c r="D1285" t="str">
        <f>VLOOKUP(B1285,[1]Tabelle1!$A$1:$B$68,2,FALSE)</f>
        <v>Oldenburg(Oldb)  Stadt</v>
      </c>
      <c r="E1285" t="str">
        <f>'2020_5-2-2_Download'!$BH$7</f>
        <v>Insgesamt</v>
      </c>
      <c r="G1285" t="s">
        <v>84</v>
      </c>
      <c r="H1285" t="str">
        <f>VLOOKUP(B1285,[2]Kreise!$A$2:$C$53,3,FALSE)</f>
        <v>K03403</v>
      </c>
      <c r="I1285">
        <f>'2020_5-2-2_Download'!BH45</f>
        <v>2245</v>
      </c>
    </row>
    <row r="1286" spans="2:9">
      <c r="B1286">
        <f>'2020_5-2-2_Download'!B46</f>
        <v>404</v>
      </c>
      <c r="C1286">
        <f>'2020_5-2-2_Download'!$BH$5</f>
        <v>2011</v>
      </c>
      <c r="D1286" t="str">
        <f>VLOOKUP(B1286,[1]Tabelle1!$A$1:$B$68,2,FALSE)</f>
        <v>Osnabrück  Stadt</v>
      </c>
      <c r="E1286" t="str">
        <f>'2020_5-2-2_Download'!$BH$7</f>
        <v>Insgesamt</v>
      </c>
      <c r="G1286" t="s">
        <v>84</v>
      </c>
      <c r="H1286" t="str">
        <f>VLOOKUP(B1286,[2]Kreise!$A$2:$C$53,3,FALSE)</f>
        <v>K03404</v>
      </c>
      <c r="I1286">
        <f>'2020_5-2-2_Download'!BH46</f>
        <v>4333</v>
      </c>
    </row>
    <row r="1287" spans="2:9">
      <c r="B1287">
        <f>'2020_5-2-2_Download'!B47</f>
        <v>405</v>
      </c>
      <c r="C1287">
        <f>'2020_5-2-2_Download'!$BH$5</f>
        <v>2011</v>
      </c>
      <c r="D1287" t="str">
        <f>VLOOKUP(B1287,[1]Tabelle1!$A$1:$B$68,2,FALSE)</f>
        <v>Wilhelmshaven  Stadt</v>
      </c>
      <c r="E1287" t="str">
        <f>'2020_5-2-2_Download'!$BH$7</f>
        <v>Insgesamt</v>
      </c>
      <c r="G1287" t="s">
        <v>84</v>
      </c>
      <c r="H1287" t="str">
        <f>VLOOKUP(B1287,[2]Kreise!$A$2:$C$53,3,FALSE)</f>
        <v>K03405</v>
      </c>
      <c r="I1287">
        <f>'2020_5-2-2_Download'!BH47</f>
        <v>618</v>
      </c>
    </row>
    <row r="1288" spans="2:9">
      <c r="B1288">
        <f>'2020_5-2-2_Download'!B48</f>
        <v>451</v>
      </c>
      <c r="C1288">
        <f>'2020_5-2-2_Download'!$BH$5</f>
        <v>2011</v>
      </c>
      <c r="D1288" t="str">
        <f>VLOOKUP(B1288,[1]Tabelle1!$A$1:$B$68,2,FALSE)</f>
        <v>Ammerland</v>
      </c>
      <c r="E1288" t="str">
        <f>'2020_5-2-2_Download'!$BH$7</f>
        <v>Insgesamt</v>
      </c>
      <c r="G1288" t="s">
        <v>84</v>
      </c>
      <c r="H1288" t="str">
        <f>VLOOKUP(B1288,[2]Kreise!$A$2:$C$53,3,FALSE)</f>
        <v>K03451</v>
      </c>
      <c r="I1288">
        <f>'2020_5-2-2_Download'!BH48</f>
        <v>1467</v>
      </c>
    </row>
    <row r="1289" spans="2:9">
      <c r="B1289">
        <f>'2020_5-2-2_Download'!B49</f>
        <v>452</v>
      </c>
      <c r="C1289">
        <f>'2020_5-2-2_Download'!$BH$5</f>
        <v>2011</v>
      </c>
      <c r="D1289" t="str">
        <f>VLOOKUP(B1289,[1]Tabelle1!$A$1:$B$68,2,FALSE)</f>
        <v>Aurich</v>
      </c>
      <c r="E1289" t="str">
        <f>'2020_5-2-2_Download'!$BH$7</f>
        <v>Insgesamt</v>
      </c>
      <c r="G1289" t="s">
        <v>84</v>
      </c>
      <c r="H1289" t="str">
        <f>VLOOKUP(B1289,[2]Kreise!$A$2:$C$53,3,FALSE)</f>
        <v>K03452</v>
      </c>
      <c r="I1289">
        <f>'2020_5-2-2_Download'!BH49</f>
        <v>1508</v>
      </c>
    </row>
    <row r="1290" spans="2:9">
      <c r="B1290">
        <f>'2020_5-2-2_Download'!B50</f>
        <v>453</v>
      </c>
      <c r="C1290">
        <f>'2020_5-2-2_Download'!$BH$5</f>
        <v>2011</v>
      </c>
      <c r="D1290" t="str">
        <f>VLOOKUP(B1290,[1]Tabelle1!$A$1:$B$68,2,FALSE)</f>
        <v>Cloppenburg</v>
      </c>
      <c r="E1290" t="str">
        <f>'2020_5-2-2_Download'!$BH$7</f>
        <v>Insgesamt</v>
      </c>
      <c r="G1290" t="s">
        <v>84</v>
      </c>
      <c r="H1290" t="str">
        <f>VLOOKUP(B1290,[2]Kreise!$A$2:$C$53,3,FALSE)</f>
        <v>K03453</v>
      </c>
      <c r="I1290">
        <f>'2020_5-2-2_Download'!BH50</f>
        <v>2649</v>
      </c>
    </row>
    <row r="1291" spans="2:9">
      <c r="B1291">
        <f>'2020_5-2-2_Download'!B51</f>
        <v>454</v>
      </c>
      <c r="C1291">
        <f>'2020_5-2-2_Download'!$BH$5</f>
        <v>2011</v>
      </c>
      <c r="D1291" t="str">
        <f>VLOOKUP(B1291,[1]Tabelle1!$A$1:$B$68,2,FALSE)</f>
        <v>Emsland</v>
      </c>
      <c r="E1291" t="str">
        <f>'2020_5-2-2_Download'!$BH$7</f>
        <v>Insgesamt</v>
      </c>
      <c r="G1291" t="s">
        <v>84</v>
      </c>
      <c r="H1291" t="str">
        <f>VLOOKUP(B1291,[2]Kreise!$A$2:$C$53,3,FALSE)</f>
        <v>K03454</v>
      </c>
      <c r="I1291">
        <f>'2020_5-2-2_Download'!BH51</f>
        <v>3084</v>
      </c>
    </row>
    <row r="1292" spans="2:9">
      <c r="B1292">
        <f>'2020_5-2-2_Download'!B52</f>
        <v>455</v>
      </c>
      <c r="C1292">
        <f>'2020_5-2-2_Download'!$BH$5</f>
        <v>2011</v>
      </c>
      <c r="D1292" t="str">
        <f>VLOOKUP(B1292,[1]Tabelle1!$A$1:$B$68,2,FALSE)</f>
        <v>Friesland</v>
      </c>
      <c r="E1292" t="str">
        <f>'2020_5-2-2_Download'!$BH$7</f>
        <v>Insgesamt</v>
      </c>
      <c r="G1292" t="s">
        <v>84</v>
      </c>
      <c r="H1292" t="str">
        <f>VLOOKUP(B1292,[2]Kreise!$A$2:$C$53,3,FALSE)</f>
        <v>K03455</v>
      </c>
      <c r="I1292">
        <f>'2020_5-2-2_Download'!BH52</f>
        <v>544</v>
      </c>
    </row>
    <row r="1293" spans="2:9">
      <c r="B1293">
        <f>'2020_5-2-2_Download'!B53</f>
        <v>456</v>
      </c>
      <c r="C1293">
        <f>'2020_5-2-2_Download'!$BH$5</f>
        <v>2011</v>
      </c>
      <c r="D1293" t="str">
        <f>VLOOKUP(B1293,[1]Tabelle1!$A$1:$B$68,2,FALSE)</f>
        <v>Grafschaft Bentheim</v>
      </c>
      <c r="E1293" t="str">
        <f>'2020_5-2-2_Download'!$BH$7</f>
        <v>Insgesamt</v>
      </c>
      <c r="G1293" t="s">
        <v>84</v>
      </c>
      <c r="H1293" t="str">
        <f>VLOOKUP(B1293,[2]Kreise!$A$2:$C$53,3,FALSE)</f>
        <v>K03456</v>
      </c>
      <c r="I1293">
        <f>'2020_5-2-2_Download'!BH53</f>
        <v>1987</v>
      </c>
    </row>
    <row r="1294" spans="2:9">
      <c r="B1294">
        <f>'2020_5-2-2_Download'!B54</f>
        <v>457</v>
      </c>
      <c r="C1294">
        <f>'2020_5-2-2_Download'!$BH$5</f>
        <v>2011</v>
      </c>
      <c r="D1294" t="str">
        <f>VLOOKUP(B1294,[1]Tabelle1!$A$1:$B$68,2,FALSE)</f>
        <v>Leer</v>
      </c>
      <c r="E1294" t="str">
        <f>'2020_5-2-2_Download'!$BH$7</f>
        <v>Insgesamt</v>
      </c>
      <c r="G1294" t="s">
        <v>84</v>
      </c>
      <c r="H1294" t="str">
        <f>VLOOKUP(B1294,[2]Kreise!$A$2:$C$53,3,FALSE)</f>
        <v>K03457</v>
      </c>
      <c r="I1294">
        <f>'2020_5-2-2_Download'!BH54</f>
        <v>1537</v>
      </c>
    </row>
    <row r="1295" spans="2:9">
      <c r="B1295">
        <f>'2020_5-2-2_Download'!B55</f>
        <v>458</v>
      </c>
      <c r="C1295">
        <f>'2020_5-2-2_Download'!$BH$5</f>
        <v>2011</v>
      </c>
      <c r="D1295" t="str">
        <f>VLOOKUP(B1295,[1]Tabelle1!$A$1:$B$68,2,FALSE)</f>
        <v>Oldenburg</v>
      </c>
      <c r="E1295" t="str">
        <f>'2020_5-2-2_Download'!$BH$7</f>
        <v>Insgesamt</v>
      </c>
      <c r="G1295" t="s">
        <v>84</v>
      </c>
      <c r="H1295" t="str">
        <f>VLOOKUP(B1295,[2]Kreise!$A$2:$C$53,3,FALSE)</f>
        <v>K03458</v>
      </c>
      <c r="I1295">
        <f>'2020_5-2-2_Download'!BH55</f>
        <v>1372</v>
      </c>
    </row>
    <row r="1296" spans="2:9">
      <c r="B1296">
        <f>'2020_5-2-2_Download'!B56</f>
        <v>459</v>
      </c>
      <c r="C1296">
        <f>'2020_5-2-2_Download'!$BH$5</f>
        <v>2011</v>
      </c>
      <c r="D1296" t="str">
        <f>VLOOKUP(B1296,[1]Tabelle1!$A$1:$B$68,2,FALSE)</f>
        <v>Osnabrück</v>
      </c>
      <c r="E1296" t="str">
        <f>'2020_5-2-2_Download'!$BH$7</f>
        <v>Insgesamt</v>
      </c>
      <c r="G1296" t="s">
        <v>84</v>
      </c>
      <c r="H1296" t="str">
        <f>VLOOKUP(B1296,[2]Kreise!$A$2:$C$53,3,FALSE)</f>
        <v>K03459</v>
      </c>
      <c r="I1296">
        <f>'2020_5-2-2_Download'!BH56</f>
        <v>6322</v>
      </c>
    </row>
    <row r="1297" spans="2:9">
      <c r="B1297">
        <f>'2020_5-2-2_Download'!B57</f>
        <v>460</v>
      </c>
      <c r="C1297">
        <f>'2020_5-2-2_Download'!$BH$5</f>
        <v>2011</v>
      </c>
      <c r="D1297" t="str">
        <f>VLOOKUP(B1297,[1]Tabelle1!$A$1:$B$68,2,FALSE)</f>
        <v>Vechta</v>
      </c>
      <c r="E1297" t="str">
        <f>'2020_5-2-2_Download'!$BH$7</f>
        <v>Insgesamt</v>
      </c>
      <c r="G1297" t="s">
        <v>84</v>
      </c>
      <c r="H1297" t="str">
        <f>VLOOKUP(B1297,[2]Kreise!$A$2:$C$53,3,FALSE)</f>
        <v>K03460</v>
      </c>
      <c r="I1297">
        <f>'2020_5-2-2_Download'!BH57</f>
        <v>4812</v>
      </c>
    </row>
    <row r="1298" spans="2:9">
      <c r="B1298">
        <f>'2020_5-2-2_Download'!B58</f>
        <v>461</v>
      </c>
      <c r="C1298">
        <f>'2020_5-2-2_Download'!$BH$5</f>
        <v>2011</v>
      </c>
      <c r="D1298" t="str">
        <f>VLOOKUP(B1298,[1]Tabelle1!$A$1:$B$68,2,FALSE)</f>
        <v>Wesermarsch</v>
      </c>
      <c r="E1298" t="str">
        <f>'2020_5-2-2_Download'!$BH$7</f>
        <v>Insgesamt</v>
      </c>
      <c r="G1298" t="s">
        <v>84</v>
      </c>
      <c r="H1298" t="str">
        <f>VLOOKUP(B1298,[2]Kreise!$A$2:$C$53,3,FALSE)</f>
        <v>K03461</v>
      </c>
      <c r="I1298">
        <f>'2020_5-2-2_Download'!BH58</f>
        <v>931</v>
      </c>
    </row>
    <row r="1299" spans="2:9">
      <c r="B1299">
        <f>'2020_5-2-2_Download'!B59</f>
        <v>462</v>
      </c>
      <c r="C1299">
        <f>'2020_5-2-2_Download'!$BH$5</f>
        <v>2011</v>
      </c>
      <c r="D1299" t="str">
        <f>VLOOKUP(B1299,[1]Tabelle1!$A$1:$B$68,2,FALSE)</f>
        <v>Wittmund</v>
      </c>
      <c r="E1299" t="str">
        <f>'2020_5-2-2_Download'!$BH$7</f>
        <v>Insgesamt</v>
      </c>
      <c r="G1299" t="s">
        <v>84</v>
      </c>
      <c r="H1299" t="str">
        <f>VLOOKUP(B1299,[2]Kreise!$A$2:$C$53,3,FALSE)</f>
        <v>K03462</v>
      </c>
      <c r="I1299">
        <f>'2020_5-2-2_Download'!BH59</f>
        <v>389</v>
      </c>
    </row>
    <row r="1300" spans="2:9">
      <c r="B1300">
        <f>'2020_5-2-2_Download'!B60</f>
        <v>4</v>
      </c>
      <c r="C1300">
        <f>'2020_5-2-2_Download'!$BH$5</f>
        <v>2011</v>
      </c>
      <c r="D1300" t="str">
        <f>VLOOKUP(B1300,[1]Tabelle1!$A$1:$B$68,2,FALSE)</f>
        <v>Stat. Region Weser-Ems</v>
      </c>
      <c r="E1300" t="str">
        <f>'2020_5-2-2_Download'!$BH$7</f>
        <v>Insgesamt</v>
      </c>
      <c r="G1300" t="s">
        <v>84</v>
      </c>
      <c r="H1300" t="str">
        <f>VLOOKUP(B1300,[2]Kreise!$A$2:$C$53,3,FALSE)</f>
        <v>K034</v>
      </c>
      <c r="I1300">
        <f>'2020_5-2-2_Download'!BH60</f>
        <v>35622</v>
      </c>
    </row>
    <row r="1301" spans="2:9">
      <c r="B1301">
        <f>'2020_5-2-2_Download'!B61</f>
        <v>0</v>
      </c>
      <c r="C1301">
        <f>'2020_5-2-2_Download'!$BH$5</f>
        <v>2011</v>
      </c>
      <c r="D1301" t="str">
        <f>VLOOKUP(B1301,[1]Tabelle1!$A$1:$B$68,2,FALSE)</f>
        <v>Niedersachsen</v>
      </c>
      <c r="E1301" t="str">
        <f>'2020_5-2-2_Download'!$BH$7</f>
        <v>Insgesamt</v>
      </c>
      <c r="G1301" t="s">
        <v>84</v>
      </c>
      <c r="H1301" t="str">
        <f>VLOOKUP(B1301,[2]Kreise!$A$2:$C$53,3,FALSE)</f>
        <v>K030</v>
      </c>
      <c r="I1301">
        <f>'2020_5-2-2_Download'!BH61</f>
        <v>120849</v>
      </c>
    </row>
    <row r="1302" spans="2:9">
      <c r="B1302">
        <f>'2020_5-2-2_Download'!B10</f>
        <v>101</v>
      </c>
      <c r="C1302">
        <f>'2020_5-2-2_Download'!$BH$5</f>
        <v>2011</v>
      </c>
      <c r="D1302" t="str">
        <f>VLOOKUP(B1302,[1]Tabelle1!$A$1:$B$68,2,FALSE)</f>
        <v>Braunschweig  Stadt</v>
      </c>
      <c r="E1302" t="str">
        <f>'2020_5-2-2_Download'!$BI$7</f>
        <v>Männer</v>
      </c>
      <c r="G1302" t="s">
        <v>84</v>
      </c>
      <c r="H1302" t="str">
        <f>VLOOKUP(B1302,[2]Kreise!$A$2:$C$53,3,FALSE)</f>
        <v>K03101</v>
      </c>
      <c r="I1302">
        <f>'2020_5-2-2_Download'!BI10</f>
        <v>2923</v>
      </c>
    </row>
    <row r="1303" spans="2:9">
      <c r="B1303">
        <f>'2020_5-2-2_Download'!B11</f>
        <v>102</v>
      </c>
      <c r="C1303">
        <f>'2020_5-2-2_Download'!$BH$5</f>
        <v>2011</v>
      </c>
      <c r="D1303" t="str">
        <f>VLOOKUP(B1303,[1]Tabelle1!$A$1:$B$68,2,FALSE)</f>
        <v>Salzgitter  Stadt</v>
      </c>
      <c r="E1303" t="str">
        <f>'2020_5-2-2_Download'!$BI$7</f>
        <v>Männer</v>
      </c>
      <c r="G1303" t="s">
        <v>84</v>
      </c>
      <c r="H1303" t="str">
        <f>VLOOKUP(B1303,[2]Kreise!$A$2:$C$53,3,FALSE)</f>
        <v>K03102</v>
      </c>
      <c r="I1303">
        <f>'2020_5-2-2_Download'!BI11</f>
        <v>2252</v>
      </c>
    </row>
    <row r="1304" spans="2:9">
      <c r="B1304">
        <f>'2020_5-2-2_Download'!B12</f>
        <v>103</v>
      </c>
      <c r="C1304">
        <f>'2020_5-2-2_Download'!$BH$5</f>
        <v>2011</v>
      </c>
      <c r="D1304" t="str">
        <f>VLOOKUP(B1304,[1]Tabelle1!$A$1:$B$68,2,FALSE)</f>
        <v>Wolfsburg  Stadt</v>
      </c>
      <c r="E1304" t="str">
        <f>'2020_5-2-2_Download'!$BI$7</f>
        <v>Männer</v>
      </c>
      <c r="G1304" t="s">
        <v>84</v>
      </c>
      <c r="H1304" t="str">
        <f>VLOOKUP(B1304,[2]Kreise!$A$2:$C$53,3,FALSE)</f>
        <v>K03103</v>
      </c>
      <c r="I1304">
        <f>'2020_5-2-2_Download'!BI12</f>
        <v>4848</v>
      </c>
    </row>
    <row r="1305" spans="2:9">
      <c r="B1305">
        <f>'2020_5-2-2_Download'!B13</f>
        <v>151</v>
      </c>
      <c r="C1305">
        <f>'2020_5-2-2_Download'!$BH$5</f>
        <v>2011</v>
      </c>
      <c r="D1305" t="str">
        <f>VLOOKUP(B1305,[1]Tabelle1!$A$1:$B$68,2,FALSE)</f>
        <v>Gifhorn</v>
      </c>
      <c r="E1305" t="str">
        <f>'2020_5-2-2_Download'!$BI$7</f>
        <v>Männer</v>
      </c>
      <c r="G1305" t="s">
        <v>84</v>
      </c>
      <c r="H1305" t="str">
        <f>VLOOKUP(B1305,[2]Kreise!$A$2:$C$53,3,FALSE)</f>
        <v>K03151</v>
      </c>
      <c r="I1305">
        <f>'2020_5-2-2_Download'!BI13</f>
        <v>908</v>
      </c>
    </row>
    <row r="1306" spans="2:9">
      <c r="B1306">
        <f>'2020_5-2-2_Download'!B14</f>
        <v>153</v>
      </c>
      <c r="C1306">
        <f>'2020_5-2-2_Download'!$BH$5</f>
        <v>2011</v>
      </c>
      <c r="D1306" t="str">
        <f>VLOOKUP(B1306,[1]Tabelle1!$A$1:$B$68,2,FALSE)</f>
        <v>Goslar</v>
      </c>
      <c r="E1306" t="str">
        <f>'2020_5-2-2_Download'!$BI$7</f>
        <v>Männer</v>
      </c>
      <c r="G1306" t="s">
        <v>84</v>
      </c>
      <c r="H1306" t="str">
        <f>VLOOKUP(B1306,[2]Kreise!$A$2:$C$53,3,FALSE)</f>
        <v>K03153</v>
      </c>
      <c r="I1306">
        <f>'2020_5-2-2_Download'!BI14</f>
        <v>911</v>
      </c>
    </row>
    <row r="1307" spans="2:9">
      <c r="B1307">
        <f>'2020_5-2-2_Download'!B15</f>
        <v>154</v>
      </c>
      <c r="C1307">
        <f>'2020_5-2-2_Download'!$BH$5</f>
        <v>2011</v>
      </c>
      <c r="D1307" t="str">
        <f>VLOOKUP(B1307,[1]Tabelle1!$A$1:$B$68,2,FALSE)</f>
        <v>Helmstedt</v>
      </c>
      <c r="E1307" t="str">
        <f>'2020_5-2-2_Download'!$BI$7</f>
        <v>Männer</v>
      </c>
      <c r="G1307" t="s">
        <v>84</v>
      </c>
      <c r="H1307" t="str">
        <f>VLOOKUP(B1307,[2]Kreise!$A$2:$C$53,3,FALSE)</f>
        <v>K03154</v>
      </c>
      <c r="I1307">
        <f>'2020_5-2-2_Download'!BI15</f>
        <v>251</v>
      </c>
    </row>
    <row r="1308" spans="2:9">
      <c r="B1308">
        <f>'2020_5-2-2_Download'!B16</f>
        <v>155</v>
      </c>
      <c r="C1308">
        <f>'2020_5-2-2_Download'!$BH$5</f>
        <v>2011</v>
      </c>
      <c r="D1308" t="str">
        <f>VLOOKUP(B1308,[1]Tabelle1!$A$1:$B$68,2,FALSE)</f>
        <v>Northeim</v>
      </c>
      <c r="E1308" t="str">
        <f>'2020_5-2-2_Download'!$BI$7</f>
        <v>Männer</v>
      </c>
      <c r="G1308" t="s">
        <v>84</v>
      </c>
      <c r="H1308" t="str">
        <f>VLOOKUP(B1308,[2]Kreise!$A$2:$C$53,3,FALSE)</f>
        <v>K03155</v>
      </c>
      <c r="I1308">
        <f>'2020_5-2-2_Download'!BI16</f>
        <v>681</v>
      </c>
    </row>
    <row r="1309" spans="2:9">
      <c r="B1309">
        <f>'2020_5-2-2_Download'!B17</f>
        <v>157</v>
      </c>
      <c r="C1309">
        <f>'2020_5-2-2_Download'!$BH$5</f>
        <v>2011</v>
      </c>
      <c r="D1309" t="str">
        <f>VLOOKUP(B1309,[1]Tabelle1!$A$1:$B$68,2,FALSE)</f>
        <v>Peine</v>
      </c>
      <c r="E1309" t="str">
        <f>'2020_5-2-2_Download'!$BI$7</f>
        <v>Männer</v>
      </c>
      <c r="G1309" t="s">
        <v>84</v>
      </c>
      <c r="H1309" t="str">
        <f>VLOOKUP(B1309,[2]Kreise!$A$2:$C$53,3,FALSE)</f>
        <v>K03157</v>
      </c>
      <c r="I1309">
        <f>'2020_5-2-2_Download'!BI17</f>
        <v>805</v>
      </c>
    </row>
    <row r="1310" spans="2:9">
      <c r="B1310">
        <f>'2020_5-2-2_Download'!B18</f>
        <v>158</v>
      </c>
      <c r="C1310">
        <f>'2020_5-2-2_Download'!$BH$5</f>
        <v>2011</v>
      </c>
      <c r="D1310" t="str">
        <f>VLOOKUP(B1310,[1]Tabelle1!$A$1:$B$68,2,FALSE)</f>
        <v>Wolfenbüttel</v>
      </c>
      <c r="E1310" t="str">
        <f>'2020_5-2-2_Download'!$BI$7</f>
        <v>Männer</v>
      </c>
      <c r="G1310" t="s">
        <v>84</v>
      </c>
      <c r="H1310" t="str">
        <f>VLOOKUP(B1310,[2]Kreise!$A$2:$C$53,3,FALSE)</f>
        <v>K03158</v>
      </c>
      <c r="I1310">
        <f>'2020_5-2-2_Download'!BI18</f>
        <v>305</v>
      </c>
    </row>
    <row r="1311" spans="2:9">
      <c r="B1311">
        <f>'2020_5-2-2_Download'!B19</f>
        <v>159</v>
      </c>
      <c r="C1311">
        <f>'2020_5-2-2_Download'!$BH$5</f>
        <v>2011</v>
      </c>
      <c r="D1311" t="str">
        <f>VLOOKUP(B1311,[1]Tabelle1!$A$1:$B$68,2,FALSE)</f>
        <v>Göttingen</v>
      </c>
      <c r="E1311" t="str">
        <f>'2020_5-2-2_Download'!$BI$7</f>
        <v>Männer</v>
      </c>
      <c r="G1311" t="s">
        <v>84</v>
      </c>
      <c r="H1311" t="str">
        <f>VLOOKUP(B1311,[2]Kreise!$A$2:$C$53,3,FALSE)</f>
        <v>K03159</v>
      </c>
      <c r="I1311">
        <f>'2020_5-2-2_Download'!BI19</f>
        <v>2780</v>
      </c>
    </row>
    <row r="1312" spans="2:9">
      <c r="B1312">
        <f>'2020_5-2-2_Download'!B20</f>
        <v>1</v>
      </c>
      <c r="C1312">
        <f>'2020_5-2-2_Download'!$BH$5</f>
        <v>2011</v>
      </c>
      <c r="D1312" t="str">
        <f>VLOOKUP(B1312,[1]Tabelle1!$A$1:$B$68,2,FALSE)</f>
        <v>Stat. Region Braunschweig</v>
      </c>
      <c r="E1312" t="str">
        <f>'2020_5-2-2_Download'!$BI$7</f>
        <v>Männer</v>
      </c>
      <c r="G1312" t="s">
        <v>84</v>
      </c>
      <c r="H1312" t="str">
        <f>VLOOKUP(B1312,[2]Kreise!$A$2:$C$53,3,FALSE)</f>
        <v>K031</v>
      </c>
      <c r="I1312">
        <f>'2020_5-2-2_Download'!BI20</f>
        <v>16687</v>
      </c>
    </row>
    <row r="1313" spans="2:9">
      <c r="B1313">
        <f>'2020_5-2-2_Download'!B21</f>
        <v>241</v>
      </c>
      <c r="C1313">
        <f>'2020_5-2-2_Download'!$BH$5</f>
        <v>2011</v>
      </c>
      <c r="D1313" t="str">
        <f>VLOOKUP(B1313,[1]Tabelle1!$A$1:$B$68,2,FALSE)</f>
        <v>Hannover  Region</v>
      </c>
      <c r="E1313" t="str">
        <f>'2020_5-2-2_Download'!$BI$7</f>
        <v>Männer</v>
      </c>
      <c r="G1313" t="s">
        <v>84</v>
      </c>
      <c r="H1313" t="str">
        <f>VLOOKUP(B1313,[2]Kreise!$A$2:$C$53,3,FALSE)</f>
        <v>K03241</v>
      </c>
      <c r="I1313">
        <f>'2020_5-2-2_Download'!BI21</f>
        <v>18295</v>
      </c>
    </row>
    <row r="1314" spans="2:9">
      <c r="B1314">
        <f>'2020_5-2-2_Download'!B22</f>
        <v>241001</v>
      </c>
      <c r="C1314">
        <f>'2020_5-2-2_Download'!$BH$5</f>
        <v>2011</v>
      </c>
      <c r="D1314" t="str">
        <f>VLOOKUP(B1314,[1]Tabelle1!$A$1:$B$68,2,FALSE)</f>
        <v>dav. Hannover  Lhst.</v>
      </c>
      <c r="E1314" t="str">
        <f>'2020_5-2-2_Download'!$BI$7</f>
        <v>Männer</v>
      </c>
      <c r="G1314" t="s">
        <v>84</v>
      </c>
      <c r="H1314" t="str">
        <f>VLOOKUP(B1314,[2]Kreise!$A$2:$C$53,3,FALSE)</f>
        <v>K03241001</v>
      </c>
      <c r="I1314">
        <f>'2020_5-2-2_Download'!BI22</f>
        <v>11991</v>
      </c>
    </row>
    <row r="1315" spans="2:9">
      <c r="B1315">
        <f>'2020_5-2-2_Download'!B23</f>
        <v>241999</v>
      </c>
      <c r="C1315">
        <f>'2020_5-2-2_Download'!$BH$5</f>
        <v>2011</v>
      </c>
      <c r="D1315" t="str">
        <f>VLOOKUP(B1315,[1]Tabelle1!$A$1:$B$68,2,FALSE)</f>
        <v>dav. Hannover  Umland</v>
      </c>
      <c r="E1315" t="str">
        <f>'2020_5-2-2_Download'!$BI$7</f>
        <v>Männer</v>
      </c>
      <c r="G1315" t="s">
        <v>84</v>
      </c>
      <c r="H1315" t="str">
        <f>VLOOKUP(B1315,[2]Kreise!$A$2:$C$53,3,FALSE)</f>
        <v>K03241999</v>
      </c>
      <c r="I1315">
        <f>'2020_5-2-2_Download'!BI23</f>
        <v>0</v>
      </c>
    </row>
    <row r="1316" spans="2:9">
      <c r="B1316">
        <f>'2020_5-2-2_Download'!B24</f>
        <v>251</v>
      </c>
      <c r="C1316">
        <f>'2020_5-2-2_Download'!$BH$5</f>
        <v>2011</v>
      </c>
      <c r="D1316" t="str">
        <f>VLOOKUP(B1316,[1]Tabelle1!$A$1:$B$68,2,FALSE)</f>
        <v>Diepholz</v>
      </c>
      <c r="E1316" t="str">
        <f>'2020_5-2-2_Download'!$BI$7</f>
        <v>Männer</v>
      </c>
      <c r="G1316" t="s">
        <v>84</v>
      </c>
      <c r="H1316" t="str">
        <f>VLOOKUP(B1316,[2]Kreise!$A$2:$C$53,3,FALSE)</f>
        <v>K03251</v>
      </c>
      <c r="I1316">
        <f>'2020_5-2-2_Download'!BI24</f>
        <v>1364</v>
      </c>
    </row>
    <row r="1317" spans="2:9">
      <c r="B1317">
        <f>'2020_5-2-2_Download'!B25</f>
        <v>252</v>
      </c>
      <c r="C1317">
        <f>'2020_5-2-2_Download'!$BH$5</f>
        <v>2011</v>
      </c>
      <c r="D1317" t="str">
        <f>VLOOKUP(B1317,[1]Tabelle1!$A$1:$B$68,2,FALSE)</f>
        <v>Hameln-Pyrmont</v>
      </c>
      <c r="E1317" t="str">
        <f>'2020_5-2-2_Download'!$BI$7</f>
        <v>Männer</v>
      </c>
      <c r="G1317" t="s">
        <v>84</v>
      </c>
      <c r="H1317" t="str">
        <f>VLOOKUP(B1317,[2]Kreise!$A$2:$C$53,3,FALSE)</f>
        <v>K03252</v>
      </c>
      <c r="I1317">
        <f>'2020_5-2-2_Download'!BI25</f>
        <v>1247</v>
      </c>
    </row>
    <row r="1318" spans="2:9">
      <c r="B1318">
        <f>'2020_5-2-2_Download'!B26</f>
        <v>254</v>
      </c>
      <c r="C1318">
        <f>'2020_5-2-2_Download'!$BH$5</f>
        <v>2011</v>
      </c>
      <c r="D1318" t="str">
        <f>VLOOKUP(B1318,[1]Tabelle1!$A$1:$B$68,2,FALSE)</f>
        <v>Hildesheim</v>
      </c>
      <c r="E1318" t="str">
        <f>'2020_5-2-2_Download'!$BI$7</f>
        <v>Männer</v>
      </c>
      <c r="G1318" t="s">
        <v>84</v>
      </c>
      <c r="H1318" t="str">
        <f>VLOOKUP(B1318,[2]Kreise!$A$2:$C$53,3,FALSE)</f>
        <v>K03254</v>
      </c>
      <c r="I1318">
        <f>'2020_5-2-2_Download'!BI26</f>
        <v>1830</v>
      </c>
    </row>
    <row r="1319" spans="2:9">
      <c r="B1319">
        <f>'2020_5-2-2_Download'!B27</f>
        <v>255</v>
      </c>
      <c r="C1319">
        <f>'2020_5-2-2_Download'!$BH$5</f>
        <v>2011</v>
      </c>
      <c r="D1319" t="str">
        <f>VLOOKUP(B1319,[1]Tabelle1!$A$1:$B$68,2,FALSE)</f>
        <v>Holzminden</v>
      </c>
      <c r="E1319" t="str">
        <f>'2020_5-2-2_Download'!$BI$7</f>
        <v>Männer</v>
      </c>
      <c r="G1319" t="s">
        <v>84</v>
      </c>
      <c r="H1319" t="str">
        <f>VLOOKUP(B1319,[2]Kreise!$A$2:$C$53,3,FALSE)</f>
        <v>K03255</v>
      </c>
      <c r="I1319">
        <f>'2020_5-2-2_Download'!BI27</f>
        <v>455</v>
      </c>
    </row>
    <row r="1320" spans="2:9">
      <c r="B1320">
        <f>'2020_5-2-2_Download'!B28</f>
        <v>256</v>
      </c>
      <c r="C1320">
        <f>'2020_5-2-2_Download'!$BH$5</f>
        <v>2011</v>
      </c>
      <c r="D1320" t="str">
        <f>VLOOKUP(B1320,[1]Tabelle1!$A$1:$B$68,2,FALSE)</f>
        <v>Nienburg (Weser)</v>
      </c>
      <c r="E1320" t="str">
        <f>'2020_5-2-2_Download'!$BI$7</f>
        <v>Männer</v>
      </c>
      <c r="G1320" t="s">
        <v>84</v>
      </c>
      <c r="H1320" t="str">
        <f>VLOOKUP(B1320,[2]Kreise!$A$2:$C$53,3,FALSE)</f>
        <v>K03256</v>
      </c>
      <c r="I1320">
        <f>'2020_5-2-2_Download'!BI28</f>
        <v>865</v>
      </c>
    </row>
    <row r="1321" spans="2:9">
      <c r="B1321">
        <f>'2020_5-2-2_Download'!B29</f>
        <v>257</v>
      </c>
      <c r="C1321">
        <f>'2020_5-2-2_Download'!$BH$5</f>
        <v>2011</v>
      </c>
      <c r="D1321" t="str">
        <f>VLOOKUP(B1321,[1]Tabelle1!$A$1:$B$68,2,FALSE)</f>
        <v>Schaumburg</v>
      </c>
      <c r="E1321" t="str">
        <f>'2020_5-2-2_Download'!$BI$7</f>
        <v>Männer</v>
      </c>
      <c r="G1321" t="s">
        <v>84</v>
      </c>
      <c r="H1321" t="str">
        <f>VLOOKUP(B1321,[2]Kreise!$A$2:$C$53,3,FALSE)</f>
        <v>K03257</v>
      </c>
      <c r="I1321">
        <f>'2020_5-2-2_Download'!BI29</f>
        <v>989</v>
      </c>
    </row>
    <row r="1322" spans="2:9">
      <c r="B1322">
        <f>'2020_5-2-2_Download'!B30</f>
        <v>2</v>
      </c>
      <c r="C1322">
        <f>'2020_5-2-2_Download'!$BH$5</f>
        <v>2011</v>
      </c>
      <c r="D1322" t="str">
        <f>VLOOKUP(B1322,[1]Tabelle1!$A$1:$B$68,2,FALSE)</f>
        <v>Stat. Region Hannover</v>
      </c>
      <c r="E1322" t="str">
        <f>'2020_5-2-2_Download'!$BI$7</f>
        <v>Männer</v>
      </c>
      <c r="G1322" t="s">
        <v>84</v>
      </c>
      <c r="H1322" t="str">
        <f>VLOOKUP(B1322,[2]Kreise!$A$2:$C$53,3,FALSE)</f>
        <v>K032</v>
      </c>
      <c r="I1322">
        <f>'2020_5-2-2_Download'!BI30</f>
        <v>25045</v>
      </c>
    </row>
    <row r="1323" spans="2:9">
      <c r="B1323">
        <f>'2020_5-2-2_Download'!B31</f>
        <v>351</v>
      </c>
      <c r="C1323">
        <f>'2020_5-2-2_Download'!$BH$5</f>
        <v>2011</v>
      </c>
      <c r="D1323" t="str">
        <f>VLOOKUP(B1323,[1]Tabelle1!$A$1:$B$68,2,FALSE)</f>
        <v>Celle</v>
      </c>
      <c r="E1323" t="str">
        <f>'2020_5-2-2_Download'!$BI$7</f>
        <v>Männer</v>
      </c>
      <c r="G1323" t="s">
        <v>84</v>
      </c>
      <c r="H1323" t="str">
        <f>VLOOKUP(B1323,[2]Kreise!$A$2:$C$53,3,FALSE)</f>
        <v>K03351</v>
      </c>
      <c r="I1323">
        <f>'2020_5-2-2_Download'!BI31</f>
        <v>1043</v>
      </c>
    </row>
    <row r="1324" spans="2:9">
      <c r="B1324">
        <f>'2020_5-2-2_Download'!B32</f>
        <v>352</v>
      </c>
      <c r="C1324">
        <f>'2020_5-2-2_Download'!$BH$5</f>
        <v>2011</v>
      </c>
      <c r="D1324" t="str">
        <f>VLOOKUP(B1324,[1]Tabelle1!$A$1:$B$68,2,FALSE)</f>
        <v>Cuxhaven</v>
      </c>
      <c r="E1324" t="str">
        <f>'2020_5-2-2_Download'!$BI$7</f>
        <v>Männer</v>
      </c>
      <c r="G1324" t="s">
        <v>84</v>
      </c>
      <c r="H1324" t="str">
        <f>VLOOKUP(B1324,[2]Kreise!$A$2:$C$53,3,FALSE)</f>
        <v>K03352</v>
      </c>
      <c r="I1324">
        <f>'2020_5-2-2_Download'!BI32</f>
        <v>1245</v>
      </c>
    </row>
    <row r="1325" spans="2:9">
      <c r="B1325">
        <f>'2020_5-2-2_Download'!B33</f>
        <v>353</v>
      </c>
      <c r="C1325">
        <f>'2020_5-2-2_Download'!$BH$5</f>
        <v>2011</v>
      </c>
      <c r="D1325" t="str">
        <f>VLOOKUP(B1325,[1]Tabelle1!$A$1:$B$68,2,FALSE)</f>
        <v>Harburg</v>
      </c>
      <c r="E1325" t="str">
        <f>'2020_5-2-2_Download'!$BI$7</f>
        <v>Männer</v>
      </c>
      <c r="G1325" t="s">
        <v>84</v>
      </c>
      <c r="H1325" t="str">
        <f>VLOOKUP(B1325,[2]Kreise!$A$2:$C$53,3,FALSE)</f>
        <v>K03353</v>
      </c>
      <c r="I1325">
        <f>'2020_5-2-2_Download'!BI33</f>
        <v>1679</v>
      </c>
    </row>
    <row r="1326" spans="2:9">
      <c r="B1326">
        <f>'2020_5-2-2_Download'!B34</f>
        <v>354</v>
      </c>
      <c r="C1326">
        <f>'2020_5-2-2_Download'!$BH$5</f>
        <v>2011</v>
      </c>
      <c r="D1326" t="str">
        <f>VLOOKUP(B1326,[1]Tabelle1!$A$1:$B$68,2,FALSE)</f>
        <v>Lüchow-Dannenberg</v>
      </c>
      <c r="E1326" t="str">
        <f>'2020_5-2-2_Download'!$BI$7</f>
        <v>Männer</v>
      </c>
      <c r="G1326" t="s">
        <v>84</v>
      </c>
      <c r="H1326" t="str">
        <f>VLOOKUP(B1326,[2]Kreise!$A$2:$C$53,3,FALSE)</f>
        <v>K03354</v>
      </c>
      <c r="I1326">
        <f>'2020_5-2-2_Download'!BI34</f>
        <v>100</v>
      </c>
    </row>
    <row r="1327" spans="2:9">
      <c r="B1327">
        <f>'2020_5-2-2_Download'!B35</f>
        <v>355</v>
      </c>
      <c r="C1327">
        <f>'2020_5-2-2_Download'!$BH$5</f>
        <v>2011</v>
      </c>
      <c r="D1327" t="str">
        <f>VLOOKUP(B1327,[1]Tabelle1!$A$1:$B$68,2,FALSE)</f>
        <v>Lüneburg</v>
      </c>
      <c r="E1327" t="str">
        <f>'2020_5-2-2_Download'!$BI$7</f>
        <v>Männer</v>
      </c>
      <c r="G1327" t="s">
        <v>84</v>
      </c>
      <c r="H1327" t="str">
        <f>VLOOKUP(B1327,[2]Kreise!$A$2:$C$53,3,FALSE)</f>
        <v>K03355</v>
      </c>
      <c r="I1327">
        <f>'2020_5-2-2_Download'!BI35</f>
        <v>983</v>
      </c>
    </row>
    <row r="1328" spans="2:9">
      <c r="B1328">
        <f>'2020_5-2-2_Download'!B36</f>
        <v>356</v>
      </c>
      <c r="C1328">
        <f>'2020_5-2-2_Download'!$BH$5</f>
        <v>2011</v>
      </c>
      <c r="D1328" t="str">
        <f>VLOOKUP(B1328,[1]Tabelle1!$A$1:$B$68,2,FALSE)</f>
        <v>Osterholz</v>
      </c>
      <c r="E1328" t="str">
        <f>'2020_5-2-2_Download'!$BI$7</f>
        <v>Männer</v>
      </c>
      <c r="G1328" t="s">
        <v>84</v>
      </c>
      <c r="H1328" t="str">
        <f>VLOOKUP(B1328,[2]Kreise!$A$2:$C$53,3,FALSE)</f>
        <v>K03356</v>
      </c>
      <c r="I1328">
        <f>'2020_5-2-2_Download'!BI36</f>
        <v>503</v>
      </c>
    </row>
    <row r="1329" spans="2:9">
      <c r="B1329">
        <f>'2020_5-2-2_Download'!B37</f>
        <v>357</v>
      </c>
      <c r="C1329">
        <f>'2020_5-2-2_Download'!$BH$5</f>
        <v>2011</v>
      </c>
      <c r="D1329" t="str">
        <f>VLOOKUP(B1329,[1]Tabelle1!$A$1:$B$68,2,FALSE)</f>
        <v>Rotenburg (Wümme)</v>
      </c>
      <c r="E1329" t="str">
        <f>'2020_5-2-2_Download'!$BI$7</f>
        <v>Männer</v>
      </c>
      <c r="G1329" t="s">
        <v>84</v>
      </c>
      <c r="H1329" t="str">
        <f>VLOOKUP(B1329,[2]Kreise!$A$2:$C$53,3,FALSE)</f>
        <v>K03357</v>
      </c>
      <c r="I1329">
        <f>'2020_5-2-2_Download'!BI37</f>
        <v>875</v>
      </c>
    </row>
    <row r="1330" spans="2:9">
      <c r="B1330">
        <f>'2020_5-2-2_Download'!B38</f>
        <v>358</v>
      </c>
      <c r="C1330">
        <f>'2020_5-2-2_Download'!$BH$5</f>
        <v>2011</v>
      </c>
      <c r="D1330" t="str">
        <f>VLOOKUP(B1330,[1]Tabelle1!$A$1:$B$68,2,FALSE)</f>
        <v>Heidekreis</v>
      </c>
      <c r="E1330" t="str">
        <f>'2020_5-2-2_Download'!$BI$7</f>
        <v>Männer</v>
      </c>
      <c r="G1330" t="s">
        <v>84</v>
      </c>
      <c r="H1330" t="str">
        <f>VLOOKUP(B1330,[2]Kreise!$A$2:$C$53,3,FALSE)</f>
        <v>K03358</v>
      </c>
      <c r="I1330">
        <f>'2020_5-2-2_Download'!BI38</f>
        <v>1114</v>
      </c>
    </row>
    <row r="1331" spans="2:9">
      <c r="B1331">
        <f>'2020_5-2-2_Download'!B39</f>
        <v>359</v>
      </c>
      <c r="C1331">
        <f>'2020_5-2-2_Download'!$BH$5</f>
        <v>2011</v>
      </c>
      <c r="D1331" t="str">
        <f>VLOOKUP(B1331,[1]Tabelle1!$A$1:$B$68,2,FALSE)</f>
        <v>Stade</v>
      </c>
      <c r="E1331" t="str">
        <f>'2020_5-2-2_Download'!$BI$7</f>
        <v>Männer</v>
      </c>
      <c r="G1331" t="s">
        <v>84</v>
      </c>
      <c r="H1331" t="str">
        <f>VLOOKUP(B1331,[2]Kreise!$A$2:$C$53,3,FALSE)</f>
        <v>K03359</v>
      </c>
      <c r="I1331">
        <f>'2020_5-2-2_Download'!BI39</f>
        <v>3172</v>
      </c>
    </row>
    <row r="1332" spans="2:9">
      <c r="B1332">
        <f>'2020_5-2-2_Download'!B40</f>
        <v>360</v>
      </c>
      <c r="C1332">
        <f>'2020_5-2-2_Download'!$BH$5</f>
        <v>2011</v>
      </c>
      <c r="D1332" t="str">
        <f>VLOOKUP(B1332,[1]Tabelle1!$A$1:$B$68,2,FALSE)</f>
        <v>Uelzen</v>
      </c>
      <c r="E1332" t="str">
        <f>'2020_5-2-2_Download'!$BI$7</f>
        <v>Männer</v>
      </c>
      <c r="G1332" t="s">
        <v>84</v>
      </c>
      <c r="H1332" t="str">
        <f>VLOOKUP(B1332,[2]Kreise!$A$2:$C$53,3,FALSE)</f>
        <v>K03360</v>
      </c>
      <c r="I1332">
        <f>'2020_5-2-2_Download'!BI40</f>
        <v>361</v>
      </c>
    </row>
    <row r="1333" spans="2:9">
      <c r="B1333">
        <f>'2020_5-2-2_Download'!B41</f>
        <v>361</v>
      </c>
      <c r="C1333">
        <f>'2020_5-2-2_Download'!$BH$5</f>
        <v>2011</v>
      </c>
      <c r="D1333" t="str">
        <f>VLOOKUP(B1333,[1]Tabelle1!$A$1:$B$68,2,FALSE)</f>
        <v>Verden</v>
      </c>
      <c r="E1333" t="str">
        <f>'2020_5-2-2_Download'!$BI$7</f>
        <v>Männer</v>
      </c>
      <c r="G1333" t="s">
        <v>84</v>
      </c>
      <c r="H1333" t="str">
        <f>VLOOKUP(B1333,[2]Kreise!$A$2:$C$53,3,FALSE)</f>
        <v>K03361</v>
      </c>
      <c r="I1333">
        <f>'2020_5-2-2_Download'!BI41</f>
        <v>1264</v>
      </c>
    </row>
    <row r="1334" spans="2:9">
      <c r="B1334">
        <f>'2020_5-2-2_Download'!B42</f>
        <v>3</v>
      </c>
      <c r="C1334">
        <f>'2020_5-2-2_Download'!$BH$5</f>
        <v>2011</v>
      </c>
      <c r="D1334" t="str">
        <f>VLOOKUP(B1334,[1]Tabelle1!$A$1:$B$68,2,FALSE)</f>
        <v>Stat. Region Lüneburg</v>
      </c>
      <c r="E1334" t="str">
        <f>'2020_5-2-2_Download'!$BI$7</f>
        <v>Männer</v>
      </c>
      <c r="G1334" t="s">
        <v>84</v>
      </c>
      <c r="H1334" t="str">
        <f>VLOOKUP(B1334,[2]Kreise!$A$2:$C$53,3,FALSE)</f>
        <v>K033</v>
      </c>
      <c r="I1334">
        <f>'2020_5-2-2_Download'!BI42</f>
        <v>12339</v>
      </c>
    </row>
    <row r="1335" spans="2:9">
      <c r="B1335">
        <f>'2020_5-2-2_Download'!B43</f>
        <v>401</v>
      </c>
      <c r="C1335">
        <f>'2020_5-2-2_Download'!$BH$5</f>
        <v>2011</v>
      </c>
      <c r="D1335" t="str">
        <f>VLOOKUP(B1335,[1]Tabelle1!$A$1:$B$68,2,FALSE)</f>
        <v>Delmenhorst  Stadt</v>
      </c>
      <c r="E1335" t="str">
        <f>'2020_5-2-2_Download'!$BI$7</f>
        <v>Männer</v>
      </c>
      <c r="G1335" t="s">
        <v>84</v>
      </c>
      <c r="H1335" t="str">
        <f>VLOOKUP(B1335,[2]Kreise!$A$2:$C$53,3,FALSE)</f>
        <v>K03401</v>
      </c>
      <c r="I1335">
        <f>'2020_5-2-2_Download'!BI43</f>
        <v>474</v>
      </c>
    </row>
    <row r="1336" spans="2:9">
      <c r="B1336">
        <f>'2020_5-2-2_Download'!B44</f>
        <v>402</v>
      </c>
      <c r="C1336">
        <f>'2020_5-2-2_Download'!$BH$5</f>
        <v>2011</v>
      </c>
      <c r="D1336" t="str">
        <f>VLOOKUP(B1336,[1]Tabelle1!$A$1:$B$68,2,FALSE)</f>
        <v>Emden  Stadt</v>
      </c>
      <c r="E1336" t="str">
        <f>'2020_5-2-2_Download'!$BI$7</f>
        <v>Männer</v>
      </c>
      <c r="G1336" t="s">
        <v>84</v>
      </c>
      <c r="H1336" t="str">
        <f>VLOOKUP(B1336,[2]Kreise!$A$2:$C$53,3,FALSE)</f>
        <v>K03402</v>
      </c>
      <c r="I1336">
        <f>'2020_5-2-2_Download'!BI44</f>
        <v>715</v>
      </c>
    </row>
    <row r="1337" spans="2:9">
      <c r="B1337">
        <f>'2020_5-2-2_Download'!B45</f>
        <v>403</v>
      </c>
      <c r="C1337">
        <f>'2020_5-2-2_Download'!$BH$5</f>
        <v>2011</v>
      </c>
      <c r="D1337" t="str">
        <f>VLOOKUP(B1337,[1]Tabelle1!$A$1:$B$68,2,FALSE)</f>
        <v>Oldenburg(Oldb)  Stadt</v>
      </c>
      <c r="E1337" t="str">
        <f>'2020_5-2-2_Download'!$BI$7</f>
        <v>Männer</v>
      </c>
      <c r="G1337" t="s">
        <v>84</v>
      </c>
      <c r="H1337" t="str">
        <f>VLOOKUP(B1337,[2]Kreise!$A$2:$C$53,3,FALSE)</f>
        <v>K03403</v>
      </c>
      <c r="I1337">
        <f>'2020_5-2-2_Download'!BI45</f>
        <v>1217</v>
      </c>
    </row>
    <row r="1338" spans="2:9">
      <c r="B1338">
        <f>'2020_5-2-2_Download'!B46</f>
        <v>404</v>
      </c>
      <c r="C1338">
        <f>'2020_5-2-2_Download'!$BH$5</f>
        <v>2011</v>
      </c>
      <c r="D1338" t="str">
        <f>VLOOKUP(B1338,[1]Tabelle1!$A$1:$B$68,2,FALSE)</f>
        <v>Osnabrück  Stadt</v>
      </c>
      <c r="E1338" t="str">
        <f>'2020_5-2-2_Download'!$BI$7</f>
        <v>Männer</v>
      </c>
      <c r="G1338" t="s">
        <v>84</v>
      </c>
      <c r="H1338" t="str">
        <f>VLOOKUP(B1338,[2]Kreise!$A$2:$C$53,3,FALSE)</f>
        <v>K03404</v>
      </c>
      <c r="I1338">
        <f>'2020_5-2-2_Download'!BI46</f>
        <v>2453</v>
      </c>
    </row>
    <row r="1339" spans="2:9">
      <c r="B1339">
        <f>'2020_5-2-2_Download'!B47</f>
        <v>405</v>
      </c>
      <c r="C1339">
        <f>'2020_5-2-2_Download'!$BH$5</f>
        <v>2011</v>
      </c>
      <c r="D1339" t="str">
        <f>VLOOKUP(B1339,[1]Tabelle1!$A$1:$B$68,2,FALSE)</f>
        <v>Wilhelmshaven  Stadt</v>
      </c>
      <c r="E1339" t="str">
        <f>'2020_5-2-2_Download'!$BI$7</f>
        <v>Männer</v>
      </c>
      <c r="G1339" t="s">
        <v>84</v>
      </c>
      <c r="H1339" t="str">
        <f>VLOOKUP(B1339,[2]Kreise!$A$2:$C$53,3,FALSE)</f>
        <v>K03405</v>
      </c>
      <c r="I1339">
        <f>'2020_5-2-2_Download'!BI47</f>
        <v>384</v>
      </c>
    </row>
    <row r="1340" spans="2:9">
      <c r="B1340">
        <f>'2020_5-2-2_Download'!B48</f>
        <v>451</v>
      </c>
      <c r="C1340">
        <f>'2020_5-2-2_Download'!$BH$5</f>
        <v>2011</v>
      </c>
      <c r="D1340" t="str">
        <f>VLOOKUP(B1340,[1]Tabelle1!$A$1:$B$68,2,FALSE)</f>
        <v>Ammerland</v>
      </c>
      <c r="E1340" t="str">
        <f>'2020_5-2-2_Download'!$BI$7</f>
        <v>Männer</v>
      </c>
      <c r="G1340" t="s">
        <v>84</v>
      </c>
      <c r="H1340" t="str">
        <f>VLOOKUP(B1340,[2]Kreise!$A$2:$C$53,3,FALSE)</f>
        <v>K03451</v>
      </c>
      <c r="I1340">
        <f>'2020_5-2-2_Download'!BI48</f>
        <v>993</v>
      </c>
    </row>
    <row r="1341" spans="2:9">
      <c r="B1341">
        <f>'2020_5-2-2_Download'!B49</f>
        <v>452</v>
      </c>
      <c r="C1341">
        <f>'2020_5-2-2_Download'!$BH$5</f>
        <v>2011</v>
      </c>
      <c r="D1341" t="str">
        <f>VLOOKUP(B1341,[1]Tabelle1!$A$1:$B$68,2,FALSE)</f>
        <v>Aurich</v>
      </c>
      <c r="E1341" t="str">
        <f>'2020_5-2-2_Download'!$BI$7</f>
        <v>Männer</v>
      </c>
      <c r="G1341" t="s">
        <v>84</v>
      </c>
      <c r="H1341" t="str">
        <f>VLOOKUP(B1341,[2]Kreise!$A$2:$C$53,3,FALSE)</f>
        <v>K03452</v>
      </c>
      <c r="I1341">
        <f>'2020_5-2-2_Download'!BI49</f>
        <v>843</v>
      </c>
    </row>
    <row r="1342" spans="2:9">
      <c r="B1342">
        <f>'2020_5-2-2_Download'!B50</f>
        <v>453</v>
      </c>
      <c r="C1342">
        <f>'2020_5-2-2_Download'!$BH$5</f>
        <v>2011</v>
      </c>
      <c r="D1342" t="str">
        <f>VLOOKUP(B1342,[1]Tabelle1!$A$1:$B$68,2,FALSE)</f>
        <v>Cloppenburg</v>
      </c>
      <c r="E1342" t="str">
        <f>'2020_5-2-2_Download'!$BI$7</f>
        <v>Männer</v>
      </c>
      <c r="G1342" t="s">
        <v>84</v>
      </c>
      <c r="H1342" t="str">
        <f>VLOOKUP(B1342,[2]Kreise!$A$2:$C$53,3,FALSE)</f>
        <v>K03453</v>
      </c>
      <c r="I1342">
        <f>'2020_5-2-2_Download'!BI50</f>
        <v>1960</v>
      </c>
    </row>
    <row r="1343" spans="2:9">
      <c r="B1343">
        <f>'2020_5-2-2_Download'!B51</f>
        <v>454</v>
      </c>
      <c r="C1343">
        <f>'2020_5-2-2_Download'!$BH$5</f>
        <v>2011</v>
      </c>
      <c r="D1343" t="str">
        <f>VLOOKUP(B1343,[1]Tabelle1!$A$1:$B$68,2,FALSE)</f>
        <v>Emsland</v>
      </c>
      <c r="E1343" t="str">
        <f>'2020_5-2-2_Download'!$BI$7</f>
        <v>Männer</v>
      </c>
      <c r="G1343" t="s">
        <v>84</v>
      </c>
      <c r="H1343" t="str">
        <f>VLOOKUP(B1343,[2]Kreise!$A$2:$C$53,3,FALSE)</f>
        <v>K03454</v>
      </c>
      <c r="I1343">
        <f>'2020_5-2-2_Download'!BI51</f>
        <v>2236</v>
      </c>
    </row>
    <row r="1344" spans="2:9">
      <c r="B1344">
        <f>'2020_5-2-2_Download'!B52</f>
        <v>455</v>
      </c>
      <c r="C1344">
        <f>'2020_5-2-2_Download'!$BH$5</f>
        <v>2011</v>
      </c>
      <c r="D1344" t="str">
        <f>VLOOKUP(B1344,[1]Tabelle1!$A$1:$B$68,2,FALSE)</f>
        <v>Friesland</v>
      </c>
      <c r="E1344" t="str">
        <f>'2020_5-2-2_Download'!$BI$7</f>
        <v>Männer</v>
      </c>
      <c r="G1344" t="s">
        <v>84</v>
      </c>
      <c r="H1344" t="str">
        <f>VLOOKUP(B1344,[2]Kreise!$A$2:$C$53,3,FALSE)</f>
        <v>K03455</v>
      </c>
      <c r="I1344">
        <f>'2020_5-2-2_Download'!BI52</f>
        <v>300</v>
      </c>
    </row>
    <row r="1345" spans="2:9">
      <c r="B1345">
        <f>'2020_5-2-2_Download'!B53</f>
        <v>456</v>
      </c>
      <c r="C1345">
        <f>'2020_5-2-2_Download'!$BH$5</f>
        <v>2011</v>
      </c>
      <c r="D1345" t="str">
        <f>VLOOKUP(B1345,[1]Tabelle1!$A$1:$B$68,2,FALSE)</f>
        <v>Grafschaft Bentheim</v>
      </c>
      <c r="E1345" t="str">
        <f>'2020_5-2-2_Download'!$BI$7</f>
        <v>Männer</v>
      </c>
      <c r="G1345" t="s">
        <v>84</v>
      </c>
      <c r="H1345" t="str">
        <f>VLOOKUP(B1345,[2]Kreise!$A$2:$C$53,3,FALSE)</f>
        <v>K03456</v>
      </c>
      <c r="I1345">
        <f>'2020_5-2-2_Download'!BI53</f>
        <v>1363</v>
      </c>
    </row>
    <row r="1346" spans="2:9">
      <c r="B1346">
        <f>'2020_5-2-2_Download'!B54</f>
        <v>457</v>
      </c>
      <c r="C1346">
        <f>'2020_5-2-2_Download'!$BH$5</f>
        <v>2011</v>
      </c>
      <c r="D1346" t="str">
        <f>VLOOKUP(B1346,[1]Tabelle1!$A$1:$B$68,2,FALSE)</f>
        <v>Leer</v>
      </c>
      <c r="E1346" t="str">
        <f>'2020_5-2-2_Download'!$BI$7</f>
        <v>Männer</v>
      </c>
      <c r="G1346" t="s">
        <v>84</v>
      </c>
      <c r="H1346" t="str">
        <f>VLOOKUP(B1346,[2]Kreise!$A$2:$C$53,3,FALSE)</f>
        <v>K03457</v>
      </c>
      <c r="I1346">
        <f>'2020_5-2-2_Download'!BI54</f>
        <v>1099</v>
      </c>
    </row>
    <row r="1347" spans="2:9">
      <c r="B1347">
        <f>'2020_5-2-2_Download'!B55</f>
        <v>458</v>
      </c>
      <c r="C1347">
        <f>'2020_5-2-2_Download'!$BH$5</f>
        <v>2011</v>
      </c>
      <c r="D1347" t="str">
        <f>VLOOKUP(B1347,[1]Tabelle1!$A$1:$B$68,2,FALSE)</f>
        <v>Oldenburg</v>
      </c>
      <c r="E1347" t="str">
        <f>'2020_5-2-2_Download'!$BI$7</f>
        <v>Männer</v>
      </c>
      <c r="G1347" t="s">
        <v>84</v>
      </c>
      <c r="H1347" t="str">
        <f>VLOOKUP(B1347,[2]Kreise!$A$2:$C$53,3,FALSE)</f>
        <v>K03458</v>
      </c>
      <c r="I1347">
        <f>'2020_5-2-2_Download'!BI55</f>
        <v>917</v>
      </c>
    </row>
    <row r="1348" spans="2:9">
      <c r="B1348">
        <f>'2020_5-2-2_Download'!B56</f>
        <v>459</v>
      </c>
      <c r="C1348">
        <f>'2020_5-2-2_Download'!$BH$5</f>
        <v>2011</v>
      </c>
      <c r="D1348" t="str">
        <f>VLOOKUP(B1348,[1]Tabelle1!$A$1:$B$68,2,FALSE)</f>
        <v>Osnabrück</v>
      </c>
      <c r="E1348" t="str">
        <f>'2020_5-2-2_Download'!$BI$7</f>
        <v>Männer</v>
      </c>
      <c r="G1348" t="s">
        <v>84</v>
      </c>
      <c r="H1348" t="str">
        <f>VLOOKUP(B1348,[2]Kreise!$A$2:$C$53,3,FALSE)</f>
        <v>K03459</v>
      </c>
      <c r="I1348">
        <f>'2020_5-2-2_Download'!BI56</f>
        <v>4360</v>
      </c>
    </row>
    <row r="1349" spans="2:9">
      <c r="B1349">
        <f>'2020_5-2-2_Download'!B57</f>
        <v>460</v>
      </c>
      <c r="C1349">
        <f>'2020_5-2-2_Download'!$BH$5</f>
        <v>2011</v>
      </c>
      <c r="D1349" t="str">
        <f>VLOOKUP(B1349,[1]Tabelle1!$A$1:$B$68,2,FALSE)</f>
        <v>Vechta</v>
      </c>
      <c r="E1349" t="str">
        <f>'2020_5-2-2_Download'!$BI$7</f>
        <v>Männer</v>
      </c>
      <c r="G1349" t="s">
        <v>84</v>
      </c>
      <c r="H1349" t="str">
        <f>VLOOKUP(B1349,[2]Kreise!$A$2:$C$53,3,FALSE)</f>
        <v>K03460</v>
      </c>
      <c r="I1349">
        <f>'2020_5-2-2_Download'!BI57</f>
        <v>3104</v>
      </c>
    </row>
    <row r="1350" spans="2:9">
      <c r="B1350">
        <f>'2020_5-2-2_Download'!B58</f>
        <v>461</v>
      </c>
      <c r="C1350">
        <f>'2020_5-2-2_Download'!$BH$5</f>
        <v>2011</v>
      </c>
      <c r="D1350" t="str">
        <f>VLOOKUP(B1350,[1]Tabelle1!$A$1:$B$68,2,FALSE)</f>
        <v>Wesermarsch</v>
      </c>
      <c r="E1350" t="str">
        <f>'2020_5-2-2_Download'!$BI$7</f>
        <v>Männer</v>
      </c>
      <c r="G1350" t="s">
        <v>84</v>
      </c>
      <c r="H1350" t="str">
        <f>VLOOKUP(B1350,[2]Kreise!$A$2:$C$53,3,FALSE)</f>
        <v>K03461</v>
      </c>
      <c r="I1350">
        <f>'2020_5-2-2_Download'!BI58</f>
        <v>754</v>
      </c>
    </row>
    <row r="1351" spans="2:9">
      <c r="B1351">
        <f>'2020_5-2-2_Download'!B59</f>
        <v>462</v>
      </c>
      <c r="C1351">
        <f>'2020_5-2-2_Download'!$BH$5</f>
        <v>2011</v>
      </c>
      <c r="D1351" t="str">
        <f>VLOOKUP(B1351,[1]Tabelle1!$A$1:$B$68,2,FALSE)</f>
        <v>Wittmund</v>
      </c>
      <c r="E1351" t="str">
        <f>'2020_5-2-2_Download'!$BI$7</f>
        <v>Männer</v>
      </c>
      <c r="G1351" t="s">
        <v>84</v>
      </c>
      <c r="H1351" t="str">
        <f>VLOOKUP(B1351,[2]Kreise!$A$2:$C$53,3,FALSE)</f>
        <v>K03462</v>
      </c>
      <c r="I1351">
        <f>'2020_5-2-2_Download'!BI59</f>
        <v>205</v>
      </c>
    </row>
    <row r="1352" spans="2:9">
      <c r="B1352">
        <f>'2020_5-2-2_Download'!B60</f>
        <v>4</v>
      </c>
      <c r="C1352">
        <f>'2020_5-2-2_Download'!$BH$5</f>
        <v>2011</v>
      </c>
      <c r="D1352" t="str">
        <f>VLOOKUP(B1352,[1]Tabelle1!$A$1:$B$68,2,FALSE)</f>
        <v>Stat. Region Weser-Ems</v>
      </c>
      <c r="E1352" t="str">
        <f>'2020_5-2-2_Download'!$BI$7</f>
        <v>Männer</v>
      </c>
      <c r="G1352" t="s">
        <v>84</v>
      </c>
      <c r="H1352" t="str">
        <f>VLOOKUP(B1352,[2]Kreise!$A$2:$C$53,3,FALSE)</f>
        <v>K034</v>
      </c>
      <c r="I1352">
        <f>'2020_5-2-2_Download'!BI60</f>
        <v>23377</v>
      </c>
    </row>
    <row r="1353" spans="2:9">
      <c r="B1353">
        <f>'2020_5-2-2_Download'!B61</f>
        <v>0</v>
      </c>
      <c r="C1353">
        <f>'2020_5-2-2_Download'!$BH$5</f>
        <v>2011</v>
      </c>
      <c r="D1353" t="str">
        <f>VLOOKUP(B1353,[1]Tabelle1!$A$1:$B$68,2,FALSE)</f>
        <v>Niedersachsen</v>
      </c>
      <c r="E1353" t="str">
        <f>'2020_5-2-2_Download'!$BI$7</f>
        <v>Männer</v>
      </c>
      <c r="G1353" t="s">
        <v>84</v>
      </c>
      <c r="H1353" t="str">
        <f>VLOOKUP(B1353,[2]Kreise!$A$2:$C$53,3,FALSE)</f>
        <v>K030</v>
      </c>
      <c r="I1353">
        <f>'2020_5-2-2_Download'!BI61</f>
        <v>77448</v>
      </c>
    </row>
    <row r="1354" spans="2:9">
      <c r="B1354">
        <f>'2020_5-2-2_Download'!B10</f>
        <v>101</v>
      </c>
      <c r="C1354">
        <f>'2020_5-2-2_Download'!$BH$5</f>
        <v>2011</v>
      </c>
      <c r="D1354" t="str">
        <f>VLOOKUP(B1354,[1]Tabelle1!$A$1:$B$68,2,FALSE)</f>
        <v>Braunschweig  Stadt</v>
      </c>
      <c r="E1354" t="str">
        <f>'2020_5-2-2_Download'!$BJ$7</f>
        <v>Frauen</v>
      </c>
      <c r="G1354" t="s">
        <v>84</v>
      </c>
      <c r="H1354" t="str">
        <f>VLOOKUP(B1354,[2]Kreise!$A$2:$C$53,3,FALSE)</f>
        <v>K03101</v>
      </c>
      <c r="I1354">
        <f>'2020_5-2-2_Download'!BJ10</f>
        <v>2149</v>
      </c>
    </row>
    <row r="1355" spans="2:9">
      <c r="B1355">
        <f>'2020_5-2-2_Download'!B11</f>
        <v>102</v>
      </c>
      <c r="C1355">
        <f>'2020_5-2-2_Download'!$BH$5</f>
        <v>2011</v>
      </c>
      <c r="D1355" t="str">
        <f>VLOOKUP(B1355,[1]Tabelle1!$A$1:$B$68,2,FALSE)</f>
        <v>Salzgitter  Stadt</v>
      </c>
      <c r="E1355" t="str">
        <f>'2020_5-2-2_Download'!$BJ$7</f>
        <v>Frauen</v>
      </c>
      <c r="G1355" t="s">
        <v>84</v>
      </c>
      <c r="H1355" t="str">
        <f>VLOOKUP(B1355,[2]Kreise!$A$2:$C$53,3,FALSE)</f>
        <v>K03102</v>
      </c>
      <c r="I1355">
        <f>'2020_5-2-2_Download'!BJ11</f>
        <v>531</v>
      </c>
    </row>
    <row r="1356" spans="2:9">
      <c r="B1356">
        <f>'2020_5-2-2_Download'!B12</f>
        <v>103</v>
      </c>
      <c r="C1356">
        <f>'2020_5-2-2_Download'!$BH$5</f>
        <v>2011</v>
      </c>
      <c r="D1356" t="str">
        <f>VLOOKUP(B1356,[1]Tabelle1!$A$1:$B$68,2,FALSE)</f>
        <v>Wolfsburg  Stadt</v>
      </c>
      <c r="E1356" t="str">
        <f>'2020_5-2-2_Download'!$BJ$7</f>
        <v>Frauen</v>
      </c>
      <c r="G1356" t="s">
        <v>84</v>
      </c>
      <c r="H1356" t="str">
        <f>VLOOKUP(B1356,[2]Kreise!$A$2:$C$53,3,FALSE)</f>
        <v>K03103</v>
      </c>
      <c r="I1356">
        <f>'2020_5-2-2_Download'!BJ12</f>
        <v>1573</v>
      </c>
    </row>
    <row r="1357" spans="2:9">
      <c r="B1357">
        <f>'2020_5-2-2_Download'!B13</f>
        <v>151</v>
      </c>
      <c r="C1357">
        <f>'2020_5-2-2_Download'!$BH$5</f>
        <v>2011</v>
      </c>
      <c r="D1357" t="str">
        <f>VLOOKUP(B1357,[1]Tabelle1!$A$1:$B$68,2,FALSE)</f>
        <v>Gifhorn</v>
      </c>
      <c r="E1357" t="str">
        <f>'2020_5-2-2_Download'!$BJ$7</f>
        <v>Frauen</v>
      </c>
      <c r="G1357" t="s">
        <v>84</v>
      </c>
      <c r="H1357" t="str">
        <f>VLOOKUP(B1357,[2]Kreise!$A$2:$C$53,3,FALSE)</f>
        <v>K03151</v>
      </c>
      <c r="I1357">
        <f>'2020_5-2-2_Download'!BJ13</f>
        <v>459</v>
      </c>
    </row>
    <row r="1358" spans="2:9">
      <c r="B1358">
        <f>'2020_5-2-2_Download'!B14</f>
        <v>153</v>
      </c>
      <c r="C1358">
        <f>'2020_5-2-2_Download'!$BH$5</f>
        <v>2011</v>
      </c>
      <c r="D1358" t="str">
        <f>VLOOKUP(B1358,[1]Tabelle1!$A$1:$B$68,2,FALSE)</f>
        <v>Goslar</v>
      </c>
      <c r="E1358" t="str">
        <f>'2020_5-2-2_Download'!$BJ$7</f>
        <v>Frauen</v>
      </c>
      <c r="G1358" t="s">
        <v>84</v>
      </c>
      <c r="H1358" t="str">
        <f>VLOOKUP(B1358,[2]Kreise!$A$2:$C$53,3,FALSE)</f>
        <v>K03153</v>
      </c>
      <c r="I1358">
        <f>'2020_5-2-2_Download'!BJ14</f>
        <v>495</v>
      </c>
    </row>
    <row r="1359" spans="2:9">
      <c r="B1359">
        <f>'2020_5-2-2_Download'!B15</f>
        <v>154</v>
      </c>
      <c r="C1359">
        <f>'2020_5-2-2_Download'!$BH$5</f>
        <v>2011</v>
      </c>
      <c r="D1359" t="str">
        <f>VLOOKUP(B1359,[1]Tabelle1!$A$1:$B$68,2,FALSE)</f>
        <v>Helmstedt</v>
      </c>
      <c r="E1359" t="str">
        <f>'2020_5-2-2_Download'!$BJ$7</f>
        <v>Frauen</v>
      </c>
      <c r="G1359" t="s">
        <v>84</v>
      </c>
      <c r="H1359" t="str">
        <f>VLOOKUP(B1359,[2]Kreise!$A$2:$C$53,3,FALSE)</f>
        <v>K03154</v>
      </c>
      <c r="I1359">
        <f>'2020_5-2-2_Download'!BJ15</f>
        <v>221</v>
      </c>
    </row>
    <row r="1360" spans="2:9">
      <c r="B1360">
        <f>'2020_5-2-2_Download'!B16</f>
        <v>155</v>
      </c>
      <c r="C1360">
        <f>'2020_5-2-2_Download'!$BH$5</f>
        <v>2011</v>
      </c>
      <c r="D1360" t="str">
        <f>VLOOKUP(B1360,[1]Tabelle1!$A$1:$B$68,2,FALSE)</f>
        <v>Northeim</v>
      </c>
      <c r="E1360" t="str">
        <f>'2020_5-2-2_Download'!$BJ$7</f>
        <v>Frauen</v>
      </c>
      <c r="G1360" t="s">
        <v>84</v>
      </c>
      <c r="H1360" t="str">
        <f>VLOOKUP(B1360,[2]Kreise!$A$2:$C$53,3,FALSE)</f>
        <v>K03155</v>
      </c>
      <c r="I1360">
        <f>'2020_5-2-2_Download'!BJ16</f>
        <v>421</v>
      </c>
    </row>
    <row r="1361" spans="2:9">
      <c r="B1361">
        <f>'2020_5-2-2_Download'!B17</f>
        <v>157</v>
      </c>
      <c r="C1361">
        <f>'2020_5-2-2_Download'!$BH$5</f>
        <v>2011</v>
      </c>
      <c r="D1361" t="str">
        <f>VLOOKUP(B1361,[1]Tabelle1!$A$1:$B$68,2,FALSE)</f>
        <v>Peine</v>
      </c>
      <c r="E1361" t="str">
        <f>'2020_5-2-2_Download'!$BJ$7</f>
        <v>Frauen</v>
      </c>
      <c r="G1361" t="s">
        <v>84</v>
      </c>
      <c r="H1361" t="str">
        <f>VLOOKUP(B1361,[2]Kreise!$A$2:$C$53,3,FALSE)</f>
        <v>K03157</v>
      </c>
      <c r="I1361">
        <f>'2020_5-2-2_Download'!BJ17</f>
        <v>363</v>
      </c>
    </row>
    <row r="1362" spans="2:9">
      <c r="B1362">
        <f>'2020_5-2-2_Download'!B18</f>
        <v>158</v>
      </c>
      <c r="C1362">
        <f>'2020_5-2-2_Download'!$BH$5</f>
        <v>2011</v>
      </c>
      <c r="D1362" t="str">
        <f>VLOOKUP(B1362,[1]Tabelle1!$A$1:$B$68,2,FALSE)</f>
        <v>Wolfenbüttel</v>
      </c>
      <c r="E1362" t="str">
        <f>'2020_5-2-2_Download'!$BJ$7</f>
        <v>Frauen</v>
      </c>
      <c r="G1362" t="s">
        <v>84</v>
      </c>
      <c r="H1362" t="str">
        <f>VLOOKUP(B1362,[2]Kreise!$A$2:$C$53,3,FALSE)</f>
        <v>K03158</v>
      </c>
      <c r="I1362">
        <f>'2020_5-2-2_Download'!BJ18</f>
        <v>251</v>
      </c>
    </row>
    <row r="1363" spans="2:9">
      <c r="B1363">
        <f>'2020_5-2-2_Download'!B19</f>
        <v>159</v>
      </c>
      <c r="C1363">
        <f>'2020_5-2-2_Download'!$BH$5</f>
        <v>2011</v>
      </c>
      <c r="D1363" t="str">
        <f>VLOOKUP(B1363,[1]Tabelle1!$A$1:$B$68,2,FALSE)</f>
        <v>Göttingen</v>
      </c>
      <c r="E1363" t="str">
        <f>'2020_5-2-2_Download'!$BJ$7</f>
        <v>Frauen</v>
      </c>
      <c r="G1363" t="s">
        <v>84</v>
      </c>
      <c r="H1363" t="str">
        <f>VLOOKUP(B1363,[2]Kreise!$A$2:$C$53,3,FALSE)</f>
        <v>K03159</v>
      </c>
      <c r="I1363">
        <f>'2020_5-2-2_Download'!BJ19</f>
        <v>1876</v>
      </c>
    </row>
    <row r="1364" spans="2:9">
      <c r="B1364">
        <f>'2020_5-2-2_Download'!B20</f>
        <v>1</v>
      </c>
      <c r="C1364">
        <f>'2020_5-2-2_Download'!$BH$5</f>
        <v>2011</v>
      </c>
      <c r="D1364" t="str">
        <f>VLOOKUP(B1364,[1]Tabelle1!$A$1:$B$68,2,FALSE)</f>
        <v>Stat. Region Braunschweig</v>
      </c>
      <c r="E1364" t="str">
        <f>'2020_5-2-2_Download'!$BJ$7</f>
        <v>Frauen</v>
      </c>
      <c r="G1364" t="s">
        <v>84</v>
      </c>
      <c r="H1364" t="str">
        <f>VLOOKUP(B1364,[2]Kreise!$A$2:$C$53,3,FALSE)</f>
        <v>K031</v>
      </c>
      <c r="I1364">
        <f>'2020_5-2-2_Download'!BJ20</f>
        <v>8426</v>
      </c>
    </row>
    <row r="1365" spans="2:9">
      <c r="B1365">
        <f>'2020_5-2-2_Download'!B21</f>
        <v>241</v>
      </c>
      <c r="C1365">
        <f>'2020_5-2-2_Download'!$BH$5</f>
        <v>2011</v>
      </c>
      <c r="D1365" t="str">
        <f>VLOOKUP(B1365,[1]Tabelle1!$A$1:$B$68,2,FALSE)</f>
        <v>Hannover  Region</v>
      </c>
      <c r="E1365" t="str">
        <f>'2020_5-2-2_Download'!$BJ$7</f>
        <v>Frauen</v>
      </c>
      <c r="G1365" t="s">
        <v>84</v>
      </c>
      <c r="H1365" t="str">
        <f>VLOOKUP(B1365,[2]Kreise!$A$2:$C$53,3,FALSE)</f>
        <v>K03241</v>
      </c>
      <c r="I1365">
        <f>'2020_5-2-2_Download'!BJ21</f>
        <v>12738</v>
      </c>
    </row>
    <row r="1366" spans="2:9">
      <c r="B1366">
        <f>'2020_5-2-2_Download'!B22</f>
        <v>241001</v>
      </c>
      <c r="C1366">
        <f>'2020_5-2-2_Download'!$BH$5</f>
        <v>2011</v>
      </c>
      <c r="D1366" t="str">
        <f>VLOOKUP(B1366,[1]Tabelle1!$A$1:$B$68,2,FALSE)</f>
        <v>dav. Hannover  Lhst.</v>
      </c>
      <c r="E1366" t="str">
        <f>'2020_5-2-2_Download'!$BJ$7</f>
        <v>Frauen</v>
      </c>
      <c r="G1366" t="s">
        <v>84</v>
      </c>
      <c r="H1366" t="str">
        <f>VLOOKUP(B1366,[2]Kreise!$A$2:$C$53,3,FALSE)</f>
        <v>K03241001</v>
      </c>
      <c r="I1366">
        <f>'2020_5-2-2_Download'!BJ22</f>
        <v>8904</v>
      </c>
    </row>
    <row r="1367" spans="2:9">
      <c r="B1367">
        <f>'2020_5-2-2_Download'!B23</f>
        <v>241999</v>
      </c>
      <c r="C1367">
        <f>'2020_5-2-2_Download'!$BH$5</f>
        <v>2011</v>
      </c>
      <c r="D1367" t="str">
        <f>VLOOKUP(B1367,[1]Tabelle1!$A$1:$B$68,2,FALSE)</f>
        <v>dav. Hannover  Umland</v>
      </c>
      <c r="E1367" t="str">
        <f>'2020_5-2-2_Download'!$BJ$7</f>
        <v>Frauen</v>
      </c>
      <c r="G1367" t="s">
        <v>84</v>
      </c>
      <c r="H1367" t="str">
        <f>VLOOKUP(B1367,[2]Kreise!$A$2:$C$53,3,FALSE)</f>
        <v>K03241999</v>
      </c>
      <c r="I1367">
        <f>'2020_5-2-2_Download'!BJ23</f>
        <v>0</v>
      </c>
    </row>
    <row r="1368" spans="2:9">
      <c r="B1368">
        <f>'2020_5-2-2_Download'!B24</f>
        <v>251</v>
      </c>
      <c r="C1368">
        <f>'2020_5-2-2_Download'!$BH$5</f>
        <v>2011</v>
      </c>
      <c r="D1368" t="str">
        <f>VLOOKUP(B1368,[1]Tabelle1!$A$1:$B$68,2,FALSE)</f>
        <v>Diepholz</v>
      </c>
      <c r="E1368" t="str">
        <f>'2020_5-2-2_Download'!$BJ$7</f>
        <v>Frauen</v>
      </c>
      <c r="G1368" t="s">
        <v>84</v>
      </c>
      <c r="H1368" t="str">
        <f>VLOOKUP(B1368,[2]Kreise!$A$2:$C$53,3,FALSE)</f>
        <v>K03251</v>
      </c>
      <c r="I1368">
        <f>'2020_5-2-2_Download'!BJ24</f>
        <v>669</v>
      </c>
    </row>
    <row r="1369" spans="2:9">
      <c r="B1369">
        <f>'2020_5-2-2_Download'!B25</f>
        <v>252</v>
      </c>
      <c r="C1369">
        <f>'2020_5-2-2_Download'!$BH$5</f>
        <v>2011</v>
      </c>
      <c r="D1369" t="str">
        <f>VLOOKUP(B1369,[1]Tabelle1!$A$1:$B$68,2,FALSE)</f>
        <v>Hameln-Pyrmont</v>
      </c>
      <c r="E1369" t="str">
        <f>'2020_5-2-2_Download'!$BJ$7</f>
        <v>Frauen</v>
      </c>
      <c r="G1369" t="s">
        <v>84</v>
      </c>
      <c r="H1369" t="str">
        <f>VLOOKUP(B1369,[2]Kreise!$A$2:$C$53,3,FALSE)</f>
        <v>K03252</v>
      </c>
      <c r="I1369">
        <f>'2020_5-2-2_Download'!BJ25</f>
        <v>948</v>
      </c>
    </row>
    <row r="1370" spans="2:9">
      <c r="B1370">
        <f>'2020_5-2-2_Download'!B26</f>
        <v>254</v>
      </c>
      <c r="C1370">
        <f>'2020_5-2-2_Download'!$BH$5</f>
        <v>2011</v>
      </c>
      <c r="D1370" t="str">
        <f>VLOOKUP(B1370,[1]Tabelle1!$A$1:$B$68,2,FALSE)</f>
        <v>Hildesheim</v>
      </c>
      <c r="E1370" t="str">
        <f>'2020_5-2-2_Download'!$BJ$7</f>
        <v>Frauen</v>
      </c>
      <c r="G1370" t="s">
        <v>84</v>
      </c>
      <c r="H1370" t="str">
        <f>VLOOKUP(B1370,[2]Kreise!$A$2:$C$53,3,FALSE)</f>
        <v>K03254</v>
      </c>
      <c r="I1370">
        <f>'2020_5-2-2_Download'!BJ26</f>
        <v>1092</v>
      </c>
    </row>
    <row r="1371" spans="2:9">
      <c r="B1371">
        <f>'2020_5-2-2_Download'!B27</f>
        <v>255</v>
      </c>
      <c r="C1371">
        <f>'2020_5-2-2_Download'!$BH$5</f>
        <v>2011</v>
      </c>
      <c r="D1371" t="str">
        <f>VLOOKUP(B1371,[1]Tabelle1!$A$1:$B$68,2,FALSE)</f>
        <v>Holzminden</v>
      </c>
      <c r="E1371" t="str">
        <f>'2020_5-2-2_Download'!$BJ$7</f>
        <v>Frauen</v>
      </c>
      <c r="G1371" t="s">
        <v>84</v>
      </c>
      <c r="H1371" t="str">
        <f>VLOOKUP(B1371,[2]Kreise!$A$2:$C$53,3,FALSE)</f>
        <v>K03255</v>
      </c>
      <c r="I1371">
        <f>'2020_5-2-2_Download'!BJ27</f>
        <v>222</v>
      </c>
    </row>
    <row r="1372" spans="2:9">
      <c r="B1372">
        <f>'2020_5-2-2_Download'!B28</f>
        <v>256</v>
      </c>
      <c r="C1372">
        <f>'2020_5-2-2_Download'!$BH$5</f>
        <v>2011</v>
      </c>
      <c r="D1372" t="str">
        <f>VLOOKUP(B1372,[1]Tabelle1!$A$1:$B$68,2,FALSE)</f>
        <v>Nienburg (Weser)</v>
      </c>
      <c r="E1372" t="str">
        <f>'2020_5-2-2_Download'!$BJ$7</f>
        <v>Frauen</v>
      </c>
      <c r="G1372" t="s">
        <v>84</v>
      </c>
      <c r="H1372" t="str">
        <f>VLOOKUP(B1372,[2]Kreise!$A$2:$C$53,3,FALSE)</f>
        <v>K03256</v>
      </c>
      <c r="I1372">
        <f>'2020_5-2-2_Download'!BJ28</f>
        <v>380</v>
      </c>
    </row>
    <row r="1373" spans="2:9">
      <c r="B1373">
        <f>'2020_5-2-2_Download'!B29</f>
        <v>257</v>
      </c>
      <c r="C1373">
        <f>'2020_5-2-2_Download'!$BH$5</f>
        <v>2011</v>
      </c>
      <c r="D1373" t="str">
        <f>VLOOKUP(B1373,[1]Tabelle1!$A$1:$B$68,2,FALSE)</f>
        <v>Schaumburg</v>
      </c>
      <c r="E1373" t="str">
        <f>'2020_5-2-2_Download'!$BJ$7</f>
        <v>Frauen</v>
      </c>
      <c r="G1373" t="s">
        <v>84</v>
      </c>
      <c r="H1373" t="str">
        <f>VLOOKUP(B1373,[2]Kreise!$A$2:$C$53,3,FALSE)</f>
        <v>K03257</v>
      </c>
      <c r="I1373">
        <f>'2020_5-2-2_Download'!BJ29</f>
        <v>549</v>
      </c>
    </row>
    <row r="1374" spans="2:9">
      <c r="B1374">
        <f>'2020_5-2-2_Download'!B30</f>
        <v>2</v>
      </c>
      <c r="C1374">
        <f>'2020_5-2-2_Download'!$BH$5</f>
        <v>2011</v>
      </c>
      <c r="D1374" t="str">
        <f>VLOOKUP(B1374,[1]Tabelle1!$A$1:$B$68,2,FALSE)</f>
        <v>Stat. Region Hannover</v>
      </c>
      <c r="E1374" t="str">
        <f>'2020_5-2-2_Download'!$BJ$7</f>
        <v>Frauen</v>
      </c>
      <c r="G1374" t="s">
        <v>84</v>
      </c>
      <c r="H1374" t="str">
        <f>VLOOKUP(B1374,[2]Kreise!$A$2:$C$53,3,FALSE)</f>
        <v>K032</v>
      </c>
      <c r="I1374">
        <f>'2020_5-2-2_Download'!BJ30</f>
        <v>16598</v>
      </c>
    </row>
    <row r="1375" spans="2:9">
      <c r="B1375">
        <f>'2020_5-2-2_Download'!B31</f>
        <v>351</v>
      </c>
      <c r="C1375">
        <f>'2020_5-2-2_Download'!$BH$5</f>
        <v>2011</v>
      </c>
      <c r="D1375" t="str">
        <f>VLOOKUP(B1375,[1]Tabelle1!$A$1:$B$68,2,FALSE)</f>
        <v>Celle</v>
      </c>
      <c r="E1375" t="str">
        <f>'2020_5-2-2_Download'!$BJ$7</f>
        <v>Frauen</v>
      </c>
      <c r="G1375" t="s">
        <v>84</v>
      </c>
      <c r="H1375" t="str">
        <f>VLOOKUP(B1375,[2]Kreise!$A$2:$C$53,3,FALSE)</f>
        <v>K03351</v>
      </c>
      <c r="I1375">
        <f>'2020_5-2-2_Download'!BJ31</f>
        <v>637</v>
      </c>
    </row>
    <row r="1376" spans="2:9">
      <c r="B1376">
        <f>'2020_5-2-2_Download'!B32</f>
        <v>352</v>
      </c>
      <c r="C1376">
        <f>'2020_5-2-2_Download'!$BH$5</f>
        <v>2011</v>
      </c>
      <c r="D1376" t="str">
        <f>VLOOKUP(B1376,[1]Tabelle1!$A$1:$B$68,2,FALSE)</f>
        <v>Cuxhaven</v>
      </c>
      <c r="E1376" t="str">
        <f>'2020_5-2-2_Download'!$BJ$7</f>
        <v>Frauen</v>
      </c>
      <c r="G1376" t="s">
        <v>84</v>
      </c>
      <c r="H1376" t="str">
        <f>VLOOKUP(B1376,[2]Kreise!$A$2:$C$53,3,FALSE)</f>
        <v>K03352</v>
      </c>
      <c r="I1376">
        <f>'2020_5-2-2_Download'!BJ32</f>
        <v>821</v>
      </c>
    </row>
    <row r="1377" spans="2:9">
      <c r="B1377">
        <f>'2020_5-2-2_Download'!B33</f>
        <v>353</v>
      </c>
      <c r="C1377">
        <f>'2020_5-2-2_Download'!$BH$5</f>
        <v>2011</v>
      </c>
      <c r="D1377" t="str">
        <f>VLOOKUP(B1377,[1]Tabelle1!$A$1:$B$68,2,FALSE)</f>
        <v>Harburg</v>
      </c>
      <c r="E1377" t="str">
        <f>'2020_5-2-2_Download'!$BJ$7</f>
        <v>Frauen</v>
      </c>
      <c r="G1377" t="s">
        <v>84</v>
      </c>
      <c r="H1377" t="str">
        <f>VLOOKUP(B1377,[2]Kreise!$A$2:$C$53,3,FALSE)</f>
        <v>K03353</v>
      </c>
      <c r="I1377">
        <f>'2020_5-2-2_Download'!BJ33</f>
        <v>916</v>
      </c>
    </row>
    <row r="1378" spans="2:9">
      <c r="B1378">
        <f>'2020_5-2-2_Download'!B34</f>
        <v>354</v>
      </c>
      <c r="C1378">
        <f>'2020_5-2-2_Download'!$BH$5</f>
        <v>2011</v>
      </c>
      <c r="D1378" t="str">
        <f>VLOOKUP(B1378,[1]Tabelle1!$A$1:$B$68,2,FALSE)</f>
        <v>Lüchow-Dannenberg</v>
      </c>
      <c r="E1378" t="str">
        <f>'2020_5-2-2_Download'!$BJ$7</f>
        <v>Frauen</v>
      </c>
      <c r="G1378" t="s">
        <v>84</v>
      </c>
      <c r="H1378" t="str">
        <f>VLOOKUP(B1378,[2]Kreise!$A$2:$C$53,3,FALSE)</f>
        <v>K03354</v>
      </c>
      <c r="I1378">
        <f>'2020_5-2-2_Download'!BJ34</f>
        <v>83</v>
      </c>
    </row>
    <row r="1379" spans="2:9">
      <c r="B1379">
        <f>'2020_5-2-2_Download'!B35</f>
        <v>355</v>
      </c>
      <c r="C1379">
        <f>'2020_5-2-2_Download'!$BH$5</f>
        <v>2011</v>
      </c>
      <c r="D1379" t="str">
        <f>VLOOKUP(B1379,[1]Tabelle1!$A$1:$B$68,2,FALSE)</f>
        <v>Lüneburg</v>
      </c>
      <c r="E1379" t="str">
        <f>'2020_5-2-2_Download'!$BJ$7</f>
        <v>Frauen</v>
      </c>
      <c r="G1379" t="s">
        <v>84</v>
      </c>
      <c r="H1379" t="str">
        <f>VLOOKUP(B1379,[2]Kreise!$A$2:$C$53,3,FALSE)</f>
        <v>K03355</v>
      </c>
      <c r="I1379">
        <f>'2020_5-2-2_Download'!BJ35</f>
        <v>687</v>
      </c>
    </row>
    <row r="1380" spans="2:9">
      <c r="B1380">
        <f>'2020_5-2-2_Download'!B36</f>
        <v>356</v>
      </c>
      <c r="C1380">
        <f>'2020_5-2-2_Download'!$BH$5</f>
        <v>2011</v>
      </c>
      <c r="D1380" t="str">
        <f>VLOOKUP(B1380,[1]Tabelle1!$A$1:$B$68,2,FALSE)</f>
        <v>Osterholz</v>
      </c>
      <c r="E1380" t="str">
        <f>'2020_5-2-2_Download'!$BJ$7</f>
        <v>Frauen</v>
      </c>
      <c r="G1380" t="s">
        <v>84</v>
      </c>
      <c r="H1380" t="str">
        <f>VLOOKUP(B1380,[2]Kreise!$A$2:$C$53,3,FALSE)</f>
        <v>K03356</v>
      </c>
      <c r="I1380">
        <f>'2020_5-2-2_Download'!BJ36</f>
        <v>272</v>
      </c>
    </row>
    <row r="1381" spans="2:9">
      <c r="B1381">
        <f>'2020_5-2-2_Download'!B37</f>
        <v>357</v>
      </c>
      <c r="C1381">
        <f>'2020_5-2-2_Download'!$BH$5</f>
        <v>2011</v>
      </c>
      <c r="D1381" t="str">
        <f>VLOOKUP(B1381,[1]Tabelle1!$A$1:$B$68,2,FALSE)</f>
        <v>Rotenburg (Wümme)</v>
      </c>
      <c r="E1381" t="str">
        <f>'2020_5-2-2_Download'!$BJ$7</f>
        <v>Frauen</v>
      </c>
      <c r="G1381" t="s">
        <v>84</v>
      </c>
      <c r="H1381" t="str">
        <f>VLOOKUP(B1381,[2]Kreise!$A$2:$C$53,3,FALSE)</f>
        <v>K03357</v>
      </c>
      <c r="I1381">
        <f>'2020_5-2-2_Download'!BJ37</f>
        <v>562</v>
      </c>
    </row>
    <row r="1382" spans="2:9">
      <c r="B1382">
        <f>'2020_5-2-2_Download'!B38</f>
        <v>358</v>
      </c>
      <c r="C1382">
        <f>'2020_5-2-2_Download'!$BH$5</f>
        <v>2011</v>
      </c>
      <c r="D1382" t="str">
        <f>VLOOKUP(B1382,[1]Tabelle1!$A$1:$B$68,2,FALSE)</f>
        <v>Heidekreis</v>
      </c>
      <c r="E1382" t="str">
        <f>'2020_5-2-2_Download'!$BJ$7</f>
        <v>Frauen</v>
      </c>
      <c r="G1382" t="s">
        <v>84</v>
      </c>
      <c r="H1382" t="str">
        <f>VLOOKUP(B1382,[2]Kreise!$A$2:$C$53,3,FALSE)</f>
        <v>K03358</v>
      </c>
      <c r="I1382">
        <f>'2020_5-2-2_Download'!BJ38</f>
        <v>612</v>
      </c>
    </row>
    <row r="1383" spans="2:9">
      <c r="B1383">
        <f>'2020_5-2-2_Download'!B39</f>
        <v>359</v>
      </c>
      <c r="C1383">
        <f>'2020_5-2-2_Download'!$BH$5</f>
        <v>2011</v>
      </c>
      <c r="D1383" t="str">
        <f>VLOOKUP(B1383,[1]Tabelle1!$A$1:$B$68,2,FALSE)</f>
        <v>Stade</v>
      </c>
      <c r="E1383" t="str">
        <f>'2020_5-2-2_Download'!$BJ$7</f>
        <v>Frauen</v>
      </c>
      <c r="G1383" t="s">
        <v>84</v>
      </c>
      <c r="H1383" t="str">
        <f>VLOOKUP(B1383,[2]Kreise!$A$2:$C$53,3,FALSE)</f>
        <v>K03359</v>
      </c>
      <c r="I1383">
        <f>'2020_5-2-2_Download'!BJ39</f>
        <v>628</v>
      </c>
    </row>
    <row r="1384" spans="2:9">
      <c r="B1384">
        <f>'2020_5-2-2_Download'!B40</f>
        <v>360</v>
      </c>
      <c r="C1384">
        <f>'2020_5-2-2_Download'!$BH$5</f>
        <v>2011</v>
      </c>
      <c r="D1384" t="str">
        <f>VLOOKUP(B1384,[1]Tabelle1!$A$1:$B$68,2,FALSE)</f>
        <v>Uelzen</v>
      </c>
      <c r="E1384" t="str">
        <f>'2020_5-2-2_Download'!$BJ$7</f>
        <v>Frauen</v>
      </c>
      <c r="G1384" t="s">
        <v>84</v>
      </c>
      <c r="H1384" t="str">
        <f>VLOOKUP(B1384,[2]Kreise!$A$2:$C$53,3,FALSE)</f>
        <v>K03360</v>
      </c>
      <c r="I1384">
        <f>'2020_5-2-2_Download'!BJ40</f>
        <v>235</v>
      </c>
    </row>
    <row r="1385" spans="2:9">
      <c r="B1385">
        <f>'2020_5-2-2_Download'!B41</f>
        <v>361</v>
      </c>
      <c r="C1385">
        <f>'2020_5-2-2_Download'!$BH$5</f>
        <v>2011</v>
      </c>
      <c r="D1385" t="str">
        <f>VLOOKUP(B1385,[1]Tabelle1!$A$1:$B$68,2,FALSE)</f>
        <v>Verden</v>
      </c>
      <c r="E1385" t="str">
        <f>'2020_5-2-2_Download'!$BJ$7</f>
        <v>Frauen</v>
      </c>
      <c r="G1385" t="s">
        <v>84</v>
      </c>
      <c r="H1385" t="str">
        <f>VLOOKUP(B1385,[2]Kreise!$A$2:$C$53,3,FALSE)</f>
        <v>K03361</v>
      </c>
      <c r="I1385">
        <f>'2020_5-2-2_Download'!BJ41</f>
        <v>679</v>
      </c>
    </row>
    <row r="1386" spans="2:9">
      <c r="B1386">
        <f>'2020_5-2-2_Download'!B42</f>
        <v>3</v>
      </c>
      <c r="C1386">
        <f>'2020_5-2-2_Download'!$BH$5</f>
        <v>2011</v>
      </c>
      <c r="D1386" t="str">
        <f>VLOOKUP(B1386,[1]Tabelle1!$A$1:$B$68,2,FALSE)</f>
        <v>Stat. Region Lüneburg</v>
      </c>
      <c r="E1386" t="str">
        <f>'2020_5-2-2_Download'!$BJ$7</f>
        <v>Frauen</v>
      </c>
      <c r="G1386" t="s">
        <v>84</v>
      </c>
      <c r="H1386" t="str">
        <f>VLOOKUP(B1386,[2]Kreise!$A$2:$C$53,3,FALSE)</f>
        <v>K033</v>
      </c>
      <c r="I1386">
        <f>'2020_5-2-2_Download'!BJ42</f>
        <v>6132</v>
      </c>
    </row>
    <row r="1387" spans="2:9">
      <c r="B1387">
        <f>'2020_5-2-2_Download'!B43</f>
        <v>401</v>
      </c>
      <c r="C1387">
        <f>'2020_5-2-2_Download'!$BH$5</f>
        <v>2011</v>
      </c>
      <c r="D1387" t="str">
        <f>VLOOKUP(B1387,[1]Tabelle1!$A$1:$B$68,2,FALSE)</f>
        <v>Delmenhorst  Stadt</v>
      </c>
      <c r="E1387" t="str">
        <f>'2020_5-2-2_Download'!$BJ$7</f>
        <v>Frauen</v>
      </c>
      <c r="G1387" t="s">
        <v>84</v>
      </c>
      <c r="H1387" t="str">
        <f>VLOOKUP(B1387,[2]Kreise!$A$2:$C$53,3,FALSE)</f>
        <v>K03401</v>
      </c>
      <c r="I1387">
        <f>'2020_5-2-2_Download'!BJ43</f>
        <v>441</v>
      </c>
    </row>
    <row r="1388" spans="2:9">
      <c r="B1388">
        <f>'2020_5-2-2_Download'!B44</f>
        <v>402</v>
      </c>
      <c r="C1388">
        <f>'2020_5-2-2_Download'!$BH$5</f>
        <v>2011</v>
      </c>
      <c r="D1388" t="str">
        <f>VLOOKUP(B1388,[1]Tabelle1!$A$1:$B$68,2,FALSE)</f>
        <v>Emden  Stadt</v>
      </c>
      <c r="E1388" t="str">
        <f>'2020_5-2-2_Download'!$BJ$7</f>
        <v>Frauen</v>
      </c>
      <c r="G1388" t="s">
        <v>84</v>
      </c>
      <c r="H1388" t="str">
        <f>VLOOKUP(B1388,[2]Kreise!$A$2:$C$53,3,FALSE)</f>
        <v>K03402</v>
      </c>
      <c r="I1388">
        <f>'2020_5-2-2_Download'!BJ44</f>
        <v>194</v>
      </c>
    </row>
    <row r="1389" spans="2:9">
      <c r="B1389">
        <f>'2020_5-2-2_Download'!B45</f>
        <v>403</v>
      </c>
      <c r="C1389">
        <f>'2020_5-2-2_Download'!$BH$5</f>
        <v>2011</v>
      </c>
      <c r="D1389" t="str">
        <f>VLOOKUP(B1389,[1]Tabelle1!$A$1:$B$68,2,FALSE)</f>
        <v>Oldenburg(Oldb)  Stadt</v>
      </c>
      <c r="E1389" t="str">
        <f>'2020_5-2-2_Download'!$BJ$7</f>
        <v>Frauen</v>
      </c>
      <c r="G1389" t="s">
        <v>84</v>
      </c>
      <c r="H1389" t="str">
        <f>VLOOKUP(B1389,[2]Kreise!$A$2:$C$53,3,FALSE)</f>
        <v>K03403</v>
      </c>
      <c r="I1389">
        <f>'2020_5-2-2_Download'!BJ45</f>
        <v>1028</v>
      </c>
    </row>
    <row r="1390" spans="2:9">
      <c r="B1390">
        <f>'2020_5-2-2_Download'!B46</f>
        <v>404</v>
      </c>
      <c r="C1390">
        <f>'2020_5-2-2_Download'!$BH$5</f>
        <v>2011</v>
      </c>
      <c r="D1390" t="str">
        <f>VLOOKUP(B1390,[1]Tabelle1!$A$1:$B$68,2,FALSE)</f>
        <v>Osnabrück  Stadt</v>
      </c>
      <c r="E1390" t="str">
        <f>'2020_5-2-2_Download'!$BJ$7</f>
        <v>Frauen</v>
      </c>
      <c r="G1390" t="s">
        <v>84</v>
      </c>
      <c r="H1390" t="str">
        <f>VLOOKUP(B1390,[2]Kreise!$A$2:$C$53,3,FALSE)</f>
        <v>K03404</v>
      </c>
      <c r="I1390">
        <f>'2020_5-2-2_Download'!BJ46</f>
        <v>1880</v>
      </c>
    </row>
    <row r="1391" spans="2:9">
      <c r="B1391">
        <f>'2020_5-2-2_Download'!B47</f>
        <v>405</v>
      </c>
      <c r="C1391">
        <f>'2020_5-2-2_Download'!$BH$5</f>
        <v>2011</v>
      </c>
      <c r="D1391" t="str">
        <f>VLOOKUP(B1391,[1]Tabelle1!$A$1:$B$68,2,FALSE)</f>
        <v>Wilhelmshaven  Stadt</v>
      </c>
      <c r="E1391" t="str">
        <f>'2020_5-2-2_Download'!$BJ$7</f>
        <v>Frauen</v>
      </c>
      <c r="G1391" t="s">
        <v>84</v>
      </c>
      <c r="H1391" t="str">
        <f>VLOOKUP(B1391,[2]Kreise!$A$2:$C$53,3,FALSE)</f>
        <v>K03405</v>
      </c>
      <c r="I1391">
        <f>'2020_5-2-2_Download'!BJ47</f>
        <v>234</v>
      </c>
    </row>
    <row r="1392" spans="2:9">
      <c r="B1392">
        <f>'2020_5-2-2_Download'!B48</f>
        <v>451</v>
      </c>
      <c r="C1392">
        <f>'2020_5-2-2_Download'!$BH$5</f>
        <v>2011</v>
      </c>
      <c r="D1392" t="str">
        <f>VLOOKUP(B1392,[1]Tabelle1!$A$1:$B$68,2,FALSE)</f>
        <v>Ammerland</v>
      </c>
      <c r="E1392" t="str">
        <f>'2020_5-2-2_Download'!$BJ$7</f>
        <v>Frauen</v>
      </c>
      <c r="G1392" t="s">
        <v>84</v>
      </c>
      <c r="H1392" t="str">
        <f>VLOOKUP(B1392,[2]Kreise!$A$2:$C$53,3,FALSE)</f>
        <v>K03451</v>
      </c>
      <c r="I1392">
        <f>'2020_5-2-2_Download'!BJ48</f>
        <v>474</v>
      </c>
    </row>
    <row r="1393" spans="2:9">
      <c r="B1393">
        <f>'2020_5-2-2_Download'!B49</f>
        <v>452</v>
      </c>
      <c r="C1393">
        <f>'2020_5-2-2_Download'!$BH$5</f>
        <v>2011</v>
      </c>
      <c r="D1393" t="str">
        <f>VLOOKUP(B1393,[1]Tabelle1!$A$1:$B$68,2,FALSE)</f>
        <v>Aurich</v>
      </c>
      <c r="E1393" t="str">
        <f>'2020_5-2-2_Download'!$BJ$7</f>
        <v>Frauen</v>
      </c>
      <c r="G1393" t="s">
        <v>84</v>
      </c>
      <c r="H1393" t="str">
        <f>VLOOKUP(B1393,[2]Kreise!$A$2:$C$53,3,FALSE)</f>
        <v>K03452</v>
      </c>
      <c r="I1393">
        <f>'2020_5-2-2_Download'!BJ49</f>
        <v>665</v>
      </c>
    </row>
    <row r="1394" spans="2:9">
      <c r="B1394">
        <f>'2020_5-2-2_Download'!B50</f>
        <v>453</v>
      </c>
      <c r="C1394">
        <f>'2020_5-2-2_Download'!$BH$5</f>
        <v>2011</v>
      </c>
      <c r="D1394" t="str">
        <f>VLOOKUP(B1394,[1]Tabelle1!$A$1:$B$68,2,FALSE)</f>
        <v>Cloppenburg</v>
      </c>
      <c r="E1394" t="str">
        <f>'2020_5-2-2_Download'!$BJ$7</f>
        <v>Frauen</v>
      </c>
      <c r="G1394" t="s">
        <v>84</v>
      </c>
      <c r="H1394" t="str">
        <f>VLOOKUP(B1394,[2]Kreise!$A$2:$C$53,3,FALSE)</f>
        <v>K03453</v>
      </c>
      <c r="I1394">
        <f>'2020_5-2-2_Download'!BJ50</f>
        <v>689</v>
      </c>
    </row>
    <row r="1395" spans="2:9">
      <c r="B1395">
        <f>'2020_5-2-2_Download'!B51</f>
        <v>454</v>
      </c>
      <c r="C1395">
        <f>'2020_5-2-2_Download'!$BH$5</f>
        <v>2011</v>
      </c>
      <c r="D1395" t="str">
        <f>VLOOKUP(B1395,[1]Tabelle1!$A$1:$B$68,2,FALSE)</f>
        <v>Emsland</v>
      </c>
      <c r="E1395" t="str">
        <f>'2020_5-2-2_Download'!$BJ$7</f>
        <v>Frauen</v>
      </c>
      <c r="G1395" t="s">
        <v>84</v>
      </c>
      <c r="H1395" t="str">
        <f>VLOOKUP(B1395,[2]Kreise!$A$2:$C$53,3,FALSE)</f>
        <v>K03454</v>
      </c>
      <c r="I1395">
        <f>'2020_5-2-2_Download'!BJ51</f>
        <v>848</v>
      </c>
    </row>
    <row r="1396" spans="2:9">
      <c r="B1396">
        <f>'2020_5-2-2_Download'!B52</f>
        <v>455</v>
      </c>
      <c r="C1396">
        <f>'2020_5-2-2_Download'!$BH$5</f>
        <v>2011</v>
      </c>
      <c r="D1396" t="str">
        <f>VLOOKUP(B1396,[1]Tabelle1!$A$1:$B$68,2,FALSE)</f>
        <v>Friesland</v>
      </c>
      <c r="E1396" t="str">
        <f>'2020_5-2-2_Download'!$BJ$7</f>
        <v>Frauen</v>
      </c>
      <c r="G1396" t="s">
        <v>84</v>
      </c>
      <c r="H1396" t="str">
        <f>VLOOKUP(B1396,[2]Kreise!$A$2:$C$53,3,FALSE)</f>
        <v>K03455</v>
      </c>
      <c r="I1396">
        <f>'2020_5-2-2_Download'!BJ52</f>
        <v>244</v>
      </c>
    </row>
    <row r="1397" spans="2:9">
      <c r="B1397">
        <f>'2020_5-2-2_Download'!B53</f>
        <v>456</v>
      </c>
      <c r="C1397">
        <f>'2020_5-2-2_Download'!$BH$5</f>
        <v>2011</v>
      </c>
      <c r="D1397" t="str">
        <f>VLOOKUP(B1397,[1]Tabelle1!$A$1:$B$68,2,FALSE)</f>
        <v>Grafschaft Bentheim</v>
      </c>
      <c r="E1397" t="str">
        <f>'2020_5-2-2_Download'!$BJ$7</f>
        <v>Frauen</v>
      </c>
      <c r="G1397" t="s">
        <v>84</v>
      </c>
      <c r="H1397" t="str">
        <f>VLOOKUP(B1397,[2]Kreise!$A$2:$C$53,3,FALSE)</f>
        <v>K03456</v>
      </c>
      <c r="I1397">
        <f>'2020_5-2-2_Download'!BJ53</f>
        <v>624</v>
      </c>
    </row>
    <row r="1398" spans="2:9">
      <c r="B1398">
        <f>'2020_5-2-2_Download'!B54</f>
        <v>457</v>
      </c>
      <c r="C1398">
        <f>'2020_5-2-2_Download'!$BH$5</f>
        <v>2011</v>
      </c>
      <c r="D1398" t="str">
        <f>VLOOKUP(B1398,[1]Tabelle1!$A$1:$B$68,2,FALSE)</f>
        <v>Leer</v>
      </c>
      <c r="E1398" t="str">
        <f>'2020_5-2-2_Download'!$BJ$7</f>
        <v>Frauen</v>
      </c>
      <c r="G1398" t="s">
        <v>84</v>
      </c>
      <c r="H1398" t="str">
        <f>VLOOKUP(B1398,[2]Kreise!$A$2:$C$53,3,FALSE)</f>
        <v>K03457</v>
      </c>
      <c r="I1398">
        <f>'2020_5-2-2_Download'!BJ54</f>
        <v>438</v>
      </c>
    </row>
    <row r="1399" spans="2:9">
      <c r="B1399">
        <f>'2020_5-2-2_Download'!B55</f>
        <v>458</v>
      </c>
      <c r="C1399">
        <f>'2020_5-2-2_Download'!$BH$5</f>
        <v>2011</v>
      </c>
      <c r="D1399" t="str">
        <f>VLOOKUP(B1399,[1]Tabelle1!$A$1:$B$68,2,FALSE)</f>
        <v>Oldenburg</v>
      </c>
      <c r="E1399" t="str">
        <f>'2020_5-2-2_Download'!$BJ$7</f>
        <v>Frauen</v>
      </c>
      <c r="G1399" t="s">
        <v>84</v>
      </c>
      <c r="H1399" t="str">
        <f>VLOOKUP(B1399,[2]Kreise!$A$2:$C$53,3,FALSE)</f>
        <v>K03458</v>
      </c>
      <c r="I1399">
        <f>'2020_5-2-2_Download'!BJ55</f>
        <v>455</v>
      </c>
    </row>
    <row r="1400" spans="2:9">
      <c r="B1400">
        <f>'2020_5-2-2_Download'!B56</f>
        <v>459</v>
      </c>
      <c r="C1400">
        <f>'2020_5-2-2_Download'!$BH$5</f>
        <v>2011</v>
      </c>
      <c r="D1400" t="str">
        <f>VLOOKUP(B1400,[1]Tabelle1!$A$1:$B$68,2,FALSE)</f>
        <v>Osnabrück</v>
      </c>
      <c r="E1400" t="str">
        <f>'2020_5-2-2_Download'!$BJ$7</f>
        <v>Frauen</v>
      </c>
      <c r="G1400" t="s">
        <v>84</v>
      </c>
      <c r="H1400" t="str">
        <f>VLOOKUP(B1400,[2]Kreise!$A$2:$C$53,3,FALSE)</f>
        <v>K03459</v>
      </c>
      <c r="I1400">
        <f>'2020_5-2-2_Download'!BJ56</f>
        <v>1962</v>
      </c>
    </row>
    <row r="1401" spans="2:9">
      <c r="B1401">
        <f>'2020_5-2-2_Download'!B57</f>
        <v>460</v>
      </c>
      <c r="C1401">
        <f>'2020_5-2-2_Download'!$BH$5</f>
        <v>2011</v>
      </c>
      <c r="D1401" t="str">
        <f>VLOOKUP(B1401,[1]Tabelle1!$A$1:$B$68,2,FALSE)</f>
        <v>Vechta</v>
      </c>
      <c r="E1401" t="str">
        <f>'2020_5-2-2_Download'!$BJ$7</f>
        <v>Frauen</v>
      </c>
      <c r="G1401" t="s">
        <v>84</v>
      </c>
      <c r="H1401" t="str">
        <f>VLOOKUP(B1401,[2]Kreise!$A$2:$C$53,3,FALSE)</f>
        <v>K03460</v>
      </c>
      <c r="I1401">
        <f>'2020_5-2-2_Download'!BJ57</f>
        <v>1708</v>
      </c>
    </row>
    <row r="1402" spans="2:9">
      <c r="B1402">
        <f>'2020_5-2-2_Download'!B58</f>
        <v>461</v>
      </c>
      <c r="C1402">
        <f>'2020_5-2-2_Download'!$BH$5</f>
        <v>2011</v>
      </c>
      <c r="D1402" t="str">
        <f>VLOOKUP(B1402,[1]Tabelle1!$A$1:$B$68,2,FALSE)</f>
        <v>Wesermarsch</v>
      </c>
      <c r="E1402" t="str">
        <f>'2020_5-2-2_Download'!$BJ$7</f>
        <v>Frauen</v>
      </c>
      <c r="G1402" t="s">
        <v>84</v>
      </c>
      <c r="H1402" t="str">
        <f>VLOOKUP(B1402,[2]Kreise!$A$2:$C$53,3,FALSE)</f>
        <v>K03461</v>
      </c>
      <c r="I1402">
        <f>'2020_5-2-2_Download'!BJ58</f>
        <v>177</v>
      </c>
    </row>
    <row r="1403" spans="2:9">
      <c r="B1403">
        <f>'2020_5-2-2_Download'!B59</f>
        <v>462</v>
      </c>
      <c r="C1403">
        <f>'2020_5-2-2_Download'!$BH$5</f>
        <v>2011</v>
      </c>
      <c r="D1403" t="str">
        <f>VLOOKUP(B1403,[1]Tabelle1!$A$1:$B$68,2,FALSE)</f>
        <v>Wittmund</v>
      </c>
      <c r="E1403" t="str">
        <f>'2020_5-2-2_Download'!$BJ$7</f>
        <v>Frauen</v>
      </c>
      <c r="G1403" t="s">
        <v>84</v>
      </c>
      <c r="H1403" t="str">
        <f>VLOOKUP(B1403,[2]Kreise!$A$2:$C$53,3,FALSE)</f>
        <v>K03462</v>
      </c>
      <c r="I1403">
        <f>'2020_5-2-2_Download'!BJ59</f>
        <v>184</v>
      </c>
    </row>
    <row r="1404" spans="2:9">
      <c r="B1404">
        <f>'2020_5-2-2_Download'!B60</f>
        <v>4</v>
      </c>
      <c r="C1404">
        <f>'2020_5-2-2_Download'!$BH$5</f>
        <v>2011</v>
      </c>
      <c r="D1404" t="str">
        <f>VLOOKUP(B1404,[1]Tabelle1!$A$1:$B$68,2,FALSE)</f>
        <v>Stat. Region Weser-Ems</v>
      </c>
      <c r="E1404" t="str">
        <f>'2020_5-2-2_Download'!$BJ$7</f>
        <v>Frauen</v>
      </c>
      <c r="G1404" t="s">
        <v>84</v>
      </c>
      <c r="H1404" t="str">
        <f>VLOOKUP(B1404,[2]Kreise!$A$2:$C$53,3,FALSE)</f>
        <v>K034</v>
      </c>
      <c r="I1404">
        <f>'2020_5-2-2_Download'!BJ60</f>
        <v>12245</v>
      </c>
    </row>
    <row r="1405" spans="2:9">
      <c r="B1405">
        <f>'2020_5-2-2_Download'!B61</f>
        <v>0</v>
      </c>
      <c r="C1405">
        <f>'2020_5-2-2_Download'!$BH$5</f>
        <v>2011</v>
      </c>
      <c r="D1405" t="str">
        <f>VLOOKUP(B1405,[1]Tabelle1!$A$1:$B$68,2,FALSE)</f>
        <v>Niedersachsen</v>
      </c>
      <c r="E1405" t="str">
        <f>'2020_5-2-2_Download'!$BJ$7</f>
        <v>Frauen</v>
      </c>
      <c r="G1405" t="s">
        <v>84</v>
      </c>
      <c r="H1405" t="str">
        <f>VLOOKUP(B1405,[2]Kreise!$A$2:$C$53,3,FALSE)</f>
        <v>K030</v>
      </c>
      <c r="I1405">
        <f>'2020_5-2-2_Download'!BJ61</f>
        <v>43401</v>
      </c>
    </row>
    <row r="1406" spans="2:9">
      <c r="B1406">
        <f>'2020_5-2-2_Download'!B10</f>
        <v>101</v>
      </c>
      <c r="C1406">
        <f>'2020_5-2-2_Download'!$D$5</f>
        <v>2020</v>
      </c>
      <c r="D1406" t="str">
        <f>VLOOKUP(B1406,[1]Tabelle1!$A$1:$B$68,2,FALSE)</f>
        <v>Braunschweig  Stadt</v>
      </c>
      <c r="F1406" t="str">
        <f>'2020_5-2-2_Download'!$G$7</f>
        <v>hoch</v>
      </c>
      <c r="G1406" t="s">
        <v>362</v>
      </c>
      <c r="H1406" t="str">
        <f>VLOOKUP(B1406,[2]Kreise!$A$2:$C$53,3,FALSE)</f>
        <v>K03101</v>
      </c>
      <c r="I1406">
        <f>'2020_5-2-2_Download'!G10</f>
        <v>24.911186205701412</v>
      </c>
    </row>
    <row r="1407" spans="2:9">
      <c r="B1407">
        <f>'2020_5-2-2_Download'!B11</f>
        <v>102</v>
      </c>
      <c r="C1407">
        <f>'2020_5-2-2_Download'!$D$5</f>
        <v>2020</v>
      </c>
      <c r="D1407" t="str">
        <f>VLOOKUP(B1407,[1]Tabelle1!$A$1:$B$68,2,FALSE)</f>
        <v>Salzgitter  Stadt</v>
      </c>
      <c r="F1407" t="str">
        <f>'2020_5-2-2_Download'!$G$7</f>
        <v>hoch</v>
      </c>
      <c r="G1407" t="s">
        <v>362</v>
      </c>
      <c r="H1407" t="str">
        <f>VLOOKUP(B1407,[2]Kreise!$A$2:$C$53,3,FALSE)</f>
        <v>K03102</v>
      </c>
      <c r="I1407">
        <f>'2020_5-2-2_Download'!G11</f>
        <v>8.9995899958999583</v>
      </c>
    </row>
    <row r="1408" spans="2:9">
      <c r="B1408">
        <f>'2020_5-2-2_Download'!B12</f>
        <v>103</v>
      </c>
      <c r="C1408">
        <f>'2020_5-2-2_Download'!$D$5</f>
        <v>2020</v>
      </c>
      <c r="D1408" t="str">
        <f>VLOOKUP(B1408,[1]Tabelle1!$A$1:$B$68,2,FALSE)</f>
        <v>Wolfsburg  Stadt</v>
      </c>
      <c r="F1408" t="str">
        <f>'2020_5-2-2_Download'!$G$7</f>
        <v>hoch</v>
      </c>
      <c r="G1408" t="s">
        <v>362</v>
      </c>
      <c r="H1408" t="str">
        <f>VLOOKUP(B1408,[2]Kreise!$A$2:$C$53,3,FALSE)</f>
        <v>K03103</v>
      </c>
      <c r="I1408">
        <f>'2020_5-2-2_Download'!G12</f>
        <v>25.476034143138541</v>
      </c>
    </row>
    <row r="1409" spans="2:9">
      <c r="B1409">
        <f>'2020_5-2-2_Download'!B13</f>
        <v>151</v>
      </c>
      <c r="C1409">
        <f>'2020_5-2-2_Download'!$D$5</f>
        <v>2020</v>
      </c>
      <c r="D1409" t="str">
        <f>VLOOKUP(B1409,[1]Tabelle1!$A$1:$B$68,2,FALSE)</f>
        <v>Gifhorn</v>
      </c>
      <c r="F1409" t="str">
        <f>'2020_5-2-2_Download'!$G$7</f>
        <v>hoch</v>
      </c>
      <c r="G1409" t="s">
        <v>362</v>
      </c>
      <c r="H1409" t="str">
        <f>VLOOKUP(B1409,[2]Kreise!$A$2:$C$53,3,FALSE)</f>
        <v>K03151</v>
      </c>
      <c r="I1409">
        <f>'2020_5-2-2_Download'!G13</f>
        <v>17.285845870432915</v>
      </c>
    </row>
    <row r="1410" spans="2:9">
      <c r="B1410">
        <f>'2020_5-2-2_Download'!B14</f>
        <v>153</v>
      </c>
      <c r="C1410">
        <f>'2020_5-2-2_Download'!$D$5</f>
        <v>2020</v>
      </c>
      <c r="D1410" t="str">
        <f>VLOOKUP(B1410,[1]Tabelle1!$A$1:$B$68,2,FALSE)</f>
        <v>Goslar</v>
      </c>
      <c r="F1410" t="str">
        <f>'2020_5-2-2_Download'!$G$7</f>
        <v>hoch</v>
      </c>
      <c r="G1410" t="s">
        <v>362</v>
      </c>
      <c r="H1410" t="str">
        <f>VLOOKUP(B1410,[2]Kreise!$A$2:$C$53,3,FALSE)</f>
        <v>K03153</v>
      </c>
      <c r="I1410">
        <f>'2020_5-2-2_Download'!G14</f>
        <v>17.581395348837209</v>
      </c>
    </row>
    <row r="1411" spans="2:9">
      <c r="B1411">
        <f>'2020_5-2-2_Download'!B15</f>
        <v>154</v>
      </c>
      <c r="C1411">
        <f>'2020_5-2-2_Download'!$D$5</f>
        <v>2020</v>
      </c>
      <c r="D1411" t="str">
        <f>VLOOKUP(B1411,[1]Tabelle1!$A$1:$B$68,2,FALSE)</f>
        <v>Helmstedt</v>
      </c>
      <c r="F1411" t="str">
        <f>'2020_5-2-2_Download'!$G$7</f>
        <v>hoch</v>
      </c>
      <c r="G1411" t="s">
        <v>362</v>
      </c>
      <c r="H1411" t="str">
        <f>VLOOKUP(B1411,[2]Kreise!$A$2:$C$53,3,FALSE)</f>
        <v>K03154</v>
      </c>
      <c r="I1411">
        <f>'2020_5-2-2_Download'!G15</f>
        <v>13.52145796590241</v>
      </c>
    </row>
    <row r="1412" spans="2:9">
      <c r="B1412">
        <f>'2020_5-2-2_Download'!B16</f>
        <v>155</v>
      </c>
      <c r="C1412">
        <f>'2020_5-2-2_Download'!$D$5</f>
        <v>2020</v>
      </c>
      <c r="D1412" t="str">
        <f>VLOOKUP(B1412,[1]Tabelle1!$A$1:$B$68,2,FALSE)</f>
        <v>Northeim</v>
      </c>
      <c r="F1412" t="str">
        <f>'2020_5-2-2_Download'!$G$7</f>
        <v>hoch</v>
      </c>
      <c r="G1412" t="s">
        <v>362</v>
      </c>
      <c r="H1412" t="str">
        <f>VLOOKUP(B1412,[2]Kreise!$A$2:$C$53,3,FALSE)</f>
        <v>K03155</v>
      </c>
      <c r="I1412">
        <f>'2020_5-2-2_Download'!G16</f>
        <v>10.216627634660421</v>
      </c>
    </row>
    <row r="1413" spans="2:9">
      <c r="B1413">
        <f>'2020_5-2-2_Download'!B17</f>
        <v>157</v>
      </c>
      <c r="C1413">
        <f>'2020_5-2-2_Download'!$D$5</f>
        <v>2020</v>
      </c>
      <c r="D1413" t="str">
        <f>VLOOKUP(B1413,[1]Tabelle1!$A$1:$B$68,2,FALSE)</f>
        <v>Peine</v>
      </c>
      <c r="F1413" t="str">
        <f>'2020_5-2-2_Download'!$G$7</f>
        <v>hoch</v>
      </c>
      <c r="G1413" t="s">
        <v>362</v>
      </c>
      <c r="H1413" t="str">
        <f>VLOOKUP(B1413,[2]Kreise!$A$2:$C$53,3,FALSE)</f>
        <v>K03157</v>
      </c>
      <c r="I1413">
        <f>'2020_5-2-2_Download'!G17</f>
        <v>6.6508313539192399</v>
      </c>
    </row>
    <row r="1414" spans="2:9">
      <c r="B1414">
        <f>'2020_5-2-2_Download'!B18</f>
        <v>158</v>
      </c>
      <c r="C1414">
        <f>'2020_5-2-2_Download'!$D$5</f>
        <v>2020</v>
      </c>
      <c r="D1414" t="str">
        <f>VLOOKUP(B1414,[1]Tabelle1!$A$1:$B$68,2,FALSE)</f>
        <v>Wolfenbüttel</v>
      </c>
      <c r="F1414" t="str">
        <f>'2020_5-2-2_Download'!$G$7</f>
        <v>hoch</v>
      </c>
      <c r="G1414" t="s">
        <v>362</v>
      </c>
      <c r="H1414" t="str">
        <f>VLOOKUP(B1414,[2]Kreise!$A$2:$C$53,3,FALSE)</f>
        <v>K03158</v>
      </c>
      <c r="I1414">
        <f>'2020_5-2-2_Download'!G18</f>
        <v>12.925598991172762</v>
      </c>
    </row>
    <row r="1415" spans="2:9">
      <c r="B1415">
        <f>'2020_5-2-2_Download'!B19</f>
        <v>159</v>
      </c>
      <c r="C1415">
        <f>'2020_5-2-2_Download'!$D$5</f>
        <v>2020</v>
      </c>
      <c r="D1415" t="str">
        <f>VLOOKUP(B1415,[1]Tabelle1!$A$1:$B$68,2,FALSE)</f>
        <v>Göttingen</v>
      </c>
      <c r="F1415" t="str">
        <f>'2020_5-2-2_Download'!$G$7</f>
        <v>hoch</v>
      </c>
      <c r="G1415" t="s">
        <v>362</v>
      </c>
      <c r="H1415" t="str">
        <f>VLOOKUP(B1415,[2]Kreise!$A$2:$C$53,3,FALSE)</f>
        <v>K03159</v>
      </c>
      <c r="I1415">
        <f>'2020_5-2-2_Download'!G19</f>
        <v>28.180616292077698</v>
      </c>
    </row>
    <row r="1416" spans="2:9">
      <c r="B1416">
        <f>'2020_5-2-2_Download'!B20</f>
        <v>1</v>
      </c>
      <c r="C1416">
        <f>'2020_5-2-2_Download'!$D$5</f>
        <v>2020</v>
      </c>
      <c r="D1416" t="str">
        <f>VLOOKUP(B1416,[1]Tabelle1!$A$1:$B$68,2,FALSE)</f>
        <v>Stat. Region Braunschweig</v>
      </c>
      <c r="F1416" t="str">
        <f>'2020_5-2-2_Download'!$G$7</f>
        <v>hoch</v>
      </c>
      <c r="G1416" t="s">
        <v>362</v>
      </c>
      <c r="H1416" t="str">
        <f>VLOOKUP(B1416,[2]Kreise!$A$2:$C$53,3,FALSE)</f>
        <v>K031</v>
      </c>
      <c r="I1416">
        <f>'2020_5-2-2_Download'!G20</f>
        <v>20.459731418097483</v>
      </c>
    </row>
    <row r="1417" spans="2:9">
      <c r="B1417">
        <f>'2020_5-2-2_Download'!B21</f>
        <v>241</v>
      </c>
      <c r="C1417">
        <f>'2020_5-2-2_Download'!$D$5</f>
        <v>2020</v>
      </c>
      <c r="D1417" t="str">
        <f>VLOOKUP(B1417,[1]Tabelle1!$A$1:$B$68,2,FALSE)</f>
        <v>Hannover  Region</v>
      </c>
      <c r="F1417" t="str">
        <f>'2020_5-2-2_Download'!$G$7</f>
        <v>hoch</v>
      </c>
      <c r="G1417" t="s">
        <v>362</v>
      </c>
      <c r="H1417" t="str">
        <f>VLOOKUP(B1417,[2]Kreise!$A$2:$C$53,3,FALSE)</f>
        <v>K03241</v>
      </c>
      <c r="I1417">
        <f>'2020_5-2-2_Download'!G21</f>
        <v>13.745369779026696</v>
      </c>
    </row>
    <row r="1418" spans="2:9">
      <c r="B1418">
        <f>'2020_5-2-2_Download'!B22</f>
        <v>241001</v>
      </c>
      <c r="C1418">
        <f>'2020_5-2-2_Download'!$D$5</f>
        <v>2020</v>
      </c>
      <c r="D1418" t="str">
        <f>VLOOKUP(B1418,[1]Tabelle1!$A$1:$B$68,2,FALSE)</f>
        <v>dav. Hannover  Lhst.</v>
      </c>
      <c r="F1418" t="str">
        <f>'2020_5-2-2_Download'!$G$7</f>
        <v>hoch</v>
      </c>
      <c r="G1418" t="s">
        <v>362</v>
      </c>
      <c r="H1418" t="str">
        <f>VLOOKUP(B1418,[2]Kreise!$A$2:$C$53,3,FALSE)</f>
        <v>K03241001</v>
      </c>
      <c r="I1418">
        <f>'2020_5-2-2_Download'!G22</f>
        <v>17.227875821203142</v>
      </c>
    </row>
    <row r="1419" spans="2:9">
      <c r="B1419">
        <f>'2020_5-2-2_Download'!B23</f>
        <v>241999</v>
      </c>
      <c r="C1419">
        <f>'2020_5-2-2_Download'!$D$5</f>
        <v>2020</v>
      </c>
      <c r="D1419" t="str">
        <f>VLOOKUP(B1419,[1]Tabelle1!$A$1:$B$68,2,FALSE)</f>
        <v>dav. Hannover  Umland</v>
      </c>
      <c r="F1419" t="str">
        <f>'2020_5-2-2_Download'!$G$7</f>
        <v>hoch</v>
      </c>
      <c r="G1419" t="s">
        <v>362</v>
      </c>
      <c r="H1419" t="str">
        <f>VLOOKUP(B1419,[2]Kreise!$A$2:$C$53,3,FALSE)</f>
        <v>K03241999</v>
      </c>
      <c r="I1419">
        <f>'2020_5-2-2_Download'!G23</f>
        <v>8.0698660620565139</v>
      </c>
    </row>
    <row r="1420" spans="2:9">
      <c r="B1420">
        <f>'2020_5-2-2_Download'!B24</f>
        <v>251</v>
      </c>
      <c r="C1420">
        <f>'2020_5-2-2_Download'!$D$5</f>
        <v>2020</v>
      </c>
      <c r="D1420" t="str">
        <f>VLOOKUP(B1420,[1]Tabelle1!$A$1:$B$68,2,FALSE)</f>
        <v>Diepholz</v>
      </c>
      <c r="F1420" t="str">
        <f>'2020_5-2-2_Download'!$G$7</f>
        <v>hoch</v>
      </c>
      <c r="G1420" t="s">
        <v>362</v>
      </c>
      <c r="H1420" t="str">
        <f>VLOOKUP(B1420,[2]Kreise!$A$2:$C$53,3,FALSE)</f>
        <v>K03251</v>
      </c>
      <c r="I1420">
        <f>'2020_5-2-2_Download'!G24</f>
        <v>7.2338489535941761</v>
      </c>
    </row>
    <row r="1421" spans="2:9">
      <c r="B1421">
        <f>'2020_5-2-2_Download'!B25</f>
        <v>252</v>
      </c>
      <c r="C1421">
        <f>'2020_5-2-2_Download'!$D$5</f>
        <v>2020</v>
      </c>
      <c r="D1421" t="str">
        <f>VLOOKUP(B1421,[1]Tabelle1!$A$1:$B$68,2,FALSE)</f>
        <v>Hameln-Pyrmont</v>
      </c>
      <c r="F1421" t="str">
        <f>'2020_5-2-2_Download'!$G$7</f>
        <v>hoch</v>
      </c>
      <c r="G1421" t="s">
        <v>362</v>
      </c>
      <c r="H1421" t="str">
        <f>VLOOKUP(B1421,[2]Kreise!$A$2:$C$53,3,FALSE)</f>
        <v>K03252</v>
      </c>
      <c r="I1421">
        <f>'2020_5-2-2_Download'!G25</f>
        <v>11.105722599418041</v>
      </c>
    </row>
    <row r="1422" spans="2:9">
      <c r="B1422">
        <f>'2020_5-2-2_Download'!B26</f>
        <v>254</v>
      </c>
      <c r="C1422">
        <f>'2020_5-2-2_Download'!$D$5</f>
        <v>2020</v>
      </c>
      <c r="D1422" t="str">
        <f>VLOOKUP(B1422,[1]Tabelle1!$A$1:$B$68,2,FALSE)</f>
        <v>Hildesheim</v>
      </c>
      <c r="F1422" t="str">
        <f>'2020_5-2-2_Download'!$G$7</f>
        <v>hoch</v>
      </c>
      <c r="G1422" t="s">
        <v>362</v>
      </c>
      <c r="H1422" t="str">
        <f>VLOOKUP(B1422,[2]Kreise!$A$2:$C$53,3,FALSE)</f>
        <v>K03254</v>
      </c>
      <c r="I1422">
        <f>'2020_5-2-2_Download'!G26</f>
        <v>18.077696950936389</v>
      </c>
    </row>
    <row r="1423" spans="2:9">
      <c r="B1423">
        <f>'2020_5-2-2_Download'!B27</f>
        <v>255</v>
      </c>
      <c r="C1423">
        <f>'2020_5-2-2_Download'!$D$5</f>
        <v>2020</v>
      </c>
      <c r="D1423" t="str">
        <f>VLOOKUP(B1423,[1]Tabelle1!$A$1:$B$68,2,FALSE)</f>
        <v>Holzminden</v>
      </c>
      <c r="F1423" t="str">
        <f>'2020_5-2-2_Download'!$G$7</f>
        <v>hoch</v>
      </c>
      <c r="G1423" t="s">
        <v>362</v>
      </c>
      <c r="H1423" t="str">
        <f>VLOOKUP(B1423,[2]Kreise!$A$2:$C$53,3,FALSE)</f>
        <v>K03255</v>
      </c>
      <c r="I1423">
        <f>'2020_5-2-2_Download'!G27</f>
        <v>12.668463611859838</v>
      </c>
    </row>
    <row r="1424" spans="2:9">
      <c r="B1424">
        <f>'2020_5-2-2_Download'!B28</f>
        <v>256</v>
      </c>
      <c r="C1424">
        <f>'2020_5-2-2_Download'!$D$5</f>
        <v>2020</v>
      </c>
      <c r="D1424" t="str">
        <f>VLOOKUP(B1424,[1]Tabelle1!$A$1:$B$68,2,FALSE)</f>
        <v>Nienburg (Weser)</v>
      </c>
      <c r="F1424" t="str">
        <f>'2020_5-2-2_Download'!$G$7</f>
        <v>hoch</v>
      </c>
      <c r="G1424" t="s">
        <v>362</v>
      </c>
      <c r="H1424" t="str">
        <f>VLOOKUP(B1424,[2]Kreise!$A$2:$C$53,3,FALSE)</f>
        <v>K03256</v>
      </c>
      <c r="I1424">
        <f>'2020_5-2-2_Download'!G28</f>
        <v>5.5874913773281216</v>
      </c>
    </row>
    <row r="1425" spans="2:9">
      <c r="B1425">
        <f>'2020_5-2-2_Download'!B29</f>
        <v>257</v>
      </c>
      <c r="C1425">
        <f>'2020_5-2-2_Download'!$D$5</f>
        <v>2020</v>
      </c>
      <c r="D1425" t="str">
        <f>VLOOKUP(B1425,[1]Tabelle1!$A$1:$B$68,2,FALSE)</f>
        <v>Schaumburg</v>
      </c>
      <c r="F1425" t="str">
        <f>'2020_5-2-2_Download'!$G$7</f>
        <v>hoch</v>
      </c>
      <c r="G1425" t="s">
        <v>362</v>
      </c>
      <c r="H1425" t="str">
        <f>VLOOKUP(B1425,[2]Kreise!$A$2:$C$53,3,FALSE)</f>
        <v>K03257</v>
      </c>
      <c r="I1425">
        <f>'2020_5-2-2_Download'!G29</f>
        <v>8.7519419989642664</v>
      </c>
    </row>
    <row r="1426" spans="2:9">
      <c r="B1426">
        <f>'2020_5-2-2_Download'!B30</f>
        <v>2</v>
      </c>
      <c r="C1426">
        <f>'2020_5-2-2_Download'!$D$5</f>
        <v>2020</v>
      </c>
      <c r="D1426" t="str">
        <f>VLOOKUP(B1426,[1]Tabelle1!$A$1:$B$68,2,FALSE)</f>
        <v>Stat. Region Hannover</v>
      </c>
      <c r="F1426" t="str">
        <f>'2020_5-2-2_Download'!$G$7</f>
        <v>hoch</v>
      </c>
      <c r="G1426" t="s">
        <v>362</v>
      </c>
      <c r="H1426" t="str">
        <f>VLOOKUP(B1426,[2]Kreise!$A$2:$C$53,3,FALSE)</f>
        <v>K032</v>
      </c>
      <c r="I1426">
        <f>'2020_5-2-2_Download'!G30</f>
        <v>12.827073045382432</v>
      </c>
    </row>
    <row r="1427" spans="2:9">
      <c r="B1427">
        <f>'2020_5-2-2_Download'!B31</f>
        <v>351</v>
      </c>
      <c r="C1427">
        <f>'2020_5-2-2_Download'!$D$5</f>
        <v>2020</v>
      </c>
      <c r="D1427" t="str">
        <f>VLOOKUP(B1427,[1]Tabelle1!$A$1:$B$68,2,FALSE)</f>
        <v>Celle</v>
      </c>
      <c r="F1427" t="str">
        <f>'2020_5-2-2_Download'!$G$7</f>
        <v>hoch</v>
      </c>
      <c r="G1427" t="s">
        <v>362</v>
      </c>
      <c r="H1427" t="str">
        <f>VLOOKUP(B1427,[2]Kreise!$A$2:$C$53,3,FALSE)</f>
        <v>K03351</v>
      </c>
      <c r="I1427">
        <f>'2020_5-2-2_Download'!G31</f>
        <v>14.07624633431085</v>
      </c>
    </row>
    <row r="1428" spans="2:9">
      <c r="B1428">
        <f>'2020_5-2-2_Download'!B32</f>
        <v>352</v>
      </c>
      <c r="C1428">
        <f>'2020_5-2-2_Download'!$D$5</f>
        <v>2020</v>
      </c>
      <c r="D1428" t="str">
        <f>VLOOKUP(B1428,[1]Tabelle1!$A$1:$B$68,2,FALSE)</f>
        <v>Cuxhaven</v>
      </c>
      <c r="F1428" t="str">
        <f>'2020_5-2-2_Download'!$G$7</f>
        <v>hoch</v>
      </c>
      <c r="G1428" t="s">
        <v>362</v>
      </c>
      <c r="H1428" t="str">
        <f>VLOOKUP(B1428,[2]Kreise!$A$2:$C$53,3,FALSE)</f>
        <v>K03352</v>
      </c>
      <c r="I1428">
        <f>'2020_5-2-2_Download'!G32</f>
        <v>6.6773017319963541</v>
      </c>
    </row>
    <row r="1429" spans="2:9">
      <c r="B1429">
        <f>'2020_5-2-2_Download'!B33</f>
        <v>353</v>
      </c>
      <c r="C1429">
        <f>'2020_5-2-2_Download'!$D$5</f>
        <v>2020</v>
      </c>
      <c r="D1429" t="str">
        <f>VLOOKUP(B1429,[1]Tabelle1!$A$1:$B$68,2,FALSE)</f>
        <v>Harburg</v>
      </c>
      <c r="F1429" t="str">
        <f>'2020_5-2-2_Download'!$G$7</f>
        <v>hoch</v>
      </c>
      <c r="G1429" t="s">
        <v>362</v>
      </c>
      <c r="H1429" t="str">
        <f>VLOOKUP(B1429,[2]Kreise!$A$2:$C$53,3,FALSE)</f>
        <v>K03353</v>
      </c>
      <c r="I1429">
        <f>'2020_5-2-2_Download'!G33</f>
        <v>6.9528602238882611</v>
      </c>
    </row>
    <row r="1430" spans="2:9">
      <c r="B1430">
        <f>'2020_5-2-2_Download'!B34</f>
        <v>354</v>
      </c>
      <c r="C1430">
        <f>'2020_5-2-2_Download'!$D$5</f>
        <v>2020</v>
      </c>
      <c r="D1430" t="str">
        <f>VLOOKUP(B1430,[1]Tabelle1!$A$1:$B$68,2,FALSE)</f>
        <v>Lüchow-Dannenberg</v>
      </c>
      <c r="F1430" t="str">
        <f>'2020_5-2-2_Download'!$G$7</f>
        <v>hoch</v>
      </c>
      <c r="G1430" t="s">
        <v>362</v>
      </c>
      <c r="H1430" t="str">
        <f>VLOOKUP(B1430,[2]Kreise!$A$2:$C$53,3,FALSE)</f>
        <v>K03354</v>
      </c>
      <c r="I1430">
        <f>'2020_5-2-2_Download'!G34</f>
        <v>11.6</v>
      </c>
    </row>
    <row r="1431" spans="2:9">
      <c r="B1431">
        <f>'2020_5-2-2_Download'!B35</f>
        <v>355</v>
      </c>
      <c r="C1431">
        <f>'2020_5-2-2_Download'!$D$5</f>
        <v>2020</v>
      </c>
      <c r="D1431" t="str">
        <f>VLOOKUP(B1431,[1]Tabelle1!$A$1:$B$68,2,FALSE)</f>
        <v>Lüneburg</v>
      </c>
      <c r="F1431" t="str">
        <f>'2020_5-2-2_Download'!$G$7</f>
        <v>hoch</v>
      </c>
      <c r="G1431" t="s">
        <v>362</v>
      </c>
      <c r="H1431" t="str">
        <f>VLOOKUP(B1431,[2]Kreise!$A$2:$C$53,3,FALSE)</f>
        <v>K03355</v>
      </c>
      <c r="I1431">
        <f>'2020_5-2-2_Download'!G35</f>
        <v>14.977075904228222</v>
      </c>
    </row>
    <row r="1432" spans="2:9">
      <c r="B1432">
        <f>'2020_5-2-2_Download'!B36</f>
        <v>356</v>
      </c>
      <c r="C1432">
        <f>'2020_5-2-2_Download'!$D$5</f>
        <v>2020</v>
      </c>
      <c r="D1432" t="str">
        <f>VLOOKUP(B1432,[1]Tabelle1!$A$1:$B$68,2,FALSE)</f>
        <v>Osterholz</v>
      </c>
      <c r="F1432" t="str">
        <f>'2020_5-2-2_Download'!$G$7</f>
        <v>hoch</v>
      </c>
      <c r="G1432" t="s">
        <v>362</v>
      </c>
      <c r="H1432" t="str">
        <f>VLOOKUP(B1432,[2]Kreise!$A$2:$C$53,3,FALSE)</f>
        <v>K03356</v>
      </c>
      <c r="I1432">
        <f>'2020_5-2-2_Download'!G36</f>
        <v>11.485148514851485</v>
      </c>
    </row>
    <row r="1433" spans="2:9">
      <c r="B1433">
        <f>'2020_5-2-2_Download'!B37</f>
        <v>357</v>
      </c>
      <c r="C1433">
        <f>'2020_5-2-2_Download'!$D$5</f>
        <v>2020</v>
      </c>
      <c r="D1433" t="str">
        <f>VLOOKUP(B1433,[1]Tabelle1!$A$1:$B$68,2,FALSE)</f>
        <v>Rotenburg (Wümme)</v>
      </c>
      <c r="F1433" t="str">
        <f>'2020_5-2-2_Download'!$G$7</f>
        <v>hoch</v>
      </c>
      <c r="G1433" t="s">
        <v>362</v>
      </c>
      <c r="H1433" t="str">
        <f>VLOOKUP(B1433,[2]Kreise!$A$2:$C$53,3,FALSE)</f>
        <v>K03357</v>
      </c>
      <c r="I1433">
        <f>'2020_5-2-2_Download'!G37</f>
        <v>8.9200863930885532</v>
      </c>
    </row>
    <row r="1434" spans="2:9">
      <c r="B1434">
        <f>'2020_5-2-2_Download'!B38</f>
        <v>358</v>
      </c>
      <c r="C1434">
        <f>'2020_5-2-2_Download'!$D$5</f>
        <v>2020</v>
      </c>
      <c r="D1434" t="str">
        <f>VLOOKUP(B1434,[1]Tabelle1!$A$1:$B$68,2,FALSE)</f>
        <v>Heidekreis</v>
      </c>
      <c r="F1434" t="str">
        <f>'2020_5-2-2_Download'!$G$7</f>
        <v>hoch</v>
      </c>
      <c r="G1434" t="s">
        <v>362</v>
      </c>
      <c r="H1434" t="str">
        <f>VLOOKUP(B1434,[2]Kreise!$A$2:$C$53,3,FALSE)</f>
        <v>K03358</v>
      </c>
      <c r="I1434">
        <f>'2020_5-2-2_Download'!G38</f>
        <v>7.9247036950964445</v>
      </c>
    </row>
    <row r="1435" spans="2:9">
      <c r="B1435">
        <f>'2020_5-2-2_Download'!B39</f>
        <v>359</v>
      </c>
      <c r="C1435">
        <f>'2020_5-2-2_Download'!$D$5</f>
        <v>2020</v>
      </c>
      <c r="D1435" t="str">
        <f>VLOOKUP(B1435,[1]Tabelle1!$A$1:$B$68,2,FALSE)</f>
        <v>Stade</v>
      </c>
      <c r="F1435" t="str">
        <f>'2020_5-2-2_Download'!$G$7</f>
        <v>hoch</v>
      </c>
      <c r="G1435" t="s">
        <v>362</v>
      </c>
      <c r="H1435" t="str">
        <f>VLOOKUP(B1435,[2]Kreise!$A$2:$C$53,3,FALSE)</f>
        <v>K03359</v>
      </c>
      <c r="I1435">
        <f>'2020_5-2-2_Download'!G39</f>
        <v>9.0909090909090917</v>
      </c>
    </row>
    <row r="1436" spans="2:9">
      <c r="B1436">
        <f>'2020_5-2-2_Download'!B40</f>
        <v>360</v>
      </c>
      <c r="C1436">
        <f>'2020_5-2-2_Download'!$D$5</f>
        <v>2020</v>
      </c>
      <c r="D1436" t="str">
        <f>VLOOKUP(B1436,[1]Tabelle1!$A$1:$B$68,2,FALSE)</f>
        <v>Uelzen</v>
      </c>
      <c r="F1436" t="str">
        <f>'2020_5-2-2_Download'!$G$7</f>
        <v>hoch</v>
      </c>
      <c r="G1436" t="s">
        <v>362</v>
      </c>
      <c r="H1436" t="str">
        <f>VLOOKUP(B1436,[2]Kreise!$A$2:$C$53,3,FALSE)</f>
        <v>K03360</v>
      </c>
      <c r="I1436">
        <f>'2020_5-2-2_Download'!G40</f>
        <v>13.376932223543401</v>
      </c>
    </row>
    <row r="1437" spans="2:9">
      <c r="B1437">
        <f>'2020_5-2-2_Download'!B41</f>
        <v>361</v>
      </c>
      <c r="C1437">
        <f>'2020_5-2-2_Download'!$D$5</f>
        <v>2020</v>
      </c>
      <c r="D1437" t="str">
        <f>VLOOKUP(B1437,[1]Tabelle1!$A$1:$B$68,2,FALSE)</f>
        <v>Verden</v>
      </c>
      <c r="F1437" t="str">
        <f>'2020_5-2-2_Download'!$G$7</f>
        <v>hoch</v>
      </c>
      <c r="G1437" t="s">
        <v>362</v>
      </c>
      <c r="H1437" t="str">
        <f>VLOOKUP(B1437,[2]Kreise!$A$2:$C$53,3,FALSE)</f>
        <v>K03361</v>
      </c>
      <c r="I1437">
        <f>'2020_5-2-2_Download'!G41</f>
        <v>7.6567774027358322</v>
      </c>
    </row>
    <row r="1438" spans="2:9">
      <c r="B1438">
        <f>'2020_5-2-2_Download'!B42</f>
        <v>3</v>
      </c>
      <c r="C1438">
        <f>'2020_5-2-2_Download'!$D$5</f>
        <v>2020</v>
      </c>
      <c r="D1438" t="str">
        <f>VLOOKUP(B1438,[1]Tabelle1!$A$1:$B$68,2,FALSE)</f>
        <v>Stat. Region Lüneburg</v>
      </c>
      <c r="F1438" t="str">
        <f>'2020_5-2-2_Download'!$G$7</f>
        <v>hoch</v>
      </c>
      <c r="G1438" t="s">
        <v>362</v>
      </c>
      <c r="H1438" t="str">
        <f>VLOOKUP(B1438,[2]Kreise!$A$2:$C$53,3,FALSE)</f>
        <v>K033</v>
      </c>
      <c r="I1438">
        <f>'2020_5-2-2_Download'!G42</f>
        <v>9.3491526865259083</v>
      </c>
    </row>
    <row r="1439" spans="2:9">
      <c r="B1439">
        <f>'2020_5-2-2_Download'!B43</f>
        <v>401</v>
      </c>
      <c r="C1439">
        <f>'2020_5-2-2_Download'!$D$5</f>
        <v>2020</v>
      </c>
      <c r="D1439" t="str">
        <f>VLOOKUP(B1439,[1]Tabelle1!$A$1:$B$68,2,FALSE)</f>
        <v>Delmenhorst  Stadt</v>
      </c>
      <c r="F1439" t="str">
        <f>'2020_5-2-2_Download'!$G$7</f>
        <v>hoch</v>
      </c>
      <c r="G1439" t="s">
        <v>362</v>
      </c>
      <c r="H1439" t="str">
        <f>VLOOKUP(B1439,[2]Kreise!$A$2:$C$53,3,FALSE)</f>
        <v>K03401</v>
      </c>
      <c r="I1439">
        <f>'2020_5-2-2_Download'!G43</f>
        <v>9.9785407725321882</v>
      </c>
    </row>
    <row r="1440" spans="2:9">
      <c r="B1440">
        <f>'2020_5-2-2_Download'!B44</f>
        <v>402</v>
      </c>
      <c r="C1440">
        <f>'2020_5-2-2_Download'!$D$5</f>
        <v>2020</v>
      </c>
      <c r="D1440" t="str">
        <f>VLOOKUP(B1440,[1]Tabelle1!$A$1:$B$68,2,FALSE)</f>
        <v>Emden  Stadt</v>
      </c>
      <c r="F1440" t="str">
        <f>'2020_5-2-2_Download'!$G$7</f>
        <v>hoch</v>
      </c>
      <c r="G1440" t="s">
        <v>362</v>
      </c>
      <c r="H1440" t="str">
        <f>VLOOKUP(B1440,[2]Kreise!$A$2:$C$53,3,FALSE)</f>
        <v>K03402</v>
      </c>
      <c r="I1440">
        <f>'2020_5-2-2_Download'!G44</f>
        <v>10.093252879868349</v>
      </c>
    </row>
    <row r="1441" spans="2:9">
      <c r="B1441">
        <f>'2020_5-2-2_Download'!B45</f>
        <v>403</v>
      </c>
      <c r="C1441">
        <f>'2020_5-2-2_Download'!$D$5</f>
        <v>2020</v>
      </c>
      <c r="D1441" t="str">
        <f>VLOOKUP(B1441,[1]Tabelle1!$A$1:$B$68,2,FALSE)</f>
        <v>Oldenburg(Oldb)  Stadt</v>
      </c>
      <c r="F1441" t="str">
        <f>'2020_5-2-2_Download'!$G$7</f>
        <v>hoch</v>
      </c>
      <c r="G1441" t="s">
        <v>362</v>
      </c>
      <c r="H1441" t="str">
        <f>VLOOKUP(B1441,[2]Kreise!$A$2:$C$53,3,FALSE)</f>
        <v>K03403</v>
      </c>
      <c r="I1441">
        <f>'2020_5-2-2_Download'!G45</f>
        <v>18.159688412852969</v>
      </c>
    </row>
    <row r="1442" spans="2:9">
      <c r="B1442">
        <f>'2020_5-2-2_Download'!B46</f>
        <v>404</v>
      </c>
      <c r="C1442">
        <f>'2020_5-2-2_Download'!$D$5</f>
        <v>2020</v>
      </c>
      <c r="D1442" t="str">
        <f>VLOOKUP(B1442,[1]Tabelle1!$A$1:$B$68,2,FALSE)</f>
        <v>Osnabrück  Stadt</v>
      </c>
      <c r="F1442" t="str">
        <f>'2020_5-2-2_Download'!$G$7</f>
        <v>hoch</v>
      </c>
      <c r="G1442" t="s">
        <v>362</v>
      </c>
      <c r="H1442" t="str">
        <f>VLOOKUP(B1442,[2]Kreise!$A$2:$C$53,3,FALSE)</f>
        <v>K03404</v>
      </c>
      <c r="I1442">
        <f>'2020_5-2-2_Download'!G46</f>
        <v>11.325873177348253</v>
      </c>
    </row>
    <row r="1443" spans="2:9">
      <c r="B1443">
        <f>'2020_5-2-2_Download'!B47</f>
        <v>405</v>
      </c>
      <c r="C1443">
        <f>'2020_5-2-2_Download'!$D$5</f>
        <v>2020</v>
      </c>
      <c r="D1443" t="str">
        <f>VLOOKUP(B1443,[1]Tabelle1!$A$1:$B$68,2,FALSE)</f>
        <v>Wilhelmshaven  Stadt</v>
      </c>
      <c r="F1443" t="str">
        <f>'2020_5-2-2_Download'!$G$7</f>
        <v>hoch</v>
      </c>
      <c r="G1443" t="s">
        <v>362</v>
      </c>
      <c r="H1443" t="str">
        <f>VLOOKUP(B1443,[2]Kreise!$A$2:$C$53,3,FALSE)</f>
        <v>K03405</v>
      </c>
      <c r="I1443">
        <f>'2020_5-2-2_Download'!G47</f>
        <v>14.716981132075471</v>
      </c>
    </row>
    <row r="1444" spans="2:9">
      <c r="B1444">
        <f>'2020_5-2-2_Download'!B48</f>
        <v>451</v>
      </c>
      <c r="C1444">
        <f>'2020_5-2-2_Download'!$D$5</f>
        <v>2020</v>
      </c>
      <c r="D1444" t="str">
        <f>VLOOKUP(B1444,[1]Tabelle1!$A$1:$B$68,2,FALSE)</f>
        <v>Ammerland</v>
      </c>
      <c r="F1444" t="str">
        <f>'2020_5-2-2_Download'!$G$7</f>
        <v>hoch</v>
      </c>
      <c r="G1444" t="s">
        <v>362</v>
      </c>
      <c r="H1444" t="str">
        <f>VLOOKUP(B1444,[2]Kreise!$A$2:$C$53,3,FALSE)</f>
        <v>K03451</v>
      </c>
      <c r="I1444">
        <f>'2020_5-2-2_Download'!G48</f>
        <v>7.3922465687454855</v>
      </c>
    </row>
    <row r="1445" spans="2:9">
      <c r="B1445">
        <f>'2020_5-2-2_Download'!B49</f>
        <v>452</v>
      </c>
      <c r="C1445">
        <f>'2020_5-2-2_Download'!$D$5</f>
        <v>2020</v>
      </c>
      <c r="D1445" t="str">
        <f>VLOOKUP(B1445,[1]Tabelle1!$A$1:$B$68,2,FALSE)</f>
        <v>Aurich</v>
      </c>
      <c r="F1445" t="str">
        <f>'2020_5-2-2_Download'!$G$7</f>
        <v>hoch</v>
      </c>
      <c r="G1445" t="s">
        <v>362</v>
      </c>
      <c r="H1445" t="str">
        <f>VLOOKUP(B1445,[2]Kreise!$A$2:$C$53,3,FALSE)</f>
        <v>K03452</v>
      </c>
      <c r="I1445">
        <f>'2020_5-2-2_Download'!G49</f>
        <v>9.0057636887608066</v>
      </c>
    </row>
    <row r="1446" spans="2:9">
      <c r="B1446">
        <f>'2020_5-2-2_Download'!B50</f>
        <v>453</v>
      </c>
      <c r="C1446">
        <f>'2020_5-2-2_Download'!$D$5</f>
        <v>2020</v>
      </c>
      <c r="D1446" t="str">
        <f>VLOOKUP(B1446,[1]Tabelle1!$A$1:$B$68,2,FALSE)</f>
        <v>Cloppenburg</v>
      </c>
      <c r="F1446" t="str">
        <f>'2020_5-2-2_Download'!$G$7</f>
        <v>hoch</v>
      </c>
      <c r="G1446" t="s">
        <v>362</v>
      </c>
      <c r="H1446" t="str">
        <f>VLOOKUP(B1446,[2]Kreise!$A$2:$C$53,3,FALSE)</f>
        <v>K03453</v>
      </c>
      <c r="I1446">
        <f>'2020_5-2-2_Download'!G50</f>
        <v>3.1602708803611739</v>
      </c>
    </row>
    <row r="1447" spans="2:9">
      <c r="B1447">
        <f>'2020_5-2-2_Download'!B51</f>
        <v>454</v>
      </c>
      <c r="C1447">
        <f>'2020_5-2-2_Download'!$D$5</f>
        <v>2020</v>
      </c>
      <c r="D1447" t="str">
        <f>VLOOKUP(B1447,[1]Tabelle1!$A$1:$B$68,2,FALSE)</f>
        <v>Emsland</v>
      </c>
      <c r="F1447" t="str">
        <f>'2020_5-2-2_Download'!$G$7</f>
        <v>hoch</v>
      </c>
      <c r="G1447" t="s">
        <v>362</v>
      </c>
      <c r="H1447" t="str">
        <f>VLOOKUP(B1447,[2]Kreise!$A$2:$C$53,3,FALSE)</f>
        <v>K03454</v>
      </c>
      <c r="I1447">
        <f>'2020_5-2-2_Download'!G51</f>
        <v>7.3695463352709289</v>
      </c>
    </row>
    <row r="1448" spans="2:9">
      <c r="B1448">
        <f>'2020_5-2-2_Download'!B52</f>
        <v>455</v>
      </c>
      <c r="C1448">
        <f>'2020_5-2-2_Download'!$D$5</f>
        <v>2020</v>
      </c>
      <c r="D1448" t="str">
        <f>VLOOKUP(B1448,[1]Tabelle1!$A$1:$B$68,2,FALSE)</f>
        <v>Friesland</v>
      </c>
      <c r="F1448" t="str">
        <f>'2020_5-2-2_Download'!$G$7</f>
        <v>hoch</v>
      </c>
      <c r="G1448" t="s">
        <v>362</v>
      </c>
      <c r="H1448" t="str">
        <f>VLOOKUP(B1448,[2]Kreise!$A$2:$C$53,3,FALSE)</f>
        <v>K03455</v>
      </c>
      <c r="I1448">
        <f>'2020_5-2-2_Download'!G52</f>
        <v>12.532808398950131</v>
      </c>
    </row>
    <row r="1449" spans="2:9">
      <c r="B1449">
        <f>'2020_5-2-2_Download'!B53</f>
        <v>456</v>
      </c>
      <c r="C1449">
        <f>'2020_5-2-2_Download'!$D$5</f>
        <v>2020</v>
      </c>
      <c r="D1449" t="str">
        <f>VLOOKUP(B1449,[1]Tabelle1!$A$1:$B$68,2,FALSE)</f>
        <v>Grafschaft Bentheim</v>
      </c>
      <c r="F1449" t="str">
        <f>'2020_5-2-2_Download'!$G$7</f>
        <v>hoch</v>
      </c>
      <c r="G1449" t="s">
        <v>362</v>
      </c>
      <c r="H1449" t="str">
        <f>VLOOKUP(B1449,[2]Kreise!$A$2:$C$53,3,FALSE)</f>
        <v>K03456</v>
      </c>
      <c r="I1449">
        <f>'2020_5-2-2_Download'!G53</f>
        <v>7.1157167530224523</v>
      </c>
    </row>
    <row r="1450" spans="2:9">
      <c r="B1450">
        <f>'2020_5-2-2_Download'!B54</f>
        <v>457</v>
      </c>
      <c r="C1450">
        <f>'2020_5-2-2_Download'!$D$5</f>
        <v>2020</v>
      </c>
      <c r="D1450" t="str">
        <f>VLOOKUP(B1450,[1]Tabelle1!$A$1:$B$68,2,FALSE)</f>
        <v>Leer</v>
      </c>
      <c r="F1450" t="str">
        <f>'2020_5-2-2_Download'!$G$7</f>
        <v>hoch</v>
      </c>
      <c r="G1450" t="s">
        <v>362</v>
      </c>
      <c r="H1450" t="str">
        <f>VLOOKUP(B1450,[2]Kreise!$A$2:$C$53,3,FALSE)</f>
        <v>K03457</v>
      </c>
      <c r="I1450">
        <f>'2020_5-2-2_Download'!G54</f>
        <v>8.2049920339883169</v>
      </c>
    </row>
    <row r="1451" spans="2:9">
      <c r="B1451">
        <f>'2020_5-2-2_Download'!B55</f>
        <v>458</v>
      </c>
      <c r="C1451">
        <f>'2020_5-2-2_Download'!$D$5</f>
        <v>2020</v>
      </c>
      <c r="D1451" t="str">
        <f>VLOOKUP(B1451,[1]Tabelle1!$A$1:$B$68,2,FALSE)</f>
        <v>Oldenburg</v>
      </c>
      <c r="F1451" t="str">
        <f>'2020_5-2-2_Download'!$G$7</f>
        <v>hoch</v>
      </c>
      <c r="G1451" t="s">
        <v>362</v>
      </c>
      <c r="H1451" t="str">
        <f>VLOOKUP(B1451,[2]Kreise!$A$2:$C$53,3,FALSE)</f>
        <v>K03458</v>
      </c>
      <c r="I1451">
        <f>'2020_5-2-2_Download'!G55</f>
        <v>5.1535658511192084</v>
      </c>
    </row>
    <row r="1452" spans="2:9">
      <c r="B1452">
        <f>'2020_5-2-2_Download'!B56</f>
        <v>459</v>
      </c>
      <c r="C1452">
        <f>'2020_5-2-2_Download'!$D$5</f>
        <v>2020</v>
      </c>
      <c r="D1452" t="str">
        <f>VLOOKUP(B1452,[1]Tabelle1!$A$1:$B$68,2,FALSE)</f>
        <v>Osnabrück</v>
      </c>
      <c r="F1452" t="str">
        <f>'2020_5-2-2_Download'!$G$7</f>
        <v>hoch</v>
      </c>
      <c r="G1452" t="s">
        <v>362</v>
      </c>
      <c r="H1452" t="str">
        <f>VLOOKUP(B1452,[2]Kreise!$A$2:$C$53,3,FALSE)</f>
        <v>K03459</v>
      </c>
      <c r="I1452">
        <f>'2020_5-2-2_Download'!G56</f>
        <v>4.5575196250070595</v>
      </c>
    </row>
    <row r="1453" spans="2:9">
      <c r="B1453">
        <f>'2020_5-2-2_Download'!B57</f>
        <v>460</v>
      </c>
      <c r="C1453">
        <f>'2020_5-2-2_Download'!$D$5</f>
        <v>2020</v>
      </c>
      <c r="D1453" t="str">
        <f>VLOOKUP(B1453,[1]Tabelle1!$A$1:$B$68,2,FALSE)</f>
        <v>Vechta</v>
      </c>
      <c r="F1453" t="str">
        <f>'2020_5-2-2_Download'!$G$7</f>
        <v>hoch</v>
      </c>
      <c r="G1453" t="s">
        <v>362</v>
      </c>
      <c r="H1453" t="str">
        <f>VLOOKUP(B1453,[2]Kreise!$A$2:$C$53,3,FALSE)</f>
        <v>K03460</v>
      </c>
      <c r="I1453">
        <f>'2020_5-2-2_Download'!G57</f>
        <v>4.2659526996876398</v>
      </c>
    </row>
    <row r="1454" spans="2:9">
      <c r="B1454">
        <f>'2020_5-2-2_Download'!B58</f>
        <v>461</v>
      </c>
      <c r="C1454">
        <f>'2020_5-2-2_Download'!$D$5</f>
        <v>2020</v>
      </c>
      <c r="D1454" t="str">
        <f>VLOOKUP(B1454,[1]Tabelle1!$A$1:$B$68,2,FALSE)</f>
        <v>Wesermarsch</v>
      </c>
      <c r="F1454" t="str">
        <f>'2020_5-2-2_Download'!$G$7</f>
        <v>hoch</v>
      </c>
      <c r="G1454" t="s">
        <v>362</v>
      </c>
      <c r="H1454" t="str">
        <f>VLOOKUP(B1454,[2]Kreise!$A$2:$C$53,3,FALSE)</f>
        <v>K03461</v>
      </c>
      <c r="I1454">
        <f>'2020_5-2-2_Download'!G58</f>
        <v>6.9461077844311374</v>
      </c>
    </row>
    <row r="1455" spans="2:9">
      <c r="B1455">
        <f>'2020_5-2-2_Download'!B59</f>
        <v>462</v>
      </c>
      <c r="C1455">
        <f>'2020_5-2-2_Download'!$D$5</f>
        <v>2020</v>
      </c>
      <c r="D1455" t="str">
        <f>VLOOKUP(B1455,[1]Tabelle1!$A$1:$B$68,2,FALSE)</f>
        <v>Wittmund</v>
      </c>
      <c r="F1455" t="str">
        <f>'2020_5-2-2_Download'!$G$7</f>
        <v>hoch</v>
      </c>
      <c r="G1455" t="s">
        <v>362</v>
      </c>
      <c r="H1455" t="str">
        <f>VLOOKUP(B1455,[2]Kreise!$A$2:$C$53,3,FALSE)</f>
        <v>K03462</v>
      </c>
      <c r="I1455">
        <f>'2020_5-2-2_Download'!G59</f>
        <v>6.8181818181818183</v>
      </c>
    </row>
    <row r="1456" spans="2:9">
      <c r="B1456">
        <f>'2020_5-2-2_Download'!B60</f>
        <v>4</v>
      </c>
      <c r="C1456">
        <f>'2020_5-2-2_Download'!$D$5</f>
        <v>2020</v>
      </c>
      <c r="D1456" t="str">
        <f>VLOOKUP(B1456,[1]Tabelle1!$A$1:$B$68,2,FALSE)</f>
        <v>Stat. Region Weser-Ems</v>
      </c>
      <c r="F1456" t="str">
        <f>'2020_5-2-2_Download'!$G$7</f>
        <v>hoch</v>
      </c>
      <c r="G1456" t="s">
        <v>362</v>
      </c>
      <c r="H1456" t="str">
        <f>VLOOKUP(B1456,[2]Kreise!$A$2:$C$53,3,FALSE)</f>
        <v>K034</v>
      </c>
      <c r="I1456">
        <f>'2020_5-2-2_Download'!G60</f>
        <v>7.3891674039123165</v>
      </c>
    </row>
    <row r="1457" spans="2:9">
      <c r="B1457">
        <f>'2020_5-2-2_Download'!B61</f>
        <v>0</v>
      </c>
      <c r="C1457">
        <f>'2020_5-2-2_Download'!$D$5</f>
        <v>2020</v>
      </c>
      <c r="D1457" t="str">
        <f>VLOOKUP(B1457,[1]Tabelle1!$A$1:$B$68,2,FALSE)</f>
        <v>Niedersachsen</v>
      </c>
      <c r="F1457" t="str">
        <f>'2020_5-2-2_Download'!$G$7</f>
        <v>hoch</v>
      </c>
      <c r="G1457" t="s">
        <v>362</v>
      </c>
      <c r="H1457" t="str">
        <f>VLOOKUP(B1457,[2]Kreise!$A$2:$C$53,3,FALSE)</f>
        <v>K030</v>
      </c>
      <c r="I1457">
        <f>'2020_5-2-2_Download'!G61</f>
        <v>11.768980540425662</v>
      </c>
    </row>
    <row r="1458" spans="2:9">
      <c r="B1458">
        <f>'2020_5-2-2_Download'!B10</f>
        <v>101</v>
      </c>
      <c r="C1458">
        <f>'2020_5-2-2_Download'!$D$5</f>
        <v>2020</v>
      </c>
      <c r="D1458" t="str">
        <f>VLOOKUP(B1458,[1]Tabelle1!$A$1:$B$68,2,FALSE)</f>
        <v>Braunschweig  Stadt</v>
      </c>
      <c r="F1458" t="str">
        <f>'2020_5-2-2_Download'!$H$7</f>
        <v>mittel</v>
      </c>
      <c r="G1458" t="s">
        <v>362</v>
      </c>
      <c r="H1458" t="str">
        <f>VLOOKUP(B1458,[2]Kreise!$A$2:$C$53,3,FALSE)</f>
        <v>K03101</v>
      </c>
      <c r="I1458">
        <f>'2020_5-2-2_Download'!H10</f>
        <v>27.93518759206308</v>
      </c>
    </row>
    <row r="1459" spans="2:9">
      <c r="B1459">
        <f>'2020_5-2-2_Download'!B11</f>
        <v>102</v>
      </c>
      <c r="C1459">
        <f>'2020_5-2-2_Download'!$D$5</f>
        <v>2020</v>
      </c>
      <c r="D1459" t="str">
        <f>VLOOKUP(B1459,[1]Tabelle1!$A$1:$B$68,2,FALSE)</f>
        <v>Salzgitter  Stadt</v>
      </c>
      <c r="F1459" t="str">
        <f>'2020_5-2-2_Download'!$H$7</f>
        <v>mittel</v>
      </c>
      <c r="G1459" t="s">
        <v>362</v>
      </c>
      <c r="H1459" t="str">
        <f>VLOOKUP(B1459,[2]Kreise!$A$2:$C$53,3,FALSE)</f>
        <v>K03102</v>
      </c>
      <c r="I1459">
        <f>'2020_5-2-2_Download'!H11</f>
        <v>40.05740057400574</v>
      </c>
    </row>
    <row r="1460" spans="2:9">
      <c r="B1460">
        <f>'2020_5-2-2_Download'!B12</f>
        <v>103</v>
      </c>
      <c r="C1460">
        <f>'2020_5-2-2_Download'!$D$5</f>
        <v>2020</v>
      </c>
      <c r="D1460" t="str">
        <f>VLOOKUP(B1460,[1]Tabelle1!$A$1:$B$68,2,FALSE)</f>
        <v>Wolfsburg  Stadt</v>
      </c>
      <c r="F1460" t="str">
        <f>'2020_5-2-2_Download'!$H$7</f>
        <v>mittel</v>
      </c>
      <c r="G1460" t="s">
        <v>362</v>
      </c>
      <c r="H1460" t="str">
        <f>VLOOKUP(B1460,[2]Kreise!$A$2:$C$53,3,FALSE)</f>
        <v>K03103</v>
      </c>
      <c r="I1460">
        <f>'2020_5-2-2_Download'!H12</f>
        <v>32.529781446393393</v>
      </c>
    </row>
    <row r="1461" spans="2:9">
      <c r="B1461">
        <f>'2020_5-2-2_Download'!B13</f>
        <v>151</v>
      </c>
      <c r="C1461">
        <f>'2020_5-2-2_Download'!$D$5</f>
        <v>2020</v>
      </c>
      <c r="D1461" t="str">
        <f>VLOOKUP(B1461,[1]Tabelle1!$A$1:$B$68,2,FALSE)</f>
        <v>Gifhorn</v>
      </c>
      <c r="F1461" t="str">
        <f>'2020_5-2-2_Download'!$H$7</f>
        <v>mittel</v>
      </c>
      <c r="G1461" t="s">
        <v>362</v>
      </c>
      <c r="H1461" t="str">
        <f>VLOOKUP(B1461,[2]Kreise!$A$2:$C$53,3,FALSE)</f>
        <v>K03151</v>
      </c>
      <c r="I1461">
        <f>'2020_5-2-2_Download'!H13</f>
        <v>27.509978507829292</v>
      </c>
    </row>
    <row r="1462" spans="2:9">
      <c r="B1462">
        <f>'2020_5-2-2_Download'!B14</f>
        <v>153</v>
      </c>
      <c r="C1462">
        <f>'2020_5-2-2_Download'!$D$5</f>
        <v>2020</v>
      </c>
      <c r="D1462" t="str">
        <f>VLOOKUP(B1462,[1]Tabelle1!$A$1:$B$68,2,FALSE)</f>
        <v>Goslar</v>
      </c>
      <c r="F1462" t="str">
        <f>'2020_5-2-2_Download'!$H$7</f>
        <v>mittel</v>
      </c>
      <c r="G1462" t="s">
        <v>362</v>
      </c>
      <c r="H1462" t="str">
        <f>VLOOKUP(B1462,[2]Kreise!$A$2:$C$53,3,FALSE)</f>
        <v>K03153</v>
      </c>
      <c r="I1462">
        <f>'2020_5-2-2_Download'!H14</f>
        <v>30.449612403100776</v>
      </c>
    </row>
    <row r="1463" spans="2:9">
      <c r="B1463">
        <f>'2020_5-2-2_Download'!B15</f>
        <v>154</v>
      </c>
      <c r="C1463">
        <f>'2020_5-2-2_Download'!$D$5</f>
        <v>2020</v>
      </c>
      <c r="D1463" t="str">
        <f>VLOOKUP(B1463,[1]Tabelle1!$A$1:$B$68,2,FALSE)</f>
        <v>Helmstedt</v>
      </c>
      <c r="F1463" t="str">
        <f>'2020_5-2-2_Download'!$H$7</f>
        <v>mittel</v>
      </c>
      <c r="G1463" t="s">
        <v>362</v>
      </c>
      <c r="H1463" t="str">
        <f>VLOOKUP(B1463,[2]Kreise!$A$2:$C$53,3,FALSE)</f>
        <v>K03154</v>
      </c>
      <c r="I1463">
        <f>'2020_5-2-2_Download'!H15</f>
        <v>43.562610229276899</v>
      </c>
    </row>
    <row r="1464" spans="2:9">
      <c r="B1464">
        <f>'2020_5-2-2_Download'!B16</f>
        <v>155</v>
      </c>
      <c r="C1464">
        <f>'2020_5-2-2_Download'!$D$5</f>
        <v>2020</v>
      </c>
      <c r="D1464" t="str">
        <f>VLOOKUP(B1464,[1]Tabelle1!$A$1:$B$68,2,FALSE)</f>
        <v>Northeim</v>
      </c>
      <c r="F1464" t="str">
        <f>'2020_5-2-2_Download'!$H$7</f>
        <v>mittel</v>
      </c>
      <c r="G1464" t="s">
        <v>362</v>
      </c>
      <c r="H1464" t="str">
        <f>VLOOKUP(B1464,[2]Kreise!$A$2:$C$53,3,FALSE)</f>
        <v>K03155</v>
      </c>
      <c r="I1464">
        <f>'2020_5-2-2_Download'!H16</f>
        <v>42.710772833723652</v>
      </c>
    </row>
    <row r="1465" spans="2:9">
      <c r="B1465">
        <f>'2020_5-2-2_Download'!B17</f>
        <v>157</v>
      </c>
      <c r="C1465">
        <f>'2020_5-2-2_Download'!$D$5</f>
        <v>2020</v>
      </c>
      <c r="D1465" t="str">
        <f>VLOOKUP(B1465,[1]Tabelle1!$A$1:$B$68,2,FALSE)</f>
        <v>Peine</v>
      </c>
      <c r="F1465" t="str">
        <f>'2020_5-2-2_Download'!$H$7</f>
        <v>mittel</v>
      </c>
      <c r="G1465" t="s">
        <v>362</v>
      </c>
      <c r="H1465" t="str">
        <f>VLOOKUP(B1465,[2]Kreise!$A$2:$C$53,3,FALSE)</f>
        <v>K03157</v>
      </c>
      <c r="I1465">
        <f>'2020_5-2-2_Download'!H17</f>
        <v>31.88836104513064</v>
      </c>
    </row>
    <row r="1466" spans="2:9">
      <c r="B1466">
        <f>'2020_5-2-2_Download'!B18</f>
        <v>158</v>
      </c>
      <c r="C1466">
        <f>'2020_5-2-2_Download'!$D$5</f>
        <v>2020</v>
      </c>
      <c r="D1466" t="str">
        <f>VLOOKUP(B1466,[1]Tabelle1!$A$1:$B$68,2,FALSE)</f>
        <v>Wolfenbüttel</v>
      </c>
      <c r="F1466" t="str">
        <f>'2020_5-2-2_Download'!$H$7</f>
        <v>mittel</v>
      </c>
      <c r="G1466" t="s">
        <v>362</v>
      </c>
      <c r="H1466" t="str">
        <f>VLOOKUP(B1466,[2]Kreise!$A$2:$C$53,3,FALSE)</f>
        <v>K03158</v>
      </c>
      <c r="I1466">
        <f>'2020_5-2-2_Download'!H18</f>
        <v>40.731399747793191</v>
      </c>
    </row>
    <row r="1467" spans="2:9">
      <c r="B1467">
        <f>'2020_5-2-2_Download'!B19</f>
        <v>159</v>
      </c>
      <c r="C1467">
        <f>'2020_5-2-2_Download'!$D$5</f>
        <v>2020</v>
      </c>
      <c r="D1467" t="str">
        <f>VLOOKUP(B1467,[1]Tabelle1!$A$1:$B$68,2,FALSE)</f>
        <v>Göttingen</v>
      </c>
      <c r="F1467" t="str">
        <f>'2020_5-2-2_Download'!$H$7</f>
        <v>mittel</v>
      </c>
      <c r="G1467" t="s">
        <v>362</v>
      </c>
      <c r="H1467" t="str">
        <f>VLOOKUP(B1467,[2]Kreise!$A$2:$C$53,3,FALSE)</f>
        <v>K03159</v>
      </c>
      <c r="I1467">
        <f>'2020_5-2-2_Download'!H19</f>
        <v>28.678938269093866</v>
      </c>
    </row>
    <row r="1468" spans="2:9">
      <c r="B1468">
        <f>'2020_5-2-2_Download'!B20</f>
        <v>1</v>
      </c>
      <c r="C1468">
        <f>'2020_5-2-2_Download'!$D$5</f>
        <v>2020</v>
      </c>
      <c r="D1468" t="str">
        <f>VLOOKUP(B1468,[1]Tabelle1!$A$1:$B$68,2,FALSE)</f>
        <v>Stat. Region Braunschweig</v>
      </c>
      <c r="F1468" t="str">
        <f>'2020_5-2-2_Download'!$H$7</f>
        <v>mittel</v>
      </c>
      <c r="G1468" t="s">
        <v>362</v>
      </c>
      <c r="H1468" t="str">
        <f>VLOOKUP(B1468,[2]Kreise!$A$2:$C$53,3,FALSE)</f>
        <v>K031</v>
      </c>
      <c r="I1468">
        <f>'2020_5-2-2_Download'!H20</f>
        <v>32.289679422436691</v>
      </c>
    </row>
    <row r="1469" spans="2:9">
      <c r="B1469">
        <f>'2020_5-2-2_Download'!B21</f>
        <v>241</v>
      </c>
      <c r="C1469">
        <f>'2020_5-2-2_Download'!$D$5</f>
        <v>2020</v>
      </c>
      <c r="D1469" t="str">
        <f>VLOOKUP(B1469,[1]Tabelle1!$A$1:$B$68,2,FALSE)</f>
        <v>Hannover  Region</v>
      </c>
      <c r="F1469" t="str">
        <f>'2020_5-2-2_Download'!$H$7</f>
        <v>mittel</v>
      </c>
      <c r="G1469" t="s">
        <v>362</v>
      </c>
      <c r="H1469" t="str">
        <f>VLOOKUP(B1469,[2]Kreise!$A$2:$C$53,3,FALSE)</f>
        <v>K03241</v>
      </c>
      <c r="I1469">
        <f>'2020_5-2-2_Download'!H21</f>
        <v>32.943223911099757</v>
      </c>
    </row>
    <row r="1470" spans="2:9">
      <c r="B1470">
        <f>'2020_5-2-2_Download'!B22</f>
        <v>241001</v>
      </c>
      <c r="C1470">
        <f>'2020_5-2-2_Download'!$D$5</f>
        <v>2020</v>
      </c>
      <c r="D1470" t="str">
        <f>VLOOKUP(B1470,[1]Tabelle1!$A$1:$B$68,2,FALSE)</f>
        <v>dav. Hannover  Lhst.</v>
      </c>
      <c r="F1470" t="str">
        <f>'2020_5-2-2_Download'!$H$7</f>
        <v>mittel</v>
      </c>
      <c r="G1470" t="s">
        <v>362</v>
      </c>
      <c r="H1470" t="str">
        <f>VLOOKUP(B1470,[2]Kreise!$A$2:$C$53,3,FALSE)</f>
        <v>K03241001</v>
      </c>
      <c r="I1470">
        <f>'2020_5-2-2_Download'!H22</f>
        <v>32.36120056679119</v>
      </c>
    </row>
    <row r="1471" spans="2:9">
      <c r="B1471">
        <f>'2020_5-2-2_Download'!B23</f>
        <v>241999</v>
      </c>
      <c r="C1471">
        <f>'2020_5-2-2_Download'!$D$5</f>
        <v>2020</v>
      </c>
      <c r="D1471" t="str">
        <f>VLOOKUP(B1471,[1]Tabelle1!$A$1:$B$68,2,FALSE)</f>
        <v>dav. Hannover  Umland</v>
      </c>
      <c r="F1471" t="str">
        <f>'2020_5-2-2_Download'!$H$7</f>
        <v>mittel</v>
      </c>
      <c r="G1471" t="s">
        <v>362</v>
      </c>
      <c r="H1471" t="str">
        <f>VLOOKUP(B1471,[2]Kreise!$A$2:$C$53,3,FALSE)</f>
        <v>K03241999</v>
      </c>
      <c r="I1471">
        <f>'2020_5-2-2_Download'!H23</f>
        <v>33.891757987991774</v>
      </c>
    </row>
    <row r="1472" spans="2:9">
      <c r="B1472">
        <f>'2020_5-2-2_Download'!B24</f>
        <v>251</v>
      </c>
      <c r="C1472">
        <f>'2020_5-2-2_Download'!$D$5</f>
        <v>2020</v>
      </c>
      <c r="D1472" t="str">
        <f>VLOOKUP(B1472,[1]Tabelle1!$A$1:$B$68,2,FALSE)</f>
        <v>Diepholz</v>
      </c>
      <c r="F1472" t="str">
        <f>'2020_5-2-2_Download'!$H$7</f>
        <v>mittel</v>
      </c>
      <c r="G1472" t="s">
        <v>362</v>
      </c>
      <c r="H1472" t="str">
        <f>VLOOKUP(B1472,[2]Kreise!$A$2:$C$53,3,FALSE)</f>
        <v>K03251</v>
      </c>
      <c r="I1472">
        <f>'2020_5-2-2_Download'!H24</f>
        <v>32.954200788595692</v>
      </c>
    </row>
    <row r="1473" spans="2:9">
      <c r="B1473">
        <f>'2020_5-2-2_Download'!B25</f>
        <v>252</v>
      </c>
      <c r="C1473">
        <f>'2020_5-2-2_Download'!$D$5</f>
        <v>2020</v>
      </c>
      <c r="D1473" t="str">
        <f>VLOOKUP(B1473,[1]Tabelle1!$A$1:$B$68,2,FALSE)</f>
        <v>Hameln-Pyrmont</v>
      </c>
      <c r="F1473" t="str">
        <f>'2020_5-2-2_Download'!$H$7</f>
        <v>mittel</v>
      </c>
      <c r="G1473" t="s">
        <v>362</v>
      </c>
      <c r="H1473" t="str">
        <f>VLOOKUP(B1473,[2]Kreise!$A$2:$C$53,3,FALSE)</f>
        <v>K03252</v>
      </c>
      <c r="I1473">
        <f>'2020_5-2-2_Download'!H25</f>
        <v>36.905916585838995</v>
      </c>
    </row>
    <row r="1474" spans="2:9">
      <c r="B1474">
        <f>'2020_5-2-2_Download'!B26</f>
        <v>254</v>
      </c>
      <c r="C1474">
        <f>'2020_5-2-2_Download'!$D$5</f>
        <v>2020</v>
      </c>
      <c r="D1474" t="str">
        <f>VLOOKUP(B1474,[1]Tabelle1!$A$1:$B$68,2,FALSE)</f>
        <v>Hildesheim</v>
      </c>
      <c r="F1474" t="str">
        <f>'2020_5-2-2_Download'!$H$7</f>
        <v>mittel</v>
      </c>
      <c r="G1474" t="s">
        <v>362</v>
      </c>
      <c r="H1474" t="str">
        <f>VLOOKUP(B1474,[2]Kreise!$A$2:$C$53,3,FALSE)</f>
        <v>K03254</v>
      </c>
      <c r="I1474">
        <f>'2020_5-2-2_Download'!H26</f>
        <v>35.551772171490484</v>
      </c>
    </row>
    <row r="1475" spans="2:9">
      <c r="B1475">
        <f>'2020_5-2-2_Download'!B27</f>
        <v>255</v>
      </c>
      <c r="C1475">
        <f>'2020_5-2-2_Download'!$D$5</f>
        <v>2020</v>
      </c>
      <c r="D1475" t="str">
        <f>VLOOKUP(B1475,[1]Tabelle1!$A$1:$B$68,2,FALSE)</f>
        <v>Holzminden</v>
      </c>
      <c r="F1475" t="str">
        <f>'2020_5-2-2_Download'!$H$7</f>
        <v>mittel</v>
      </c>
      <c r="G1475" t="s">
        <v>362</v>
      </c>
      <c r="H1475" t="str">
        <f>VLOOKUP(B1475,[2]Kreise!$A$2:$C$53,3,FALSE)</f>
        <v>K03255</v>
      </c>
      <c r="I1475">
        <f>'2020_5-2-2_Download'!H27</f>
        <v>33.086253369272235</v>
      </c>
    </row>
    <row r="1476" spans="2:9">
      <c r="B1476">
        <f>'2020_5-2-2_Download'!B28</f>
        <v>256</v>
      </c>
      <c r="C1476">
        <f>'2020_5-2-2_Download'!$D$5</f>
        <v>2020</v>
      </c>
      <c r="D1476" t="str">
        <f>VLOOKUP(B1476,[1]Tabelle1!$A$1:$B$68,2,FALSE)</f>
        <v>Nienburg (Weser)</v>
      </c>
      <c r="F1476" t="str">
        <f>'2020_5-2-2_Download'!$H$7</f>
        <v>mittel</v>
      </c>
      <c r="G1476" t="s">
        <v>362</v>
      </c>
      <c r="H1476" t="str">
        <f>VLOOKUP(B1476,[2]Kreise!$A$2:$C$53,3,FALSE)</f>
        <v>K03256</v>
      </c>
      <c r="I1476">
        <f>'2020_5-2-2_Download'!H28</f>
        <v>24.856288802023453</v>
      </c>
    </row>
    <row r="1477" spans="2:9">
      <c r="B1477">
        <f>'2020_5-2-2_Download'!B29</f>
        <v>257</v>
      </c>
      <c r="C1477">
        <f>'2020_5-2-2_Download'!$D$5</f>
        <v>2020</v>
      </c>
      <c r="D1477" t="str">
        <f>VLOOKUP(B1477,[1]Tabelle1!$A$1:$B$68,2,FALSE)</f>
        <v>Schaumburg</v>
      </c>
      <c r="F1477" t="str">
        <f>'2020_5-2-2_Download'!$H$7</f>
        <v>mittel</v>
      </c>
      <c r="G1477" t="s">
        <v>362</v>
      </c>
      <c r="H1477" t="str">
        <f>VLOOKUP(B1477,[2]Kreise!$A$2:$C$53,3,FALSE)</f>
        <v>K03257</v>
      </c>
      <c r="I1477">
        <f>'2020_5-2-2_Download'!H29</f>
        <v>42.982910409114446</v>
      </c>
    </row>
    <row r="1478" spans="2:9">
      <c r="B1478">
        <f>'2020_5-2-2_Download'!B30</f>
        <v>2</v>
      </c>
      <c r="C1478">
        <f>'2020_5-2-2_Download'!$D$5</f>
        <v>2020</v>
      </c>
      <c r="D1478" t="str">
        <f>VLOOKUP(B1478,[1]Tabelle1!$A$1:$B$68,2,FALSE)</f>
        <v>Stat. Region Hannover</v>
      </c>
      <c r="F1478" t="str">
        <f>'2020_5-2-2_Download'!$H$7</f>
        <v>mittel</v>
      </c>
      <c r="G1478" t="s">
        <v>362</v>
      </c>
      <c r="H1478" t="str">
        <f>VLOOKUP(B1478,[2]Kreise!$A$2:$C$53,3,FALSE)</f>
        <v>K032</v>
      </c>
      <c r="I1478">
        <f>'2020_5-2-2_Download'!H30</f>
        <v>33.3575402766295</v>
      </c>
    </row>
    <row r="1479" spans="2:9">
      <c r="B1479">
        <f>'2020_5-2-2_Download'!B31</f>
        <v>351</v>
      </c>
      <c r="C1479">
        <f>'2020_5-2-2_Download'!$D$5</f>
        <v>2020</v>
      </c>
      <c r="D1479" t="str">
        <f>VLOOKUP(B1479,[1]Tabelle1!$A$1:$B$68,2,FALSE)</f>
        <v>Celle</v>
      </c>
      <c r="F1479" t="str">
        <f>'2020_5-2-2_Download'!$H$7</f>
        <v>mittel</v>
      </c>
      <c r="G1479" t="s">
        <v>362</v>
      </c>
      <c r="H1479" t="str">
        <f>VLOOKUP(B1479,[2]Kreise!$A$2:$C$53,3,FALSE)</f>
        <v>K03351</v>
      </c>
      <c r="I1479">
        <f>'2020_5-2-2_Download'!H31</f>
        <v>30.351906158357771</v>
      </c>
    </row>
    <row r="1480" spans="2:9">
      <c r="B1480">
        <f>'2020_5-2-2_Download'!B32</f>
        <v>352</v>
      </c>
      <c r="C1480">
        <f>'2020_5-2-2_Download'!$D$5</f>
        <v>2020</v>
      </c>
      <c r="D1480" t="str">
        <f>VLOOKUP(B1480,[1]Tabelle1!$A$1:$B$68,2,FALSE)</f>
        <v>Cuxhaven</v>
      </c>
      <c r="F1480" t="str">
        <f>'2020_5-2-2_Download'!$H$7</f>
        <v>mittel</v>
      </c>
      <c r="G1480" t="s">
        <v>362</v>
      </c>
      <c r="H1480" t="str">
        <f>VLOOKUP(B1480,[2]Kreise!$A$2:$C$53,3,FALSE)</f>
        <v>K03352</v>
      </c>
      <c r="I1480">
        <f>'2020_5-2-2_Download'!H32</f>
        <v>31.084776663628077</v>
      </c>
    </row>
    <row r="1481" spans="2:9">
      <c r="B1481">
        <f>'2020_5-2-2_Download'!B33</f>
        <v>353</v>
      </c>
      <c r="C1481">
        <f>'2020_5-2-2_Download'!$D$5</f>
        <v>2020</v>
      </c>
      <c r="D1481" t="str">
        <f>VLOOKUP(B1481,[1]Tabelle1!$A$1:$B$68,2,FALSE)</f>
        <v>Harburg</v>
      </c>
      <c r="F1481" t="str">
        <f>'2020_5-2-2_Download'!$H$7</f>
        <v>mittel</v>
      </c>
      <c r="G1481" t="s">
        <v>362</v>
      </c>
      <c r="H1481" t="str">
        <f>VLOOKUP(B1481,[2]Kreise!$A$2:$C$53,3,FALSE)</f>
        <v>K03353</v>
      </c>
      <c r="I1481">
        <f>'2020_5-2-2_Download'!H33</f>
        <v>26.640649070555611</v>
      </c>
    </row>
    <row r="1482" spans="2:9">
      <c r="B1482">
        <f>'2020_5-2-2_Download'!B34</f>
        <v>354</v>
      </c>
      <c r="C1482">
        <f>'2020_5-2-2_Download'!$D$5</f>
        <v>2020</v>
      </c>
      <c r="D1482" t="str">
        <f>VLOOKUP(B1482,[1]Tabelle1!$A$1:$B$68,2,FALSE)</f>
        <v>Lüchow-Dannenberg</v>
      </c>
      <c r="F1482" t="str">
        <f>'2020_5-2-2_Download'!$H$7</f>
        <v>mittel</v>
      </c>
      <c r="G1482" t="s">
        <v>362</v>
      </c>
      <c r="H1482" t="str">
        <f>VLOOKUP(B1482,[2]Kreise!$A$2:$C$53,3,FALSE)</f>
        <v>K03354</v>
      </c>
      <c r="I1482">
        <f>'2020_5-2-2_Download'!H34</f>
        <v>31.866666666666667</v>
      </c>
    </row>
    <row r="1483" spans="2:9">
      <c r="B1483">
        <f>'2020_5-2-2_Download'!B35</f>
        <v>355</v>
      </c>
      <c r="C1483">
        <f>'2020_5-2-2_Download'!$D$5</f>
        <v>2020</v>
      </c>
      <c r="D1483" t="str">
        <f>VLOOKUP(B1483,[1]Tabelle1!$A$1:$B$68,2,FALSE)</f>
        <v>Lüneburg</v>
      </c>
      <c r="F1483" t="str">
        <f>'2020_5-2-2_Download'!$H$7</f>
        <v>mittel</v>
      </c>
      <c r="G1483" t="s">
        <v>362</v>
      </c>
      <c r="H1483" t="str">
        <f>VLOOKUP(B1483,[2]Kreise!$A$2:$C$53,3,FALSE)</f>
        <v>K03355</v>
      </c>
      <c r="I1483">
        <f>'2020_5-2-2_Download'!H35</f>
        <v>31.355068772287314</v>
      </c>
    </row>
    <row r="1484" spans="2:9">
      <c r="B1484">
        <f>'2020_5-2-2_Download'!B36</f>
        <v>356</v>
      </c>
      <c r="C1484">
        <f>'2020_5-2-2_Download'!$D$5</f>
        <v>2020</v>
      </c>
      <c r="D1484" t="str">
        <f>VLOOKUP(B1484,[1]Tabelle1!$A$1:$B$68,2,FALSE)</f>
        <v>Osterholz</v>
      </c>
      <c r="F1484" t="str">
        <f>'2020_5-2-2_Download'!$H$7</f>
        <v>mittel</v>
      </c>
      <c r="G1484" t="s">
        <v>362</v>
      </c>
      <c r="H1484" t="str">
        <f>VLOOKUP(B1484,[2]Kreise!$A$2:$C$53,3,FALSE)</f>
        <v>K03356</v>
      </c>
      <c r="I1484">
        <f>'2020_5-2-2_Download'!H36</f>
        <v>33.168316831683171</v>
      </c>
    </row>
    <row r="1485" spans="2:9">
      <c r="B1485">
        <f>'2020_5-2-2_Download'!B37</f>
        <v>357</v>
      </c>
      <c r="C1485">
        <f>'2020_5-2-2_Download'!$D$5</f>
        <v>2020</v>
      </c>
      <c r="D1485" t="str">
        <f>VLOOKUP(B1485,[1]Tabelle1!$A$1:$B$68,2,FALSE)</f>
        <v>Rotenburg (Wümme)</v>
      </c>
      <c r="F1485" t="str">
        <f>'2020_5-2-2_Download'!$H$7</f>
        <v>mittel</v>
      </c>
      <c r="G1485" t="s">
        <v>362</v>
      </c>
      <c r="H1485" t="str">
        <f>VLOOKUP(B1485,[2]Kreise!$A$2:$C$53,3,FALSE)</f>
        <v>K03357</v>
      </c>
      <c r="I1485">
        <f>'2020_5-2-2_Download'!H37</f>
        <v>35.485961123110151</v>
      </c>
    </row>
    <row r="1486" spans="2:9">
      <c r="B1486">
        <f>'2020_5-2-2_Download'!B38</f>
        <v>358</v>
      </c>
      <c r="C1486">
        <f>'2020_5-2-2_Download'!$D$5</f>
        <v>2020</v>
      </c>
      <c r="D1486" t="str">
        <f>VLOOKUP(B1486,[1]Tabelle1!$A$1:$B$68,2,FALSE)</f>
        <v>Heidekreis</v>
      </c>
      <c r="F1486" t="str">
        <f>'2020_5-2-2_Download'!$H$7</f>
        <v>mittel</v>
      </c>
      <c r="G1486" t="s">
        <v>362</v>
      </c>
      <c r="H1486" t="str">
        <f>VLOOKUP(B1486,[2]Kreise!$A$2:$C$53,3,FALSE)</f>
        <v>K03358</v>
      </c>
      <c r="I1486">
        <f>'2020_5-2-2_Download'!H38</f>
        <v>36.369974436439691</v>
      </c>
    </row>
    <row r="1487" spans="2:9">
      <c r="B1487">
        <f>'2020_5-2-2_Download'!B39</f>
        <v>359</v>
      </c>
      <c r="C1487">
        <f>'2020_5-2-2_Download'!$D$5</f>
        <v>2020</v>
      </c>
      <c r="D1487" t="str">
        <f>VLOOKUP(B1487,[1]Tabelle1!$A$1:$B$68,2,FALSE)</f>
        <v>Stade</v>
      </c>
      <c r="F1487" t="str">
        <f>'2020_5-2-2_Download'!$H$7</f>
        <v>mittel</v>
      </c>
      <c r="G1487" t="s">
        <v>362</v>
      </c>
      <c r="H1487" t="str">
        <f>VLOOKUP(B1487,[2]Kreise!$A$2:$C$53,3,FALSE)</f>
        <v>K03359</v>
      </c>
      <c r="I1487">
        <f>'2020_5-2-2_Download'!H39</f>
        <v>24.940415389853591</v>
      </c>
    </row>
    <row r="1488" spans="2:9">
      <c r="B1488">
        <f>'2020_5-2-2_Download'!B40</f>
        <v>360</v>
      </c>
      <c r="C1488">
        <f>'2020_5-2-2_Download'!$D$5</f>
        <v>2020</v>
      </c>
      <c r="D1488" t="str">
        <f>VLOOKUP(B1488,[1]Tabelle1!$A$1:$B$68,2,FALSE)</f>
        <v>Uelzen</v>
      </c>
      <c r="F1488" t="str">
        <f>'2020_5-2-2_Download'!$H$7</f>
        <v>mittel</v>
      </c>
      <c r="G1488" t="s">
        <v>362</v>
      </c>
      <c r="H1488" t="str">
        <f>VLOOKUP(B1488,[2]Kreise!$A$2:$C$53,3,FALSE)</f>
        <v>K03360</v>
      </c>
      <c r="I1488">
        <f>'2020_5-2-2_Download'!H40</f>
        <v>35.969084423305588</v>
      </c>
    </row>
    <row r="1489" spans="2:9">
      <c r="B1489">
        <f>'2020_5-2-2_Download'!B41</f>
        <v>361</v>
      </c>
      <c r="C1489">
        <f>'2020_5-2-2_Download'!$D$5</f>
        <v>2020</v>
      </c>
      <c r="D1489" t="str">
        <f>VLOOKUP(B1489,[1]Tabelle1!$A$1:$B$68,2,FALSE)</f>
        <v>Verden</v>
      </c>
      <c r="F1489" t="str">
        <f>'2020_5-2-2_Download'!$H$7</f>
        <v>mittel</v>
      </c>
      <c r="G1489" t="s">
        <v>362</v>
      </c>
      <c r="H1489" t="str">
        <f>VLOOKUP(B1489,[2]Kreise!$A$2:$C$53,3,FALSE)</f>
        <v>K03361</v>
      </c>
      <c r="I1489">
        <f>'2020_5-2-2_Download'!H41</f>
        <v>24.089536329721088</v>
      </c>
    </row>
    <row r="1490" spans="2:9">
      <c r="B1490">
        <f>'2020_5-2-2_Download'!B42</f>
        <v>3</v>
      </c>
      <c r="C1490">
        <f>'2020_5-2-2_Download'!$D$5</f>
        <v>2020</v>
      </c>
      <c r="D1490" t="str">
        <f>VLOOKUP(B1490,[1]Tabelle1!$A$1:$B$68,2,FALSE)</f>
        <v>Stat. Region Lüneburg</v>
      </c>
      <c r="F1490" t="str">
        <f>'2020_5-2-2_Download'!$H$7</f>
        <v>mittel</v>
      </c>
      <c r="G1490" t="s">
        <v>362</v>
      </c>
      <c r="H1490" t="str">
        <f>VLOOKUP(B1490,[2]Kreise!$A$2:$C$53,3,FALSE)</f>
        <v>K033</v>
      </c>
      <c r="I1490">
        <f>'2020_5-2-2_Download'!H42</f>
        <v>29.712317407667282</v>
      </c>
    </row>
    <row r="1491" spans="2:9">
      <c r="B1491">
        <f>'2020_5-2-2_Download'!B43</f>
        <v>401</v>
      </c>
      <c r="C1491">
        <f>'2020_5-2-2_Download'!$D$5</f>
        <v>2020</v>
      </c>
      <c r="D1491" t="str">
        <f>VLOOKUP(B1491,[1]Tabelle1!$A$1:$B$68,2,FALSE)</f>
        <v>Delmenhorst  Stadt</v>
      </c>
      <c r="F1491" t="str">
        <f>'2020_5-2-2_Download'!$H$7</f>
        <v>mittel</v>
      </c>
      <c r="G1491" t="s">
        <v>362</v>
      </c>
      <c r="H1491" t="str">
        <f>VLOOKUP(B1491,[2]Kreise!$A$2:$C$53,3,FALSE)</f>
        <v>K03401</v>
      </c>
      <c r="I1491">
        <f>'2020_5-2-2_Download'!H43</f>
        <v>31.276824034334766</v>
      </c>
    </row>
    <row r="1492" spans="2:9">
      <c r="B1492">
        <f>'2020_5-2-2_Download'!B44</f>
        <v>402</v>
      </c>
      <c r="C1492">
        <f>'2020_5-2-2_Download'!$D$5</f>
        <v>2020</v>
      </c>
      <c r="D1492" t="str">
        <f>VLOOKUP(B1492,[1]Tabelle1!$A$1:$B$68,2,FALSE)</f>
        <v>Emden  Stadt</v>
      </c>
      <c r="F1492" t="str">
        <f>'2020_5-2-2_Download'!$H$7</f>
        <v>mittel</v>
      </c>
      <c r="G1492" t="s">
        <v>362</v>
      </c>
      <c r="H1492" t="str">
        <f>VLOOKUP(B1492,[2]Kreise!$A$2:$C$53,3,FALSE)</f>
        <v>K03402</v>
      </c>
      <c r="I1492">
        <f>'2020_5-2-2_Download'!H44</f>
        <v>33.296763576522217</v>
      </c>
    </row>
    <row r="1493" spans="2:9">
      <c r="B1493">
        <f>'2020_5-2-2_Download'!B45</f>
        <v>403</v>
      </c>
      <c r="C1493">
        <f>'2020_5-2-2_Download'!$D$5</f>
        <v>2020</v>
      </c>
      <c r="D1493" t="str">
        <f>VLOOKUP(B1493,[1]Tabelle1!$A$1:$B$68,2,FALSE)</f>
        <v>Oldenburg(Oldb)  Stadt</v>
      </c>
      <c r="F1493" t="str">
        <f>'2020_5-2-2_Download'!$H$7</f>
        <v>mittel</v>
      </c>
      <c r="G1493" t="s">
        <v>362</v>
      </c>
      <c r="H1493" t="str">
        <f>VLOOKUP(B1493,[2]Kreise!$A$2:$C$53,3,FALSE)</f>
        <v>K03403</v>
      </c>
      <c r="I1493">
        <f>'2020_5-2-2_Download'!H45</f>
        <v>24.683544303797468</v>
      </c>
    </row>
    <row r="1494" spans="2:9">
      <c r="B1494">
        <f>'2020_5-2-2_Download'!B46</f>
        <v>404</v>
      </c>
      <c r="C1494">
        <f>'2020_5-2-2_Download'!$D$5</f>
        <v>2020</v>
      </c>
      <c r="D1494" t="str">
        <f>VLOOKUP(B1494,[1]Tabelle1!$A$1:$B$68,2,FALSE)</f>
        <v>Osnabrück  Stadt</v>
      </c>
      <c r="F1494" t="str">
        <f>'2020_5-2-2_Download'!$H$7</f>
        <v>mittel</v>
      </c>
      <c r="G1494" t="s">
        <v>362</v>
      </c>
      <c r="H1494" t="str">
        <f>VLOOKUP(B1494,[2]Kreise!$A$2:$C$53,3,FALSE)</f>
        <v>K03404</v>
      </c>
      <c r="I1494">
        <f>'2020_5-2-2_Download'!H46</f>
        <v>30.224935006216796</v>
      </c>
    </row>
    <row r="1495" spans="2:9">
      <c r="B1495">
        <f>'2020_5-2-2_Download'!B47</f>
        <v>405</v>
      </c>
      <c r="C1495">
        <f>'2020_5-2-2_Download'!$D$5</f>
        <v>2020</v>
      </c>
      <c r="D1495" t="str">
        <f>VLOOKUP(B1495,[1]Tabelle1!$A$1:$B$68,2,FALSE)</f>
        <v>Wilhelmshaven  Stadt</v>
      </c>
      <c r="F1495" t="str">
        <f>'2020_5-2-2_Download'!$H$7</f>
        <v>mittel</v>
      </c>
      <c r="G1495" t="s">
        <v>362</v>
      </c>
      <c r="H1495" t="str">
        <f>VLOOKUP(B1495,[2]Kreise!$A$2:$C$53,3,FALSE)</f>
        <v>K03405</v>
      </c>
      <c r="I1495">
        <f>'2020_5-2-2_Download'!H47</f>
        <v>27.385444743935309</v>
      </c>
    </row>
    <row r="1496" spans="2:9">
      <c r="B1496">
        <f>'2020_5-2-2_Download'!B48</f>
        <v>451</v>
      </c>
      <c r="C1496">
        <f>'2020_5-2-2_Download'!$D$5</f>
        <v>2020</v>
      </c>
      <c r="D1496" t="str">
        <f>VLOOKUP(B1496,[1]Tabelle1!$A$1:$B$68,2,FALSE)</f>
        <v>Ammerland</v>
      </c>
      <c r="F1496" t="str">
        <f>'2020_5-2-2_Download'!$H$7</f>
        <v>mittel</v>
      </c>
      <c r="G1496" t="s">
        <v>362</v>
      </c>
      <c r="H1496" t="str">
        <f>VLOOKUP(B1496,[2]Kreise!$A$2:$C$53,3,FALSE)</f>
        <v>K03451</v>
      </c>
      <c r="I1496">
        <f>'2020_5-2-2_Download'!H48</f>
        <v>25.571875752468095</v>
      </c>
    </row>
    <row r="1497" spans="2:9">
      <c r="B1497">
        <f>'2020_5-2-2_Download'!B49</f>
        <v>452</v>
      </c>
      <c r="C1497">
        <f>'2020_5-2-2_Download'!$D$5</f>
        <v>2020</v>
      </c>
      <c r="D1497" t="str">
        <f>VLOOKUP(B1497,[1]Tabelle1!$A$1:$B$68,2,FALSE)</f>
        <v>Aurich</v>
      </c>
      <c r="F1497" t="str">
        <f>'2020_5-2-2_Download'!$H$7</f>
        <v>mittel</v>
      </c>
      <c r="G1497" t="s">
        <v>362</v>
      </c>
      <c r="H1497" t="str">
        <f>VLOOKUP(B1497,[2]Kreise!$A$2:$C$53,3,FALSE)</f>
        <v>K03452</v>
      </c>
      <c r="I1497">
        <f>'2020_5-2-2_Download'!H49</f>
        <v>27.713736791546591</v>
      </c>
    </row>
    <row r="1498" spans="2:9">
      <c r="B1498">
        <f>'2020_5-2-2_Download'!B50</f>
        <v>453</v>
      </c>
      <c r="C1498">
        <f>'2020_5-2-2_Download'!$D$5</f>
        <v>2020</v>
      </c>
      <c r="D1498" t="str">
        <f>VLOOKUP(B1498,[1]Tabelle1!$A$1:$B$68,2,FALSE)</f>
        <v>Cloppenburg</v>
      </c>
      <c r="F1498" t="str">
        <f>'2020_5-2-2_Download'!$H$7</f>
        <v>mittel</v>
      </c>
      <c r="G1498" t="s">
        <v>362</v>
      </c>
      <c r="H1498" t="str">
        <f>VLOOKUP(B1498,[2]Kreise!$A$2:$C$53,3,FALSE)</f>
        <v>K03453</v>
      </c>
      <c r="I1498">
        <f>'2020_5-2-2_Download'!H50</f>
        <v>20.372460496613996</v>
      </c>
    </row>
    <row r="1499" spans="2:9">
      <c r="B1499">
        <f>'2020_5-2-2_Download'!B51</f>
        <v>454</v>
      </c>
      <c r="C1499">
        <f>'2020_5-2-2_Download'!$D$5</f>
        <v>2020</v>
      </c>
      <c r="D1499" t="str">
        <f>VLOOKUP(B1499,[1]Tabelle1!$A$1:$B$68,2,FALSE)</f>
        <v>Emsland</v>
      </c>
      <c r="F1499" t="str">
        <f>'2020_5-2-2_Download'!$H$7</f>
        <v>mittel</v>
      </c>
      <c r="G1499" t="s">
        <v>362</v>
      </c>
      <c r="H1499" t="str">
        <f>VLOOKUP(B1499,[2]Kreise!$A$2:$C$53,3,FALSE)</f>
        <v>K03454</v>
      </c>
      <c r="I1499">
        <f>'2020_5-2-2_Download'!H51</f>
        <v>28.195363132224227</v>
      </c>
    </row>
    <row r="1500" spans="2:9">
      <c r="B1500">
        <f>'2020_5-2-2_Download'!B52</f>
        <v>455</v>
      </c>
      <c r="C1500">
        <f>'2020_5-2-2_Download'!$D$5</f>
        <v>2020</v>
      </c>
      <c r="D1500" t="str">
        <f>VLOOKUP(B1500,[1]Tabelle1!$A$1:$B$68,2,FALSE)</f>
        <v>Friesland</v>
      </c>
      <c r="F1500" t="str">
        <f>'2020_5-2-2_Download'!$H$7</f>
        <v>mittel</v>
      </c>
      <c r="G1500" t="s">
        <v>362</v>
      </c>
      <c r="H1500" t="str">
        <f>VLOOKUP(B1500,[2]Kreise!$A$2:$C$53,3,FALSE)</f>
        <v>K03455</v>
      </c>
      <c r="I1500">
        <f>'2020_5-2-2_Download'!H52</f>
        <v>29.396325459317584</v>
      </c>
    </row>
    <row r="1501" spans="2:9">
      <c r="B1501">
        <f>'2020_5-2-2_Download'!B53</f>
        <v>456</v>
      </c>
      <c r="C1501">
        <f>'2020_5-2-2_Download'!$D$5</f>
        <v>2020</v>
      </c>
      <c r="D1501" t="str">
        <f>VLOOKUP(B1501,[1]Tabelle1!$A$1:$B$68,2,FALSE)</f>
        <v>Grafschaft Bentheim</v>
      </c>
      <c r="F1501" t="str">
        <f>'2020_5-2-2_Download'!$H$7</f>
        <v>mittel</v>
      </c>
      <c r="G1501" t="s">
        <v>362</v>
      </c>
      <c r="H1501" t="str">
        <f>VLOOKUP(B1501,[2]Kreise!$A$2:$C$53,3,FALSE)</f>
        <v>K03456</v>
      </c>
      <c r="I1501">
        <f>'2020_5-2-2_Download'!H53</f>
        <v>36.183074265975819</v>
      </c>
    </row>
    <row r="1502" spans="2:9">
      <c r="B1502">
        <f>'2020_5-2-2_Download'!B54</f>
        <v>457</v>
      </c>
      <c r="C1502">
        <f>'2020_5-2-2_Download'!$D$5</f>
        <v>2020</v>
      </c>
      <c r="D1502" t="str">
        <f>VLOOKUP(B1502,[1]Tabelle1!$A$1:$B$68,2,FALSE)</f>
        <v>Leer</v>
      </c>
      <c r="F1502" t="str">
        <f>'2020_5-2-2_Download'!$H$7</f>
        <v>mittel</v>
      </c>
      <c r="G1502" t="s">
        <v>362</v>
      </c>
      <c r="H1502" t="str">
        <f>VLOOKUP(B1502,[2]Kreise!$A$2:$C$53,3,FALSE)</f>
        <v>K03457</v>
      </c>
      <c r="I1502">
        <f>'2020_5-2-2_Download'!H54</f>
        <v>29.925650557620816</v>
      </c>
    </row>
    <row r="1503" spans="2:9">
      <c r="B1503">
        <f>'2020_5-2-2_Download'!B55</f>
        <v>458</v>
      </c>
      <c r="C1503">
        <f>'2020_5-2-2_Download'!$D$5</f>
        <v>2020</v>
      </c>
      <c r="D1503" t="str">
        <f>VLOOKUP(B1503,[1]Tabelle1!$A$1:$B$68,2,FALSE)</f>
        <v>Oldenburg</v>
      </c>
      <c r="F1503" t="str">
        <f>'2020_5-2-2_Download'!$H$7</f>
        <v>mittel</v>
      </c>
      <c r="G1503" t="s">
        <v>362</v>
      </c>
      <c r="H1503" t="str">
        <f>VLOOKUP(B1503,[2]Kreise!$A$2:$C$53,3,FALSE)</f>
        <v>K03458</v>
      </c>
      <c r="I1503">
        <f>'2020_5-2-2_Download'!H55</f>
        <v>26.236335242061426</v>
      </c>
    </row>
    <row r="1504" spans="2:9">
      <c r="B1504">
        <f>'2020_5-2-2_Download'!B56</f>
        <v>459</v>
      </c>
      <c r="C1504">
        <f>'2020_5-2-2_Download'!$D$5</f>
        <v>2020</v>
      </c>
      <c r="D1504" t="str">
        <f>VLOOKUP(B1504,[1]Tabelle1!$A$1:$B$68,2,FALSE)</f>
        <v>Osnabrück</v>
      </c>
      <c r="F1504" t="str">
        <f>'2020_5-2-2_Download'!$H$7</f>
        <v>mittel</v>
      </c>
      <c r="G1504" t="s">
        <v>362</v>
      </c>
      <c r="H1504" t="str">
        <f>VLOOKUP(B1504,[2]Kreise!$A$2:$C$53,3,FALSE)</f>
        <v>K03459</v>
      </c>
      <c r="I1504">
        <f>'2020_5-2-2_Download'!H56</f>
        <v>22.889252837860735</v>
      </c>
    </row>
    <row r="1505" spans="2:9">
      <c r="B1505">
        <f>'2020_5-2-2_Download'!B57</f>
        <v>460</v>
      </c>
      <c r="C1505">
        <f>'2020_5-2-2_Download'!$D$5</f>
        <v>2020</v>
      </c>
      <c r="D1505" t="str">
        <f>VLOOKUP(B1505,[1]Tabelle1!$A$1:$B$68,2,FALSE)</f>
        <v>Vechta</v>
      </c>
      <c r="F1505" t="str">
        <f>'2020_5-2-2_Download'!$H$7</f>
        <v>mittel</v>
      </c>
      <c r="G1505" t="s">
        <v>362</v>
      </c>
      <c r="H1505" t="str">
        <f>VLOOKUP(B1505,[2]Kreise!$A$2:$C$53,3,FALSE)</f>
        <v>K03460</v>
      </c>
      <c r="I1505">
        <f>'2020_5-2-2_Download'!H57</f>
        <v>21.526104417670684</v>
      </c>
    </row>
    <row r="1506" spans="2:9">
      <c r="B1506">
        <f>'2020_5-2-2_Download'!B58</f>
        <v>461</v>
      </c>
      <c r="C1506">
        <f>'2020_5-2-2_Download'!$D$5</f>
        <v>2020</v>
      </c>
      <c r="D1506" t="str">
        <f>VLOOKUP(B1506,[1]Tabelle1!$A$1:$B$68,2,FALSE)</f>
        <v>Wesermarsch</v>
      </c>
      <c r="F1506" t="str">
        <f>'2020_5-2-2_Download'!$H$7</f>
        <v>mittel</v>
      </c>
      <c r="G1506" t="s">
        <v>362</v>
      </c>
      <c r="H1506" t="str">
        <f>VLOOKUP(B1506,[2]Kreise!$A$2:$C$53,3,FALSE)</f>
        <v>K03461</v>
      </c>
      <c r="I1506">
        <f>'2020_5-2-2_Download'!H58</f>
        <v>35.36926147704591</v>
      </c>
    </row>
    <row r="1507" spans="2:9">
      <c r="B1507">
        <f>'2020_5-2-2_Download'!B59</f>
        <v>462</v>
      </c>
      <c r="C1507">
        <f>'2020_5-2-2_Download'!$D$5</f>
        <v>2020</v>
      </c>
      <c r="D1507" t="str">
        <f>VLOOKUP(B1507,[1]Tabelle1!$A$1:$B$68,2,FALSE)</f>
        <v>Wittmund</v>
      </c>
      <c r="F1507" t="str">
        <f>'2020_5-2-2_Download'!$H$7</f>
        <v>mittel</v>
      </c>
      <c r="G1507" t="s">
        <v>362</v>
      </c>
      <c r="H1507" t="str">
        <f>VLOOKUP(B1507,[2]Kreise!$A$2:$C$53,3,FALSE)</f>
        <v>K03462</v>
      </c>
      <c r="I1507">
        <f>'2020_5-2-2_Download'!H59</f>
        <v>24.783549783549784</v>
      </c>
    </row>
    <row r="1508" spans="2:9">
      <c r="B1508">
        <f>'2020_5-2-2_Download'!B60</f>
        <v>4</v>
      </c>
      <c r="C1508">
        <f>'2020_5-2-2_Download'!$D$5</f>
        <v>2020</v>
      </c>
      <c r="D1508" t="str">
        <f>VLOOKUP(B1508,[1]Tabelle1!$A$1:$B$68,2,FALSE)</f>
        <v>Stat. Region Weser-Ems</v>
      </c>
      <c r="F1508" t="str">
        <f>'2020_5-2-2_Download'!$H$7</f>
        <v>mittel</v>
      </c>
      <c r="G1508" t="s">
        <v>362</v>
      </c>
      <c r="H1508" t="str">
        <f>VLOOKUP(B1508,[2]Kreise!$A$2:$C$53,3,FALSE)</f>
        <v>K034</v>
      </c>
      <c r="I1508">
        <f>'2020_5-2-2_Download'!H60</f>
        <v>26.298043841541336</v>
      </c>
    </row>
    <row r="1509" spans="2:9">
      <c r="B1509">
        <f>'2020_5-2-2_Download'!B61</f>
        <v>0</v>
      </c>
      <c r="C1509">
        <f>'2020_5-2-2_Download'!$D$5</f>
        <v>2020</v>
      </c>
      <c r="D1509" t="str">
        <f>VLOOKUP(B1509,[1]Tabelle1!$A$1:$B$68,2,FALSE)</f>
        <v>Niedersachsen</v>
      </c>
      <c r="F1509" t="str">
        <f>'2020_5-2-2_Download'!$H$7</f>
        <v>mittel</v>
      </c>
      <c r="G1509" t="s">
        <v>362</v>
      </c>
      <c r="H1509" t="str">
        <f>VLOOKUP(B1509,[2]Kreise!$A$2:$C$53,3,FALSE)</f>
        <v>K030</v>
      </c>
      <c r="I1509">
        <f>'2020_5-2-2_Download'!H61</f>
        <v>30.112465850623686</v>
      </c>
    </row>
    <row r="1510" spans="2:9">
      <c r="B1510">
        <f>'2020_5-2-2_Download'!B10</f>
        <v>101</v>
      </c>
      <c r="C1510">
        <f>'2020_5-2-2_Download'!$D$5</f>
        <v>2020</v>
      </c>
      <c r="D1510" t="str">
        <f>VLOOKUP(B1510,[1]Tabelle1!$A$1:$B$68,2,FALSE)</f>
        <v>Braunschweig  Stadt</v>
      </c>
      <c r="F1510" t="str">
        <f>'2020_5-2-2_Download'!$I$7</f>
        <v>niedrig</v>
      </c>
      <c r="G1510" t="s">
        <v>362</v>
      </c>
      <c r="H1510" t="str">
        <f>VLOOKUP(B1510,[2]Kreise!$A$2:$C$53,3,FALSE)</f>
        <v>K03101</v>
      </c>
      <c r="I1510">
        <f>'2020_5-2-2_Download'!I10</f>
        <v>23.351529330214021</v>
      </c>
    </row>
    <row r="1511" spans="2:9">
      <c r="B1511">
        <f>'2020_5-2-2_Download'!B11</f>
        <v>102</v>
      </c>
      <c r="C1511">
        <f>'2020_5-2-2_Download'!$D$5</f>
        <v>2020</v>
      </c>
      <c r="D1511" t="str">
        <f>VLOOKUP(B1511,[1]Tabelle1!$A$1:$B$68,2,FALSE)</f>
        <v>Salzgitter  Stadt</v>
      </c>
      <c r="F1511" t="str">
        <f>'2020_5-2-2_Download'!$I$7</f>
        <v>niedrig</v>
      </c>
      <c r="G1511" t="s">
        <v>362</v>
      </c>
      <c r="H1511" t="str">
        <f>VLOOKUP(B1511,[2]Kreise!$A$2:$C$53,3,FALSE)</f>
        <v>K03102</v>
      </c>
      <c r="I1511">
        <f>'2020_5-2-2_Download'!I11</f>
        <v>21.832718327183272</v>
      </c>
    </row>
    <row r="1512" spans="2:9">
      <c r="B1512">
        <f>'2020_5-2-2_Download'!B12</f>
        <v>103</v>
      </c>
      <c r="C1512">
        <f>'2020_5-2-2_Download'!$D$5</f>
        <v>2020</v>
      </c>
      <c r="D1512" t="str">
        <f>VLOOKUP(B1512,[1]Tabelle1!$A$1:$B$68,2,FALSE)</f>
        <v>Wolfsburg  Stadt</v>
      </c>
      <c r="F1512" t="str">
        <f>'2020_5-2-2_Download'!$I$7</f>
        <v>niedrig</v>
      </c>
      <c r="G1512" t="s">
        <v>362</v>
      </c>
      <c r="H1512" t="str">
        <f>VLOOKUP(B1512,[2]Kreise!$A$2:$C$53,3,FALSE)</f>
        <v>K03103</v>
      </c>
      <c r="I1512">
        <f>'2020_5-2-2_Download'!I12</f>
        <v>15.233092580433356</v>
      </c>
    </row>
    <row r="1513" spans="2:9">
      <c r="B1513">
        <f>'2020_5-2-2_Download'!B13</f>
        <v>151</v>
      </c>
      <c r="C1513">
        <f>'2020_5-2-2_Download'!$D$5</f>
        <v>2020</v>
      </c>
      <c r="D1513" t="str">
        <f>VLOOKUP(B1513,[1]Tabelle1!$A$1:$B$68,2,FALSE)</f>
        <v>Gifhorn</v>
      </c>
      <c r="F1513" t="str">
        <f>'2020_5-2-2_Download'!$I$7</f>
        <v>niedrig</v>
      </c>
      <c r="G1513" t="s">
        <v>362</v>
      </c>
      <c r="H1513" t="str">
        <f>VLOOKUP(B1513,[2]Kreise!$A$2:$C$53,3,FALSE)</f>
        <v>K03151</v>
      </c>
      <c r="I1513">
        <f>'2020_5-2-2_Download'!I13</f>
        <v>24.593183911575068</v>
      </c>
    </row>
    <row r="1514" spans="2:9">
      <c r="B1514">
        <f>'2020_5-2-2_Download'!B14</f>
        <v>153</v>
      </c>
      <c r="C1514">
        <f>'2020_5-2-2_Download'!$D$5</f>
        <v>2020</v>
      </c>
      <c r="D1514" t="str">
        <f>VLOOKUP(B1514,[1]Tabelle1!$A$1:$B$68,2,FALSE)</f>
        <v>Goslar</v>
      </c>
      <c r="F1514" t="str">
        <f>'2020_5-2-2_Download'!$I$7</f>
        <v>niedrig</v>
      </c>
      <c r="G1514" t="s">
        <v>362</v>
      </c>
      <c r="H1514" t="str">
        <f>VLOOKUP(B1514,[2]Kreise!$A$2:$C$53,3,FALSE)</f>
        <v>K03153</v>
      </c>
      <c r="I1514">
        <f>'2020_5-2-2_Download'!I14</f>
        <v>26.13953488372093</v>
      </c>
    </row>
    <row r="1515" spans="2:9">
      <c r="B1515">
        <f>'2020_5-2-2_Download'!B15</f>
        <v>154</v>
      </c>
      <c r="C1515">
        <f>'2020_5-2-2_Download'!$D$5</f>
        <v>2020</v>
      </c>
      <c r="D1515" t="str">
        <f>VLOOKUP(B1515,[1]Tabelle1!$A$1:$B$68,2,FALSE)</f>
        <v>Helmstedt</v>
      </c>
      <c r="F1515" t="str">
        <f>'2020_5-2-2_Download'!$I$7</f>
        <v>niedrig</v>
      </c>
      <c r="G1515" t="s">
        <v>362</v>
      </c>
      <c r="H1515" t="str">
        <f>VLOOKUP(B1515,[2]Kreise!$A$2:$C$53,3,FALSE)</f>
        <v>K03154</v>
      </c>
      <c r="I1515">
        <f>'2020_5-2-2_Download'!I15</f>
        <v>22.810111699000586</v>
      </c>
    </row>
    <row r="1516" spans="2:9">
      <c r="B1516">
        <f>'2020_5-2-2_Download'!B16</f>
        <v>155</v>
      </c>
      <c r="C1516">
        <f>'2020_5-2-2_Download'!$D$5</f>
        <v>2020</v>
      </c>
      <c r="D1516" t="str">
        <f>VLOOKUP(B1516,[1]Tabelle1!$A$1:$B$68,2,FALSE)</f>
        <v>Northeim</v>
      </c>
      <c r="F1516" t="str">
        <f>'2020_5-2-2_Download'!$I$7</f>
        <v>niedrig</v>
      </c>
      <c r="G1516" t="s">
        <v>362</v>
      </c>
      <c r="H1516" t="str">
        <f>VLOOKUP(B1516,[2]Kreise!$A$2:$C$53,3,FALSE)</f>
        <v>K03155</v>
      </c>
      <c r="I1516">
        <f>'2020_5-2-2_Download'!I16</f>
        <v>23.565573770491802</v>
      </c>
    </row>
    <row r="1517" spans="2:9">
      <c r="B1517">
        <f>'2020_5-2-2_Download'!B17</f>
        <v>157</v>
      </c>
      <c r="C1517">
        <f>'2020_5-2-2_Download'!$D$5</f>
        <v>2020</v>
      </c>
      <c r="D1517" t="str">
        <f>VLOOKUP(B1517,[1]Tabelle1!$A$1:$B$68,2,FALSE)</f>
        <v>Peine</v>
      </c>
      <c r="F1517" t="str">
        <f>'2020_5-2-2_Download'!$I$7</f>
        <v>niedrig</v>
      </c>
      <c r="G1517" t="s">
        <v>362</v>
      </c>
      <c r="H1517" t="str">
        <f>VLOOKUP(B1517,[2]Kreise!$A$2:$C$53,3,FALSE)</f>
        <v>K03157</v>
      </c>
      <c r="I1517">
        <f>'2020_5-2-2_Download'!I17</f>
        <v>28.325415676959619</v>
      </c>
    </row>
    <row r="1518" spans="2:9">
      <c r="B1518">
        <f>'2020_5-2-2_Download'!B18</f>
        <v>158</v>
      </c>
      <c r="C1518">
        <f>'2020_5-2-2_Download'!$D$5</f>
        <v>2020</v>
      </c>
      <c r="D1518" t="str">
        <f>VLOOKUP(B1518,[1]Tabelle1!$A$1:$B$68,2,FALSE)</f>
        <v>Wolfenbüttel</v>
      </c>
      <c r="F1518" t="str">
        <f>'2020_5-2-2_Download'!$I$7</f>
        <v>niedrig</v>
      </c>
      <c r="G1518" t="s">
        <v>362</v>
      </c>
      <c r="H1518" t="str">
        <f>VLOOKUP(B1518,[2]Kreise!$A$2:$C$53,3,FALSE)</f>
        <v>K03158</v>
      </c>
      <c r="I1518">
        <f>'2020_5-2-2_Download'!I18</f>
        <v>23.896595208070618</v>
      </c>
    </row>
    <row r="1519" spans="2:9">
      <c r="B1519">
        <f>'2020_5-2-2_Download'!B19</f>
        <v>159</v>
      </c>
      <c r="C1519">
        <f>'2020_5-2-2_Download'!$D$5</f>
        <v>2020</v>
      </c>
      <c r="D1519" t="str">
        <f>VLOOKUP(B1519,[1]Tabelle1!$A$1:$B$68,2,FALSE)</f>
        <v>Göttingen</v>
      </c>
      <c r="F1519" t="str">
        <f>'2020_5-2-2_Download'!$I$7</f>
        <v>niedrig</v>
      </c>
      <c r="G1519" t="s">
        <v>362</v>
      </c>
      <c r="H1519" t="str">
        <f>VLOOKUP(B1519,[2]Kreise!$A$2:$C$53,3,FALSE)</f>
        <v>K03159</v>
      </c>
      <c r="I1519">
        <f>'2020_5-2-2_Download'!I19</f>
        <v>25.31272246516831</v>
      </c>
    </row>
    <row r="1520" spans="2:9">
      <c r="B1520">
        <f>'2020_5-2-2_Download'!B20</f>
        <v>1</v>
      </c>
      <c r="C1520">
        <f>'2020_5-2-2_Download'!$D$5</f>
        <v>2020</v>
      </c>
      <c r="D1520" t="str">
        <f>VLOOKUP(B1520,[1]Tabelle1!$A$1:$B$68,2,FALSE)</f>
        <v>Stat. Region Braunschweig</v>
      </c>
      <c r="F1520" t="str">
        <f>'2020_5-2-2_Download'!$I$7</f>
        <v>niedrig</v>
      </c>
      <c r="G1520" t="s">
        <v>362</v>
      </c>
      <c r="H1520" t="str">
        <f>VLOOKUP(B1520,[2]Kreise!$A$2:$C$53,3,FALSE)</f>
        <v>K031</v>
      </c>
      <c r="I1520">
        <f>'2020_5-2-2_Download'!I20</f>
        <v>22.524595069763961</v>
      </c>
    </row>
    <row r="1521" spans="2:9">
      <c r="B1521">
        <f>'2020_5-2-2_Download'!B21</f>
        <v>241</v>
      </c>
      <c r="C1521">
        <f>'2020_5-2-2_Download'!$D$5</f>
        <v>2020</v>
      </c>
      <c r="D1521" t="str">
        <f>VLOOKUP(B1521,[1]Tabelle1!$A$1:$B$68,2,FALSE)</f>
        <v>Hannover  Region</v>
      </c>
      <c r="F1521" t="str">
        <f>'2020_5-2-2_Download'!$I$7</f>
        <v>niedrig</v>
      </c>
      <c r="G1521" t="s">
        <v>362</v>
      </c>
      <c r="H1521" t="str">
        <f>VLOOKUP(B1521,[2]Kreise!$A$2:$C$53,3,FALSE)</f>
        <v>K03241</v>
      </c>
      <c r="I1521">
        <f>'2020_5-2-2_Download'!I21</f>
        <v>27.765359560607997</v>
      </c>
    </row>
    <row r="1522" spans="2:9">
      <c r="B1522">
        <f>'2020_5-2-2_Download'!B22</f>
        <v>241001</v>
      </c>
      <c r="C1522">
        <f>'2020_5-2-2_Download'!$D$5</f>
        <v>2020</v>
      </c>
      <c r="D1522" t="str">
        <f>VLOOKUP(B1522,[1]Tabelle1!$A$1:$B$68,2,FALSE)</f>
        <v>dav. Hannover  Lhst.</v>
      </c>
      <c r="F1522" t="str">
        <f>'2020_5-2-2_Download'!$I$7</f>
        <v>niedrig</v>
      </c>
      <c r="G1522" t="s">
        <v>362</v>
      </c>
      <c r="H1522" t="str">
        <f>VLOOKUP(B1522,[2]Kreise!$A$2:$C$53,3,FALSE)</f>
        <v>K03241001</v>
      </c>
      <c r="I1522">
        <f>'2020_5-2-2_Download'!I22</f>
        <v>27.053973979131779</v>
      </c>
    </row>
    <row r="1523" spans="2:9">
      <c r="B1523">
        <f>'2020_5-2-2_Download'!B23</f>
        <v>241999</v>
      </c>
      <c r="C1523">
        <f>'2020_5-2-2_Download'!$D$5</f>
        <v>2020</v>
      </c>
      <c r="D1523" t="str">
        <f>VLOOKUP(B1523,[1]Tabelle1!$A$1:$B$68,2,FALSE)</f>
        <v>dav. Hannover  Umland</v>
      </c>
      <c r="F1523" t="str">
        <f>'2020_5-2-2_Download'!$I$7</f>
        <v>niedrig</v>
      </c>
      <c r="G1523" t="s">
        <v>362</v>
      </c>
      <c r="H1523" t="str">
        <f>VLOOKUP(B1523,[2]Kreise!$A$2:$C$53,3,FALSE)</f>
        <v>K03241999</v>
      </c>
      <c r="I1523">
        <f>'2020_5-2-2_Download'!I23</f>
        <v>28.924717638661463</v>
      </c>
    </row>
    <row r="1524" spans="2:9">
      <c r="B1524">
        <f>'2020_5-2-2_Download'!B24</f>
        <v>251</v>
      </c>
      <c r="C1524">
        <f>'2020_5-2-2_Download'!$D$5</f>
        <v>2020</v>
      </c>
      <c r="D1524" t="str">
        <f>VLOOKUP(B1524,[1]Tabelle1!$A$1:$B$68,2,FALSE)</f>
        <v>Diepholz</v>
      </c>
      <c r="F1524" t="str">
        <f>'2020_5-2-2_Download'!$I$7</f>
        <v>niedrig</v>
      </c>
      <c r="G1524" t="s">
        <v>362</v>
      </c>
      <c r="H1524" t="str">
        <f>VLOOKUP(B1524,[2]Kreise!$A$2:$C$53,3,FALSE)</f>
        <v>K03251</v>
      </c>
      <c r="I1524">
        <f>'2020_5-2-2_Download'!I24</f>
        <v>24.340309372156504</v>
      </c>
    </row>
    <row r="1525" spans="2:9">
      <c r="B1525">
        <f>'2020_5-2-2_Download'!B25</f>
        <v>252</v>
      </c>
      <c r="C1525">
        <f>'2020_5-2-2_Download'!$D$5</f>
        <v>2020</v>
      </c>
      <c r="D1525" t="str">
        <f>VLOOKUP(B1525,[1]Tabelle1!$A$1:$B$68,2,FALSE)</f>
        <v>Hameln-Pyrmont</v>
      </c>
      <c r="F1525" t="str">
        <f>'2020_5-2-2_Download'!$I$7</f>
        <v>niedrig</v>
      </c>
      <c r="G1525" t="s">
        <v>362</v>
      </c>
      <c r="H1525" t="str">
        <f>VLOOKUP(B1525,[2]Kreise!$A$2:$C$53,3,FALSE)</f>
        <v>K03252</v>
      </c>
      <c r="I1525">
        <f>'2020_5-2-2_Download'!I25</f>
        <v>28.273520853540251</v>
      </c>
    </row>
    <row r="1526" spans="2:9">
      <c r="B1526">
        <f>'2020_5-2-2_Download'!B26</f>
        <v>254</v>
      </c>
      <c r="C1526">
        <f>'2020_5-2-2_Download'!$D$5</f>
        <v>2020</v>
      </c>
      <c r="D1526" t="str">
        <f>VLOOKUP(B1526,[1]Tabelle1!$A$1:$B$68,2,FALSE)</f>
        <v>Hildesheim</v>
      </c>
      <c r="F1526" t="str">
        <f>'2020_5-2-2_Download'!$I$7</f>
        <v>niedrig</v>
      </c>
      <c r="G1526" t="s">
        <v>362</v>
      </c>
      <c r="H1526" t="str">
        <f>VLOOKUP(B1526,[2]Kreise!$A$2:$C$53,3,FALSE)</f>
        <v>K03254</v>
      </c>
      <c r="I1526">
        <f>'2020_5-2-2_Download'!I26</f>
        <v>25.444977557653615</v>
      </c>
    </row>
    <row r="1527" spans="2:9">
      <c r="B1527">
        <f>'2020_5-2-2_Download'!B27</f>
        <v>255</v>
      </c>
      <c r="C1527">
        <f>'2020_5-2-2_Download'!$D$5</f>
        <v>2020</v>
      </c>
      <c r="D1527" t="str">
        <f>VLOOKUP(B1527,[1]Tabelle1!$A$1:$B$68,2,FALSE)</f>
        <v>Holzminden</v>
      </c>
      <c r="F1527" t="str">
        <f>'2020_5-2-2_Download'!$I$7</f>
        <v>niedrig</v>
      </c>
      <c r="G1527" t="s">
        <v>362</v>
      </c>
      <c r="H1527" t="str">
        <f>VLOOKUP(B1527,[2]Kreise!$A$2:$C$53,3,FALSE)</f>
        <v>K03255</v>
      </c>
      <c r="I1527">
        <f>'2020_5-2-2_Download'!I27</f>
        <v>27.830188679245282</v>
      </c>
    </row>
    <row r="1528" spans="2:9">
      <c r="B1528">
        <f>'2020_5-2-2_Download'!B28</f>
        <v>256</v>
      </c>
      <c r="C1528">
        <f>'2020_5-2-2_Download'!$D$5</f>
        <v>2020</v>
      </c>
      <c r="D1528" t="str">
        <f>VLOOKUP(B1528,[1]Tabelle1!$A$1:$B$68,2,FALSE)</f>
        <v>Nienburg (Weser)</v>
      </c>
      <c r="F1528" t="str">
        <f>'2020_5-2-2_Download'!$I$7</f>
        <v>niedrig</v>
      </c>
      <c r="G1528" t="s">
        <v>362</v>
      </c>
      <c r="H1528" t="str">
        <f>VLOOKUP(B1528,[2]Kreise!$A$2:$C$53,3,FALSE)</f>
        <v>K03256</v>
      </c>
      <c r="I1528">
        <f>'2020_5-2-2_Download'!I28</f>
        <v>30.098873304207864</v>
      </c>
    </row>
    <row r="1529" spans="2:9">
      <c r="B1529">
        <f>'2020_5-2-2_Download'!B29</f>
        <v>257</v>
      </c>
      <c r="C1529">
        <f>'2020_5-2-2_Download'!$D$5</f>
        <v>2020</v>
      </c>
      <c r="D1529" t="str">
        <f>VLOOKUP(B1529,[1]Tabelle1!$A$1:$B$68,2,FALSE)</f>
        <v>Schaumburg</v>
      </c>
      <c r="F1529" t="str">
        <f>'2020_5-2-2_Download'!$I$7</f>
        <v>niedrig</v>
      </c>
      <c r="G1529" t="s">
        <v>362</v>
      </c>
      <c r="H1529" t="str">
        <f>VLOOKUP(B1529,[2]Kreise!$A$2:$C$53,3,FALSE)</f>
        <v>K03257</v>
      </c>
      <c r="I1529">
        <f>'2020_5-2-2_Download'!I29</f>
        <v>27.498705334023821</v>
      </c>
    </row>
    <row r="1530" spans="2:9">
      <c r="B1530">
        <f>'2020_5-2-2_Download'!B30</f>
        <v>2</v>
      </c>
      <c r="C1530">
        <f>'2020_5-2-2_Download'!$D$5</f>
        <v>2020</v>
      </c>
      <c r="D1530" t="str">
        <f>VLOOKUP(B1530,[1]Tabelle1!$A$1:$B$68,2,FALSE)</f>
        <v>Stat. Region Hannover</v>
      </c>
      <c r="F1530" t="str">
        <f>'2020_5-2-2_Download'!$I$7</f>
        <v>niedrig</v>
      </c>
      <c r="G1530" t="s">
        <v>362</v>
      </c>
      <c r="H1530" t="str">
        <f>VLOOKUP(B1530,[2]Kreise!$A$2:$C$53,3,FALSE)</f>
        <v>K032</v>
      </c>
      <c r="I1530">
        <f>'2020_5-2-2_Download'!I30</f>
        <v>27.471901325050833</v>
      </c>
    </row>
    <row r="1531" spans="2:9">
      <c r="B1531">
        <f>'2020_5-2-2_Download'!B31</f>
        <v>351</v>
      </c>
      <c r="C1531">
        <f>'2020_5-2-2_Download'!$D$5</f>
        <v>2020</v>
      </c>
      <c r="D1531" t="str">
        <f>VLOOKUP(B1531,[1]Tabelle1!$A$1:$B$68,2,FALSE)</f>
        <v>Celle</v>
      </c>
      <c r="F1531" t="str">
        <f>'2020_5-2-2_Download'!$I$7</f>
        <v>niedrig</v>
      </c>
      <c r="G1531" t="s">
        <v>362</v>
      </c>
      <c r="H1531" t="str">
        <f>VLOOKUP(B1531,[2]Kreise!$A$2:$C$53,3,FALSE)</f>
        <v>K03351</v>
      </c>
      <c r="I1531">
        <f>'2020_5-2-2_Download'!I31</f>
        <v>31.378299120234605</v>
      </c>
    </row>
    <row r="1532" spans="2:9">
      <c r="B1532">
        <f>'2020_5-2-2_Download'!B32</f>
        <v>352</v>
      </c>
      <c r="C1532">
        <f>'2020_5-2-2_Download'!$D$5</f>
        <v>2020</v>
      </c>
      <c r="D1532" t="str">
        <f>VLOOKUP(B1532,[1]Tabelle1!$A$1:$B$68,2,FALSE)</f>
        <v>Cuxhaven</v>
      </c>
      <c r="F1532" t="str">
        <f>'2020_5-2-2_Download'!$I$7</f>
        <v>niedrig</v>
      </c>
      <c r="G1532" t="s">
        <v>362</v>
      </c>
      <c r="H1532" t="str">
        <f>VLOOKUP(B1532,[2]Kreise!$A$2:$C$53,3,FALSE)</f>
        <v>K03352</v>
      </c>
      <c r="I1532">
        <f>'2020_5-2-2_Download'!I32</f>
        <v>26.162260711030083</v>
      </c>
    </row>
    <row r="1533" spans="2:9">
      <c r="B1533">
        <f>'2020_5-2-2_Download'!B33</f>
        <v>353</v>
      </c>
      <c r="C1533">
        <f>'2020_5-2-2_Download'!$D$5</f>
        <v>2020</v>
      </c>
      <c r="D1533" t="str">
        <f>VLOOKUP(B1533,[1]Tabelle1!$A$1:$B$68,2,FALSE)</f>
        <v>Harburg</v>
      </c>
      <c r="F1533" t="str">
        <f>'2020_5-2-2_Download'!$I$7</f>
        <v>niedrig</v>
      </c>
      <c r="G1533" t="s">
        <v>362</v>
      </c>
      <c r="H1533" t="str">
        <f>VLOOKUP(B1533,[2]Kreise!$A$2:$C$53,3,FALSE)</f>
        <v>K03353</v>
      </c>
      <c r="I1533">
        <f>'2020_5-2-2_Download'!I33</f>
        <v>28.633049193796857</v>
      </c>
    </row>
    <row r="1534" spans="2:9">
      <c r="B1534">
        <f>'2020_5-2-2_Download'!B34</f>
        <v>354</v>
      </c>
      <c r="C1534">
        <f>'2020_5-2-2_Download'!$D$5</f>
        <v>2020</v>
      </c>
      <c r="D1534" t="str">
        <f>VLOOKUP(B1534,[1]Tabelle1!$A$1:$B$68,2,FALSE)</f>
        <v>Lüchow-Dannenberg</v>
      </c>
      <c r="F1534" t="str">
        <f>'2020_5-2-2_Download'!$I$7</f>
        <v>niedrig</v>
      </c>
      <c r="G1534" t="s">
        <v>362</v>
      </c>
      <c r="H1534" t="str">
        <f>VLOOKUP(B1534,[2]Kreise!$A$2:$C$53,3,FALSE)</f>
        <v>K03354</v>
      </c>
      <c r="I1534">
        <f>'2020_5-2-2_Download'!I34</f>
        <v>16.666666666666668</v>
      </c>
    </row>
    <row r="1535" spans="2:9">
      <c r="B1535">
        <f>'2020_5-2-2_Download'!B35</f>
        <v>355</v>
      </c>
      <c r="C1535">
        <f>'2020_5-2-2_Download'!$D$5</f>
        <v>2020</v>
      </c>
      <c r="D1535" t="str">
        <f>VLOOKUP(B1535,[1]Tabelle1!$A$1:$B$68,2,FALSE)</f>
        <v>Lüneburg</v>
      </c>
      <c r="F1535" t="str">
        <f>'2020_5-2-2_Download'!$I$7</f>
        <v>niedrig</v>
      </c>
      <c r="G1535" t="s">
        <v>362</v>
      </c>
      <c r="H1535" t="str">
        <f>VLOOKUP(B1535,[2]Kreise!$A$2:$C$53,3,FALSE)</f>
        <v>K03355</v>
      </c>
      <c r="I1535">
        <f>'2020_5-2-2_Download'!I35</f>
        <v>27.1777890983189</v>
      </c>
    </row>
    <row r="1536" spans="2:9">
      <c r="B1536">
        <f>'2020_5-2-2_Download'!B36</f>
        <v>356</v>
      </c>
      <c r="C1536">
        <f>'2020_5-2-2_Download'!$D$5</f>
        <v>2020</v>
      </c>
      <c r="D1536" t="str">
        <f>VLOOKUP(B1536,[1]Tabelle1!$A$1:$B$68,2,FALSE)</f>
        <v>Osterholz</v>
      </c>
      <c r="F1536" t="str">
        <f>'2020_5-2-2_Download'!$I$7</f>
        <v>niedrig</v>
      </c>
      <c r="G1536" t="s">
        <v>362</v>
      </c>
      <c r="H1536" t="str">
        <f>VLOOKUP(B1536,[2]Kreise!$A$2:$C$53,3,FALSE)</f>
        <v>K03356</v>
      </c>
      <c r="I1536">
        <f>'2020_5-2-2_Download'!I36</f>
        <v>26.633663366336634</v>
      </c>
    </row>
    <row r="1537" spans="2:9">
      <c r="B1537">
        <f>'2020_5-2-2_Download'!B37</f>
        <v>357</v>
      </c>
      <c r="C1537">
        <f>'2020_5-2-2_Download'!$D$5</f>
        <v>2020</v>
      </c>
      <c r="D1537" t="str">
        <f>VLOOKUP(B1537,[1]Tabelle1!$A$1:$B$68,2,FALSE)</f>
        <v>Rotenburg (Wümme)</v>
      </c>
      <c r="F1537" t="str">
        <f>'2020_5-2-2_Download'!$I$7</f>
        <v>niedrig</v>
      </c>
      <c r="G1537" t="s">
        <v>362</v>
      </c>
      <c r="H1537" t="str">
        <f>VLOOKUP(B1537,[2]Kreise!$A$2:$C$53,3,FALSE)</f>
        <v>K03357</v>
      </c>
      <c r="I1537">
        <f>'2020_5-2-2_Download'!I37</f>
        <v>26.37149028077754</v>
      </c>
    </row>
    <row r="1538" spans="2:9">
      <c r="B1538">
        <f>'2020_5-2-2_Download'!B38</f>
        <v>358</v>
      </c>
      <c r="C1538">
        <f>'2020_5-2-2_Download'!$D$5</f>
        <v>2020</v>
      </c>
      <c r="D1538" t="str">
        <f>VLOOKUP(B1538,[1]Tabelle1!$A$1:$B$68,2,FALSE)</f>
        <v>Heidekreis</v>
      </c>
      <c r="F1538" t="str">
        <f>'2020_5-2-2_Download'!$I$7</f>
        <v>niedrig</v>
      </c>
      <c r="G1538" t="s">
        <v>362</v>
      </c>
      <c r="H1538" t="str">
        <f>VLOOKUP(B1538,[2]Kreise!$A$2:$C$53,3,FALSE)</f>
        <v>K03358</v>
      </c>
      <c r="I1538">
        <f>'2020_5-2-2_Download'!I38</f>
        <v>21.798745061584942</v>
      </c>
    </row>
    <row r="1539" spans="2:9">
      <c r="B1539">
        <f>'2020_5-2-2_Download'!B39</f>
        <v>359</v>
      </c>
      <c r="C1539">
        <f>'2020_5-2-2_Download'!$D$5</f>
        <v>2020</v>
      </c>
      <c r="D1539" t="str">
        <f>VLOOKUP(B1539,[1]Tabelle1!$A$1:$B$68,2,FALSE)</f>
        <v>Stade</v>
      </c>
      <c r="F1539" t="str">
        <f>'2020_5-2-2_Download'!$I$7</f>
        <v>niedrig</v>
      </c>
      <c r="G1539" t="s">
        <v>362</v>
      </c>
      <c r="H1539" t="str">
        <f>VLOOKUP(B1539,[2]Kreise!$A$2:$C$53,3,FALSE)</f>
        <v>K03359</v>
      </c>
      <c r="I1539">
        <f>'2020_5-2-2_Download'!I39</f>
        <v>22.948586993530814</v>
      </c>
    </row>
    <row r="1540" spans="2:9">
      <c r="B1540">
        <f>'2020_5-2-2_Download'!B40</f>
        <v>360</v>
      </c>
      <c r="C1540">
        <f>'2020_5-2-2_Download'!$D$5</f>
        <v>2020</v>
      </c>
      <c r="D1540" t="str">
        <f>VLOOKUP(B1540,[1]Tabelle1!$A$1:$B$68,2,FALSE)</f>
        <v>Uelzen</v>
      </c>
      <c r="F1540" t="str">
        <f>'2020_5-2-2_Download'!$I$7</f>
        <v>niedrig</v>
      </c>
      <c r="G1540" t="s">
        <v>362</v>
      </c>
      <c r="H1540" t="str">
        <f>VLOOKUP(B1540,[2]Kreise!$A$2:$C$53,3,FALSE)</f>
        <v>K03360</v>
      </c>
      <c r="I1540">
        <f>'2020_5-2-2_Download'!I40</f>
        <v>22.116527942925089</v>
      </c>
    </row>
    <row r="1541" spans="2:9">
      <c r="B1541">
        <f>'2020_5-2-2_Download'!B41</f>
        <v>361</v>
      </c>
      <c r="C1541">
        <f>'2020_5-2-2_Download'!$D$5</f>
        <v>2020</v>
      </c>
      <c r="D1541" t="str">
        <f>VLOOKUP(B1541,[1]Tabelle1!$A$1:$B$68,2,FALSE)</f>
        <v>Verden</v>
      </c>
      <c r="F1541" t="str">
        <f>'2020_5-2-2_Download'!$I$7</f>
        <v>niedrig</v>
      </c>
      <c r="G1541" t="s">
        <v>362</v>
      </c>
      <c r="H1541" t="str">
        <f>VLOOKUP(B1541,[2]Kreise!$A$2:$C$53,3,FALSE)</f>
        <v>K03361</v>
      </c>
      <c r="I1541">
        <f>'2020_5-2-2_Download'!I41</f>
        <v>27.83798187955232</v>
      </c>
    </row>
    <row r="1542" spans="2:9">
      <c r="B1542">
        <f>'2020_5-2-2_Download'!B42</f>
        <v>3</v>
      </c>
      <c r="C1542">
        <f>'2020_5-2-2_Download'!$D$5</f>
        <v>2020</v>
      </c>
      <c r="D1542" t="str">
        <f>VLOOKUP(B1542,[1]Tabelle1!$A$1:$B$68,2,FALSE)</f>
        <v>Stat. Region Lüneburg</v>
      </c>
      <c r="F1542" t="str">
        <f>'2020_5-2-2_Download'!$I$7</f>
        <v>niedrig</v>
      </c>
      <c r="G1542" t="s">
        <v>362</v>
      </c>
      <c r="H1542" t="str">
        <f>VLOOKUP(B1542,[2]Kreise!$A$2:$C$53,3,FALSE)</f>
        <v>K033</v>
      </c>
      <c r="I1542">
        <f>'2020_5-2-2_Download'!I42</f>
        <v>26.35708362569369</v>
      </c>
    </row>
    <row r="1543" spans="2:9">
      <c r="B1543">
        <f>'2020_5-2-2_Download'!B43</f>
        <v>401</v>
      </c>
      <c r="C1543">
        <f>'2020_5-2-2_Download'!$D$5</f>
        <v>2020</v>
      </c>
      <c r="D1543" t="str">
        <f>VLOOKUP(B1543,[1]Tabelle1!$A$1:$B$68,2,FALSE)</f>
        <v>Delmenhorst  Stadt</v>
      </c>
      <c r="F1543" t="str">
        <f>'2020_5-2-2_Download'!$I$7</f>
        <v>niedrig</v>
      </c>
      <c r="G1543" t="s">
        <v>362</v>
      </c>
      <c r="H1543" t="str">
        <f>VLOOKUP(B1543,[2]Kreise!$A$2:$C$53,3,FALSE)</f>
        <v>K03401</v>
      </c>
      <c r="I1543">
        <f>'2020_5-2-2_Download'!I43</f>
        <v>32.13519313304721</v>
      </c>
    </row>
    <row r="1544" spans="2:9">
      <c r="B1544">
        <f>'2020_5-2-2_Download'!B44</f>
        <v>402</v>
      </c>
      <c r="C1544">
        <f>'2020_5-2-2_Download'!$D$5</f>
        <v>2020</v>
      </c>
      <c r="D1544" t="str">
        <f>VLOOKUP(B1544,[1]Tabelle1!$A$1:$B$68,2,FALSE)</f>
        <v>Emden  Stadt</v>
      </c>
      <c r="F1544" t="str">
        <f>'2020_5-2-2_Download'!$I$7</f>
        <v>niedrig</v>
      </c>
      <c r="G1544" t="s">
        <v>362</v>
      </c>
      <c r="H1544" t="str">
        <f>VLOOKUP(B1544,[2]Kreise!$A$2:$C$53,3,FALSE)</f>
        <v>K03402</v>
      </c>
      <c r="I1544">
        <f>'2020_5-2-2_Download'!I44</f>
        <v>26.330224904004389</v>
      </c>
    </row>
    <row r="1545" spans="2:9">
      <c r="B1545">
        <f>'2020_5-2-2_Download'!B45</f>
        <v>403</v>
      </c>
      <c r="C1545">
        <f>'2020_5-2-2_Download'!$D$5</f>
        <v>2020</v>
      </c>
      <c r="D1545" t="str">
        <f>VLOOKUP(B1545,[1]Tabelle1!$A$1:$B$68,2,FALSE)</f>
        <v>Oldenburg(Oldb)  Stadt</v>
      </c>
      <c r="F1545" t="str">
        <f>'2020_5-2-2_Download'!$I$7</f>
        <v>niedrig</v>
      </c>
      <c r="G1545" t="s">
        <v>362</v>
      </c>
      <c r="H1545" t="str">
        <f>VLOOKUP(B1545,[2]Kreise!$A$2:$C$53,3,FALSE)</f>
        <v>K03403</v>
      </c>
      <c r="I1545">
        <f>'2020_5-2-2_Download'!I45</f>
        <v>29.11392405063291</v>
      </c>
    </row>
    <row r="1546" spans="2:9">
      <c r="B1546">
        <f>'2020_5-2-2_Download'!B46</f>
        <v>404</v>
      </c>
      <c r="C1546">
        <f>'2020_5-2-2_Download'!$D$5</f>
        <v>2020</v>
      </c>
      <c r="D1546" t="str">
        <f>VLOOKUP(B1546,[1]Tabelle1!$A$1:$B$68,2,FALSE)</f>
        <v>Osnabrück  Stadt</v>
      </c>
      <c r="F1546" t="str">
        <f>'2020_5-2-2_Download'!$I$7</f>
        <v>niedrig</v>
      </c>
      <c r="G1546" t="s">
        <v>362</v>
      </c>
      <c r="H1546" t="str">
        <f>VLOOKUP(B1546,[2]Kreise!$A$2:$C$53,3,FALSE)</f>
        <v>K03404</v>
      </c>
      <c r="I1546">
        <f>'2020_5-2-2_Download'!I46</f>
        <v>32.293432802079799</v>
      </c>
    </row>
    <row r="1547" spans="2:9">
      <c r="B1547">
        <f>'2020_5-2-2_Download'!B47</f>
        <v>405</v>
      </c>
      <c r="C1547">
        <f>'2020_5-2-2_Download'!$D$5</f>
        <v>2020</v>
      </c>
      <c r="D1547" t="str">
        <f>VLOOKUP(B1547,[1]Tabelle1!$A$1:$B$68,2,FALSE)</f>
        <v>Wilhelmshaven  Stadt</v>
      </c>
      <c r="F1547" t="str">
        <f>'2020_5-2-2_Download'!$I$7</f>
        <v>niedrig</v>
      </c>
      <c r="G1547" t="s">
        <v>362</v>
      </c>
      <c r="H1547" t="str">
        <f>VLOOKUP(B1547,[2]Kreise!$A$2:$C$53,3,FALSE)</f>
        <v>K03405</v>
      </c>
      <c r="I1547">
        <f>'2020_5-2-2_Download'!I47</f>
        <v>33.423180592991912</v>
      </c>
    </row>
    <row r="1548" spans="2:9">
      <c r="B1548">
        <f>'2020_5-2-2_Download'!B48</f>
        <v>451</v>
      </c>
      <c r="C1548">
        <f>'2020_5-2-2_Download'!$D$5</f>
        <v>2020</v>
      </c>
      <c r="D1548" t="str">
        <f>VLOOKUP(B1548,[1]Tabelle1!$A$1:$B$68,2,FALSE)</f>
        <v>Ammerland</v>
      </c>
      <c r="F1548" t="str">
        <f>'2020_5-2-2_Download'!$I$7</f>
        <v>niedrig</v>
      </c>
      <c r="G1548" t="s">
        <v>362</v>
      </c>
      <c r="H1548" t="str">
        <f>VLOOKUP(B1548,[2]Kreise!$A$2:$C$53,3,FALSE)</f>
        <v>K03451</v>
      </c>
      <c r="I1548">
        <f>'2020_5-2-2_Download'!I48</f>
        <v>26.896219600288948</v>
      </c>
    </row>
    <row r="1549" spans="2:9">
      <c r="B1549">
        <f>'2020_5-2-2_Download'!B49</f>
        <v>452</v>
      </c>
      <c r="C1549">
        <f>'2020_5-2-2_Download'!$D$5</f>
        <v>2020</v>
      </c>
      <c r="D1549" t="str">
        <f>VLOOKUP(B1549,[1]Tabelle1!$A$1:$B$68,2,FALSE)</f>
        <v>Aurich</v>
      </c>
      <c r="F1549" t="str">
        <f>'2020_5-2-2_Download'!$I$7</f>
        <v>niedrig</v>
      </c>
      <c r="G1549" t="s">
        <v>362</v>
      </c>
      <c r="H1549" t="str">
        <f>VLOOKUP(B1549,[2]Kreise!$A$2:$C$53,3,FALSE)</f>
        <v>K03452</v>
      </c>
      <c r="I1549">
        <f>'2020_5-2-2_Download'!I49</f>
        <v>27.209414024975985</v>
      </c>
    </row>
    <row r="1550" spans="2:9">
      <c r="B1550">
        <f>'2020_5-2-2_Download'!B50</f>
        <v>453</v>
      </c>
      <c r="C1550">
        <f>'2020_5-2-2_Download'!$D$5</f>
        <v>2020</v>
      </c>
      <c r="D1550" t="str">
        <f>VLOOKUP(B1550,[1]Tabelle1!$A$1:$B$68,2,FALSE)</f>
        <v>Cloppenburg</v>
      </c>
      <c r="F1550" t="str">
        <f>'2020_5-2-2_Download'!$I$7</f>
        <v>niedrig</v>
      </c>
      <c r="G1550" t="s">
        <v>362</v>
      </c>
      <c r="H1550" t="str">
        <f>VLOOKUP(B1550,[2]Kreise!$A$2:$C$53,3,FALSE)</f>
        <v>K03453</v>
      </c>
      <c r="I1550">
        <f>'2020_5-2-2_Download'!I50</f>
        <v>30.088412340105343</v>
      </c>
    </row>
    <row r="1551" spans="2:9">
      <c r="B1551">
        <f>'2020_5-2-2_Download'!B51</f>
        <v>454</v>
      </c>
      <c r="C1551">
        <f>'2020_5-2-2_Download'!$D$5</f>
        <v>2020</v>
      </c>
      <c r="D1551" t="str">
        <f>VLOOKUP(B1551,[1]Tabelle1!$A$1:$B$68,2,FALSE)</f>
        <v>Emsland</v>
      </c>
      <c r="F1551" t="str">
        <f>'2020_5-2-2_Download'!$I$7</f>
        <v>niedrig</v>
      </c>
      <c r="G1551" t="s">
        <v>362</v>
      </c>
      <c r="H1551" t="str">
        <f>VLOOKUP(B1551,[2]Kreise!$A$2:$C$53,3,FALSE)</f>
        <v>K03454</v>
      </c>
      <c r="I1551">
        <f>'2020_5-2-2_Download'!I51</f>
        <v>19.823611946281819</v>
      </c>
    </row>
    <row r="1552" spans="2:9">
      <c r="B1552">
        <f>'2020_5-2-2_Download'!B52</f>
        <v>455</v>
      </c>
      <c r="C1552">
        <f>'2020_5-2-2_Download'!$D$5</f>
        <v>2020</v>
      </c>
      <c r="D1552" t="str">
        <f>VLOOKUP(B1552,[1]Tabelle1!$A$1:$B$68,2,FALSE)</f>
        <v>Friesland</v>
      </c>
      <c r="F1552" t="str">
        <f>'2020_5-2-2_Download'!$I$7</f>
        <v>niedrig</v>
      </c>
      <c r="G1552" t="s">
        <v>362</v>
      </c>
      <c r="H1552" t="str">
        <f>VLOOKUP(B1552,[2]Kreise!$A$2:$C$53,3,FALSE)</f>
        <v>K03455</v>
      </c>
      <c r="I1552">
        <f>'2020_5-2-2_Download'!I52</f>
        <v>23.097112860892388</v>
      </c>
    </row>
    <row r="1553" spans="2:9">
      <c r="B1553">
        <f>'2020_5-2-2_Download'!B53</f>
        <v>456</v>
      </c>
      <c r="C1553">
        <f>'2020_5-2-2_Download'!$D$5</f>
        <v>2020</v>
      </c>
      <c r="D1553" t="str">
        <f>VLOOKUP(B1553,[1]Tabelle1!$A$1:$B$68,2,FALSE)</f>
        <v>Grafschaft Bentheim</v>
      </c>
      <c r="F1553" t="str">
        <f>'2020_5-2-2_Download'!$I$7</f>
        <v>niedrig</v>
      </c>
      <c r="G1553" t="s">
        <v>362</v>
      </c>
      <c r="H1553" t="str">
        <f>VLOOKUP(B1553,[2]Kreise!$A$2:$C$53,3,FALSE)</f>
        <v>K03456</v>
      </c>
      <c r="I1553">
        <f>'2020_5-2-2_Download'!I53</f>
        <v>22.107081174438687</v>
      </c>
    </row>
    <row r="1554" spans="2:9">
      <c r="B1554">
        <f>'2020_5-2-2_Download'!B54</f>
        <v>457</v>
      </c>
      <c r="C1554">
        <f>'2020_5-2-2_Download'!$D$5</f>
        <v>2020</v>
      </c>
      <c r="D1554" t="str">
        <f>VLOOKUP(B1554,[1]Tabelle1!$A$1:$B$68,2,FALSE)</f>
        <v>Leer</v>
      </c>
      <c r="F1554" t="str">
        <f>'2020_5-2-2_Download'!$I$7</f>
        <v>niedrig</v>
      </c>
      <c r="G1554" t="s">
        <v>362</v>
      </c>
      <c r="H1554" t="str">
        <f>VLOOKUP(B1554,[2]Kreise!$A$2:$C$53,3,FALSE)</f>
        <v>K03457</v>
      </c>
      <c r="I1554">
        <f>'2020_5-2-2_Download'!I54</f>
        <v>18.401486988847584</v>
      </c>
    </row>
    <row r="1555" spans="2:9">
      <c r="B1555">
        <f>'2020_5-2-2_Download'!B55</f>
        <v>458</v>
      </c>
      <c r="C1555">
        <f>'2020_5-2-2_Download'!$D$5</f>
        <v>2020</v>
      </c>
      <c r="D1555" t="str">
        <f>VLOOKUP(B1555,[1]Tabelle1!$A$1:$B$68,2,FALSE)</f>
        <v>Oldenburg</v>
      </c>
      <c r="F1555" t="str">
        <f>'2020_5-2-2_Download'!$I$7</f>
        <v>niedrig</v>
      </c>
      <c r="G1555" t="s">
        <v>362</v>
      </c>
      <c r="H1555" t="str">
        <f>VLOOKUP(B1555,[2]Kreise!$A$2:$C$53,3,FALSE)</f>
        <v>K03458</v>
      </c>
      <c r="I1555">
        <f>'2020_5-2-2_Download'!I55</f>
        <v>27.355543987506508</v>
      </c>
    </row>
    <row r="1556" spans="2:9">
      <c r="B1556">
        <f>'2020_5-2-2_Download'!B56</f>
        <v>459</v>
      </c>
      <c r="C1556">
        <f>'2020_5-2-2_Download'!$D$5</f>
        <v>2020</v>
      </c>
      <c r="D1556" t="str">
        <f>VLOOKUP(B1556,[1]Tabelle1!$A$1:$B$68,2,FALSE)</f>
        <v>Osnabrück</v>
      </c>
      <c r="F1556" t="str">
        <f>'2020_5-2-2_Download'!$I$7</f>
        <v>niedrig</v>
      </c>
      <c r="G1556" t="s">
        <v>362</v>
      </c>
      <c r="H1556" t="str">
        <f>VLOOKUP(B1556,[2]Kreise!$A$2:$C$53,3,FALSE)</f>
        <v>K03459</v>
      </c>
      <c r="I1556">
        <f>'2020_5-2-2_Download'!I56</f>
        <v>25.374145818038063</v>
      </c>
    </row>
    <row r="1557" spans="2:9">
      <c r="B1557">
        <f>'2020_5-2-2_Download'!B57</f>
        <v>460</v>
      </c>
      <c r="C1557">
        <f>'2020_5-2-2_Download'!$D$5</f>
        <v>2020</v>
      </c>
      <c r="D1557" t="str">
        <f>VLOOKUP(B1557,[1]Tabelle1!$A$1:$B$68,2,FALSE)</f>
        <v>Vechta</v>
      </c>
      <c r="F1557" t="str">
        <f>'2020_5-2-2_Download'!$I$7</f>
        <v>niedrig</v>
      </c>
      <c r="G1557" t="s">
        <v>362</v>
      </c>
      <c r="H1557" t="str">
        <f>VLOOKUP(B1557,[2]Kreise!$A$2:$C$53,3,FALSE)</f>
        <v>K03460</v>
      </c>
      <c r="I1557">
        <f>'2020_5-2-2_Download'!I57</f>
        <v>27.282463186077646</v>
      </c>
    </row>
    <row r="1558" spans="2:9">
      <c r="B1558">
        <f>'2020_5-2-2_Download'!B58</f>
        <v>461</v>
      </c>
      <c r="C1558">
        <f>'2020_5-2-2_Download'!$D$5</f>
        <v>2020</v>
      </c>
      <c r="D1558" t="str">
        <f>VLOOKUP(B1558,[1]Tabelle1!$A$1:$B$68,2,FALSE)</f>
        <v>Wesermarsch</v>
      </c>
      <c r="F1558" t="str">
        <f>'2020_5-2-2_Download'!$I$7</f>
        <v>niedrig</v>
      </c>
      <c r="G1558" t="s">
        <v>362</v>
      </c>
      <c r="H1558" t="str">
        <f>VLOOKUP(B1558,[2]Kreise!$A$2:$C$53,3,FALSE)</f>
        <v>K03461</v>
      </c>
      <c r="I1558">
        <f>'2020_5-2-2_Download'!I58</f>
        <v>21.077844311377245</v>
      </c>
    </row>
    <row r="1559" spans="2:9">
      <c r="B1559">
        <f>'2020_5-2-2_Download'!B59</f>
        <v>462</v>
      </c>
      <c r="C1559">
        <f>'2020_5-2-2_Download'!$D$5</f>
        <v>2020</v>
      </c>
      <c r="D1559" t="str">
        <f>VLOOKUP(B1559,[1]Tabelle1!$A$1:$B$68,2,FALSE)</f>
        <v>Wittmund</v>
      </c>
      <c r="F1559" t="str">
        <f>'2020_5-2-2_Download'!$I$7</f>
        <v>niedrig</v>
      </c>
      <c r="G1559" t="s">
        <v>362</v>
      </c>
      <c r="H1559" t="str">
        <f>VLOOKUP(B1559,[2]Kreise!$A$2:$C$53,3,FALSE)</f>
        <v>K03462</v>
      </c>
      <c r="I1559">
        <f>'2020_5-2-2_Download'!I59</f>
        <v>18.939393939393938</v>
      </c>
    </row>
    <row r="1560" spans="2:9">
      <c r="B1560">
        <f>'2020_5-2-2_Download'!B60</f>
        <v>4</v>
      </c>
      <c r="C1560">
        <f>'2020_5-2-2_Download'!$D$5</f>
        <v>2020</v>
      </c>
      <c r="D1560" t="str">
        <f>VLOOKUP(B1560,[1]Tabelle1!$A$1:$B$68,2,FALSE)</f>
        <v>Stat. Region Weser-Ems</v>
      </c>
      <c r="F1560" t="str">
        <f>'2020_5-2-2_Download'!$I$7</f>
        <v>niedrig</v>
      </c>
      <c r="G1560" t="s">
        <v>362</v>
      </c>
      <c r="H1560" t="str">
        <f>VLOOKUP(B1560,[2]Kreise!$A$2:$C$53,3,FALSE)</f>
        <v>K034</v>
      </c>
      <c r="I1560">
        <f>'2020_5-2-2_Download'!I60</f>
        <v>25.946131917821685</v>
      </c>
    </row>
    <row r="1561" spans="2:9">
      <c r="B1561">
        <f>'2020_5-2-2_Download'!B61</f>
        <v>0</v>
      </c>
      <c r="C1561">
        <f>'2020_5-2-2_Download'!$D$5</f>
        <v>2020</v>
      </c>
      <c r="D1561" t="str">
        <f>VLOOKUP(B1561,[1]Tabelle1!$A$1:$B$68,2,FALSE)</f>
        <v>Niedersachsen</v>
      </c>
      <c r="F1561" t="str">
        <f>'2020_5-2-2_Download'!$I$7</f>
        <v>niedrig</v>
      </c>
      <c r="G1561" t="s">
        <v>362</v>
      </c>
      <c r="H1561" t="str">
        <f>VLOOKUP(B1561,[2]Kreise!$A$2:$C$53,3,FALSE)</f>
        <v>K030</v>
      </c>
      <c r="I1561">
        <f>'2020_5-2-2_Download'!I61</f>
        <v>25.853434476044878</v>
      </c>
    </row>
    <row r="1562" spans="2:9">
      <c r="B1562">
        <f>'2020_5-2-2_Download'!B10</f>
        <v>101</v>
      </c>
      <c r="C1562">
        <f>'2020_5-2-2_Download'!$D$5</f>
        <v>2020</v>
      </c>
      <c r="D1562" t="str">
        <f>VLOOKUP(B1562,[1]Tabelle1!$A$1:$B$68,2,FALSE)</f>
        <v>Braunschweig  Stadt</v>
      </c>
      <c r="F1562" t="str">
        <f>'2020_5-2-2_Download'!$J$7</f>
        <v>unbekannt</v>
      </c>
      <c r="G1562" t="s">
        <v>362</v>
      </c>
      <c r="H1562" t="str">
        <f>VLOOKUP(B1562,[2]Kreise!$A$2:$C$53,3,FALSE)</f>
        <v>K03101</v>
      </c>
      <c r="I1562">
        <f>'2020_5-2-2_Download'!J10</f>
        <v>23.80209687202149</v>
      </c>
    </row>
    <row r="1563" spans="2:9">
      <c r="B1563">
        <f>'2020_5-2-2_Download'!B11</f>
        <v>102</v>
      </c>
      <c r="C1563">
        <f>'2020_5-2-2_Download'!$D$5</f>
        <v>2020</v>
      </c>
      <c r="D1563" t="str">
        <f>VLOOKUP(B1563,[1]Tabelle1!$A$1:$B$68,2,FALSE)</f>
        <v>Salzgitter  Stadt</v>
      </c>
      <c r="F1563" t="str">
        <f>'2020_5-2-2_Download'!$J$7</f>
        <v>unbekannt</v>
      </c>
      <c r="G1563" t="s">
        <v>362</v>
      </c>
      <c r="H1563" t="str">
        <f>VLOOKUP(B1563,[2]Kreise!$A$2:$C$53,3,FALSE)</f>
        <v>K03102</v>
      </c>
      <c r="I1563">
        <f>'2020_5-2-2_Download'!J11</f>
        <v>29.110291102911027</v>
      </c>
    </row>
    <row r="1564" spans="2:9">
      <c r="B1564">
        <f>'2020_5-2-2_Download'!B12</f>
        <v>103</v>
      </c>
      <c r="C1564">
        <f>'2020_5-2-2_Download'!$D$5</f>
        <v>2020</v>
      </c>
      <c r="D1564" t="str">
        <f>VLOOKUP(B1564,[1]Tabelle1!$A$1:$B$68,2,FALSE)</f>
        <v>Wolfsburg  Stadt</v>
      </c>
      <c r="F1564" t="str">
        <f>'2020_5-2-2_Download'!$J$7</f>
        <v>unbekannt</v>
      </c>
      <c r="G1564" t="s">
        <v>362</v>
      </c>
      <c r="H1564" t="str">
        <f>VLOOKUP(B1564,[2]Kreise!$A$2:$C$53,3,FALSE)</f>
        <v>K03103</v>
      </c>
      <c r="I1564">
        <f>'2020_5-2-2_Download'!J12</f>
        <v>26.761091830034704</v>
      </c>
    </row>
    <row r="1565" spans="2:9">
      <c r="B1565">
        <f>'2020_5-2-2_Download'!B13</f>
        <v>151</v>
      </c>
      <c r="C1565">
        <f>'2020_5-2-2_Download'!$D$5</f>
        <v>2020</v>
      </c>
      <c r="D1565" t="str">
        <f>VLOOKUP(B1565,[1]Tabelle1!$A$1:$B$68,2,FALSE)</f>
        <v>Gifhorn</v>
      </c>
      <c r="F1565" t="str">
        <f>'2020_5-2-2_Download'!$J$7</f>
        <v>unbekannt</v>
      </c>
      <c r="G1565" t="s">
        <v>362</v>
      </c>
      <c r="H1565" t="str">
        <f>VLOOKUP(B1565,[2]Kreise!$A$2:$C$53,3,FALSE)</f>
        <v>K03151</v>
      </c>
      <c r="I1565">
        <f>'2020_5-2-2_Download'!J13</f>
        <v>30.610991710162725</v>
      </c>
    </row>
    <row r="1566" spans="2:9">
      <c r="B1566">
        <f>'2020_5-2-2_Download'!B14</f>
        <v>153</v>
      </c>
      <c r="C1566">
        <f>'2020_5-2-2_Download'!$D$5</f>
        <v>2020</v>
      </c>
      <c r="D1566" t="str">
        <f>VLOOKUP(B1566,[1]Tabelle1!$A$1:$B$68,2,FALSE)</f>
        <v>Goslar</v>
      </c>
      <c r="F1566" t="str">
        <f>'2020_5-2-2_Download'!$J$7</f>
        <v>unbekannt</v>
      </c>
      <c r="G1566" t="s">
        <v>362</v>
      </c>
      <c r="H1566" t="str">
        <f>VLOOKUP(B1566,[2]Kreise!$A$2:$C$53,3,FALSE)</f>
        <v>K03153</v>
      </c>
      <c r="I1566">
        <f>'2020_5-2-2_Download'!J14</f>
        <v>25.829457364341085</v>
      </c>
    </row>
    <row r="1567" spans="2:9">
      <c r="B1567">
        <f>'2020_5-2-2_Download'!B15</f>
        <v>154</v>
      </c>
      <c r="C1567">
        <f>'2020_5-2-2_Download'!$D$5</f>
        <v>2020</v>
      </c>
      <c r="D1567" t="str">
        <f>VLOOKUP(B1567,[1]Tabelle1!$A$1:$B$68,2,FALSE)</f>
        <v>Helmstedt</v>
      </c>
      <c r="F1567" t="str">
        <f>'2020_5-2-2_Download'!$J$7</f>
        <v>unbekannt</v>
      </c>
      <c r="G1567" t="s">
        <v>362</v>
      </c>
      <c r="H1567" t="str">
        <f>VLOOKUP(B1567,[2]Kreise!$A$2:$C$53,3,FALSE)</f>
        <v>K03154</v>
      </c>
      <c r="I1567">
        <f>'2020_5-2-2_Download'!J15</f>
        <v>20.105820105820104</v>
      </c>
    </row>
    <row r="1568" spans="2:9">
      <c r="B1568">
        <f>'2020_5-2-2_Download'!B16</f>
        <v>155</v>
      </c>
      <c r="C1568">
        <f>'2020_5-2-2_Download'!$D$5</f>
        <v>2020</v>
      </c>
      <c r="D1568" t="str">
        <f>VLOOKUP(B1568,[1]Tabelle1!$A$1:$B$68,2,FALSE)</f>
        <v>Northeim</v>
      </c>
      <c r="F1568" t="str">
        <f>'2020_5-2-2_Download'!$J$7</f>
        <v>unbekannt</v>
      </c>
      <c r="G1568" t="s">
        <v>362</v>
      </c>
      <c r="H1568" t="str">
        <f>VLOOKUP(B1568,[2]Kreise!$A$2:$C$53,3,FALSE)</f>
        <v>K03155</v>
      </c>
      <c r="I1568">
        <f>'2020_5-2-2_Download'!J16</f>
        <v>23.507025761124122</v>
      </c>
    </row>
    <row r="1569" spans="2:9">
      <c r="B1569">
        <f>'2020_5-2-2_Download'!B17</f>
        <v>157</v>
      </c>
      <c r="C1569">
        <f>'2020_5-2-2_Download'!$D$5</f>
        <v>2020</v>
      </c>
      <c r="D1569" t="str">
        <f>VLOOKUP(B1569,[1]Tabelle1!$A$1:$B$68,2,FALSE)</f>
        <v>Peine</v>
      </c>
      <c r="F1569" t="str">
        <f>'2020_5-2-2_Download'!$J$7</f>
        <v>unbekannt</v>
      </c>
      <c r="G1569" t="s">
        <v>362</v>
      </c>
      <c r="H1569" t="str">
        <f>VLOOKUP(B1569,[2]Kreise!$A$2:$C$53,3,FALSE)</f>
        <v>K03157</v>
      </c>
      <c r="I1569">
        <f>'2020_5-2-2_Download'!J17</f>
        <v>33.135391923990497</v>
      </c>
    </row>
    <row r="1570" spans="2:9">
      <c r="B1570">
        <f>'2020_5-2-2_Download'!B18</f>
        <v>158</v>
      </c>
      <c r="C1570">
        <f>'2020_5-2-2_Download'!$D$5</f>
        <v>2020</v>
      </c>
      <c r="D1570" t="str">
        <f>VLOOKUP(B1570,[1]Tabelle1!$A$1:$B$68,2,FALSE)</f>
        <v>Wolfenbüttel</v>
      </c>
      <c r="F1570" t="str">
        <f>'2020_5-2-2_Download'!$J$7</f>
        <v>unbekannt</v>
      </c>
      <c r="G1570" t="s">
        <v>362</v>
      </c>
      <c r="H1570" t="str">
        <f>VLOOKUP(B1570,[2]Kreise!$A$2:$C$53,3,FALSE)</f>
        <v>K03158</v>
      </c>
      <c r="I1570">
        <f>'2020_5-2-2_Download'!J18</f>
        <v>22.446406052963429</v>
      </c>
    </row>
    <row r="1571" spans="2:9">
      <c r="B1571">
        <f>'2020_5-2-2_Download'!B19</f>
        <v>159</v>
      </c>
      <c r="C1571">
        <f>'2020_5-2-2_Download'!$D$5</f>
        <v>2020</v>
      </c>
      <c r="D1571" t="str">
        <f>VLOOKUP(B1571,[1]Tabelle1!$A$1:$B$68,2,FALSE)</f>
        <v>Göttingen</v>
      </c>
      <c r="F1571" t="str">
        <f>'2020_5-2-2_Download'!$J$7</f>
        <v>unbekannt</v>
      </c>
      <c r="G1571" t="s">
        <v>362</v>
      </c>
      <c r="H1571" t="str">
        <f>VLOOKUP(B1571,[2]Kreise!$A$2:$C$53,3,FALSE)</f>
        <v>K03159</v>
      </c>
      <c r="I1571">
        <f>'2020_5-2-2_Download'!J19</f>
        <v>17.827722973660123</v>
      </c>
    </row>
    <row r="1572" spans="2:9">
      <c r="B1572">
        <f>'2020_5-2-2_Download'!B20</f>
        <v>1</v>
      </c>
      <c r="C1572">
        <f>'2020_5-2-2_Download'!$D$5</f>
        <v>2020</v>
      </c>
      <c r="D1572" t="str">
        <f>VLOOKUP(B1572,[1]Tabelle1!$A$1:$B$68,2,FALSE)</f>
        <v>Stat. Region Braunschweig</v>
      </c>
      <c r="F1572" t="str">
        <f>'2020_5-2-2_Download'!$J$7</f>
        <v>unbekannt</v>
      </c>
      <c r="G1572" t="s">
        <v>362</v>
      </c>
      <c r="H1572" t="str">
        <f>VLOOKUP(B1572,[2]Kreise!$A$2:$C$53,3,FALSE)</f>
        <v>K031</v>
      </c>
      <c r="I1572">
        <f>'2020_5-2-2_Download'!J20</f>
        <v>24.725994089701867</v>
      </c>
    </row>
    <row r="1573" spans="2:9">
      <c r="B1573">
        <f>'2020_5-2-2_Download'!B21</f>
        <v>241</v>
      </c>
      <c r="C1573">
        <f>'2020_5-2-2_Download'!$D$5</f>
        <v>2020</v>
      </c>
      <c r="D1573" t="str">
        <f>VLOOKUP(B1573,[1]Tabelle1!$A$1:$B$68,2,FALSE)</f>
        <v>Hannover  Region</v>
      </c>
      <c r="F1573" t="str">
        <f>'2020_5-2-2_Download'!$J$7</f>
        <v>unbekannt</v>
      </c>
      <c r="G1573" t="s">
        <v>362</v>
      </c>
      <c r="H1573" t="str">
        <f>VLOOKUP(B1573,[2]Kreise!$A$2:$C$53,3,FALSE)</f>
        <v>K03241</v>
      </c>
      <c r="I1573">
        <f>'2020_5-2-2_Download'!J21</f>
        <v>25.54604674926555</v>
      </c>
    </row>
    <row r="1574" spans="2:9">
      <c r="B1574">
        <f>'2020_5-2-2_Download'!B22</f>
        <v>241001</v>
      </c>
      <c r="C1574">
        <f>'2020_5-2-2_Download'!$D$5</f>
        <v>2020</v>
      </c>
      <c r="D1574" t="str">
        <f>VLOOKUP(B1574,[1]Tabelle1!$A$1:$B$68,2,FALSE)</f>
        <v>dav. Hannover  Lhst.</v>
      </c>
      <c r="F1574" t="str">
        <f>'2020_5-2-2_Download'!$J$7</f>
        <v>unbekannt</v>
      </c>
      <c r="G1574" t="s">
        <v>362</v>
      </c>
      <c r="H1574" t="str">
        <f>VLOOKUP(B1574,[2]Kreise!$A$2:$C$53,3,FALSE)</f>
        <v>K03241001</v>
      </c>
      <c r="I1574">
        <f>'2020_5-2-2_Download'!J22</f>
        <v>23.356949632873889</v>
      </c>
    </row>
    <row r="1575" spans="2:9">
      <c r="B1575">
        <f>'2020_5-2-2_Download'!B23</f>
        <v>241999</v>
      </c>
      <c r="C1575">
        <f>'2020_5-2-2_Download'!$D$5</f>
        <v>2020</v>
      </c>
      <c r="D1575" t="str">
        <f>VLOOKUP(B1575,[1]Tabelle1!$A$1:$B$68,2,FALSE)</f>
        <v>dav. Hannover  Umland</v>
      </c>
      <c r="F1575" t="str">
        <f>'2020_5-2-2_Download'!$J$7</f>
        <v>unbekannt</v>
      </c>
      <c r="G1575" t="s">
        <v>362</v>
      </c>
      <c r="H1575" t="str">
        <f>VLOOKUP(B1575,[2]Kreise!$A$2:$C$53,3,FALSE)</f>
        <v>K03241999</v>
      </c>
      <c r="I1575">
        <f>'2020_5-2-2_Download'!J23</f>
        <v>29.113658311290251</v>
      </c>
    </row>
    <row r="1576" spans="2:9">
      <c r="B1576">
        <f>'2020_5-2-2_Download'!B24</f>
        <v>251</v>
      </c>
      <c r="C1576">
        <f>'2020_5-2-2_Download'!$D$5</f>
        <v>2020</v>
      </c>
      <c r="D1576" t="str">
        <f>VLOOKUP(B1576,[1]Tabelle1!$A$1:$B$68,2,FALSE)</f>
        <v>Diepholz</v>
      </c>
      <c r="F1576" t="str">
        <f>'2020_5-2-2_Download'!$J$7</f>
        <v>unbekannt</v>
      </c>
      <c r="G1576" t="s">
        <v>362</v>
      </c>
      <c r="H1576" t="str">
        <f>VLOOKUP(B1576,[2]Kreise!$A$2:$C$53,3,FALSE)</f>
        <v>K03251</v>
      </c>
      <c r="I1576">
        <f>'2020_5-2-2_Download'!J24</f>
        <v>35.471640885653628</v>
      </c>
    </row>
    <row r="1577" spans="2:9">
      <c r="B1577">
        <f>'2020_5-2-2_Download'!B25</f>
        <v>252</v>
      </c>
      <c r="C1577">
        <f>'2020_5-2-2_Download'!$D$5</f>
        <v>2020</v>
      </c>
      <c r="D1577" t="str">
        <f>VLOOKUP(B1577,[1]Tabelle1!$A$1:$B$68,2,FALSE)</f>
        <v>Hameln-Pyrmont</v>
      </c>
      <c r="F1577" t="str">
        <f>'2020_5-2-2_Download'!$J$7</f>
        <v>unbekannt</v>
      </c>
      <c r="G1577" t="s">
        <v>362</v>
      </c>
      <c r="H1577" t="str">
        <f>VLOOKUP(B1577,[2]Kreise!$A$2:$C$53,3,FALSE)</f>
        <v>K03252</v>
      </c>
      <c r="I1577">
        <f>'2020_5-2-2_Download'!J25</f>
        <v>23.714839961202717</v>
      </c>
    </row>
    <row r="1578" spans="2:9">
      <c r="B1578">
        <f>'2020_5-2-2_Download'!B26</f>
        <v>254</v>
      </c>
      <c r="C1578">
        <f>'2020_5-2-2_Download'!$D$5</f>
        <v>2020</v>
      </c>
      <c r="D1578" t="str">
        <f>VLOOKUP(B1578,[1]Tabelle1!$A$1:$B$68,2,FALSE)</f>
        <v>Hildesheim</v>
      </c>
      <c r="F1578" t="str">
        <f>'2020_5-2-2_Download'!$J$7</f>
        <v>unbekannt</v>
      </c>
      <c r="G1578" t="s">
        <v>362</v>
      </c>
      <c r="H1578" t="str">
        <f>VLOOKUP(B1578,[2]Kreise!$A$2:$C$53,3,FALSE)</f>
        <v>K03254</v>
      </c>
      <c r="I1578">
        <f>'2020_5-2-2_Download'!J26</f>
        <v>20.925553319919516</v>
      </c>
    </row>
    <row r="1579" spans="2:9">
      <c r="B1579">
        <f>'2020_5-2-2_Download'!B27</f>
        <v>255</v>
      </c>
      <c r="C1579">
        <f>'2020_5-2-2_Download'!$D$5</f>
        <v>2020</v>
      </c>
      <c r="D1579" t="str">
        <f>VLOOKUP(B1579,[1]Tabelle1!$A$1:$B$68,2,FALSE)</f>
        <v>Holzminden</v>
      </c>
      <c r="F1579" t="str">
        <f>'2020_5-2-2_Download'!$J$7</f>
        <v>unbekannt</v>
      </c>
      <c r="G1579" t="s">
        <v>362</v>
      </c>
      <c r="H1579" t="str">
        <f>VLOOKUP(B1579,[2]Kreise!$A$2:$C$53,3,FALSE)</f>
        <v>K03255</v>
      </c>
      <c r="I1579">
        <f>'2020_5-2-2_Download'!J27</f>
        <v>26.415094339622641</v>
      </c>
    </row>
    <row r="1580" spans="2:9">
      <c r="B1580">
        <f>'2020_5-2-2_Download'!B28</f>
        <v>256</v>
      </c>
      <c r="C1580">
        <f>'2020_5-2-2_Download'!$D$5</f>
        <v>2020</v>
      </c>
      <c r="D1580" t="str">
        <f>VLOOKUP(B1580,[1]Tabelle1!$A$1:$B$68,2,FALSE)</f>
        <v>Nienburg (Weser)</v>
      </c>
      <c r="F1580" t="str">
        <f>'2020_5-2-2_Download'!$J$7</f>
        <v>unbekannt</v>
      </c>
      <c r="G1580" t="s">
        <v>362</v>
      </c>
      <c r="H1580" t="str">
        <f>VLOOKUP(B1580,[2]Kreise!$A$2:$C$53,3,FALSE)</f>
        <v>K03256</v>
      </c>
      <c r="I1580">
        <f>'2020_5-2-2_Download'!J28</f>
        <v>39.457346516440559</v>
      </c>
    </row>
    <row r="1581" spans="2:9">
      <c r="B1581">
        <f>'2020_5-2-2_Download'!B29</f>
        <v>257</v>
      </c>
      <c r="C1581">
        <f>'2020_5-2-2_Download'!$D$5</f>
        <v>2020</v>
      </c>
      <c r="D1581" t="str">
        <f>VLOOKUP(B1581,[1]Tabelle1!$A$1:$B$68,2,FALSE)</f>
        <v>Schaumburg</v>
      </c>
      <c r="F1581" t="str">
        <f>'2020_5-2-2_Download'!$J$7</f>
        <v>unbekannt</v>
      </c>
      <c r="G1581" t="s">
        <v>362</v>
      </c>
      <c r="H1581" t="str">
        <f>VLOOKUP(B1581,[2]Kreise!$A$2:$C$53,3,FALSE)</f>
        <v>K03257</v>
      </c>
      <c r="I1581">
        <f>'2020_5-2-2_Download'!J29</f>
        <v>20.766442257897463</v>
      </c>
    </row>
    <row r="1582" spans="2:9">
      <c r="B1582">
        <f>'2020_5-2-2_Download'!B30</f>
        <v>2</v>
      </c>
      <c r="C1582">
        <f>'2020_5-2-2_Download'!$D$5</f>
        <v>2020</v>
      </c>
      <c r="D1582" t="str">
        <f>VLOOKUP(B1582,[1]Tabelle1!$A$1:$B$68,2,FALSE)</f>
        <v>Stat. Region Hannover</v>
      </c>
      <c r="F1582" t="str">
        <f>'2020_5-2-2_Download'!$J$7</f>
        <v>unbekannt</v>
      </c>
      <c r="G1582" t="s">
        <v>362</v>
      </c>
      <c r="H1582" t="str">
        <f>VLOOKUP(B1582,[2]Kreise!$A$2:$C$53,3,FALSE)</f>
        <v>K032</v>
      </c>
      <c r="I1582">
        <f>'2020_5-2-2_Download'!J30</f>
        <v>26.343485352937233</v>
      </c>
    </row>
    <row r="1583" spans="2:9">
      <c r="B1583">
        <f>'2020_5-2-2_Download'!B31</f>
        <v>351</v>
      </c>
      <c r="C1583">
        <f>'2020_5-2-2_Download'!$D$5</f>
        <v>2020</v>
      </c>
      <c r="D1583" t="str">
        <f>VLOOKUP(B1583,[1]Tabelle1!$A$1:$B$68,2,FALSE)</f>
        <v>Celle</v>
      </c>
      <c r="F1583" t="str">
        <f>'2020_5-2-2_Download'!$J$7</f>
        <v>unbekannt</v>
      </c>
      <c r="G1583" t="s">
        <v>362</v>
      </c>
      <c r="H1583" t="str">
        <f>VLOOKUP(B1583,[2]Kreise!$A$2:$C$53,3,FALSE)</f>
        <v>K03351</v>
      </c>
      <c r="I1583">
        <f>'2020_5-2-2_Download'!J31</f>
        <v>24.193548387096776</v>
      </c>
    </row>
    <row r="1584" spans="2:9">
      <c r="B1584">
        <f>'2020_5-2-2_Download'!B32</f>
        <v>352</v>
      </c>
      <c r="C1584">
        <f>'2020_5-2-2_Download'!$D$5</f>
        <v>2020</v>
      </c>
      <c r="D1584" t="str">
        <f>VLOOKUP(B1584,[1]Tabelle1!$A$1:$B$68,2,FALSE)</f>
        <v>Cuxhaven</v>
      </c>
      <c r="F1584" t="str">
        <f>'2020_5-2-2_Download'!$J$7</f>
        <v>unbekannt</v>
      </c>
      <c r="G1584" t="s">
        <v>362</v>
      </c>
      <c r="H1584" t="str">
        <f>VLOOKUP(B1584,[2]Kreise!$A$2:$C$53,3,FALSE)</f>
        <v>K03352</v>
      </c>
      <c r="I1584">
        <f>'2020_5-2-2_Download'!J32</f>
        <v>36.075660893345486</v>
      </c>
    </row>
    <row r="1585" spans="2:9">
      <c r="B1585">
        <f>'2020_5-2-2_Download'!B33</f>
        <v>353</v>
      </c>
      <c r="C1585">
        <f>'2020_5-2-2_Download'!$D$5</f>
        <v>2020</v>
      </c>
      <c r="D1585" t="str">
        <f>VLOOKUP(B1585,[1]Tabelle1!$A$1:$B$68,2,FALSE)</f>
        <v>Harburg</v>
      </c>
      <c r="F1585" t="str">
        <f>'2020_5-2-2_Download'!$J$7</f>
        <v>unbekannt</v>
      </c>
      <c r="G1585" t="s">
        <v>362</v>
      </c>
      <c r="H1585" t="str">
        <f>VLOOKUP(B1585,[2]Kreise!$A$2:$C$53,3,FALSE)</f>
        <v>K03353</v>
      </c>
      <c r="I1585">
        <f>'2020_5-2-2_Download'!J33</f>
        <v>37.773441511759266</v>
      </c>
    </row>
    <row r="1586" spans="2:9">
      <c r="B1586">
        <f>'2020_5-2-2_Download'!B34</f>
        <v>354</v>
      </c>
      <c r="C1586">
        <f>'2020_5-2-2_Download'!$D$5</f>
        <v>2020</v>
      </c>
      <c r="D1586" t="str">
        <f>VLOOKUP(B1586,[1]Tabelle1!$A$1:$B$68,2,FALSE)</f>
        <v>Lüchow-Dannenberg</v>
      </c>
      <c r="F1586" t="str">
        <f>'2020_5-2-2_Download'!$J$7</f>
        <v>unbekannt</v>
      </c>
      <c r="G1586" t="s">
        <v>362</v>
      </c>
      <c r="H1586" t="str">
        <f>VLOOKUP(B1586,[2]Kreise!$A$2:$C$53,3,FALSE)</f>
        <v>K03354</v>
      </c>
      <c r="I1586">
        <f>'2020_5-2-2_Download'!J34</f>
        <v>39.866666666666667</v>
      </c>
    </row>
    <row r="1587" spans="2:9">
      <c r="B1587">
        <f>'2020_5-2-2_Download'!B35</f>
        <v>355</v>
      </c>
      <c r="C1587">
        <f>'2020_5-2-2_Download'!$D$5</f>
        <v>2020</v>
      </c>
      <c r="D1587" t="str">
        <f>VLOOKUP(B1587,[1]Tabelle1!$A$1:$B$68,2,FALSE)</f>
        <v>Lüneburg</v>
      </c>
      <c r="F1587" t="str">
        <f>'2020_5-2-2_Download'!$J$7</f>
        <v>unbekannt</v>
      </c>
      <c r="G1587" t="s">
        <v>362</v>
      </c>
      <c r="H1587" t="str">
        <f>VLOOKUP(B1587,[2]Kreise!$A$2:$C$53,3,FALSE)</f>
        <v>K03355</v>
      </c>
      <c r="I1587">
        <f>'2020_5-2-2_Download'!J35</f>
        <v>26.490066225165563</v>
      </c>
    </row>
    <row r="1588" spans="2:9">
      <c r="B1588">
        <f>'2020_5-2-2_Download'!B36</f>
        <v>356</v>
      </c>
      <c r="C1588">
        <f>'2020_5-2-2_Download'!$D$5</f>
        <v>2020</v>
      </c>
      <c r="D1588" t="str">
        <f>VLOOKUP(B1588,[1]Tabelle1!$A$1:$B$68,2,FALSE)</f>
        <v>Osterholz</v>
      </c>
      <c r="F1588" t="str">
        <f>'2020_5-2-2_Download'!$J$7</f>
        <v>unbekannt</v>
      </c>
      <c r="G1588" t="s">
        <v>362</v>
      </c>
      <c r="H1588" t="str">
        <f>VLOOKUP(B1588,[2]Kreise!$A$2:$C$53,3,FALSE)</f>
        <v>K03356</v>
      </c>
      <c r="I1588">
        <f>'2020_5-2-2_Download'!J36</f>
        <v>28.712871287128714</v>
      </c>
    </row>
    <row r="1589" spans="2:9">
      <c r="B1589">
        <f>'2020_5-2-2_Download'!B37</f>
        <v>357</v>
      </c>
      <c r="C1589">
        <f>'2020_5-2-2_Download'!$D$5</f>
        <v>2020</v>
      </c>
      <c r="D1589" t="str">
        <f>VLOOKUP(B1589,[1]Tabelle1!$A$1:$B$68,2,FALSE)</f>
        <v>Rotenburg (Wümme)</v>
      </c>
      <c r="F1589" t="str">
        <f>'2020_5-2-2_Download'!$J$7</f>
        <v>unbekannt</v>
      </c>
      <c r="G1589" t="s">
        <v>362</v>
      </c>
      <c r="H1589" t="str">
        <f>VLOOKUP(B1589,[2]Kreise!$A$2:$C$53,3,FALSE)</f>
        <v>K03357</v>
      </c>
      <c r="I1589">
        <f>'2020_5-2-2_Download'!J37</f>
        <v>29.22246220302376</v>
      </c>
    </row>
    <row r="1590" spans="2:9">
      <c r="B1590">
        <f>'2020_5-2-2_Download'!B38</f>
        <v>358</v>
      </c>
      <c r="C1590">
        <f>'2020_5-2-2_Download'!$D$5</f>
        <v>2020</v>
      </c>
      <c r="D1590" t="str">
        <f>VLOOKUP(B1590,[1]Tabelle1!$A$1:$B$68,2,FALSE)</f>
        <v>Heidekreis</v>
      </c>
      <c r="F1590" t="str">
        <f>'2020_5-2-2_Download'!$J$7</f>
        <v>unbekannt</v>
      </c>
      <c r="G1590" t="s">
        <v>362</v>
      </c>
      <c r="H1590" t="str">
        <f>VLOOKUP(B1590,[2]Kreise!$A$2:$C$53,3,FALSE)</f>
        <v>K03358</v>
      </c>
      <c r="I1590">
        <f>'2020_5-2-2_Download'!J38</f>
        <v>33.906576806878924</v>
      </c>
    </row>
    <row r="1591" spans="2:9">
      <c r="B1591">
        <f>'2020_5-2-2_Download'!B39</f>
        <v>359</v>
      </c>
      <c r="C1591">
        <f>'2020_5-2-2_Download'!$D$5</f>
        <v>2020</v>
      </c>
      <c r="D1591" t="str">
        <f>VLOOKUP(B1591,[1]Tabelle1!$A$1:$B$68,2,FALSE)</f>
        <v>Stade</v>
      </c>
      <c r="F1591" t="str">
        <f>'2020_5-2-2_Download'!$J$7</f>
        <v>unbekannt</v>
      </c>
      <c r="G1591" t="s">
        <v>362</v>
      </c>
      <c r="H1591" t="str">
        <f>VLOOKUP(B1591,[2]Kreise!$A$2:$C$53,3,FALSE)</f>
        <v>K03359</v>
      </c>
      <c r="I1591">
        <f>'2020_5-2-2_Download'!J39</f>
        <v>43.020088525706505</v>
      </c>
    </row>
    <row r="1592" spans="2:9">
      <c r="B1592">
        <f>'2020_5-2-2_Download'!B40</f>
        <v>360</v>
      </c>
      <c r="C1592">
        <f>'2020_5-2-2_Download'!$D$5</f>
        <v>2020</v>
      </c>
      <c r="D1592" t="str">
        <f>VLOOKUP(B1592,[1]Tabelle1!$A$1:$B$68,2,FALSE)</f>
        <v>Uelzen</v>
      </c>
      <c r="F1592" t="str">
        <f>'2020_5-2-2_Download'!$J$7</f>
        <v>unbekannt</v>
      </c>
      <c r="G1592" t="s">
        <v>362</v>
      </c>
      <c r="H1592" t="str">
        <f>VLOOKUP(B1592,[2]Kreise!$A$2:$C$53,3,FALSE)</f>
        <v>K03360</v>
      </c>
      <c r="I1592">
        <f>'2020_5-2-2_Download'!J40</f>
        <v>28.53745541022592</v>
      </c>
    </row>
    <row r="1593" spans="2:9">
      <c r="B1593">
        <f>'2020_5-2-2_Download'!B41</f>
        <v>361</v>
      </c>
      <c r="C1593">
        <f>'2020_5-2-2_Download'!$D$5</f>
        <v>2020</v>
      </c>
      <c r="D1593" t="str">
        <f>VLOOKUP(B1593,[1]Tabelle1!$A$1:$B$68,2,FALSE)</f>
        <v>Verden</v>
      </c>
      <c r="F1593" t="str">
        <f>'2020_5-2-2_Download'!$J$7</f>
        <v>unbekannt</v>
      </c>
      <c r="G1593" t="s">
        <v>362</v>
      </c>
      <c r="H1593" t="str">
        <f>VLOOKUP(B1593,[2]Kreise!$A$2:$C$53,3,FALSE)</f>
        <v>K03361</v>
      </c>
      <c r="I1593">
        <f>'2020_5-2-2_Download'!J41</f>
        <v>40.415704387990765</v>
      </c>
    </row>
    <row r="1594" spans="2:9">
      <c r="B1594">
        <f>'2020_5-2-2_Download'!B42</f>
        <v>3</v>
      </c>
      <c r="C1594">
        <f>'2020_5-2-2_Download'!$D$5</f>
        <v>2020</v>
      </c>
      <c r="D1594" t="str">
        <f>VLOOKUP(B1594,[1]Tabelle1!$A$1:$B$68,2,FALSE)</f>
        <v>Stat. Region Lüneburg</v>
      </c>
      <c r="F1594" t="str">
        <f>'2020_5-2-2_Download'!$J$7</f>
        <v>unbekannt</v>
      </c>
      <c r="G1594" t="s">
        <v>362</v>
      </c>
      <c r="H1594" t="str">
        <f>VLOOKUP(B1594,[2]Kreise!$A$2:$C$53,3,FALSE)</f>
        <v>K033</v>
      </c>
      <c r="I1594">
        <f>'2020_5-2-2_Download'!J42</f>
        <v>34.58144628011312</v>
      </c>
    </row>
    <row r="1595" spans="2:9">
      <c r="B1595">
        <f>'2020_5-2-2_Download'!B43</f>
        <v>401</v>
      </c>
      <c r="C1595">
        <f>'2020_5-2-2_Download'!$D$5</f>
        <v>2020</v>
      </c>
      <c r="D1595" t="str">
        <f>VLOOKUP(B1595,[1]Tabelle1!$A$1:$B$68,2,FALSE)</f>
        <v>Delmenhorst  Stadt</v>
      </c>
      <c r="F1595" t="str">
        <f>'2020_5-2-2_Download'!$J$7</f>
        <v>unbekannt</v>
      </c>
      <c r="G1595" t="s">
        <v>362</v>
      </c>
      <c r="H1595" t="str">
        <f>VLOOKUP(B1595,[2]Kreise!$A$2:$C$53,3,FALSE)</f>
        <v>K03401</v>
      </c>
      <c r="I1595">
        <f>'2020_5-2-2_Download'!J43</f>
        <v>26.609442060085836</v>
      </c>
    </row>
    <row r="1596" spans="2:9">
      <c r="B1596">
        <f>'2020_5-2-2_Download'!B44</f>
        <v>402</v>
      </c>
      <c r="C1596">
        <f>'2020_5-2-2_Download'!$D$5</f>
        <v>2020</v>
      </c>
      <c r="D1596" t="str">
        <f>VLOOKUP(B1596,[1]Tabelle1!$A$1:$B$68,2,FALSE)</f>
        <v>Emden  Stadt</v>
      </c>
      <c r="F1596" t="str">
        <f>'2020_5-2-2_Download'!$J$7</f>
        <v>unbekannt</v>
      </c>
      <c r="G1596" t="s">
        <v>362</v>
      </c>
      <c r="H1596" t="str">
        <f>VLOOKUP(B1596,[2]Kreise!$A$2:$C$53,3,FALSE)</f>
        <v>K03402</v>
      </c>
      <c r="I1596">
        <f>'2020_5-2-2_Download'!J44</f>
        <v>30.279758639605046</v>
      </c>
    </row>
    <row r="1597" spans="2:9">
      <c r="B1597">
        <f>'2020_5-2-2_Download'!B45</f>
        <v>403</v>
      </c>
      <c r="C1597">
        <f>'2020_5-2-2_Download'!$D$5</f>
        <v>2020</v>
      </c>
      <c r="D1597" t="str">
        <f>VLOOKUP(B1597,[1]Tabelle1!$A$1:$B$68,2,FALSE)</f>
        <v>Oldenburg(Oldb)  Stadt</v>
      </c>
      <c r="F1597" t="str">
        <f>'2020_5-2-2_Download'!$J$7</f>
        <v>unbekannt</v>
      </c>
      <c r="G1597" t="s">
        <v>362</v>
      </c>
      <c r="H1597" t="str">
        <f>VLOOKUP(B1597,[2]Kreise!$A$2:$C$53,3,FALSE)</f>
        <v>K03403</v>
      </c>
      <c r="I1597">
        <f>'2020_5-2-2_Download'!J45</f>
        <v>28.042843232716649</v>
      </c>
    </row>
    <row r="1598" spans="2:9">
      <c r="B1598">
        <f>'2020_5-2-2_Download'!B46</f>
        <v>404</v>
      </c>
      <c r="C1598">
        <f>'2020_5-2-2_Download'!$D$5</f>
        <v>2020</v>
      </c>
      <c r="D1598" t="str">
        <f>VLOOKUP(B1598,[1]Tabelle1!$A$1:$B$68,2,FALSE)</f>
        <v>Osnabrück  Stadt</v>
      </c>
      <c r="F1598" t="str">
        <f>'2020_5-2-2_Download'!$J$7</f>
        <v>unbekannt</v>
      </c>
      <c r="G1598" t="s">
        <v>362</v>
      </c>
      <c r="H1598" t="str">
        <f>VLOOKUP(B1598,[2]Kreise!$A$2:$C$53,3,FALSE)</f>
        <v>K03404</v>
      </c>
      <c r="I1598">
        <f>'2020_5-2-2_Download'!J46</f>
        <v>26.155759014355148</v>
      </c>
    </row>
    <row r="1599" spans="2:9">
      <c r="B1599">
        <f>'2020_5-2-2_Download'!B47</f>
        <v>405</v>
      </c>
      <c r="C1599">
        <f>'2020_5-2-2_Download'!$D$5</f>
        <v>2020</v>
      </c>
      <c r="D1599" t="str">
        <f>VLOOKUP(B1599,[1]Tabelle1!$A$1:$B$68,2,FALSE)</f>
        <v>Wilhelmshaven  Stadt</v>
      </c>
      <c r="F1599" t="str">
        <f>'2020_5-2-2_Download'!$J$7</f>
        <v>unbekannt</v>
      </c>
      <c r="G1599" t="s">
        <v>362</v>
      </c>
      <c r="H1599" t="str">
        <f>VLOOKUP(B1599,[2]Kreise!$A$2:$C$53,3,FALSE)</f>
        <v>K03405</v>
      </c>
      <c r="I1599">
        <f>'2020_5-2-2_Download'!J47</f>
        <v>24.474393530997304</v>
      </c>
    </row>
    <row r="1600" spans="2:9">
      <c r="B1600">
        <f>'2020_5-2-2_Download'!B48</f>
        <v>451</v>
      </c>
      <c r="C1600">
        <f>'2020_5-2-2_Download'!$D$5</f>
        <v>2020</v>
      </c>
      <c r="D1600" t="str">
        <f>VLOOKUP(B1600,[1]Tabelle1!$A$1:$B$68,2,FALSE)</f>
        <v>Ammerland</v>
      </c>
      <c r="F1600" t="str">
        <f>'2020_5-2-2_Download'!$J$7</f>
        <v>unbekannt</v>
      </c>
      <c r="G1600" t="s">
        <v>362</v>
      </c>
      <c r="H1600" t="str">
        <f>VLOOKUP(B1600,[2]Kreise!$A$2:$C$53,3,FALSE)</f>
        <v>K03451</v>
      </c>
      <c r="I1600">
        <f>'2020_5-2-2_Download'!J48</f>
        <v>40.139658078497469</v>
      </c>
    </row>
    <row r="1601" spans="2:9">
      <c r="B1601">
        <f>'2020_5-2-2_Download'!B49</f>
        <v>452</v>
      </c>
      <c r="C1601">
        <f>'2020_5-2-2_Download'!$D$5</f>
        <v>2020</v>
      </c>
      <c r="D1601" t="str">
        <f>VLOOKUP(B1601,[1]Tabelle1!$A$1:$B$68,2,FALSE)</f>
        <v>Aurich</v>
      </c>
      <c r="F1601" t="str">
        <f>'2020_5-2-2_Download'!$J$7</f>
        <v>unbekannt</v>
      </c>
      <c r="G1601" t="s">
        <v>362</v>
      </c>
      <c r="H1601" t="str">
        <f>VLOOKUP(B1601,[2]Kreise!$A$2:$C$53,3,FALSE)</f>
        <v>K03452</v>
      </c>
      <c r="I1601">
        <f>'2020_5-2-2_Download'!J49</f>
        <v>36.07108549471662</v>
      </c>
    </row>
    <row r="1602" spans="2:9">
      <c r="B1602">
        <f>'2020_5-2-2_Download'!B50</f>
        <v>453</v>
      </c>
      <c r="C1602">
        <f>'2020_5-2-2_Download'!$D$5</f>
        <v>2020</v>
      </c>
      <c r="D1602" t="str">
        <f>VLOOKUP(B1602,[1]Tabelle1!$A$1:$B$68,2,FALSE)</f>
        <v>Cloppenburg</v>
      </c>
      <c r="F1602" t="str">
        <f>'2020_5-2-2_Download'!$J$7</f>
        <v>unbekannt</v>
      </c>
      <c r="G1602" t="s">
        <v>362</v>
      </c>
      <c r="H1602" t="str">
        <f>VLOOKUP(B1602,[2]Kreise!$A$2:$C$53,3,FALSE)</f>
        <v>K03453</v>
      </c>
      <c r="I1602">
        <f>'2020_5-2-2_Download'!J50</f>
        <v>46.378856282919486</v>
      </c>
    </row>
    <row r="1603" spans="2:9">
      <c r="B1603">
        <f>'2020_5-2-2_Download'!B51</f>
        <v>454</v>
      </c>
      <c r="C1603">
        <f>'2020_5-2-2_Download'!$D$5</f>
        <v>2020</v>
      </c>
      <c r="D1603" t="str">
        <f>VLOOKUP(B1603,[1]Tabelle1!$A$1:$B$68,2,FALSE)</f>
        <v>Emsland</v>
      </c>
      <c r="F1603" t="str">
        <f>'2020_5-2-2_Download'!$J$7</f>
        <v>unbekannt</v>
      </c>
      <c r="G1603" t="s">
        <v>362</v>
      </c>
      <c r="H1603" t="str">
        <f>VLOOKUP(B1603,[2]Kreise!$A$2:$C$53,3,FALSE)</f>
        <v>K03454</v>
      </c>
      <c r="I1603">
        <f>'2020_5-2-2_Download'!J51</f>
        <v>44.611478586223022</v>
      </c>
    </row>
    <row r="1604" spans="2:9">
      <c r="B1604">
        <f>'2020_5-2-2_Download'!B52</f>
        <v>455</v>
      </c>
      <c r="C1604">
        <f>'2020_5-2-2_Download'!$D$5</f>
        <v>2020</v>
      </c>
      <c r="D1604" t="str">
        <f>VLOOKUP(B1604,[1]Tabelle1!$A$1:$B$68,2,FALSE)</f>
        <v>Friesland</v>
      </c>
      <c r="F1604" t="str">
        <f>'2020_5-2-2_Download'!$J$7</f>
        <v>unbekannt</v>
      </c>
      <c r="G1604" t="s">
        <v>362</v>
      </c>
      <c r="H1604" t="str">
        <f>VLOOKUP(B1604,[2]Kreise!$A$2:$C$53,3,FALSE)</f>
        <v>K03455</v>
      </c>
      <c r="I1604">
        <f>'2020_5-2-2_Download'!J52</f>
        <v>34.973753280839894</v>
      </c>
    </row>
    <row r="1605" spans="2:9">
      <c r="B1605">
        <f>'2020_5-2-2_Download'!B53</f>
        <v>456</v>
      </c>
      <c r="C1605">
        <f>'2020_5-2-2_Download'!$D$5</f>
        <v>2020</v>
      </c>
      <c r="D1605" t="str">
        <f>VLOOKUP(B1605,[1]Tabelle1!$A$1:$B$68,2,FALSE)</f>
        <v>Grafschaft Bentheim</v>
      </c>
      <c r="F1605" t="str">
        <f>'2020_5-2-2_Download'!$J$7</f>
        <v>unbekannt</v>
      </c>
      <c r="G1605" t="s">
        <v>362</v>
      </c>
      <c r="H1605" t="str">
        <f>VLOOKUP(B1605,[2]Kreise!$A$2:$C$53,3,FALSE)</f>
        <v>K03456</v>
      </c>
      <c r="I1605">
        <f>'2020_5-2-2_Download'!J53</f>
        <v>34.594127806563037</v>
      </c>
    </row>
    <row r="1606" spans="2:9">
      <c r="B1606">
        <f>'2020_5-2-2_Download'!B54</f>
        <v>457</v>
      </c>
      <c r="C1606">
        <f>'2020_5-2-2_Download'!$D$5</f>
        <v>2020</v>
      </c>
      <c r="D1606" t="str">
        <f>VLOOKUP(B1606,[1]Tabelle1!$A$1:$B$68,2,FALSE)</f>
        <v>Leer</v>
      </c>
      <c r="F1606" t="str">
        <f>'2020_5-2-2_Download'!$J$7</f>
        <v>unbekannt</v>
      </c>
      <c r="G1606" t="s">
        <v>362</v>
      </c>
      <c r="H1606" t="str">
        <f>VLOOKUP(B1606,[2]Kreise!$A$2:$C$53,3,FALSE)</f>
        <v>K03457</v>
      </c>
      <c r="I1606">
        <f>'2020_5-2-2_Download'!J54</f>
        <v>43.467870419543281</v>
      </c>
    </row>
    <row r="1607" spans="2:9">
      <c r="B1607">
        <f>'2020_5-2-2_Download'!B55</f>
        <v>458</v>
      </c>
      <c r="C1607">
        <f>'2020_5-2-2_Download'!$D$5</f>
        <v>2020</v>
      </c>
      <c r="D1607" t="str">
        <f>VLOOKUP(B1607,[1]Tabelle1!$A$1:$B$68,2,FALSE)</f>
        <v>Oldenburg</v>
      </c>
      <c r="F1607" t="str">
        <f>'2020_5-2-2_Download'!$J$7</f>
        <v>unbekannt</v>
      </c>
      <c r="G1607" t="s">
        <v>362</v>
      </c>
      <c r="H1607" t="str">
        <f>VLOOKUP(B1607,[2]Kreise!$A$2:$C$53,3,FALSE)</f>
        <v>K03458</v>
      </c>
      <c r="I1607">
        <f>'2020_5-2-2_Download'!J55</f>
        <v>41.254554919312859</v>
      </c>
    </row>
    <row r="1608" spans="2:9">
      <c r="B1608">
        <f>'2020_5-2-2_Download'!B56</f>
        <v>459</v>
      </c>
      <c r="C1608">
        <f>'2020_5-2-2_Download'!$D$5</f>
        <v>2020</v>
      </c>
      <c r="D1608" t="str">
        <f>VLOOKUP(B1608,[1]Tabelle1!$A$1:$B$68,2,FALSE)</f>
        <v>Osnabrück</v>
      </c>
      <c r="F1608" t="str">
        <f>'2020_5-2-2_Download'!$J$7</f>
        <v>unbekannt</v>
      </c>
      <c r="G1608" t="s">
        <v>362</v>
      </c>
      <c r="H1608" t="str">
        <f>VLOOKUP(B1608,[2]Kreise!$A$2:$C$53,3,FALSE)</f>
        <v>K03459</v>
      </c>
      <c r="I1608">
        <f>'2020_5-2-2_Download'!J56</f>
        <v>47.179081719094142</v>
      </c>
    </row>
    <row r="1609" spans="2:9">
      <c r="B1609">
        <f>'2020_5-2-2_Download'!B57</f>
        <v>460</v>
      </c>
      <c r="C1609">
        <f>'2020_5-2-2_Download'!$D$5</f>
        <v>2020</v>
      </c>
      <c r="D1609" t="str">
        <f>VLOOKUP(B1609,[1]Tabelle1!$A$1:$B$68,2,FALSE)</f>
        <v>Vechta</v>
      </c>
      <c r="F1609" t="str">
        <f>'2020_5-2-2_Download'!$J$7</f>
        <v>unbekannt</v>
      </c>
      <c r="G1609" t="s">
        <v>362</v>
      </c>
      <c r="H1609" t="str">
        <f>VLOOKUP(B1609,[2]Kreise!$A$2:$C$53,3,FALSE)</f>
        <v>K03460</v>
      </c>
      <c r="I1609">
        <f>'2020_5-2-2_Download'!J57</f>
        <v>46.925479696564032</v>
      </c>
    </row>
    <row r="1610" spans="2:9">
      <c r="B1610">
        <f>'2020_5-2-2_Download'!B58</f>
        <v>461</v>
      </c>
      <c r="C1610">
        <f>'2020_5-2-2_Download'!$D$5</f>
        <v>2020</v>
      </c>
      <c r="D1610" t="str">
        <f>VLOOKUP(B1610,[1]Tabelle1!$A$1:$B$68,2,FALSE)</f>
        <v>Wesermarsch</v>
      </c>
      <c r="F1610" t="str">
        <f>'2020_5-2-2_Download'!$J$7</f>
        <v>unbekannt</v>
      </c>
      <c r="G1610" t="s">
        <v>362</v>
      </c>
      <c r="H1610" t="str">
        <f>VLOOKUP(B1610,[2]Kreise!$A$2:$C$53,3,FALSE)</f>
        <v>K03461</v>
      </c>
      <c r="I1610">
        <f>'2020_5-2-2_Download'!J58</f>
        <v>36.606786427145707</v>
      </c>
    </row>
    <row r="1611" spans="2:9">
      <c r="B1611">
        <f>'2020_5-2-2_Download'!B59</f>
        <v>462</v>
      </c>
      <c r="C1611">
        <f>'2020_5-2-2_Download'!$D$5</f>
        <v>2020</v>
      </c>
      <c r="D1611" t="str">
        <f>VLOOKUP(B1611,[1]Tabelle1!$A$1:$B$68,2,FALSE)</f>
        <v>Wittmund</v>
      </c>
      <c r="F1611" t="str">
        <f>'2020_5-2-2_Download'!$J$7</f>
        <v>unbekannt</v>
      </c>
      <c r="G1611" t="s">
        <v>362</v>
      </c>
      <c r="H1611" t="str">
        <f>VLOOKUP(B1611,[2]Kreise!$A$2:$C$53,3,FALSE)</f>
        <v>K03462</v>
      </c>
      <c r="I1611">
        <f>'2020_5-2-2_Download'!J59</f>
        <v>49.458874458874462</v>
      </c>
    </row>
    <row r="1612" spans="2:9">
      <c r="B1612">
        <f>'2020_5-2-2_Download'!B60</f>
        <v>4</v>
      </c>
      <c r="C1612">
        <f>'2020_5-2-2_Download'!$D$5</f>
        <v>2020</v>
      </c>
      <c r="D1612" t="str">
        <f>VLOOKUP(B1612,[1]Tabelle1!$A$1:$B$68,2,FALSE)</f>
        <v>Stat. Region Weser-Ems</v>
      </c>
      <c r="F1612" t="str">
        <f>'2020_5-2-2_Download'!$J$7</f>
        <v>unbekannt</v>
      </c>
      <c r="G1612" t="s">
        <v>362</v>
      </c>
      <c r="H1612" t="str">
        <f>VLOOKUP(B1612,[2]Kreise!$A$2:$C$53,3,FALSE)</f>
        <v>K034</v>
      </c>
      <c r="I1612">
        <f>'2020_5-2-2_Download'!J60</f>
        <v>40.366656836724665</v>
      </c>
    </row>
    <row r="1613" spans="2:9">
      <c r="B1613">
        <f>'2020_5-2-2_Download'!B61</f>
        <v>0</v>
      </c>
      <c r="C1613">
        <f>'2020_5-2-2_Download'!$D$5</f>
        <v>2020</v>
      </c>
      <c r="D1613" t="str">
        <f>VLOOKUP(B1613,[1]Tabelle1!$A$1:$B$68,2,FALSE)</f>
        <v>Niedersachsen</v>
      </c>
      <c r="F1613" t="str">
        <f>'2020_5-2-2_Download'!$J$7</f>
        <v>unbekannt</v>
      </c>
      <c r="G1613" t="s">
        <v>362</v>
      </c>
      <c r="H1613" t="str">
        <f>VLOOKUP(B1613,[2]Kreise!$A$2:$C$53,3,FALSE)</f>
        <v>K030</v>
      </c>
      <c r="I1613">
        <f>'2020_5-2-2_Download'!J61</f>
        <v>32.265119132905774</v>
      </c>
    </row>
    <row r="1614" spans="2:9">
      <c r="B1614">
        <f>'2020_5-2-2_Download'!B10</f>
        <v>101</v>
      </c>
      <c r="C1614">
        <f>'2020_5-2-2_Download'!$K$5</f>
        <v>2019</v>
      </c>
      <c r="D1614" t="str">
        <f>VLOOKUP(B1614,[1]Tabelle1!$A$1:$B$68,2,FALSE)</f>
        <v>Braunschweig  Stadt</v>
      </c>
      <c r="F1614" t="str">
        <f>'2020_5-2-2_Download'!$N$7</f>
        <v>hoch</v>
      </c>
      <c r="G1614" t="s">
        <v>362</v>
      </c>
      <c r="H1614" t="str">
        <f>VLOOKUP(B1614,[2]Kreise!$A$2:$C$53,3,FALSE)</f>
        <v>K03101</v>
      </c>
      <c r="I1614">
        <f>'2020_5-2-2_Download'!N10</f>
        <v>23.438200233037556</v>
      </c>
    </row>
    <row r="1615" spans="2:9">
      <c r="B1615">
        <f>'2020_5-2-2_Download'!B11</f>
        <v>102</v>
      </c>
      <c r="C1615">
        <f>'2020_5-2-2_Download'!$K$5</f>
        <v>2019</v>
      </c>
      <c r="D1615" t="str">
        <f>VLOOKUP(B1615,[1]Tabelle1!$A$1:$B$68,2,FALSE)</f>
        <v>Salzgitter  Stadt</v>
      </c>
      <c r="F1615" t="str">
        <f>'2020_5-2-2_Download'!$N$7</f>
        <v>hoch</v>
      </c>
      <c r="G1615" t="s">
        <v>362</v>
      </c>
      <c r="H1615" t="str">
        <f>VLOOKUP(B1615,[2]Kreise!$A$2:$C$53,3,FALSE)</f>
        <v>K03102</v>
      </c>
      <c r="I1615">
        <f>'2020_5-2-2_Download'!N11</f>
        <v>8.5317042342532119</v>
      </c>
    </row>
    <row r="1616" spans="2:9">
      <c r="B1616">
        <f>'2020_5-2-2_Download'!B12</f>
        <v>103</v>
      </c>
      <c r="C1616">
        <f>'2020_5-2-2_Download'!$K$5</f>
        <v>2019</v>
      </c>
      <c r="D1616" t="str">
        <f>VLOOKUP(B1616,[1]Tabelle1!$A$1:$B$68,2,FALSE)</f>
        <v>Wolfsburg  Stadt</v>
      </c>
      <c r="F1616" t="str">
        <f>'2020_5-2-2_Download'!$N$7</f>
        <v>hoch</v>
      </c>
      <c r="G1616" t="s">
        <v>362</v>
      </c>
      <c r="H1616" t="str">
        <f>VLOOKUP(B1616,[2]Kreise!$A$2:$C$53,3,FALSE)</f>
        <v>K03103</v>
      </c>
      <c r="I1616">
        <f>'2020_5-2-2_Download'!N12</f>
        <v>23.930793157076206</v>
      </c>
    </row>
    <row r="1617" spans="2:9">
      <c r="B1617">
        <f>'2020_5-2-2_Download'!B13</f>
        <v>151</v>
      </c>
      <c r="C1617">
        <f>'2020_5-2-2_Download'!$K$5</f>
        <v>2019</v>
      </c>
      <c r="D1617" t="str">
        <f>VLOOKUP(B1617,[1]Tabelle1!$A$1:$B$68,2,FALSE)</f>
        <v>Gifhorn</v>
      </c>
      <c r="F1617" t="str">
        <f>'2020_5-2-2_Download'!$N$7</f>
        <v>hoch</v>
      </c>
      <c r="G1617" t="s">
        <v>362</v>
      </c>
      <c r="H1617" t="str">
        <f>VLOOKUP(B1617,[2]Kreise!$A$2:$C$53,3,FALSE)</f>
        <v>K03151</v>
      </c>
      <c r="I1617">
        <f>'2020_5-2-2_Download'!N13</f>
        <v>16.710526315789473</v>
      </c>
    </row>
    <row r="1618" spans="2:9">
      <c r="B1618">
        <f>'2020_5-2-2_Download'!B14</f>
        <v>153</v>
      </c>
      <c r="C1618">
        <f>'2020_5-2-2_Download'!$K$5</f>
        <v>2019</v>
      </c>
      <c r="D1618" t="str">
        <f>VLOOKUP(B1618,[1]Tabelle1!$A$1:$B$68,2,FALSE)</f>
        <v>Goslar</v>
      </c>
      <c r="F1618" t="str">
        <f>'2020_5-2-2_Download'!$N$7</f>
        <v>hoch</v>
      </c>
      <c r="G1618" t="s">
        <v>362</v>
      </c>
      <c r="H1618" t="str">
        <f>VLOOKUP(B1618,[2]Kreise!$A$2:$C$53,3,FALSE)</f>
        <v>K03153</v>
      </c>
      <c r="I1618">
        <f>'2020_5-2-2_Download'!N14</f>
        <v>16.67201025969862</v>
      </c>
    </row>
    <row r="1619" spans="2:9">
      <c r="B1619">
        <f>'2020_5-2-2_Download'!B15</f>
        <v>154</v>
      </c>
      <c r="C1619">
        <f>'2020_5-2-2_Download'!$K$5</f>
        <v>2019</v>
      </c>
      <c r="D1619" t="str">
        <f>VLOOKUP(B1619,[1]Tabelle1!$A$1:$B$68,2,FALSE)</f>
        <v>Helmstedt</v>
      </c>
      <c r="F1619" t="str">
        <f>'2020_5-2-2_Download'!$N$7</f>
        <v>hoch</v>
      </c>
      <c r="G1619" t="s">
        <v>362</v>
      </c>
      <c r="H1619" t="str">
        <f>VLOOKUP(B1619,[2]Kreise!$A$2:$C$53,3,FALSE)</f>
        <v>K03154</v>
      </c>
      <c r="I1619">
        <f>'2020_5-2-2_Download'!N15</f>
        <v>12.780989081567116</v>
      </c>
    </row>
    <row r="1620" spans="2:9">
      <c r="B1620">
        <f>'2020_5-2-2_Download'!B16</f>
        <v>155</v>
      </c>
      <c r="C1620">
        <f>'2020_5-2-2_Download'!$K$5</f>
        <v>2019</v>
      </c>
      <c r="D1620" t="str">
        <f>VLOOKUP(B1620,[1]Tabelle1!$A$1:$B$68,2,FALSE)</f>
        <v>Northeim</v>
      </c>
      <c r="F1620" t="str">
        <f>'2020_5-2-2_Download'!$N$7</f>
        <v>hoch</v>
      </c>
      <c r="G1620" t="s">
        <v>362</v>
      </c>
      <c r="H1620" t="str">
        <f>VLOOKUP(B1620,[2]Kreise!$A$2:$C$53,3,FALSE)</f>
        <v>K03155</v>
      </c>
      <c r="I1620">
        <f>'2020_5-2-2_Download'!N16</f>
        <v>9.6239265620373118</v>
      </c>
    </row>
    <row r="1621" spans="2:9">
      <c r="B1621">
        <f>'2020_5-2-2_Download'!B17</f>
        <v>157</v>
      </c>
      <c r="C1621">
        <f>'2020_5-2-2_Download'!$K$5</f>
        <v>2019</v>
      </c>
      <c r="D1621" t="str">
        <f>VLOOKUP(B1621,[1]Tabelle1!$A$1:$B$68,2,FALSE)</f>
        <v>Peine</v>
      </c>
      <c r="F1621" t="str">
        <f>'2020_5-2-2_Download'!$N$7</f>
        <v>hoch</v>
      </c>
      <c r="G1621" t="s">
        <v>362</v>
      </c>
      <c r="H1621" t="str">
        <f>VLOOKUP(B1621,[2]Kreise!$A$2:$C$53,3,FALSE)</f>
        <v>K03157</v>
      </c>
      <c r="I1621">
        <f>'2020_5-2-2_Download'!N17</f>
        <v>6.0578931662190394</v>
      </c>
    </row>
    <row r="1622" spans="2:9">
      <c r="B1622">
        <f>'2020_5-2-2_Download'!B18</f>
        <v>158</v>
      </c>
      <c r="C1622">
        <f>'2020_5-2-2_Download'!$K$5</f>
        <v>2019</v>
      </c>
      <c r="D1622" t="str">
        <f>VLOOKUP(B1622,[1]Tabelle1!$A$1:$B$68,2,FALSE)</f>
        <v>Wolfenbüttel</v>
      </c>
      <c r="F1622" t="str">
        <f>'2020_5-2-2_Download'!$N$7</f>
        <v>hoch</v>
      </c>
      <c r="G1622" t="s">
        <v>362</v>
      </c>
      <c r="H1622" t="str">
        <f>VLOOKUP(B1622,[2]Kreise!$A$2:$C$53,3,FALSE)</f>
        <v>K03158</v>
      </c>
      <c r="I1622">
        <f>'2020_5-2-2_Download'!N18</f>
        <v>12.781456953642385</v>
      </c>
    </row>
    <row r="1623" spans="2:9">
      <c r="B1623">
        <f>'2020_5-2-2_Download'!B19</f>
        <v>159</v>
      </c>
      <c r="C1623">
        <f>'2020_5-2-2_Download'!$K$5</f>
        <v>2019</v>
      </c>
      <c r="D1623" t="str">
        <f>VLOOKUP(B1623,[1]Tabelle1!$A$1:$B$68,2,FALSE)</f>
        <v>Göttingen</v>
      </c>
      <c r="F1623" t="str">
        <f>'2020_5-2-2_Download'!$N$7</f>
        <v>hoch</v>
      </c>
      <c r="G1623" t="s">
        <v>362</v>
      </c>
      <c r="H1623" t="str">
        <f>VLOOKUP(B1623,[2]Kreise!$A$2:$C$53,3,FALSE)</f>
        <v>K03159</v>
      </c>
      <c r="I1623">
        <f>'2020_5-2-2_Download'!N19</f>
        <v>28.582010582010582</v>
      </c>
    </row>
    <row r="1624" spans="2:9">
      <c r="B1624">
        <f>'2020_5-2-2_Download'!B20</f>
        <v>1</v>
      </c>
      <c r="C1624">
        <f>'2020_5-2-2_Download'!$K$5</f>
        <v>2019</v>
      </c>
      <c r="D1624" t="str">
        <f>VLOOKUP(B1624,[1]Tabelle1!$A$1:$B$68,2,FALSE)</f>
        <v>Stat. Region Braunschweig</v>
      </c>
      <c r="F1624" t="str">
        <f>'2020_5-2-2_Download'!$N$7</f>
        <v>hoch</v>
      </c>
      <c r="G1624" t="s">
        <v>362</v>
      </c>
      <c r="H1624" t="str">
        <f>VLOOKUP(B1624,[2]Kreise!$A$2:$C$53,3,FALSE)</f>
        <v>K031</v>
      </c>
      <c r="I1624">
        <f>'2020_5-2-2_Download'!N20</f>
        <v>19.635243042096288</v>
      </c>
    </row>
    <row r="1625" spans="2:9">
      <c r="B1625">
        <f>'2020_5-2-2_Download'!B21</f>
        <v>241</v>
      </c>
      <c r="C1625">
        <f>'2020_5-2-2_Download'!$K$5</f>
        <v>2019</v>
      </c>
      <c r="D1625" t="str">
        <f>VLOOKUP(B1625,[1]Tabelle1!$A$1:$B$68,2,FALSE)</f>
        <v>Hannover  Region</v>
      </c>
      <c r="F1625" t="str">
        <f>'2020_5-2-2_Download'!$N$7</f>
        <v>hoch</v>
      </c>
      <c r="G1625" t="s">
        <v>362</v>
      </c>
      <c r="H1625" t="str">
        <f>VLOOKUP(B1625,[2]Kreise!$A$2:$C$53,3,FALSE)</f>
        <v>K03241</v>
      </c>
      <c r="I1625">
        <f>'2020_5-2-2_Download'!N21</f>
        <v>13.260450796055123</v>
      </c>
    </row>
    <row r="1626" spans="2:9">
      <c r="B1626">
        <f>'2020_5-2-2_Download'!B22</f>
        <v>241001</v>
      </c>
      <c r="C1626">
        <f>'2020_5-2-2_Download'!$K$5</f>
        <v>2019</v>
      </c>
      <c r="D1626" t="str">
        <f>VLOOKUP(B1626,[1]Tabelle1!$A$1:$B$68,2,FALSE)</f>
        <v>dav. Hannover  Lhst.</v>
      </c>
      <c r="F1626" t="str">
        <f>'2020_5-2-2_Download'!$N$7</f>
        <v>hoch</v>
      </c>
      <c r="G1626" t="s">
        <v>362</v>
      </c>
      <c r="H1626" t="str">
        <f>VLOOKUP(B1626,[2]Kreise!$A$2:$C$53,3,FALSE)</f>
        <v>K03241001</v>
      </c>
      <c r="I1626">
        <f>'2020_5-2-2_Download'!N22</f>
        <v>16.441605839416059</v>
      </c>
    </row>
    <row r="1627" spans="2:9">
      <c r="B1627">
        <f>'2020_5-2-2_Download'!B23</f>
        <v>241999</v>
      </c>
      <c r="C1627">
        <f>'2020_5-2-2_Download'!$K$5</f>
        <v>2019</v>
      </c>
      <c r="D1627" t="str">
        <f>VLOOKUP(B1627,[1]Tabelle1!$A$1:$B$68,2,FALSE)</f>
        <v>dav. Hannover  Umland</v>
      </c>
      <c r="F1627" t="str">
        <f>'2020_5-2-2_Download'!$N$7</f>
        <v>hoch</v>
      </c>
      <c r="G1627" t="s">
        <v>362</v>
      </c>
      <c r="H1627" t="str">
        <f>VLOOKUP(B1627,[2]Kreise!$A$2:$C$53,3,FALSE)</f>
        <v>K03241999</v>
      </c>
      <c r="I1627">
        <f>'2020_5-2-2_Download'!N23</f>
        <v>7.8071233856191622</v>
      </c>
    </row>
    <row r="1628" spans="2:9">
      <c r="B1628">
        <f>'2020_5-2-2_Download'!B24</f>
        <v>251</v>
      </c>
      <c r="C1628">
        <f>'2020_5-2-2_Download'!$K$5</f>
        <v>2019</v>
      </c>
      <c r="D1628" t="str">
        <f>VLOOKUP(B1628,[1]Tabelle1!$A$1:$B$68,2,FALSE)</f>
        <v>Diepholz</v>
      </c>
      <c r="F1628" t="str">
        <f>'2020_5-2-2_Download'!$N$7</f>
        <v>hoch</v>
      </c>
      <c r="G1628" t="s">
        <v>362</v>
      </c>
      <c r="H1628" t="str">
        <f>VLOOKUP(B1628,[2]Kreise!$A$2:$C$53,3,FALSE)</f>
        <v>K03251</v>
      </c>
      <c r="I1628">
        <f>'2020_5-2-2_Download'!N24</f>
        <v>7.0395371263259401</v>
      </c>
    </row>
    <row r="1629" spans="2:9">
      <c r="B1629">
        <f>'2020_5-2-2_Download'!B25</f>
        <v>252</v>
      </c>
      <c r="C1629">
        <f>'2020_5-2-2_Download'!$K$5</f>
        <v>2019</v>
      </c>
      <c r="D1629" t="str">
        <f>VLOOKUP(B1629,[1]Tabelle1!$A$1:$B$68,2,FALSE)</f>
        <v>Hameln-Pyrmont</v>
      </c>
      <c r="F1629" t="str">
        <f>'2020_5-2-2_Download'!$N$7</f>
        <v>hoch</v>
      </c>
      <c r="G1629" t="s">
        <v>362</v>
      </c>
      <c r="H1629" t="str">
        <f>VLOOKUP(B1629,[2]Kreise!$A$2:$C$53,3,FALSE)</f>
        <v>K03252</v>
      </c>
      <c r="I1629">
        <f>'2020_5-2-2_Download'!N25</f>
        <v>10.784797630799606</v>
      </c>
    </row>
    <row r="1630" spans="2:9">
      <c r="B1630">
        <f>'2020_5-2-2_Download'!B26</f>
        <v>254</v>
      </c>
      <c r="C1630">
        <f>'2020_5-2-2_Download'!$K$5</f>
        <v>2019</v>
      </c>
      <c r="D1630" t="str">
        <f>VLOOKUP(B1630,[1]Tabelle1!$A$1:$B$68,2,FALSE)</f>
        <v>Hildesheim</v>
      </c>
      <c r="F1630" t="str">
        <f>'2020_5-2-2_Download'!$N$7</f>
        <v>hoch</v>
      </c>
      <c r="G1630" t="s">
        <v>362</v>
      </c>
      <c r="H1630" t="str">
        <f>VLOOKUP(B1630,[2]Kreise!$A$2:$C$53,3,FALSE)</f>
        <v>K03254</v>
      </c>
      <c r="I1630">
        <f>'2020_5-2-2_Download'!N26</f>
        <v>16.739025566811385</v>
      </c>
    </row>
    <row r="1631" spans="2:9">
      <c r="B1631">
        <f>'2020_5-2-2_Download'!B27</f>
        <v>255</v>
      </c>
      <c r="C1631">
        <f>'2020_5-2-2_Download'!$K$5</f>
        <v>2019</v>
      </c>
      <c r="D1631" t="str">
        <f>VLOOKUP(B1631,[1]Tabelle1!$A$1:$B$68,2,FALSE)</f>
        <v>Holzminden</v>
      </c>
      <c r="F1631" t="str">
        <f>'2020_5-2-2_Download'!$N$7</f>
        <v>hoch</v>
      </c>
      <c r="G1631" t="s">
        <v>362</v>
      </c>
      <c r="H1631" t="str">
        <f>VLOOKUP(B1631,[2]Kreise!$A$2:$C$53,3,FALSE)</f>
        <v>K03255</v>
      </c>
      <c r="I1631">
        <f>'2020_5-2-2_Download'!N27</f>
        <v>12.737508796622096</v>
      </c>
    </row>
    <row r="1632" spans="2:9">
      <c r="B1632">
        <f>'2020_5-2-2_Download'!B28</f>
        <v>256</v>
      </c>
      <c r="C1632">
        <f>'2020_5-2-2_Download'!$K$5</f>
        <v>2019</v>
      </c>
      <c r="D1632" t="str">
        <f>VLOOKUP(B1632,[1]Tabelle1!$A$1:$B$68,2,FALSE)</f>
        <v>Nienburg (Weser)</v>
      </c>
      <c r="F1632" t="str">
        <f>'2020_5-2-2_Download'!$N$7</f>
        <v>hoch</v>
      </c>
      <c r="G1632" t="s">
        <v>362</v>
      </c>
      <c r="H1632" t="str">
        <f>VLOOKUP(B1632,[2]Kreise!$A$2:$C$53,3,FALSE)</f>
        <v>K03256</v>
      </c>
      <c r="I1632">
        <f>'2020_5-2-2_Download'!N28</f>
        <v>5.7732926543065011</v>
      </c>
    </row>
    <row r="1633" spans="2:9">
      <c r="B1633">
        <f>'2020_5-2-2_Download'!B29</f>
        <v>257</v>
      </c>
      <c r="C1633">
        <f>'2020_5-2-2_Download'!$K$5</f>
        <v>2019</v>
      </c>
      <c r="D1633" t="str">
        <f>VLOOKUP(B1633,[1]Tabelle1!$A$1:$B$68,2,FALSE)</f>
        <v>Schaumburg</v>
      </c>
      <c r="F1633" t="str">
        <f>'2020_5-2-2_Download'!$N$7</f>
        <v>hoch</v>
      </c>
      <c r="G1633" t="s">
        <v>362</v>
      </c>
      <c r="H1633" t="str">
        <f>VLOOKUP(B1633,[2]Kreise!$A$2:$C$53,3,FALSE)</f>
        <v>K03257</v>
      </c>
      <c r="I1633">
        <f>'2020_5-2-2_Download'!N29</f>
        <v>8.6473298997018162</v>
      </c>
    </row>
    <row r="1634" spans="2:9">
      <c r="B1634">
        <f>'2020_5-2-2_Download'!B30</f>
        <v>2</v>
      </c>
      <c r="C1634">
        <f>'2020_5-2-2_Download'!$K$5</f>
        <v>2019</v>
      </c>
      <c r="D1634" t="str">
        <f>VLOOKUP(B1634,[1]Tabelle1!$A$1:$B$68,2,FALSE)</f>
        <v>Stat. Region Hannover</v>
      </c>
      <c r="F1634" t="str">
        <f>'2020_5-2-2_Download'!$N$7</f>
        <v>hoch</v>
      </c>
      <c r="G1634" t="s">
        <v>362</v>
      </c>
      <c r="H1634" t="str">
        <f>VLOOKUP(B1634,[2]Kreise!$A$2:$C$53,3,FALSE)</f>
        <v>K032</v>
      </c>
      <c r="I1634">
        <f>'2020_5-2-2_Download'!N30</f>
        <v>12.373991062458863</v>
      </c>
    </row>
    <row r="1635" spans="2:9">
      <c r="B1635">
        <f>'2020_5-2-2_Download'!B31</f>
        <v>351</v>
      </c>
      <c r="C1635">
        <f>'2020_5-2-2_Download'!$K$5</f>
        <v>2019</v>
      </c>
      <c r="D1635" t="str">
        <f>VLOOKUP(B1635,[1]Tabelle1!$A$1:$B$68,2,FALSE)</f>
        <v>Celle</v>
      </c>
      <c r="F1635" t="str">
        <f>'2020_5-2-2_Download'!$N$7</f>
        <v>hoch</v>
      </c>
      <c r="G1635" t="s">
        <v>362</v>
      </c>
      <c r="H1635" t="str">
        <f>VLOOKUP(B1635,[2]Kreise!$A$2:$C$53,3,FALSE)</f>
        <v>K03351</v>
      </c>
      <c r="I1635">
        <f>'2020_5-2-2_Download'!N31</f>
        <v>14.088900441902782</v>
      </c>
    </row>
    <row r="1636" spans="2:9">
      <c r="B1636">
        <f>'2020_5-2-2_Download'!B32</f>
        <v>352</v>
      </c>
      <c r="C1636">
        <f>'2020_5-2-2_Download'!$K$5</f>
        <v>2019</v>
      </c>
      <c r="D1636" t="str">
        <f>VLOOKUP(B1636,[1]Tabelle1!$A$1:$B$68,2,FALSE)</f>
        <v>Cuxhaven</v>
      </c>
      <c r="F1636" t="str">
        <f>'2020_5-2-2_Download'!$N$7</f>
        <v>hoch</v>
      </c>
      <c r="G1636" t="s">
        <v>362</v>
      </c>
      <c r="H1636" t="str">
        <f>VLOOKUP(B1636,[2]Kreise!$A$2:$C$53,3,FALSE)</f>
        <v>K03352</v>
      </c>
      <c r="I1636">
        <f>'2020_5-2-2_Download'!N32</f>
        <v>6.4289066166119193</v>
      </c>
    </row>
    <row r="1637" spans="2:9">
      <c r="B1637">
        <f>'2020_5-2-2_Download'!B33</f>
        <v>353</v>
      </c>
      <c r="C1637">
        <f>'2020_5-2-2_Download'!$K$5</f>
        <v>2019</v>
      </c>
      <c r="D1637" t="str">
        <f>VLOOKUP(B1637,[1]Tabelle1!$A$1:$B$68,2,FALSE)</f>
        <v>Harburg</v>
      </c>
      <c r="F1637" t="str">
        <f>'2020_5-2-2_Download'!$N$7</f>
        <v>hoch</v>
      </c>
      <c r="G1637" t="s">
        <v>362</v>
      </c>
      <c r="H1637" t="str">
        <f>VLOOKUP(B1637,[2]Kreise!$A$2:$C$53,3,FALSE)</f>
        <v>K03353</v>
      </c>
      <c r="I1637">
        <f>'2020_5-2-2_Download'!N33</f>
        <v>7.0402298850574709</v>
      </c>
    </row>
    <row r="1638" spans="2:9">
      <c r="B1638">
        <f>'2020_5-2-2_Download'!B34</f>
        <v>354</v>
      </c>
      <c r="C1638">
        <f>'2020_5-2-2_Download'!$K$5</f>
        <v>2019</v>
      </c>
      <c r="D1638" t="str">
        <f>VLOOKUP(B1638,[1]Tabelle1!$A$1:$B$68,2,FALSE)</f>
        <v>Lüchow-Dannenberg</v>
      </c>
      <c r="F1638" t="str">
        <f>'2020_5-2-2_Download'!$N$7</f>
        <v>hoch</v>
      </c>
      <c r="G1638" t="s">
        <v>362</v>
      </c>
      <c r="H1638" t="str">
        <f>VLOOKUP(B1638,[2]Kreise!$A$2:$C$53,3,FALSE)</f>
        <v>K03354</v>
      </c>
      <c r="I1638">
        <f>'2020_5-2-2_Download'!N34</f>
        <v>9.5371669004207575</v>
      </c>
    </row>
    <row r="1639" spans="2:9">
      <c r="B1639">
        <f>'2020_5-2-2_Download'!B35</f>
        <v>355</v>
      </c>
      <c r="C1639">
        <f>'2020_5-2-2_Download'!$K$5</f>
        <v>2019</v>
      </c>
      <c r="D1639" t="str">
        <f>VLOOKUP(B1639,[1]Tabelle1!$A$1:$B$68,2,FALSE)</f>
        <v>Lüneburg</v>
      </c>
      <c r="F1639" t="str">
        <f>'2020_5-2-2_Download'!$N$7</f>
        <v>hoch</v>
      </c>
      <c r="G1639" t="s">
        <v>362</v>
      </c>
      <c r="H1639" t="str">
        <f>VLOOKUP(B1639,[2]Kreise!$A$2:$C$53,3,FALSE)</f>
        <v>K03355</v>
      </c>
      <c r="I1639">
        <f>'2020_5-2-2_Download'!N35</f>
        <v>13.553676658980272</v>
      </c>
    </row>
    <row r="1640" spans="2:9">
      <c r="B1640">
        <f>'2020_5-2-2_Download'!B36</f>
        <v>356</v>
      </c>
      <c r="C1640">
        <f>'2020_5-2-2_Download'!$K$5</f>
        <v>2019</v>
      </c>
      <c r="D1640" t="str">
        <f>VLOOKUP(B1640,[1]Tabelle1!$A$1:$B$68,2,FALSE)</f>
        <v>Osterholz</v>
      </c>
      <c r="F1640" t="str">
        <f>'2020_5-2-2_Download'!$N$7</f>
        <v>hoch</v>
      </c>
      <c r="G1640" t="s">
        <v>362</v>
      </c>
      <c r="H1640" t="str">
        <f>VLOOKUP(B1640,[2]Kreise!$A$2:$C$53,3,FALSE)</f>
        <v>K03356</v>
      </c>
      <c r="I1640">
        <f>'2020_5-2-2_Download'!N36</f>
        <v>9.4206549118387901</v>
      </c>
    </row>
    <row r="1641" spans="2:9">
      <c r="B1641">
        <f>'2020_5-2-2_Download'!B37</f>
        <v>357</v>
      </c>
      <c r="C1641">
        <f>'2020_5-2-2_Download'!$K$5</f>
        <v>2019</v>
      </c>
      <c r="D1641" t="str">
        <f>VLOOKUP(B1641,[1]Tabelle1!$A$1:$B$68,2,FALSE)</f>
        <v>Rotenburg (Wümme)</v>
      </c>
      <c r="F1641" t="str">
        <f>'2020_5-2-2_Download'!$N$7</f>
        <v>hoch</v>
      </c>
      <c r="G1641" t="s">
        <v>362</v>
      </c>
      <c r="H1641" t="str">
        <f>VLOOKUP(B1641,[2]Kreise!$A$2:$C$53,3,FALSE)</f>
        <v>K03357</v>
      </c>
      <c r="I1641">
        <f>'2020_5-2-2_Download'!N37</f>
        <v>8.878618341036244</v>
      </c>
    </row>
    <row r="1642" spans="2:9">
      <c r="B1642">
        <f>'2020_5-2-2_Download'!B38</f>
        <v>358</v>
      </c>
      <c r="C1642">
        <f>'2020_5-2-2_Download'!$K$5</f>
        <v>2019</v>
      </c>
      <c r="D1642" t="str">
        <f>VLOOKUP(B1642,[1]Tabelle1!$A$1:$B$68,2,FALSE)</f>
        <v>Heidekreis</v>
      </c>
      <c r="F1642" t="str">
        <f>'2020_5-2-2_Download'!$N$7</f>
        <v>hoch</v>
      </c>
      <c r="G1642" t="s">
        <v>362</v>
      </c>
      <c r="H1642" t="str">
        <f>VLOOKUP(B1642,[2]Kreise!$A$2:$C$53,3,FALSE)</f>
        <v>K03358</v>
      </c>
      <c r="I1642">
        <f>'2020_5-2-2_Download'!N38</f>
        <v>7.4676089517078914</v>
      </c>
    </row>
    <row r="1643" spans="2:9">
      <c r="B1643">
        <f>'2020_5-2-2_Download'!B39</f>
        <v>359</v>
      </c>
      <c r="C1643">
        <f>'2020_5-2-2_Download'!$K$5</f>
        <v>2019</v>
      </c>
      <c r="D1643" t="str">
        <f>VLOOKUP(B1643,[1]Tabelle1!$A$1:$B$68,2,FALSE)</f>
        <v>Stade</v>
      </c>
      <c r="F1643" t="str">
        <f>'2020_5-2-2_Download'!$N$7</f>
        <v>hoch</v>
      </c>
      <c r="G1643" t="s">
        <v>362</v>
      </c>
      <c r="H1643" t="str">
        <f>VLOOKUP(B1643,[2]Kreise!$A$2:$C$53,3,FALSE)</f>
        <v>K03359</v>
      </c>
      <c r="I1643">
        <f>'2020_5-2-2_Download'!N39</f>
        <v>8.2904313864725729</v>
      </c>
    </row>
    <row r="1644" spans="2:9">
      <c r="B1644">
        <f>'2020_5-2-2_Download'!B40</f>
        <v>360</v>
      </c>
      <c r="C1644">
        <f>'2020_5-2-2_Download'!$K$5</f>
        <v>2019</v>
      </c>
      <c r="D1644" t="str">
        <f>VLOOKUP(B1644,[1]Tabelle1!$A$1:$B$68,2,FALSE)</f>
        <v>Uelzen</v>
      </c>
      <c r="F1644" t="str">
        <f>'2020_5-2-2_Download'!$N$7</f>
        <v>hoch</v>
      </c>
      <c r="G1644" t="s">
        <v>362</v>
      </c>
      <c r="H1644" t="str">
        <f>VLOOKUP(B1644,[2]Kreise!$A$2:$C$53,3,FALSE)</f>
        <v>K03360</v>
      </c>
      <c r="I1644">
        <f>'2020_5-2-2_Download'!N40</f>
        <v>14.489164086687307</v>
      </c>
    </row>
    <row r="1645" spans="2:9">
      <c r="B1645">
        <f>'2020_5-2-2_Download'!B41</f>
        <v>361</v>
      </c>
      <c r="C1645">
        <f>'2020_5-2-2_Download'!$K$5</f>
        <v>2019</v>
      </c>
      <c r="D1645" t="str">
        <f>VLOOKUP(B1645,[1]Tabelle1!$A$1:$B$68,2,FALSE)</f>
        <v>Verden</v>
      </c>
      <c r="F1645" t="str">
        <f>'2020_5-2-2_Download'!$N$7</f>
        <v>hoch</v>
      </c>
      <c r="G1645" t="s">
        <v>362</v>
      </c>
      <c r="H1645" t="str">
        <f>VLOOKUP(B1645,[2]Kreise!$A$2:$C$53,3,FALSE)</f>
        <v>K03361</v>
      </c>
      <c r="I1645">
        <f>'2020_5-2-2_Download'!N41</f>
        <v>8.1186094069529648</v>
      </c>
    </row>
    <row r="1646" spans="2:9">
      <c r="B1646">
        <f>'2020_5-2-2_Download'!B42</f>
        <v>3</v>
      </c>
      <c r="C1646">
        <f>'2020_5-2-2_Download'!$K$5</f>
        <v>2019</v>
      </c>
      <c r="D1646" t="str">
        <f>VLOOKUP(B1646,[1]Tabelle1!$A$1:$B$68,2,FALSE)</f>
        <v>Stat. Region Lüneburg</v>
      </c>
      <c r="F1646" t="str">
        <f>'2020_5-2-2_Download'!$N$7</f>
        <v>hoch</v>
      </c>
      <c r="G1646" t="s">
        <v>362</v>
      </c>
      <c r="H1646" t="str">
        <f>VLOOKUP(B1646,[2]Kreise!$A$2:$C$53,3,FALSE)</f>
        <v>K033</v>
      </c>
      <c r="I1646">
        <f>'2020_5-2-2_Download'!N42</f>
        <v>9.0775558166862513</v>
      </c>
    </row>
    <row r="1647" spans="2:9">
      <c r="B1647">
        <f>'2020_5-2-2_Download'!B43</f>
        <v>401</v>
      </c>
      <c r="C1647">
        <f>'2020_5-2-2_Download'!$K$5</f>
        <v>2019</v>
      </c>
      <c r="D1647" t="str">
        <f>VLOOKUP(B1647,[1]Tabelle1!$A$1:$B$68,2,FALSE)</f>
        <v>Delmenhorst  Stadt</v>
      </c>
      <c r="F1647" t="str">
        <f>'2020_5-2-2_Download'!$N$7</f>
        <v>hoch</v>
      </c>
      <c r="G1647" t="s">
        <v>362</v>
      </c>
      <c r="H1647" t="str">
        <f>VLOOKUP(B1647,[2]Kreise!$A$2:$C$53,3,FALSE)</f>
        <v>K03401</v>
      </c>
      <c r="I1647">
        <f>'2020_5-2-2_Download'!N43</f>
        <v>9.3229744728079904</v>
      </c>
    </row>
    <row r="1648" spans="2:9">
      <c r="B1648">
        <f>'2020_5-2-2_Download'!B44</f>
        <v>402</v>
      </c>
      <c r="C1648">
        <f>'2020_5-2-2_Download'!$K$5</f>
        <v>2019</v>
      </c>
      <c r="D1648" t="str">
        <f>VLOOKUP(B1648,[1]Tabelle1!$A$1:$B$68,2,FALSE)</f>
        <v>Emden  Stadt</v>
      </c>
      <c r="F1648" t="str">
        <f>'2020_5-2-2_Download'!$N$7</f>
        <v>hoch</v>
      </c>
      <c r="G1648" t="s">
        <v>362</v>
      </c>
      <c r="H1648" t="str">
        <f>VLOOKUP(B1648,[2]Kreise!$A$2:$C$53,3,FALSE)</f>
        <v>K03402</v>
      </c>
      <c r="I1648">
        <f>'2020_5-2-2_Download'!N44</f>
        <v>9.2371562013492472</v>
      </c>
    </row>
    <row r="1649" spans="2:9">
      <c r="B1649">
        <f>'2020_5-2-2_Download'!B45</f>
        <v>403</v>
      </c>
      <c r="C1649">
        <f>'2020_5-2-2_Download'!$K$5</f>
        <v>2019</v>
      </c>
      <c r="D1649" t="str">
        <f>VLOOKUP(B1649,[1]Tabelle1!$A$1:$B$68,2,FALSE)</f>
        <v>Oldenburg(Oldb)  Stadt</v>
      </c>
      <c r="F1649" t="str">
        <f>'2020_5-2-2_Download'!$N$7</f>
        <v>hoch</v>
      </c>
      <c r="G1649" t="s">
        <v>362</v>
      </c>
      <c r="H1649" t="str">
        <f>VLOOKUP(B1649,[2]Kreise!$A$2:$C$53,3,FALSE)</f>
        <v>K03403</v>
      </c>
      <c r="I1649">
        <f>'2020_5-2-2_Download'!N45</f>
        <v>17.710986585158771</v>
      </c>
    </row>
    <row r="1650" spans="2:9">
      <c r="B1650">
        <f>'2020_5-2-2_Download'!B46</f>
        <v>404</v>
      </c>
      <c r="C1650">
        <f>'2020_5-2-2_Download'!$K$5</f>
        <v>2019</v>
      </c>
      <c r="D1650" t="str">
        <f>VLOOKUP(B1650,[1]Tabelle1!$A$1:$B$68,2,FALSE)</f>
        <v>Osnabrück  Stadt</v>
      </c>
      <c r="F1650" t="str">
        <f>'2020_5-2-2_Download'!$N$7</f>
        <v>hoch</v>
      </c>
      <c r="G1650" t="s">
        <v>362</v>
      </c>
      <c r="H1650" t="str">
        <f>VLOOKUP(B1650,[2]Kreise!$A$2:$C$53,3,FALSE)</f>
        <v>K03404</v>
      </c>
      <c r="I1650">
        <f>'2020_5-2-2_Download'!N46</f>
        <v>10.791700475252116</v>
      </c>
    </row>
    <row r="1651" spans="2:9">
      <c r="B1651">
        <f>'2020_5-2-2_Download'!B47</f>
        <v>405</v>
      </c>
      <c r="C1651">
        <f>'2020_5-2-2_Download'!$K$5</f>
        <v>2019</v>
      </c>
      <c r="D1651" t="str">
        <f>VLOOKUP(B1651,[1]Tabelle1!$A$1:$B$68,2,FALSE)</f>
        <v>Wilhelmshaven  Stadt</v>
      </c>
      <c r="F1651" t="str">
        <f>'2020_5-2-2_Download'!$N$7</f>
        <v>hoch</v>
      </c>
      <c r="G1651" t="s">
        <v>362</v>
      </c>
      <c r="H1651" t="str">
        <f>VLOOKUP(B1651,[2]Kreise!$A$2:$C$53,3,FALSE)</f>
        <v>K03405</v>
      </c>
      <c r="I1651">
        <f>'2020_5-2-2_Download'!N47</f>
        <v>15.210751374465486</v>
      </c>
    </row>
    <row r="1652" spans="2:9">
      <c r="B1652">
        <f>'2020_5-2-2_Download'!B48</f>
        <v>451</v>
      </c>
      <c r="C1652">
        <f>'2020_5-2-2_Download'!$K$5</f>
        <v>2019</v>
      </c>
      <c r="D1652" t="str">
        <f>VLOOKUP(B1652,[1]Tabelle1!$A$1:$B$68,2,FALSE)</f>
        <v>Ammerland</v>
      </c>
      <c r="F1652" t="str">
        <f>'2020_5-2-2_Download'!$N$7</f>
        <v>hoch</v>
      </c>
      <c r="G1652" t="s">
        <v>362</v>
      </c>
      <c r="H1652" t="str">
        <f>VLOOKUP(B1652,[2]Kreise!$A$2:$C$53,3,FALSE)</f>
        <v>K03451</v>
      </c>
      <c r="I1652">
        <f>'2020_5-2-2_Download'!N48</f>
        <v>6.8692206076618234</v>
      </c>
    </row>
    <row r="1653" spans="2:9">
      <c r="B1653">
        <f>'2020_5-2-2_Download'!B49</f>
        <v>452</v>
      </c>
      <c r="C1653">
        <f>'2020_5-2-2_Download'!$K$5</f>
        <v>2019</v>
      </c>
      <c r="D1653" t="str">
        <f>VLOOKUP(B1653,[1]Tabelle1!$A$1:$B$68,2,FALSE)</f>
        <v>Aurich</v>
      </c>
      <c r="F1653" t="str">
        <f>'2020_5-2-2_Download'!$N$7</f>
        <v>hoch</v>
      </c>
      <c r="G1653" t="s">
        <v>362</v>
      </c>
      <c r="H1653" t="str">
        <f>VLOOKUP(B1653,[2]Kreise!$A$2:$C$53,3,FALSE)</f>
        <v>K03452</v>
      </c>
      <c r="I1653">
        <f>'2020_5-2-2_Download'!N49</f>
        <v>8.1824432729773093</v>
      </c>
    </row>
    <row r="1654" spans="2:9">
      <c r="B1654">
        <f>'2020_5-2-2_Download'!B50</f>
        <v>453</v>
      </c>
      <c r="C1654">
        <f>'2020_5-2-2_Download'!$K$5</f>
        <v>2019</v>
      </c>
      <c r="D1654" t="str">
        <f>VLOOKUP(B1654,[1]Tabelle1!$A$1:$B$68,2,FALSE)</f>
        <v>Cloppenburg</v>
      </c>
      <c r="F1654" t="str">
        <f>'2020_5-2-2_Download'!$N$7</f>
        <v>hoch</v>
      </c>
      <c r="G1654" t="s">
        <v>362</v>
      </c>
      <c r="H1654" t="str">
        <f>VLOOKUP(B1654,[2]Kreise!$A$2:$C$53,3,FALSE)</f>
        <v>K03453</v>
      </c>
      <c r="I1654">
        <f>'2020_5-2-2_Download'!N50</f>
        <v>3.1306081754735793</v>
      </c>
    </row>
    <row r="1655" spans="2:9">
      <c r="B1655">
        <f>'2020_5-2-2_Download'!B51</f>
        <v>454</v>
      </c>
      <c r="C1655">
        <f>'2020_5-2-2_Download'!$K$5</f>
        <v>2019</v>
      </c>
      <c r="D1655" t="str">
        <f>VLOOKUP(B1655,[1]Tabelle1!$A$1:$B$68,2,FALSE)</f>
        <v>Emsland</v>
      </c>
      <c r="F1655" t="str">
        <f>'2020_5-2-2_Download'!$N$7</f>
        <v>hoch</v>
      </c>
      <c r="G1655" t="s">
        <v>362</v>
      </c>
      <c r="H1655" t="str">
        <f>VLOOKUP(B1655,[2]Kreise!$A$2:$C$53,3,FALSE)</f>
        <v>K03454</v>
      </c>
      <c r="I1655">
        <f>'2020_5-2-2_Download'!N51</f>
        <v>6.6182811152630068</v>
      </c>
    </row>
    <row r="1656" spans="2:9">
      <c r="B1656">
        <f>'2020_5-2-2_Download'!B52</f>
        <v>455</v>
      </c>
      <c r="C1656">
        <f>'2020_5-2-2_Download'!$K$5</f>
        <v>2019</v>
      </c>
      <c r="D1656" t="str">
        <f>VLOOKUP(B1656,[1]Tabelle1!$A$1:$B$68,2,FALSE)</f>
        <v>Friesland</v>
      </c>
      <c r="F1656" t="str">
        <f>'2020_5-2-2_Download'!$N$7</f>
        <v>hoch</v>
      </c>
      <c r="G1656" t="s">
        <v>362</v>
      </c>
      <c r="H1656" t="str">
        <f>VLOOKUP(B1656,[2]Kreise!$A$2:$C$53,3,FALSE)</f>
        <v>K03455</v>
      </c>
      <c r="I1656">
        <f>'2020_5-2-2_Download'!N52</f>
        <v>10.803127221037668</v>
      </c>
    </row>
    <row r="1657" spans="2:9">
      <c r="B1657">
        <f>'2020_5-2-2_Download'!B53</f>
        <v>456</v>
      </c>
      <c r="C1657">
        <f>'2020_5-2-2_Download'!$K$5</f>
        <v>2019</v>
      </c>
      <c r="D1657" t="str">
        <f>VLOOKUP(B1657,[1]Tabelle1!$A$1:$B$68,2,FALSE)</f>
        <v>Grafschaft Bentheim</v>
      </c>
      <c r="F1657" t="str">
        <f>'2020_5-2-2_Download'!$N$7</f>
        <v>hoch</v>
      </c>
      <c r="G1657" t="s">
        <v>362</v>
      </c>
      <c r="H1657" t="str">
        <f>VLOOKUP(B1657,[2]Kreise!$A$2:$C$53,3,FALSE)</f>
        <v>K03456</v>
      </c>
      <c r="I1657">
        <f>'2020_5-2-2_Download'!N53</f>
        <v>6.8928950159066806</v>
      </c>
    </row>
    <row r="1658" spans="2:9">
      <c r="B1658">
        <f>'2020_5-2-2_Download'!B54</f>
        <v>457</v>
      </c>
      <c r="C1658">
        <f>'2020_5-2-2_Download'!$K$5</f>
        <v>2019</v>
      </c>
      <c r="D1658" t="str">
        <f>VLOOKUP(B1658,[1]Tabelle1!$A$1:$B$68,2,FALSE)</f>
        <v>Leer</v>
      </c>
      <c r="F1658" t="str">
        <f>'2020_5-2-2_Download'!$N$7</f>
        <v>hoch</v>
      </c>
      <c r="G1658" t="s">
        <v>362</v>
      </c>
      <c r="H1658" t="str">
        <f>VLOOKUP(B1658,[2]Kreise!$A$2:$C$53,3,FALSE)</f>
        <v>K03457</v>
      </c>
      <c r="I1658">
        <f>'2020_5-2-2_Download'!N54</f>
        <v>8.1146223888591322</v>
      </c>
    </row>
    <row r="1659" spans="2:9">
      <c r="B1659">
        <f>'2020_5-2-2_Download'!B55</f>
        <v>458</v>
      </c>
      <c r="C1659">
        <f>'2020_5-2-2_Download'!$K$5</f>
        <v>2019</v>
      </c>
      <c r="D1659" t="str">
        <f>VLOOKUP(B1659,[1]Tabelle1!$A$1:$B$68,2,FALSE)</f>
        <v>Oldenburg</v>
      </c>
      <c r="F1659" t="str">
        <f>'2020_5-2-2_Download'!$N$7</f>
        <v>hoch</v>
      </c>
      <c r="G1659" t="s">
        <v>362</v>
      </c>
      <c r="H1659" t="str">
        <f>VLOOKUP(B1659,[2]Kreise!$A$2:$C$53,3,FALSE)</f>
        <v>K03458</v>
      </c>
      <c r="I1659">
        <f>'2020_5-2-2_Download'!N55</f>
        <v>4.4204851752021561</v>
      </c>
    </row>
    <row r="1660" spans="2:9">
      <c r="B1660">
        <f>'2020_5-2-2_Download'!B56</f>
        <v>459</v>
      </c>
      <c r="C1660">
        <f>'2020_5-2-2_Download'!$K$5</f>
        <v>2019</v>
      </c>
      <c r="D1660" t="str">
        <f>VLOOKUP(B1660,[1]Tabelle1!$A$1:$B$68,2,FALSE)</f>
        <v>Osnabrück</v>
      </c>
      <c r="F1660" t="str">
        <f>'2020_5-2-2_Download'!$N$7</f>
        <v>hoch</v>
      </c>
      <c r="G1660" t="s">
        <v>362</v>
      </c>
      <c r="H1660" t="str">
        <f>VLOOKUP(B1660,[2]Kreise!$A$2:$C$53,3,FALSE)</f>
        <v>K03459</v>
      </c>
      <c r="I1660">
        <f>'2020_5-2-2_Download'!N56</f>
        <v>4.196042756424835</v>
      </c>
    </row>
    <row r="1661" spans="2:9">
      <c r="B1661">
        <f>'2020_5-2-2_Download'!B57</f>
        <v>460</v>
      </c>
      <c r="C1661">
        <f>'2020_5-2-2_Download'!$K$5</f>
        <v>2019</v>
      </c>
      <c r="D1661" t="str">
        <f>VLOOKUP(B1661,[1]Tabelle1!$A$1:$B$68,2,FALSE)</f>
        <v>Vechta</v>
      </c>
      <c r="F1661" t="str">
        <f>'2020_5-2-2_Download'!$N$7</f>
        <v>hoch</v>
      </c>
      <c r="G1661" t="s">
        <v>362</v>
      </c>
      <c r="H1661" t="str">
        <f>VLOOKUP(B1661,[2]Kreise!$A$2:$C$53,3,FALSE)</f>
        <v>K03460</v>
      </c>
      <c r="I1661">
        <f>'2020_5-2-2_Download'!N57</f>
        <v>4.4123134328358207</v>
      </c>
    </row>
    <row r="1662" spans="2:9">
      <c r="B1662">
        <f>'2020_5-2-2_Download'!B58</f>
        <v>461</v>
      </c>
      <c r="C1662">
        <f>'2020_5-2-2_Download'!$K$5</f>
        <v>2019</v>
      </c>
      <c r="D1662" t="str">
        <f>VLOOKUP(B1662,[1]Tabelle1!$A$1:$B$68,2,FALSE)</f>
        <v>Wesermarsch</v>
      </c>
      <c r="F1662" t="str">
        <f>'2020_5-2-2_Download'!$N$7</f>
        <v>hoch</v>
      </c>
      <c r="G1662" t="s">
        <v>362</v>
      </c>
      <c r="H1662" t="str">
        <f>VLOOKUP(B1662,[2]Kreise!$A$2:$C$53,3,FALSE)</f>
        <v>K03461</v>
      </c>
      <c r="I1662">
        <f>'2020_5-2-2_Download'!N58</f>
        <v>6.2274005624748892</v>
      </c>
    </row>
    <row r="1663" spans="2:9">
      <c r="B1663">
        <f>'2020_5-2-2_Download'!B59</f>
        <v>462</v>
      </c>
      <c r="C1663">
        <f>'2020_5-2-2_Download'!$K$5</f>
        <v>2019</v>
      </c>
      <c r="D1663" t="str">
        <f>VLOOKUP(B1663,[1]Tabelle1!$A$1:$B$68,2,FALSE)</f>
        <v>Wittmund</v>
      </c>
      <c r="F1663" t="str">
        <f>'2020_5-2-2_Download'!$N$7</f>
        <v>hoch</v>
      </c>
      <c r="G1663" t="s">
        <v>362</v>
      </c>
      <c r="H1663" t="str">
        <f>VLOOKUP(B1663,[2]Kreise!$A$2:$C$53,3,FALSE)</f>
        <v>K03462</v>
      </c>
      <c r="I1663">
        <f>'2020_5-2-2_Download'!N59</f>
        <v>5.8704453441295543</v>
      </c>
    </row>
    <row r="1664" spans="2:9">
      <c r="B1664">
        <f>'2020_5-2-2_Download'!B60</f>
        <v>4</v>
      </c>
      <c r="C1664">
        <f>'2020_5-2-2_Download'!$K$5</f>
        <v>2019</v>
      </c>
      <c r="D1664" t="str">
        <f>VLOOKUP(B1664,[1]Tabelle1!$A$1:$B$68,2,FALSE)</f>
        <v>Stat. Region Weser-Ems</v>
      </c>
      <c r="F1664" t="str">
        <f>'2020_5-2-2_Download'!$N$7</f>
        <v>hoch</v>
      </c>
      <c r="G1664" t="s">
        <v>362</v>
      </c>
      <c r="H1664" t="str">
        <f>VLOOKUP(B1664,[2]Kreise!$A$2:$C$53,3,FALSE)</f>
        <v>K034</v>
      </c>
      <c r="I1664">
        <f>'2020_5-2-2_Download'!N60</f>
        <v>6.9746616464841766</v>
      </c>
    </row>
    <row r="1665" spans="2:9">
      <c r="B1665">
        <f>'2020_5-2-2_Download'!B61</f>
        <v>0</v>
      </c>
      <c r="C1665">
        <f>'2020_5-2-2_Download'!$K$5</f>
        <v>2019</v>
      </c>
      <c r="D1665" t="str">
        <f>VLOOKUP(B1665,[1]Tabelle1!$A$1:$B$68,2,FALSE)</f>
        <v>Niedersachsen</v>
      </c>
      <c r="F1665" t="str">
        <f>'2020_5-2-2_Download'!$N$7</f>
        <v>hoch</v>
      </c>
      <c r="G1665" t="s">
        <v>362</v>
      </c>
      <c r="H1665" t="str">
        <f>VLOOKUP(B1665,[2]Kreise!$A$2:$C$53,3,FALSE)</f>
        <v>K030</v>
      </c>
      <c r="I1665">
        <f>'2020_5-2-2_Download'!N61</f>
        <v>11.298843327313078</v>
      </c>
    </row>
    <row r="1666" spans="2:9">
      <c r="B1666">
        <f>'2020_5-2-2_Download'!B10</f>
        <v>101</v>
      </c>
      <c r="C1666">
        <f>'2020_5-2-2_Download'!$K$5</f>
        <v>2019</v>
      </c>
      <c r="D1666" t="str">
        <f>VLOOKUP(B1666,[1]Tabelle1!$A$1:$B$68,2,FALSE)</f>
        <v>Braunschweig  Stadt</v>
      </c>
      <c r="F1666" t="str">
        <f>'2020_5-2-2_Download'!$O$7</f>
        <v>mittel</v>
      </c>
      <c r="G1666" t="s">
        <v>362</v>
      </c>
      <c r="H1666" t="str">
        <f>VLOOKUP(B1666,[2]Kreise!$A$2:$C$53,3,FALSE)</f>
        <v>K03101</v>
      </c>
      <c r="I1666">
        <f>'2020_5-2-2_Download'!O10</f>
        <v>27.686654118490633</v>
      </c>
    </row>
    <row r="1667" spans="2:9">
      <c r="B1667">
        <f>'2020_5-2-2_Download'!B11</f>
        <v>102</v>
      </c>
      <c r="C1667">
        <f>'2020_5-2-2_Download'!$K$5</f>
        <v>2019</v>
      </c>
      <c r="D1667" t="str">
        <f>VLOOKUP(B1667,[1]Tabelle1!$A$1:$B$68,2,FALSE)</f>
        <v>Salzgitter  Stadt</v>
      </c>
      <c r="F1667" t="str">
        <f>'2020_5-2-2_Download'!$O$7</f>
        <v>mittel</v>
      </c>
      <c r="G1667" t="s">
        <v>362</v>
      </c>
      <c r="H1667" t="str">
        <f>VLOOKUP(B1667,[2]Kreise!$A$2:$C$53,3,FALSE)</f>
        <v>K03102</v>
      </c>
      <c r="I1667">
        <f>'2020_5-2-2_Download'!O11</f>
        <v>41.036444069938909</v>
      </c>
    </row>
    <row r="1668" spans="2:9">
      <c r="B1668">
        <f>'2020_5-2-2_Download'!B12</f>
        <v>103</v>
      </c>
      <c r="C1668">
        <f>'2020_5-2-2_Download'!$K$5</f>
        <v>2019</v>
      </c>
      <c r="D1668" t="str">
        <f>VLOOKUP(B1668,[1]Tabelle1!$A$1:$B$68,2,FALSE)</f>
        <v>Wolfsburg  Stadt</v>
      </c>
      <c r="F1668" t="str">
        <f>'2020_5-2-2_Download'!$O$7</f>
        <v>mittel</v>
      </c>
      <c r="G1668" t="s">
        <v>362</v>
      </c>
      <c r="H1668" t="str">
        <f>VLOOKUP(B1668,[2]Kreise!$A$2:$C$53,3,FALSE)</f>
        <v>K03103</v>
      </c>
      <c r="I1668">
        <f>'2020_5-2-2_Download'!O12</f>
        <v>33.009331259720064</v>
      </c>
    </row>
    <row r="1669" spans="2:9">
      <c r="B1669">
        <f>'2020_5-2-2_Download'!B13</f>
        <v>151</v>
      </c>
      <c r="C1669">
        <f>'2020_5-2-2_Download'!$K$5</f>
        <v>2019</v>
      </c>
      <c r="D1669" t="str">
        <f>VLOOKUP(B1669,[1]Tabelle1!$A$1:$B$68,2,FALSE)</f>
        <v>Gifhorn</v>
      </c>
      <c r="F1669" t="str">
        <f>'2020_5-2-2_Download'!$O$7</f>
        <v>mittel</v>
      </c>
      <c r="G1669" t="s">
        <v>362</v>
      </c>
      <c r="H1669" t="str">
        <f>VLOOKUP(B1669,[2]Kreise!$A$2:$C$53,3,FALSE)</f>
        <v>K03151</v>
      </c>
      <c r="I1669">
        <f>'2020_5-2-2_Download'!O13</f>
        <v>25.986842105263158</v>
      </c>
    </row>
    <row r="1670" spans="2:9">
      <c r="B1670">
        <f>'2020_5-2-2_Download'!B14</f>
        <v>153</v>
      </c>
      <c r="C1670">
        <f>'2020_5-2-2_Download'!$K$5</f>
        <v>2019</v>
      </c>
      <c r="D1670" t="str">
        <f>VLOOKUP(B1670,[1]Tabelle1!$A$1:$B$68,2,FALSE)</f>
        <v>Goslar</v>
      </c>
      <c r="F1670" t="str">
        <f>'2020_5-2-2_Download'!$O$7</f>
        <v>mittel</v>
      </c>
      <c r="G1670" t="s">
        <v>362</v>
      </c>
      <c r="H1670" t="str">
        <f>VLOOKUP(B1670,[2]Kreise!$A$2:$C$53,3,FALSE)</f>
        <v>K03153</v>
      </c>
      <c r="I1670">
        <f>'2020_5-2-2_Download'!O14</f>
        <v>30.522603398525167</v>
      </c>
    </row>
    <row r="1671" spans="2:9">
      <c r="B1671">
        <f>'2020_5-2-2_Download'!B15</f>
        <v>154</v>
      </c>
      <c r="C1671">
        <f>'2020_5-2-2_Download'!$K$5</f>
        <v>2019</v>
      </c>
      <c r="D1671" t="str">
        <f>VLOOKUP(B1671,[1]Tabelle1!$A$1:$B$68,2,FALSE)</f>
        <v>Helmstedt</v>
      </c>
      <c r="F1671" t="str">
        <f>'2020_5-2-2_Download'!$O$7</f>
        <v>mittel</v>
      </c>
      <c r="G1671" t="s">
        <v>362</v>
      </c>
      <c r="H1671" t="str">
        <f>VLOOKUP(B1671,[2]Kreise!$A$2:$C$53,3,FALSE)</f>
        <v>K03154</v>
      </c>
      <c r="I1671">
        <f>'2020_5-2-2_Download'!O15</f>
        <v>42.260757867694281</v>
      </c>
    </row>
    <row r="1672" spans="2:9">
      <c r="B1672">
        <f>'2020_5-2-2_Download'!B16</f>
        <v>155</v>
      </c>
      <c r="C1672">
        <f>'2020_5-2-2_Download'!$K$5</f>
        <v>2019</v>
      </c>
      <c r="D1672" t="str">
        <f>VLOOKUP(B1672,[1]Tabelle1!$A$1:$B$68,2,FALSE)</f>
        <v>Northeim</v>
      </c>
      <c r="F1672" t="str">
        <f>'2020_5-2-2_Download'!$O$7</f>
        <v>mittel</v>
      </c>
      <c r="G1672" t="s">
        <v>362</v>
      </c>
      <c r="H1672" t="str">
        <f>VLOOKUP(B1672,[2]Kreise!$A$2:$C$53,3,FALSE)</f>
        <v>K03155</v>
      </c>
      <c r="I1672">
        <f>'2020_5-2-2_Download'!O16</f>
        <v>44.151613858454247</v>
      </c>
    </row>
    <row r="1673" spans="2:9">
      <c r="B1673">
        <f>'2020_5-2-2_Download'!B17</f>
        <v>157</v>
      </c>
      <c r="C1673">
        <f>'2020_5-2-2_Download'!$K$5</f>
        <v>2019</v>
      </c>
      <c r="D1673" t="str">
        <f>VLOOKUP(B1673,[1]Tabelle1!$A$1:$B$68,2,FALSE)</f>
        <v>Peine</v>
      </c>
      <c r="F1673" t="str">
        <f>'2020_5-2-2_Download'!$O$7</f>
        <v>mittel</v>
      </c>
      <c r="G1673" t="s">
        <v>362</v>
      </c>
      <c r="H1673" t="str">
        <f>VLOOKUP(B1673,[2]Kreise!$A$2:$C$53,3,FALSE)</f>
        <v>K03157</v>
      </c>
      <c r="I1673">
        <f>'2020_5-2-2_Download'!O17</f>
        <v>29.364368845120861</v>
      </c>
    </row>
    <row r="1674" spans="2:9">
      <c r="B1674">
        <f>'2020_5-2-2_Download'!B18</f>
        <v>158</v>
      </c>
      <c r="C1674">
        <f>'2020_5-2-2_Download'!$K$5</f>
        <v>2019</v>
      </c>
      <c r="D1674" t="str">
        <f>VLOOKUP(B1674,[1]Tabelle1!$A$1:$B$68,2,FALSE)</f>
        <v>Wolfenbüttel</v>
      </c>
      <c r="F1674" t="str">
        <f>'2020_5-2-2_Download'!$O$7</f>
        <v>mittel</v>
      </c>
      <c r="G1674" t="s">
        <v>362</v>
      </c>
      <c r="H1674" t="str">
        <f>VLOOKUP(B1674,[2]Kreise!$A$2:$C$53,3,FALSE)</f>
        <v>K03158</v>
      </c>
      <c r="I1674">
        <f>'2020_5-2-2_Download'!O18</f>
        <v>40.662251655629142</v>
      </c>
    </row>
    <row r="1675" spans="2:9">
      <c r="B1675">
        <f>'2020_5-2-2_Download'!B19</f>
        <v>159</v>
      </c>
      <c r="C1675">
        <f>'2020_5-2-2_Download'!$K$5</f>
        <v>2019</v>
      </c>
      <c r="D1675" t="str">
        <f>VLOOKUP(B1675,[1]Tabelle1!$A$1:$B$68,2,FALSE)</f>
        <v>Göttingen</v>
      </c>
      <c r="F1675" t="str">
        <f>'2020_5-2-2_Download'!$O$7</f>
        <v>mittel</v>
      </c>
      <c r="G1675" t="s">
        <v>362</v>
      </c>
      <c r="H1675" t="str">
        <f>VLOOKUP(B1675,[2]Kreise!$A$2:$C$53,3,FALSE)</f>
        <v>K03159</v>
      </c>
      <c r="I1675">
        <f>'2020_5-2-2_Download'!O19</f>
        <v>28.264550264550266</v>
      </c>
    </row>
    <row r="1676" spans="2:9">
      <c r="B1676">
        <f>'2020_5-2-2_Download'!B20</f>
        <v>1</v>
      </c>
      <c r="C1676">
        <f>'2020_5-2-2_Download'!$K$5</f>
        <v>2019</v>
      </c>
      <c r="D1676" t="str">
        <f>VLOOKUP(B1676,[1]Tabelle1!$A$1:$B$68,2,FALSE)</f>
        <v>Stat. Region Braunschweig</v>
      </c>
      <c r="F1676" t="str">
        <f>'2020_5-2-2_Download'!$O$7</f>
        <v>mittel</v>
      </c>
      <c r="G1676" t="s">
        <v>362</v>
      </c>
      <c r="H1676" t="str">
        <f>VLOOKUP(B1676,[2]Kreise!$A$2:$C$53,3,FALSE)</f>
        <v>K031</v>
      </c>
      <c r="I1676">
        <f>'2020_5-2-2_Download'!O20</f>
        <v>32.159469726335374</v>
      </c>
    </row>
    <row r="1677" spans="2:9">
      <c r="B1677">
        <f>'2020_5-2-2_Download'!B21</f>
        <v>241</v>
      </c>
      <c r="C1677">
        <f>'2020_5-2-2_Download'!$K$5</f>
        <v>2019</v>
      </c>
      <c r="D1677" t="str">
        <f>VLOOKUP(B1677,[1]Tabelle1!$A$1:$B$68,2,FALSE)</f>
        <v>Hannover  Region</v>
      </c>
      <c r="F1677" t="str">
        <f>'2020_5-2-2_Download'!$O$7</f>
        <v>mittel</v>
      </c>
      <c r="G1677" t="s">
        <v>362</v>
      </c>
      <c r="H1677" t="str">
        <f>VLOOKUP(B1677,[2]Kreise!$A$2:$C$53,3,FALSE)</f>
        <v>K03241</v>
      </c>
      <c r="I1677">
        <f>'2020_5-2-2_Download'!O21</f>
        <v>32.5057213889392</v>
      </c>
    </row>
    <row r="1678" spans="2:9">
      <c r="B1678">
        <f>'2020_5-2-2_Download'!B22</f>
        <v>241001</v>
      </c>
      <c r="C1678">
        <f>'2020_5-2-2_Download'!$K$5</f>
        <v>2019</v>
      </c>
      <c r="D1678" t="str">
        <f>VLOOKUP(B1678,[1]Tabelle1!$A$1:$B$68,2,FALSE)</f>
        <v>dav. Hannover  Lhst.</v>
      </c>
      <c r="F1678" t="str">
        <f>'2020_5-2-2_Download'!$O$7</f>
        <v>mittel</v>
      </c>
      <c r="G1678" t="s">
        <v>362</v>
      </c>
      <c r="H1678" t="str">
        <f>VLOOKUP(B1678,[2]Kreise!$A$2:$C$53,3,FALSE)</f>
        <v>K03241001</v>
      </c>
      <c r="I1678">
        <f>'2020_5-2-2_Download'!O22</f>
        <v>31.850886339937436</v>
      </c>
    </row>
    <row r="1679" spans="2:9">
      <c r="B1679">
        <f>'2020_5-2-2_Download'!B23</f>
        <v>241999</v>
      </c>
      <c r="C1679">
        <f>'2020_5-2-2_Download'!$K$5</f>
        <v>2019</v>
      </c>
      <c r="D1679" t="str">
        <f>VLOOKUP(B1679,[1]Tabelle1!$A$1:$B$68,2,FALSE)</f>
        <v>dav. Hannover  Umland</v>
      </c>
      <c r="F1679" t="str">
        <f>'2020_5-2-2_Download'!$O$7</f>
        <v>mittel</v>
      </c>
      <c r="G1679" t="s">
        <v>362</v>
      </c>
      <c r="H1679" t="str">
        <f>VLOOKUP(B1679,[2]Kreise!$A$2:$C$53,3,FALSE)</f>
        <v>K03241999</v>
      </c>
      <c r="I1679">
        <f>'2020_5-2-2_Download'!O23</f>
        <v>33.628279036510705</v>
      </c>
    </row>
    <row r="1680" spans="2:9">
      <c r="B1680">
        <f>'2020_5-2-2_Download'!B24</f>
        <v>251</v>
      </c>
      <c r="C1680">
        <f>'2020_5-2-2_Download'!$K$5</f>
        <v>2019</v>
      </c>
      <c r="D1680" t="str">
        <f>VLOOKUP(B1680,[1]Tabelle1!$A$1:$B$68,2,FALSE)</f>
        <v>Diepholz</v>
      </c>
      <c r="F1680" t="str">
        <f>'2020_5-2-2_Download'!$O$7</f>
        <v>mittel</v>
      </c>
      <c r="G1680" t="s">
        <v>362</v>
      </c>
      <c r="H1680" t="str">
        <f>VLOOKUP(B1680,[2]Kreise!$A$2:$C$53,3,FALSE)</f>
        <v>K03251</v>
      </c>
      <c r="I1680">
        <f>'2020_5-2-2_Download'!O24</f>
        <v>31.870781099324976</v>
      </c>
    </row>
    <row r="1681" spans="2:9">
      <c r="B1681">
        <f>'2020_5-2-2_Download'!B25</f>
        <v>252</v>
      </c>
      <c r="C1681">
        <f>'2020_5-2-2_Download'!$K$5</f>
        <v>2019</v>
      </c>
      <c r="D1681" t="str">
        <f>VLOOKUP(B1681,[1]Tabelle1!$A$1:$B$68,2,FALSE)</f>
        <v>Hameln-Pyrmont</v>
      </c>
      <c r="F1681" t="str">
        <f>'2020_5-2-2_Download'!$O$7</f>
        <v>mittel</v>
      </c>
      <c r="G1681" t="s">
        <v>362</v>
      </c>
      <c r="H1681" t="str">
        <f>VLOOKUP(B1681,[2]Kreise!$A$2:$C$53,3,FALSE)</f>
        <v>K03252</v>
      </c>
      <c r="I1681">
        <f>'2020_5-2-2_Download'!O25</f>
        <v>36.994076999012833</v>
      </c>
    </row>
    <row r="1682" spans="2:9">
      <c r="B1682">
        <f>'2020_5-2-2_Download'!B26</f>
        <v>254</v>
      </c>
      <c r="C1682">
        <f>'2020_5-2-2_Download'!$K$5</f>
        <v>2019</v>
      </c>
      <c r="D1682" t="str">
        <f>VLOOKUP(B1682,[1]Tabelle1!$A$1:$B$68,2,FALSE)</f>
        <v>Hildesheim</v>
      </c>
      <c r="F1682" t="str">
        <f>'2020_5-2-2_Download'!$O$7</f>
        <v>mittel</v>
      </c>
      <c r="G1682" t="s">
        <v>362</v>
      </c>
      <c r="H1682" t="str">
        <f>VLOOKUP(B1682,[2]Kreise!$A$2:$C$53,3,FALSE)</f>
        <v>K03254</v>
      </c>
      <c r="I1682">
        <f>'2020_5-2-2_Download'!O26</f>
        <v>34.651873291525966</v>
      </c>
    </row>
    <row r="1683" spans="2:9">
      <c r="B1683">
        <f>'2020_5-2-2_Download'!B27</f>
        <v>255</v>
      </c>
      <c r="C1683">
        <f>'2020_5-2-2_Download'!$K$5</f>
        <v>2019</v>
      </c>
      <c r="D1683" t="str">
        <f>VLOOKUP(B1683,[1]Tabelle1!$A$1:$B$68,2,FALSE)</f>
        <v>Holzminden</v>
      </c>
      <c r="F1683" t="str">
        <f>'2020_5-2-2_Download'!$O$7</f>
        <v>mittel</v>
      </c>
      <c r="G1683" t="s">
        <v>362</v>
      </c>
      <c r="H1683" t="str">
        <f>VLOOKUP(B1683,[2]Kreise!$A$2:$C$53,3,FALSE)</f>
        <v>K03255</v>
      </c>
      <c r="I1683">
        <f>'2020_5-2-2_Download'!O27</f>
        <v>32.582688247712881</v>
      </c>
    </row>
    <row r="1684" spans="2:9">
      <c r="B1684">
        <f>'2020_5-2-2_Download'!B28</f>
        <v>256</v>
      </c>
      <c r="C1684">
        <f>'2020_5-2-2_Download'!$K$5</f>
        <v>2019</v>
      </c>
      <c r="D1684" t="str">
        <f>VLOOKUP(B1684,[1]Tabelle1!$A$1:$B$68,2,FALSE)</f>
        <v>Nienburg (Weser)</v>
      </c>
      <c r="F1684" t="str">
        <f>'2020_5-2-2_Download'!$O$7</f>
        <v>mittel</v>
      </c>
      <c r="G1684" t="s">
        <v>362</v>
      </c>
      <c r="H1684" t="str">
        <f>VLOOKUP(B1684,[2]Kreise!$A$2:$C$53,3,FALSE)</f>
        <v>K03256</v>
      </c>
      <c r="I1684">
        <f>'2020_5-2-2_Download'!O28</f>
        <v>24.524759446139402</v>
      </c>
    </row>
    <row r="1685" spans="2:9">
      <c r="B1685">
        <f>'2020_5-2-2_Download'!B29</f>
        <v>257</v>
      </c>
      <c r="C1685">
        <f>'2020_5-2-2_Download'!$K$5</f>
        <v>2019</v>
      </c>
      <c r="D1685" t="str">
        <f>VLOOKUP(B1685,[1]Tabelle1!$A$1:$B$68,2,FALSE)</f>
        <v>Schaumburg</v>
      </c>
      <c r="F1685" t="str">
        <f>'2020_5-2-2_Download'!$O$7</f>
        <v>mittel</v>
      </c>
      <c r="G1685" t="s">
        <v>362</v>
      </c>
      <c r="H1685" t="str">
        <f>VLOOKUP(B1685,[2]Kreise!$A$2:$C$53,3,FALSE)</f>
        <v>K03257</v>
      </c>
      <c r="I1685">
        <f>'2020_5-2-2_Download'!O29</f>
        <v>43.345079967470859</v>
      </c>
    </row>
    <row r="1686" spans="2:9">
      <c r="B1686">
        <f>'2020_5-2-2_Download'!B30</f>
        <v>2</v>
      </c>
      <c r="C1686">
        <f>'2020_5-2-2_Download'!$K$5</f>
        <v>2019</v>
      </c>
      <c r="D1686" t="str">
        <f>VLOOKUP(B1686,[1]Tabelle1!$A$1:$B$68,2,FALSE)</f>
        <v>Stat. Region Hannover</v>
      </c>
      <c r="F1686" t="str">
        <f>'2020_5-2-2_Download'!$O$7</f>
        <v>mittel</v>
      </c>
      <c r="G1686" t="s">
        <v>362</v>
      </c>
      <c r="H1686" t="str">
        <f>VLOOKUP(B1686,[2]Kreise!$A$2:$C$53,3,FALSE)</f>
        <v>K032</v>
      </c>
      <c r="I1686">
        <f>'2020_5-2-2_Download'!O30</f>
        <v>32.894539324026283</v>
      </c>
    </row>
    <row r="1687" spans="2:9">
      <c r="B1687">
        <f>'2020_5-2-2_Download'!B31</f>
        <v>351</v>
      </c>
      <c r="C1687">
        <f>'2020_5-2-2_Download'!$K$5</f>
        <v>2019</v>
      </c>
      <c r="D1687" t="str">
        <f>VLOOKUP(B1687,[1]Tabelle1!$A$1:$B$68,2,FALSE)</f>
        <v>Celle</v>
      </c>
      <c r="F1687" t="str">
        <f>'2020_5-2-2_Download'!$O$7</f>
        <v>mittel</v>
      </c>
      <c r="G1687" t="s">
        <v>362</v>
      </c>
      <c r="H1687" t="str">
        <f>VLOOKUP(B1687,[2]Kreise!$A$2:$C$53,3,FALSE)</f>
        <v>K03351</v>
      </c>
      <c r="I1687">
        <f>'2020_5-2-2_Download'!O31</f>
        <v>31.089160384715363</v>
      </c>
    </row>
    <row r="1688" spans="2:9">
      <c r="B1688">
        <f>'2020_5-2-2_Download'!B32</f>
        <v>352</v>
      </c>
      <c r="C1688">
        <f>'2020_5-2-2_Download'!$K$5</f>
        <v>2019</v>
      </c>
      <c r="D1688" t="str">
        <f>VLOOKUP(B1688,[1]Tabelle1!$A$1:$B$68,2,FALSE)</f>
        <v>Cuxhaven</v>
      </c>
      <c r="F1688" t="str">
        <f>'2020_5-2-2_Download'!$O$7</f>
        <v>mittel</v>
      </c>
      <c r="G1688" t="s">
        <v>362</v>
      </c>
      <c r="H1688" t="str">
        <f>VLOOKUP(B1688,[2]Kreise!$A$2:$C$53,3,FALSE)</f>
        <v>K03352</v>
      </c>
      <c r="I1688">
        <f>'2020_5-2-2_Download'!O32</f>
        <v>29.892069450961991</v>
      </c>
    </row>
    <row r="1689" spans="2:9">
      <c r="B1689">
        <f>'2020_5-2-2_Download'!B33</f>
        <v>353</v>
      </c>
      <c r="C1689">
        <f>'2020_5-2-2_Download'!$K$5</f>
        <v>2019</v>
      </c>
      <c r="D1689" t="str">
        <f>VLOOKUP(B1689,[1]Tabelle1!$A$1:$B$68,2,FALSE)</f>
        <v>Harburg</v>
      </c>
      <c r="F1689" t="str">
        <f>'2020_5-2-2_Download'!$O$7</f>
        <v>mittel</v>
      </c>
      <c r="G1689" t="s">
        <v>362</v>
      </c>
      <c r="H1689" t="str">
        <f>VLOOKUP(B1689,[2]Kreise!$A$2:$C$53,3,FALSE)</f>
        <v>K03353</v>
      </c>
      <c r="I1689">
        <f>'2020_5-2-2_Download'!O33</f>
        <v>26.790450928381961</v>
      </c>
    </row>
    <row r="1690" spans="2:9">
      <c r="B1690">
        <f>'2020_5-2-2_Download'!B34</f>
        <v>354</v>
      </c>
      <c r="C1690">
        <f>'2020_5-2-2_Download'!$K$5</f>
        <v>2019</v>
      </c>
      <c r="D1690" t="str">
        <f>VLOOKUP(B1690,[1]Tabelle1!$A$1:$B$68,2,FALSE)</f>
        <v>Lüchow-Dannenberg</v>
      </c>
      <c r="F1690" t="str">
        <f>'2020_5-2-2_Download'!$O$7</f>
        <v>mittel</v>
      </c>
      <c r="G1690" t="s">
        <v>362</v>
      </c>
      <c r="H1690" t="str">
        <f>VLOOKUP(B1690,[2]Kreise!$A$2:$C$53,3,FALSE)</f>
        <v>K03354</v>
      </c>
      <c r="I1690">
        <f>'2020_5-2-2_Download'!O34</f>
        <v>32.258064516129032</v>
      </c>
    </row>
    <row r="1691" spans="2:9">
      <c r="B1691">
        <f>'2020_5-2-2_Download'!B35</f>
        <v>355</v>
      </c>
      <c r="C1691">
        <f>'2020_5-2-2_Download'!$K$5</f>
        <v>2019</v>
      </c>
      <c r="D1691" t="str">
        <f>VLOOKUP(B1691,[1]Tabelle1!$A$1:$B$68,2,FALSE)</f>
        <v>Lüneburg</v>
      </c>
      <c r="F1691" t="str">
        <f>'2020_5-2-2_Download'!$O$7</f>
        <v>mittel</v>
      </c>
      <c r="G1691" t="s">
        <v>362</v>
      </c>
      <c r="H1691" t="str">
        <f>VLOOKUP(B1691,[2]Kreise!$A$2:$C$53,3,FALSE)</f>
        <v>K03355</v>
      </c>
      <c r="I1691">
        <f>'2020_5-2-2_Download'!O35</f>
        <v>31.206764027671021</v>
      </c>
    </row>
    <row r="1692" spans="2:9">
      <c r="B1692">
        <f>'2020_5-2-2_Download'!B36</f>
        <v>356</v>
      </c>
      <c r="C1692">
        <f>'2020_5-2-2_Download'!$K$5</f>
        <v>2019</v>
      </c>
      <c r="D1692" t="str">
        <f>VLOOKUP(B1692,[1]Tabelle1!$A$1:$B$68,2,FALSE)</f>
        <v>Osterholz</v>
      </c>
      <c r="F1692" t="str">
        <f>'2020_5-2-2_Download'!$O$7</f>
        <v>mittel</v>
      </c>
      <c r="G1692" t="s">
        <v>362</v>
      </c>
      <c r="H1692" t="str">
        <f>VLOOKUP(B1692,[2]Kreise!$A$2:$C$53,3,FALSE)</f>
        <v>K03356</v>
      </c>
      <c r="I1692">
        <f>'2020_5-2-2_Download'!O36</f>
        <v>32.695214105793454</v>
      </c>
    </row>
    <row r="1693" spans="2:9">
      <c r="B1693">
        <f>'2020_5-2-2_Download'!B37</f>
        <v>357</v>
      </c>
      <c r="C1693">
        <f>'2020_5-2-2_Download'!$K$5</f>
        <v>2019</v>
      </c>
      <c r="D1693" t="str">
        <f>VLOOKUP(B1693,[1]Tabelle1!$A$1:$B$68,2,FALSE)</f>
        <v>Rotenburg (Wümme)</v>
      </c>
      <c r="F1693" t="str">
        <f>'2020_5-2-2_Download'!$O$7</f>
        <v>mittel</v>
      </c>
      <c r="G1693" t="s">
        <v>362</v>
      </c>
      <c r="H1693" t="str">
        <f>VLOOKUP(B1693,[2]Kreise!$A$2:$C$53,3,FALSE)</f>
        <v>K03357</v>
      </c>
      <c r="I1693">
        <f>'2020_5-2-2_Download'!O37</f>
        <v>35.879348090488932</v>
      </c>
    </row>
    <row r="1694" spans="2:9">
      <c r="B1694">
        <f>'2020_5-2-2_Download'!B38</f>
        <v>358</v>
      </c>
      <c r="C1694">
        <f>'2020_5-2-2_Download'!$K$5</f>
        <v>2019</v>
      </c>
      <c r="D1694" t="str">
        <f>VLOOKUP(B1694,[1]Tabelle1!$A$1:$B$68,2,FALSE)</f>
        <v>Heidekreis</v>
      </c>
      <c r="F1694" t="str">
        <f>'2020_5-2-2_Download'!$O$7</f>
        <v>mittel</v>
      </c>
      <c r="G1694" t="s">
        <v>362</v>
      </c>
      <c r="H1694" t="str">
        <f>VLOOKUP(B1694,[2]Kreise!$A$2:$C$53,3,FALSE)</f>
        <v>K03358</v>
      </c>
      <c r="I1694">
        <f>'2020_5-2-2_Download'!O38</f>
        <v>35.948174322732626</v>
      </c>
    </row>
    <row r="1695" spans="2:9">
      <c r="B1695">
        <f>'2020_5-2-2_Download'!B39</f>
        <v>359</v>
      </c>
      <c r="C1695">
        <f>'2020_5-2-2_Download'!$K$5</f>
        <v>2019</v>
      </c>
      <c r="D1695" t="str">
        <f>VLOOKUP(B1695,[1]Tabelle1!$A$1:$B$68,2,FALSE)</f>
        <v>Stade</v>
      </c>
      <c r="F1695" t="str">
        <f>'2020_5-2-2_Download'!$O$7</f>
        <v>mittel</v>
      </c>
      <c r="G1695" t="s">
        <v>362</v>
      </c>
      <c r="H1695" t="str">
        <f>VLOOKUP(B1695,[2]Kreise!$A$2:$C$53,3,FALSE)</f>
        <v>K03359</v>
      </c>
      <c r="I1695">
        <f>'2020_5-2-2_Download'!O39</f>
        <v>24.729273921533817</v>
      </c>
    </row>
    <row r="1696" spans="2:9">
      <c r="B1696">
        <f>'2020_5-2-2_Download'!B40</f>
        <v>360</v>
      </c>
      <c r="C1696">
        <f>'2020_5-2-2_Download'!$K$5</f>
        <v>2019</v>
      </c>
      <c r="D1696" t="str">
        <f>VLOOKUP(B1696,[1]Tabelle1!$A$1:$B$68,2,FALSE)</f>
        <v>Uelzen</v>
      </c>
      <c r="F1696" t="str">
        <f>'2020_5-2-2_Download'!$O$7</f>
        <v>mittel</v>
      </c>
      <c r="G1696" t="s">
        <v>362</v>
      </c>
      <c r="H1696" t="str">
        <f>VLOOKUP(B1696,[2]Kreise!$A$2:$C$53,3,FALSE)</f>
        <v>K03360</v>
      </c>
      <c r="I1696">
        <f>'2020_5-2-2_Download'!O40</f>
        <v>35.60371517027864</v>
      </c>
    </row>
    <row r="1697" spans="2:9">
      <c r="B1697">
        <f>'2020_5-2-2_Download'!B41</f>
        <v>361</v>
      </c>
      <c r="C1697">
        <f>'2020_5-2-2_Download'!$K$5</f>
        <v>2019</v>
      </c>
      <c r="D1697" t="str">
        <f>VLOOKUP(B1697,[1]Tabelle1!$A$1:$B$68,2,FALSE)</f>
        <v>Verden</v>
      </c>
      <c r="F1697" t="str">
        <f>'2020_5-2-2_Download'!$O$7</f>
        <v>mittel</v>
      </c>
      <c r="G1697" t="s">
        <v>362</v>
      </c>
      <c r="H1697" t="str">
        <f>VLOOKUP(B1697,[2]Kreise!$A$2:$C$53,3,FALSE)</f>
        <v>K03361</v>
      </c>
      <c r="I1697">
        <f>'2020_5-2-2_Download'!O41</f>
        <v>26.400817995910021</v>
      </c>
    </row>
    <row r="1698" spans="2:9">
      <c r="B1698">
        <f>'2020_5-2-2_Download'!B42</f>
        <v>3</v>
      </c>
      <c r="C1698">
        <f>'2020_5-2-2_Download'!$K$5</f>
        <v>2019</v>
      </c>
      <c r="D1698" t="str">
        <f>VLOOKUP(B1698,[1]Tabelle1!$A$1:$B$68,2,FALSE)</f>
        <v>Stat. Region Lüneburg</v>
      </c>
      <c r="F1698" t="str">
        <f>'2020_5-2-2_Download'!$O$7</f>
        <v>mittel</v>
      </c>
      <c r="G1698" t="s">
        <v>362</v>
      </c>
      <c r="H1698" t="str">
        <f>VLOOKUP(B1698,[2]Kreise!$A$2:$C$53,3,FALSE)</f>
        <v>K033</v>
      </c>
      <c r="I1698">
        <f>'2020_5-2-2_Download'!O42</f>
        <v>29.944409292235378</v>
      </c>
    </row>
    <row r="1699" spans="2:9">
      <c r="B1699">
        <f>'2020_5-2-2_Download'!B43</f>
        <v>401</v>
      </c>
      <c r="C1699">
        <f>'2020_5-2-2_Download'!$K$5</f>
        <v>2019</v>
      </c>
      <c r="D1699" t="str">
        <f>VLOOKUP(B1699,[1]Tabelle1!$A$1:$B$68,2,FALSE)</f>
        <v>Delmenhorst  Stadt</v>
      </c>
      <c r="F1699" t="str">
        <f>'2020_5-2-2_Download'!$O$7</f>
        <v>mittel</v>
      </c>
      <c r="G1699" t="s">
        <v>362</v>
      </c>
      <c r="H1699" t="str">
        <f>VLOOKUP(B1699,[2]Kreise!$A$2:$C$53,3,FALSE)</f>
        <v>K03401</v>
      </c>
      <c r="I1699">
        <f>'2020_5-2-2_Download'!O43</f>
        <v>30.965593784683684</v>
      </c>
    </row>
    <row r="1700" spans="2:9">
      <c r="B1700">
        <f>'2020_5-2-2_Download'!B44</f>
        <v>402</v>
      </c>
      <c r="C1700">
        <f>'2020_5-2-2_Download'!$K$5</f>
        <v>2019</v>
      </c>
      <c r="D1700" t="str">
        <f>VLOOKUP(B1700,[1]Tabelle1!$A$1:$B$68,2,FALSE)</f>
        <v>Emden  Stadt</v>
      </c>
      <c r="F1700" t="str">
        <f>'2020_5-2-2_Download'!$O$7</f>
        <v>mittel</v>
      </c>
      <c r="G1700" t="s">
        <v>362</v>
      </c>
      <c r="H1700" t="str">
        <f>VLOOKUP(B1700,[2]Kreise!$A$2:$C$53,3,FALSE)</f>
        <v>K03402</v>
      </c>
      <c r="I1700">
        <f>'2020_5-2-2_Download'!O44</f>
        <v>33.834976647638818</v>
      </c>
    </row>
    <row r="1701" spans="2:9">
      <c r="B1701">
        <f>'2020_5-2-2_Download'!B45</f>
        <v>403</v>
      </c>
      <c r="C1701">
        <f>'2020_5-2-2_Download'!$K$5</f>
        <v>2019</v>
      </c>
      <c r="D1701" t="str">
        <f>VLOOKUP(B1701,[1]Tabelle1!$A$1:$B$68,2,FALSE)</f>
        <v>Oldenburg(Oldb)  Stadt</v>
      </c>
      <c r="F1701" t="str">
        <f>'2020_5-2-2_Download'!$O$7</f>
        <v>mittel</v>
      </c>
      <c r="G1701" t="s">
        <v>362</v>
      </c>
      <c r="H1701" t="str">
        <f>VLOOKUP(B1701,[2]Kreise!$A$2:$C$53,3,FALSE)</f>
        <v>K03403</v>
      </c>
      <c r="I1701">
        <f>'2020_5-2-2_Download'!O45</f>
        <v>24.961793173713705</v>
      </c>
    </row>
    <row r="1702" spans="2:9">
      <c r="B1702">
        <f>'2020_5-2-2_Download'!B46</f>
        <v>404</v>
      </c>
      <c r="C1702">
        <f>'2020_5-2-2_Download'!$K$5</f>
        <v>2019</v>
      </c>
      <c r="D1702" t="str">
        <f>VLOOKUP(B1702,[1]Tabelle1!$A$1:$B$68,2,FALSE)</f>
        <v>Osnabrück  Stadt</v>
      </c>
      <c r="F1702" t="str">
        <f>'2020_5-2-2_Download'!$O$7</f>
        <v>mittel</v>
      </c>
      <c r="G1702" t="s">
        <v>362</v>
      </c>
      <c r="H1702" t="str">
        <f>VLOOKUP(B1702,[2]Kreise!$A$2:$C$53,3,FALSE)</f>
        <v>K03404</v>
      </c>
      <c r="I1702">
        <f>'2020_5-2-2_Download'!O46</f>
        <v>29.500405703025386</v>
      </c>
    </row>
    <row r="1703" spans="2:9">
      <c r="B1703">
        <f>'2020_5-2-2_Download'!B47</f>
        <v>405</v>
      </c>
      <c r="C1703">
        <f>'2020_5-2-2_Download'!$K$5</f>
        <v>2019</v>
      </c>
      <c r="D1703" t="str">
        <f>VLOOKUP(B1703,[1]Tabelle1!$A$1:$B$68,2,FALSE)</f>
        <v>Wilhelmshaven  Stadt</v>
      </c>
      <c r="F1703" t="str">
        <f>'2020_5-2-2_Download'!$O$7</f>
        <v>mittel</v>
      </c>
      <c r="G1703" t="s">
        <v>362</v>
      </c>
      <c r="H1703" t="str">
        <f>VLOOKUP(B1703,[2]Kreise!$A$2:$C$53,3,FALSE)</f>
        <v>K03405</v>
      </c>
      <c r="I1703">
        <f>'2020_5-2-2_Download'!O47</f>
        <v>29.138668295662796</v>
      </c>
    </row>
    <row r="1704" spans="2:9">
      <c r="B1704">
        <f>'2020_5-2-2_Download'!B48</f>
        <v>451</v>
      </c>
      <c r="C1704">
        <f>'2020_5-2-2_Download'!$K$5</f>
        <v>2019</v>
      </c>
      <c r="D1704" t="str">
        <f>VLOOKUP(B1704,[1]Tabelle1!$A$1:$B$68,2,FALSE)</f>
        <v>Ammerland</v>
      </c>
      <c r="F1704" t="str">
        <f>'2020_5-2-2_Download'!$O$7</f>
        <v>mittel</v>
      </c>
      <c r="G1704" t="s">
        <v>362</v>
      </c>
      <c r="H1704" t="str">
        <f>VLOOKUP(B1704,[2]Kreise!$A$2:$C$53,3,FALSE)</f>
        <v>K03451</v>
      </c>
      <c r="I1704">
        <f>'2020_5-2-2_Download'!O48</f>
        <v>26.182298546895641</v>
      </c>
    </row>
    <row r="1705" spans="2:9">
      <c r="B1705">
        <f>'2020_5-2-2_Download'!B49</f>
        <v>452</v>
      </c>
      <c r="C1705">
        <f>'2020_5-2-2_Download'!$K$5</f>
        <v>2019</v>
      </c>
      <c r="D1705" t="str">
        <f>VLOOKUP(B1705,[1]Tabelle1!$A$1:$B$68,2,FALSE)</f>
        <v>Aurich</v>
      </c>
      <c r="F1705" t="str">
        <f>'2020_5-2-2_Download'!$O$7</f>
        <v>mittel</v>
      </c>
      <c r="G1705" t="s">
        <v>362</v>
      </c>
      <c r="H1705" t="str">
        <f>VLOOKUP(B1705,[2]Kreise!$A$2:$C$53,3,FALSE)</f>
        <v>K03452</v>
      </c>
      <c r="I1705">
        <f>'2020_5-2-2_Download'!O49</f>
        <v>26.816410726564289</v>
      </c>
    </row>
    <row r="1706" spans="2:9">
      <c r="B1706">
        <f>'2020_5-2-2_Download'!B50</f>
        <v>453</v>
      </c>
      <c r="C1706">
        <f>'2020_5-2-2_Download'!$K$5</f>
        <v>2019</v>
      </c>
      <c r="D1706" t="str">
        <f>VLOOKUP(B1706,[1]Tabelle1!$A$1:$B$68,2,FALSE)</f>
        <v>Cloppenburg</v>
      </c>
      <c r="F1706" t="str">
        <f>'2020_5-2-2_Download'!$O$7</f>
        <v>mittel</v>
      </c>
      <c r="G1706" t="s">
        <v>362</v>
      </c>
      <c r="H1706" t="str">
        <f>VLOOKUP(B1706,[2]Kreise!$A$2:$C$53,3,FALSE)</f>
        <v>K03453</v>
      </c>
      <c r="I1706">
        <f>'2020_5-2-2_Download'!O50</f>
        <v>20.508474576271187</v>
      </c>
    </row>
    <row r="1707" spans="2:9">
      <c r="B1707">
        <f>'2020_5-2-2_Download'!B51</f>
        <v>454</v>
      </c>
      <c r="C1707">
        <f>'2020_5-2-2_Download'!$K$5</f>
        <v>2019</v>
      </c>
      <c r="D1707" t="str">
        <f>VLOOKUP(B1707,[1]Tabelle1!$A$1:$B$68,2,FALSE)</f>
        <v>Emsland</v>
      </c>
      <c r="F1707" t="str">
        <f>'2020_5-2-2_Download'!$O$7</f>
        <v>mittel</v>
      </c>
      <c r="G1707" t="s">
        <v>362</v>
      </c>
      <c r="H1707" t="str">
        <f>VLOOKUP(B1707,[2]Kreise!$A$2:$C$53,3,FALSE)</f>
        <v>K03454</v>
      </c>
      <c r="I1707">
        <f>'2020_5-2-2_Download'!O51</f>
        <v>28.377407300948548</v>
      </c>
    </row>
    <row r="1708" spans="2:9">
      <c r="B1708">
        <f>'2020_5-2-2_Download'!B52</f>
        <v>455</v>
      </c>
      <c r="C1708">
        <f>'2020_5-2-2_Download'!$K$5</f>
        <v>2019</v>
      </c>
      <c r="D1708" t="str">
        <f>VLOOKUP(B1708,[1]Tabelle1!$A$1:$B$68,2,FALSE)</f>
        <v>Friesland</v>
      </c>
      <c r="F1708" t="str">
        <f>'2020_5-2-2_Download'!$O$7</f>
        <v>mittel</v>
      </c>
      <c r="G1708" t="s">
        <v>362</v>
      </c>
      <c r="H1708" t="str">
        <f>VLOOKUP(B1708,[2]Kreise!$A$2:$C$53,3,FALSE)</f>
        <v>K03455</v>
      </c>
      <c r="I1708">
        <f>'2020_5-2-2_Download'!O52</f>
        <v>30.063965884861407</v>
      </c>
    </row>
    <row r="1709" spans="2:9">
      <c r="B1709">
        <f>'2020_5-2-2_Download'!B53</f>
        <v>456</v>
      </c>
      <c r="C1709">
        <f>'2020_5-2-2_Download'!$K$5</f>
        <v>2019</v>
      </c>
      <c r="D1709" t="str">
        <f>VLOOKUP(B1709,[1]Tabelle1!$A$1:$B$68,2,FALSE)</f>
        <v>Grafschaft Bentheim</v>
      </c>
      <c r="F1709" t="str">
        <f>'2020_5-2-2_Download'!$O$7</f>
        <v>mittel</v>
      </c>
      <c r="G1709" t="s">
        <v>362</v>
      </c>
      <c r="H1709" t="str">
        <f>VLOOKUP(B1709,[2]Kreise!$A$2:$C$53,3,FALSE)</f>
        <v>K03456</v>
      </c>
      <c r="I1709">
        <f>'2020_5-2-2_Download'!O53</f>
        <v>37.345351714386709</v>
      </c>
    </row>
    <row r="1710" spans="2:9">
      <c r="B1710">
        <f>'2020_5-2-2_Download'!B54</f>
        <v>457</v>
      </c>
      <c r="C1710">
        <f>'2020_5-2-2_Download'!$K$5</f>
        <v>2019</v>
      </c>
      <c r="D1710" t="str">
        <f>VLOOKUP(B1710,[1]Tabelle1!$A$1:$B$68,2,FALSE)</f>
        <v>Leer</v>
      </c>
      <c r="F1710" t="str">
        <f>'2020_5-2-2_Download'!$O$7</f>
        <v>mittel</v>
      </c>
      <c r="G1710" t="s">
        <v>362</v>
      </c>
      <c r="H1710" t="str">
        <f>VLOOKUP(B1710,[2]Kreise!$A$2:$C$53,3,FALSE)</f>
        <v>K03457</v>
      </c>
      <c r="I1710">
        <f>'2020_5-2-2_Download'!O54</f>
        <v>29.539367970005355</v>
      </c>
    </row>
    <row r="1711" spans="2:9">
      <c r="B1711">
        <f>'2020_5-2-2_Download'!B55</f>
        <v>458</v>
      </c>
      <c r="C1711">
        <f>'2020_5-2-2_Download'!$K$5</f>
        <v>2019</v>
      </c>
      <c r="D1711" t="str">
        <f>VLOOKUP(B1711,[1]Tabelle1!$A$1:$B$68,2,FALSE)</f>
        <v>Oldenburg</v>
      </c>
      <c r="F1711" t="str">
        <f>'2020_5-2-2_Download'!$O$7</f>
        <v>mittel</v>
      </c>
      <c r="G1711" t="s">
        <v>362</v>
      </c>
      <c r="H1711" t="str">
        <f>VLOOKUP(B1711,[2]Kreise!$A$2:$C$53,3,FALSE)</f>
        <v>K03458</v>
      </c>
      <c r="I1711">
        <f>'2020_5-2-2_Download'!O55</f>
        <v>25.525606469002696</v>
      </c>
    </row>
    <row r="1712" spans="2:9">
      <c r="B1712">
        <f>'2020_5-2-2_Download'!B56</f>
        <v>459</v>
      </c>
      <c r="C1712">
        <f>'2020_5-2-2_Download'!$K$5</f>
        <v>2019</v>
      </c>
      <c r="D1712" t="str">
        <f>VLOOKUP(B1712,[1]Tabelle1!$A$1:$B$68,2,FALSE)</f>
        <v>Osnabrück</v>
      </c>
      <c r="F1712" t="str">
        <f>'2020_5-2-2_Download'!$O$7</f>
        <v>mittel</v>
      </c>
      <c r="G1712" t="s">
        <v>362</v>
      </c>
      <c r="H1712" t="str">
        <f>VLOOKUP(B1712,[2]Kreise!$A$2:$C$53,3,FALSE)</f>
        <v>K03459</v>
      </c>
      <c r="I1712">
        <f>'2020_5-2-2_Download'!O56</f>
        <v>22.174209688423925</v>
      </c>
    </row>
    <row r="1713" spans="2:9">
      <c r="B1713">
        <f>'2020_5-2-2_Download'!B57</f>
        <v>460</v>
      </c>
      <c r="C1713">
        <f>'2020_5-2-2_Download'!$K$5</f>
        <v>2019</v>
      </c>
      <c r="D1713" t="str">
        <f>VLOOKUP(B1713,[1]Tabelle1!$A$1:$B$68,2,FALSE)</f>
        <v>Vechta</v>
      </c>
      <c r="F1713" t="str">
        <f>'2020_5-2-2_Download'!$O$7</f>
        <v>mittel</v>
      </c>
      <c r="G1713" t="s">
        <v>362</v>
      </c>
      <c r="H1713" t="str">
        <f>VLOOKUP(B1713,[2]Kreise!$A$2:$C$53,3,FALSE)</f>
        <v>K03460</v>
      </c>
      <c r="I1713">
        <f>'2020_5-2-2_Download'!O57</f>
        <v>21.128731343283583</v>
      </c>
    </row>
    <row r="1714" spans="2:9">
      <c r="B1714">
        <f>'2020_5-2-2_Download'!B58</f>
        <v>461</v>
      </c>
      <c r="C1714">
        <f>'2020_5-2-2_Download'!$K$5</f>
        <v>2019</v>
      </c>
      <c r="D1714" t="str">
        <f>VLOOKUP(B1714,[1]Tabelle1!$A$1:$B$68,2,FALSE)</f>
        <v>Wesermarsch</v>
      </c>
      <c r="F1714" t="str">
        <f>'2020_5-2-2_Download'!$O$7</f>
        <v>mittel</v>
      </c>
      <c r="G1714" t="s">
        <v>362</v>
      </c>
      <c r="H1714" t="str">
        <f>VLOOKUP(B1714,[2]Kreise!$A$2:$C$53,3,FALSE)</f>
        <v>K03461</v>
      </c>
      <c r="I1714">
        <f>'2020_5-2-2_Download'!O58</f>
        <v>35.074327038971475</v>
      </c>
    </row>
    <row r="1715" spans="2:9">
      <c r="B1715">
        <f>'2020_5-2-2_Download'!B59</f>
        <v>462</v>
      </c>
      <c r="C1715">
        <f>'2020_5-2-2_Download'!$K$5</f>
        <v>2019</v>
      </c>
      <c r="D1715" t="str">
        <f>VLOOKUP(B1715,[1]Tabelle1!$A$1:$B$68,2,FALSE)</f>
        <v>Wittmund</v>
      </c>
      <c r="F1715" t="str">
        <f>'2020_5-2-2_Download'!$O$7</f>
        <v>mittel</v>
      </c>
      <c r="G1715" t="s">
        <v>362</v>
      </c>
      <c r="H1715" t="str">
        <f>VLOOKUP(B1715,[2]Kreise!$A$2:$C$53,3,FALSE)</f>
        <v>K03462</v>
      </c>
      <c r="I1715">
        <f>'2020_5-2-2_Download'!O59</f>
        <v>22.267206477732792</v>
      </c>
    </row>
    <row r="1716" spans="2:9">
      <c r="B1716">
        <f>'2020_5-2-2_Download'!B60</f>
        <v>4</v>
      </c>
      <c r="C1716">
        <f>'2020_5-2-2_Download'!$K$5</f>
        <v>2019</v>
      </c>
      <c r="D1716" t="str">
        <f>VLOOKUP(B1716,[1]Tabelle1!$A$1:$B$68,2,FALSE)</f>
        <v>Stat. Region Weser-Ems</v>
      </c>
      <c r="F1716" t="str">
        <f>'2020_5-2-2_Download'!$O$7</f>
        <v>mittel</v>
      </c>
      <c r="G1716" t="s">
        <v>362</v>
      </c>
      <c r="H1716" t="str">
        <f>VLOOKUP(B1716,[2]Kreise!$A$2:$C$53,3,FALSE)</f>
        <v>K034</v>
      </c>
      <c r="I1716">
        <f>'2020_5-2-2_Download'!O60</f>
        <v>26.165666022183778</v>
      </c>
    </row>
    <row r="1717" spans="2:9">
      <c r="B1717">
        <f>'2020_5-2-2_Download'!B61</f>
        <v>0</v>
      </c>
      <c r="C1717">
        <f>'2020_5-2-2_Download'!$K$5</f>
        <v>2019</v>
      </c>
      <c r="D1717" t="str">
        <f>VLOOKUP(B1717,[1]Tabelle1!$A$1:$B$68,2,FALSE)</f>
        <v>Niedersachsen</v>
      </c>
      <c r="F1717" t="str">
        <f>'2020_5-2-2_Download'!$O$7</f>
        <v>mittel</v>
      </c>
      <c r="G1717" t="s">
        <v>362</v>
      </c>
      <c r="H1717" t="str">
        <f>VLOOKUP(B1717,[2]Kreise!$A$2:$C$53,3,FALSE)</f>
        <v>K030</v>
      </c>
      <c r="I1717">
        <f>'2020_5-2-2_Download'!O61</f>
        <v>29.938835632785811</v>
      </c>
    </row>
    <row r="1718" spans="2:9">
      <c r="B1718">
        <f>'2020_5-2-2_Download'!B10</f>
        <v>101</v>
      </c>
      <c r="C1718">
        <f>'2020_5-2-2_Download'!$K$5</f>
        <v>2019</v>
      </c>
      <c r="D1718" t="str">
        <f>VLOOKUP(B1718,[1]Tabelle1!$A$1:$B$68,2,FALSE)</f>
        <v>Braunschweig  Stadt</v>
      </c>
      <c r="F1718" t="str">
        <f>'2020_5-2-2_Download'!$P$7</f>
        <v>niedrig</v>
      </c>
      <c r="G1718" t="s">
        <v>362</v>
      </c>
      <c r="H1718" t="str">
        <f>VLOOKUP(B1718,[2]Kreise!$A$2:$C$53,3,FALSE)</f>
        <v>K03101</v>
      </c>
      <c r="I1718">
        <f>'2020_5-2-2_Download'!P10</f>
        <v>23.877386394191987</v>
      </c>
    </row>
    <row r="1719" spans="2:9">
      <c r="B1719">
        <f>'2020_5-2-2_Download'!B11</f>
        <v>102</v>
      </c>
      <c r="C1719">
        <f>'2020_5-2-2_Download'!$K$5</f>
        <v>2019</v>
      </c>
      <c r="D1719" t="str">
        <f>VLOOKUP(B1719,[1]Tabelle1!$A$1:$B$68,2,FALSE)</f>
        <v>Salzgitter  Stadt</v>
      </c>
      <c r="F1719" t="str">
        <f>'2020_5-2-2_Download'!$P$7</f>
        <v>niedrig</v>
      </c>
      <c r="G1719" t="s">
        <v>362</v>
      </c>
      <c r="H1719" t="str">
        <f>VLOOKUP(B1719,[2]Kreise!$A$2:$C$53,3,FALSE)</f>
        <v>K03102</v>
      </c>
      <c r="I1719">
        <f>'2020_5-2-2_Download'!P11</f>
        <v>22.793343164103643</v>
      </c>
    </row>
    <row r="1720" spans="2:9">
      <c r="B1720">
        <f>'2020_5-2-2_Download'!B12</f>
        <v>103</v>
      </c>
      <c r="C1720">
        <f>'2020_5-2-2_Download'!$K$5</f>
        <v>2019</v>
      </c>
      <c r="D1720" t="str">
        <f>VLOOKUP(B1720,[1]Tabelle1!$A$1:$B$68,2,FALSE)</f>
        <v>Wolfsburg  Stadt</v>
      </c>
      <c r="F1720" t="str">
        <f>'2020_5-2-2_Download'!$P$7</f>
        <v>niedrig</v>
      </c>
      <c r="G1720" t="s">
        <v>362</v>
      </c>
      <c r="H1720" t="str">
        <f>VLOOKUP(B1720,[2]Kreise!$A$2:$C$53,3,FALSE)</f>
        <v>K03103</v>
      </c>
      <c r="I1720">
        <f>'2020_5-2-2_Download'!P12</f>
        <v>14.725894245723172</v>
      </c>
    </row>
    <row r="1721" spans="2:9">
      <c r="B1721">
        <f>'2020_5-2-2_Download'!B13</f>
        <v>151</v>
      </c>
      <c r="C1721">
        <f>'2020_5-2-2_Download'!$K$5</f>
        <v>2019</v>
      </c>
      <c r="D1721" t="str">
        <f>VLOOKUP(B1721,[1]Tabelle1!$A$1:$B$68,2,FALSE)</f>
        <v>Gifhorn</v>
      </c>
      <c r="F1721" t="str">
        <f>'2020_5-2-2_Download'!$P$7</f>
        <v>niedrig</v>
      </c>
      <c r="G1721" t="s">
        <v>362</v>
      </c>
      <c r="H1721" t="str">
        <f>VLOOKUP(B1721,[2]Kreise!$A$2:$C$53,3,FALSE)</f>
        <v>K03151</v>
      </c>
      <c r="I1721">
        <f>'2020_5-2-2_Download'!P13</f>
        <v>24.638157894736842</v>
      </c>
    </row>
    <row r="1722" spans="2:9">
      <c r="B1722">
        <f>'2020_5-2-2_Download'!B14</f>
        <v>153</v>
      </c>
      <c r="C1722">
        <f>'2020_5-2-2_Download'!$K$5</f>
        <v>2019</v>
      </c>
      <c r="D1722" t="str">
        <f>VLOOKUP(B1722,[1]Tabelle1!$A$1:$B$68,2,FALSE)</f>
        <v>Goslar</v>
      </c>
      <c r="F1722" t="str">
        <f>'2020_5-2-2_Download'!$P$7</f>
        <v>niedrig</v>
      </c>
      <c r="G1722" t="s">
        <v>362</v>
      </c>
      <c r="H1722" t="str">
        <f>VLOOKUP(B1722,[2]Kreise!$A$2:$C$53,3,FALSE)</f>
        <v>K03153</v>
      </c>
      <c r="I1722">
        <f>'2020_5-2-2_Download'!P14</f>
        <v>25.553061878807309</v>
      </c>
    </row>
    <row r="1723" spans="2:9">
      <c r="B1723">
        <f>'2020_5-2-2_Download'!B15</f>
        <v>154</v>
      </c>
      <c r="C1723">
        <f>'2020_5-2-2_Download'!$K$5</f>
        <v>2019</v>
      </c>
      <c r="D1723" t="str">
        <f>VLOOKUP(B1723,[1]Tabelle1!$A$1:$B$68,2,FALSE)</f>
        <v>Helmstedt</v>
      </c>
      <c r="F1723" t="str">
        <f>'2020_5-2-2_Download'!$P$7</f>
        <v>niedrig</v>
      </c>
      <c r="G1723" t="s">
        <v>362</v>
      </c>
      <c r="H1723" t="str">
        <f>VLOOKUP(B1723,[2]Kreise!$A$2:$C$53,3,FALSE)</f>
        <v>K03154</v>
      </c>
      <c r="I1723">
        <f>'2020_5-2-2_Download'!P15</f>
        <v>22.414900449582529</v>
      </c>
    </row>
    <row r="1724" spans="2:9">
      <c r="B1724">
        <f>'2020_5-2-2_Download'!B16</f>
        <v>155</v>
      </c>
      <c r="C1724">
        <f>'2020_5-2-2_Download'!$K$5</f>
        <v>2019</v>
      </c>
      <c r="D1724" t="str">
        <f>VLOOKUP(B1724,[1]Tabelle1!$A$1:$B$68,2,FALSE)</f>
        <v>Northeim</v>
      </c>
      <c r="F1724" t="str">
        <f>'2020_5-2-2_Download'!$P$7</f>
        <v>niedrig</v>
      </c>
      <c r="G1724" t="s">
        <v>362</v>
      </c>
      <c r="H1724" t="str">
        <f>VLOOKUP(B1724,[2]Kreise!$A$2:$C$53,3,FALSE)</f>
        <v>K03155</v>
      </c>
      <c r="I1724">
        <f>'2020_5-2-2_Download'!P16</f>
        <v>23.097423748889547</v>
      </c>
    </row>
    <row r="1725" spans="2:9">
      <c r="B1725">
        <f>'2020_5-2-2_Download'!B17</f>
        <v>157</v>
      </c>
      <c r="C1725">
        <f>'2020_5-2-2_Download'!$K$5</f>
        <v>2019</v>
      </c>
      <c r="D1725" t="str">
        <f>VLOOKUP(B1725,[1]Tabelle1!$A$1:$B$68,2,FALSE)</f>
        <v>Peine</v>
      </c>
      <c r="F1725" t="str">
        <f>'2020_5-2-2_Download'!$P$7</f>
        <v>niedrig</v>
      </c>
      <c r="G1725" t="s">
        <v>362</v>
      </c>
      <c r="H1725" t="str">
        <f>VLOOKUP(B1725,[2]Kreise!$A$2:$C$53,3,FALSE)</f>
        <v>K03157</v>
      </c>
      <c r="I1725">
        <f>'2020_5-2-2_Download'!P17</f>
        <v>28.91674127126231</v>
      </c>
    </row>
    <row r="1726" spans="2:9">
      <c r="B1726">
        <f>'2020_5-2-2_Download'!B18</f>
        <v>158</v>
      </c>
      <c r="C1726">
        <f>'2020_5-2-2_Download'!$K$5</f>
        <v>2019</v>
      </c>
      <c r="D1726" t="str">
        <f>VLOOKUP(B1726,[1]Tabelle1!$A$1:$B$68,2,FALSE)</f>
        <v>Wolfenbüttel</v>
      </c>
      <c r="F1726" t="str">
        <f>'2020_5-2-2_Download'!$P$7</f>
        <v>niedrig</v>
      </c>
      <c r="G1726" t="s">
        <v>362</v>
      </c>
      <c r="H1726" t="str">
        <f>VLOOKUP(B1726,[2]Kreise!$A$2:$C$53,3,FALSE)</f>
        <v>K03158</v>
      </c>
      <c r="I1726">
        <f>'2020_5-2-2_Download'!P18</f>
        <v>22.715231788079471</v>
      </c>
    </row>
    <row r="1727" spans="2:9">
      <c r="B1727">
        <f>'2020_5-2-2_Download'!B19</f>
        <v>159</v>
      </c>
      <c r="C1727">
        <f>'2020_5-2-2_Download'!$K$5</f>
        <v>2019</v>
      </c>
      <c r="D1727" t="str">
        <f>VLOOKUP(B1727,[1]Tabelle1!$A$1:$B$68,2,FALSE)</f>
        <v>Göttingen</v>
      </c>
      <c r="F1727" t="str">
        <f>'2020_5-2-2_Download'!$P$7</f>
        <v>niedrig</v>
      </c>
      <c r="G1727" t="s">
        <v>362</v>
      </c>
      <c r="H1727" t="str">
        <f>VLOOKUP(B1727,[2]Kreise!$A$2:$C$53,3,FALSE)</f>
        <v>K03159</v>
      </c>
      <c r="I1727">
        <f>'2020_5-2-2_Download'!P19</f>
        <v>24.825396825396826</v>
      </c>
    </row>
    <row r="1728" spans="2:9">
      <c r="B1728">
        <f>'2020_5-2-2_Download'!B20</f>
        <v>1</v>
      </c>
      <c r="C1728">
        <f>'2020_5-2-2_Download'!$K$5</f>
        <v>2019</v>
      </c>
      <c r="D1728" t="str">
        <f>VLOOKUP(B1728,[1]Tabelle1!$A$1:$B$68,2,FALSE)</f>
        <v>Stat. Region Braunschweig</v>
      </c>
      <c r="F1728" t="str">
        <f>'2020_5-2-2_Download'!$P$7</f>
        <v>niedrig</v>
      </c>
      <c r="G1728" t="s">
        <v>362</v>
      </c>
      <c r="H1728" t="str">
        <f>VLOOKUP(B1728,[2]Kreise!$A$2:$C$53,3,FALSE)</f>
        <v>K031</v>
      </c>
      <c r="I1728">
        <f>'2020_5-2-2_Download'!P20</f>
        <v>22.470734165439183</v>
      </c>
    </row>
    <row r="1729" spans="2:9">
      <c r="B1729">
        <f>'2020_5-2-2_Download'!B21</f>
        <v>241</v>
      </c>
      <c r="C1729">
        <f>'2020_5-2-2_Download'!$K$5</f>
        <v>2019</v>
      </c>
      <c r="D1729" t="str">
        <f>VLOOKUP(B1729,[1]Tabelle1!$A$1:$B$68,2,FALSE)</f>
        <v>Hannover  Region</v>
      </c>
      <c r="F1729" t="str">
        <f>'2020_5-2-2_Download'!$P$7</f>
        <v>niedrig</v>
      </c>
      <c r="G1729" t="s">
        <v>362</v>
      </c>
      <c r="H1729" t="str">
        <f>VLOOKUP(B1729,[2]Kreise!$A$2:$C$53,3,FALSE)</f>
        <v>K03241</v>
      </c>
      <c r="I1729">
        <f>'2020_5-2-2_Download'!P21</f>
        <v>27.582857236939592</v>
      </c>
    </row>
    <row r="1730" spans="2:9">
      <c r="B1730">
        <f>'2020_5-2-2_Download'!B22</f>
        <v>241001</v>
      </c>
      <c r="C1730">
        <f>'2020_5-2-2_Download'!$K$5</f>
        <v>2019</v>
      </c>
      <c r="D1730" t="str">
        <f>VLOOKUP(B1730,[1]Tabelle1!$A$1:$B$68,2,FALSE)</f>
        <v>dav. Hannover  Lhst.</v>
      </c>
      <c r="F1730" t="str">
        <f>'2020_5-2-2_Download'!$P$7</f>
        <v>niedrig</v>
      </c>
      <c r="G1730" t="s">
        <v>362</v>
      </c>
      <c r="H1730" t="str">
        <f>VLOOKUP(B1730,[2]Kreise!$A$2:$C$53,3,FALSE)</f>
        <v>K03241001</v>
      </c>
      <c r="I1730">
        <f>'2020_5-2-2_Download'!P22</f>
        <v>26.736183524504693</v>
      </c>
    </row>
    <row r="1731" spans="2:9">
      <c r="B1731">
        <f>'2020_5-2-2_Download'!B23</f>
        <v>241999</v>
      </c>
      <c r="C1731">
        <f>'2020_5-2-2_Download'!$K$5</f>
        <v>2019</v>
      </c>
      <c r="D1731" t="str">
        <f>VLOOKUP(B1731,[1]Tabelle1!$A$1:$B$68,2,FALSE)</f>
        <v>dav. Hannover  Umland</v>
      </c>
      <c r="F1731" t="str">
        <f>'2020_5-2-2_Download'!$P$7</f>
        <v>niedrig</v>
      </c>
      <c r="G1731" t="s">
        <v>362</v>
      </c>
      <c r="H1731" t="str">
        <f>VLOOKUP(B1731,[2]Kreise!$A$2:$C$53,3,FALSE)</f>
        <v>K03241999</v>
      </c>
      <c r="I1731">
        <f>'2020_5-2-2_Download'!P23</f>
        <v>29.034276265808646</v>
      </c>
    </row>
    <row r="1732" spans="2:9">
      <c r="B1732">
        <f>'2020_5-2-2_Download'!B24</f>
        <v>251</v>
      </c>
      <c r="C1732">
        <f>'2020_5-2-2_Download'!$K$5</f>
        <v>2019</v>
      </c>
      <c r="D1732" t="str">
        <f>VLOOKUP(B1732,[1]Tabelle1!$A$1:$B$68,2,FALSE)</f>
        <v>Diepholz</v>
      </c>
      <c r="F1732" t="str">
        <f>'2020_5-2-2_Download'!$P$7</f>
        <v>niedrig</v>
      </c>
      <c r="G1732" t="s">
        <v>362</v>
      </c>
      <c r="H1732" t="str">
        <f>VLOOKUP(B1732,[2]Kreise!$A$2:$C$53,3,FALSE)</f>
        <v>K03251</v>
      </c>
      <c r="I1732">
        <f>'2020_5-2-2_Download'!P24</f>
        <v>25.281260045001606</v>
      </c>
    </row>
    <row r="1733" spans="2:9">
      <c r="B1733">
        <f>'2020_5-2-2_Download'!B25</f>
        <v>252</v>
      </c>
      <c r="C1733">
        <f>'2020_5-2-2_Download'!$K$5</f>
        <v>2019</v>
      </c>
      <c r="D1733" t="str">
        <f>VLOOKUP(B1733,[1]Tabelle1!$A$1:$B$68,2,FALSE)</f>
        <v>Hameln-Pyrmont</v>
      </c>
      <c r="F1733" t="str">
        <f>'2020_5-2-2_Download'!$P$7</f>
        <v>niedrig</v>
      </c>
      <c r="G1733" t="s">
        <v>362</v>
      </c>
      <c r="H1733" t="str">
        <f>VLOOKUP(B1733,[2]Kreise!$A$2:$C$53,3,FALSE)</f>
        <v>K03252</v>
      </c>
      <c r="I1733">
        <f>'2020_5-2-2_Download'!P25</f>
        <v>27.665350444225073</v>
      </c>
    </row>
    <row r="1734" spans="2:9">
      <c r="B1734">
        <f>'2020_5-2-2_Download'!B26</f>
        <v>254</v>
      </c>
      <c r="C1734">
        <f>'2020_5-2-2_Download'!$K$5</f>
        <v>2019</v>
      </c>
      <c r="D1734" t="str">
        <f>VLOOKUP(B1734,[1]Tabelle1!$A$1:$B$68,2,FALSE)</f>
        <v>Hildesheim</v>
      </c>
      <c r="F1734" t="str">
        <f>'2020_5-2-2_Download'!$P$7</f>
        <v>niedrig</v>
      </c>
      <c r="G1734" t="s">
        <v>362</v>
      </c>
      <c r="H1734" t="str">
        <f>VLOOKUP(B1734,[2]Kreise!$A$2:$C$53,3,FALSE)</f>
        <v>K03254</v>
      </c>
      <c r="I1734">
        <f>'2020_5-2-2_Download'!P26</f>
        <v>25.373854317414374</v>
      </c>
    </row>
    <row r="1735" spans="2:9">
      <c r="B1735">
        <f>'2020_5-2-2_Download'!B27</f>
        <v>255</v>
      </c>
      <c r="C1735">
        <f>'2020_5-2-2_Download'!$K$5</f>
        <v>2019</v>
      </c>
      <c r="D1735" t="str">
        <f>VLOOKUP(B1735,[1]Tabelle1!$A$1:$B$68,2,FALSE)</f>
        <v>Holzminden</v>
      </c>
      <c r="F1735" t="str">
        <f>'2020_5-2-2_Download'!$P$7</f>
        <v>niedrig</v>
      </c>
      <c r="G1735" t="s">
        <v>362</v>
      </c>
      <c r="H1735" t="str">
        <f>VLOOKUP(B1735,[2]Kreise!$A$2:$C$53,3,FALSE)</f>
        <v>K03255</v>
      </c>
      <c r="I1735">
        <f>'2020_5-2-2_Download'!P27</f>
        <v>27.867698803659394</v>
      </c>
    </row>
    <row r="1736" spans="2:9">
      <c r="B1736">
        <f>'2020_5-2-2_Download'!B28</f>
        <v>256</v>
      </c>
      <c r="C1736">
        <f>'2020_5-2-2_Download'!$K$5</f>
        <v>2019</v>
      </c>
      <c r="D1736" t="str">
        <f>VLOOKUP(B1736,[1]Tabelle1!$A$1:$B$68,2,FALSE)</f>
        <v>Nienburg (Weser)</v>
      </c>
      <c r="F1736" t="str">
        <f>'2020_5-2-2_Download'!$P$7</f>
        <v>niedrig</v>
      </c>
      <c r="G1736" t="s">
        <v>362</v>
      </c>
      <c r="H1736" t="str">
        <f>VLOOKUP(B1736,[2]Kreise!$A$2:$C$53,3,FALSE)</f>
        <v>K03256</v>
      </c>
      <c r="I1736">
        <f>'2020_5-2-2_Download'!P28</f>
        <v>24.689040131424548</v>
      </c>
    </row>
    <row r="1737" spans="2:9">
      <c r="B1737">
        <f>'2020_5-2-2_Download'!B29</f>
        <v>257</v>
      </c>
      <c r="C1737">
        <f>'2020_5-2-2_Download'!$K$5</f>
        <v>2019</v>
      </c>
      <c r="D1737" t="str">
        <f>VLOOKUP(B1737,[1]Tabelle1!$A$1:$B$68,2,FALSE)</f>
        <v>Schaumburg</v>
      </c>
      <c r="F1737" t="str">
        <f>'2020_5-2-2_Download'!$P$7</f>
        <v>niedrig</v>
      </c>
      <c r="G1737" t="s">
        <v>362</v>
      </c>
      <c r="H1737" t="str">
        <f>VLOOKUP(B1737,[2]Kreise!$A$2:$C$53,3,FALSE)</f>
        <v>K03257</v>
      </c>
      <c r="I1737">
        <f>'2020_5-2-2_Download'!P29</f>
        <v>26.24017348875034</v>
      </c>
    </row>
    <row r="1738" spans="2:9">
      <c r="B1738">
        <f>'2020_5-2-2_Download'!B30</f>
        <v>2</v>
      </c>
      <c r="C1738">
        <f>'2020_5-2-2_Download'!$K$5</f>
        <v>2019</v>
      </c>
      <c r="D1738" t="str">
        <f>VLOOKUP(B1738,[1]Tabelle1!$A$1:$B$68,2,FALSE)</f>
        <v>Stat. Region Hannover</v>
      </c>
      <c r="F1738" t="str">
        <f>'2020_5-2-2_Download'!$P$7</f>
        <v>niedrig</v>
      </c>
      <c r="G1738" t="s">
        <v>362</v>
      </c>
      <c r="H1738" t="str">
        <f>VLOOKUP(B1738,[2]Kreise!$A$2:$C$53,3,FALSE)</f>
        <v>K032</v>
      </c>
      <c r="I1738">
        <f>'2020_5-2-2_Download'!P30</f>
        <v>27.067816768859483</v>
      </c>
    </row>
    <row r="1739" spans="2:9">
      <c r="B1739">
        <f>'2020_5-2-2_Download'!B31</f>
        <v>351</v>
      </c>
      <c r="C1739">
        <f>'2020_5-2-2_Download'!$K$5</f>
        <v>2019</v>
      </c>
      <c r="D1739" t="str">
        <f>VLOOKUP(B1739,[1]Tabelle1!$A$1:$B$68,2,FALSE)</f>
        <v>Celle</v>
      </c>
      <c r="F1739" t="str">
        <f>'2020_5-2-2_Download'!$P$7</f>
        <v>niedrig</v>
      </c>
      <c r="G1739" t="s">
        <v>362</v>
      </c>
      <c r="H1739" t="str">
        <f>VLOOKUP(B1739,[2]Kreise!$A$2:$C$53,3,FALSE)</f>
        <v>K03351</v>
      </c>
      <c r="I1739">
        <f>'2020_5-2-2_Download'!P31</f>
        <v>30.387314790746036</v>
      </c>
    </row>
    <row r="1740" spans="2:9">
      <c r="B1740">
        <f>'2020_5-2-2_Download'!B32</f>
        <v>352</v>
      </c>
      <c r="C1740">
        <f>'2020_5-2-2_Download'!$K$5</f>
        <v>2019</v>
      </c>
      <c r="D1740" t="str">
        <f>VLOOKUP(B1740,[1]Tabelle1!$A$1:$B$68,2,FALSE)</f>
        <v>Cuxhaven</v>
      </c>
      <c r="F1740" t="str">
        <f>'2020_5-2-2_Download'!$P$7</f>
        <v>niedrig</v>
      </c>
      <c r="G1740" t="s">
        <v>362</v>
      </c>
      <c r="H1740" t="str">
        <f>VLOOKUP(B1740,[2]Kreise!$A$2:$C$53,3,FALSE)</f>
        <v>K03352</v>
      </c>
      <c r="I1740">
        <f>'2020_5-2-2_Download'!P32</f>
        <v>25.668700140778977</v>
      </c>
    </row>
    <row r="1741" spans="2:9">
      <c r="B1741">
        <f>'2020_5-2-2_Download'!B33</f>
        <v>353</v>
      </c>
      <c r="C1741">
        <f>'2020_5-2-2_Download'!$K$5</f>
        <v>2019</v>
      </c>
      <c r="D1741" t="str">
        <f>VLOOKUP(B1741,[1]Tabelle1!$A$1:$B$68,2,FALSE)</f>
        <v>Harburg</v>
      </c>
      <c r="F1741" t="str">
        <f>'2020_5-2-2_Download'!$P$7</f>
        <v>niedrig</v>
      </c>
      <c r="G1741" t="s">
        <v>362</v>
      </c>
      <c r="H1741" t="str">
        <f>VLOOKUP(B1741,[2]Kreise!$A$2:$C$53,3,FALSE)</f>
        <v>K03353</v>
      </c>
      <c r="I1741">
        <f>'2020_5-2-2_Download'!P33</f>
        <v>28.547745358090186</v>
      </c>
    </row>
    <row r="1742" spans="2:9">
      <c r="B1742">
        <f>'2020_5-2-2_Download'!B34</f>
        <v>354</v>
      </c>
      <c r="C1742">
        <f>'2020_5-2-2_Download'!$K$5</f>
        <v>2019</v>
      </c>
      <c r="D1742" t="str">
        <f>VLOOKUP(B1742,[1]Tabelle1!$A$1:$B$68,2,FALSE)</f>
        <v>Lüchow-Dannenberg</v>
      </c>
      <c r="F1742" t="str">
        <f>'2020_5-2-2_Download'!$P$7</f>
        <v>niedrig</v>
      </c>
      <c r="G1742" t="s">
        <v>362</v>
      </c>
      <c r="H1742" t="str">
        <f>VLOOKUP(B1742,[2]Kreise!$A$2:$C$53,3,FALSE)</f>
        <v>K03354</v>
      </c>
      <c r="I1742">
        <f>'2020_5-2-2_Download'!P34</f>
        <v>17.391304347826086</v>
      </c>
    </row>
    <row r="1743" spans="2:9">
      <c r="B1743">
        <f>'2020_5-2-2_Download'!B35</f>
        <v>355</v>
      </c>
      <c r="C1743">
        <f>'2020_5-2-2_Download'!$K$5</f>
        <v>2019</v>
      </c>
      <c r="D1743" t="str">
        <f>VLOOKUP(B1743,[1]Tabelle1!$A$1:$B$68,2,FALSE)</f>
        <v>Lüneburg</v>
      </c>
      <c r="F1743" t="str">
        <f>'2020_5-2-2_Download'!$P$7</f>
        <v>niedrig</v>
      </c>
      <c r="G1743" t="s">
        <v>362</v>
      </c>
      <c r="H1743" t="str">
        <f>VLOOKUP(B1743,[2]Kreise!$A$2:$C$53,3,FALSE)</f>
        <v>K03355</v>
      </c>
      <c r="I1743">
        <f>'2020_5-2-2_Download'!P35</f>
        <v>27.363566487317449</v>
      </c>
    </row>
    <row r="1744" spans="2:9">
      <c r="B1744">
        <f>'2020_5-2-2_Download'!B36</f>
        <v>356</v>
      </c>
      <c r="C1744">
        <f>'2020_5-2-2_Download'!$K$5</f>
        <v>2019</v>
      </c>
      <c r="D1744" t="str">
        <f>VLOOKUP(B1744,[1]Tabelle1!$A$1:$B$68,2,FALSE)</f>
        <v>Osterholz</v>
      </c>
      <c r="F1744" t="str">
        <f>'2020_5-2-2_Download'!$P$7</f>
        <v>niedrig</v>
      </c>
      <c r="G1744" t="s">
        <v>362</v>
      </c>
      <c r="H1744" t="str">
        <f>VLOOKUP(B1744,[2]Kreise!$A$2:$C$53,3,FALSE)</f>
        <v>K03356</v>
      </c>
      <c r="I1744">
        <f>'2020_5-2-2_Download'!P36</f>
        <v>26.347607052896727</v>
      </c>
    </row>
    <row r="1745" spans="2:9">
      <c r="B1745">
        <f>'2020_5-2-2_Download'!B37</f>
        <v>357</v>
      </c>
      <c r="C1745">
        <f>'2020_5-2-2_Download'!$K$5</f>
        <v>2019</v>
      </c>
      <c r="D1745" t="str">
        <f>VLOOKUP(B1745,[1]Tabelle1!$A$1:$B$68,2,FALSE)</f>
        <v>Rotenburg (Wümme)</v>
      </c>
      <c r="F1745" t="str">
        <f>'2020_5-2-2_Download'!$P$7</f>
        <v>niedrig</v>
      </c>
      <c r="G1745" t="s">
        <v>362</v>
      </c>
      <c r="H1745" t="str">
        <f>VLOOKUP(B1745,[2]Kreise!$A$2:$C$53,3,FALSE)</f>
        <v>K03357</v>
      </c>
      <c r="I1745">
        <f>'2020_5-2-2_Download'!P37</f>
        <v>23.960107029919726</v>
      </c>
    </row>
    <row r="1746" spans="2:9">
      <c r="B1746">
        <f>'2020_5-2-2_Download'!B38</f>
        <v>358</v>
      </c>
      <c r="C1746">
        <f>'2020_5-2-2_Download'!$K$5</f>
        <v>2019</v>
      </c>
      <c r="D1746" t="str">
        <f>VLOOKUP(B1746,[1]Tabelle1!$A$1:$B$68,2,FALSE)</f>
        <v>Heidekreis</v>
      </c>
      <c r="F1746" t="str">
        <f>'2020_5-2-2_Download'!$P$7</f>
        <v>niedrig</v>
      </c>
      <c r="G1746" t="s">
        <v>362</v>
      </c>
      <c r="H1746" t="str">
        <f>VLOOKUP(B1746,[2]Kreise!$A$2:$C$53,3,FALSE)</f>
        <v>K03358</v>
      </c>
      <c r="I1746">
        <f>'2020_5-2-2_Download'!P38</f>
        <v>21.43698468786808</v>
      </c>
    </row>
    <row r="1747" spans="2:9">
      <c r="B1747">
        <f>'2020_5-2-2_Download'!B39</f>
        <v>359</v>
      </c>
      <c r="C1747">
        <f>'2020_5-2-2_Download'!$K$5</f>
        <v>2019</v>
      </c>
      <c r="D1747" t="str">
        <f>VLOOKUP(B1747,[1]Tabelle1!$A$1:$B$68,2,FALSE)</f>
        <v>Stade</v>
      </c>
      <c r="F1747" t="str">
        <f>'2020_5-2-2_Download'!$P$7</f>
        <v>niedrig</v>
      </c>
      <c r="G1747" t="s">
        <v>362</v>
      </c>
      <c r="H1747" t="str">
        <f>VLOOKUP(B1747,[2]Kreise!$A$2:$C$53,3,FALSE)</f>
        <v>K03359</v>
      </c>
      <c r="I1747">
        <f>'2020_5-2-2_Download'!P39</f>
        <v>22.048641931475235</v>
      </c>
    </row>
    <row r="1748" spans="2:9">
      <c r="B1748">
        <f>'2020_5-2-2_Download'!B40</f>
        <v>360</v>
      </c>
      <c r="C1748">
        <f>'2020_5-2-2_Download'!$K$5</f>
        <v>2019</v>
      </c>
      <c r="D1748" t="str">
        <f>VLOOKUP(B1748,[1]Tabelle1!$A$1:$B$68,2,FALSE)</f>
        <v>Uelzen</v>
      </c>
      <c r="F1748" t="str">
        <f>'2020_5-2-2_Download'!$P$7</f>
        <v>niedrig</v>
      </c>
      <c r="G1748" t="s">
        <v>362</v>
      </c>
      <c r="H1748" t="str">
        <f>VLOOKUP(B1748,[2]Kreise!$A$2:$C$53,3,FALSE)</f>
        <v>K03360</v>
      </c>
      <c r="I1748">
        <f>'2020_5-2-2_Download'!P40</f>
        <v>22.229102167182663</v>
      </c>
    </row>
    <row r="1749" spans="2:9">
      <c r="B1749">
        <f>'2020_5-2-2_Download'!B41</f>
        <v>361</v>
      </c>
      <c r="C1749">
        <f>'2020_5-2-2_Download'!$K$5</f>
        <v>2019</v>
      </c>
      <c r="D1749" t="str">
        <f>VLOOKUP(B1749,[1]Tabelle1!$A$1:$B$68,2,FALSE)</f>
        <v>Verden</v>
      </c>
      <c r="F1749" t="str">
        <f>'2020_5-2-2_Download'!$P$7</f>
        <v>niedrig</v>
      </c>
      <c r="G1749" t="s">
        <v>362</v>
      </c>
      <c r="H1749" t="str">
        <f>VLOOKUP(B1749,[2]Kreise!$A$2:$C$53,3,FALSE)</f>
        <v>K03361</v>
      </c>
      <c r="I1749">
        <f>'2020_5-2-2_Download'!P41</f>
        <v>26.012269938650306</v>
      </c>
    </row>
    <row r="1750" spans="2:9">
      <c r="B1750">
        <f>'2020_5-2-2_Download'!B42</f>
        <v>3</v>
      </c>
      <c r="C1750">
        <f>'2020_5-2-2_Download'!$K$5</f>
        <v>2019</v>
      </c>
      <c r="D1750" t="str">
        <f>VLOOKUP(B1750,[1]Tabelle1!$A$1:$B$68,2,FALSE)</f>
        <v>Stat. Region Lüneburg</v>
      </c>
      <c r="F1750" t="str">
        <f>'2020_5-2-2_Download'!$P$7</f>
        <v>niedrig</v>
      </c>
      <c r="G1750" t="s">
        <v>362</v>
      </c>
      <c r="H1750" t="str">
        <f>VLOOKUP(B1750,[2]Kreise!$A$2:$C$53,3,FALSE)</f>
        <v>K033</v>
      </c>
      <c r="I1750">
        <f>'2020_5-2-2_Download'!P42</f>
        <v>25.601102775015818</v>
      </c>
    </row>
    <row r="1751" spans="2:9">
      <c r="B1751">
        <f>'2020_5-2-2_Download'!B43</f>
        <v>401</v>
      </c>
      <c r="C1751">
        <f>'2020_5-2-2_Download'!$K$5</f>
        <v>2019</v>
      </c>
      <c r="D1751" t="str">
        <f>VLOOKUP(B1751,[1]Tabelle1!$A$1:$B$68,2,FALSE)</f>
        <v>Delmenhorst  Stadt</v>
      </c>
      <c r="F1751" t="str">
        <f>'2020_5-2-2_Download'!$P$7</f>
        <v>niedrig</v>
      </c>
      <c r="G1751" t="s">
        <v>362</v>
      </c>
      <c r="H1751" t="str">
        <f>VLOOKUP(B1751,[2]Kreise!$A$2:$C$53,3,FALSE)</f>
        <v>K03401</v>
      </c>
      <c r="I1751">
        <f>'2020_5-2-2_Download'!P43</f>
        <v>28.856825749167591</v>
      </c>
    </row>
    <row r="1752" spans="2:9">
      <c r="B1752">
        <f>'2020_5-2-2_Download'!B44</f>
        <v>402</v>
      </c>
      <c r="C1752">
        <f>'2020_5-2-2_Download'!$K$5</f>
        <v>2019</v>
      </c>
      <c r="D1752" t="str">
        <f>VLOOKUP(B1752,[1]Tabelle1!$A$1:$B$68,2,FALSE)</f>
        <v>Emden  Stadt</v>
      </c>
      <c r="F1752" t="str">
        <f>'2020_5-2-2_Download'!$P$7</f>
        <v>niedrig</v>
      </c>
      <c r="G1752" t="s">
        <v>362</v>
      </c>
      <c r="H1752" t="str">
        <f>VLOOKUP(B1752,[2]Kreise!$A$2:$C$53,3,FALSE)</f>
        <v>K03402</v>
      </c>
      <c r="I1752">
        <f>'2020_5-2-2_Download'!P44</f>
        <v>26.466009340944474</v>
      </c>
    </row>
    <row r="1753" spans="2:9">
      <c r="B1753">
        <f>'2020_5-2-2_Download'!B45</f>
        <v>403</v>
      </c>
      <c r="C1753">
        <f>'2020_5-2-2_Download'!$K$5</f>
        <v>2019</v>
      </c>
      <c r="D1753" t="str">
        <f>VLOOKUP(B1753,[1]Tabelle1!$A$1:$B$68,2,FALSE)</f>
        <v>Oldenburg(Oldb)  Stadt</v>
      </c>
      <c r="F1753" t="str">
        <f>'2020_5-2-2_Download'!$P$7</f>
        <v>niedrig</v>
      </c>
      <c r="G1753" t="s">
        <v>362</v>
      </c>
      <c r="H1753" t="str">
        <f>VLOOKUP(B1753,[2]Kreise!$A$2:$C$53,3,FALSE)</f>
        <v>K03403</v>
      </c>
      <c r="I1753">
        <f>'2020_5-2-2_Download'!P45</f>
        <v>27.576838172864662</v>
      </c>
    </row>
    <row r="1754" spans="2:9">
      <c r="B1754">
        <f>'2020_5-2-2_Download'!B46</f>
        <v>404</v>
      </c>
      <c r="C1754">
        <f>'2020_5-2-2_Download'!$K$5</f>
        <v>2019</v>
      </c>
      <c r="D1754" t="str">
        <f>VLOOKUP(B1754,[1]Tabelle1!$A$1:$B$68,2,FALSE)</f>
        <v>Osnabrück  Stadt</v>
      </c>
      <c r="F1754" t="str">
        <f>'2020_5-2-2_Download'!$P$7</f>
        <v>niedrig</v>
      </c>
      <c r="G1754" t="s">
        <v>362</v>
      </c>
      <c r="H1754" t="str">
        <f>VLOOKUP(B1754,[2]Kreise!$A$2:$C$53,3,FALSE)</f>
        <v>K03404</v>
      </c>
      <c r="I1754">
        <f>'2020_5-2-2_Download'!P46</f>
        <v>32.050539005448009</v>
      </c>
    </row>
    <row r="1755" spans="2:9">
      <c r="B1755">
        <f>'2020_5-2-2_Download'!B47</f>
        <v>405</v>
      </c>
      <c r="C1755">
        <f>'2020_5-2-2_Download'!$K$5</f>
        <v>2019</v>
      </c>
      <c r="D1755" t="str">
        <f>VLOOKUP(B1755,[1]Tabelle1!$A$1:$B$68,2,FALSE)</f>
        <v>Wilhelmshaven  Stadt</v>
      </c>
      <c r="F1755" t="str">
        <f>'2020_5-2-2_Download'!$P$7</f>
        <v>niedrig</v>
      </c>
      <c r="G1755" t="s">
        <v>362</v>
      </c>
      <c r="H1755" t="str">
        <f>VLOOKUP(B1755,[2]Kreise!$A$2:$C$53,3,FALSE)</f>
        <v>K03405</v>
      </c>
      <c r="I1755">
        <f>'2020_5-2-2_Download'!P47</f>
        <v>30.726939523518631</v>
      </c>
    </row>
    <row r="1756" spans="2:9">
      <c r="B1756">
        <f>'2020_5-2-2_Download'!B48</f>
        <v>451</v>
      </c>
      <c r="C1756">
        <f>'2020_5-2-2_Download'!$K$5</f>
        <v>2019</v>
      </c>
      <c r="D1756" t="str">
        <f>VLOOKUP(B1756,[1]Tabelle1!$A$1:$B$68,2,FALSE)</f>
        <v>Ammerland</v>
      </c>
      <c r="F1756" t="str">
        <f>'2020_5-2-2_Download'!$P$7</f>
        <v>niedrig</v>
      </c>
      <c r="G1756" t="s">
        <v>362</v>
      </c>
      <c r="H1756" t="str">
        <f>VLOOKUP(B1756,[2]Kreise!$A$2:$C$53,3,FALSE)</f>
        <v>K03451</v>
      </c>
      <c r="I1756">
        <f>'2020_5-2-2_Download'!P48</f>
        <v>24.861294583883751</v>
      </c>
    </row>
    <row r="1757" spans="2:9">
      <c r="B1757">
        <f>'2020_5-2-2_Download'!B49</f>
        <v>452</v>
      </c>
      <c r="C1757">
        <f>'2020_5-2-2_Download'!$K$5</f>
        <v>2019</v>
      </c>
      <c r="D1757" t="str">
        <f>VLOOKUP(B1757,[1]Tabelle1!$A$1:$B$68,2,FALSE)</f>
        <v>Aurich</v>
      </c>
      <c r="F1757" t="str">
        <f>'2020_5-2-2_Download'!$P$7</f>
        <v>niedrig</v>
      </c>
      <c r="G1757" t="s">
        <v>362</v>
      </c>
      <c r="H1757" t="str">
        <f>VLOOKUP(B1757,[2]Kreise!$A$2:$C$53,3,FALSE)</f>
        <v>K03452</v>
      </c>
      <c r="I1757">
        <f>'2020_5-2-2_Download'!P49</f>
        <v>26.335090534036215</v>
      </c>
    </row>
    <row r="1758" spans="2:9">
      <c r="B1758">
        <f>'2020_5-2-2_Download'!B50</f>
        <v>453</v>
      </c>
      <c r="C1758">
        <f>'2020_5-2-2_Download'!$K$5</f>
        <v>2019</v>
      </c>
      <c r="D1758" t="str">
        <f>VLOOKUP(B1758,[1]Tabelle1!$A$1:$B$68,2,FALSE)</f>
        <v>Cloppenburg</v>
      </c>
      <c r="F1758" t="str">
        <f>'2020_5-2-2_Download'!$P$7</f>
        <v>niedrig</v>
      </c>
      <c r="G1758" t="s">
        <v>362</v>
      </c>
      <c r="H1758" t="str">
        <f>VLOOKUP(B1758,[2]Kreise!$A$2:$C$53,3,FALSE)</f>
        <v>K03453</v>
      </c>
      <c r="I1758">
        <f>'2020_5-2-2_Download'!P50</f>
        <v>28.005982053838483</v>
      </c>
    </row>
    <row r="1759" spans="2:9">
      <c r="B1759">
        <f>'2020_5-2-2_Download'!B51</f>
        <v>454</v>
      </c>
      <c r="C1759">
        <f>'2020_5-2-2_Download'!$K$5</f>
        <v>2019</v>
      </c>
      <c r="D1759" t="str">
        <f>VLOOKUP(B1759,[1]Tabelle1!$A$1:$B$68,2,FALSE)</f>
        <v>Emsland</v>
      </c>
      <c r="F1759" t="str">
        <f>'2020_5-2-2_Download'!$P$7</f>
        <v>niedrig</v>
      </c>
      <c r="G1759" t="s">
        <v>362</v>
      </c>
      <c r="H1759" t="str">
        <f>VLOOKUP(B1759,[2]Kreise!$A$2:$C$53,3,FALSE)</f>
        <v>K03454</v>
      </c>
      <c r="I1759">
        <f>'2020_5-2-2_Download'!P51</f>
        <v>19.186547858580052</v>
      </c>
    </row>
    <row r="1760" spans="2:9">
      <c r="B1760">
        <f>'2020_5-2-2_Download'!B52</f>
        <v>455</v>
      </c>
      <c r="C1760">
        <f>'2020_5-2-2_Download'!$K$5</f>
        <v>2019</v>
      </c>
      <c r="D1760" t="str">
        <f>VLOOKUP(B1760,[1]Tabelle1!$A$1:$B$68,2,FALSE)</f>
        <v>Friesland</v>
      </c>
      <c r="F1760" t="str">
        <f>'2020_5-2-2_Download'!$P$7</f>
        <v>niedrig</v>
      </c>
      <c r="G1760" t="s">
        <v>362</v>
      </c>
      <c r="H1760" t="str">
        <f>VLOOKUP(B1760,[2]Kreise!$A$2:$C$53,3,FALSE)</f>
        <v>K03455</v>
      </c>
      <c r="I1760">
        <f>'2020_5-2-2_Download'!P52</f>
        <v>22.316986496090973</v>
      </c>
    </row>
    <row r="1761" spans="2:9">
      <c r="B1761">
        <f>'2020_5-2-2_Download'!B53</f>
        <v>456</v>
      </c>
      <c r="C1761">
        <f>'2020_5-2-2_Download'!$K$5</f>
        <v>2019</v>
      </c>
      <c r="D1761" t="str">
        <f>VLOOKUP(B1761,[1]Tabelle1!$A$1:$B$68,2,FALSE)</f>
        <v>Grafschaft Bentheim</v>
      </c>
      <c r="F1761" t="str">
        <f>'2020_5-2-2_Download'!$P$7</f>
        <v>niedrig</v>
      </c>
      <c r="G1761" t="s">
        <v>362</v>
      </c>
      <c r="H1761" t="str">
        <f>VLOOKUP(B1761,[2]Kreise!$A$2:$C$53,3,FALSE)</f>
        <v>K03456</v>
      </c>
      <c r="I1761">
        <f>'2020_5-2-2_Download'!P53</f>
        <v>21.50936726758572</v>
      </c>
    </row>
    <row r="1762" spans="2:9">
      <c r="B1762">
        <f>'2020_5-2-2_Download'!B54</f>
        <v>457</v>
      </c>
      <c r="C1762">
        <f>'2020_5-2-2_Download'!$K$5</f>
        <v>2019</v>
      </c>
      <c r="D1762" t="str">
        <f>VLOOKUP(B1762,[1]Tabelle1!$A$1:$B$68,2,FALSE)</f>
        <v>Leer</v>
      </c>
      <c r="F1762" t="str">
        <f>'2020_5-2-2_Download'!$P$7</f>
        <v>niedrig</v>
      </c>
      <c r="G1762" t="s">
        <v>362</v>
      </c>
      <c r="H1762" t="str">
        <f>VLOOKUP(B1762,[2]Kreise!$A$2:$C$53,3,FALSE)</f>
        <v>K03457</v>
      </c>
      <c r="I1762">
        <f>'2020_5-2-2_Download'!P54</f>
        <v>16.952329941081949</v>
      </c>
    </row>
    <row r="1763" spans="2:9">
      <c r="B1763">
        <f>'2020_5-2-2_Download'!B55</f>
        <v>458</v>
      </c>
      <c r="C1763">
        <f>'2020_5-2-2_Download'!$K$5</f>
        <v>2019</v>
      </c>
      <c r="D1763" t="str">
        <f>VLOOKUP(B1763,[1]Tabelle1!$A$1:$B$68,2,FALSE)</f>
        <v>Oldenburg</v>
      </c>
      <c r="F1763" t="str">
        <f>'2020_5-2-2_Download'!$P$7</f>
        <v>niedrig</v>
      </c>
      <c r="G1763" t="s">
        <v>362</v>
      </c>
      <c r="H1763" t="str">
        <f>VLOOKUP(B1763,[2]Kreise!$A$2:$C$53,3,FALSE)</f>
        <v>K03458</v>
      </c>
      <c r="I1763">
        <f>'2020_5-2-2_Download'!P55</f>
        <v>27.035040431266847</v>
      </c>
    </row>
    <row r="1764" spans="2:9">
      <c r="B1764">
        <f>'2020_5-2-2_Download'!B56</f>
        <v>459</v>
      </c>
      <c r="C1764">
        <f>'2020_5-2-2_Download'!$K$5</f>
        <v>2019</v>
      </c>
      <c r="D1764" t="str">
        <f>VLOOKUP(B1764,[1]Tabelle1!$A$1:$B$68,2,FALSE)</f>
        <v>Osnabrück</v>
      </c>
      <c r="F1764" t="str">
        <f>'2020_5-2-2_Download'!$P$7</f>
        <v>niedrig</v>
      </c>
      <c r="G1764" t="s">
        <v>362</v>
      </c>
      <c r="H1764" t="str">
        <f>VLOOKUP(B1764,[2]Kreise!$A$2:$C$53,3,FALSE)</f>
        <v>K03459</v>
      </c>
      <c r="I1764">
        <f>'2020_5-2-2_Download'!P56</f>
        <v>24.55651580623152</v>
      </c>
    </row>
    <row r="1765" spans="2:9">
      <c r="B1765">
        <f>'2020_5-2-2_Download'!B57</f>
        <v>460</v>
      </c>
      <c r="C1765">
        <f>'2020_5-2-2_Download'!$K$5</f>
        <v>2019</v>
      </c>
      <c r="D1765" t="str">
        <f>VLOOKUP(B1765,[1]Tabelle1!$A$1:$B$68,2,FALSE)</f>
        <v>Vechta</v>
      </c>
      <c r="F1765" t="str">
        <f>'2020_5-2-2_Download'!$P$7</f>
        <v>niedrig</v>
      </c>
      <c r="G1765" t="s">
        <v>362</v>
      </c>
      <c r="H1765" t="str">
        <f>VLOOKUP(B1765,[2]Kreise!$A$2:$C$53,3,FALSE)</f>
        <v>K03460</v>
      </c>
      <c r="I1765">
        <f>'2020_5-2-2_Download'!P57</f>
        <v>27.406716417910449</v>
      </c>
    </row>
    <row r="1766" spans="2:9">
      <c r="B1766">
        <f>'2020_5-2-2_Download'!B58</f>
        <v>461</v>
      </c>
      <c r="C1766">
        <f>'2020_5-2-2_Download'!$K$5</f>
        <v>2019</v>
      </c>
      <c r="D1766" t="str">
        <f>VLOOKUP(B1766,[1]Tabelle1!$A$1:$B$68,2,FALSE)</f>
        <v>Wesermarsch</v>
      </c>
      <c r="F1766" t="str">
        <f>'2020_5-2-2_Download'!$P$7</f>
        <v>niedrig</v>
      </c>
      <c r="G1766" t="s">
        <v>362</v>
      </c>
      <c r="H1766" t="str">
        <f>VLOOKUP(B1766,[2]Kreise!$A$2:$C$53,3,FALSE)</f>
        <v>K03461</v>
      </c>
      <c r="I1766">
        <f>'2020_5-2-2_Download'!P58</f>
        <v>20.36962635596625</v>
      </c>
    </row>
    <row r="1767" spans="2:9">
      <c r="B1767">
        <f>'2020_5-2-2_Download'!B59</f>
        <v>462</v>
      </c>
      <c r="C1767">
        <f>'2020_5-2-2_Download'!$K$5</f>
        <v>2019</v>
      </c>
      <c r="D1767" t="str">
        <f>VLOOKUP(B1767,[1]Tabelle1!$A$1:$B$68,2,FALSE)</f>
        <v>Wittmund</v>
      </c>
      <c r="F1767" t="str">
        <f>'2020_5-2-2_Download'!$P$7</f>
        <v>niedrig</v>
      </c>
      <c r="G1767" t="s">
        <v>362</v>
      </c>
      <c r="H1767" t="str">
        <f>VLOOKUP(B1767,[2]Kreise!$A$2:$C$53,3,FALSE)</f>
        <v>K03462</v>
      </c>
      <c r="I1767">
        <f>'2020_5-2-2_Download'!P59</f>
        <v>18.623481781376519</v>
      </c>
    </row>
    <row r="1768" spans="2:9">
      <c r="B1768">
        <f>'2020_5-2-2_Download'!B60</f>
        <v>4</v>
      </c>
      <c r="C1768">
        <f>'2020_5-2-2_Download'!$K$5</f>
        <v>2019</v>
      </c>
      <c r="D1768" t="str">
        <f>VLOOKUP(B1768,[1]Tabelle1!$A$1:$B$68,2,FALSE)</f>
        <v>Stat. Region Weser-Ems</v>
      </c>
      <c r="F1768" t="str">
        <f>'2020_5-2-2_Download'!$P$7</f>
        <v>niedrig</v>
      </c>
      <c r="G1768" t="s">
        <v>362</v>
      </c>
      <c r="H1768" t="str">
        <f>VLOOKUP(B1768,[2]Kreise!$A$2:$C$53,3,FALSE)</f>
        <v>K034</v>
      </c>
      <c r="I1768">
        <f>'2020_5-2-2_Download'!P60</f>
        <v>25.039177775516436</v>
      </c>
    </row>
    <row r="1769" spans="2:9">
      <c r="B1769">
        <f>'2020_5-2-2_Download'!B61</f>
        <v>0</v>
      </c>
      <c r="C1769">
        <f>'2020_5-2-2_Download'!$K$5</f>
        <v>2019</v>
      </c>
      <c r="D1769" t="str">
        <f>VLOOKUP(B1769,[1]Tabelle1!$A$1:$B$68,2,FALSE)</f>
        <v>Niedersachsen</v>
      </c>
      <c r="F1769" t="str">
        <f>'2020_5-2-2_Download'!$P$7</f>
        <v>niedrig</v>
      </c>
      <c r="G1769" t="s">
        <v>362</v>
      </c>
      <c r="H1769" t="str">
        <f>VLOOKUP(B1769,[2]Kreise!$A$2:$C$53,3,FALSE)</f>
        <v>K030</v>
      </c>
      <c r="I1769">
        <f>'2020_5-2-2_Download'!P61</f>
        <v>25.281509267274391</v>
      </c>
    </row>
    <row r="1770" spans="2:9">
      <c r="B1770">
        <f>'2020_5-2-2_Download'!B10</f>
        <v>101</v>
      </c>
      <c r="C1770">
        <f>'2020_5-2-2_Download'!$K$5</f>
        <v>2019</v>
      </c>
      <c r="D1770" t="str">
        <f>VLOOKUP(B1770,[1]Tabelle1!$A$1:$B$68,2,FALSE)</f>
        <v>Braunschweig  Stadt</v>
      </c>
      <c r="F1770" t="str">
        <f>'2020_5-2-2_Download'!$Q$7</f>
        <v>unbekannt</v>
      </c>
      <c r="G1770" t="s">
        <v>362</v>
      </c>
      <c r="H1770" t="str">
        <f>VLOOKUP(B1770,[2]Kreise!$A$2:$C$53,3,FALSE)</f>
        <v>K03101</v>
      </c>
      <c r="I1770">
        <f>'2020_5-2-2_Download'!Q10</f>
        <v>24.997759254279824</v>
      </c>
    </row>
    <row r="1771" spans="2:9">
      <c r="B1771">
        <f>'2020_5-2-2_Download'!B11</f>
        <v>102</v>
      </c>
      <c r="C1771">
        <f>'2020_5-2-2_Download'!$K$5</f>
        <v>2019</v>
      </c>
      <c r="D1771" t="str">
        <f>VLOOKUP(B1771,[1]Tabelle1!$A$1:$B$68,2,FALSE)</f>
        <v>Salzgitter  Stadt</v>
      </c>
      <c r="F1771" t="str">
        <f>'2020_5-2-2_Download'!$Q$7</f>
        <v>unbekannt</v>
      </c>
      <c r="G1771" t="s">
        <v>362</v>
      </c>
      <c r="H1771" t="str">
        <f>VLOOKUP(B1771,[2]Kreise!$A$2:$C$53,3,FALSE)</f>
        <v>K03102</v>
      </c>
      <c r="I1771">
        <f>'2020_5-2-2_Download'!Q11</f>
        <v>27.638508531704232</v>
      </c>
    </row>
    <row r="1772" spans="2:9">
      <c r="B1772">
        <f>'2020_5-2-2_Download'!B12</f>
        <v>103</v>
      </c>
      <c r="C1772">
        <f>'2020_5-2-2_Download'!$K$5</f>
        <v>2019</v>
      </c>
      <c r="D1772" t="str">
        <f>VLOOKUP(B1772,[1]Tabelle1!$A$1:$B$68,2,FALSE)</f>
        <v>Wolfsburg  Stadt</v>
      </c>
      <c r="F1772" t="str">
        <f>'2020_5-2-2_Download'!$Q$7</f>
        <v>unbekannt</v>
      </c>
      <c r="G1772" t="s">
        <v>362</v>
      </c>
      <c r="H1772" t="str">
        <f>VLOOKUP(B1772,[2]Kreise!$A$2:$C$53,3,FALSE)</f>
        <v>K03103</v>
      </c>
      <c r="I1772">
        <f>'2020_5-2-2_Download'!Q12</f>
        <v>28.333981337480559</v>
      </c>
    </row>
    <row r="1773" spans="2:9">
      <c r="B1773">
        <f>'2020_5-2-2_Download'!B13</f>
        <v>151</v>
      </c>
      <c r="C1773">
        <f>'2020_5-2-2_Download'!$K$5</f>
        <v>2019</v>
      </c>
      <c r="D1773" t="str">
        <f>VLOOKUP(B1773,[1]Tabelle1!$A$1:$B$68,2,FALSE)</f>
        <v>Gifhorn</v>
      </c>
      <c r="F1773" t="str">
        <f>'2020_5-2-2_Download'!$Q$7</f>
        <v>unbekannt</v>
      </c>
      <c r="G1773" t="s">
        <v>362</v>
      </c>
      <c r="H1773" t="str">
        <f>VLOOKUP(B1773,[2]Kreise!$A$2:$C$53,3,FALSE)</f>
        <v>K03151</v>
      </c>
      <c r="I1773">
        <f>'2020_5-2-2_Download'!Q13</f>
        <v>32.664473684210527</v>
      </c>
    </row>
    <row r="1774" spans="2:9">
      <c r="B1774">
        <f>'2020_5-2-2_Download'!B14</f>
        <v>153</v>
      </c>
      <c r="C1774">
        <f>'2020_5-2-2_Download'!$K$5</f>
        <v>2019</v>
      </c>
      <c r="D1774" t="str">
        <f>VLOOKUP(B1774,[1]Tabelle1!$A$1:$B$68,2,FALSE)</f>
        <v>Goslar</v>
      </c>
      <c r="F1774" t="str">
        <f>'2020_5-2-2_Download'!$Q$7</f>
        <v>unbekannt</v>
      </c>
      <c r="G1774" t="s">
        <v>362</v>
      </c>
      <c r="H1774" t="str">
        <f>VLOOKUP(B1774,[2]Kreise!$A$2:$C$53,3,FALSE)</f>
        <v>K03153</v>
      </c>
      <c r="I1774">
        <f>'2020_5-2-2_Download'!Q14</f>
        <v>27.2523244629689</v>
      </c>
    </row>
    <row r="1775" spans="2:9">
      <c r="B1775">
        <f>'2020_5-2-2_Download'!B15</f>
        <v>154</v>
      </c>
      <c r="C1775">
        <f>'2020_5-2-2_Download'!$K$5</f>
        <v>2019</v>
      </c>
      <c r="D1775" t="str">
        <f>VLOOKUP(B1775,[1]Tabelle1!$A$1:$B$68,2,FALSE)</f>
        <v>Helmstedt</v>
      </c>
      <c r="F1775" t="str">
        <f>'2020_5-2-2_Download'!$Q$7</f>
        <v>unbekannt</v>
      </c>
      <c r="G1775" t="s">
        <v>362</v>
      </c>
      <c r="H1775" t="str">
        <f>VLOOKUP(B1775,[2]Kreise!$A$2:$C$53,3,FALSE)</f>
        <v>K03154</v>
      </c>
      <c r="I1775">
        <f>'2020_5-2-2_Download'!Q15</f>
        <v>22.543352601156069</v>
      </c>
    </row>
    <row r="1776" spans="2:9">
      <c r="B1776">
        <f>'2020_5-2-2_Download'!B16</f>
        <v>155</v>
      </c>
      <c r="C1776">
        <f>'2020_5-2-2_Download'!$K$5</f>
        <v>2019</v>
      </c>
      <c r="D1776" t="str">
        <f>VLOOKUP(B1776,[1]Tabelle1!$A$1:$B$68,2,FALSE)</f>
        <v>Northeim</v>
      </c>
      <c r="F1776" t="str">
        <f>'2020_5-2-2_Download'!$Q$7</f>
        <v>unbekannt</v>
      </c>
      <c r="G1776" t="s">
        <v>362</v>
      </c>
      <c r="H1776" t="str">
        <f>VLOOKUP(B1776,[2]Kreise!$A$2:$C$53,3,FALSE)</f>
        <v>K03155</v>
      </c>
      <c r="I1776">
        <f>'2020_5-2-2_Download'!Q16</f>
        <v>23.127035830618894</v>
      </c>
    </row>
    <row r="1777" spans="2:9">
      <c r="B1777">
        <f>'2020_5-2-2_Download'!B17</f>
        <v>157</v>
      </c>
      <c r="C1777">
        <f>'2020_5-2-2_Download'!$K$5</f>
        <v>2019</v>
      </c>
      <c r="D1777" t="str">
        <f>VLOOKUP(B1777,[1]Tabelle1!$A$1:$B$68,2,FALSE)</f>
        <v>Peine</v>
      </c>
      <c r="F1777" t="str">
        <f>'2020_5-2-2_Download'!$Q$7</f>
        <v>unbekannt</v>
      </c>
      <c r="G1777" t="s">
        <v>362</v>
      </c>
      <c r="H1777" t="str">
        <f>VLOOKUP(B1777,[2]Kreise!$A$2:$C$53,3,FALSE)</f>
        <v>K03157</v>
      </c>
      <c r="I1777">
        <f>'2020_5-2-2_Download'!Q17</f>
        <v>35.660996717397794</v>
      </c>
    </row>
    <row r="1778" spans="2:9">
      <c r="B1778">
        <f>'2020_5-2-2_Download'!B18</f>
        <v>158</v>
      </c>
      <c r="C1778">
        <f>'2020_5-2-2_Download'!$K$5</f>
        <v>2019</v>
      </c>
      <c r="D1778" t="str">
        <f>VLOOKUP(B1778,[1]Tabelle1!$A$1:$B$68,2,FALSE)</f>
        <v>Wolfenbüttel</v>
      </c>
      <c r="F1778" t="str">
        <f>'2020_5-2-2_Download'!$Q$7</f>
        <v>unbekannt</v>
      </c>
      <c r="G1778" t="s">
        <v>362</v>
      </c>
      <c r="H1778" t="str">
        <f>VLOOKUP(B1778,[2]Kreise!$A$2:$C$53,3,FALSE)</f>
        <v>K03158</v>
      </c>
      <c r="I1778">
        <f>'2020_5-2-2_Download'!Q18</f>
        <v>23.841059602649008</v>
      </c>
    </row>
    <row r="1779" spans="2:9">
      <c r="B1779">
        <f>'2020_5-2-2_Download'!B19</f>
        <v>159</v>
      </c>
      <c r="C1779">
        <f>'2020_5-2-2_Download'!$K$5</f>
        <v>2019</v>
      </c>
      <c r="D1779" t="str">
        <f>VLOOKUP(B1779,[1]Tabelle1!$A$1:$B$68,2,FALSE)</f>
        <v>Göttingen</v>
      </c>
      <c r="F1779" t="str">
        <f>'2020_5-2-2_Download'!$Q$7</f>
        <v>unbekannt</v>
      </c>
      <c r="G1779" t="s">
        <v>362</v>
      </c>
      <c r="H1779" t="str">
        <f>VLOOKUP(B1779,[2]Kreise!$A$2:$C$53,3,FALSE)</f>
        <v>K03159</v>
      </c>
      <c r="I1779">
        <f>'2020_5-2-2_Download'!Q19</f>
        <v>18.328042328042329</v>
      </c>
    </row>
    <row r="1780" spans="2:9">
      <c r="B1780">
        <f>'2020_5-2-2_Download'!B20</f>
        <v>1</v>
      </c>
      <c r="C1780">
        <f>'2020_5-2-2_Download'!$K$5</f>
        <v>2019</v>
      </c>
      <c r="D1780" t="str">
        <f>VLOOKUP(B1780,[1]Tabelle1!$A$1:$B$68,2,FALSE)</f>
        <v>Stat. Region Braunschweig</v>
      </c>
      <c r="F1780" t="str">
        <f>'2020_5-2-2_Download'!$Q$7</f>
        <v>unbekannt</v>
      </c>
      <c r="G1780" t="s">
        <v>362</v>
      </c>
      <c r="H1780" t="str">
        <f>VLOOKUP(B1780,[2]Kreise!$A$2:$C$53,3,FALSE)</f>
        <v>K031</v>
      </c>
      <c r="I1780">
        <f>'2020_5-2-2_Download'!Q20</f>
        <v>25.734553066129159</v>
      </c>
    </row>
    <row r="1781" spans="2:9">
      <c r="B1781">
        <f>'2020_5-2-2_Download'!B21</f>
        <v>241</v>
      </c>
      <c r="C1781">
        <f>'2020_5-2-2_Download'!$K$5</f>
        <v>2019</v>
      </c>
      <c r="D1781" t="str">
        <f>VLOOKUP(B1781,[1]Tabelle1!$A$1:$B$68,2,FALSE)</f>
        <v>Hannover  Region</v>
      </c>
      <c r="F1781" t="str">
        <f>'2020_5-2-2_Download'!$Q$7</f>
        <v>unbekannt</v>
      </c>
      <c r="G1781" t="s">
        <v>362</v>
      </c>
      <c r="H1781" t="str">
        <f>VLOOKUP(B1781,[2]Kreise!$A$2:$C$53,3,FALSE)</f>
        <v>K03241</v>
      </c>
      <c r="I1781">
        <f>'2020_5-2-2_Download'!Q21</f>
        <v>26.650970578066087</v>
      </c>
    </row>
    <row r="1782" spans="2:9">
      <c r="B1782">
        <f>'2020_5-2-2_Download'!B22</f>
        <v>241001</v>
      </c>
      <c r="C1782">
        <f>'2020_5-2-2_Download'!$K$5</f>
        <v>2019</v>
      </c>
      <c r="D1782" t="str">
        <f>VLOOKUP(B1782,[1]Tabelle1!$A$1:$B$68,2,FALSE)</f>
        <v>dav. Hannover  Lhst.</v>
      </c>
      <c r="F1782" t="str">
        <f>'2020_5-2-2_Download'!$Q$7</f>
        <v>unbekannt</v>
      </c>
      <c r="G1782" t="s">
        <v>362</v>
      </c>
      <c r="H1782" t="str">
        <f>VLOOKUP(B1782,[2]Kreise!$A$2:$C$53,3,FALSE)</f>
        <v>K03241001</v>
      </c>
      <c r="I1782">
        <f>'2020_5-2-2_Download'!Q22</f>
        <v>24.971324296141812</v>
      </c>
    </row>
    <row r="1783" spans="2:9">
      <c r="B1783">
        <f>'2020_5-2-2_Download'!B23</f>
        <v>241999</v>
      </c>
      <c r="C1783">
        <f>'2020_5-2-2_Download'!$K$5</f>
        <v>2019</v>
      </c>
      <c r="D1783" t="str">
        <f>VLOOKUP(B1783,[1]Tabelle1!$A$1:$B$68,2,FALSE)</f>
        <v>dav. Hannover  Umland</v>
      </c>
      <c r="F1783" t="str">
        <f>'2020_5-2-2_Download'!$Q$7</f>
        <v>unbekannt</v>
      </c>
      <c r="G1783" t="s">
        <v>362</v>
      </c>
      <c r="H1783" t="str">
        <f>VLOOKUP(B1783,[2]Kreise!$A$2:$C$53,3,FALSE)</f>
        <v>K03241999</v>
      </c>
      <c r="I1783">
        <f>'2020_5-2-2_Download'!Q23</f>
        <v>29.530321312061492</v>
      </c>
    </row>
    <row r="1784" spans="2:9">
      <c r="B1784">
        <f>'2020_5-2-2_Download'!B24</f>
        <v>251</v>
      </c>
      <c r="C1784">
        <f>'2020_5-2-2_Download'!$K$5</f>
        <v>2019</v>
      </c>
      <c r="D1784" t="str">
        <f>VLOOKUP(B1784,[1]Tabelle1!$A$1:$B$68,2,FALSE)</f>
        <v>Diepholz</v>
      </c>
      <c r="F1784" t="str">
        <f>'2020_5-2-2_Download'!$Q$7</f>
        <v>unbekannt</v>
      </c>
      <c r="G1784" t="s">
        <v>362</v>
      </c>
      <c r="H1784" t="str">
        <f>VLOOKUP(B1784,[2]Kreise!$A$2:$C$53,3,FALSE)</f>
        <v>K03251</v>
      </c>
      <c r="I1784">
        <f>'2020_5-2-2_Download'!Q24</f>
        <v>35.808421729347479</v>
      </c>
    </row>
    <row r="1785" spans="2:9">
      <c r="B1785">
        <f>'2020_5-2-2_Download'!B25</f>
        <v>252</v>
      </c>
      <c r="C1785">
        <f>'2020_5-2-2_Download'!$K$5</f>
        <v>2019</v>
      </c>
      <c r="D1785" t="str">
        <f>VLOOKUP(B1785,[1]Tabelle1!$A$1:$B$68,2,FALSE)</f>
        <v>Hameln-Pyrmont</v>
      </c>
      <c r="F1785" t="str">
        <f>'2020_5-2-2_Download'!$Q$7</f>
        <v>unbekannt</v>
      </c>
      <c r="G1785" t="s">
        <v>362</v>
      </c>
      <c r="H1785" t="str">
        <f>VLOOKUP(B1785,[2]Kreise!$A$2:$C$53,3,FALSE)</f>
        <v>K03252</v>
      </c>
      <c r="I1785">
        <f>'2020_5-2-2_Download'!Q25</f>
        <v>24.555774925962488</v>
      </c>
    </row>
    <row r="1786" spans="2:9">
      <c r="B1786">
        <f>'2020_5-2-2_Download'!B26</f>
        <v>254</v>
      </c>
      <c r="C1786">
        <f>'2020_5-2-2_Download'!$K$5</f>
        <v>2019</v>
      </c>
      <c r="D1786" t="str">
        <f>VLOOKUP(B1786,[1]Tabelle1!$A$1:$B$68,2,FALSE)</f>
        <v>Hildesheim</v>
      </c>
      <c r="F1786" t="str">
        <f>'2020_5-2-2_Download'!$Q$7</f>
        <v>unbekannt</v>
      </c>
      <c r="G1786" t="s">
        <v>362</v>
      </c>
      <c r="H1786" t="str">
        <f>VLOOKUP(B1786,[2]Kreise!$A$2:$C$53,3,FALSE)</f>
        <v>K03254</v>
      </c>
      <c r="I1786">
        <f>'2020_5-2-2_Download'!Q26</f>
        <v>23.235246824248271</v>
      </c>
    </row>
    <row r="1787" spans="2:9">
      <c r="B1787">
        <f>'2020_5-2-2_Download'!B27</f>
        <v>255</v>
      </c>
      <c r="C1787">
        <f>'2020_5-2-2_Download'!$K$5</f>
        <v>2019</v>
      </c>
      <c r="D1787" t="str">
        <f>VLOOKUP(B1787,[1]Tabelle1!$A$1:$B$68,2,FALSE)</f>
        <v>Holzminden</v>
      </c>
      <c r="F1787" t="str">
        <f>'2020_5-2-2_Download'!$Q$7</f>
        <v>unbekannt</v>
      </c>
      <c r="G1787" t="s">
        <v>362</v>
      </c>
      <c r="H1787" t="str">
        <f>VLOOKUP(B1787,[2]Kreise!$A$2:$C$53,3,FALSE)</f>
        <v>K03255</v>
      </c>
      <c r="I1787">
        <f>'2020_5-2-2_Download'!Q27</f>
        <v>26.812104152005631</v>
      </c>
    </row>
    <row r="1788" spans="2:9">
      <c r="B1788">
        <f>'2020_5-2-2_Download'!B28</f>
        <v>256</v>
      </c>
      <c r="C1788">
        <f>'2020_5-2-2_Download'!$K$5</f>
        <v>2019</v>
      </c>
      <c r="D1788" t="str">
        <f>VLOOKUP(B1788,[1]Tabelle1!$A$1:$B$68,2,FALSE)</f>
        <v>Nienburg (Weser)</v>
      </c>
      <c r="F1788" t="str">
        <f>'2020_5-2-2_Download'!$Q$7</f>
        <v>unbekannt</v>
      </c>
      <c r="G1788" t="s">
        <v>362</v>
      </c>
      <c r="H1788" t="str">
        <f>VLOOKUP(B1788,[2]Kreise!$A$2:$C$53,3,FALSE)</f>
        <v>K03256</v>
      </c>
      <c r="I1788">
        <f>'2020_5-2-2_Download'!Q28</f>
        <v>45.012907768129544</v>
      </c>
    </row>
    <row r="1789" spans="2:9">
      <c r="B1789">
        <f>'2020_5-2-2_Download'!B29</f>
        <v>257</v>
      </c>
      <c r="C1789">
        <f>'2020_5-2-2_Download'!$K$5</f>
        <v>2019</v>
      </c>
      <c r="D1789" t="str">
        <f>VLOOKUP(B1789,[1]Tabelle1!$A$1:$B$68,2,FALSE)</f>
        <v>Schaumburg</v>
      </c>
      <c r="F1789" t="str">
        <f>'2020_5-2-2_Download'!$Q$7</f>
        <v>unbekannt</v>
      </c>
      <c r="G1789" t="s">
        <v>362</v>
      </c>
      <c r="H1789" t="str">
        <f>VLOOKUP(B1789,[2]Kreise!$A$2:$C$53,3,FALSE)</f>
        <v>K03257</v>
      </c>
      <c r="I1789">
        <f>'2020_5-2-2_Download'!Q29</f>
        <v>21.767416644076985</v>
      </c>
    </row>
    <row r="1790" spans="2:9">
      <c r="B1790">
        <f>'2020_5-2-2_Download'!B30</f>
        <v>2</v>
      </c>
      <c r="C1790">
        <f>'2020_5-2-2_Download'!$K$5</f>
        <v>2019</v>
      </c>
      <c r="D1790" t="str">
        <f>VLOOKUP(B1790,[1]Tabelle1!$A$1:$B$68,2,FALSE)</f>
        <v>Stat. Region Hannover</v>
      </c>
      <c r="F1790" t="str">
        <f>'2020_5-2-2_Download'!$Q$7</f>
        <v>unbekannt</v>
      </c>
      <c r="G1790" t="s">
        <v>362</v>
      </c>
      <c r="H1790" t="str">
        <f>VLOOKUP(B1790,[2]Kreise!$A$2:$C$53,3,FALSE)</f>
        <v>K032</v>
      </c>
      <c r="I1790">
        <f>'2020_5-2-2_Download'!Q30</f>
        <v>27.663652844655374</v>
      </c>
    </row>
    <row r="1791" spans="2:9">
      <c r="B1791">
        <f>'2020_5-2-2_Download'!B31</f>
        <v>351</v>
      </c>
      <c r="C1791">
        <f>'2020_5-2-2_Download'!$K$5</f>
        <v>2019</v>
      </c>
      <c r="D1791" t="str">
        <f>VLOOKUP(B1791,[1]Tabelle1!$A$1:$B$68,2,FALSE)</f>
        <v>Celle</v>
      </c>
      <c r="F1791" t="str">
        <f>'2020_5-2-2_Download'!$Q$7</f>
        <v>unbekannt</v>
      </c>
      <c r="G1791" t="s">
        <v>362</v>
      </c>
      <c r="H1791" t="str">
        <f>VLOOKUP(B1791,[2]Kreise!$A$2:$C$53,3,FALSE)</f>
        <v>K03351</v>
      </c>
      <c r="I1791">
        <f>'2020_5-2-2_Download'!Q31</f>
        <v>24.434624382635821</v>
      </c>
    </row>
    <row r="1792" spans="2:9">
      <c r="B1792">
        <f>'2020_5-2-2_Download'!B32</f>
        <v>352</v>
      </c>
      <c r="C1792">
        <f>'2020_5-2-2_Download'!$K$5</f>
        <v>2019</v>
      </c>
      <c r="D1792" t="str">
        <f>VLOOKUP(B1792,[1]Tabelle1!$A$1:$B$68,2,FALSE)</f>
        <v>Cuxhaven</v>
      </c>
      <c r="F1792" t="str">
        <f>'2020_5-2-2_Download'!$Q$7</f>
        <v>unbekannt</v>
      </c>
      <c r="G1792" t="s">
        <v>362</v>
      </c>
      <c r="H1792" t="str">
        <f>VLOOKUP(B1792,[2]Kreise!$A$2:$C$53,3,FALSE)</f>
        <v>K03352</v>
      </c>
      <c r="I1792">
        <f>'2020_5-2-2_Download'!Q32</f>
        <v>38.010323791647117</v>
      </c>
    </row>
    <row r="1793" spans="2:9">
      <c r="B1793">
        <f>'2020_5-2-2_Download'!B33</f>
        <v>353</v>
      </c>
      <c r="C1793">
        <f>'2020_5-2-2_Download'!$K$5</f>
        <v>2019</v>
      </c>
      <c r="D1793" t="str">
        <f>VLOOKUP(B1793,[1]Tabelle1!$A$1:$B$68,2,FALSE)</f>
        <v>Harburg</v>
      </c>
      <c r="F1793" t="str">
        <f>'2020_5-2-2_Download'!$Q$7</f>
        <v>unbekannt</v>
      </c>
      <c r="G1793" t="s">
        <v>362</v>
      </c>
      <c r="H1793" t="str">
        <f>VLOOKUP(B1793,[2]Kreise!$A$2:$C$53,3,FALSE)</f>
        <v>K03353</v>
      </c>
      <c r="I1793">
        <f>'2020_5-2-2_Download'!Q33</f>
        <v>37.621573828470382</v>
      </c>
    </row>
    <row r="1794" spans="2:9">
      <c r="B1794">
        <f>'2020_5-2-2_Download'!B34</f>
        <v>354</v>
      </c>
      <c r="C1794">
        <f>'2020_5-2-2_Download'!$K$5</f>
        <v>2019</v>
      </c>
      <c r="D1794" t="str">
        <f>VLOOKUP(B1794,[1]Tabelle1!$A$1:$B$68,2,FALSE)</f>
        <v>Lüchow-Dannenberg</v>
      </c>
      <c r="F1794" t="str">
        <f>'2020_5-2-2_Download'!$Q$7</f>
        <v>unbekannt</v>
      </c>
      <c r="G1794" t="s">
        <v>362</v>
      </c>
      <c r="H1794" t="str">
        <f>VLOOKUP(B1794,[2]Kreise!$A$2:$C$53,3,FALSE)</f>
        <v>K03354</v>
      </c>
      <c r="I1794">
        <f>'2020_5-2-2_Download'!Q34</f>
        <v>40.813464235624124</v>
      </c>
    </row>
    <row r="1795" spans="2:9">
      <c r="B1795">
        <f>'2020_5-2-2_Download'!B35</f>
        <v>355</v>
      </c>
      <c r="C1795">
        <f>'2020_5-2-2_Download'!$K$5</f>
        <v>2019</v>
      </c>
      <c r="D1795" t="str">
        <f>VLOOKUP(B1795,[1]Tabelle1!$A$1:$B$68,2,FALSE)</f>
        <v>Lüneburg</v>
      </c>
      <c r="F1795" t="str">
        <f>'2020_5-2-2_Download'!$Q$7</f>
        <v>unbekannt</v>
      </c>
      <c r="G1795" t="s">
        <v>362</v>
      </c>
      <c r="H1795" t="str">
        <f>VLOOKUP(B1795,[2]Kreise!$A$2:$C$53,3,FALSE)</f>
        <v>K03355</v>
      </c>
      <c r="I1795">
        <f>'2020_5-2-2_Download'!Q35</f>
        <v>27.875992826031258</v>
      </c>
    </row>
    <row r="1796" spans="2:9">
      <c r="B1796">
        <f>'2020_5-2-2_Download'!B36</f>
        <v>356</v>
      </c>
      <c r="C1796">
        <f>'2020_5-2-2_Download'!$K$5</f>
        <v>2019</v>
      </c>
      <c r="D1796" t="str">
        <f>VLOOKUP(B1796,[1]Tabelle1!$A$1:$B$68,2,FALSE)</f>
        <v>Osterholz</v>
      </c>
      <c r="F1796" t="str">
        <f>'2020_5-2-2_Download'!$Q$7</f>
        <v>unbekannt</v>
      </c>
      <c r="G1796" t="s">
        <v>362</v>
      </c>
      <c r="H1796" t="str">
        <f>VLOOKUP(B1796,[2]Kreise!$A$2:$C$53,3,FALSE)</f>
        <v>K03356</v>
      </c>
      <c r="I1796">
        <f>'2020_5-2-2_Download'!Q36</f>
        <v>31.536523929471034</v>
      </c>
    </row>
    <row r="1797" spans="2:9">
      <c r="B1797">
        <f>'2020_5-2-2_Download'!B37</f>
        <v>357</v>
      </c>
      <c r="C1797">
        <f>'2020_5-2-2_Download'!$K$5</f>
        <v>2019</v>
      </c>
      <c r="D1797" t="str">
        <f>VLOOKUP(B1797,[1]Tabelle1!$A$1:$B$68,2,FALSE)</f>
        <v>Rotenburg (Wümme)</v>
      </c>
      <c r="F1797" t="str">
        <f>'2020_5-2-2_Download'!$Q$7</f>
        <v>unbekannt</v>
      </c>
      <c r="G1797" t="s">
        <v>362</v>
      </c>
      <c r="H1797" t="str">
        <f>VLOOKUP(B1797,[2]Kreise!$A$2:$C$53,3,FALSE)</f>
        <v>K03357</v>
      </c>
      <c r="I1797">
        <f>'2020_5-2-2_Download'!Q37</f>
        <v>31.281926538555098</v>
      </c>
    </row>
    <row r="1798" spans="2:9">
      <c r="B1798">
        <f>'2020_5-2-2_Download'!B38</f>
        <v>358</v>
      </c>
      <c r="C1798">
        <f>'2020_5-2-2_Download'!$K$5</f>
        <v>2019</v>
      </c>
      <c r="D1798" t="str">
        <f>VLOOKUP(B1798,[1]Tabelle1!$A$1:$B$68,2,FALSE)</f>
        <v>Heidekreis</v>
      </c>
      <c r="F1798" t="str">
        <f>'2020_5-2-2_Download'!$Q$7</f>
        <v>unbekannt</v>
      </c>
      <c r="G1798" t="s">
        <v>362</v>
      </c>
      <c r="H1798" t="str">
        <f>VLOOKUP(B1798,[2]Kreise!$A$2:$C$53,3,FALSE)</f>
        <v>K03358</v>
      </c>
      <c r="I1798">
        <f>'2020_5-2-2_Download'!Q38</f>
        <v>35.147232037691403</v>
      </c>
    </row>
    <row r="1799" spans="2:9">
      <c r="B1799">
        <f>'2020_5-2-2_Download'!B39</f>
        <v>359</v>
      </c>
      <c r="C1799">
        <f>'2020_5-2-2_Download'!$K$5</f>
        <v>2019</v>
      </c>
      <c r="D1799" t="str">
        <f>VLOOKUP(B1799,[1]Tabelle1!$A$1:$B$68,2,FALSE)</f>
        <v>Stade</v>
      </c>
      <c r="F1799" t="str">
        <f>'2020_5-2-2_Download'!$Q$7</f>
        <v>unbekannt</v>
      </c>
      <c r="G1799" t="s">
        <v>362</v>
      </c>
      <c r="H1799" t="str">
        <f>VLOOKUP(B1799,[2]Kreise!$A$2:$C$53,3,FALSE)</f>
        <v>K03359</v>
      </c>
      <c r="I1799">
        <f>'2020_5-2-2_Download'!Q39</f>
        <v>44.931652760518375</v>
      </c>
    </row>
    <row r="1800" spans="2:9">
      <c r="B1800">
        <f>'2020_5-2-2_Download'!B40</f>
        <v>360</v>
      </c>
      <c r="C1800">
        <f>'2020_5-2-2_Download'!$K$5</f>
        <v>2019</v>
      </c>
      <c r="D1800" t="str">
        <f>VLOOKUP(B1800,[1]Tabelle1!$A$1:$B$68,2,FALSE)</f>
        <v>Uelzen</v>
      </c>
      <c r="F1800" t="str">
        <f>'2020_5-2-2_Download'!$Q$7</f>
        <v>unbekannt</v>
      </c>
      <c r="G1800" t="s">
        <v>362</v>
      </c>
      <c r="H1800" t="str">
        <f>VLOOKUP(B1800,[2]Kreise!$A$2:$C$53,3,FALSE)</f>
        <v>K03360</v>
      </c>
      <c r="I1800">
        <f>'2020_5-2-2_Download'!Q40</f>
        <v>27.678018575851393</v>
      </c>
    </row>
    <row r="1801" spans="2:9">
      <c r="B1801">
        <f>'2020_5-2-2_Download'!B41</f>
        <v>361</v>
      </c>
      <c r="C1801">
        <f>'2020_5-2-2_Download'!$K$5</f>
        <v>2019</v>
      </c>
      <c r="D1801" t="str">
        <f>VLOOKUP(B1801,[1]Tabelle1!$A$1:$B$68,2,FALSE)</f>
        <v>Verden</v>
      </c>
      <c r="F1801" t="str">
        <f>'2020_5-2-2_Download'!$Q$7</f>
        <v>unbekannt</v>
      </c>
      <c r="G1801" t="s">
        <v>362</v>
      </c>
      <c r="H1801" t="str">
        <f>VLOOKUP(B1801,[2]Kreise!$A$2:$C$53,3,FALSE)</f>
        <v>K03361</v>
      </c>
      <c r="I1801">
        <f>'2020_5-2-2_Download'!Q41</f>
        <v>39.468302658486706</v>
      </c>
    </row>
    <row r="1802" spans="2:9">
      <c r="B1802">
        <f>'2020_5-2-2_Download'!B42</f>
        <v>3</v>
      </c>
      <c r="C1802">
        <f>'2020_5-2-2_Download'!$K$5</f>
        <v>2019</v>
      </c>
      <c r="D1802" t="str">
        <f>VLOOKUP(B1802,[1]Tabelle1!$A$1:$B$68,2,FALSE)</f>
        <v>Stat. Region Lüneburg</v>
      </c>
      <c r="F1802" t="str">
        <f>'2020_5-2-2_Download'!$Q$7</f>
        <v>unbekannt</v>
      </c>
      <c r="G1802" t="s">
        <v>362</v>
      </c>
      <c r="H1802" t="str">
        <f>VLOOKUP(B1802,[2]Kreise!$A$2:$C$53,3,FALSE)</f>
        <v>K033</v>
      </c>
      <c r="I1802">
        <f>'2020_5-2-2_Download'!Q42</f>
        <v>35.376932116062548</v>
      </c>
    </row>
    <row r="1803" spans="2:9">
      <c r="B1803">
        <f>'2020_5-2-2_Download'!B43</f>
        <v>401</v>
      </c>
      <c r="C1803">
        <f>'2020_5-2-2_Download'!$K$5</f>
        <v>2019</v>
      </c>
      <c r="D1803" t="str">
        <f>VLOOKUP(B1803,[1]Tabelle1!$A$1:$B$68,2,FALSE)</f>
        <v>Delmenhorst  Stadt</v>
      </c>
      <c r="F1803" t="str">
        <f>'2020_5-2-2_Download'!$Q$7</f>
        <v>unbekannt</v>
      </c>
      <c r="G1803" t="s">
        <v>362</v>
      </c>
      <c r="H1803" t="str">
        <f>VLOOKUP(B1803,[2]Kreise!$A$2:$C$53,3,FALSE)</f>
        <v>K03401</v>
      </c>
      <c r="I1803">
        <f>'2020_5-2-2_Download'!Q43</f>
        <v>30.854605993340734</v>
      </c>
    </row>
    <row r="1804" spans="2:9">
      <c r="B1804">
        <f>'2020_5-2-2_Download'!B44</f>
        <v>402</v>
      </c>
      <c r="C1804">
        <f>'2020_5-2-2_Download'!$K$5</f>
        <v>2019</v>
      </c>
      <c r="D1804" t="str">
        <f>VLOOKUP(B1804,[1]Tabelle1!$A$1:$B$68,2,FALSE)</f>
        <v>Emden  Stadt</v>
      </c>
      <c r="F1804" t="str">
        <f>'2020_5-2-2_Download'!$Q$7</f>
        <v>unbekannt</v>
      </c>
      <c r="G1804" t="s">
        <v>362</v>
      </c>
      <c r="H1804" t="str">
        <f>VLOOKUP(B1804,[2]Kreise!$A$2:$C$53,3,FALSE)</f>
        <v>K03402</v>
      </c>
      <c r="I1804">
        <f>'2020_5-2-2_Download'!Q44</f>
        <v>30.461857810067464</v>
      </c>
    </row>
    <row r="1805" spans="2:9">
      <c r="B1805">
        <f>'2020_5-2-2_Download'!B45</f>
        <v>403</v>
      </c>
      <c r="C1805">
        <f>'2020_5-2-2_Download'!$K$5</f>
        <v>2019</v>
      </c>
      <c r="D1805" t="str">
        <f>VLOOKUP(B1805,[1]Tabelle1!$A$1:$B$68,2,FALSE)</f>
        <v>Oldenburg(Oldb)  Stadt</v>
      </c>
      <c r="F1805" t="str">
        <f>'2020_5-2-2_Download'!$Q$7</f>
        <v>unbekannt</v>
      </c>
      <c r="G1805" t="s">
        <v>362</v>
      </c>
      <c r="H1805" t="str">
        <f>VLOOKUP(B1805,[2]Kreise!$A$2:$C$53,3,FALSE)</f>
        <v>K03403</v>
      </c>
      <c r="I1805">
        <f>'2020_5-2-2_Download'!Q45</f>
        <v>29.750382068262862</v>
      </c>
    </row>
    <row r="1806" spans="2:9">
      <c r="B1806">
        <f>'2020_5-2-2_Download'!B46</f>
        <v>404</v>
      </c>
      <c r="C1806">
        <f>'2020_5-2-2_Download'!$K$5</f>
        <v>2019</v>
      </c>
      <c r="D1806" t="str">
        <f>VLOOKUP(B1806,[1]Tabelle1!$A$1:$B$68,2,FALSE)</f>
        <v>Osnabrück  Stadt</v>
      </c>
      <c r="F1806" t="str">
        <f>'2020_5-2-2_Download'!$Q$7</f>
        <v>unbekannt</v>
      </c>
      <c r="G1806" t="s">
        <v>362</v>
      </c>
      <c r="H1806" t="str">
        <f>VLOOKUP(B1806,[2]Kreise!$A$2:$C$53,3,FALSE)</f>
        <v>K03404</v>
      </c>
      <c r="I1806">
        <f>'2020_5-2-2_Download'!Q46</f>
        <v>27.657354816274488</v>
      </c>
    </row>
    <row r="1807" spans="2:9">
      <c r="B1807">
        <f>'2020_5-2-2_Download'!B47</f>
        <v>405</v>
      </c>
      <c r="C1807">
        <f>'2020_5-2-2_Download'!$K$5</f>
        <v>2019</v>
      </c>
      <c r="D1807" t="str">
        <f>VLOOKUP(B1807,[1]Tabelle1!$A$1:$B$68,2,FALSE)</f>
        <v>Wilhelmshaven  Stadt</v>
      </c>
      <c r="F1807" t="str">
        <f>'2020_5-2-2_Download'!$Q$7</f>
        <v>unbekannt</v>
      </c>
      <c r="G1807" t="s">
        <v>362</v>
      </c>
      <c r="H1807" t="str">
        <f>VLOOKUP(B1807,[2]Kreise!$A$2:$C$53,3,FALSE)</f>
        <v>K03405</v>
      </c>
      <c r="I1807">
        <f>'2020_5-2-2_Download'!Q47</f>
        <v>24.923640806353085</v>
      </c>
    </row>
    <row r="1808" spans="2:9">
      <c r="B1808">
        <f>'2020_5-2-2_Download'!B48</f>
        <v>451</v>
      </c>
      <c r="C1808">
        <f>'2020_5-2-2_Download'!$K$5</f>
        <v>2019</v>
      </c>
      <c r="D1808" t="str">
        <f>VLOOKUP(B1808,[1]Tabelle1!$A$1:$B$68,2,FALSE)</f>
        <v>Ammerland</v>
      </c>
      <c r="F1808" t="str">
        <f>'2020_5-2-2_Download'!$Q$7</f>
        <v>unbekannt</v>
      </c>
      <c r="G1808" t="s">
        <v>362</v>
      </c>
      <c r="H1808" t="str">
        <f>VLOOKUP(B1808,[2]Kreise!$A$2:$C$53,3,FALSE)</f>
        <v>K03451</v>
      </c>
      <c r="I1808">
        <f>'2020_5-2-2_Download'!Q48</f>
        <v>42.087186261558784</v>
      </c>
    </row>
    <row r="1809" spans="2:9">
      <c r="B1809">
        <f>'2020_5-2-2_Download'!B49</f>
        <v>452</v>
      </c>
      <c r="C1809">
        <f>'2020_5-2-2_Download'!$K$5</f>
        <v>2019</v>
      </c>
      <c r="D1809" t="str">
        <f>VLOOKUP(B1809,[1]Tabelle1!$A$1:$B$68,2,FALSE)</f>
        <v>Aurich</v>
      </c>
      <c r="F1809" t="str">
        <f>'2020_5-2-2_Download'!$Q$7</f>
        <v>unbekannt</v>
      </c>
      <c r="G1809" t="s">
        <v>362</v>
      </c>
      <c r="H1809" t="str">
        <f>VLOOKUP(B1809,[2]Kreise!$A$2:$C$53,3,FALSE)</f>
        <v>K03452</v>
      </c>
      <c r="I1809">
        <f>'2020_5-2-2_Download'!Q49</f>
        <v>38.666055466422186</v>
      </c>
    </row>
    <row r="1810" spans="2:9">
      <c r="B1810">
        <f>'2020_5-2-2_Download'!B50</f>
        <v>453</v>
      </c>
      <c r="C1810">
        <f>'2020_5-2-2_Download'!$K$5</f>
        <v>2019</v>
      </c>
      <c r="D1810" t="str">
        <f>VLOOKUP(B1810,[1]Tabelle1!$A$1:$B$68,2,FALSE)</f>
        <v>Cloppenburg</v>
      </c>
      <c r="F1810" t="str">
        <f>'2020_5-2-2_Download'!$Q$7</f>
        <v>unbekannt</v>
      </c>
      <c r="G1810" t="s">
        <v>362</v>
      </c>
      <c r="H1810" t="str">
        <f>VLOOKUP(B1810,[2]Kreise!$A$2:$C$53,3,FALSE)</f>
        <v>K03453</v>
      </c>
      <c r="I1810">
        <f>'2020_5-2-2_Download'!Q50</f>
        <v>48.354935194416747</v>
      </c>
    </row>
    <row r="1811" spans="2:9">
      <c r="B1811">
        <f>'2020_5-2-2_Download'!B51</f>
        <v>454</v>
      </c>
      <c r="C1811">
        <f>'2020_5-2-2_Download'!$K$5</f>
        <v>2019</v>
      </c>
      <c r="D1811" t="str">
        <f>VLOOKUP(B1811,[1]Tabelle1!$A$1:$B$68,2,FALSE)</f>
        <v>Emsland</v>
      </c>
      <c r="F1811" t="str">
        <f>'2020_5-2-2_Download'!$Q$7</f>
        <v>unbekannt</v>
      </c>
      <c r="G1811" t="s">
        <v>362</v>
      </c>
      <c r="H1811" t="str">
        <f>VLOOKUP(B1811,[2]Kreise!$A$2:$C$53,3,FALSE)</f>
        <v>K03454</v>
      </c>
      <c r="I1811">
        <f>'2020_5-2-2_Download'!Q51</f>
        <v>45.817763725208394</v>
      </c>
    </row>
    <row r="1812" spans="2:9">
      <c r="B1812">
        <f>'2020_5-2-2_Download'!B52</f>
        <v>455</v>
      </c>
      <c r="C1812">
        <f>'2020_5-2-2_Download'!$K$5</f>
        <v>2019</v>
      </c>
      <c r="D1812" t="str">
        <f>VLOOKUP(B1812,[1]Tabelle1!$A$1:$B$68,2,FALSE)</f>
        <v>Friesland</v>
      </c>
      <c r="F1812" t="str">
        <f>'2020_5-2-2_Download'!$Q$7</f>
        <v>unbekannt</v>
      </c>
      <c r="G1812" t="s">
        <v>362</v>
      </c>
      <c r="H1812" t="str">
        <f>VLOOKUP(B1812,[2]Kreise!$A$2:$C$53,3,FALSE)</f>
        <v>K03455</v>
      </c>
      <c r="I1812">
        <f>'2020_5-2-2_Download'!Q52</f>
        <v>36.815920398009951</v>
      </c>
    </row>
    <row r="1813" spans="2:9">
      <c r="B1813">
        <f>'2020_5-2-2_Download'!B53</f>
        <v>456</v>
      </c>
      <c r="C1813">
        <f>'2020_5-2-2_Download'!$K$5</f>
        <v>2019</v>
      </c>
      <c r="D1813" t="str">
        <f>VLOOKUP(B1813,[1]Tabelle1!$A$1:$B$68,2,FALSE)</f>
        <v>Grafschaft Bentheim</v>
      </c>
      <c r="F1813" t="str">
        <f>'2020_5-2-2_Download'!$Q$7</f>
        <v>unbekannt</v>
      </c>
      <c r="G1813" t="s">
        <v>362</v>
      </c>
      <c r="H1813" t="str">
        <f>VLOOKUP(B1813,[2]Kreise!$A$2:$C$53,3,FALSE)</f>
        <v>K03456</v>
      </c>
      <c r="I1813">
        <f>'2020_5-2-2_Download'!Q53</f>
        <v>34.252386002120893</v>
      </c>
    </row>
    <row r="1814" spans="2:9">
      <c r="B1814">
        <f>'2020_5-2-2_Download'!B54</f>
        <v>457</v>
      </c>
      <c r="C1814">
        <f>'2020_5-2-2_Download'!$K$5</f>
        <v>2019</v>
      </c>
      <c r="D1814" t="str">
        <f>VLOOKUP(B1814,[1]Tabelle1!$A$1:$B$68,2,FALSE)</f>
        <v>Leer</v>
      </c>
      <c r="F1814" t="str">
        <f>'2020_5-2-2_Download'!$Q$7</f>
        <v>unbekannt</v>
      </c>
      <c r="G1814" t="s">
        <v>362</v>
      </c>
      <c r="H1814" t="str">
        <f>VLOOKUP(B1814,[2]Kreise!$A$2:$C$53,3,FALSE)</f>
        <v>K03457</v>
      </c>
      <c r="I1814">
        <f>'2020_5-2-2_Download'!Q54</f>
        <v>45.393679700053561</v>
      </c>
    </row>
    <row r="1815" spans="2:9">
      <c r="B1815">
        <f>'2020_5-2-2_Download'!B55</f>
        <v>458</v>
      </c>
      <c r="C1815">
        <f>'2020_5-2-2_Download'!$K$5</f>
        <v>2019</v>
      </c>
      <c r="D1815" t="str">
        <f>VLOOKUP(B1815,[1]Tabelle1!$A$1:$B$68,2,FALSE)</f>
        <v>Oldenburg</v>
      </c>
      <c r="F1815" t="str">
        <f>'2020_5-2-2_Download'!$Q$7</f>
        <v>unbekannt</v>
      </c>
      <c r="G1815" t="s">
        <v>362</v>
      </c>
      <c r="H1815" t="str">
        <f>VLOOKUP(B1815,[2]Kreise!$A$2:$C$53,3,FALSE)</f>
        <v>K03458</v>
      </c>
      <c r="I1815">
        <f>'2020_5-2-2_Download'!Q55</f>
        <v>43.018867924528301</v>
      </c>
    </row>
    <row r="1816" spans="2:9">
      <c r="B1816">
        <f>'2020_5-2-2_Download'!B56</f>
        <v>459</v>
      </c>
      <c r="C1816">
        <f>'2020_5-2-2_Download'!$K$5</f>
        <v>2019</v>
      </c>
      <c r="D1816" t="str">
        <f>VLOOKUP(B1816,[1]Tabelle1!$A$1:$B$68,2,FALSE)</f>
        <v>Osnabrück</v>
      </c>
      <c r="F1816" t="str">
        <f>'2020_5-2-2_Download'!$Q$7</f>
        <v>unbekannt</v>
      </c>
      <c r="G1816" t="s">
        <v>362</v>
      </c>
      <c r="H1816" t="str">
        <f>VLOOKUP(B1816,[2]Kreise!$A$2:$C$53,3,FALSE)</f>
        <v>K03459</v>
      </c>
      <c r="I1816">
        <f>'2020_5-2-2_Download'!Q56</f>
        <v>49.073231748919717</v>
      </c>
    </row>
    <row r="1817" spans="2:9">
      <c r="B1817">
        <f>'2020_5-2-2_Download'!B57</f>
        <v>460</v>
      </c>
      <c r="C1817">
        <f>'2020_5-2-2_Download'!$K$5</f>
        <v>2019</v>
      </c>
      <c r="D1817" t="str">
        <f>VLOOKUP(B1817,[1]Tabelle1!$A$1:$B$68,2,FALSE)</f>
        <v>Vechta</v>
      </c>
      <c r="F1817" t="str">
        <f>'2020_5-2-2_Download'!$Q$7</f>
        <v>unbekannt</v>
      </c>
      <c r="G1817" t="s">
        <v>362</v>
      </c>
      <c r="H1817" t="str">
        <f>VLOOKUP(B1817,[2]Kreise!$A$2:$C$53,3,FALSE)</f>
        <v>K03460</v>
      </c>
      <c r="I1817">
        <f>'2020_5-2-2_Download'!Q57</f>
        <v>47.052238805970148</v>
      </c>
    </row>
    <row r="1818" spans="2:9">
      <c r="B1818">
        <f>'2020_5-2-2_Download'!B58</f>
        <v>461</v>
      </c>
      <c r="C1818">
        <f>'2020_5-2-2_Download'!$K$5</f>
        <v>2019</v>
      </c>
      <c r="D1818" t="str">
        <f>VLOOKUP(B1818,[1]Tabelle1!$A$1:$B$68,2,FALSE)</f>
        <v>Wesermarsch</v>
      </c>
      <c r="F1818" t="str">
        <f>'2020_5-2-2_Download'!$Q$7</f>
        <v>unbekannt</v>
      </c>
      <c r="G1818" t="s">
        <v>362</v>
      </c>
      <c r="H1818" t="str">
        <f>VLOOKUP(B1818,[2]Kreise!$A$2:$C$53,3,FALSE)</f>
        <v>K03461</v>
      </c>
      <c r="I1818">
        <f>'2020_5-2-2_Download'!Q58</f>
        <v>38.328646042587387</v>
      </c>
    </row>
    <row r="1819" spans="2:9">
      <c r="B1819">
        <f>'2020_5-2-2_Download'!B59</f>
        <v>462</v>
      </c>
      <c r="C1819">
        <f>'2020_5-2-2_Download'!$K$5</f>
        <v>2019</v>
      </c>
      <c r="D1819" t="str">
        <f>VLOOKUP(B1819,[1]Tabelle1!$A$1:$B$68,2,FALSE)</f>
        <v>Wittmund</v>
      </c>
      <c r="F1819" t="str">
        <f>'2020_5-2-2_Download'!$Q$7</f>
        <v>unbekannt</v>
      </c>
      <c r="G1819" t="s">
        <v>362</v>
      </c>
      <c r="H1819" t="str">
        <f>VLOOKUP(B1819,[2]Kreise!$A$2:$C$53,3,FALSE)</f>
        <v>K03462</v>
      </c>
      <c r="I1819">
        <f>'2020_5-2-2_Download'!Q59</f>
        <v>53.238866396761132</v>
      </c>
    </row>
    <row r="1820" spans="2:9">
      <c r="B1820">
        <f>'2020_5-2-2_Download'!B60</f>
        <v>4</v>
      </c>
      <c r="C1820">
        <f>'2020_5-2-2_Download'!$K$5</f>
        <v>2019</v>
      </c>
      <c r="D1820" t="str">
        <f>VLOOKUP(B1820,[1]Tabelle1!$A$1:$B$68,2,FALSE)</f>
        <v>Stat. Region Weser-Ems</v>
      </c>
      <c r="F1820" t="str">
        <f>'2020_5-2-2_Download'!$Q$7</f>
        <v>unbekannt</v>
      </c>
      <c r="G1820" t="s">
        <v>362</v>
      </c>
      <c r="H1820" t="str">
        <f>VLOOKUP(B1820,[2]Kreise!$A$2:$C$53,3,FALSE)</f>
        <v>K034</v>
      </c>
      <c r="I1820">
        <f>'2020_5-2-2_Download'!Q60</f>
        <v>41.820494555815607</v>
      </c>
    </row>
    <row r="1821" spans="2:9">
      <c r="B1821">
        <f>'2020_5-2-2_Download'!B61</f>
        <v>0</v>
      </c>
      <c r="C1821">
        <f>'2020_5-2-2_Download'!$K$5</f>
        <v>2019</v>
      </c>
      <c r="D1821" t="str">
        <f>VLOOKUP(B1821,[1]Tabelle1!$A$1:$B$68,2,FALSE)</f>
        <v>Niedersachsen</v>
      </c>
      <c r="F1821" t="str">
        <f>'2020_5-2-2_Download'!$Q$7</f>
        <v>unbekannt</v>
      </c>
      <c r="G1821" t="s">
        <v>362</v>
      </c>
      <c r="H1821" t="str">
        <f>VLOOKUP(B1821,[2]Kreise!$A$2:$C$53,3,FALSE)</f>
        <v>K030</v>
      </c>
      <c r="I1821">
        <f>'2020_5-2-2_Download'!Q61</f>
        <v>33.480811772626723</v>
      </c>
    </row>
    <row r="1822" spans="2:9">
      <c r="B1822">
        <f>'2020_5-2-2_Download'!B10</f>
        <v>101</v>
      </c>
      <c r="C1822">
        <f>'2020_5-2-2_Download'!$R$5</f>
        <v>2018</v>
      </c>
      <c r="D1822" t="str">
        <f>VLOOKUP(B1822,[1]Tabelle1!$A$1:$B$68,2,FALSE)</f>
        <v>Braunschweig  Stadt</v>
      </c>
      <c r="F1822" t="str">
        <f>'2020_5-2-2_Download'!$U$7</f>
        <v>hoch</v>
      </c>
      <c r="G1822" t="s">
        <v>362</v>
      </c>
      <c r="H1822" t="str">
        <f>VLOOKUP(B1822,[2]Kreise!$A$2:$C$53,3,FALSE)</f>
        <v>K03101</v>
      </c>
      <c r="I1822">
        <f>'2020_5-2-2_Download'!U10</f>
        <v>22.897890462513619</v>
      </c>
    </row>
    <row r="1823" spans="2:9">
      <c r="B1823">
        <f>'2020_5-2-2_Download'!B11</f>
        <v>102</v>
      </c>
      <c r="C1823">
        <f>'2020_5-2-2_Download'!$R$5</f>
        <v>2018</v>
      </c>
      <c r="D1823" t="str">
        <f>VLOOKUP(B1823,[1]Tabelle1!$A$1:$B$68,2,FALSE)</f>
        <v>Salzgitter  Stadt</v>
      </c>
      <c r="F1823" t="str">
        <f>'2020_5-2-2_Download'!$U$7</f>
        <v>hoch</v>
      </c>
      <c r="G1823" t="s">
        <v>362</v>
      </c>
      <c r="H1823" t="str">
        <f>VLOOKUP(B1823,[2]Kreise!$A$2:$C$53,3,FALSE)</f>
        <v>K03102</v>
      </c>
      <c r="I1823">
        <f>'2020_5-2-2_Download'!U11</f>
        <v>7.8196872125115</v>
      </c>
    </row>
    <row r="1824" spans="2:9">
      <c r="B1824">
        <f>'2020_5-2-2_Download'!B12</f>
        <v>103</v>
      </c>
      <c r="C1824">
        <f>'2020_5-2-2_Download'!$R$5</f>
        <v>2018</v>
      </c>
      <c r="D1824" t="str">
        <f>VLOOKUP(B1824,[1]Tabelle1!$A$1:$B$68,2,FALSE)</f>
        <v>Wolfsburg  Stadt</v>
      </c>
      <c r="F1824" t="str">
        <f>'2020_5-2-2_Download'!$U$7</f>
        <v>hoch</v>
      </c>
      <c r="G1824" t="s">
        <v>362</v>
      </c>
      <c r="H1824" t="str">
        <f>VLOOKUP(B1824,[2]Kreise!$A$2:$C$53,3,FALSE)</f>
        <v>K03103</v>
      </c>
      <c r="I1824">
        <f>'2020_5-2-2_Download'!U12</f>
        <v>21.965666097781348</v>
      </c>
    </row>
    <row r="1825" spans="2:9">
      <c r="B1825">
        <f>'2020_5-2-2_Download'!B13</f>
        <v>151</v>
      </c>
      <c r="C1825">
        <f>'2020_5-2-2_Download'!$R$5</f>
        <v>2018</v>
      </c>
      <c r="D1825" t="str">
        <f>VLOOKUP(B1825,[1]Tabelle1!$A$1:$B$68,2,FALSE)</f>
        <v>Gifhorn</v>
      </c>
      <c r="F1825" t="str">
        <f>'2020_5-2-2_Download'!$U$7</f>
        <v>hoch</v>
      </c>
      <c r="G1825" t="s">
        <v>362</v>
      </c>
      <c r="H1825" t="str">
        <f>VLOOKUP(B1825,[2]Kreise!$A$2:$C$53,3,FALSE)</f>
        <v>K03151</v>
      </c>
      <c r="I1825">
        <f>'2020_5-2-2_Download'!U13</f>
        <v>15.396058014131647</v>
      </c>
    </row>
    <row r="1826" spans="2:9">
      <c r="B1826">
        <f>'2020_5-2-2_Download'!B14</f>
        <v>153</v>
      </c>
      <c r="C1826">
        <f>'2020_5-2-2_Download'!$R$5</f>
        <v>2018</v>
      </c>
      <c r="D1826" t="str">
        <f>VLOOKUP(B1826,[1]Tabelle1!$A$1:$B$68,2,FALSE)</f>
        <v>Goslar</v>
      </c>
      <c r="F1826" t="str">
        <f>'2020_5-2-2_Download'!$U$7</f>
        <v>hoch</v>
      </c>
      <c r="G1826" t="s">
        <v>362</v>
      </c>
      <c r="H1826" t="str">
        <f>VLOOKUP(B1826,[2]Kreise!$A$2:$C$53,3,FALSE)</f>
        <v>K03153</v>
      </c>
      <c r="I1826">
        <f>'2020_5-2-2_Download'!U14</f>
        <v>16.618392469225199</v>
      </c>
    </row>
    <row r="1827" spans="2:9">
      <c r="B1827">
        <f>'2020_5-2-2_Download'!B15</f>
        <v>154</v>
      </c>
      <c r="C1827">
        <f>'2020_5-2-2_Download'!$R$5</f>
        <v>2018</v>
      </c>
      <c r="D1827" t="str">
        <f>VLOOKUP(B1827,[1]Tabelle1!$A$1:$B$68,2,FALSE)</f>
        <v>Helmstedt</v>
      </c>
      <c r="F1827" t="str">
        <f>'2020_5-2-2_Download'!$U$7</f>
        <v>hoch</v>
      </c>
      <c r="G1827" t="s">
        <v>362</v>
      </c>
      <c r="H1827" t="str">
        <f>VLOOKUP(B1827,[2]Kreise!$A$2:$C$53,3,FALSE)</f>
        <v>K03154</v>
      </c>
      <c r="I1827">
        <f>'2020_5-2-2_Download'!U15</f>
        <v>12.718378756114603</v>
      </c>
    </row>
    <row r="1828" spans="2:9">
      <c r="B1828">
        <f>'2020_5-2-2_Download'!B16</f>
        <v>155</v>
      </c>
      <c r="C1828">
        <f>'2020_5-2-2_Download'!$R$5</f>
        <v>2018</v>
      </c>
      <c r="D1828" t="str">
        <f>VLOOKUP(B1828,[1]Tabelle1!$A$1:$B$68,2,FALSE)</f>
        <v>Northeim</v>
      </c>
      <c r="F1828" t="str">
        <f>'2020_5-2-2_Download'!$U$7</f>
        <v>hoch</v>
      </c>
      <c r="G1828" t="s">
        <v>362</v>
      </c>
      <c r="H1828" t="str">
        <f>VLOOKUP(B1828,[2]Kreise!$A$2:$C$53,3,FALSE)</f>
        <v>K03155</v>
      </c>
      <c r="I1828">
        <f>'2020_5-2-2_Download'!U16</f>
        <v>8.1809432146294512</v>
      </c>
    </row>
    <row r="1829" spans="2:9">
      <c r="B1829">
        <f>'2020_5-2-2_Download'!B17</f>
        <v>157</v>
      </c>
      <c r="C1829">
        <f>'2020_5-2-2_Download'!$R$5</f>
        <v>2018</v>
      </c>
      <c r="D1829" t="str">
        <f>VLOOKUP(B1829,[1]Tabelle1!$A$1:$B$68,2,FALSE)</f>
        <v>Peine</v>
      </c>
      <c r="F1829" t="str">
        <f>'2020_5-2-2_Download'!$U$7</f>
        <v>hoch</v>
      </c>
      <c r="G1829" t="s">
        <v>362</v>
      </c>
      <c r="H1829" t="str">
        <f>VLOOKUP(B1829,[2]Kreise!$A$2:$C$53,3,FALSE)</f>
        <v>K03157</v>
      </c>
      <c r="I1829">
        <f>'2020_5-2-2_Download'!U17</f>
        <v>6.8725868725868722</v>
      </c>
    </row>
    <row r="1830" spans="2:9">
      <c r="B1830">
        <f>'2020_5-2-2_Download'!B18</f>
        <v>158</v>
      </c>
      <c r="C1830">
        <f>'2020_5-2-2_Download'!$R$5</f>
        <v>2018</v>
      </c>
      <c r="D1830" t="str">
        <f>VLOOKUP(B1830,[1]Tabelle1!$A$1:$B$68,2,FALSE)</f>
        <v>Wolfenbüttel</v>
      </c>
      <c r="F1830" t="str">
        <f>'2020_5-2-2_Download'!$U$7</f>
        <v>hoch</v>
      </c>
      <c r="G1830" t="s">
        <v>362</v>
      </c>
      <c r="H1830" t="str">
        <f>VLOOKUP(B1830,[2]Kreise!$A$2:$C$53,3,FALSE)</f>
        <v>K03158</v>
      </c>
      <c r="I1830">
        <f>'2020_5-2-2_Download'!U18</f>
        <v>12.110481586402265</v>
      </c>
    </row>
    <row r="1831" spans="2:9">
      <c r="B1831">
        <f>'2020_5-2-2_Download'!B19</f>
        <v>159</v>
      </c>
      <c r="C1831">
        <f>'2020_5-2-2_Download'!$R$5</f>
        <v>2018</v>
      </c>
      <c r="D1831" t="str">
        <f>VLOOKUP(B1831,[1]Tabelle1!$A$1:$B$68,2,FALSE)</f>
        <v>Göttingen</v>
      </c>
      <c r="F1831" t="str">
        <f>'2020_5-2-2_Download'!$U$7</f>
        <v>hoch</v>
      </c>
      <c r="G1831" t="s">
        <v>362</v>
      </c>
      <c r="H1831" t="str">
        <f>VLOOKUP(B1831,[2]Kreise!$A$2:$C$53,3,FALSE)</f>
        <v>K03159</v>
      </c>
      <c r="I1831">
        <f>'2020_5-2-2_Download'!U19</f>
        <v>29.114216422219659</v>
      </c>
    </row>
    <row r="1832" spans="2:9">
      <c r="B1832">
        <f>'2020_5-2-2_Download'!B20</f>
        <v>1</v>
      </c>
      <c r="C1832">
        <f>'2020_5-2-2_Download'!$R$5</f>
        <v>2018</v>
      </c>
      <c r="D1832" t="str">
        <f>VLOOKUP(B1832,[1]Tabelle1!$A$1:$B$68,2,FALSE)</f>
        <v>Stat. Region Braunschweig</v>
      </c>
      <c r="F1832" t="str">
        <f>'2020_5-2-2_Download'!$U$7</f>
        <v>hoch</v>
      </c>
      <c r="G1832" t="s">
        <v>362</v>
      </c>
      <c r="H1832" t="str">
        <f>VLOOKUP(B1832,[2]Kreise!$A$2:$C$53,3,FALSE)</f>
        <v>K031</v>
      </c>
      <c r="I1832">
        <f>'2020_5-2-2_Download'!U20</f>
        <v>19.164577401946204</v>
      </c>
    </row>
    <row r="1833" spans="2:9">
      <c r="B1833">
        <f>'2020_5-2-2_Download'!B21</f>
        <v>241</v>
      </c>
      <c r="C1833">
        <f>'2020_5-2-2_Download'!$R$5</f>
        <v>2018</v>
      </c>
      <c r="D1833" t="str">
        <f>VLOOKUP(B1833,[1]Tabelle1!$A$1:$B$68,2,FALSE)</f>
        <v>Hannover  Region</v>
      </c>
      <c r="F1833" t="str">
        <f>'2020_5-2-2_Download'!$U$7</f>
        <v>hoch</v>
      </c>
      <c r="G1833" t="s">
        <v>362</v>
      </c>
      <c r="H1833" t="str">
        <f>VLOOKUP(B1833,[2]Kreise!$A$2:$C$53,3,FALSE)</f>
        <v>K03241</v>
      </c>
      <c r="I1833">
        <f>'2020_5-2-2_Download'!U21</f>
        <v>12.773112234004696</v>
      </c>
    </row>
    <row r="1834" spans="2:9">
      <c r="B1834">
        <f>'2020_5-2-2_Download'!B22</f>
        <v>241001</v>
      </c>
      <c r="C1834">
        <f>'2020_5-2-2_Download'!$R$5</f>
        <v>2018</v>
      </c>
      <c r="D1834" t="str">
        <f>VLOOKUP(B1834,[1]Tabelle1!$A$1:$B$68,2,FALSE)</f>
        <v>dav. Hannover  Lhst.</v>
      </c>
      <c r="F1834" t="str">
        <f>'2020_5-2-2_Download'!$U$7</f>
        <v>hoch</v>
      </c>
      <c r="G1834" t="s">
        <v>362</v>
      </c>
      <c r="H1834" t="str">
        <f>VLOOKUP(B1834,[2]Kreise!$A$2:$C$53,3,FALSE)</f>
        <v>K03241001</v>
      </c>
      <c r="I1834">
        <f>'2020_5-2-2_Download'!U22</f>
        <v>15.644649713427189</v>
      </c>
    </row>
    <row r="1835" spans="2:9">
      <c r="B1835">
        <f>'2020_5-2-2_Download'!B23</f>
        <v>241999</v>
      </c>
      <c r="C1835">
        <f>'2020_5-2-2_Download'!$R$5</f>
        <v>2018</v>
      </c>
      <c r="D1835" t="str">
        <f>VLOOKUP(B1835,[1]Tabelle1!$A$1:$B$68,2,FALSE)</f>
        <v>dav. Hannover  Umland</v>
      </c>
      <c r="F1835" t="str">
        <f>'2020_5-2-2_Download'!$U$7</f>
        <v>hoch</v>
      </c>
      <c r="G1835" t="s">
        <v>362</v>
      </c>
      <c r="H1835" t="str">
        <f>VLOOKUP(B1835,[2]Kreise!$A$2:$C$53,3,FALSE)</f>
        <v>K03241999</v>
      </c>
      <c r="I1835">
        <f>'2020_5-2-2_Download'!U23</f>
        <v>7.6793998618102846</v>
      </c>
    </row>
    <row r="1836" spans="2:9">
      <c r="B1836">
        <f>'2020_5-2-2_Download'!B24</f>
        <v>251</v>
      </c>
      <c r="C1836">
        <f>'2020_5-2-2_Download'!$R$5</f>
        <v>2018</v>
      </c>
      <c r="D1836" t="str">
        <f>VLOOKUP(B1836,[1]Tabelle1!$A$1:$B$68,2,FALSE)</f>
        <v>Diepholz</v>
      </c>
      <c r="F1836" t="str">
        <f>'2020_5-2-2_Download'!$U$7</f>
        <v>hoch</v>
      </c>
      <c r="G1836" t="s">
        <v>362</v>
      </c>
      <c r="H1836" t="str">
        <f>VLOOKUP(B1836,[2]Kreise!$A$2:$C$53,3,FALSE)</f>
        <v>K03251</v>
      </c>
      <c r="I1836">
        <f>'2020_5-2-2_Download'!U24</f>
        <v>6.785967399007796</v>
      </c>
    </row>
    <row r="1837" spans="2:9">
      <c r="B1837">
        <f>'2020_5-2-2_Download'!B25</f>
        <v>252</v>
      </c>
      <c r="C1837">
        <f>'2020_5-2-2_Download'!$R$5</f>
        <v>2018</v>
      </c>
      <c r="D1837" t="str">
        <f>VLOOKUP(B1837,[1]Tabelle1!$A$1:$B$68,2,FALSE)</f>
        <v>Hameln-Pyrmont</v>
      </c>
      <c r="F1837" t="str">
        <f>'2020_5-2-2_Download'!$U$7</f>
        <v>hoch</v>
      </c>
      <c r="G1837" t="s">
        <v>362</v>
      </c>
      <c r="H1837" t="str">
        <f>VLOOKUP(B1837,[2]Kreise!$A$2:$C$53,3,FALSE)</f>
        <v>K03252</v>
      </c>
      <c r="I1837">
        <f>'2020_5-2-2_Download'!U25</f>
        <v>10.60358890701468</v>
      </c>
    </row>
    <row r="1838" spans="2:9">
      <c r="B1838">
        <f>'2020_5-2-2_Download'!B26</f>
        <v>254</v>
      </c>
      <c r="C1838">
        <f>'2020_5-2-2_Download'!$R$5</f>
        <v>2018</v>
      </c>
      <c r="D1838" t="str">
        <f>VLOOKUP(B1838,[1]Tabelle1!$A$1:$B$68,2,FALSE)</f>
        <v>Hildesheim</v>
      </c>
      <c r="F1838" t="str">
        <f>'2020_5-2-2_Download'!$U$7</f>
        <v>hoch</v>
      </c>
      <c r="G1838" t="s">
        <v>362</v>
      </c>
      <c r="H1838" t="str">
        <f>VLOOKUP(B1838,[2]Kreise!$A$2:$C$53,3,FALSE)</f>
        <v>K03254</v>
      </c>
      <c r="I1838">
        <f>'2020_5-2-2_Download'!U26</f>
        <v>15.638575152041703</v>
      </c>
    </row>
    <row r="1839" spans="2:9">
      <c r="B1839">
        <f>'2020_5-2-2_Download'!B27</f>
        <v>255</v>
      </c>
      <c r="C1839">
        <f>'2020_5-2-2_Download'!$R$5</f>
        <v>2018</v>
      </c>
      <c r="D1839" t="str">
        <f>VLOOKUP(B1839,[1]Tabelle1!$A$1:$B$68,2,FALSE)</f>
        <v>Holzminden</v>
      </c>
      <c r="F1839" t="str">
        <f>'2020_5-2-2_Download'!$U$7</f>
        <v>hoch</v>
      </c>
      <c r="G1839" t="s">
        <v>362</v>
      </c>
      <c r="H1839" t="str">
        <f>VLOOKUP(B1839,[2]Kreise!$A$2:$C$53,3,FALSE)</f>
        <v>K03255</v>
      </c>
      <c r="I1839">
        <f>'2020_5-2-2_Download'!U27</f>
        <v>11.190476190476192</v>
      </c>
    </row>
    <row r="1840" spans="2:9">
      <c r="B1840">
        <f>'2020_5-2-2_Download'!B28</f>
        <v>256</v>
      </c>
      <c r="C1840">
        <f>'2020_5-2-2_Download'!$R$5</f>
        <v>2018</v>
      </c>
      <c r="D1840" t="str">
        <f>VLOOKUP(B1840,[1]Tabelle1!$A$1:$B$68,2,FALSE)</f>
        <v>Nienburg (Weser)</v>
      </c>
      <c r="F1840" t="str">
        <f>'2020_5-2-2_Download'!$U$7</f>
        <v>hoch</v>
      </c>
      <c r="G1840" t="s">
        <v>362</v>
      </c>
      <c r="H1840" t="str">
        <f>VLOOKUP(B1840,[2]Kreise!$A$2:$C$53,3,FALSE)</f>
        <v>K03256</v>
      </c>
      <c r="I1840">
        <f>'2020_5-2-2_Download'!U28</f>
        <v>6.2463683904706562</v>
      </c>
    </row>
    <row r="1841" spans="2:9">
      <c r="B1841">
        <f>'2020_5-2-2_Download'!B29</f>
        <v>257</v>
      </c>
      <c r="C1841">
        <f>'2020_5-2-2_Download'!$R$5</f>
        <v>2018</v>
      </c>
      <c r="D1841" t="str">
        <f>VLOOKUP(B1841,[1]Tabelle1!$A$1:$B$68,2,FALSE)</f>
        <v>Schaumburg</v>
      </c>
      <c r="F1841" t="str">
        <f>'2020_5-2-2_Download'!$U$7</f>
        <v>hoch</v>
      </c>
      <c r="G1841" t="s">
        <v>362</v>
      </c>
      <c r="H1841" t="str">
        <f>VLOOKUP(B1841,[2]Kreise!$A$2:$C$53,3,FALSE)</f>
        <v>K03257</v>
      </c>
      <c r="I1841">
        <f>'2020_5-2-2_Download'!U29</f>
        <v>8.0931586608442512</v>
      </c>
    </row>
    <row r="1842" spans="2:9">
      <c r="B1842">
        <f>'2020_5-2-2_Download'!B30</f>
        <v>2</v>
      </c>
      <c r="C1842">
        <f>'2020_5-2-2_Download'!$R$5</f>
        <v>2018</v>
      </c>
      <c r="D1842" t="str">
        <f>VLOOKUP(B1842,[1]Tabelle1!$A$1:$B$68,2,FALSE)</f>
        <v>Stat. Region Hannover</v>
      </c>
      <c r="F1842" t="str">
        <f>'2020_5-2-2_Download'!$U$7</f>
        <v>hoch</v>
      </c>
      <c r="G1842" t="s">
        <v>362</v>
      </c>
      <c r="H1842" t="str">
        <f>VLOOKUP(B1842,[2]Kreise!$A$2:$C$53,3,FALSE)</f>
        <v>K032</v>
      </c>
      <c r="I1842">
        <f>'2020_5-2-2_Download'!U30</f>
        <v>11.944395477095872</v>
      </c>
    </row>
    <row r="1843" spans="2:9">
      <c r="B1843">
        <f>'2020_5-2-2_Download'!B31</f>
        <v>351</v>
      </c>
      <c r="C1843">
        <f>'2020_5-2-2_Download'!$R$5</f>
        <v>2018</v>
      </c>
      <c r="D1843" t="str">
        <f>VLOOKUP(B1843,[1]Tabelle1!$A$1:$B$68,2,FALSE)</f>
        <v>Celle</v>
      </c>
      <c r="F1843" t="str">
        <f>'2020_5-2-2_Download'!$U$7</f>
        <v>hoch</v>
      </c>
      <c r="G1843" t="s">
        <v>362</v>
      </c>
      <c r="H1843" t="str">
        <f>VLOOKUP(B1843,[2]Kreise!$A$2:$C$53,3,FALSE)</f>
        <v>K03351</v>
      </c>
      <c r="I1843">
        <f>'2020_5-2-2_Download'!U31</f>
        <v>13.554392088423503</v>
      </c>
    </row>
    <row r="1844" spans="2:9">
      <c r="B1844">
        <f>'2020_5-2-2_Download'!B32</f>
        <v>352</v>
      </c>
      <c r="C1844">
        <f>'2020_5-2-2_Download'!$R$5</f>
        <v>2018</v>
      </c>
      <c r="D1844" t="str">
        <f>VLOOKUP(B1844,[1]Tabelle1!$A$1:$B$68,2,FALSE)</f>
        <v>Cuxhaven</v>
      </c>
      <c r="F1844" t="str">
        <f>'2020_5-2-2_Download'!$U$7</f>
        <v>hoch</v>
      </c>
      <c r="G1844" t="s">
        <v>362</v>
      </c>
      <c r="H1844" t="str">
        <f>VLOOKUP(B1844,[2]Kreise!$A$2:$C$53,3,FALSE)</f>
        <v>K03352</v>
      </c>
      <c r="I1844">
        <f>'2020_5-2-2_Download'!U32</f>
        <v>6.3041385948026951</v>
      </c>
    </row>
    <row r="1845" spans="2:9">
      <c r="B1845">
        <f>'2020_5-2-2_Download'!B33</f>
        <v>353</v>
      </c>
      <c r="C1845">
        <f>'2020_5-2-2_Download'!$R$5</f>
        <v>2018</v>
      </c>
      <c r="D1845" t="str">
        <f>VLOOKUP(B1845,[1]Tabelle1!$A$1:$B$68,2,FALSE)</f>
        <v>Harburg</v>
      </c>
      <c r="F1845" t="str">
        <f>'2020_5-2-2_Download'!$U$7</f>
        <v>hoch</v>
      </c>
      <c r="G1845" t="s">
        <v>362</v>
      </c>
      <c r="H1845" t="str">
        <f>VLOOKUP(B1845,[2]Kreise!$A$2:$C$53,3,FALSE)</f>
        <v>K03353</v>
      </c>
      <c r="I1845">
        <f>'2020_5-2-2_Download'!U33</f>
        <v>6.7604581673306772</v>
      </c>
    </row>
    <row r="1846" spans="2:9">
      <c r="B1846">
        <f>'2020_5-2-2_Download'!B34</f>
        <v>354</v>
      </c>
      <c r="C1846">
        <f>'2020_5-2-2_Download'!$R$5</f>
        <v>2018</v>
      </c>
      <c r="D1846" t="str">
        <f>VLOOKUP(B1846,[1]Tabelle1!$A$1:$B$68,2,FALSE)</f>
        <v>Lüchow-Dannenberg</v>
      </c>
      <c r="F1846" t="str">
        <f>'2020_5-2-2_Download'!$U$7</f>
        <v>hoch</v>
      </c>
      <c r="G1846" t="s">
        <v>362</v>
      </c>
      <c r="H1846" t="str">
        <f>VLOOKUP(B1846,[2]Kreise!$A$2:$C$53,3,FALSE)</f>
        <v>K03354</v>
      </c>
      <c r="I1846">
        <f>'2020_5-2-2_Download'!U34</f>
        <v>8.862629246676514</v>
      </c>
    </row>
    <row r="1847" spans="2:9">
      <c r="B1847">
        <f>'2020_5-2-2_Download'!B35</f>
        <v>355</v>
      </c>
      <c r="C1847">
        <f>'2020_5-2-2_Download'!$R$5</f>
        <v>2018</v>
      </c>
      <c r="D1847" t="str">
        <f>VLOOKUP(B1847,[1]Tabelle1!$A$1:$B$68,2,FALSE)</f>
        <v>Lüneburg</v>
      </c>
      <c r="F1847" t="str">
        <f>'2020_5-2-2_Download'!$U$7</f>
        <v>hoch</v>
      </c>
      <c r="G1847" t="s">
        <v>362</v>
      </c>
      <c r="H1847" t="str">
        <f>VLOOKUP(B1847,[2]Kreise!$A$2:$C$53,3,FALSE)</f>
        <v>K03355</v>
      </c>
      <c r="I1847">
        <f>'2020_5-2-2_Download'!U35</f>
        <v>13.85921665297179</v>
      </c>
    </row>
    <row r="1848" spans="2:9">
      <c r="B1848">
        <f>'2020_5-2-2_Download'!B36</f>
        <v>356</v>
      </c>
      <c r="C1848">
        <f>'2020_5-2-2_Download'!$R$5</f>
        <v>2018</v>
      </c>
      <c r="D1848" t="str">
        <f>VLOOKUP(B1848,[1]Tabelle1!$A$1:$B$68,2,FALSE)</f>
        <v>Osterholz</v>
      </c>
      <c r="F1848" t="str">
        <f>'2020_5-2-2_Download'!$U$7</f>
        <v>hoch</v>
      </c>
      <c r="G1848" t="s">
        <v>362</v>
      </c>
      <c r="H1848" t="str">
        <f>VLOOKUP(B1848,[2]Kreise!$A$2:$C$53,3,FALSE)</f>
        <v>K03356</v>
      </c>
      <c r="I1848">
        <f>'2020_5-2-2_Download'!U36</f>
        <v>9.9823840281855549</v>
      </c>
    </row>
    <row r="1849" spans="2:9">
      <c r="B1849">
        <f>'2020_5-2-2_Download'!B37</f>
        <v>357</v>
      </c>
      <c r="C1849">
        <f>'2020_5-2-2_Download'!$R$5</f>
        <v>2018</v>
      </c>
      <c r="D1849" t="str">
        <f>VLOOKUP(B1849,[1]Tabelle1!$A$1:$B$68,2,FALSE)</f>
        <v>Rotenburg (Wümme)</v>
      </c>
      <c r="F1849" t="str">
        <f>'2020_5-2-2_Download'!$U$7</f>
        <v>hoch</v>
      </c>
      <c r="G1849" t="s">
        <v>362</v>
      </c>
      <c r="H1849" t="str">
        <f>VLOOKUP(B1849,[2]Kreise!$A$2:$C$53,3,FALSE)</f>
        <v>K03357</v>
      </c>
      <c r="I1849">
        <f>'2020_5-2-2_Download'!U37</f>
        <v>8.7077093732667787</v>
      </c>
    </row>
    <row r="1850" spans="2:9">
      <c r="B1850">
        <f>'2020_5-2-2_Download'!B38</f>
        <v>358</v>
      </c>
      <c r="C1850">
        <f>'2020_5-2-2_Download'!$R$5</f>
        <v>2018</v>
      </c>
      <c r="D1850" t="str">
        <f>VLOOKUP(B1850,[1]Tabelle1!$A$1:$B$68,2,FALSE)</f>
        <v>Heidekreis</v>
      </c>
      <c r="F1850" t="str">
        <f>'2020_5-2-2_Download'!$U$7</f>
        <v>hoch</v>
      </c>
      <c r="G1850" t="s">
        <v>362</v>
      </c>
      <c r="H1850" t="str">
        <f>VLOOKUP(B1850,[2]Kreise!$A$2:$C$53,3,FALSE)</f>
        <v>K03358</v>
      </c>
      <c r="I1850">
        <f>'2020_5-2-2_Download'!U38</f>
        <v>7.3742428232815378</v>
      </c>
    </row>
    <row r="1851" spans="2:9">
      <c r="B1851">
        <f>'2020_5-2-2_Download'!B39</f>
        <v>359</v>
      </c>
      <c r="C1851">
        <f>'2020_5-2-2_Download'!$R$5</f>
        <v>2018</v>
      </c>
      <c r="D1851" t="str">
        <f>VLOOKUP(B1851,[1]Tabelle1!$A$1:$B$68,2,FALSE)</f>
        <v>Stade</v>
      </c>
      <c r="F1851" t="str">
        <f>'2020_5-2-2_Download'!$U$7</f>
        <v>hoch</v>
      </c>
      <c r="G1851" t="s">
        <v>362</v>
      </c>
      <c r="H1851" t="str">
        <f>VLOOKUP(B1851,[2]Kreise!$A$2:$C$53,3,FALSE)</f>
        <v>K03359</v>
      </c>
      <c r="I1851">
        <f>'2020_5-2-2_Download'!U39</f>
        <v>7.7137176938369789</v>
      </c>
    </row>
    <row r="1852" spans="2:9">
      <c r="B1852">
        <f>'2020_5-2-2_Download'!B40</f>
        <v>360</v>
      </c>
      <c r="C1852">
        <f>'2020_5-2-2_Download'!$R$5</f>
        <v>2018</v>
      </c>
      <c r="D1852" t="str">
        <f>VLOOKUP(B1852,[1]Tabelle1!$A$1:$B$68,2,FALSE)</f>
        <v>Uelzen</v>
      </c>
      <c r="F1852" t="str">
        <f>'2020_5-2-2_Download'!$U$7</f>
        <v>hoch</v>
      </c>
      <c r="G1852" t="s">
        <v>362</v>
      </c>
      <c r="H1852" t="str">
        <f>VLOOKUP(B1852,[2]Kreise!$A$2:$C$53,3,FALSE)</f>
        <v>K03360</v>
      </c>
      <c r="I1852">
        <f>'2020_5-2-2_Download'!U40</f>
        <v>14.578910120311395</v>
      </c>
    </row>
    <row r="1853" spans="2:9">
      <c r="B1853">
        <f>'2020_5-2-2_Download'!B41</f>
        <v>361</v>
      </c>
      <c r="C1853">
        <f>'2020_5-2-2_Download'!$R$5</f>
        <v>2018</v>
      </c>
      <c r="D1853" t="str">
        <f>VLOOKUP(B1853,[1]Tabelle1!$A$1:$B$68,2,FALSE)</f>
        <v>Verden</v>
      </c>
      <c r="F1853" t="str">
        <f>'2020_5-2-2_Download'!$U$7</f>
        <v>hoch</v>
      </c>
      <c r="G1853" t="s">
        <v>362</v>
      </c>
      <c r="H1853" t="str">
        <f>VLOOKUP(B1853,[2]Kreise!$A$2:$C$53,3,FALSE)</f>
        <v>K03361</v>
      </c>
      <c r="I1853">
        <f>'2020_5-2-2_Download'!U41</f>
        <v>8.2403824265877521</v>
      </c>
    </row>
    <row r="1854" spans="2:9">
      <c r="B1854">
        <f>'2020_5-2-2_Download'!B42</f>
        <v>3</v>
      </c>
      <c r="C1854">
        <f>'2020_5-2-2_Download'!$R$5</f>
        <v>2018</v>
      </c>
      <c r="D1854" t="str">
        <f>VLOOKUP(B1854,[1]Tabelle1!$A$1:$B$68,2,FALSE)</f>
        <v>Stat. Region Lüneburg</v>
      </c>
      <c r="F1854" t="str">
        <f>'2020_5-2-2_Download'!$U$7</f>
        <v>hoch</v>
      </c>
      <c r="G1854" t="s">
        <v>362</v>
      </c>
      <c r="H1854" t="str">
        <f>VLOOKUP(B1854,[2]Kreise!$A$2:$C$53,3,FALSE)</f>
        <v>K033</v>
      </c>
      <c r="I1854">
        <f>'2020_5-2-2_Download'!U42</f>
        <v>8.9156807700020053</v>
      </c>
    </row>
    <row r="1855" spans="2:9">
      <c r="B1855">
        <f>'2020_5-2-2_Download'!B43</f>
        <v>401</v>
      </c>
      <c r="C1855">
        <f>'2020_5-2-2_Download'!$R$5</f>
        <v>2018</v>
      </c>
      <c r="D1855" t="str">
        <f>VLOOKUP(B1855,[1]Tabelle1!$A$1:$B$68,2,FALSE)</f>
        <v>Delmenhorst  Stadt</v>
      </c>
      <c r="F1855" t="str">
        <f>'2020_5-2-2_Download'!$U$7</f>
        <v>hoch</v>
      </c>
      <c r="G1855" t="s">
        <v>362</v>
      </c>
      <c r="H1855" t="str">
        <f>VLOOKUP(B1855,[2]Kreise!$A$2:$C$53,3,FALSE)</f>
        <v>K03401</v>
      </c>
      <c r="I1855">
        <f>'2020_5-2-2_Download'!U43</f>
        <v>8.9630931458699479</v>
      </c>
    </row>
    <row r="1856" spans="2:9">
      <c r="B1856">
        <f>'2020_5-2-2_Download'!B44</f>
        <v>402</v>
      </c>
      <c r="C1856">
        <f>'2020_5-2-2_Download'!$R$5</f>
        <v>2018</v>
      </c>
      <c r="D1856" t="str">
        <f>VLOOKUP(B1856,[1]Tabelle1!$A$1:$B$68,2,FALSE)</f>
        <v>Emden  Stadt</v>
      </c>
      <c r="F1856" t="str">
        <f>'2020_5-2-2_Download'!$U$7</f>
        <v>hoch</v>
      </c>
      <c r="G1856" t="s">
        <v>362</v>
      </c>
      <c r="H1856" t="str">
        <f>VLOOKUP(B1856,[2]Kreise!$A$2:$C$53,3,FALSE)</f>
        <v>K03402</v>
      </c>
      <c r="I1856">
        <f>'2020_5-2-2_Download'!U44</f>
        <v>8.9716684155299049</v>
      </c>
    </row>
    <row r="1857" spans="2:9">
      <c r="B1857">
        <f>'2020_5-2-2_Download'!B45</f>
        <v>403</v>
      </c>
      <c r="C1857">
        <f>'2020_5-2-2_Download'!$R$5</f>
        <v>2018</v>
      </c>
      <c r="D1857" t="str">
        <f>VLOOKUP(B1857,[1]Tabelle1!$A$1:$B$68,2,FALSE)</f>
        <v>Oldenburg(Oldb)  Stadt</v>
      </c>
      <c r="F1857" t="str">
        <f>'2020_5-2-2_Download'!$U$7</f>
        <v>hoch</v>
      </c>
      <c r="G1857" t="s">
        <v>362</v>
      </c>
      <c r="H1857" t="str">
        <f>VLOOKUP(B1857,[2]Kreise!$A$2:$C$53,3,FALSE)</f>
        <v>K03403</v>
      </c>
      <c r="I1857">
        <f>'2020_5-2-2_Download'!U45</f>
        <v>18.664488462323874</v>
      </c>
    </row>
    <row r="1858" spans="2:9">
      <c r="B1858">
        <f>'2020_5-2-2_Download'!B46</f>
        <v>404</v>
      </c>
      <c r="C1858">
        <f>'2020_5-2-2_Download'!$R$5</f>
        <v>2018</v>
      </c>
      <c r="D1858" t="str">
        <f>VLOOKUP(B1858,[1]Tabelle1!$A$1:$B$68,2,FALSE)</f>
        <v>Osnabrück  Stadt</v>
      </c>
      <c r="F1858" t="str">
        <f>'2020_5-2-2_Download'!$U$7</f>
        <v>hoch</v>
      </c>
      <c r="G1858" t="s">
        <v>362</v>
      </c>
      <c r="H1858" t="str">
        <f>VLOOKUP(B1858,[2]Kreise!$A$2:$C$53,3,FALSE)</f>
        <v>K03404</v>
      </c>
      <c r="I1858">
        <f>'2020_5-2-2_Download'!U46</f>
        <v>10.994833752814943</v>
      </c>
    </row>
    <row r="1859" spans="2:9">
      <c r="B1859">
        <f>'2020_5-2-2_Download'!B47</f>
        <v>405</v>
      </c>
      <c r="C1859">
        <f>'2020_5-2-2_Download'!$R$5</f>
        <v>2018</v>
      </c>
      <c r="D1859" t="str">
        <f>VLOOKUP(B1859,[1]Tabelle1!$A$1:$B$68,2,FALSE)</f>
        <v>Wilhelmshaven  Stadt</v>
      </c>
      <c r="F1859" t="str">
        <f>'2020_5-2-2_Download'!$U$7</f>
        <v>hoch</v>
      </c>
      <c r="G1859" t="s">
        <v>362</v>
      </c>
      <c r="H1859" t="str">
        <f>VLOOKUP(B1859,[2]Kreise!$A$2:$C$53,3,FALSE)</f>
        <v>K03405</v>
      </c>
      <c r="I1859">
        <f>'2020_5-2-2_Download'!U47</f>
        <v>13.782252989301448</v>
      </c>
    </row>
    <row r="1860" spans="2:9">
      <c r="B1860">
        <f>'2020_5-2-2_Download'!B48</f>
        <v>451</v>
      </c>
      <c r="C1860">
        <f>'2020_5-2-2_Download'!$R$5</f>
        <v>2018</v>
      </c>
      <c r="D1860" t="str">
        <f>VLOOKUP(B1860,[1]Tabelle1!$A$1:$B$68,2,FALSE)</f>
        <v>Ammerland</v>
      </c>
      <c r="F1860" t="str">
        <f>'2020_5-2-2_Download'!$U$7</f>
        <v>hoch</v>
      </c>
      <c r="G1860" t="s">
        <v>362</v>
      </c>
      <c r="H1860" t="str">
        <f>VLOOKUP(B1860,[2]Kreise!$A$2:$C$53,3,FALSE)</f>
        <v>K03451</v>
      </c>
      <c r="I1860">
        <f>'2020_5-2-2_Download'!U48</f>
        <v>5.8051341890315049</v>
      </c>
    </row>
    <row r="1861" spans="2:9">
      <c r="B1861">
        <f>'2020_5-2-2_Download'!B49</f>
        <v>452</v>
      </c>
      <c r="C1861">
        <f>'2020_5-2-2_Download'!$R$5</f>
        <v>2018</v>
      </c>
      <c r="D1861" t="str">
        <f>VLOOKUP(B1861,[1]Tabelle1!$A$1:$B$68,2,FALSE)</f>
        <v>Aurich</v>
      </c>
      <c r="F1861" t="str">
        <f>'2020_5-2-2_Download'!$U$7</f>
        <v>hoch</v>
      </c>
      <c r="G1861" t="s">
        <v>362</v>
      </c>
      <c r="H1861" t="str">
        <f>VLOOKUP(B1861,[2]Kreise!$A$2:$C$53,3,FALSE)</f>
        <v>K03452</v>
      </c>
      <c r="I1861">
        <f>'2020_5-2-2_Download'!U49</f>
        <v>8.2466918714555764</v>
      </c>
    </row>
    <row r="1862" spans="2:9">
      <c r="B1862">
        <f>'2020_5-2-2_Download'!B50</f>
        <v>453</v>
      </c>
      <c r="C1862">
        <f>'2020_5-2-2_Download'!$R$5</f>
        <v>2018</v>
      </c>
      <c r="D1862" t="str">
        <f>VLOOKUP(B1862,[1]Tabelle1!$A$1:$B$68,2,FALSE)</f>
        <v>Cloppenburg</v>
      </c>
      <c r="F1862" t="str">
        <f>'2020_5-2-2_Download'!$U$7</f>
        <v>hoch</v>
      </c>
      <c r="G1862" t="s">
        <v>362</v>
      </c>
      <c r="H1862" t="str">
        <f>VLOOKUP(B1862,[2]Kreise!$A$2:$C$53,3,FALSE)</f>
        <v>K03453</v>
      </c>
      <c r="I1862">
        <f>'2020_5-2-2_Download'!U50</f>
        <v>2.9102844638949672</v>
      </c>
    </row>
    <row r="1863" spans="2:9">
      <c r="B1863">
        <f>'2020_5-2-2_Download'!B51</f>
        <v>454</v>
      </c>
      <c r="C1863">
        <f>'2020_5-2-2_Download'!$R$5</f>
        <v>2018</v>
      </c>
      <c r="D1863" t="str">
        <f>VLOOKUP(B1863,[1]Tabelle1!$A$1:$B$68,2,FALSE)</f>
        <v>Emsland</v>
      </c>
      <c r="F1863" t="str">
        <f>'2020_5-2-2_Download'!$U$7</f>
        <v>hoch</v>
      </c>
      <c r="G1863" t="s">
        <v>362</v>
      </c>
      <c r="H1863" t="str">
        <f>VLOOKUP(B1863,[2]Kreise!$A$2:$C$53,3,FALSE)</f>
        <v>K03454</v>
      </c>
      <c r="I1863">
        <f>'2020_5-2-2_Download'!U51</f>
        <v>6.5376864167674329</v>
      </c>
    </row>
    <row r="1864" spans="2:9">
      <c r="B1864">
        <f>'2020_5-2-2_Download'!B52</f>
        <v>455</v>
      </c>
      <c r="C1864">
        <f>'2020_5-2-2_Download'!$R$5</f>
        <v>2018</v>
      </c>
      <c r="D1864" t="str">
        <f>VLOOKUP(B1864,[1]Tabelle1!$A$1:$B$68,2,FALSE)</f>
        <v>Friesland</v>
      </c>
      <c r="F1864" t="str">
        <f>'2020_5-2-2_Download'!$U$7</f>
        <v>hoch</v>
      </c>
      <c r="G1864" t="s">
        <v>362</v>
      </c>
      <c r="H1864" t="str">
        <f>VLOOKUP(B1864,[2]Kreise!$A$2:$C$53,3,FALSE)</f>
        <v>K03455</v>
      </c>
      <c r="I1864">
        <f>'2020_5-2-2_Download'!U52</f>
        <v>11.837048424289009</v>
      </c>
    </row>
    <row r="1865" spans="2:9">
      <c r="B1865">
        <f>'2020_5-2-2_Download'!B53</f>
        <v>456</v>
      </c>
      <c r="C1865">
        <f>'2020_5-2-2_Download'!$R$5</f>
        <v>2018</v>
      </c>
      <c r="D1865" t="str">
        <f>VLOOKUP(B1865,[1]Tabelle1!$A$1:$B$68,2,FALSE)</f>
        <v>Grafschaft Bentheim</v>
      </c>
      <c r="F1865" t="str">
        <f>'2020_5-2-2_Download'!$U$7</f>
        <v>hoch</v>
      </c>
      <c r="G1865" t="s">
        <v>362</v>
      </c>
      <c r="H1865" t="str">
        <f>VLOOKUP(B1865,[2]Kreise!$A$2:$C$53,3,FALSE)</f>
        <v>K03456</v>
      </c>
      <c r="I1865">
        <f>'2020_5-2-2_Download'!U53</f>
        <v>6.5814943863724356</v>
      </c>
    </row>
    <row r="1866" spans="2:9">
      <c r="B1866">
        <f>'2020_5-2-2_Download'!B54</f>
        <v>457</v>
      </c>
      <c r="C1866">
        <f>'2020_5-2-2_Download'!$R$5</f>
        <v>2018</v>
      </c>
      <c r="D1866" t="str">
        <f>VLOOKUP(B1866,[1]Tabelle1!$A$1:$B$68,2,FALSE)</f>
        <v>Leer</v>
      </c>
      <c r="F1866" t="str">
        <f>'2020_5-2-2_Download'!$U$7</f>
        <v>hoch</v>
      </c>
      <c r="G1866" t="s">
        <v>362</v>
      </c>
      <c r="H1866" t="str">
        <f>VLOOKUP(B1866,[2]Kreise!$A$2:$C$53,3,FALSE)</f>
        <v>K03457</v>
      </c>
      <c r="I1866">
        <f>'2020_5-2-2_Download'!U54</f>
        <v>8.6263901412684092</v>
      </c>
    </row>
    <row r="1867" spans="2:9">
      <c r="B1867">
        <f>'2020_5-2-2_Download'!B55</f>
        <v>458</v>
      </c>
      <c r="C1867">
        <f>'2020_5-2-2_Download'!$R$5</f>
        <v>2018</v>
      </c>
      <c r="D1867" t="str">
        <f>VLOOKUP(B1867,[1]Tabelle1!$A$1:$B$68,2,FALSE)</f>
        <v>Oldenburg</v>
      </c>
      <c r="F1867" t="str">
        <f>'2020_5-2-2_Download'!$U$7</f>
        <v>hoch</v>
      </c>
      <c r="G1867" t="s">
        <v>362</v>
      </c>
      <c r="H1867" t="str">
        <f>VLOOKUP(B1867,[2]Kreise!$A$2:$C$53,3,FALSE)</f>
        <v>K03458</v>
      </c>
      <c r="I1867">
        <f>'2020_5-2-2_Download'!U55</f>
        <v>4.20954162768943</v>
      </c>
    </row>
    <row r="1868" spans="2:9">
      <c r="B1868">
        <f>'2020_5-2-2_Download'!B56</f>
        <v>459</v>
      </c>
      <c r="C1868">
        <f>'2020_5-2-2_Download'!$R$5</f>
        <v>2018</v>
      </c>
      <c r="D1868" t="str">
        <f>VLOOKUP(B1868,[1]Tabelle1!$A$1:$B$68,2,FALSE)</f>
        <v>Osnabrück</v>
      </c>
      <c r="F1868" t="str">
        <f>'2020_5-2-2_Download'!$U$7</f>
        <v>hoch</v>
      </c>
      <c r="G1868" t="s">
        <v>362</v>
      </c>
      <c r="H1868" t="str">
        <f>VLOOKUP(B1868,[2]Kreise!$A$2:$C$53,3,FALSE)</f>
        <v>K03459</v>
      </c>
      <c r="I1868">
        <f>'2020_5-2-2_Download'!U56</f>
        <v>3.9975247524752477</v>
      </c>
    </row>
    <row r="1869" spans="2:9">
      <c r="B1869">
        <f>'2020_5-2-2_Download'!B57</f>
        <v>460</v>
      </c>
      <c r="C1869">
        <f>'2020_5-2-2_Download'!$R$5</f>
        <v>2018</v>
      </c>
      <c r="D1869" t="str">
        <f>VLOOKUP(B1869,[1]Tabelle1!$A$1:$B$68,2,FALSE)</f>
        <v>Vechta</v>
      </c>
      <c r="F1869" t="str">
        <f>'2020_5-2-2_Download'!$U$7</f>
        <v>hoch</v>
      </c>
      <c r="G1869" t="s">
        <v>362</v>
      </c>
      <c r="H1869" t="str">
        <f>VLOOKUP(B1869,[2]Kreise!$A$2:$C$53,3,FALSE)</f>
        <v>K03460</v>
      </c>
      <c r="I1869">
        <f>'2020_5-2-2_Download'!U57</f>
        <v>4.1569026999490575</v>
      </c>
    </row>
    <row r="1870" spans="2:9">
      <c r="B1870">
        <f>'2020_5-2-2_Download'!B58</f>
        <v>461</v>
      </c>
      <c r="C1870">
        <f>'2020_5-2-2_Download'!$R$5</f>
        <v>2018</v>
      </c>
      <c r="D1870" t="str">
        <f>VLOOKUP(B1870,[1]Tabelle1!$A$1:$B$68,2,FALSE)</f>
        <v>Wesermarsch</v>
      </c>
      <c r="F1870" t="str">
        <f>'2020_5-2-2_Download'!$U$7</f>
        <v>hoch</v>
      </c>
      <c r="G1870" t="s">
        <v>362</v>
      </c>
      <c r="H1870" t="str">
        <f>VLOOKUP(B1870,[2]Kreise!$A$2:$C$53,3,FALSE)</f>
        <v>K03461</v>
      </c>
      <c r="I1870">
        <f>'2020_5-2-2_Download'!U58</f>
        <v>5.6619144602851321</v>
      </c>
    </row>
    <row r="1871" spans="2:9">
      <c r="B1871">
        <f>'2020_5-2-2_Download'!B59</f>
        <v>462</v>
      </c>
      <c r="C1871">
        <f>'2020_5-2-2_Download'!$R$5</f>
        <v>2018</v>
      </c>
      <c r="D1871" t="str">
        <f>VLOOKUP(B1871,[1]Tabelle1!$A$1:$B$68,2,FALSE)</f>
        <v>Wittmund</v>
      </c>
      <c r="F1871" t="str">
        <f>'2020_5-2-2_Download'!$U$7</f>
        <v>hoch</v>
      </c>
      <c r="G1871" t="s">
        <v>362</v>
      </c>
      <c r="H1871" t="str">
        <f>VLOOKUP(B1871,[2]Kreise!$A$2:$C$53,3,FALSE)</f>
        <v>K03462</v>
      </c>
      <c r="I1871">
        <f>'2020_5-2-2_Download'!U59</f>
        <v>5.9649122807017543</v>
      </c>
    </row>
    <row r="1872" spans="2:9">
      <c r="B1872">
        <f>'2020_5-2-2_Download'!B60</f>
        <v>4</v>
      </c>
      <c r="C1872">
        <f>'2020_5-2-2_Download'!$R$5</f>
        <v>2018</v>
      </c>
      <c r="D1872" t="str">
        <f>VLOOKUP(B1872,[1]Tabelle1!$A$1:$B$68,2,FALSE)</f>
        <v>Stat. Region Weser-Ems</v>
      </c>
      <c r="F1872" t="str">
        <f>'2020_5-2-2_Download'!$U$7</f>
        <v>hoch</v>
      </c>
      <c r="G1872" t="s">
        <v>362</v>
      </c>
      <c r="H1872" t="str">
        <f>VLOOKUP(B1872,[2]Kreise!$A$2:$C$53,3,FALSE)</f>
        <v>K034</v>
      </c>
      <c r="I1872">
        <f>'2020_5-2-2_Download'!U60</f>
        <v>6.8118332043213412</v>
      </c>
    </row>
    <row r="1873" spans="2:9">
      <c r="B1873">
        <f>'2020_5-2-2_Download'!B61</f>
        <v>0</v>
      </c>
      <c r="C1873">
        <f>'2020_5-2-2_Download'!$R$5</f>
        <v>2018</v>
      </c>
      <c r="D1873" t="str">
        <f>VLOOKUP(B1873,[1]Tabelle1!$A$1:$B$68,2,FALSE)</f>
        <v>Niedersachsen</v>
      </c>
      <c r="F1873" t="str">
        <f>'2020_5-2-2_Download'!$U$7</f>
        <v>hoch</v>
      </c>
      <c r="G1873" t="s">
        <v>362</v>
      </c>
      <c r="H1873" t="str">
        <f>VLOOKUP(B1873,[2]Kreise!$A$2:$C$53,3,FALSE)</f>
        <v>K030</v>
      </c>
      <c r="I1873">
        <f>'2020_5-2-2_Download'!U61</f>
        <v>11.010922866792685</v>
      </c>
    </row>
    <row r="1874" spans="2:9">
      <c r="B1874">
        <f>'2020_5-2-2_Download'!B10</f>
        <v>101</v>
      </c>
      <c r="C1874">
        <f>'2020_5-2-2_Download'!$R$5</f>
        <v>2018</v>
      </c>
      <c r="D1874" t="str">
        <f>VLOOKUP(B1874,[1]Tabelle1!$A$1:$B$68,2,FALSE)</f>
        <v>Braunschweig  Stadt</v>
      </c>
      <c r="F1874" t="str">
        <f>'2020_5-2-2_Download'!$V$7</f>
        <v>mittel</v>
      </c>
      <c r="G1874" t="s">
        <v>362</v>
      </c>
      <c r="H1874" t="str">
        <f>VLOOKUP(B1874,[2]Kreise!$A$2:$C$53,3,FALSE)</f>
        <v>K03101</v>
      </c>
      <c r="I1874">
        <f>'2020_5-2-2_Download'!V10</f>
        <v>28.335149054174508</v>
      </c>
    </row>
    <row r="1875" spans="2:9">
      <c r="B1875">
        <f>'2020_5-2-2_Download'!B11</f>
        <v>102</v>
      </c>
      <c r="C1875">
        <f>'2020_5-2-2_Download'!$R$5</f>
        <v>2018</v>
      </c>
      <c r="D1875" t="str">
        <f>VLOOKUP(B1875,[1]Tabelle1!$A$1:$B$68,2,FALSE)</f>
        <v>Salzgitter  Stadt</v>
      </c>
      <c r="F1875" t="str">
        <f>'2020_5-2-2_Download'!$V$7</f>
        <v>mittel</v>
      </c>
      <c r="G1875" t="s">
        <v>362</v>
      </c>
      <c r="H1875" t="str">
        <f>VLOOKUP(B1875,[2]Kreise!$A$2:$C$53,3,FALSE)</f>
        <v>K03102</v>
      </c>
      <c r="I1875">
        <f>'2020_5-2-2_Download'!V11</f>
        <v>41.283348666053357</v>
      </c>
    </row>
    <row r="1876" spans="2:9">
      <c r="B1876">
        <f>'2020_5-2-2_Download'!B12</f>
        <v>103</v>
      </c>
      <c r="C1876">
        <f>'2020_5-2-2_Download'!$R$5</f>
        <v>2018</v>
      </c>
      <c r="D1876" t="str">
        <f>VLOOKUP(B1876,[1]Tabelle1!$A$1:$B$68,2,FALSE)</f>
        <v>Wolfsburg  Stadt</v>
      </c>
      <c r="F1876" t="str">
        <f>'2020_5-2-2_Download'!$V$7</f>
        <v>mittel</v>
      </c>
      <c r="G1876" t="s">
        <v>362</v>
      </c>
      <c r="H1876" t="str">
        <f>VLOOKUP(B1876,[2]Kreise!$A$2:$C$53,3,FALSE)</f>
        <v>K03103</v>
      </c>
      <c r="I1876">
        <f>'2020_5-2-2_Download'!V12</f>
        <v>33.982531874309807</v>
      </c>
    </row>
    <row r="1877" spans="2:9">
      <c r="B1877">
        <f>'2020_5-2-2_Download'!B13</f>
        <v>151</v>
      </c>
      <c r="C1877">
        <f>'2020_5-2-2_Download'!$R$5</f>
        <v>2018</v>
      </c>
      <c r="D1877" t="str">
        <f>VLOOKUP(B1877,[1]Tabelle1!$A$1:$B$68,2,FALSE)</f>
        <v>Gifhorn</v>
      </c>
      <c r="F1877" t="str">
        <f>'2020_5-2-2_Download'!$V$7</f>
        <v>mittel</v>
      </c>
      <c r="G1877" t="s">
        <v>362</v>
      </c>
      <c r="H1877" t="str">
        <f>VLOOKUP(B1877,[2]Kreise!$A$2:$C$53,3,FALSE)</f>
        <v>K03151</v>
      </c>
      <c r="I1877">
        <f>'2020_5-2-2_Download'!V13</f>
        <v>26.887318705838602</v>
      </c>
    </row>
    <row r="1878" spans="2:9">
      <c r="B1878">
        <f>'2020_5-2-2_Download'!B14</f>
        <v>153</v>
      </c>
      <c r="C1878">
        <f>'2020_5-2-2_Download'!$R$5</f>
        <v>2018</v>
      </c>
      <c r="D1878" t="str">
        <f>VLOOKUP(B1878,[1]Tabelle1!$A$1:$B$68,2,FALSE)</f>
        <v>Goslar</v>
      </c>
      <c r="F1878" t="str">
        <f>'2020_5-2-2_Download'!$V$7</f>
        <v>mittel</v>
      </c>
      <c r="G1878" t="s">
        <v>362</v>
      </c>
      <c r="H1878" t="str">
        <f>VLOOKUP(B1878,[2]Kreise!$A$2:$C$53,3,FALSE)</f>
        <v>K03153</v>
      </c>
      <c r="I1878">
        <f>'2020_5-2-2_Download'!V14</f>
        <v>31.788559015206374</v>
      </c>
    </row>
    <row r="1879" spans="2:9">
      <c r="B1879">
        <f>'2020_5-2-2_Download'!B15</f>
        <v>154</v>
      </c>
      <c r="C1879">
        <f>'2020_5-2-2_Download'!$R$5</f>
        <v>2018</v>
      </c>
      <c r="D1879" t="str">
        <f>VLOOKUP(B1879,[1]Tabelle1!$A$1:$B$68,2,FALSE)</f>
        <v>Helmstedt</v>
      </c>
      <c r="F1879" t="str">
        <f>'2020_5-2-2_Download'!$V$7</f>
        <v>mittel</v>
      </c>
      <c r="G1879" t="s">
        <v>362</v>
      </c>
      <c r="H1879" t="str">
        <f>VLOOKUP(B1879,[2]Kreise!$A$2:$C$53,3,FALSE)</f>
        <v>K03154</v>
      </c>
      <c r="I1879">
        <f>'2020_5-2-2_Download'!V15</f>
        <v>42.348008385744237</v>
      </c>
    </row>
    <row r="1880" spans="2:9">
      <c r="B1880">
        <f>'2020_5-2-2_Download'!B16</f>
        <v>155</v>
      </c>
      <c r="C1880">
        <f>'2020_5-2-2_Download'!$R$5</f>
        <v>2018</v>
      </c>
      <c r="D1880" t="str">
        <f>VLOOKUP(B1880,[1]Tabelle1!$A$1:$B$68,2,FALSE)</f>
        <v>Northeim</v>
      </c>
      <c r="F1880" t="str">
        <f>'2020_5-2-2_Download'!$V$7</f>
        <v>mittel</v>
      </c>
      <c r="G1880" t="s">
        <v>362</v>
      </c>
      <c r="H1880" t="str">
        <f>VLOOKUP(B1880,[2]Kreise!$A$2:$C$53,3,FALSE)</f>
        <v>K03155</v>
      </c>
      <c r="I1880">
        <f>'2020_5-2-2_Download'!V16</f>
        <v>45.299967917869751</v>
      </c>
    </row>
    <row r="1881" spans="2:9">
      <c r="B1881">
        <f>'2020_5-2-2_Download'!B17</f>
        <v>157</v>
      </c>
      <c r="C1881">
        <f>'2020_5-2-2_Download'!$R$5</f>
        <v>2018</v>
      </c>
      <c r="D1881" t="str">
        <f>VLOOKUP(B1881,[1]Tabelle1!$A$1:$B$68,2,FALSE)</f>
        <v>Peine</v>
      </c>
      <c r="F1881" t="str">
        <f>'2020_5-2-2_Download'!$V$7</f>
        <v>mittel</v>
      </c>
      <c r="G1881" t="s">
        <v>362</v>
      </c>
      <c r="H1881" t="str">
        <f>VLOOKUP(B1881,[2]Kreise!$A$2:$C$53,3,FALSE)</f>
        <v>K03157</v>
      </c>
      <c r="I1881">
        <f>'2020_5-2-2_Download'!V17</f>
        <v>33.320463320463325</v>
      </c>
    </row>
    <row r="1882" spans="2:9">
      <c r="B1882">
        <f>'2020_5-2-2_Download'!B18</f>
        <v>158</v>
      </c>
      <c r="C1882">
        <f>'2020_5-2-2_Download'!$R$5</f>
        <v>2018</v>
      </c>
      <c r="D1882" t="str">
        <f>VLOOKUP(B1882,[1]Tabelle1!$A$1:$B$68,2,FALSE)</f>
        <v>Wolfenbüttel</v>
      </c>
      <c r="F1882" t="str">
        <f>'2020_5-2-2_Download'!$V$7</f>
        <v>mittel</v>
      </c>
      <c r="G1882" t="s">
        <v>362</v>
      </c>
      <c r="H1882" t="str">
        <f>VLOOKUP(B1882,[2]Kreise!$A$2:$C$53,3,FALSE)</f>
        <v>K03158</v>
      </c>
      <c r="I1882">
        <f>'2020_5-2-2_Download'!V18</f>
        <v>40.226628895184135</v>
      </c>
    </row>
    <row r="1883" spans="2:9">
      <c r="B1883">
        <f>'2020_5-2-2_Download'!B19</f>
        <v>159</v>
      </c>
      <c r="C1883">
        <f>'2020_5-2-2_Download'!$R$5</f>
        <v>2018</v>
      </c>
      <c r="D1883" t="str">
        <f>VLOOKUP(B1883,[1]Tabelle1!$A$1:$B$68,2,FALSE)</f>
        <v>Göttingen</v>
      </c>
      <c r="F1883" t="str">
        <f>'2020_5-2-2_Download'!$V$7</f>
        <v>mittel</v>
      </c>
      <c r="G1883" t="s">
        <v>362</v>
      </c>
      <c r="H1883" t="str">
        <f>VLOOKUP(B1883,[2]Kreise!$A$2:$C$53,3,FALSE)</f>
        <v>K03159</v>
      </c>
      <c r="I1883">
        <f>'2020_5-2-2_Download'!V19</f>
        <v>29.322092620394962</v>
      </c>
    </row>
    <row r="1884" spans="2:9">
      <c r="B1884">
        <f>'2020_5-2-2_Download'!B20</f>
        <v>1</v>
      </c>
      <c r="C1884">
        <f>'2020_5-2-2_Download'!$R$5</f>
        <v>2018</v>
      </c>
      <c r="D1884" t="str">
        <f>VLOOKUP(B1884,[1]Tabelle1!$A$1:$B$68,2,FALSE)</f>
        <v>Stat. Region Braunschweig</v>
      </c>
      <c r="F1884" t="str">
        <f>'2020_5-2-2_Download'!$V$7</f>
        <v>mittel</v>
      </c>
      <c r="G1884" t="s">
        <v>362</v>
      </c>
      <c r="H1884" t="str">
        <f>VLOOKUP(B1884,[2]Kreise!$A$2:$C$53,3,FALSE)</f>
        <v>K031</v>
      </c>
      <c r="I1884">
        <f>'2020_5-2-2_Download'!V20</f>
        <v>33.208685675434495</v>
      </c>
    </row>
    <row r="1885" spans="2:9">
      <c r="B1885">
        <f>'2020_5-2-2_Download'!B21</f>
        <v>241</v>
      </c>
      <c r="C1885">
        <f>'2020_5-2-2_Download'!$R$5</f>
        <v>2018</v>
      </c>
      <c r="D1885" t="str">
        <f>VLOOKUP(B1885,[1]Tabelle1!$A$1:$B$68,2,FALSE)</f>
        <v>Hannover  Region</v>
      </c>
      <c r="F1885" t="str">
        <f>'2020_5-2-2_Download'!$V$7</f>
        <v>mittel</v>
      </c>
      <c r="G1885" t="s">
        <v>362</v>
      </c>
      <c r="H1885" t="str">
        <f>VLOOKUP(B1885,[2]Kreise!$A$2:$C$53,3,FALSE)</f>
        <v>K03241</v>
      </c>
      <c r="I1885">
        <f>'2020_5-2-2_Download'!V21</f>
        <v>32.485232367803</v>
      </c>
    </row>
    <row r="1886" spans="2:9">
      <c r="B1886">
        <f>'2020_5-2-2_Download'!B22</f>
        <v>241001</v>
      </c>
      <c r="C1886">
        <f>'2020_5-2-2_Download'!$R$5</f>
        <v>2018</v>
      </c>
      <c r="D1886" t="str">
        <f>VLOOKUP(B1886,[1]Tabelle1!$A$1:$B$68,2,FALSE)</f>
        <v>dav. Hannover  Lhst.</v>
      </c>
      <c r="F1886" t="str">
        <f>'2020_5-2-2_Download'!$V$7</f>
        <v>mittel</v>
      </c>
      <c r="G1886" t="s">
        <v>362</v>
      </c>
      <c r="H1886" t="str">
        <f>VLOOKUP(B1886,[2]Kreise!$A$2:$C$53,3,FALSE)</f>
        <v>K03241001</v>
      </c>
      <c r="I1886">
        <f>'2020_5-2-2_Download'!V22</f>
        <v>32.073896833787771</v>
      </c>
    </row>
    <row r="1887" spans="2:9">
      <c r="B1887">
        <f>'2020_5-2-2_Download'!B23</f>
        <v>241999</v>
      </c>
      <c r="C1887">
        <f>'2020_5-2-2_Download'!$R$5</f>
        <v>2018</v>
      </c>
      <c r="D1887" t="str">
        <f>VLOOKUP(B1887,[1]Tabelle1!$A$1:$B$68,2,FALSE)</f>
        <v>dav. Hannover  Umland</v>
      </c>
      <c r="F1887" t="str">
        <f>'2020_5-2-2_Download'!$V$7</f>
        <v>mittel</v>
      </c>
      <c r="G1887" t="s">
        <v>362</v>
      </c>
      <c r="H1887" t="str">
        <f>VLOOKUP(B1887,[2]Kreise!$A$2:$C$53,3,FALSE)</f>
        <v>K03241999</v>
      </c>
      <c r="I1887">
        <f>'2020_5-2-2_Download'!V23</f>
        <v>33.214885006415948</v>
      </c>
    </row>
    <row r="1888" spans="2:9">
      <c r="B1888">
        <f>'2020_5-2-2_Download'!B24</f>
        <v>251</v>
      </c>
      <c r="C1888">
        <f>'2020_5-2-2_Download'!$R$5</f>
        <v>2018</v>
      </c>
      <c r="D1888" t="str">
        <f>VLOOKUP(B1888,[1]Tabelle1!$A$1:$B$68,2,FALSE)</f>
        <v>Diepholz</v>
      </c>
      <c r="F1888" t="str">
        <f>'2020_5-2-2_Download'!$V$7</f>
        <v>mittel</v>
      </c>
      <c r="G1888" t="s">
        <v>362</v>
      </c>
      <c r="H1888" t="str">
        <f>VLOOKUP(B1888,[2]Kreise!$A$2:$C$53,3,FALSE)</f>
        <v>K03251</v>
      </c>
      <c r="I1888">
        <f>'2020_5-2-2_Download'!V24</f>
        <v>32.246633593196314</v>
      </c>
    </row>
    <row r="1889" spans="2:9">
      <c r="B1889">
        <f>'2020_5-2-2_Download'!B25</f>
        <v>252</v>
      </c>
      <c r="C1889">
        <f>'2020_5-2-2_Download'!$R$5</f>
        <v>2018</v>
      </c>
      <c r="D1889" t="str">
        <f>VLOOKUP(B1889,[1]Tabelle1!$A$1:$B$68,2,FALSE)</f>
        <v>Hameln-Pyrmont</v>
      </c>
      <c r="F1889" t="str">
        <f>'2020_5-2-2_Download'!$V$7</f>
        <v>mittel</v>
      </c>
      <c r="G1889" t="s">
        <v>362</v>
      </c>
      <c r="H1889" t="str">
        <f>VLOOKUP(B1889,[2]Kreise!$A$2:$C$53,3,FALSE)</f>
        <v>K03252</v>
      </c>
      <c r="I1889">
        <f>'2020_5-2-2_Download'!V25</f>
        <v>37.629146275149537</v>
      </c>
    </row>
    <row r="1890" spans="2:9">
      <c r="B1890">
        <f>'2020_5-2-2_Download'!B26</f>
        <v>254</v>
      </c>
      <c r="C1890">
        <f>'2020_5-2-2_Download'!$R$5</f>
        <v>2018</v>
      </c>
      <c r="D1890" t="str">
        <f>VLOOKUP(B1890,[1]Tabelle1!$A$1:$B$68,2,FALSE)</f>
        <v>Hildesheim</v>
      </c>
      <c r="F1890" t="str">
        <f>'2020_5-2-2_Download'!$V$7</f>
        <v>mittel</v>
      </c>
      <c r="G1890" t="s">
        <v>362</v>
      </c>
      <c r="H1890" t="str">
        <f>VLOOKUP(B1890,[2]Kreise!$A$2:$C$53,3,FALSE)</f>
        <v>K03254</v>
      </c>
      <c r="I1890">
        <f>'2020_5-2-2_Download'!V26</f>
        <v>35.499565595134662</v>
      </c>
    </row>
    <row r="1891" spans="2:9">
      <c r="B1891">
        <f>'2020_5-2-2_Download'!B27</f>
        <v>255</v>
      </c>
      <c r="C1891">
        <f>'2020_5-2-2_Download'!$R$5</f>
        <v>2018</v>
      </c>
      <c r="D1891" t="str">
        <f>VLOOKUP(B1891,[1]Tabelle1!$A$1:$B$68,2,FALSE)</f>
        <v>Holzminden</v>
      </c>
      <c r="F1891" t="str">
        <f>'2020_5-2-2_Download'!$V$7</f>
        <v>mittel</v>
      </c>
      <c r="G1891" t="s">
        <v>362</v>
      </c>
      <c r="H1891" t="str">
        <f>VLOOKUP(B1891,[2]Kreise!$A$2:$C$53,3,FALSE)</f>
        <v>K03255</v>
      </c>
      <c r="I1891">
        <f>'2020_5-2-2_Download'!V27</f>
        <v>35.079365079365076</v>
      </c>
    </row>
    <row r="1892" spans="2:9">
      <c r="B1892">
        <f>'2020_5-2-2_Download'!B28</f>
        <v>256</v>
      </c>
      <c r="C1892">
        <f>'2020_5-2-2_Download'!$R$5</f>
        <v>2018</v>
      </c>
      <c r="D1892" t="str">
        <f>VLOOKUP(B1892,[1]Tabelle1!$A$1:$B$68,2,FALSE)</f>
        <v>Nienburg (Weser)</v>
      </c>
      <c r="F1892" t="str">
        <f>'2020_5-2-2_Download'!$V$7</f>
        <v>mittel</v>
      </c>
      <c r="G1892" t="s">
        <v>362</v>
      </c>
      <c r="H1892" t="str">
        <f>VLOOKUP(B1892,[2]Kreise!$A$2:$C$53,3,FALSE)</f>
        <v>K03256</v>
      </c>
      <c r="I1892">
        <f>'2020_5-2-2_Download'!V28</f>
        <v>26.263800116211506</v>
      </c>
    </row>
    <row r="1893" spans="2:9">
      <c r="B1893">
        <f>'2020_5-2-2_Download'!B29</f>
        <v>257</v>
      </c>
      <c r="C1893">
        <f>'2020_5-2-2_Download'!$R$5</f>
        <v>2018</v>
      </c>
      <c r="D1893" t="str">
        <f>VLOOKUP(B1893,[1]Tabelle1!$A$1:$B$68,2,FALSE)</f>
        <v>Schaumburg</v>
      </c>
      <c r="F1893" t="str">
        <f>'2020_5-2-2_Download'!$V$7</f>
        <v>mittel</v>
      </c>
      <c r="G1893" t="s">
        <v>362</v>
      </c>
      <c r="H1893" t="str">
        <f>VLOOKUP(B1893,[2]Kreise!$A$2:$C$53,3,FALSE)</f>
        <v>K03257</v>
      </c>
      <c r="I1893">
        <f>'2020_5-2-2_Download'!V29</f>
        <v>43.522561863173216</v>
      </c>
    </row>
    <row r="1894" spans="2:9">
      <c r="B1894">
        <f>'2020_5-2-2_Download'!B30</f>
        <v>2</v>
      </c>
      <c r="C1894">
        <f>'2020_5-2-2_Download'!$R$5</f>
        <v>2018</v>
      </c>
      <c r="D1894" t="str">
        <f>VLOOKUP(B1894,[1]Tabelle1!$A$1:$B$68,2,FALSE)</f>
        <v>Stat. Region Hannover</v>
      </c>
      <c r="F1894" t="str">
        <f>'2020_5-2-2_Download'!$V$7</f>
        <v>mittel</v>
      </c>
      <c r="G1894" t="s">
        <v>362</v>
      </c>
      <c r="H1894" t="str">
        <f>VLOOKUP(B1894,[2]Kreise!$A$2:$C$53,3,FALSE)</f>
        <v>K032</v>
      </c>
      <c r="I1894">
        <f>'2020_5-2-2_Download'!V30</f>
        <v>33.173839683698908</v>
      </c>
    </row>
    <row r="1895" spans="2:9">
      <c r="B1895">
        <f>'2020_5-2-2_Download'!B31</f>
        <v>351</v>
      </c>
      <c r="C1895">
        <f>'2020_5-2-2_Download'!$R$5</f>
        <v>2018</v>
      </c>
      <c r="D1895" t="str">
        <f>VLOOKUP(B1895,[1]Tabelle1!$A$1:$B$68,2,FALSE)</f>
        <v>Celle</v>
      </c>
      <c r="F1895" t="str">
        <f>'2020_5-2-2_Download'!$V$7</f>
        <v>mittel</v>
      </c>
      <c r="G1895" t="s">
        <v>362</v>
      </c>
      <c r="H1895" t="str">
        <f>VLOOKUP(B1895,[2]Kreise!$A$2:$C$53,3,FALSE)</f>
        <v>K03351</v>
      </c>
      <c r="I1895">
        <f>'2020_5-2-2_Download'!V31</f>
        <v>33.216986620127983</v>
      </c>
    </row>
    <row r="1896" spans="2:9">
      <c r="B1896">
        <f>'2020_5-2-2_Download'!B32</f>
        <v>352</v>
      </c>
      <c r="C1896">
        <f>'2020_5-2-2_Download'!$R$5</f>
        <v>2018</v>
      </c>
      <c r="D1896" t="str">
        <f>VLOOKUP(B1896,[1]Tabelle1!$A$1:$B$68,2,FALSE)</f>
        <v>Cuxhaven</v>
      </c>
      <c r="F1896" t="str">
        <f>'2020_5-2-2_Download'!$V$7</f>
        <v>mittel</v>
      </c>
      <c r="G1896" t="s">
        <v>362</v>
      </c>
      <c r="H1896" t="str">
        <f>VLOOKUP(B1896,[2]Kreise!$A$2:$C$53,3,FALSE)</f>
        <v>K03352</v>
      </c>
      <c r="I1896">
        <f>'2020_5-2-2_Download'!V32</f>
        <v>28.946102021174209</v>
      </c>
    </row>
    <row r="1897" spans="2:9">
      <c r="B1897">
        <f>'2020_5-2-2_Download'!B33</f>
        <v>353</v>
      </c>
      <c r="C1897">
        <f>'2020_5-2-2_Download'!$R$5</f>
        <v>2018</v>
      </c>
      <c r="D1897" t="str">
        <f>VLOOKUP(B1897,[1]Tabelle1!$A$1:$B$68,2,FALSE)</f>
        <v>Harburg</v>
      </c>
      <c r="F1897" t="str">
        <f>'2020_5-2-2_Download'!$V$7</f>
        <v>mittel</v>
      </c>
      <c r="G1897" t="s">
        <v>362</v>
      </c>
      <c r="H1897" t="str">
        <f>VLOOKUP(B1897,[2]Kreise!$A$2:$C$53,3,FALSE)</f>
        <v>K03353</v>
      </c>
      <c r="I1897">
        <f>'2020_5-2-2_Download'!V33</f>
        <v>28.212151394422314</v>
      </c>
    </row>
    <row r="1898" spans="2:9">
      <c r="B1898">
        <f>'2020_5-2-2_Download'!B34</f>
        <v>354</v>
      </c>
      <c r="C1898">
        <f>'2020_5-2-2_Download'!$R$5</f>
        <v>2018</v>
      </c>
      <c r="D1898" t="str">
        <f>VLOOKUP(B1898,[1]Tabelle1!$A$1:$B$68,2,FALSE)</f>
        <v>Lüchow-Dannenberg</v>
      </c>
      <c r="F1898" t="str">
        <f>'2020_5-2-2_Download'!$V$7</f>
        <v>mittel</v>
      </c>
      <c r="G1898" t="s">
        <v>362</v>
      </c>
      <c r="H1898" t="str">
        <f>VLOOKUP(B1898,[2]Kreise!$A$2:$C$53,3,FALSE)</f>
        <v>K03354</v>
      </c>
      <c r="I1898">
        <f>'2020_5-2-2_Download'!V34</f>
        <v>28.80354505169867</v>
      </c>
    </row>
    <row r="1899" spans="2:9">
      <c r="B1899">
        <f>'2020_5-2-2_Download'!B35</f>
        <v>355</v>
      </c>
      <c r="C1899">
        <f>'2020_5-2-2_Download'!$R$5</f>
        <v>2018</v>
      </c>
      <c r="D1899" t="str">
        <f>VLOOKUP(B1899,[1]Tabelle1!$A$1:$B$68,2,FALSE)</f>
        <v>Lüneburg</v>
      </c>
      <c r="F1899" t="str">
        <f>'2020_5-2-2_Download'!$V$7</f>
        <v>mittel</v>
      </c>
      <c r="G1899" t="s">
        <v>362</v>
      </c>
      <c r="H1899" t="str">
        <f>VLOOKUP(B1899,[2]Kreise!$A$2:$C$53,3,FALSE)</f>
        <v>K03355</v>
      </c>
      <c r="I1899">
        <f>'2020_5-2-2_Download'!V35</f>
        <v>31.55299917830731</v>
      </c>
    </row>
    <row r="1900" spans="2:9">
      <c r="B1900">
        <f>'2020_5-2-2_Download'!B36</f>
        <v>356</v>
      </c>
      <c r="C1900">
        <f>'2020_5-2-2_Download'!$R$5</f>
        <v>2018</v>
      </c>
      <c r="D1900" t="str">
        <f>VLOOKUP(B1900,[1]Tabelle1!$A$1:$B$68,2,FALSE)</f>
        <v>Osterholz</v>
      </c>
      <c r="F1900" t="str">
        <f>'2020_5-2-2_Download'!$V$7</f>
        <v>mittel</v>
      </c>
      <c r="G1900" t="s">
        <v>362</v>
      </c>
      <c r="H1900" t="str">
        <f>VLOOKUP(B1900,[2]Kreise!$A$2:$C$53,3,FALSE)</f>
        <v>K03356</v>
      </c>
      <c r="I1900">
        <f>'2020_5-2-2_Download'!V36</f>
        <v>33.352906635349385</v>
      </c>
    </row>
    <row r="1901" spans="2:9">
      <c r="B1901">
        <f>'2020_5-2-2_Download'!B37</f>
        <v>357</v>
      </c>
      <c r="C1901">
        <f>'2020_5-2-2_Download'!$R$5</f>
        <v>2018</v>
      </c>
      <c r="D1901" t="str">
        <f>VLOOKUP(B1901,[1]Tabelle1!$A$1:$B$68,2,FALSE)</f>
        <v>Rotenburg (Wümme)</v>
      </c>
      <c r="F1901" t="str">
        <f>'2020_5-2-2_Download'!$V$7</f>
        <v>mittel</v>
      </c>
      <c r="G1901" t="s">
        <v>362</v>
      </c>
      <c r="H1901" t="str">
        <f>VLOOKUP(B1901,[2]Kreise!$A$2:$C$53,3,FALSE)</f>
        <v>K03357</v>
      </c>
      <c r="I1901">
        <f>'2020_5-2-2_Download'!V37</f>
        <v>34.803105934553521</v>
      </c>
    </row>
    <row r="1902" spans="2:9">
      <c r="B1902">
        <f>'2020_5-2-2_Download'!B38</f>
        <v>358</v>
      </c>
      <c r="C1902">
        <f>'2020_5-2-2_Download'!$R$5</f>
        <v>2018</v>
      </c>
      <c r="D1902" t="str">
        <f>VLOOKUP(B1902,[1]Tabelle1!$A$1:$B$68,2,FALSE)</f>
        <v>Heidekreis</v>
      </c>
      <c r="F1902" t="str">
        <f>'2020_5-2-2_Download'!$V$7</f>
        <v>mittel</v>
      </c>
      <c r="G1902" t="s">
        <v>362</v>
      </c>
      <c r="H1902" t="str">
        <f>VLOOKUP(B1902,[2]Kreise!$A$2:$C$53,3,FALSE)</f>
        <v>K03358</v>
      </c>
      <c r="I1902">
        <f>'2020_5-2-2_Download'!V38</f>
        <v>36.792204371872536</v>
      </c>
    </row>
    <row r="1903" spans="2:9">
      <c r="B1903">
        <f>'2020_5-2-2_Download'!B39</f>
        <v>359</v>
      </c>
      <c r="C1903">
        <f>'2020_5-2-2_Download'!$R$5</f>
        <v>2018</v>
      </c>
      <c r="D1903" t="str">
        <f>VLOOKUP(B1903,[1]Tabelle1!$A$1:$B$68,2,FALSE)</f>
        <v>Stade</v>
      </c>
      <c r="F1903" t="str">
        <f>'2020_5-2-2_Download'!$V$7</f>
        <v>mittel</v>
      </c>
      <c r="G1903" t="s">
        <v>362</v>
      </c>
      <c r="H1903" t="str">
        <f>VLOOKUP(B1903,[2]Kreise!$A$2:$C$53,3,FALSE)</f>
        <v>K03359</v>
      </c>
      <c r="I1903">
        <f>'2020_5-2-2_Download'!V39</f>
        <v>25.347912524850898</v>
      </c>
    </row>
    <row r="1904" spans="2:9">
      <c r="B1904">
        <f>'2020_5-2-2_Download'!B40</f>
        <v>360</v>
      </c>
      <c r="C1904">
        <f>'2020_5-2-2_Download'!$R$5</f>
        <v>2018</v>
      </c>
      <c r="D1904" t="str">
        <f>VLOOKUP(B1904,[1]Tabelle1!$A$1:$B$68,2,FALSE)</f>
        <v>Uelzen</v>
      </c>
      <c r="F1904" t="str">
        <f>'2020_5-2-2_Download'!$V$7</f>
        <v>mittel</v>
      </c>
      <c r="G1904" t="s">
        <v>362</v>
      </c>
      <c r="H1904" t="str">
        <f>VLOOKUP(B1904,[2]Kreise!$A$2:$C$53,3,FALSE)</f>
        <v>K03360</v>
      </c>
      <c r="I1904">
        <f>'2020_5-2-2_Download'!V40</f>
        <v>34.748761500353858</v>
      </c>
    </row>
    <row r="1905" spans="2:9">
      <c r="B1905">
        <f>'2020_5-2-2_Download'!B41</f>
        <v>361</v>
      </c>
      <c r="C1905">
        <f>'2020_5-2-2_Download'!$R$5</f>
        <v>2018</v>
      </c>
      <c r="D1905" t="str">
        <f>VLOOKUP(B1905,[1]Tabelle1!$A$1:$B$68,2,FALSE)</f>
        <v>Verden</v>
      </c>
      <c r="F1905" t="str">
        <f>'2020_5-2-2_Download'!$V$7</f>
        <v>mittel</v>
      </c>
      <c r="G1905" t="s">
        <v>362</v>
      </c>
      <c r="H1905" t="str">
        <f>VLOOKUP(B1905,[2]Kreise!$A$2:$C$53,3,FALSE)</f>
        <v>K03361</v>
      </c>
      <c r="I1905">
        <f>'2020_5-2-2_Download'!V41</f>
        <v>26.178010471204189</v>
      </c>
    </row>
    <row r="1906" spans="2:9">
      <c r="B1906">
        <f>'2020_5-2-2_Download'!B42</f>
        <v>3</v>
      </c>
      <c r="C1906">
        <f>'2020_5-2-2_Download'!$R$5</f>
        <v>2018</v>
      </c>
      <c r="D1906" t="str">
        <f>VLOOKUP(B1906,[1]Tabelle1!$A$1:$B$68,2,FALSE)</f>
        <v>Stat. Region Lüneburg</v>
      </c>
      <c r="F1906" t="str">
        <f>'2020_5-2-2_Download'!$V$7</f>
        <v>mittel</v>
      </c>
      <c r="G1906" t="s">
        <v>362</v>
      </c>
      <c r="H1906" t="str">
        <f>VLOOKUP(B1906,[2]Kreise!$A$2:$C$53,3,FALSE)</f>
        <v>K033</v>
      </c>
      <c r="I1906">
        <f>'2020_5-2-2_Download'!V42</f>
        <v>30.313815921395626</v>
      </c>
    </row>
    <row r="1907" spans="2:9">
      <c r="B1907">
        <f>'2020_5-2-2_Download'!B43</f>
        <v>401</v>
      </c>
      <c r="C1907">
        <f>'2020_5-2-2_Download'!$R$5</f>
        <v>2018</v>
      </c>
      <c r="D1907" t="str">
        <f>VLOOKUP(B1907,[1]Tabelle1!$A$1:$B$68,2,FALSE)</f>
        <v>Delmenhorst  Stadt</v>
      </c>
      <c r="F1907" t="str">
        <f>'2020_5-2-2_Download'!$V$7</f>
        <v>mittel</v>
      </c>
      <c r="G1907" t="s">
        <v>362</v>
      </c>
      <c r="H1907" t="str">
        <f>VLOOKUP(B1907,[2]Kreise!$A$2:$C$53,3,FALSE)</f>
        <v>K03401</v>
      </c>
      <c r="I1907">
        <f>'2020_5-2-2_Download'!V43</f>
        <v>30.228471001757466</v>
      </c>
    </row>
    <row r="1908" spans="2:9">
      <c r="B1908">
        <f>'2020_5-2-2_Download'!B44</f>
        <v>402</v>
      </c>
      <c r="C1908">
        <f>'2020_5-2-2_Download'!$R$5</f>
        <v>2018</v>
      </c>
      <c r="D1908" t="str">
        <f>VLOOKUP(B1908,[1]Tabelle1!$A$1:$B$68,2,FALSE)</f>
        <v>Emden  Stadt</v>
      </c>
      <c r="F1908" t="str">
        <f>'2020_5-2-2_Download'!$V$7</f>
        <v>mittel</v>
      </c>
      <c r="G1908" t="s">
        <v>362</v>
      </c>
      <c r="H1908" t="str">
        <f>VLOOKUP(B1908,[2]Kreise!$A$2:$C$53,3,FALSE)</f>
        <v>K03402</v>
      </c>
      <c r="I1908">
        <f>'2020_5-2-2_Download'!V44</f>
        <v>35.88667366211962</v>
      </c>
    </row>
    <row r="1909" spans="2:9">
      <c r="B1909">
        <f>'2020_5-2-2_Download'!B45</f>
        <v>403</v>
      </c>
      <c r="C1909">
        <f>'2020_5-2-2_Download'!$R$5</f>
        <v>2018</v>
      </c>
      <c r="D1909" t="str">
        <f>VLOOKUP(B1909,[1]Tabelle1!$A$1:$B$68,2,FALSE)</f>
        <v>Oldenburg(Oldb)  Stadt</v>
      </c>
      <c r="F1909" t="str">
        <f>'2020_5-2-2_Download'!$V$7</f>
        <v>mittel</v>
      </c>
      <c r="G1909" t="s">
        <v>362</v>
      </c>
      <c r="H1909" t="str">
        <f>VLOOKUP(B1909,[2]Kreise!$A$2:$C$53,3,FALSE)</f>
        <v>K03403</v>
      </c>
      <c r="I1909">
        <f>'2020_5-2-2_Download'!V45</f>
        <v>26.608127424954052</v>
      </c>
    </row>
    <row r="1910" spans="2:9">
      <c r="B1910">
        <f>'2020_5-2-2_Download'!B46</f>
        <v>404</v>
      </c>
      <c r="C1910">
        <f>'2020_5-2-2_Download'!$R$5</f>
        <v>2018</v>
      </c>
      <c r="D1910" t="str">
        <f>VLOOKUP(B1910,[1]Tabelle1!$A$1:$B$68,2,FALSE)</f>
        <v>Osnabrück  Stadt</v>
      </c>
      <c r="F1910" t="str">
        <f>'2020_5-2-2_Download'!$V$7</f>
        <v>mittel</v>
      </c>
      <c r="G1910" t="s">
        <v>362</v>
      </c>
      <c r="H1910" t="str">
        <f>VLOOKUP(B1910,[2]Kreise!$A$2:$C$53,3,FALSE)</f>
        <v>K03404</v>
      </c>
      <c r="I1910">
        <f>'2020_5-2-2_Download'!V46</f>
        <v>30.600079480725924</v>
      </c>
    </row>
    <row r="1911" spans="2:9">
      <c r="B1911">
        <f>'2020_5-2-2_Download'!B47</f>
        <v>405</v>
      </c>
      <c r="C1911">
        <f>'2020_5-2-2_Download'!$R$5</f>
        <v>2018</v>
      </c>
      <c r="D1911" t="str">
        <f>VLOOKUP(B1911,[1]Tabelle1!$A$1:$B$68,2,FALSE)</f>
        <v>Wilhelmshaven  Stadt</v>
      </c>
      <c r="F1911" t="str">
        <f>'2020_5-2-2_Download'!$V$7</f>
        <v>mittel</v>
      </c>
      <c r="G1911" t="s">
        <v>362</v>
      </c>
      <c r="H1911" t="str">
        <f>VLOOKUP(B1911,[2]Kreise!$A$2:$C$53,3,FALSE)</f>
        <v>K03405</v>
      </c>
      <c r="I1911">
        <f>'2020_5-2-2_Download'!V47</f>
        <v>28.382630585273755</v>
      </c>
    </row>
    <row r="1912" spans="2:9">
      <c r="B1912">
        <f>'2020_5-2-2_Download'!B48</f>
        <v>451</v>
      </c>
      <c r="C1912">
        <f>'2020_5-2-2_Download'!$R$5</f>
        <v>2018</v>
      </c>
      <c r="D1912" t="str">
        <f>VLOOKUP(B1912,[1]Tabelle1!$A$1:$B$68,2,FALSE)</f>
        <v>Ammerland</v>
      </c>
      <c r="F1912" t="str">
        <f>'2020_5-2-2_Download'!$V$7</f>
        <v>mittel</v>
      </c>
      <c r="G1912" t="s">
        <v>362</v>
      </c>
      <c r="H1912" t="str">
        <f>VLOOKUP(B1912,[2]Kreise!$A$2:$C$53,3,FALSE)</f>
        <v>K03451</v>
      </c>
      <c r="I1912">
        <f>'2020_5-2-2_Download'!V48</f>
        <v>26.983663943990667</v>
      </c>
    </row>
    <row r="1913" spans="2:9">
      <c r="B1913">
        <f>'2020_5-2-2_Download'!B49</f>
        <v>452</v>
      </c>
      <c r="C1913">
        <f>'2020_5-2-2_Download'!$R$5</f>
        <v>2018</v>
      </c>
      <c r="D1913" t="str">
        <f>VLOOKUP(B1913,[1]Tabelle1!$A$1:$B$68,2,FALSE)</f>
        <v>Aurich</v>
      </c>
      <c r="F1913" t="str">
        <f>'2020_5-2-2_Download'!$V$7</f>
        <v>mittel</v>
      </c>
      <c r="G1913" t="s">
        <v>362</v>
      </c>
      <c r="H1913" t="str">
        <f>VLOOKUP(B1913,[2]Kreise!$A$2:$C$53,3,FALSE)</f>
        <v>K03452</v>
      </c>
      <c r="I1913">
        <f>'2020_5-2-2_Download'!V49</f>
        <v>27.882797731568999</v>
      </c>
    </row>
    <row r="1914" spans="2:9">
      <c r="B1914">
        <f>'2020_5-2-2_Download'!B50</f>
        <v>453</v>
      </c>
      <c r="C1914">
        <f>'2020_5-2-2_Download'!$R$5</f>
        <v>2018</v>
      </c>
      <c r="D1914" t="str">
        <f>VLOOKUP(B1914,[1]Tabelle1!$A$1:$B$68,2,FALSE)</f>
        <v>Cloppenburg</v>
      </c>
      <c r="F1914" t="str">
        <f>'2020_5-2-2_Download'!$V$7</f>
        <v>mittel</v>
      </c>
      <c r="G1914" t="s">
        <v>362</v>
      </c>
      <c r="H1914" t="str">
        <f>VLOOKUP(B1914,[2]Kreise!$A$2:$C$53,3,FALSE)</f>
        <v>K03453</v>
      </c>
      <c r="I1914">
        <f>'2020_5-2-2_Download'!V50</f>
        <v>19.277899343544856</v>
      </c>
    </row>
    <row r="1915" spans="2:9">
      <c r="B1915">
        <f>'2020_5-2-2_Download'!B51</f>
        <v>454</v>
      </c>
      <c r="C1915">
        <f>'2020_5-2-2_Download'!$R$5</f>
        <v>2018</v>
      </c>
      <c r="D1915" t="str">
        <f>VLOOKUP(B1915,[1]Tabelle1!$A$1:$B$68,2,FALSE)</f>
        <v>Emsland</v>
      </c>
      <c r="F1915" t="str">
        <f>'2020_5-2-2_Download'!$V$7</f>
        <v>mittel</v>
      </c>
      <c r="G1915" t="s">
        <v>362</v>
      </c>
      <c r="H1915" t="str">
        <f>VLOOKUP(B1915,[2]Kreise!$A$2:$C$53,3,FALSE)</f>
        <v>K03454</v>
      </c>
      <c r="I1915">
        <f>'2020_5-2-2_Download'!V51</f>
        <v>30.100765820233775</v>
      </c>
    </row>
    <row r="1916" spans="2:9">
      <c r="B1916">
        <f>'2020_5-2-2_Download'!B52</f>
        <v>455</v>
      </c>
      <c r="C1916">
        <f>'2020_5-2-2_Download'!$R$5</f>
        <v>2018</v>
      </c>
      <c r="D1916" t="str">
        <f>VLOOKUP(B1916,[1]Tabelle1!$A$1:$B$68,2,FALSE)</f>
        <v>Friesland</v>
      </c>
      <c r="F1916" t="str">
        <f>'2020_5-2-2_Download'!$V$7</f>
        <v>mittel</v>
      </c>
      <c r="G1916" t="s">
        <v>362</v>
      </c>
      <c r="H1916" t="str">
        <f>VLOOKUP(B1916,[2]Kreise!$A$2:$C$53,3,FALSE)</f>
        <v>K03455</v>
      </c>
      <c r="I1916">
        <f>'2020_5-2-2_Download'!V52</f>
        <v>30.822444273635664</v>
      </c>
    </row>
    <row r="1917" spans="2:9">
      <c r="B1917">
        <f>'2020_5-2-2_Download'!B53</f>
        <v>456</v>
      </c>
      <c r="C1917">
        <f>'2020_5-2-2_Download'!$R$5</f>
        <v>2018</v>
      </c>
      <c r="D1917" t="str">
        <f>VLOOKUP(B1917,[1]Tabelle1!$A$1:$B$68,2,FALSE)</f>
        <v>Grafschaft Bentheim</v>
      </c>
      <c r="F1917" t="str">
        <f>'2020_5-2-2_Download'!$V$7</f>
        <v>mittel</v>
      </c>
      <c r="G1917" t="s">
        <v>362</v>
      </c>
      <c r="H1917" t="str">
        <f>VLOOKUP(B1917,[2]Kreise!$A$2:$C$53,3,FALSE)</f>
        <v>K03456</v>
      </c>
      <c r="I1917">
        <f>'2020_5-2-2_Download'!V53</f>
        <v>38.559814169570267</v>
      </c>
    </row>
    <row r="1918" spans="2:9">
      <c r="B1918">
        <f>'2020_5-2-2_Download'!B54</f>
        <v>457</v>
      </c>
      <c r="C1918">
        <f>'2020_5-2-2_Download'!$R$5</f>
        <v>2018</v>
      </c>
      <c r="D1918" t="str">
        <f>VLOOKUP(B1918,[1]Tabelle1!$A$1:$B$68,2,FALSE)</f>
        <v>Leer</v>
      </c>
      <c r="F1918" t="str">
        <f>'2020_5-2-2_Download'!$V$7</f>
        <v>mittel</v>
      </c>
      <c r="G1918" t="s">
        <v>362</v>
      </c>
      <c r="H1918" t="str">
        <f>VLOOKUP(B1918,[2]Kreise!$A$2:$C$53,3,FALSE)</f>
        <v>K03457</v>
      </c>
      <c r="I1918">
        <f>'2020_5-2-2_Download'!V54</f>
        <v>29.636308987075445</v>
      </c>
    </row>
    <row r="1919" spans="2:9">
      <c r="B1919">
        <f>'2020_5-2-2_Download'!B55</f>
        <v>458</v>
      </c>
      <c r="C1919">
        <f>'2020_5-2-2_Download'!$R$5</f>
        <v>2018</v>
      </c>
      <c r="D1919" t="str">
        <f>VLOOKUP(B1919,[1]Tabelle1!$A$1:$B$68,2,FALSE)</f>
        <v>Oldenburg</v>
      </c>
      <c r="F1919" t="str">
        <f>'2020_5-2-2_Download'!$V$7</f>
        <v>mittel</v>
      </c>
      <c r="G1919" t="s">
        <v>362</v>
      </c>
      <c r="H1919" t="str">
        <f>VLOOKUP(B1919,[2]Kreise!$A$2:$C$53,3,FALSE)</f>
        <v>K03458</v>
      </c>
      <c r="I1919">
        <f>'2020_5-2-2_Download'!V55</f>
        <v>25.101340816962892</v>
      </c>
    </row>
    <row r="1920" spans="2:9">
      <c r="B1920">
        <f>'2020_5-2-2_Download'!B56</f>
        <v>459</v>
      </c>
      <c r="C1920">
        <f>'2020_5-2-2_Download'!$R$5</f>
        <v>2018</v>
      </c>
      <c r="D1920" t="str">
        <f>VLOOKUP(B1920,[1]Tabelle1!$A$1:$B$68,2,FALSE)</f>
        <v>Osnabrück</v>
      </c>
      <c r="F1920" t="str">
        <f>'2020_5-2-2_Download'!$V$7</f>
        <v>mittel</v>
      </c>
      <c r="G1920" t="s">
        <v>362</v>
      </c>
      <c r="H1920" t="str">
        <f>VLOOKUP(B1920,[2]Kreise!$A$2:$C$53,3,FALSE)</f>
        <v>K03459</v>
      </c>
      <c r="I1920">
        <f>'2020_5-2-2_Download'!V56</f>
        <v>21.998762376237625</v>
      </c>
    </row>
    <row r="1921" spans="2:9">
      <c r="B1921">
        <f>'2020_5-2-2_Download'!B57</f>
        <v>460</v>
      </c>
      <c r="C1921">
        <f>'2020_5-2-2_Download'!$R$5</f>
        <v>2018</v>
      </c>
      <c r="D1921" t="str">
        <f>VLOOKUP(B1921,[1]Tabelle1!$A$1:$B$68,2,FALSE)</f>
        <v>Vechta</v>
      </c>
      <c r="F1921" t="str">
        <f>'2020_5-2-2_Download'!$V$7</f>
        <v>mittel</v>
      </c>
      <c r="G1921" t="s">
        <v>362</v>
      </c>
      <c r="H1921" t="str">
        <f>VLOOKUP(B1921,[2]Kreise!$A$2:$C$53,3,FALSE)</f>
        <v>K03460</v>
      </c>
      <c r="I1921">
        <f>'2020_5-2-2_Download'!V57</f>
        <v>22.027508914926134</v>
      </c>
    </row>
    <row r="1922" spans="2:9">
      <c r="B1922">
        <f>'2020_5-2-2_Download'!B58</f>
        <v>461</v>
      </c>
      <c r="C1922">
        <f>'2020_5-2-2_Download'!$R$5</f>
        <v>2018</v>
      </c>
      <c r="D1922" t="str">
        <f>VLOOKUP(B1922,[1]Tabelle1!$A$1:$B$68,2,FALSE)</f>
        <v>Wesermarsch</v>
      </c>
      <c r="F1922" t="str">
        <f>'2020_5-2-2_Download'!$V$7</f>
        <v>mittel</v>
      </c>
      <c r="G1922" t="s">
        <v>362</v>
      </c>
      <c r="H1922" t="str">
        <f>VLOOKUP(B1922,[2]Kreise!$A$2:$C$53,3,FALSE)</f>
        <v>K03461</v>
      </c>
      <c r="I1922">
        <f>'2020_5-2-2_Download'!V58</f>
        <v>34.501018329938901</v>
      </c>
    </row>
    <row r="1923" spans="2:9">
      <c r="B1923">
        <f>'2020_5-2-2_Download'!B59</f>
        <v>462</v>
      </c>
      <c r="C1923">
        <f>'2020_5-2-2_Download'!$R$5</f>
        <v>2018</v>
      </c>
      <c r="D1923" t="str">
        <f>VLOOKUP(B1923,[1]Tabelle1!$A$1:$B$68,2,FALSE)</f>
        <v>Wittmund</v>
      </c>
      <c r="F1923" t="str">
        <f>'2020_5-2-2_Download'!$V$7</f>
        <v>mittel</v>
      </c>
      <c r="G1923" t="s">
        <v>362</v>
      </c>
      <c r="H1923" t="str">
        <f>VLOOKUP(B1923,[2]Kreise!$A$2:$C$53,3,FALSE)</f>
        <v>K03462</v>
      </c>
      <c r="I1923">
        <f>'2020_5-2-2_Download'!V59</f>
        <v>22.807017543859647</v>
      </c>
    </row>
    <row r="1924" spans="2:9">
      <c r="B1924">
        <f>'2020_5-2-2_Download'!B60</f>
        <v>4</v>
      </c>
      <c r="C1924">
        <f>'2020_5-2-2_Download'!$R$5</f>
        <v>2018</v>
      </c>
      <c r="D1924" t="str">
        <f>VLOOKUP(B1924,[1]Tabelle1!$A$1:$B$68,2,FALSE)</f>
        <v>Stat. Region Weser-Ems</v>
      </c>
      <c r="F1924" t="str">
        <f>'2020_5-2-2_Download'!$V$7</f>
        <v>mittel</v>
      </c>
      <c r="G1924" t="s">
        <v>362</v>
      </c>
      <c r="H1924" t="str">
        <f>VLOOKUP(B1924,[2]Kreise!$A$2:$C$53,3,FALSE)</f>
        <v>K034</v>
      </c>
      <c r="I1924">
        <f>'2020_5-2-2_Download'!V60</f>
        <v>26.708847978999088</v>
      </c>
    </row>
    <row r="1925" spans="2:9">
      <c r="B1925">
        <f>'2020_5-2-2_Download'!B61</f>
        <v>0</v>
      </c>
      <c r="C1925">
        <f>'2020_5-2-2_Download'!$R$5</f>
        <v>2018</v>
      </c>
      <c r="D1925" t="str">
        <f>VLOOKUP(B1925,[1]Tabelle1!$A$1:$B$68,2,FALSE)</f>
        <v>Niedersachsen</v>
      </c>
      <c r="F1925" t="str">
        <f>'2020_5-2-2_Download'!$V$7</f>
        <v>mittel</v>
      </c>
      <c r="G1925" t="s">
        <v>362</v>
      </c>
      <c r="H1925" t="str">
        <f>VLOOKUP(B1925,[2]Kreise!$A$2:$C$53,3,FALSE)</f>
        <v>K030</v>
      </c>
      <c r="I1925">
        <f>'2020_5-2-2_Download'!V61</f>
        <v>30.478359730587552</v>
      </c>
    </row>
    <row r="1926" spans="2:9">
      <c r="B1926">
        <f>'2020_5-2-2_Download'!B10</f>
        <v>101</v>
      </c>
      <c r="C1926">
        <f>'2020_5-2-2_Download'!$R$5</f>
        <v>2018</v>
      </c>
      <c r="D1926" t="str">
        <f>VLOOKUP(B1926,[1]Tabelle1!$A$1:$B$68,2,FALSE)</f>
        <v>Braunschweig  Stadt</v>
      </c>
      <c r="F1926" t="str">
        <f>'2020_5-2-2_Download'!$W$7</f>
        <v>niedrig</v>
      </c>
      <c r="G1926" t="s">
        <v>362</v>
      </c>
      <c r="H1926" t="str">
        <f>VLOOKUP(B1926,[2]Kreise!$A$2:$C$53,3,FALSE)</f>
        <v>K03101</v>
      </c>
      <c r="I1926">
        <f>'2020_5-2-2_Download'!W10</f>
        <v>23.37327919183916</v>
      </c>
    </row>
    <row r="1927" spans="2:9">
      <c r="B1927">
        <f>'2020_5-2-2_Download'!B11</f>
        <v>102</v>
      </c>
      <c r="C1927">
        <f>'2020_5-2-2_Download'!$R$5</f>
        <v>2018</v>
      </c>
      <c r="D1927" t="str">
        <f>VLOOKUP(B1927,[1]Tabelle1!$A$1:$B$68,2,FALSE)</f>
        <v>Salzgitter  Stadt</v>
      </c>
      <c r="F1927" t="str">
        <f>'2020_5-2-2_Download'!$W$7</f>
        <v>niedrig</v>
      </c>
      <c r="G1927" t="s">
        <v>362</v>
      </c>
      <c r="H1927" t="str">
        <f>VLOOKUP(B1927,[2]Kreise!$A$2:$C$53,3,FALSE)</f>
        <v>K03102</v>
      </c>
      <c r="I1927">
        <f>'2020_5-2-2_Download'!W11</f>
        <v>23.344066237350507</v>
      </c>
    </row>
    <row r="1928" spans="2:9">
      <c r="B1928">
        <f>'2020_5-2-2_Download'!B12</f>
        <v>103</v>
      </c>
      <c r="C1928">
        <f>'2020_5-2-2_Download'!$R$5</f>
        <v>2018</v>
      </c>
      <c r="D1928" t="str">
        <f>VLOOKUP(B1928,[1]Tabelle1!$A$1:$B$68,2,FALSE)</f>
        <v>Wolfsburg  Stadt</v>
      </c>
      <c r="F1928" t="str">
        <f>'2020_5-2-2_Download'!$W$7</f>
        <v>niedrig</v>
      </c>
      <c r="G1928" t="s">
        <v>362</v>
      </c>
      <c r="H1928" t="str">
        <f>VLOOKUP(B1928,[2]Kreise!$A$2:$C$53,3,FALSE)</f>
        <v>K03103</v>
      </c>
      <c r="I1928">
        <f>'2020_5-2-2_Download'!W12</f>
        <v>14.165244453368137</v>
      </c>
    </row>
    <row r="1929" spans="2:9">
      <c r="B1929">
        <f>'2020_5-2-2_Download'!B13</f>
        <v>151</v>
      </c>
      <c r="C1929">
        <f>'2020_5-2-2_Download'!$R$5</f>
        <v>2018</v>
      </c>
      <c r="D1929" t="str">
        <f>VLOOKUP(B1929,[1]Tabelle1!$A$1:$B$68,2,FALSE)</f>
        <v>Gifhorn</v>
      </c>
      <c r="F1929" t="str">
        <f>'2020_5-2-2_Download'!$W$7</f>
        <v>niedrig</v>
      </c>
      <c r="G1929" t="s">
        <v>362</v>
      </c>
      <c r="H1929" t="str">
        <f>VLOOKUP(B1929,[2]Kreise!$A$2:$C$53,3,FALSE)</f>
        <v>K03151</v>
      </c>
      <c r="I1929">
        <f>'2020_5-2-2_Download'!W13</f>
        <v>25.883227965786539</v>
      </c>
    </row>
    <row r="1930" spans="2:9">
      <c r="B1930">
        <f>'2020_5-2-2_Download'!B14</f>
        <v>153</v>
      </c>
      <c r="C1930">
        <f>'2020_5-2-2_Download'!$R$5</f>
        <v>2018</v>
      </c>
      <c r="D1930" t="str">
        <f>VLOOKUP(B1930,[1]Tabelle1!$A$1:$B$68,2,FALSE)</f>
        <v>Goslar</v>
      </c>
      <c r="F1930" t="str">
        <f>'2020_5-2-2_Download'!$W$7</f>
        <v>niedrig</v>
      </c>
      <c r="G1930" t="s">
        <v>362</v>
      </c>
      <c r="H1930" t="str">
        <f>VLOOKUP(B1930,[2]Kreise!$A$2:$C$53,3,FALSE)</f>
        <v>K03153</v>
      </c>
      <c r="I1930">
        <f>'2020_5-2-2_Download'!W14</f>
        <v>23.859522085445327</v>
      </c>
    </row>
    <row r="1931" spans="2:9">
      <c r="B1931">
        <f>'2020_5-2-2_Download'!B15</f>
        <v>154</v>
      </c>
      <c r="C1931">
        <f>'2020_5-2-2_Download'!$R$5</f>
        <v>2018</v>
      </c>
      <c r="D1931" t="str">
        <f>VLOOKUP(B1931,[1]Tabelle1!$A$1:$B$68,2,FALSE)</f>
        <v>Helmstedt</v>
      </c>
      <c r="F1931" t="str">
        <f>'2020_5-2-2_Download'!$W$7</f>
        <v>niedrig</v>
      </c>
      <c r="G1931" t="s">
        <v>362</v>
      </c>
      <c r="H1931" t="str">
        <f>VLOOKUP(B1931,[2]Kreise!$A$2:$C$53,3,FALSE)</f>
        <v>K03154</v>
      </c>
      <c r="I1931">
        <f>'2020_5-2-2_Download'!W15</f>
        <v>21.313766596785463</v>
      </c>
    </row>
    <row r="1932" spans="2:9">
      <c r="B1932">
        <f>'2020_5-2-2_Download'!B16</f>
        <v>155</v>
      </c>
      <c r="C1932">
        <f>'2020_5-2-2_Download'!$R$5</f>
        <v>2018</v>
      </c>
      <c r="D1932" t="str">
        <f>VLOOKUP(B1932,[1]Tabelle1!$A$1:$B$68,2,FALSE)</f>
        <v>Northeim</v>
      </c>
      <c r="F1932" t="str">
        <f>'2020_5-2-2_Download'!$W$7</f>
        <v>niedrig</v>
      </c>
      <c r="G1932" t="s">
        <v>362</v>
      </c>
      <c r="H1932" t="str">
        <f>VLOOKUP(B1932,[2]Kreise!$A$2:$C$53,3,FALSE)</f>
        <v>K03155</v>
      </c>
      <c r="I1932">
        <f>'2020_5-2-2_Download'!W16</f>
        <v>22.48957330766763</v>
      </c>
    </row>
    <row r="1933" spans="2:9">
      <c r="B1933">
        <f>'2020_5-2-2_Download'!B17</f>
        <v>157</v>
      </c>
      <c r="C1933">
        <f>'2020_5-2-2_Download'!$R$5</f>
        <v>2018</v>
      </c>
      <c r="D1933" t="str">
        <f>VLOOKUP(B1933,[1]Tabelle1!$A$1:$B$68,2,FALSE)</f>
        <v>Peine</v>
      </c>
      <c r="F1933" t="str">
        <f>'2020_5-2-2_Download'!$W$7</f>
        <v>niedrig</v>
      </c>
      <c r="G1933" t="s">
        <v>362</v>
      </c>
      <c r="H1933" t="str">
        <f>VLOOKUP(B1933,[2]Kreise!$A$2:$C$53,3,FALSE)</f>
        <v>K03157</v>
      </c>
      <c r="I1933">
        <f>'2020_5-2-2_Download'!W17</f>
        <v>30.386100386100384</v>
      </c>
    </row>
    <row r="1934" spans="2:9">
      <c r="B1934">
        <f>'2020_5-2-2_Download'!B18</f>
        <v>158</v>
      </c>
      <c r="C1934">
        <f>'2020_5-2-2_Download'!$R$5</f>
        <v>2018</v>
      </c>
      <c r="D1934" t="str">
        <f>VLOOKUP(B1934,[1]Tabelle1!$A$1:$B$68,2,FALSE)</f>
        <v>Wolfenbüttel</v>
      </c>
      <c r="F1934" t="str">
        <f>'2020_5-2-2_Download'!$W$7</f>
        <v>niedrig</v>
      </c>
      <c r="G1934" t="s">
        <v>362</v>
      </c>
      <c r="H1934" t="str">
        <f>VLOOKUP(B1934,[2]Kreise!$A$2:$C$53,3,FALSE)</f>
        <v>K03158</v>
      </c>
      <c r="I1934">
        <f>'2020_5-2-2_Download'!W18</f>
        <v>22.592067988668553</v>
      </c>
    </row>
    <row r="1935" spans="2:9">
      <c r="B1935">
        <f>'2020_5-2-2_Download'!B19</f>
        <v>159</v>
      </c>
      <c r="C1935">
        <f>'2020_5-2-2_Download'!$R$5</f>
        <v>2018</v>
      </c>
      <c r="D1935" t="str">
        <f>VLOOKUP(B1935,[1]Tabelle1!$A$1:$B$68,2,FALSE)</f>
        <v>Göttingen</v>
      </c>
      <c r="F1935" t="str">
        <f>'2020_5-2-2_Download'!$W$7</f>
        <v>niedrig</v>
      </c>
      <c r="G1935" t="s">
        <v>362</v>
      </c>
      <c r="H1935" t="str">
        <f>VLOOKUP(B1935,[2]Kreise!$A$2:$C$53,3,FALSE)</f>
        <v>K03159</v>
      </c>
      <c r="I1935">
        <f>'2020_5-2-2_Download'!W19</f>
        <v>23.33987758401663</v>
      </c>
    </row>
    <row r="1936" spans="2:9">
      <c r="B1936">
        <f>'2020_5-2-2_Download'!B20</f>
        <v>1</v>
      </c>
      <c r="C1936">
        <f>'2020_5-2-2_Download'!$R$5</f>
        <v>2018</v>
      </c>
      <c r="D1936" t="str">
        <f>VLOOKUP(B1936,[1]Tabelle1!$A$1:$B$68,2,FALSE)</f>
        <v>Stat. Region Braunschweig</v>
      </c>
      <c r="F1936" t="str">
        <f>'2020_5-2-2_Download'!$W$7</f>
        <v>niedrig</v>
      </c>
      <c r="G1936" t="s">
        <v>362</v>
      </c>
      <c r="H1936" t="str">
        <f>VLOOKUP(B1936,[2]Kreise!$A$2:$C$53,3,FALSE)</f>
        <v>K031</v>
      </c>
      <c r="I1936">
        <f>'2020_5-2-2_Download'!W20</f>
        <v>21.828921089533846</v>
      </c>
    </row>
    <row r="1937" spans="2:9">
      <c r="B1937">
        <f>'2020_5-2-2_Download'!B21</f>
        <v>241</v>
      </c>
      <c r="C1937">
        <f>'2020_5-2-2_Download'!$R$5</f>
        <v>2018</v>
      </c>
      <c r="D1937" t="str">
        <f>VLOOKUP(B1937,[1]Tabelle1!$A$1:$B$68,2,FALSE)</f>
        <v>Hannover  Region</v>
      </c>
      <c r="F1937" t="str">
        <f>'2020_5-2-2_Download'!$W$7</f>
        <v>niedrig</v>
      </c>
      <c r="G1937" t="s">
        <v>362</v>
      </c>
      <c r="H1937" t="str">
        <f>VLOOKUP(B1937,[2]Kreise!$A$2:$C$53,3,FALSE)</f>
        <v>K03241</v>
      </c>
      <c r="I1937">
        <f>'2020_5-2-2_Download'!W21</f>
        <v>26.638673404028186</v>
      </c>
    </row>
    <row r="1938" spans="2:9">
      <c r="B1938">
        <f>'2020_5-2-2_Download'!B22</f>
        <v>241001</v>
      </c>
      <c r="C1938">
        <f>'2020_5-2-2_Download'!$R$5</f>
        <v>2018</v>
      </c>
      <c r="D1938" t="str">
        <f>VLOOKUP(B1938,[1]Tabelle1!$A$1:$B$68,2,FALSE)</f>
        <v>dav. Hannover  Lhst.</v>
      </c>
      <c r="F1938" t="str">
        <f>'2020_5-2-2_Download'!$W$7</f>
        <v>niedrig</v>
      </c>
      <c r="G1938" t="s">
        <v>362</v>
      </c>
      <c r="H1938" t="str">
        <f>VLOOKUP(B1938,[2]Kreise!$A$2:$C$53,3,FALSE)</f>
        <v>K03241001</v>
      </c>
      <c r="I1938">
        <f>'2020_5-2-2_Download'!W22</f>
        <v>25.699738467531024</v>
      </c>
    </row>
    <row r="1939" spans="2:9">
      <c r="B1939">
        <f>'2020_5-2-2_Download'!B23</f>
        <v>241999</v>
      </c>
      <c r="C1939">
        <f>'2020_5-2-2_Download'!$R$5</f>
        <v>2018</v>
      </c>
      <c r="D1939" t="str">
        <f>VLOOKUP(B1939,[1]Tabelle1!$A$1:$B$68,2,FALSE)</f>
        <v>dav. Hannover  Umland</v>
      </c>
      <c r="F1939" t="str">
        <f>'2020_5-2-2_Download'!$W$7</f>
        <v>niedrig</v>
      </c>
      <c r="G1939" t="s">
        <v>362</v>
      </c>
      <c r="H1939" t="str">
        <f>VLOOKUP(B1939,[2]Kreise!$A$2:$C$53,3,FALSE)</f>
        <v>K03241999</v>
      </c>
      <c r="I1939">
        <f>'2020_5-2-2_Download'!W23</f>
        <v>28.304214786299475</v>
      </c>
    </row>
    <row r="1940" spans="2:9">
      <c r="B1940">
        <f>'2020_5-2-2_Download'!B24</f>
        <v>251</v>
      </c>
      <c r="C1940">
        <f>'2020_5-2-2_Download'!$R$5</f>
        <v>2018</v>
      </c>
      <c r="D1940" t="str">
        <f>VLOOKUP(B1940,[1]Tabelle1!$A$1:$B$68,2,FALSE)</f>
        <v>Diepholz</v>
      </c>
      <c r="F1940" t="str">
        <f>'2020_5-2-2_Download'!$W$7</f>
        <v>niedrig</v>
      </c>
      <c r="G1940" t="s">
        <v>362</v>
      </c>
      <c r="H1940" t="str">
        <f>VLOOKUP(B1940,[2]Kreise!$A$2:$C$53,3,FALSE)</f>
        <v>K03251</v>
      </c>
      <c r="I1940">
        <f>'2020_5-2-2_Download'!W24</f>
        <v>23.493975903614459</v>
      </c>
    </row>
    <row r="1941" spans="2:9">
      <c r="B1941">
        <f>'2020_5-2-2_Download'!B25</f>
        <v>252</v>
      </c>
      <c r="C1941">
        <f>'2020_5-2-2_Download'!$R$5</f>
        <v>2018</v>
      </c>
      <c r="D1941" t="str">
        <f>VLOOKUP(B1941,[1]Tabelle1!$A$1:$B$68,2,FALSE)</f>
        <v>Hameln-Pyrmont</v>
      </c>
      <c r="F1941" t="str">
        <f>'2020_5-2-2_Download'!$W$7</f>
        <v>niedrig</v>
      </c>
      <c r="G1941" t="s">
        <v>362</v>
      </c>
      <c r="H1941" t="str">
        <f>VLOOKUP(B1941,[2]Kreise!$A$2:$C$53,3,FALSE)</f>
        <v>K03252</v>
      </c>
      <c r="I1941">
        <f>'2020_5-2-2_Download'!W25</f>
        <v>26.318651441000547</v>
      </c>
    </row>
    <row r="1942" spans="2:9">
      <c r="B1942">
        <f>'2020_5-2-2_Download'!B26</f>
        <v>254</v>
      </c>
      <c r="C1942">
        <f>'2020_5-2-2_Download'!$R$5</f>
        <v>2018</v>
      </c>
      <c r="D1942" t="str">
        <f>VLOOKUP(B1942,[1]Tabelle1!$A$1:$B$68,2,FALSE)</f>
        <v>Hildesheim</v>
      </c>
      <c r="F1942" t="str">
        <f>'2020_5-2-2_Download'!$W$7</f>
        <v>niedrig</v>
      </c>
      <c r="G1942" t="s">
        <v>362</v>
      </c>
      <c r="H1942" t="str">
        <f>VLOOKUP(B1942,[2]Kreise!$A$2:$C$53,3,FALSE)</f>
        <v>K03254</v>
      </c>
      <c r="I1942">
        <f>'2020_5-2-2_Download'!W26</f>
        <v>24.969591659426584</v>
      </c>
    </row>
    <row r="1943" spans="2:9">
      <c r="B1943">
        <f>'2020_5-2-2_Download'!B27</f>
        <v>255</v>
      </c>
      <c r="C1943">
        <f>'2020_5-2-2_Download'!$R$5</f>
        <v>2018</v>
      </c>
      <c r="D1943" t="str">
        <f>VLOOKUP(B1943,[1]Tabelle1!$A$1:$B$68,2,FALSE)</f>
        <v>Holzminden</v>
      </c>
      <c r="F1943" t="str">
        <f>'2020_5-2-2_Download'!$W$7</f>
        <v>niedrig</v>
      </c>
      <c r="G1943" t="s">
        <v>362</v>
      </c>
      <c r="H1943" t="str">
        <f>VLOOKUP(B1943,[2]Kreise!$A$2:$C$53,3,FALSE)</f>
        <v>K03255</v>
      </c>
      <c r="I1943">
        <f>'2020_5-2-2_Download'!W27</f>
        <v>28.571428571428569</v>
      </c>
    </row>
    <row r="1944" spans="2:9">
      <c r="B1944">
        <f>'2020_5-2-2_Download'!B28</f>
        <v>256</v>
      </c>
      <c r="C1944">
        <f>'2020_5-2-2_Download'!$R$5</f>
        <v>2018</v>
      </c>
      <c r="D1944" t="str">
        <f>VLOOKUP(B1944,[1]Tabelle1!$A$1:$B$68,2,FALSE)</f>
        <v>Nienburg (Weser)</v>
      </c>
      <c r="F1944" t="str">
        <f>'2020_5-2-2_Download'!$W$7</f>
        <v>niedrig</v>
      </c>
      <c r="G1944" t="s">
        <v>362</v>
      </c>
      <c r="H1944" t="str">
        <f>VLOOKUP(B1944,[2]Kreise!$A$2:$C$53,3,FALSE)</f>
        <v>K03256</v>
      </c>
      <c r="I1944">
        <f>'2020_5-2-2_Download'!W28</f>
        <v>27.309703660662404</v>
      </c>
    </row>
    <row r="1945" spans="2:9">
      <c r="B1945">
        <f>'2020_5-2-2_Download'!B29</f>
        <v>257</v>
      </c>
      <c r="C1945">
        <f>'2020_5-2-2_Download'!$R$5</f>
        <v>2018</v>
      </c>
      <c r="D1945" t="str">
        <f>VLOOKUP(B1945,[1]Tabelle1!$A$1:$B$68,2,FALSE)</f>
        <v>Schaumburg</v>
      </c>
      <c r="F1945" t="str">
        <f>'2020_5-2-2_Download'!$W$7</f>
        <v>niedrig</v>
      </c>
      <c r="G1945" t="s">
        <v>362</v>
      </c>
      <c r="H1945" t="str">
        <f>VLOOKUP(B1945,[2]Kreise!$A$2:$C$53,3,FALSE)</f>
        <v>K03257</v>
      </c>
      <c r="I1945">
        <f>'2020_5-2-2_Download'!W29</f>
        <v>26.22998544395924</v>
      </c>
    </row>
    <row r="1946" spans="2:9">
      <c r="B1946">
        <f>'2020_5-2-2_Download'!B30</f>
        <v>2</v>
      </c>
      <c r="C1946">
        <f>'2020_5-2-2_Download'!$R$5</f>
        <v>2018</v>
      </c>
      <c r="D1946" t="str">
        <f>VLOOKUP(B1946,[1]Tabelle1!$A$1:$B$68,2,FALSE)</f>
        <v>Stat. Region Hannover</v>
      </c>
      <c r="F1946" t="str">
        <f>'2020_5-2-2_Download'!$W$7</f>
        <v>niedrig</v>
      </c>
      <c r="G1946" t="s">
        <v>362</v>
      </c>
      <c r="H1946" t="str">
        <f>VLOOKUP(B1946,[2]Kreise!$A$2:$C$53,3,FALSE)</f>
        <v>K032</v>
      </c>
      <c r="I1946">
        <f>'2020_5-2-2_Download'!W30</f>
        <v>26.321488831247326</v>
      </c>
    </row>
    <row r="1947" spans="2:9">
      <c r="B1947">
        <f>'2020_5-2-2_Download'!B31</f>
        <v>351</v>
      </c>
      <c r="C1947">
        <f>'2020_5-2-2_Download'!$R$5</f>
        <v>2018</v>
      </c>
      <c r="D1947" t="str">
        <f>VLOOKUP(B1947,[1]Tabelle1!$A$1:$B$68,2,FALSE)</f>
        <v>Celle</v>
      </c>
      <c r="F1947" t="str">
        <f>'2020_5-2-2_Download'!$W$7</f>
        <v>niedrig</v>
      </c>
      <c r="G1947" t="s">
        <v>362</v>
      </c>
      <c r="H1947" t="str">
        <f>VLOOKUP(B1947,[2]Kreise!$A$2:$C$53,3,FALSE)</f>
        <v>K03351</v>
      </c>
      <c r="I1947">
        <f>'2020_5-2-2_Download'!W31</f>
        <v>29.086678301337987</v>
      </c>
    </row>
    <row r="1948" spans="2:9">
      <c r="B1948">
        <f>'2020_5-2-2_Download'!B32</f>
        <v>352</v>
      </c>
      <c r="C1948">
        <f>'2020_5-2-2_Download'!$R$5</f>
        <v>2018</v>
      </c>
      <c r="D1948" t="str">
        <f>VLOOKUP(B1948,[1]Tabelle1!$A$1:$B$68,2,FALSE)</f>
        <v>Cuxhaven</v>
      </c>
      <c r="F1948" t="str">
        <f>'2020_5-2-2_Download'!$W$7</f>
        <v>niedrig</v>
      </c>
      <c r="G1948" t="s">
        <v>362</v>
      </c>
      <c r="H1948" t="str">
        <f>VLOOKUP(B1948,[2]Kreise!$A$2:$C$53,3,FALSE)</f>
        <v>K03352</v>
      </c>
      <c r="I1948">
        <f>'2020_5-2-2_Download'!W32</f>
        <v>23.796920115495666</v>
      </c>
    </row>
    <row r="1949" spans="2:9">
      <c r="B1949">
        <f>'2020_5-2-2_Download'!B33</f>
        <v>353</v>
      </c>
      <c r="C1949">
        <f>'2020_5-2-2_Download'!$R$5</f>
        <v>2018</v>
      </c>
      <c r="D1949" t="str">
        <f>VLOOKUP(B1949,[1]Tabelle1!$A$1:$B$68,2,FALSE)</f>
        <v>Harburg</v>
      </c>
      <c r="F1949" t="str">
        <f>'2020_5-2-2_Download'!$W$7</f>
        <v>niedrig</v>
      </c>
      <c r="G1949" t="s">
        <v>362</v>
      </c>
      <c r="H1949" t="str">
        <f>VLOOKUP(B1949,[2]Kreise!$A$2:$C$53,3,FALSE)</f>
        <v>K03353</v>
      </c>
      <c r="I1949">
        <f>'2020_5-2-2_Download'!W33</f>
        <v>25.224103585657371</v>
      </c>
    </row>
    <row r="1950" spans="2:9">
      <c r="B1950">
        <f>'2020_5-2-2_Download'!B34</f>
        <v>354</v>
      </c>
      <c r="C1950">
        <f>'2020_5-2-2_Download'!$R$5</f>
        <v>2018</v>
      </c>
      <c r="D1950" t="str">
        <f>VLOOKUP(B1950,[1]Tabelle1!$A$1:$B$68,2,FALSE)</f>
        <v>Lüchow-Dannenberg</v>
      </c>
      <c r="F1950" t="str">
        <f>'2020_5-2-2_Download'!$W$7</f>
        <v>niedrig</v>
      </c>
      <c r="G1950" t="s">
        <v>362</v>
      </c>
      <c r="H1950" t="str">
        <f>VLOOKUP(B1950,[2]Kreise!$A$2:$C$53,3,FALSE)</f>
        <v>K03354</v>
      </c>
      <c r="I1950">
        <f>'2020_5-2-2_Download'!W34</f>
        <v>19.793205317577549</v>
      </c>
    </row>
    <row r="1951" spans="2:9">
      <c r="B1951">
        <f>'2020_5-2-2_Download'!B35</f>
        <v>355</v>
      </c>
      <c r="C1951">
        <f>'2020_5-2-2_Download'!$R$5</f>
        <v>2018</v>
      </c>
      <c r="D1951" t="str">
        <f>VLOOKUP(B1951,[1]Tabelle1!$A$1:$B$68,2,FALSE)</f>
        <v>Lüneburg</v>
      </c>
      <c r="F1951" t="str">
        <f>'2020_5-2-2_Download'!$W$7</f>
        <v>niedrig</v>
      </c>
      <c r="G1951" t="s">
        <v>362</v>
      </c>
      <c r="H1951" t="str">
        <f>VLOOKUP(B1951,[2]Kreise!$A$2:$C$53,3,FALSE)</f>
        <v>K03355</v>
      </c>
      <c r="I1951">
        <f>'2020_5-2-2_Download'!W35</f>
        <v>26.376335250616268</v>
      </c>
    </row>
    <row r="1952" spans="2:9">
      <c r="B1952">
        <f>'2020_5-2-2_Download'!B36</f>
        <v>356</v>
      </c>
      <c r="C1952">
        <f>'2020_5-2-2_Download'!$R$5</f>
        <v>2018</v>
      </c>
      <c r="D1952" t="str">
        <f>VLOOKUP(B1952,[1]Tabelle1!$A$1:$B$68,2,FALSE)</f>
        <v>Osterholz</v>
      </c>
      <c r="F1952" t="str">
        <f>'2020_5-2-2_Download'!$W$7</f>
        <v>niedrig</v>
      </c>
      <c r="G1952" t="s">
        <v>362</v>
      </c>
      <c r="H1952" t="str">
        <f>VLOOKUP(B1952,[2]Kreise!$A$2:$C$53,3,FALSE)</f>
        <v>K03356</v>
      </c>
      <c r="I1952">
        <f>'2020_5-2-2_Download'!W36</f>
        <v>25.425719318849087</v>
      </c>
    </row>
    <row r="1953" spans="2:9">
      <c r="B1953">
        <f>'2020_5-2-2_Download'!B37</f>
        <v>357</v>
      </c>
      <c r="C1953">
        <f>'2020_5-2-2_Download'!$R$5</f>
        <v>2018</v>
      </c>
      <c r="D1953" t="str">
        <f>VLOOKUP(B1953,[1]Tabelle1!$A$1:$B$68,2,FALSE)</f>
        <v>Rotenburg (Wümme)</v>
      </c>
      <c r="F1953" t="str">
        <f>'2020_5-2-2_Download'!$W$7</f>
        <v>niedrig</v>
      </c>
      <c r="G1953" t="s">
        <v>362</v>
      </c>
      <c r="H1953" t="str">
        <f>VLOOKUP(B1953,[2]Kreise!$A$2:$C$53,3,FALSE)</f>
        <v>K03357</v>
      </c>
      <c r="I1953">
        <f>'2020_5-2-2_Download'!W37</f>
        <v>22.462562396006653</v>
      </c>
    </row>
    <row r="1954" spans="2:9">
      <c r="B1954">
        <f>'2020_5-2-2_Download'!B38</f>
        <v>358</v>
      </c>
      <c r="C1954">
        <f>'2020_5-2-2_Download'!$R$5</f>
        <v>2018</v>
      </c>
      <c r="D1954" t="str">
        <f>VLOOKUP(B1954,[1]Tabelle1!$A$1:$B$68,2,FALSE)</f>
        <v>Heidekreis</v>
      </c>
      <c r="F1954" t="str">
        <f>'2020_5-2-2_Download'!$W$7</f>
        <v>niedrig</v>
      </c>
      <c r="G1954" t="s">
        <v>362</v>
      </c>
      <c r="H1954" t="str">
        <f>VLOOKUP(B1954,[2]Kreise!$A$2:$C$53,3,FALSE)</f>
        <v>K03358</v>
      </c>
      <c r="I1954">
        <f>'2020_5-2-2_Download'!W38</f>
        <v>20.858572557282066</v>
      </c>
    </row>
    <row r="1955" spans="2:9">
      <c r="B1955">
        <f>'2020_5-2-2_Download'!B39</f>
        <v>359</v>
      </c>
      <c r="C1955">
        <f>'2020_5-2-2_Download'!$R$5</f>
        <v>2018</v>
      </c>
      <c r="D1955" t="str">
        <f>VLOOKUP(B1955,[1]Tabelle1!$A$1:$B$68,2,FALSE)</f>
        <v>Stade</v>
      </c>
      <c r="F1955" t="str">
        <f>'2020_5-2-2_Download'!$W$7</f>
        <v>niedrig</v>
      </c>
      <c r="G1955" t="s">
        <v>362</v>
      </c>
      <c r="H1955" t="str">
        <f>VLOOKUP(B1955,[2]Kreise!$A$2:$C$53,3,FALSE)</f>
        <v>K03359</v>
      </c>
      <c r="I1955">
        <f>'2020_5-2-2_Download'!W39</f>
        <v>20.656063618290258</v>
      </c>
    </row>
    <row r="1956" spans="2:9">
      <c r="B1956">
        <f>'2020_5-2-2_Download'!B40</f>
        <v>360</v>
      </c>
      <c r="C1956">
        <f>'2020_5-2-2_Download'!$R$5</f>
        <v>2018</v>
      </c>
      <c r="D1956" t="str">
        <f>VLOOKUP(B1956,[1]Tabelle1!$A$1:$B$68,2,FALSE)</f>
        <v>Uelzen</v>
      </c>
      <c r="F1956" t="str">
        <f>'2020_5-2-2_Download'!$W$7</f>
        <v>niedrig</v>
      </c>
      <c r="G1956" t="s">
        <v>362</v>
      </c>
      <c r="H1956" t="str">
        <f>VLOOKUP(B1956,[2]Kreise!$A$2:$C$53,3,FALSE)</f>
        <v>K03360</v>
      </c>
      <c r="I1956">
        <f>'2020_5-2-2_Download'!W40</f>
        <v>19.53290870488323</v>
      </c>
    </row>
    <row r="1957" spans="2:9">
      <c r="B1957">
        <f>'2020_5-2-2_Download'!B41</f>
        <v>361</v>
      </c>
      <c r="C1957">
        <f>'2020_5-2-2_Download'!$R$5</f>
        <v>2018</v>
      </c>
      <c r="D1957" t="str">
        <f>VLOOKUP(B1957,[1]Tabelle1!$A$1:$B$68,2,FALSE)</f>
        <v>Verden</v>
      </c>
      <c r="F1957" t="str">
        <f>'2020_5-2-2_Download'!$W$7</f>
        <v>niedrig</v>
      </c>
      <c r="G1957" t="s">
        <v>362</v>
      </c>
      <c r="H1957" t="str">
        <f>VLOOKUP(B1957,[2]Kreise!$A$2:$C$53,3,FALSE)</f>
        <v>K03361</v>
      </c>
      <c r="I1957">
        <f>'2020_5-2-2_Download'!W41</f>
        <v>25.950375597541541</v>
      </c>
    </row>
    <row r="1958" spans="2:9">
      <c r="B1958">
        <f>'2020_5-2-2_Download'!B42</f>
        <v>3</v>
      </c>
      <c r="C1958">
        <f>'2020_5-2-2_Download'!$R$5</f>
        <v>2018</v>
      </c>
      <c r="D1958" t="str">
        <f>VLOOKUP(B1958,[1]Tabelle1!$A$1:$B$68,2,FALSE)</f>
        <v>Stat. Region Lüneburg</v>
      </c>
      <c r="F1958" t="str">
        <f>'2020_5-2-2_Download'!$W$7</f>
        <v>niedrig</v>
      </c>
      <c r="G1958" t="s">
        <v>362</v>
      </c>
      <c r="H1958" t="str">
        <f>VLOOKUP(B1958,[2]Kreise!$A$2:$C$53,3,FALSE)</f>
        <v>K033</v>
      </c>
      <c r="I1958">
        <f>'2020_5-2-2_Download'!W42</f>
        <v>24.067575696811712</v>
      </c>
    </row>
    <row r="1959" spans="2:9">
      <c r="B1959">
        <f>'2020_5-2-2_Download'!B43</f>
        <v>401</v>
      </c>
      <c r="C1959">
        <f>'2020_5-2-2_Download'!$R$5</f>
        <v>2018</v>
      </c>
      <c r="D1959" t="str">
        <f>VLOOKUP(B1959,[1]Tabelle1!$A$1:$B$68,2,FALSE)</f>
        <v>Delmenhorst  Stadt</v>
      </c>
      <c r="F1959" t="str">
        <f>'2020_5-2-2_Download'!$W$7</f>
        <v>niedrig</v>
      </c>
      <c r="G1959" t="s">
        <v>362</v>
      </c>
      <c r="H1959" t="str">
        <f>VLOOKUP(B1959,[2]Kreise!$A$2:$C$53,3,FALSE)</f>
        <v>K03401</v>
      </c>
      <c r="I1959">
        <f>'2020_5-2-2_Download'!W43</f>
        <v>27.123608670181603</v>
      </c>
    </row>
    <row r="1960" spans="2:9">
      <c r="B1960">
        <f>'2020_5-2-2_Download'!B44</f>
        <v>402</v>
      </c>
      <c r="C1960">
        <f>'2020_5-2-2_Download'!$R$5</f>
        <v>2018</v>
      </c>
      <c r="D1960" t="str">
        <f>VLOOKUP(B1960,[1]Tabelle1!$A$1:$B$68,2,FALSE)</f>
        <v>Emden  Stadt</v>
      </c>
      <c r="F1960" t="str">
        <f>'2020_5-2-2_Download'!$W$7</f>
        <v>niedrig</v>
      </c>
      <c r="G1960" t="s">
        <v>362</v>
      </c>
      <c r="H1960" t="str">
        <f>VLOOKUP(B1960,[2]Kreise!$A$2:$C$53,3,FALSE)</f>
        <v>K03402</v>
      </c>
      <c r="I1960">
        <f>'2020_5-2-2_Download'!W44</f>
        <v>26.495278069254987</v>
      </c>
    </row>
    <row r="1961" spans="2:9">
      <c r="B1961">
        <f>'2020_5-2-2_Download'!B45</f>
        <v>403</v>
      </c>
      <c r="C1961">
        <f>'2020_5-2-2_Download'!$R$5</f>
        <v>2018</v>
      </c>
      <c r="D1961" t="str">
        <f>VLOOKUP(B1961,[1]Tabelle1!$A$1:$B$68,2,FALSE)</f>
        <v>Oldenburg(Oldb)  Stadt</v>
      </c>
      <c r="F1961" t="str">
        <f>'2020_5-2-2_Download'!$W$7</f>
        <v>niedrig</v>
      </c>
      <c r="G1961" t="s">
        <v>362</v>
      </c>
      <c r="H1961" t="str">
        <f>VLOOKUP(B1961,[2]Kreise!$A$2:$C$53,3,FALSE)</f>
        <v>K03403</v>
      </c>
      <c r="I1961">
        <f>'2020_5-2-2_Download'!W45</f>
        <v>27.179906064937715</v>
      </c>
    </row>
    <row r="1962" spans="2:9">
      <c r="B1962">
        <f>'2020_5-2-2_Download'!B46</f>
        <v>404</v>
      </c>
      <c r="C1962">
        <f>'2020_5-2-2_Download'!$R$5</f>
        <v>2018</v>
      </c>
      <c r="D1962" t="str">
        <f>VLOOKUP(B1962,[1]Tabelle1!$A$1:$B$68,2,FALSE)</f>
        <v>Osnabrück  Stadt</v>
      </c>
      <c r="F1962" t="str">
        <f>'2020_5-2-2_Download'!$W$7</f>
        <v>niedrig</v>
      </c>
      <c r="G1962" t="s">
        <v>362</v>
      </c>
      <c r="H1962" t="str">
        <f>VLOOKUP(B1962,[2]Kreise!$A$2:$C$53,3,FALSE)</f>
        <v>K03404</v>
      </c>
      <c r="I1962">
        <f>'2020_5-2-2_Download'!W46</f>
        <v>30.812028083189823</v>
      </c>
    </row>
    <row r="1963" spans="2:9">
      <c r="B1963">
        <f>'2020_5-2-2_Download'!B47</f>
        <v>405</v>
      </c>
      <c r="C1963">
        <f>'2020_5-2-2_Download'!$R$5</f>
        <v>2018</v>
      </c>
      <c r="D1963" t="str">
        <f>VLOOKUP(B1963,[1]Tabelle1!$A$1:$B$68,2,FALSE)</f>
        <v>Wilhelmshaven  Stadt</v>
      </c>
      <c r="F1963" t="str">
        <f>'2020_5-2-2_Download'!$W$7</f>
        <v>niedrig</v>
      </c>
      <c r="G1963" t="s">
        <v>362</v>
      </c>
      <c r="H1963" t="str">
        <f>VLOOKUP(B1963,[2]Kreise!$A$2:$C$53,3,FALSE)</f>
        <v>K03405</v>
      </c>
      <c r="I1963">
        <f>'2020_5-2-2_Download'!W47</f>
        <v>27.375707992448078</v>
      </c>
    </row>
    <row r="1964" spans="2:9">
      <c r="B1964">
        <f>'2020_5-2-2_Download'!B48</f>
        <v>451</v>
      </c>
      <c r="C1964">
        <f>'2020_5-2-2_Download'!$R$5</f>
        <v>2018</v>
      </c>
      <c r="D1964" t="str">
        <f>VLOOKUP(B1964,[1]Tabelle1!$A$1:$B$68,2,FALSE)</f>
        <v>Ammerland</v>
      </c>
      <c r="F1964" t="str">
        <f>'2020_5-2-2_Download'!$W$7</f>
        <v>niedrig</v>
      </c>
      <c r="G1964" t="s">
        <v>362</v>
      </c>
      <c r="H1964" t="str">
        <f>VLOOKUP(B1964,[2]Kreise!$A$2:$C$53,3,FALSE)</f>
        <v>K03451</v>
      </c>
      <c r="I1964">
        <f>'2020_5-2-2_Download'!W48</f>
        <v>23.045507584597434</v>
      </c>
    </row>
    <row r="1965" spans="2:9">
      <c r="B1965">
        <f>'2020_5-2-2_Download'!B49</f>
        <v>452</v>
      </c>
      <c r="C1965">
        <f>'2020_5-2-2_Download'!$R$5</f>
        <v>2018</v>
      </c>
      <c r="D1965" t="str">
        <f>VLOOKUP(B1965,[1]Tabelle1!$A$1:$B$68,2,FALSE)</f>
        <v>Aurich</v>
      </c>
      <c r="F1965" t="str">
        <f>'2020_5-2-2_Download'!$W$7</f>
        <v>niedrig</v>
      </c>
      <c r="G1965" t="s">
        <v>362</v>
      </c>
      <c r="H1965" t="str">
        <f>VLOOKUP(B1965,[2]Kreise!$A$2:$C$53,3,FALSE)</f>
        <v>K03452</v>
      </c>
      <c r="I1965">
        <f>'2020_5-2-2_Download'!W49</f>
        <v>23.298676748582231</v>
      </c>
    </row>
    <row r="1966" spans="2:9">
      <c r="B1966">
        <f>'2020_5-2-2_Download'!B50</f>
        <v>453</v>
      </c>
      <c r="C1966">
        <f>'2020_5-2-2_Download'!$R$5</f>
        <v>2018</v>
      </c>
      <c r="D1966" t="str">
        <f>VLOOKUP(B1966,[1]Tabelle1!$A$1:$B$68,2,FALSE)</f>
        <v>Cloppenburg</v>
      </c>
      <c r="F1966" t="str">
        <f>'2020_5-2-2_Download'!$W$7</f>
        <v>niedrig</v>
      </c>
      <c r="G1966" t="s">
        <v>362</v>
      </c>
      <c r="H1966" t="str">
        <f>VLOOKUP(B1966,[2]Kreise!$A$2:$C$53,3,FALSE)</f>
        <v>K03453</v>
      </c>
      <c r="I1966">
        <f>'2020_5-2-2_Download'!W50</f>
        <v>26.827133479212257</v>
      </c>
    </row>
    <row r="1967" spans="2:9">
      <c r="B1967">
        <f>'2020_5-2-2_Download'!B51</f>
        <v>454</v>
      </c>
      <c r="C1967">
        <f>'2020_5-2-2_Download'!$R$5</f>
        <v>2018</v>
      </c>
      <c r="D1967" t="str">
        <f>VLOOKUP(B1967,[1]Tabelle1!$A$1:$B$68,2,FALSE)</f>
        <v>Emsland</v>
      </c>
      <c r="F1967" t="str">
        <f>'2020_5-2-2_Download'!$W$7</f>
        <v>niedrig</v>
      </c>
      <c r="G1967" t="s">
        <v>362</v>
      </c>
      <c r="H1967" t="str">
        <f>VLOOKUP(B1967,[2]Kreise!$A$2:$C$53,3,FALSE)</f>
        <v>K03454</v>
      </c>
      <c r="I1967">
        <f>'2020_5-2-2_Download'!W51</f>
        <v>20.233776702942365</v>
      </c>
    </row>
    <row r="1968" spans="2:9">
      <c r="B1968">
        <f>'2020_5-2-2_Download'!B52</f>
        <v>455</v>
      </c>
      <c r="C1968">
        <f>'2020_5-2-2_Download'!$R$5</f>
        <v>2018</v>
      </c>
      <c r="D1968" t="str">
        <f>VLOOKUP(B1968,[1]Tabelle1!$A$1:$B$68,2,FALSE)</f>
        <v>Friesland</v>
      </c>
      <c r="F1968" t="str">
        <f>'2020_5-2-2_Download'!$W$7</f>
        <v>niedrig</v>
      </c>
      <c r="G1968" t="s">
        <v>362</v>
      </c>
      <c r="H1968" t="str">
        <f>VLOOKUP(B1968,[2]Kreise!$A$2:$C$53,3,FALSE)</f>
        <v>K03455</v>
      </c>
      <c r="I1968">
        <f>'2020_5-2-2_Download'!W52</f>
        <v>20.138355111452729</v>
      </c>
    </row>
    <row r="1969" spans="2:9">
      <c r="B1969">
        <f>'2020_5-2-2_Download'!B53</f>
        <v>456</v>
      </c>
      <c r="C1969">
        <f>'2020_5-2-2_Download'!$R$5</f>
        <v>2018</v>
      </c>
      <c r="D1969" t="str">
        <f>VLOOKUP(B1969,[1]Tabelle1!$A$1:$B$68,2,FALSE)</f>
        <v>Grafschaft Bentheim</v>
      </c>
      <c r="F1969" t="str">
        <f>'2020_5-2-2_Download'!$W$7</f>
        <v>niedrig</v>
      </c>
      <c r="G1969" t="s">
        <v>362</v>
      </c>
      <c r="H1969" t="str">
        <f>VLOOKUP(B1969,[2]Kreise!$A$2:$C$53,3,FALSE)</f>
        <v>K03456</v>
      </c>
      <c r="I1969">
        <f>'2020_5-2-2_Download'!W53</f>
        <v>20.596205962059621</v>
      </c>
    </row>
    <row r="1970" spans="2:9">
      <c r="B1970">
        <f>'2020_5-2-2_Download'!B54</f>
        <v>457</v>
      </c>
      <c r="C1970">
        <f>'2020_5-2-2_Download'!$R$5</f>
        <v>2018</v>
      </c>
      <c r="D1970" t="str">
        <f>VLOOKUP(B1970,[1]Tabelle1!$A$1:$B$68,2,FALSE)</f>
        <v>Leer</v>
      </c>
      <c r="F1970" t="str">
        <f>'2020_5-2-2_Download'!$W$7</f>
        <v>niedrig</v>
      </c>
      <c r="G1970" t="s">
        <v>362</v>
      </c>
      <c r="H1970" t="str">
        <f>VLOOKUP(B1970,[2]Kreise!$A$2:$C$53,3,FALSE)</f>
        <v>K03457</v>
      </c>
      <c r="I1970">
        <f>'2020_5-2-2_Download'!W54</f>
        <v>15.419296663660957</v>
      </c>
    </row>
    <row r="1971" spans="2:9">
      <c r="B1971">
        <f>'2020_5-2-2_Download'!B55</f>
        <v>458</v>
      </c>
      <c r="C1971">
        <f>'2020_5-2-2_Download'!$R$5</f>
        <v>2018</v>
      </c>
      <c r="D1971" t="str">
        <f>VLOOKUP(B1971,[1]Tabelle1!$A$1:$B$68,2,FALSE)</f>
        <v>Oldenburg</v>
      </c>
      <c r="F1971" t="str">
        <f>'2020_5-2-2_Download'!$W$7</f>
        <v>niedrig</v>
      </c>
      <c r="G1971" t="s">
        <v>362</v>
      </c>
      <c r="H1971" t="str">
        <f>VLOOKUP(B1971,[2]Kreise!$A$2:$C$53,3,FALSE)</f>
        <v>K03458</v>
      </c>
      <c r="I1971">
        <f>'2020_5-2-2_Download'!W55</f>
        <v>25.194886186467102</v>
      </c>
    </row>
    <row r="1972" spans="2:9">
      <c r="B1972">
        <f>'2020_5-2-2_Download'!B56</f>
        <v>459</v>
      </c>
      <c r="C1972">
        <f>'2020_5-2-2_Download'!$R$5</f>
        <v>2018</v>
      </c>
      <c r="D1972" t="str">
        <f>VLOOKUP(B1972,[1]Tabelle1!$A$1:$B$68,2,FALSE)</f>
        <v>Osnabrück</v>
      </c>
      <c r="F1972" t="str">
        <f>'2020_5-2-2_Download'!$W$7</f>
        <v>niedrig</v>
      </c>
      <c r="G1972" t="s">
        <v>362</v>
      </c>
      <c r="H1972" t="str">
        <f>VLOOKUP(B1972,[2]Kreise!$A$2:$C$53,3,FALSE)</f>
        <v>K03459</v>
      </c>
      <c r="I1972">
        <f>'2020_5-2-2_Download'!W56</f>
        <v>24.077970297029701</v>
      </c>
    </row>
    <row r="1973" spans="2:9">
      <c r="B1973">
        <f>'2020_5-2-2_Download'!B57</f>
        <v>460</v>
      </c>
      <c r="C1973">
        <f>'2020_5-2-2_Download'!$R$5</f>
        <v>2018</v>
      </c>
      <c r="D1973" t="str">
        <f>VLOOKUP(B1973,[1]Tabelle1!$A$1:$B$68,2,FALSE)</f>
        <v>Vechta</v>
      </c>
      <c r="F1973" t="str">
        <f>'2020_5-2-2_Download'!$W$7</f>
        <v>niedrig</v>
      </c>
      <c r="G1973" t="s">
        <v>362</v>
      </c>
      <c r="H1973" t="str">
        <f>VLOOKUP(B1973,[2]Kreise!$A$2:$C$53,3,FALSE)</f>
        <v>K03460</v>
      </c>
      <c r="I1973">
        <f>'2020_5-2-2_Download'!W57</f>
        <v>25.674987264391234</v>
      </c>
    </row>
    <row r="1974" spans="2:9">
      <c r="B1974">
        <f>'2020_5-2-2_Download'!B58</f>
        <v>461</v>
      </c>
      <c r="C1974">
        <f>'2020_5-2-2_Download'!$R$5</f>
        <v>2018</v>
      </c>
      <c r="D1974" t="str">
        <f>VLOOKUP(B1974,[1]Tabelle1!$A$1:$B$68,2,FALSE)</f>
        <v>Wesermarsch</v>
      </c>
      <c r="F1974" t="str">
        <f>'2020_5-2-2_Download'!$W$7</f>
        <v>niedrig</v>
      </c>
      <c r="G1974" t="s">
        <v>362</v>
      </c>
      <c r="H1974" t="str">
        <f>VLOOKUP(B1974,[2]Kreise!$A$2:$C$53,3,FALSE)</f>
        <v>K03461</v>
      </c>
      <c r="I1974">
        <f>'2020_5-2-2_Download'!W58</f>
        <v>19.633401221995928</v>
      </c>
    </row>
    <row r="1975" spans="2:9">
      <c r="B1975">
        <f>'2020_5-2-2_Download'!B59</f>
        <v>462</v>
      </c>
      <c r="C1975">
        <f>'2020_5-2-2_Download'!$R$5</f>
        <v>2018</v>
      </c>
      <c r="D1975" t="str">
        <f>VLOOKUP(B1975,[1]Tabelle1!$A$1:$B$68,2,FALSE)</f>
        <v>Wittmund</v>
      </c>
      <c r="F1975" t="str">
        <f>'2020_5-2-2_Download'!$W$7</f>
        <v>niedrig</v>
      </c>
      <c r="G1975" t="s">
        <v>362</v>
      </c>
      <c r="H1975" t="str">
        <f>VLOOKUP(B1975,[2]Kreise!$A$2:$C$53,3,FALSE)</f>
        <v>K03462</v>
      </c>
      <c r="I1975">
        <f>'2020_5-2-2_Download'!W59</f>
        <v>16.023391812865498</v>
      </c>
    </row>
    <row r="1976" spans="2:9">
      <c r="B1976">
        <f>'2020_5-2-2_Download'!B60</f>
        <v>4</v>
      </c>
      <c r="C1976">
        <f>'2020_5-2-2_Download'!$R$5</f>
        <v>2018</v>
      </c>
      <c r="D1976" t="str">
        <f>VLOOKUP(B1976,[1]Tabelle1!$A$1:$B$68,2,FALSE)</f>
        <v>Stat. Region Weser-Ems</v>
      </c>
      <c r="F1976" t="str">
        <f>'2020_5-2-2_Download'!$W$7</f>
        <v>niedrig</v>
      </c>
      <c r="G1976" t="s">
        <v>362</v>
      </c>
      <c r="H1976" t="str">
        <f>VLOOKUP(B1976,[2]Kreise!$A$2:$C$53,3,FALSE)</f>
        <v>K034</v>
      </c>
      <c r="I1976">
        <f>'2020_5-2-2_Download'!W60</f>
        <v>24.091587296245191</v>
      </c>
    </row>
    <row r="1977" spans="2:9">
      <c r="B1977">
        <f>'2020_5-2-2_Download'!B61</f>
        <v>0</v>
      </c>
      <c r="C1977">
        <f>'2020_5-2-2_Download'!$R$5</f>
        <v>2018</v>
      </c>
      <c r="D1977" t="str">
        <f>VLOOKUP(B1977,[1]Tabelle1!$A$1:$B$68,2,FALSE)</f>
        <v>Niedersachsen</v>
      </c>
      <c r="F1977" t="str">
        <f>'2020_5-2-2_Download'!$W$7</f>
        <v>niedrig</v>
      </c>
      <c r="G1977" t="s">
        <v>362</v>
      </c>
      <c r="H1977" t="str">
        <f>VLOOKUP(B1977,[2]Kreise!$A$2:$C$53,3,FALSE)</f>
        <v>K030</v>
      </c>
      <c r="I1977">
        <f>'2020_5-2-2_Download'!W61</f>
        <v>24.364137304858001</v>
      </c>
    </row>
    <row r="1978" spans="2:9">
      <c r="B1978">
        <f>'2020_5-2-2_Download'!B10</f>
        <v>101</v>
      </c>
      <c r="C1978">
        <f>'2020_5-2-2_Download'!$R$5</f>
        <v>2018</v>
      </c>
      <c r="D1978" t="str">
        <f>VLOOKUP(B1978,[1]Tabelle1!$A$1:$B$68,2,FALSE)</f>
        <v>Braunschweig  Stadt</v>
      </c>
      <c r="F1978" t="str">
        <f>'2020_5-2-2_Download'!$X$7</f>
        <v>unbekannt</v>
      </c>
      <c r="G1978" t="s">
        <v>362</v>
      </c>
      <c r="H1978" t="str">
        <f>VLOOKUP(B1978,[2]Kreise!$A$2:$C$53,3,FALSE)</f>
        <v>K03101</v>
      </c>
      <c r="I1978">
        <f>'2020_5-2-2_Download'!X10</f>
        <v>25.393681291472713</v>
      </c>
    </row>
    <row r="1979" spans="2:9">
      <c r="B1979">
        <f>'2020_5-2-2_Download'!B11</f>
        <v>102</v>
      </c>
      <c r="C1979">
        <f>'2020_5-2-2_Download'!$R$5</f>
        <v>2018</v>
      </c>
      <c r="D1979" t="str">
        <f>VLOOKUP(B1979,[1]Tabelle1!$A$1:$B$68,2,FALSE)</f>
        <v>Salzgitter  Stadt</v>
      </c>
      <c r="F1979" t="str">
        <f>'2020_5-2-2_Download'!$X$7</f>
        <v>unbekannt</v>
      </c>
      <c r="G1979" t="s">
        <v>362</v>
      </c>
      <c r="H1979" t="str">
        <f>VLOOKUP(B1979,[2]Kreise!$A$2:$C$53,3,FALSE)</f>
        <v>K03102</v>
      </c>
      <c r="I1979">
        <f>'2020_5-2-2_Download'!X11</f>
        <v>27.552897884084636</v>
      </c>
    </row>
    <row r="1980" spans="2:9">
      <c r="B1980">
        <f>'2020_5-2-2_Download'!B12</f>
        <v>103</v>
      </c>
      <c r="C1980">
        <f>'2020_5-2-2_Download'!$R$5</f>
        <v>2018</v>
      </c>
      <c r="D1980" t="str">
        <f>VLOOKUP(B1980,[1]Tabelle1!$A$1:$B$68,2,FALSE)</f>
        <v>Wolfsburg  Stadt</v>
      </c>
      <c r="F1980" t="str">
        <f>'2020_5-2-2_Download'!$X$7</f>
        <v>unbekannt</v>
      </c>
      <c r="G1980" t="s">
        <v>362</v>
      </c>
      <c r="H1980" t="str">
        <f>VLOOKUP(B1980,[2]Kreise!$A$2:$C$53,3,FALSE)</f>
        <v>K03103</v>
      </c>
      <c r="I1980">
        <f>'2020_5-2-2_Download'!X12</f>
        <v>29.886557574540706</v>
      </c>
    </row>
    <row r="1981" spans="2:9">
      <c r="B1981">
        <f>'2020_5-2-2_Download'!B13</f>
        <v>151</v>
      </c>
      <c r="C1981">
        <f>'2020_5-2-2_Download'!$R$5</f>
        <v>2018</v>
      </c>
      <c r="D1981" t="str">
        <f>VLOOKUP(B1981,[1]Tabelle1!$A$1:$B$68,2,FALSE)</f>
        <v>Gifhorn</v>
      </c>
      <c r="F1981" t="str">
        <f>'2020_5-2-2_Download'!$X$7</f>
        <v>unbekannt</v>
      </c>
      <c r="G1981" t="s">
        <v>362</v>
      </c>
      <c r="H1981" t="str">
        <f>VLOOKUP(B1981,[2]Kreise!$A$2:$C$53,3,FALSE)</f>
        <v>K03151</v>
      </c>
      <c r="I1981">
        <f>'2020_5-2-2_Download'!X13</f>
        <v>31.833395314243212</v>
      </c>
    </row>
    <row r="1982" spans="2:9">
      <c r="B1982">
        <f>'2020_5-2-2_Download'!B14</f>
        <v>153</v>
      </c>
      <c r="C1982">
        <f>'2020_5-2-2_Download'!$R$5</f>
        <v>2018</v>
      </c>
      <c r="D1982" t="str">
        <f>VLOOKUP(B1982,[1]Tabelle1!$A$1:$B$68,2,FALSE)</f>
        <v>Goslar</v>
      </c>
      <c r="F1982" t="str">
        <f>'2020_5-2-2_Download'!$X$7</f>
        <v>unbekannt</v>
      </c>
      <c r="G1982" t="s">
        <v>362</v>
      </c>
      <c r="H1982" t="str">
        <f>VLOOKUP(B1982,[2]Kreise!$A$2:$C$53,3,FALSE)</f>
        <v>K03153</v>
      </c>
      <c r="I1982">
        <f>'2020_5-2-2_Download'!X14</f>
        <v>27.733526430123099</v>
      </c>
    </row>
    <row r="1983" spans="2:9">
      <c r="B1983">
        <f>'2020_5-2-2_Download'!B15</f>
        <v>154</v>
      </c>
      <c r="C1983">
        <f>'2020_5-2-2_Download'!$R$5</f>
        <v>2018</v>
      </c>
      <c r="D1983" t="str">
        <f>VLOOKUP(B1983,[1]Tabelle1!$A$1:$B$68,2,FALSE)</f>
        <v>Helmstedt</v>
      </c>
      <c r="F1983" t="str">
        <f>'2020_5-2-2_Download'!$X$7</f>
        <v>unbekannt</v>
      </c>
      <c r="G1983" t="s">
        <v>362</v>
      </c>
      <c r="H1983" t="str">
        <f>VLOOKUP(B1983,[2]Kreise!$A$2:$C$53,3,FALSE)</f>
        <v>K03154</v>
      </c>
      <c r="I1983">
        <f>'2020_5-2-2_Download'!X15</f>
        <v>23.619846261355697</v>
      </c>
    </row>
    <row r="1984" spans="2:9">
      <c r="B1984">
        <f>'2020_5-2-2_Download'!B16</f>
        <v>155</v>
      </c>
      <c r="C1984">
        <f>'2020_5-2-2_Download'!$R$5</f>
        <v>2018</v>
      </c>
      <c r="D1984" t="str">
        <f>VLOOKUP(B1984,[1]Tabelle1!$A$1:$B$68,2,FALSE)</f>
        <v>Northeim</v>
      </c>
      <c r="F1984" t="str">
        <f>'2020_5-2-2_Download'!$X$7</f>
        <v>unbekannt</v>
      </c>
      <c r="G1984" t="s">
        <v>362</v>
      </c>
      <c r="H1984" t="str">
        <f>VLOOKUP(B1984,[2]Kreise!$A$2:$C$53,3,FALSE)</f>
        <v>K03155</v>
      </c>
      <c r="I1984">
        <f>'2020_5-2-2_Download'!X16</f>
        <v>24.029515559833172</v>
      </c>
    </row>
    <row r="1985" spans="2:9">
      <c r="B1985">
        <f>'2020_5-2-2_Download'!B17</f>
        <v>157</v>
      </c>
      <c r="C1985">
        <f>'2020_5-2-2_Download'!$R$5</f>
        <v>2018</v>
      </c>
      <c r="D1985" t="str">
        <f>VLOOKUP(B1985,[1]Tabelle1!$A$1:$B$68,2,FALSE)</f>
        <v>Peine</v>
      </c>
      <c r="F1985" t="str">
        <f>'2020_5-2-2_Download'!$X$7</f>
        <v>unbekannt</v>
      </c>
      <c r="G1985" t="s">
        <v>362</v>
      </c>
      <c r="H1985" t="str">
        <f>VLOOKUP(B1985,[2]Kreise!$A$2:$C$53,3,FALSE)</f>
        <v>K03157</v>
      </c>
      <c r="I1985">
        <f>'2020_5-2-2_Download'!X17</f>
        <v>29.420849420849422</v>
      </c>
    </row>
    <row r="1986" spans="2:9">
      <c r="B1986">
        <f>'2020_5-2-2_Download'!B18</f>
        <v>158</v>
      </c>
      <c r="C1986">
        <f>'2020_5-2-2_Download'!$R$5</f>
        <v>2018</v>
      </c>
      <c r="D1986" t="str">
        <f>VLOOKUP(B1986,[1]Tabelle1!$A$1:$B$68,2,FALSE)</f>
        <v>Wolfenbüttel</v>
      </c>
      <c r="F1986" t="str">
        <f>'2020_5-2-2_Download'!$X$7</f>
        <v>unbekannt</v>
      </c>
      <c r="G1986" t="s">
        <v>362</v>
      </c>
      <c r="H1986" t="str">
        <f>VLOOKUP(B1986,[2]Kreise!$A$2:$C$53,3,FALSE)</f>
        <v>K03158</v>
      </c>
      <c r="I1986">
        <f>'2020_5-2-2_Download'!X18</f>
        <v>25.070821529745039</v>
      </c>
    </row>
    <row r="1987" spans="2:9">
      <c r="B1987">
        <f>'2020_5-2-2_Download'!B19</f>
        <v>159</v>
      </c>
      <c r="C1987">
        <f>'2020_5-2-2_Download'!$R$5</f>
        <v>2018</v>
      </c>
      <c r="D1987" t="str">
        <f>VLOOKUP(B1987,[1]Tabelle1!$A$1:$B$68,2,FALSE)</f>
        <v>Göttingen</v>
      </c>
      <c r="F1987" t="str">
        <f>'2020_5-2-2_Download'!$X$7</f>
        <v>unbekannt</v>
      </c>
      <c r="G1987" t="s">
        <v>362</v>
      </c>
      <c r="H1987" t="str">
        <f>VLOOKUP(B1987,[2]Kreise!$A$2:$C$53,3,FALSE)</f>
        <v>K03159</v>
      </c>
      <c r="I1987">
        <f>'2020_5-2-2_Download'!X19</f>
        <v>18.223813373368749</v>
      </c>
    </row>
    <row r="1988" spans="2:9">
      <c r="B1988">
        <f>'2020_5-2-2_Download'!B20</f>
        <v>1</v>
      </c>
      <c r="C1988">
        <f>'2020_5-2-2_Download'!$R$5</f>
        <v>2018</v>
      </c>
      <c r="D1988" t="str">
        <f>VLOOKUP(B1988,[1]Tabelle1!$A$1:$B$68,2,FALSE)</f>
        <v>Stat. Region Braunschweig</v>
      </c>
      <c r="F1988" t="str">
        <f>'2020_5-2-2_Download'!$X$7</f>
        <v>unbekannt</v>
      </c>
      <c r="G1988" t="s">
        <v>362</v>
      </c>
      <c r="H1988" t="str">
        <f>VLOOKUP(B1988,[2]Kreise!$A$2:$C$53,3,FALSE)</f>
        <v>K031</v>
      </c>
      <c r="I1988">
        <f>'2020_5-2-2_Download'!X20</f>
        <v>25.797815833085451</v>
      </c>
    </row>
    <row r="1989" spans="2:9">
      <c r="B1989">
        <f>'2020_5-2-2_Download'!B21</f>
        <v>241</v>
      </c>
      <c r="C1989">
        <f>'2020_5-2-2_Download'!$R$5</f>
        <v>2018</v>
      </c>
      <c r="D1989" t="str">
        <f>VLOOKUP(B1989,[1]Tabelle1!$A$1:$B$68,2,FALSE)</f>
        <v>Hannover  Region</v>
      </c>
      <c r="F1989" t="str">
        <f>'2020_5-2-2_Download'!$X$7</f>
        <v>unbekannt</v>
      </c>
      <c r="G1989" t="s">
        <v>362</v>
      </c>
      <c r="H1989" t="str">
        <f>VLOOKUP(B1989,[2]Kreise!$A$2:$C$53,3,FALSE)</f>
        <v>K03241</v>
      </c>
      <c r="I1989">
        <f>'2020_5-2-2_Download'!X21</f>
        <v>28.102981994164118</v>
      </c>
    </row>
    <row r="1990" spans="2:9">
      <c r="B1990">
        <f>'2020_5-2-2_Download'!B22</f>
        <v>241001</v>
      </c>
      <c r="C1990">
        <f>'2020_5-2-2_Download'!$R$5</f>
        <v>2018</v>
      </c>
      <c r="D1990" t="str">
        <f>VLOOKUP(B1990,[1]Tabelle1!$A$1:$B$68,2,FALSE)</f>
        <v>dav. Hannover  Lhst.</v>
      </c>
      <c r="F1990" t="str">
        <f>'2020_5-2-2_Download'!$X$7</f>
        <v>unbekannt</v>
      </c>
      <c r="G1990" t="s">
        <v>362</v>
      </c>
      <c r="H1990" t="str">
        <f>VLOOKUP(B1990,[2]Kreise!$A$2:$C$53,3,FALSE)</f>
        <v>K03241001</v>
      </c>
      <c r="I1990">
        <f>'2020_5-2-2_Download'!X22</f>
        <v>26.581714985254017</v>
      </c>
    </row>
    <row r="1991" spans="2:9">
      <c r="B1991">
        <f>'2020_5-2-2_Download'!B23</f>
        <v>241999</v>
      </c>
      <c r="C1991">
        <f>'2020_5-2-2_Download'!$R$5</f>
        <v>2018</v>
      </c>
      <c r="D1991" t="str">
        <f>VLOOKUP(B1991,[1]Tabelle1!$A$1:$B$68,2,FALSE)</f>
        <v>dav. Hannover  Umland</v>
      </c>
      <c r="F1991" t="str">
        <f>'2020_5-2-2_Download'!$X$7</f>
        <v>unbekannt</v>
      </c>
      <c r="G1991" t="s">
        <v>362</v>
      </c>
      <c r="H1991" t="str">
        <f>VLOOKUP(B1991,[2]Kreise!$A$2:$C$53,3,FALSE)</f>
        <v>K03241999</v>
      </c>
      <c r="I1991">
        <f>'2020_5-2-2_Download'!X23</f>
        <v>30.801500345474288</v>
      </c>
    </row>
    <row r="1992" spans="2:9">
      <c r="B1992">
        <f>'2020_5-2-2_Download'!B24</f>
        <v>251</v>
      </c>
      <c r="C1992">
        <f>'2020_5-2-2_Download'!$R$5</f>
        <v>2018</v>
      </c>
      <c r="D1992" t="str">
        <f>VLOOKUP(B1992,[1]Tabelle1!$A$1:$B$68,2,FALSE)</f>
        <v>Diepholz</v>
      </c>
      <c r="F1992" t="str">
        <f>'2020_5-2-2_Download'!$X$7</f>
        <v>unbekannt</v>
      </c>
      <c r="G1992" t="s">
        <v>362</v>
      </c>
      <c r="H1992" t="str">
        <f>VLOOKUP(B1992,[2]Kreise!$A$2:$C$53,3,FALSE)</f>
        <v>K03251</v>
      </c>
      <c r="I1992">
        <f>'2020_5-2-2_Download'!X24</f>
        <v>37.473423104181428</v>
      </c>
    </row>
    <row r="1993" spans="2:9">
      <c r="B1993">
        <f>'2020_5-2-2_Download'!B25</f>
        <v>252</v>
      </c>
      <c r="C1993">
        <f>'2020_5-2-2_Download'!$R$5</f>
        <v>2018</v>
      </c>
      <c r="D1993" t="str">
        <f>VLOOKUP(B1993,[1]Tabelle1!$A$1:$B$68,2,FALSE)</f>
        <v>Hameln-Pyrmont</v>
      </c>
      <c r="F1993" t="str">
        <f>'2020_5-2-2_Download'!$X$7</f>
        <v>unbekannt</v>
      </c>
      <c r="G1993" t="s">
        <v>362</v>
      </c>
      <c r="H1993" t="str">
        <f>VLOOKUP(B1993,[2]Kreise!$A$2:$C$53,3,FALSE)</f>
        <v>K03252</v>
      </c>
      <c r="I1993">
        <f>'2020_5-2-2_Download'!X25</f>
        <v>25.44861337683524</v>
      </c>
    </row>
    <row r="1994" spans="2:9">
      <c r="B1994">
        <f>'2020_5-2-2_Download'!B26</f>
        <v>254</v>
      </c>
      <c r="C1994">
        <f>'2020_5-2-2_Download'!$R$5</f>
        <v>2018</v>
      </c>
      <c r="D1994" t="str">
        <f>VLOOKUP(B1994,[1]Tabelle1!$A$1:$B$68,2,FALSE)</f>
        <v>Hildesheim</v>
      </c>
      <c r="F1994" t="str">
        <f>'2020_5-2-2_Download'!$X$7</f>
        <v>unbekannt</v>
      </c>
      <c r="G1994" t="s">
        <v>362</v>
      </c>
      <c r="H1994" t="str">
        <f>VLOOKUP(B1994,[2]Kreise!$A$2:$C$53,3,FALSE)</f>
        <v>K03254</v>
      </c>
      <c r="I1994">
        <f>'2020_5-2-2_Download'!X26</f>
        <v>23.892267593397047</v>
      </c>
    </row>
    <row r="1995" spans="2:9">
      <c r="B1995">
        <f>'2020_5-2-2_Download'!B27</f>
        <v>255</v>
      </c>
      <c r="C1995">
        <f>'2020_5-2-2_Download'!$R$5</f>
        <v>2018</v>
      </c>
      <c r="D1995" t="str">
        <f>VLOOKUP(B1995,[1]Tabelle1!$A$1:$B$68,2,FALSE)</f>
        <v>Holzminden</v>
      </c>
      <c r="F1995" t="str">
        <f>'2020_5-2-2_Download'!$X$7</f>
        <v>unbekannt</v>
      </c>
      <c r="G1995" t="s">
        <v>362</v>
      </c>
      <c r="H1995" t="str">
        <f>VLOOKUP(B1995,[2]Kreise!$A$2:$C$53,3,FALSE)</f>
        <v>K03255</v>
      </c>
      <c r="I1995">
        <f>'2020_5-2-2_Download'!X27</f>
        <v>25.158730158730158</v>
      </c>
    </row>
    <row r="1996" spans="2:9">
      <c r="B1996">
        <f>'2020_5-2-2_Download'!B28</f>
        <v>256</v>
      </c>
      <c r="C1996">
        <f>'2020_5-2-2_Download'!$R$5</f>
        <v>2018</v>
      </c>
      <c r="D1996" t="str">
        <f>VLOOKUP(B1996,[1]Tabelle1!$A$1:$B$68,2,FALSE)</f>
        <v>Nienburg (Weser)</v>
      </c>
      <c r="F1996" t="str">
        <f>'2020_5-2-2_Download'!$X$7</f>
        <v>unbekannt</v>
      </c>
      <c r="G1996" t="s">
        <v>362</v>
      </c>
      <c r="H1996" t="str">
        <f>VLOOKUP(B1996,[2]Kreise!$A$2:$C$53,3,FALSE)</f>
        <v>K03256</v>
      </c>
      <c r="I1996">
        <f>'2020_5-2-2_Download'!X28</f>
        <v>40.18012783265543</v>
      </c>
    </row>
    <row r="1997" spans="2:9">
      <c r="B1997">
        <f>'2020_5-2-2_Download'!B29</f>
        <v>257</v>
      </c>
      <c r="C1997">
        <f>'2020_5-2-2_Download'!$R$5</f>
        <v>2018</v>
      </c>
      <c r="D1997" t="str">
        <f>VLOOKUP(B1997,[1]Tabelle1!$A$1:$B$68,2,FALSE)</f>
        <v>Schaumburg</v>
      </c>
      <c r="F1997" t="str">
        <f>'2020_5-2-2_Download'!$X$7</f>
        <v>unbekannt</v>
      </c>
      <c r="G1997" t="s">
        <v>362</v>
      </c>
      <c r="H1997" t="str">
        <f>VLOOKUP(B1997,[2]Kreise!$A$2:$C$53,3,FALSE)</f>
        <v>K03257</v>
      </c>
      <c r="I1997">
        <f>'2020_5-2-2_Download'!X29</f>
        <v>22.154294032023287</v>
      </c>
    </row>
    <row r="1998" spans="2:9">
      <c r="B1998">
        <f>'2020_5-2-2_Download'!B30</f>
        <v>2</v>
      </c>
      <c r="C1998">
        <f>'2020_5-2-2_Download'!$R$5</f>
        <v>2018</v>
      </c>
      <c r="D1998" t="str">
        <f>VLOOKUP(B1998,[1]Tabelle1!$A$1:$B$68,2,FALSE)</f>
        <v>Stat. Region Hannover</v>
      </c>
      <c r="F1998" t="str">
        <f>'2020_5-2-2_Download'!$X$7</f>
        <v>unbekannt</v>
      </c>
      <c r="G1998" t="s">
        <v>362</v>
      </c>
      <c r="H1998" t="str">
        <f>VLOOKUP(B1998,[2]Kreise!$A$2:$C$53,3,FALSE)</f>
        <v>K032</v>
      </c>
      <c r="I1998">
        <f>'2020_5-2-2_Download'!X30</f>
        <v>28.560276007957892</v>
      </c>
    </row>
    <row r="1999" spans="2:9">
      <c r="B1999">
        <f>'2020_5-2-2_Download'!B31</f>
        <v>351</v>
      </c>
      <c r="C1999">
        <f>'2020_5-2-2_Download'!$R$5</f>
        <v>2018</v>
      </c>
      <c r="D1999" t="str">
        <f>VLOOKUP(B1999,[1]Tabelle1!$A$1:$B$68,2,FALSE)</f>
        <v>Celle</v>
      </c>
      <c r="F1999" t="str">
        <f>'2020_5-2-2_Download'!$X$7</f>
        <v>unbekannt</v>
      </c>
      <c r="G1999" t="s">
        <v>362</v>
      </c>
      <c r="H1999" t="str">
        <f>VLOOKUP(B1999,[2]Kreise!$A$2:$C$53,3,FALSE)</f>
        <v>K03351</v>
      </c>
      <c r="I1999">
        <f>'2020_5-2-2_Download'!X31</f>
        <v>24.141942990110529</v>
      </c>
    </row>
    <row r="2000" spans="2:9">
      <c r="B2000">
        <f>'2020_5-2-2_Download'!B32</f>
        <v>352</v>
      </c>
      <c r="C2000">
        <f>'2020_5-2-2_Download'!$R$5</f>
        <v>2018</v>
      </c>
      <c r="D2000" t="str">
        <f>VLOOKUP(B2000,[1]Tabelle1!$A$1:$B$68,2,FALSE)</f>
        <v>Cuxhaven</v>
      </c>
      <c r="F2000" t="str">
        <f>'2020_5-2-2_Download'!$X$7</f>
        <v>unbekannt</v>
      </c>
      <c r="G2000" t="s">
        <v>362</v>
      </c>
      <c r="H2000" t="str">
        <f>VLOOKUP(B2000,[2]Kreise!$A$2:$C$53,3,FALSE)</f>
        <v>K03352</v>
      </c>
      <c r="I2000">
        <f>'2020_5-2-2_Download'!X32</f>
        <v>40.952839268527427</v>
      </c>
    </row>
    <row r="2001" spans="2:9">
      <c r="B2001">
        <f>'2020_5-2-2_Download'!B33</f>
        <v>353</v>
      </c>
      <c r="C2001">
        <f>'2020_5-2-2_Download'!$R$5</f>
        <v>2018</v>
      </c>
      <c r="D2001" t="str">
        <f>VLOOKUP(B2001,[1]Tabelle1!$A$1:$B$68,2,FALSE)</f>
        <v>Harburg</v>
      </c>
      <c r="F2001" t="str">
        <f>'2020_5-2-2_Download'!$X$7</f>
        <v>unbekannt</v>
      </c>
      <c r="G2001" t="s">
        <v>362</v>
      </c>
      <c r="H2001" t="str">
        <f>VLOOKUP(B2001,[2]Kreise!$A$2:$C$53,3,FALSE)</f>
        <v>K03353</v>
      </c>
      <c r="I2001">
        <f>'2020_5-2-2_Download'!X33</f>
        <v>39.803286852589643</v>
      </c>
    </row>
    <row r="2002" spans="2:9">
      <c r="B2002">
        <f>'2020_5-2-2_Download'!B34</f>
        <v>354</v>
      </c>
      <c r="C2002">
        <f>'2020_5-2-2_Download'!$R$5</f>
        <v>2018</v>
      </c>
      <c r="D2002" t="str">
        <f>VLOOKUP(B2002,[1]Tabelle1!$A$1:$B$68,2,FALSE)</f>
        <v>Lüchow-Dannenberg</v>
      </c>
      <c r="F2002" t="str">
        <f>'2020_5-2-2_Download'!$X$7</f>
        <v>unbekannt</v>
      </c>
      <c r="G2002" t="s">
        <v>362</v>
      </c>
      <c r="H2002" t="str">
        <f>VLOOKUP(B2002,[2]Kreise!$A$2:$C$53,3,FALSE)</f>
        <v>K03354</v>
      </c>
      <c r="I2002">
        <f>'2020_5-2-2_Download'!X34</f>
        <v>42.540620384047266</v>
      </c>
    </row>
    <row r="2003" spans="2:9">
      <c r="B2003">
        <f>'2020_5-2-2_Download'!B35</f>
        <v>355</v>
      </c>
      <c r="C2003">
        <f>'2020_5-2-2_Download'!$R$5</f>
        <v>2018</v>
      </c>
      <c r="D2003" t="str">
        <f>VLOOKUP(B2003,[1]Tabelle1!$A$1:$B$68,2,FALSE)</f>
        <v>Lüneburg</v>
      </c>
      <c r="F2003" t="str">
        <f>'2020_5-2-2_Download'!$X$7</f>
        <v>unbekannt</v>
      </c>
      <c r="G2003" t="s">
        <v>362</v>
      </c>
      <c r="H2003" t="str">
        <f>VLOOKUP(B2003,[2]Kreise!$A$2:$C$53,3,FALSE)</f>
        <v>K03355</v>
      </c>
      <c r="I2003">
        <f>'2020_5-2-2_Download'!X35</f>
        <v>28.21144891810463</v>
      </c>
    </row>
    <row r="2004" spans="2:9">
      <c r="B2004">
        <f>'2020_5-2-2_Download'!B36</f>
        <v>356</v>
      </c>
      <c r="C2004">
        <f>'2020_5-2-2_Download'!$R$5</f>
        <v>2018</v>
      </c>
      <c r="D2004" t="str">
        <f>VLOOKUP(B2004,[1]Tabelle1!$A$1:$B$68,2,FALSE)</f>
        <v>Osterholz</v>
      </c>
      <c r="F2004" t="str">
        <f>'2020_5-2-2_Download'!$X$7</f>
        <v>unbekannt</v>
      </c>
      <c r="G2004" t="s">
        <v>362</v>
      </c>
      <c r="H2004" t="str">
        <f>VLOOKUP(B2004,[2]Kreise!$A$2:$C$53,3,FALSE)</f>
        <v>K03356</v>
      </c>
      <c r="I2004">
        <f>'2020_5-2-2_Download'!X36</f>
        <v>31.238990017615968</v>
      </c>
    </row>
    <row r="2005" spans="2:9">
      <c r="B2005">
        <f>'2020_5-2-2_Download'!B37</f>
        <v>357</v>
      </c>
      <c r="C2005">
        <f>'2020_5-2-2_Download'!$R$5</f>
        <v>2018</v>
      </c>
      <c r="D2005" t="str">
        <f>VLOOKUP(B2005,[1]Tabelle1!$A$1:$B$68,2,FALSE)</f>
        <v>Rotenburg (Wümme)</v>
      </c>
      <c r="F2005" t="str">
        <f>'2020_5-2-2_Download'!$X$7</f>
        <v>unbekannt</v>
      </c>
      <c r="G2005" t="s">
        <v>362</v>
      </c>
      <c r="H2005" t="str">
        <f>VLOOKUP(B2005,[2]Kreise!$A$2:$C$53,3,FALSE)</f>
        <v>K03357</v>
      </c>
      <c r="I2005">
        <f>'2020_5-2-2_Download'!X37</f>
        <v>34.026622296173045</v>
      </c>
    </row>
    <row r="2006" spans="2:9">
      <c r="B2006">
        <f>'2020_5-2-2_Download'!B38</f>
        <v>358</v>
      </c>
      <c r="C2006">
        <f>'2020_5-2-2_Download'!$R$5</f>
        <v>2018</v>
      </c>
      <c r="D2006" t="str">
        <f>VLOOKUP(B2006,[1]Tabelle1!$A$1:$B$68,2,FALSE)</f>
        <v>Heidekreis</v>
      </c>
      <c r="F2006" t="str">
        <f>'2020_5-2-2_Download'!$X$7</f>
        <v>unbekannt</v>
      </c>
      <c r="G2006" t="s">
        <v>362</v>
      </c>
      <c r="H2006" t="str">
        <f>VLOOKUP(B2006,[2]Kreise!$A$2:$C$53,3,FALSE)</f>
        <v>K03358</v>
      </c>
      <c r="I2006">
        <f>'2020_5-2-2_Download'!X38</f>
        <v>34.974980247563863</v>
      </c>
    </row>
    <row r="2007" spans="2:9">
      <c r="B2007">
        <f>'2020_5-2-2_Download'!B39</f>
        <v>359</v>
      </c>
      <c r="C2007">
        <f>'2020_5-2-2_Download'!$R$5</f>
        <v>2018</v>
      </c>
      <c r="D2007" t="str">
        <f>VLOOKUP(B2007,[1]Tabelle1!$A$1:$B$68,2,FALSE)</f>
        <v>Stade</v>
      </c>
      <c r="F2007" t="str">
        <f>'2020_5-2-2_Download'!$X$7</f>
        <v>unbekannt</v>
      </c>
      <c r="G2007" t="s">
        <v>362</v>
      </c>
      <c r="H2007" t="str">
        <f>VLOOKUP(B2007,[2]Kreise!$A$2:$C$53,3,FALSE)</f>
        <v>K03359</v>
      </c>
      <c r="I2007">
        <f>'2020_5-2-2_Download'!X39</f>
        <v>46.282306163021872</v>
      </c>
    </row>
    <row r="2008" spans="2:9">
      <c r="B2008">
        <f>'2020_5-2-2_Download'!B40</f>
        <v>360</v>
      </c>
      <c r="C2008">
        <f>'2020_5-2-2_Download'!$R$5</f>
        <v>2018</v>
      </c>
      <c r="D2008" t="str">
        <f>VLOOKUP(B2008,[1]Tabelle1!$A$1:$B$68,2,FALSE)</f>
        <v>Uelzen</v>
      </c>
      <c r="F2008" t="str">
        <f>'2020_5-2-2_Download'!$X$7</f>
        <v>unbekannt</v>
      </c>
      <c r="G2008" t="s">
        <v>362</v>
      </c>
      <c r="H2008" t="str">
        <f>VLOOKUP(B2008,[2]Kreise!$A$2:$C$53,3,FALSE)</f>
        <v>K03360</v>
      </c>
      <c r="I2008">
        <f>'2020_5-2-2_Download'!X40</f>
        <v>31.139419674451524</v>
      </c>
    </row>
    <row r="2009" spans="2:9">
      <c r="B2009">
        <f>'2020_5-2-2_Download'!B41</f>
        <v>361</v>
      </c>
      <c r="C2009">
        <f>'2020_5-2-2_Download'!$R$5</f>
        <v>2018</v>
      </c>
      <c r="D2009" t="str">
        <f>VLOOKUP(B2009,[1]Tabelle1!$A$1:$B$68,2,FALSE)</f>
        <v>Verden</v>
      </c>
      <c r="F2009" t="str">
        <f>'2020_5-2-2_Download'!$X$7</f>
        <v>unbekannt</v>
      </c>
      <c r="G2009" t="s">
        <v>362</v>
      </c>
      <c r="H2009" t="str">
        <f>VLOOKUP(B2009,[2]Kreise!$A$2:$C$53,3,FALSE)</f>
        <v>K03361</v>
      </c>
      <c r="I2009">
        <f>'2020_5-2-2_Download'!X41</f>
        <v>39.631231504666516</v>
      </c>
    </row>
    <row r="2010" spans="2:9">
      <c r="B2010">
        <f>'2020_5-2-2_Download'!B42</f>
        <v>3</v>
      </c>
      <c r="C2010">
        <f>'2020_5-2-2_Download'!$R$5</f>
        <v>2018</v>
      </c>
      <c r="D2010" t="str">
        <f>VLOOKUP(B2010,[1]Tabelle1!$A$1:$B$68,2,FALSE)</f>
        <v>Stat. Region Lüneburg</v>
      </c>
      <c r="F2010" t="str">
        <f>'2020_5-2-2_Download'!$X$7</f>
        <v>unbekannt</v>
      </c>
      <c r="G2010" t="s">
        <v>362</v>
      </c>
      <c r="H2010" t="str">
        <f>VLOOKUP(B2010,[2]Kreise!$A$2:$C$53,3,FALSE)</f>
        <v>K033</v>
      </c>
      <c r="I2010">
        <f>'2020_5-2-2_Download'!X42</f>
        <v>36.702927611790656</v>
      </c>
    </row>
    <row r="2011" spans="2:9">
      <c r="B2011">
        <f>'2020_5-2-2_Download'!B43</f>
        <v>401</v>
      </c>
      <c r="C2011">
        <f>'2020_5-2-2_Download'!$R$5</f>
        <v>2018</v>
      </c>
      <c r="D2011" t="str">
        <f>VLOOKUP(B2011,[1]Tabelle1!$A$1:$B$68,2,FALSE)</f>
        <v>Delmenhorst  Stadt</v>
      </c>
      <c r="F2011" t="str">
        <f>'2020_5-2-2_Download'!$X$7</f>
        <v>unbekannt</v>
      </c>
      <c r="G2011" t="s">
        <v>362</v>
      </c>
      <c r="H2011" t="str">
        <f>VLOOKUP(B2011,[2]Kreise!$A$2:$C$53,3,FALSE)</f>
        <v>K03401</v>
      </c>
      <c r="I2011">
        <f>'2020_5-2-2_Download'!X43</f>
        <v>33.684827182190979</v>
      </c>
    </row>
    <row r="2012" spans="2:9">
      <c r="B2012">
        <f>'2020_5-2-2_Download'!B44</f>
        <v>402</v>
      </c>
      <c r="C2012">
        <f>'2020_5-2-2_Download'!$R$5</f>
        <v>2018</v>
      </c>
      <c r="D2012" t="str">
        <f>VLOOKUP(B2012,[1]Tabelle1!$A$1:$B$68,2,FALSE)</f>
        <v>Emden  Stadt</v>
      </c>
      <c r="F2012" t="str">
        <f>'2020_5-2-2_Download'!$X$7</f>
        <v>unbekannt</v>
      </c>
      <c r="G2012" t="s">
        <v>362</v>
      </c>
      <c r="H2012" t="str">
        <f>VLOOKUP(B2012,[2]Kreise!$A$2:$C$53,3,FALSE)</f>
        <v>K03402</v>
      </c>
      <c r="I2012">
        <f>'2020_5-2-2_Download'!X44</f>
        <v>28.646379853095489</v>
      </c>
    </row>
    <row r="2013" spans="2:9">
      <c r="B2013">
        <f>'2020_5-2-2_Download'!B45</f>
        <v>403</v>
      </c>
      <c r="C2013">
        <f>'2020_5-2-2_Download'!$R$5</f>
        <v>2018</v>
      </c>
      <c r="D2013" t="str">
        <f>VLOOKUP(B2013,[1]Tabelle1!$A$1:$B$68,2,FALSE)</f>
        <v>Oldenburg(Oldb)  Stadt</v>
      </c>
      <c r="F2013" t="str">
        <f>'2020_5-2-2_Download'!$X$7</f>
        <v>unbekannt</v>
      </c>
      <c r="G2013" t="s">
        <v>362</v>
      </c>
      <c r="H2013" t="str">
        <f>VLOOKUP(B2013,[2]Kreise!$A$2:$C$53,3,FALSE)</f>
        <v>K03403</v>
      </c>
      <c r="I2013">
        <f>'2020_5-2-2_Download'!X45</f>
        <v>27.547478047784356</v>
      </c>
    </row>
    <row r="2014" spans="2:9">
      <c r="B2014">
        <f>'2020_5-2-2_Download'!B46</f>
        <v>404</v>
      </c>
      <c r="C2014">
        <f>'2020_5-2-2_Download'!$R$5</f>
        <v>2018</v>
      </c>
      <c r="D2014" t="str">
        <f>VLOOKUP(B2014,[1]Tabelle1!$A$1:$B$68,2,FALSE)</f>
        <v>Osnabrück  Stadt</v>
      </c>
      <c r="F2014" t="str">
        <f>'2020_5-2-2_Download'!$X$7</f>
        <v>unbekannt</v>
      </c>
      <c r="G2014" t="s">
        <v>362</v>
      </c>
      <c r="H2014" t="str">
        <f>VLOOKUP(B2014,[2]Kreise!$A$2:$C$53,3,FALSE)</f>
        <v>K03404</v>
      </c>
      <c r="I2014">
        <f>'2020_5-2-2_Download'!X46</f>
        <v>27.593058683269305</v>
      </c>
    </row>
    <row r="2015" spans="2:9">
      <c r="B2015">
        <f>'2020_5-2-2_Download'!B47</f>
        <v>405</v>
      </c>
      <c r="C2015">
        <f>'2020_5-2-2_Download'!$R$5</f>
        <v>2018</v>
      </c>
      <c r="D2015" t="str">
        <f>VLOOKUP(B2015,[1]Tabelle1!$A$1:$B$68,2,FALSE)</f>
        <v>Wilhelmshaven  Stadt</v>
      </c>
      <c r="F2015" t="str">
        <f>'2020_5-2-2_Download'!$X$7</f>
        <v>unbekannt</v>
      </c>
      <c r="G2015" t="s">
        <v>362</v>
      </c>
      <c r="H2015" t="str">
        <f>VLOOKUP(B2015,[2]Kreise!$A$2:$C$53,3,FALSE)</f>
        <v>K03405</v>
      </c>
      <c r="I2015">
        <f>'2020_5-2-2_Download'!X47</f>
        <v>30.459408432976716</v>
      </c>
    </row>
    <row r="2016" spans="2:9">
      <c r="B2016">
        <f>'2020_5-2-2_Download'!B48</f>
        <v>451</v>
      </c>
      <c r="C2016">
        <f>'2020_5-2-2_Download'!$R$5</f>
        <v>2018</v>
      </c>
      <c r="D2016" t="str">
        <f>VLOOKUP(B2016,[1]Tabelle1!$A$1:$B$68,2,FALSE)</f>
        <v>Ammerland</v>
      </c>
      <c r="F2016" t="str">
        <f>'2020_5-2-2_Download'!$X$7</f>
        <v>unbekannt</v>
      </c>
      <c r="G2016" t="s">
        <v>362</v>
      </c>
      <c r="H2016" t="str">
        <f>VLOOKUP(B2016,[2]Kreise!$A$2:$C$53,3,FALSE)</f>
        <v>K03451</v>
      </c>
      <c r="I2016">
        <f>'2020_5-2-2_Download'!X48</f>
        <v>44.1656942823804</v>
      </c>
    </row>
    <row r="2017" spans="2:9">
      <c r="B2017">
        <f>'2020_5-2-2_Download'!B49</f>
        <v>452</v>
      </c>
      <c r="C2017">
        <f>'2020_5-2-2_Download'!$R$5</f>
        <v>2018</v>
      </c>
      <c r="D2017" t="str">
        <f>VLOOKUP(B2017,[1]Tabelle1!$A$1:$B$68,2,FALSE)</f>
        <v>Aurich</v>
      </c>
      <c r="F2017" t="str">
        <f>'2020_5-2-2_Download'!$X$7</f>
        <v>unbekannt</v>
      </c>
      <c r="G2017" t="s">
        <v>362</v>
      </c>
      <c r="H2017" t="str">
        <f>VLOOKUP(B2017,[2]Kreise!$A$2:$C$53,3,FALSE)</f>
        <v>K03452</v>
      </c>
      <c r="I2017">
        <f>'2020_5-2-2_Download'!X49</f>
        <v>40.571833648393195</v>
      </c>
    </row>
    <row r="2018" spans="2:9">
      <c r="B2018">
        <f>'2020_5-2-2_Download'!B50</f>
        <v>453</v>
      </c>
      <c r="C2018">
        <f>'2020_5-2-2_Download'!$R$5</f>
        <v>2018</v>
      </c>
      <c r="D2018" t="str">
        <f>VLOOKUP(B2018,[1]Tabelle1!$A$1:$B$68,2,FALSE)</f>
        <v>Cloppenburg</v>
      </c>
      <c r="F2018" t="str">
        <f>'2020_5-2-2_Download'!$X$7</f>
        <v>unbekannt</v>
      </c>
      <c r="G2018" t="s">
        <v>362</v>
      </c>
      <c r="H2018" t="str">
        <f>VLOOKUP(B2018,[2]Kreise!$A$2:$C$53,3,FALSE)</f>
        <v>K03453</v>
      </c>
      <c r="I2018">
        <f>'2020_5-2-2_Download'!X50</f>
        <v>50.984682713347915</v>
      </c>
    </row>
    <row r="2019" spans="2:9">
      <c r="B2019">
        <f>'2020_5-2-2_Download'!B51</f>
        <v>454</v>
      </c>
      <c r="C2019">
        <f>'2020_5-2-2_Download'!$R$5</f>
        <v>2018</v>
      </c>
      <c r="D2019" t="str">
        <f>VLOOKUP(B2019,[1]Tabelle1!$A$1:$B$68,2,FALSE)</f>
        <v>Emsland</v>
      </c>
      <c r="F2019" t="str">
        <f>'2020_5-2-2_Download'!$X$7</f>
        <v>unbekannt</v>
      </c>
      <c r="G2019" t="s">
        <v>362</v>
      </c>
      <c r="H2019" t="str">
        <f>VLOOKUP(B2019,[2]Kreise!$A$2:$C$53,3,FALSE)</f>
        <v>K03454</v>
      </c>
      <c r="I2019">
        <f>'2020_5-2-2_Download'!X51</f>
        <v>43.127771060056432</v>
      </c>
    </row>
    <row r="2020" spans="2:9">
      <c r="B2020">
        <f>'2020_5-2-2_Download'!B52</f>
        <v>455</v>
      </c>
      <c r="C2020">
        <f>'2020_5-2-2_Download'!$R$5</f>
        <v>2018</v>
      </c>
      <c r="D2020" t="str">
        <f>VLOOKUP(B2020,[1]Tabelle1!$A$1:$B$68,2,FALSE)</f>
        <v>Friesland</v>
      </c>
      <c r="F2020" t="str">
        <f>'2020_5-2-2_Download'!$X$7</f>
        <v>unbekannt</v>
      </c>
      <c r="G2020" t="s">
        <v>362</v>
      </c>
      <c r="H2020" t="str">
        <f>VLOOKUP(B2020,[2]Kreise!$A$2:$C$53,3,FALSE)</f>
        <v>K03455</v>
      </c>
      <c r="I2020">
        <f>'2020_5-2-2_Download'!X52</f>
        <v>37.202152190622598</v>
      </c>
    </row>
    <row r="2021" spans="2:9">
      <c r="B2021">
        <f>'2020_5-2-2_Download'!B53</f>
        <v>456</v>
      </c>
      <c r="C2021">
        <f>'2020_5-2-2_Download'!$R$5</f>
        <v>2018</v>
      </c>
      <c r="D2021" t="str">
        <f>VLOOKUP(B2021,[1]Tabelle1!$A$1:$B$68,2,FALSE)</f>
        <v>Grafschaft Bentheim</v>
      </c>
      <c r="F2021" t="str">
        <f>'2020_5-2-2_Download'!$X$7</f>
        <v>unbekannt</v>
      </c>
      <c r="G2021" t="s">
        <v>362</v>
      </c>
      <c r="H2021" t="str">
        <f>VLOOKUP(B2021,[2]Kreise!$A$2:$C$53,3,FALSE)</f>
        <v>K03456</v>
      </c>
      <c r="I2021">
        <f>'2020_5-2-2_Download'!X53</f>
        <v>34.262485481997679</v>
      </c>
    </row>
    <row r="2022" spans="2:9">
      <c r="B2022">
        <f>'2020_5-2-2_Download'!B54</f>
        <v>457</v>
      </c>
      <c r="C2022">
        <f>'2020_5-2-2_Download'!$R$5</f>
        <v>2018</v>
      </c>
      <c r="D2022" t="str">
        <f>VLOOKUP(B2022,[1]Tabelle1!$A$1:$B$68,2,FALSE)</f>
        <v>Leer</v>
      </c>
      <c r="F2022" t="str">
        <f>'2020_5-2-2_Download'!$X$7</f>
        <v>unbekannt</v>
      </c>
      <c r="G2022" t="s">
        <v>362</v>
      </c>
      <c r="H2022" t="str">
        <f>VLOOKUP(B2022,[2]Kreise!$A$2:$C$53,3,FALSE)</f>
        <v>K03457</v>
      </c>
      <c r="I2022">
        <f>'2020_5-2-2_Download'!X54</f>
        <v>46.318004207995187</v>
      </c>
    </row>
    <row r="2023" spans="2:9">
      <c r="B2023">
        <f>'2020_5-2-2_Download'!B55</f>
        <v>458</v>
      </c>
      <c r="C2023">
        <f>'2020_5-2-2_Download'!$R$5</f>
        <v>2018</v>
      </c>
      <c r="D2023" t="str">
        <f>VLOOKUP(B2023,[1]Tabelle1!$A$1:$B$68,2,FALSE)</f>
        <v>Oldenburg</v>
      </c>
      <c r="F2023" t="str">
        <f>'2020_5-2-2_Download'!$X$7</f>
        <v>unbekannt</v>
      </c>
      <c r="G2023" t="s">
        <v>362</v>
      </c>
      <c r="H2023" t="str">
        <f>VLOOKUP(B2023,[2]Kreise!$A$2:$C$53,3,FALSE)</f>
        <v>K03458</v>
      </c>
      <c r="I2023">
        <f>'2020_5-2-2_Download'!X55</f>
        <v>45.49423136888057</v>
      </c>
    </row>
    <row r="2024" spans="2:9">
      <c r="B2024">
        <f>'2020_5-2-2_Download'!B56</f>
        <v>459</v>
      </c>
      <c r="C2024">
        <f>'2020_5-2-2_Download'!$R$5</f>
        <v>2018</v>
      </c>
      <c r="D2024" t="str">
        <f>VLOOKUP(B2024,[1]Tabelle1!$A$1:$B$68,2,FALSE)</f>
        <v>Osnabrück</v>
      </c>
      <c r="F2024" t="str">
        <f>'2020_5-2-2_Download'!$X$7</f>
        <v>unbekannt</v>
      </c>
      <c r="G2024" t="s">
        <v>362</v>
      </c>
      <c r="H2024" t="str">
        <f>VLOOKUP(B2024,[2]Kreise!$A$2:$C$53,3,FALSE)</f>
        <v>K03459</v>
      </c>
      <c r="I2024">
        <f>'2020_5-2-2_Download'!X56</f>
        <v>49.925742574257427</v>
      </c>
    </row>
    <row r="2025" spans="2:9">
      <c r="B2025">
        <f>'2020_5-2-2_Download'!B57</f>
        <v>460</v>
      </c>
      <c r="C2025">
        <f>'2020_5-2-2_Download'!$R$5</f>
        <v>2018</v>
      </c>
      <c r="D2025" t="str">
        <f>VLOOKUP(B2025,[1]Tabelle1!$A$1:$B$68,2,FALSE)</f>
        <v>Vechta</v>
      </c>
      <c r="F2025" t="str">
        <f>'2020_5-2-2_Download'!$X$7</f>
        <v>unbekannt</v>
      </c>
      <c r="G2025" t="s">
        <v>362</v>
      </c>
      <c r="H2025" t="str">
        <f>VLOOKUP(B2025,[2]Kreise!$A$2:$C$53,3,FALSE)</f>
        <v>K03460</v>
      </c>
      <c r="I2025">
        <f>'2020_5-2-2_Download'!X57</f>
        <v>48.140601120733571</v>
      </c>
    </row>
    <row r="2026" spans="2:9">
      <c r="B2026">
        <f>'2020_5-2-2_Download'!B58</f>
        <v>461</v>
      </c>
      <c r="C2026">
        <f>'2020_5-2-2_Download'!$R$5</f>
        <v>2018</v>
      </c>
      <c r="D2026" t="str">
        <f>VLOOKUP(B2026,[1]Tabelle1!$A$1:$B$68,2,FALSE)</f>
        <v>Wesermarsch</v>
      </c>
      <c r="F2026" t="str">
        <f>'2020_5-2-2_Download'!$X$7</f>
        <v>unbekannt</v>
      </c>
      <c r="G2026" t="s">
        <v>362</v>
      </c>
      <c r="H2026" t="str">
        <f>VLOOKUP(B2026,[2]Kreise!$A$2:$C$53,3,FALSE)</f>
        <v>K03461</v>
      </c>
      <c r="I2026">
        <f>'2020_5-2-2_Download'!X58</f>
        <v>40.203665987780042</v>
      </c>
    </row>
    <row r="2027" spans="2:9">
      <c r="B2027">
        <f>'2020_5-2-2_Download'!B59</f>
        <v>462</v>
      </c>
      <c r="C2027">
        <f>'2020_5-2-2_Download'!$R$5</f>
        <v>2018</v>
      </c>
      <c r="D2027" t="str">
        <f>VLOOKUP(B2027,[1]Tabelle1!$A$1:$B$68,2,FALSE)</f>
        <v>Wittmund</v>
      </c>
      <c r="F2027" t="str">
        <f>'2020_5-2-2_Download'!$X$7</f>
        <v>unbekannt</v>
      </c>
      <c r="G2027" t="s">
        <v>362</v>
      </c>
      <c r="H2027" t="str">
        <f>VLOOKUP(B2027,[2]Kreise!$A$2:$C$53,3,FALSE)</f>
        <v>K03462</v>
      </c>
      <c r="I2027">
        <f>'2020_5-2-2_Download'!X59</f>
        <v>55.204678362573098</v>
      </c>
    </row>
    <row r="2028" spans="2:9">
      <c r="B2028">
        <f>'2020_5-2-2_Download'!B60</f>
        <v>4</v>
      </c>
      <c r="C2028">
        <f>'2020_5-2-2_Download'!$R$5</f>
        <v>2018</v>
      </c>
      <c r="D2028" t="str">
        <f>VLOOKUP(B2028,[1]Tabelle1!$A$1:$B$68,2,FALSE)</f>
        <v>Stat. Region Weser-Ems</v>
      </c>
      <c r="F2028" t="str">
        <f>'2020_5-2-2_Download'!$X$7</f>
        <v>unbekannt</v>
      </c>
      <c r="G2028" t="s">
        <v>362</v>
      </c>
      <c r="H2028" t="str">
        <f>VLOOKUP(B2028,[2]Kreise!$A$2:$C$53,3,FALSE)</f>
        <v>K034</v>
      </c>
      <c r="I2028">
        <f>'2020_5-2-2_Download'!X60</f>
        <v>42.387731520434379</v>
      </c>
    </row>
    <row r="2029" spans="2:9">
      <c r="B2029">
        <f>'2020_5-2-2_Download'!B61</f>
        <v>0</v>
      </c>
      <c r="C2029">
        <f>'2020_5-2-2_Download'!$R$5</f>
        <v>2018</v>
      </c>
      <c r="D2029" t="str">
        <f>VLOOKUP(B2029,[1]Tabelle1!$A$1:$B$68,2,FALSE)</f>
        <v>Niedersachsen</v>
      </c>
      <c r="F2029" t="str">
        <f>'2020_5-2-2_Download'!$X$7</f>
        <v>unbekannt</v>
      </c>
      <c r="G2029" t="s">
        <v>362</v>
      </c>
      <c r="H2029" t="str">
        <f>VLOOKUP(B2029,[2]Kreise!$A$2:$C$53,3,FALSE)</f>
        <v>K030</v>
      </c>
      <c r="I2029">
        <f>'2020_5-2-2_Download'!X61</f>
        <v>34.146580097761806</v>
      </c>
    </row>
    <row r="2030" spans="2:9">
      <c r="B2030">
        <f>'2020_5-2-2_Download'!B10</f>
        <v>101</v>
      </c>
      <c r="C2030">
        <f>'2020_5-2-2_Download'!$Y$5</f>
        <v>2017</v>
      </c>
      <c r="D2030" t="str">
        <f>VLOOKUP(B2030,[1]Tabelle1!$A$1:$B$68,2,FALSE)</f>
        <v>Braunschweig  Stadt</v>
      </c>
      <c r="F2030" t="str">
        <f>'2020_5-2-2_Download'!$AB$7</f>
        <v>hoch</v>
      </c>
      <c r="G2030" t="s">
        <v>362</v>
      </c>
      <c r="H2030" t="str">
        <f>VLOOKUP(B2030,[2]Kreise!$A$2:$C$53,3,FALSE)</f>
        <v>K03101</v>
      </c>
      <c r="I2030">
        <f>'2020_5-2-2_Download'!AB10</f>
        <v>22.441293752769162</v>
      </c>
    </row>
    <row r="2031" spans="2:9">
      <c r="B2031">
        <f>'2020_5-2-2_Download'!B11</f>
        <v>102</v>
      </c>
      <c r="C2031">
        <f>'2020_5-2-2_Download'!$Y$5</f>
        <v>2017</v>
      </c>
      <c r="D2031" t="str">
        <f>VLOOKUP(B2031,[1]Tabelle1!$A$1:$B$68,2,FALSE)</f>
        <v>Salzgitter  Stadt</v>
      </c>
      <c r="F2031" t="str">
        <f>'2020_5-2-2_Download'!$AB$7</f>
        <v>hoch</v>
      </c>
      <c r="G2031" t="s">
        <v>362</v>
      </c>
      <c r="H2031" t="str">
        <f>VLOOKUP(B2031,[2]Kreise!$A$2:$C$53,3,FALSE)</f>
        <v>K03102</v>
      </c>
      <c r="I2031">
        <f>'2020_5-2-2_Download'!AB11</f>
        <v>7.0656273573045008</v>
      </c>
    </row>
    <row r="2032" spans="2:9">
      <c r="B2032">
        <f>'2020_5-2-2_Download'!B12</f>
        <v>103</v>
      </c>
      <c r="C2032">
        <f>'2020_5-2-2_Download'!$Y$5</f>
        <v>2017</v>
      </c>
      <c r="D2032" t="str">
        <f>VLOOKUP(B2032,[1]Tabelle1!$A$1:$B$68,2,FALSE)</f>
        <v>Wolfsburg  Stadt</v>
      </c>
      <c r="F2032" t="str">
        <f>'2020_5-2-2_Download'!$AB$7</f>
        <v>hoch</v>
      </c>
      <c r="G2032" t="s">
        <v>362</v>
      </c>
      <c r="H2032" t="str">
        <f>VLOOKUP(B2032,[2]Kreise!$A$2:$C$53,3,FALSE)</f>
        <v>K03103</v>
      </c>
      <c r="I2032">
        <f>'2020_5-2-2_Download'!AB12</f>
        <v>22.143896162023051</v>
      </c>
    </row>
    <row r="2033" spans="2:9">
      <c r="B2033">
        <f>'2020_5-2-2_Download'!B13</f>
        <v>151</v>
      </c>
      <c r="C2033">
        <f>'2020_5-2-2_Download'!$Y$5</f>
        <v>2017</v>
      </c>
      <c r="D2033" t="str">
        <f>VLOOKUP(B2033,[1]Tabelle1!$A$1:$B$68,2,FALSE)</f>
        <v>Gifhorn</v>
      </c>
      <c r="F2033" t="str">
        <f>'2020_5-2-2_Download'!$AB$7</f>
        <v>hoch</v>
      </c>
      <c r="G2033" t="s">
        <v>362</v>
      </c>
      <c r="H2033" t="str">
        <f>VLOOKUP(B2033,[2]Kreise!$A$2:$C$53,3,FALSE)</f>
        <v>K03151</v>
      </c>
      <c r="I2033">
        <f>'2020_5-2-2_Download'!AB13</f>
        <v>14.644179350061703</v>
      </c>
    </row>
    <row r="2034" spans="2:9">
      <c r="B2034">
        <f>'2020_5-2-2_Download'!B14</f>
        <v>153</v>
      </c>
      <c r="C2034">
        <f>'2020_5-2-2_Download'!$Y$5</f>
        <v>2017</v>
      </c>
      <c r="D2034" t="str">
        <f>VLOOKUP(B2034,[1]Tabelle1!$A$1:$B$68,2,FALSE)</f>
        <v>Goslar</v>
      </c>
      <c r="F2034" t="str">
        <f>'2020_5-2-2_Download'!$AB$7</f>
        <v>hoch</v>
      </c>
      <c r="G2034" t="s">
        <v>362</v>
      </c>
      <c r="H2034" t="str">
        <f>VLOOKUP(B2034,[2]Kreise!$A$2:$C$53,3,FALSE)</f>
        <v>K03153</v>
      </c>
      <c r="I2034">
        <f>'2020_5-2-2_Download'!AB14</f>
        <v>17.962577962577964</v>
      </c>
    </row>
    <row r="2035" spans="2:9">
      <c r="B2035">
        <f>'2020_5-2-2_Download'!B15</f>
        <v>154</v>
      </c>
      <c r="C2035">
        <f>'2020_5-2-2_Download'!$Y$5</f>
        <v>2017</v>
      </c>
      <c r="D2035" t="str">
        <f>VLOOKUP(B2035,[1]Tabelle1!$A$1:$B$68,2,FALSE)</f>
        <v>Helmstedt</v>
      </c>
      <c r="F2035" t="str">
        <f>'2020_5-2-2_Download'!$AB$7</f>
        <v>hoch</v>
      </c>
      <c r="G2035" t="s">
        <v>362</v>
      </c>
      <c r="H2035" t="str">
        <f>VLOOKUP(B2035,[2]Kreise!$A$2:$C$53,3,FALSE)</f>
        <v>K03154</v>
      </c>
      <c r="I2035">
        <f>'2020_5-2-2_Download'!AB15</f>
        <v>14.054054054054054</v>
      </c>
    </row>
    <row r="2036" spans="2:9">
      <c r="B2036">
        <f>'2020_5-2-2_Download'!B16</f>
        <v>155</v>
      </c>
      <c r="C2036">
        <f>'2020_5-2-2_Download'!$Y$5</f>
        <v>2017</v>
      </c>
      <c r="D2036" t="str">
        <f>VLOOKUP(B2036,[1]Tabelle1!$A$1:$B$68,2,FALSE)</f>
        <v>Northeim</v>
      </c>
      <c r="F2036" t="str">
        <f>'2020_5-2-2_Download'!$AB$7</f>
        <v>hoch</v>
      </c>
      <c r="G2036" t="s">
        <v>362</v>
      </c>
      <c r="H2036" t="str">
        <f>VLOOKUP(B2036,[2]Kreise!$A$2:$C$53,3,FALSE)</f>
        <v>K03155</v>
      </c>
      <c r="I2036">
        <f>'2020_5-2-2_Download'!AB16</f>
        <v>8.3113952613764575</v>
      </c>
    </row>
    <row r="2037" spans="2:9">
      <c r="B2037">
        <f>'2020_5-2-2_Download'!B17</f>
        <v>157</v>
      </c>
      <c r="C2037">
        <f>'2020_5-2-2_Download'!$Y$5</f>
        <v>2017</v>
      </c>
      <c r="D2037" t="str">
        <f>VLOOKUP(B2037,[1]Tabelle1!$A$1:$B$68,2,FALSE)</f>
        <v>Peine</v>
      </c>
      <c r="F2037" t="str">
        <f>'2020_5-2-2_Download'!$AB$7</f>
        <v>hoch</v>
      </c>
      <c r="G2037" t="s">
        <v>362</v>
      </c>
      <c r="H2037" t="str">
        <f>VLOOKUP(B2037,[2]Kreise!$A$2:$C$53,3,FALSE)</f>
        <v>K03157</v>
      </c>
      <c r="I2037">
        <f>'2020_5-2-2_Download'!AB17</f>
        <v>6.4486830154405084</v>
      </c>
    </row>
    <row r="2038" spans="2:9">
      <c r="B2038">
        <f>'2020_5-2-2_Download'!B18</f>
        <v>158</v>
      </c>
      <c r="C2038">
        <f>'2020_5-2-2_Download'!$Y$5</f>
        <v>2017</v>
      </c>
      <c r="D2038" t="str">
        <f>VLOOKUP(B2038,[1]Tabelle1!$A$1:$B$68,2,FALSE)</f>
        <v>Wolfenbüttel</v>
      </c>
      <c r="F2038" t="str">
        <f>'2020_5-2-2_Download'!$AB$7</f>
        <v>hoch</v>
      </c>
      <c r="G2038" t="s">
        <v>362</v>
      </c>
      <c r="H2038" t="str">
        <f>VLOOKUP(B2038,[2]Kreise!$A$2:$C$53,3,FALSE)</f>
        <v>K03158</v>
      </c>
      <c r="I2038">
        <f>'2020_5-2-2_Download'!AB18</f>
        <v>11.138613861386139</v>
      </c>
    </row>
    <row r="2039" spans="2:9">
      <c r="B2039">
        <f>'2020_5-2-2_Download'!B19</f>
        <v>159</v>
      </c>
      <c r="C2039">
        <f>'2020_5-2-2_Download'!$Y$5</f>
        <v>2017</v>
      </c>
      <c r="D2039" t="str">
        <f>VLOOKUP(B2039,[1]Tabelle1!$A$1:$B$68,2,FALSE)</f>
        <v>Göttingen</v>
      </c>
      <c r="F2039" t="str">
        <f>'2020_5-2-2_Download'!$AB$7</f>
        <v>hoch</v>
      </c>
      <c r="G2039" t="s">
        <v>362</v>
      </c>
      <c r="H2039" t="str">
        <f>VLOOKUP(B2039,[2]Kreise!$A$2:$C$53,3,FALSE)</f>
        <v>K03159</v>
      </c>
      <c r="I2039">
        <f>'2020_5-2-2_Download'!AB19</f>
        <v>28.992028799177167</v>
      </c>
    </row>
    <row r="2040" spans="2:9">
      <c r="B2040">
        <f>'2020_5-2-2_Download'!B20</f>
        <v>1</v>
      </c>
      <c r="C2040">
        <f>'2020_5-2-2_Download'!$Y$5</f>
        <v>2017</v>
      </c>
      <c r="D2040" t="str">
        <f>VLOOKUP(B2040,[1]Tabelle1!$A$1:$B$68,2,FALSE)</f>
        <v>Stat. Region Braunschweig</v>
      </c>
      <c r="F2040" t="str">
        <f>'2020_5-2-2_Download'!$AB$7</f>
        <v>hoch</v>
      </c>
      <c r="G2040" t="s">
        <v>362</v>
      </c>
      <c r="H2040" t="str">
        <f>VLOOKUP(B2040,[2]Kreise!$A$2:$C$53,3,FALSE)</f>
        <v>K031</v>
      </c>
      <c r="I2040">
        <f>'2020_5-2-2_Download'!AB20</f>
        <v>19.103616067169163</v>
      </c>
    </row>
    <row r="2041" spans="2:9">
      <c r="B2041">
        <f>'2020_5-2-2_Download'!B21</f>
        <v>241</v>
      </c>
      <c r="C2041">
        <f>'2020_5-2-2_Download'!$Y$5</f>
        <v>2017</v>
      </c>
      <c r="D2041" t="str">
        <f>VLOOKUP(B2041,[1]Tabelle1!$A$1:$B$68,2,FALSE)</f>
        <v>Hannover  Region</v>
      </c>
      <c r="F2041" t="str">
        <f>'2020_5-2-2_Download'!$AB$7</f>
        <v>hoch</v>
      </c>
      <c r="G2041" t="s">
        <v>362</v>
      </c>
      <c r="H2041" t="str">
        <f>VLOOKUP(B2041,[2]Kreise!$A$2:$C$53,3,FALSE)</f>
        <v>K03241</v>
      </c>
      <c r="I2041">
        <f>'2020_5-2-2_Download'!AB21</f>
        <v>12.528451646791044</v>
      </c>
    </row>
    <row r="2042" spans="2:9">
      <c r="B2042">
        <f>'2020_5-2-2_Download'!B22</f>
        <v>241001</v>
      </c>
      <c r="C2042">
        <f>'2020_5-2-2_Download'!$Y$5</f>
        <v>2017</v>
      </c>
      <c r="D2042" t="str">
        <f>VLOOKUP(B2042,[1]Tabelle1!$A$1:$B$68,2,FALSE)</f>
        <v>dav. Hannover  Lhst.</v>
      </c>
      <c r="F2042" t="str">
        <f>'2020_5-2-2_Download'!$AB$7</f>
        <v>hoch</v>
      </c>
      <c r="G2042" t="s">
        <v>362</v>
      </c>
      <c r="H2042" t="str">
        <f>VLOOKUP(B2042,[2]Kreise!$A$2:$C$53,3,FALSE)</f>
        <v>K03241001</v>
      </c>
      <c r="I2042">
        <f>'2020_5-2-2_Download'!AB22</f>
        <v>15.213832921639236</v>
      </c>
    </row>
    <row r="2043" spans="2:9">
      <c r="B2043">
        <f>'2020_5-2-2_Download'!B23</f>
        <v>241999</v>
      </c>
      <c r="C2043">
        <f>'2020_5-2-2_Download'!$Y$5</f>
        <v>2017</v>
      </c>
      <c r="D2043" t="str">
        <f>VLOOKUP(B2043,[1]Tabelle1!$A$1:$B$68,2,FALSE)</f>
        <v>dav. Hannover  Umland</v>
      </c>
      <c r="F2043" t="str">
        <f>'2020_5-2-2_Download'!$AB$7</f>
        <v>hoch</v>
      </c>
      <c r="G2043" t="s">
        <v>362</v>
      </c>
      <c r="H2043" t="str">
        <f>VLOOKUP(B2043,[2]Kreise!$A$2:$C$53,3,FALSE)</f>
        <v>K03241999</v>
      </c>
      <c r="I2043">
        <f>'2020_5-2-2_Download'!AB23</f>
        <v>7.4598359734861255</v>
      </c>
    </row>
    <row r="2044" spans="2:9">
      <c r="B2044">
        <f>'2020_5-2-2_Download'!B24</f>
        <v>251</v>
      </c>
      <c r="C2044">
        <f>'2020_5-2-2_Download'!$Y$5</f>
        <v>2017</v>
      </c>
      <c r="D2044" t="str">
        <f>VLOOKUP(B2044,[1]Tabelle1!$A$1:$B$68,2,FALSE)</f>
        <v>Diepholz</v>
      </c>
      <c r="F2044" t="str">
        <f>'2020_5-2-2_Download'!$AB$7</f>
        <v>hoch</v>
      </c>
      <c r="G2044" t="s">
        <v>362</v>
      </c>
      <c r="H2044" t="str">
        <f>VLOOKUP(B2044,[2]Kreise!$A$2:$C$53,3,FALSE)</f>
        <v>K03251</v>
      </c>
      <c r="I2044">
        <f>'2020_5-2-2_Download'!AB24</f>
        <v>7.690708792350863</v>
      </c>
    </row>
    <row r="2045" spans="2:9">
      <c r="B2045">
        <f>'2020_5-2-2_Download'!B25</f>
        <v>252</v>
      </c>
      <c r="C2045">
        <f>'2020_5-2-2_Download'!$Y$5</f>
        <v>2017</v>
      </c>
      <c r="D2045" t="str">
        <f>VLOOKUP(B2045,[1]Tabelle1!$A$1:$B$68,2,FALSE)</f>
        <v>Hameln-Pyrmont</v>
      </c>
      <c r="F2045" t="str">
        <f>'2020_5-2-2_Download'!$AB$7</f>
        <v>hoch</v>
      </c>
      <c r="G2045" t="s">
        <v>362</v>
      </c>
      <c r="H2045" t="str">
        <f>VLOOKUP(B2045,[2]Kreise!$A$2:$C$53,3,FALSE)</f>
        <v>K03252</v>
      </c>
      <c r="I2045">
        <f>'2020_5-2-2_Download'!AB25</f>
        <v>10.733944954128441</v>
      </c>
    </row>
    <row r="2046" spans="2:9">
      <c r="B2046">
        <f>'2020_5-2-2_Download'!B26</f>
        <v>254</v>
      </c>
      <c r="C2046">
        <f>'2020_5-2-2_Download'!$Y$5</f>
        <v>2017</v>
      </c>
      <c r="D2046" t="str">
        <f>VLOOKUP(B2046,[1]Tabelle1!$A$1:$B$68,2,FALSE)</f>
        <v>Hildesheim</v>
      </c>
      <c r="F2046" t="str">
        <f>'2020_5-2-2_Download'!$AB$7</f>
        <v>hoch</v>
      </c>
      <c r="G2046" t="s">
        <v>362</v>
      </c>
      <c r="H2046" t="str">
        <f>VLOOKUP(B2046,[2]Kreise!$A$2:$C$53,3,FALSE)</f>
        <v>K03254</v>
      </c>
      <c r="I2046">
        <f>'2020_5-2-2_Download'!AB26</f>
        <v>15.027755749405234</v>
      </c>
    </row>
    <row r="2047" spans="2:9">
      <c r="B2047">
        <f>'2020_5-2-2_Download'!B27</f>
        <v>255</v>
      </c>
      <c r="C2047">
        <f>'2020_5-2-2_Download'!$Y$5</f>
        <v>2017</v>
      </c>
      <c r="D2047" t="str">
        <f>VLOOKUP(B2047,[1]Tabelle1!$A$1:$B$68,2,FALSE)</f>
        <v>Holzminden</v>
      </c>
      <c r="F2047" t="str">
        <f>'2020_5-2-2_Download'!$AB$7</f>
        <v>hoch</v>
      </c>
      <c r="G2047" t="s">
        <v>362</v>
      </c>
      <c r="H2047" t="str">
        <f>VLOOKUP(B2047,[2]Kreise!$A$2:$C$53,3,FALSE)</f>
        <v>K03255</v>
      </c>
      <c r="I2047">
        <f>'2020_5-2-2_Download'!AB27</f>
        <v>11.121323529411764</v>
      </c>
    </row>
    <row r="2048" spans="2:9">
      <c r="B2048">
        <f>'2020_5-2-2_Download'!B28</f>
        <v>256</v>
      </c>
      <c r="C2048">
        <f>'2020_5-2-2_Download'!$Y$5</f>
        <v>2017</v>
      </c>
      <c r="D2048" t="str">
        <f>VLOOKUP(B2048,[1]Tabelle1!$A$1:$B$68,2,FALSE)</f>
        <v>Nienburg (Weser)</v>
      </c>
      <c r="F2048" t="str">
        <f>'2020_5-2-2_Download'!$AB$7</f>
        <v>hoch</v>
      </c>
      <c r="G2048" t="s">
        <v>362</v>
      </c>
      <c r="H2048" t="str">
        <f>VLOOKUP(B2048,[2]Kreise!$A$2:$C$53,3,FALSE)</f>
        <v>K03256</v>
      </c>
      <c r="I2048">
        <f>'2020_5-2-2_Download'!AB28</f>
        <v>6.7841079460269862</v>
      </c>
    </row>
    <row r="2049" spans="2:9">
      <c r="B2049">
        <f>'2020_5-2-2_Download'!B29</f>
        <v>257</v>
      </c>
      <c r="C2049">
        <f>'2020_5-2-2_Download'!$Y$5</f>
        <v>2017</v>
      </c>
      <c r="D2049" t="str">
        <f>VLOOKUP(B2049,[1]Tabelle1!$A$1:$B$68,2,FALSE)</f>
        <v>Schaumburg</v>
      </c>
      <c r="F2049" t="str">
        <f>'2020_5-2-2_Download'!$AB$7</f>
        <v>hoch</v>
      </c>
      <c r="G2049" t="s">
        <v>362</v>
      </c>
      <c r="H2049" t="str">
        <f>VLOOKUP(B2049,[2]Kreise!$A$2:$C$53,3,FALSE)</f>
        <v>K03257</v>
      </c>
      <c r="I2049">
        <f>'2020_5-2-2_Download'!AB29</f>
        <v>7.4848280512474723</v>
      </c>
    </row>
    <row r="2050" spans="2:9">
      <c r="B2050">
        <f>'2020_5-2-2_Download'!B30</f>
        <v>2</v>
      </c>
      <c r="C2050">
        <f>'2020_5-2-2_Download'!$Y$5</f>
        <v>2017</v>
      </c>
      <c r="D2050" t="str">
        <f>VLOOKUP(B2050,[1]Tabelle1!$A$1:$B$68,2,FALSE)</f>
        <v>Stat. Region Hannover</v>
      </c>
      <c r="F2050" t="str">
        <f>'2020_5-2-2_Download'!$AB$7</f>
        <v>hoch</v>
      </c>
      <c r="G2050" t="s">
        <v>362</v>
      </c>
      <c r="H2050" t="str">
        <f>VLOOKUP(B2050,[2]Kreise!$A$2:$C$53,3,FALSE)</f>
        <v>K032</v>
      </c>
      <c r="I2050">
        <f>'2020_5-2-2_Download'!AB30</f>
        <v>11.849824561403508</v>
      </c>
    </row>
    <row r="2051" spans="2:9">
      <c r="B2051">
        <f>'2020_5-2-2_Download'!B31</f>
        <v>351</v>
      </c>
      <c r="C2051">
        <f>'2020_5-2-2_Download'!$Y$5</f>
        <v>2017</v>
      </c>
      <c r="D2051" t="str">
        <f>VLOOKUP(B2051,[1]Tabelle1!$A$1:$B$68,2,FALSE)</f>
        <v>Celle</v>
      </c>
      <c r="F2051" t="str">
        <f>'2020_5-2-2_Download'!$AB$7</f>
        <v>hoch</v>
      </c>
      <c r="G2051" t="s">
        <v>362</v>
      </c>
      <c r="H2051" t="str">
        <f>VLOOKUP(B2051,[2]Kreise!$A$2:$C$53,3,FALSE)</f>
        <v>K03351</v>
      </c>
      <c r="I2051">
        <f>'2020_5-2-2_Download'!AB31</f>
        <v>14.276380267886314</v>
      </c>
    </row>
    <row r="2052" spans="2:9">
      <c r="B2052">
        <f>'2020_5-2-2_Download'!B32</f>
        <v>352</v>
      </c>
      <c r="C2052">
        <f>'2020_5-2-2_Download'!$Y$5</f>
        <v>2017</v>
      </c>
      <c r="D2052" t="str">
        <f>VLOOKUP(B2052,[1]Tabelle1!$A$1:$B$68,2,FALSE)</f>
        <v>Cuxhaven</v>
      </c>
      <c r="F2052" t="str">
        <f>'2020_5-2-2_Download'!$AB$7</f>
        <v>hoch</v>
      </c>
      <c r="G2052" t="s">
        <v>362</v>
      </c>
      <c r="H2052" t="str">
        <f>VLOOKUP(B2052,[2]Kreise!$A$2:$C$53,3,FALSE)</f>
        <v>K03352</v>
      </c>
      <c r="I2052">
        <f>'2020_5-2-2_Download'!AB32</f>
        <v>6.6330591668877688</v>
      </c>
    </row>
    <row r="2053" spans="2:9">
      <c r="B2053">
        <f>'2020_5-2-2_Download'!B33</f>
        <v>353</v>
      </c>
      <c r="C2053">
        <f>'2020_5-2-2_Download'!$Y$5</f>
        <v>2017</v>
      </c>
      <c r="D2053" t="str">
        <f>VLOOKUP(B2053,[1]Tabelle1!$A$1:$B$68,2,FALSE)</f>
        <v>Harburg</v>
      </c>
      <c r="F2053" t="str">
        <f>'2020_5-2-2_Download'!$AB$7</f>
        <v>hoch</v>
      </c>
      <c r="G2053" t="s">
        <v>362</v>
      </c>
      <c r="H2053" t="str">
        <f>VLOOKUP(B2053,[2]Kreise!$A$2:$C$53,3,FALSE)</f>
        <v>K03353</v>
      </c>
      <c r="I2053">
        <f>'2020_5-2-2_Download'!AB33</f>
        <v>6.0893316195372744</v>
      </c>
    </row>
    <row r="2054" spans="2:9">
      <c r="B2054">
        <f>'2020_5-2-2_Download'!B34</f>
        <v>354</v>
      </c>
      <c r="C2054">
        <f>'2020_5-2-2_Download'!$Y$5</f>
        <v>2017</v>
      </c>
      <c r="D2054" t="str">
        <f>VLOOKUP(B2054,[1]Tabelle1!$A$1:$B$68,2,FALSE)</f>
        <v>Lüchow-Dannenberg</v>
      </c>
      <c r="F2054" t="str">
        <f>'2020_5-2-2_Download'!$AB$7</f>
        <v>hoch</v>
      </c>
      <c r="G2054" t="s">
        <v>362</v>
      </c>
      <c r="H2054" t="str">
        <f>VLOOKUP(B2054,[2]Kreise!$A$2:$C$53,3,FALSE)</f>
        <v>K03354</v>
      </c>
      <c r="I2054">
        <f>'2020_5-2-2_Download'!AB34</f>
        <v>8.5626911314984699</v>
      </c>
    </row>
    <row r="2055" spans="2:9">
      <c r="B2055">
        <f>'2020_5-2-2_Download'!B35</f>
        <v>355</v>
      </c>
      <c r="C2055">
        <f>'2020_5-2-2_Download'!$Y$5</f>
        <v>2017</v>
      </c>
      <c r="D2055" t="str">
        <f>VLOOKUP(B2055,[1]Tabelle1!$A$1:$B$68,2,FALSE)</f>
        <v>Lüneburg</v>
      </c>
      <c r="F2055" t="str">
        <f>'2020_5-2-2_Download'!$AB$7</f>
        <v>hoch</v>
      </c>
      <c r="G2055" t="s">
        <v>362</v>
      </c>
      <c r="H2055" t="str">
        <f>VLOOKUP(B2055,[2]Kreise!$A$2:$C$53,3,FALSE)</f>
        <v>K03355</v>
      </c>
      <c r="I2055">
        <f>'2020_5-2-2_Download'!AB35</f>
        <v>14.56</v>
      </c>
    </row>
    <row r="2056" spans="2:9">
      <c r="B2056">
        <f>'2020_5-2-2_Download'!B36</f>
        <v>356</v>
      </c>
      <c r="C2056">
        <f>'2020_5-2-2_Download'!$Y$5</f>
        <v>2017</v>
      </c>
      <c r="D2056" t="str">
        <f>VLOOKUP(B2056,[1]Tabelle1!$A$1:$B$68,2,FALSE)</f>
        <v>Osterholz</v>
      </c>
      <c r="F2056" t="str">
        <f>'2020_5-2-2_Download'!$AB$7</f>
        <v>hoch</v>
      </c>
      <c r="G2056" t="s">
        <v>362</v>
      </c>
      <c r="H2056" t="str">
        <f>VLOOKUP(B2056,[2]Kreise!$A$2:$C$53,3,FALSE)</f>
        <v>K03356</v>
      </c>
      <c r="I2056">
        <f>'2020_5-2-2_Download'!AB36</f>
        <v>10.395707578806171</v>
      </c>
    </row>
    <row r="2057" spans="2:9">
      <c r="B2057">
        <f>'2020_5-2-2_Download'!B37</f>
        <v>357</v>
      </c>
      <c r="C2057">
        <f>'2020_5-2-2_Download'!$Y$5</f>
        <v>2017</v>
      </c>
      <c r="D2057" t="str">
        <f>VLOOKUP(B2057,[1]Tabelle1!$A$1:$B$68,2,FALSE)</f>
        <v>Rotenburg (Wümme)</v>
      </c>
      <c r="F2057" t="str">
        <f>'2020_5-2-2_Download'!$AB$7</f>
        <v>hoch</v>
      </c>
      <c r="G2057" t="s">
        <v>362</v>
      </c>
      <c r="H2057" t="str">
        <f>VLOOKUP(B2057,[2]Kreise!$A$2:$C$53,3,FALSE)</f>
        <v>K03357</v>
      </c>
      <c r="I2057">
        <f>'2020_5-2-2_Download'!AB37</f>
        <v>8.9094159713945178</v>
      </c>
    </row>
    <row r="2058" spans="2:9">
      <c r="B2058">
        <f>'2020_5-2-2_Download'!B38</f>
        <v>358</v>
      </c>
      <c r="C2058">
        <f>'2020_5-2-2_Download'!$Y$5</f>
        <v>2017</v>
      </c>
      <c r="D2058" t="str">
        <f>VLOOKUP(B2058,[1]Tabelle1!$A$1:$B$68,2,FALSE)</f>
        <v>Heidekreis</v>
      </c>
      <c r="F2058" t="str">
        <f>'2020_5-2-2_Download'!$AB$7</f>
        <v>hoch</v>
      </c>
      <c r="G2058" t="s">
        <v>362</v>
      </c>
      <c r="H2058" t="str">
        <f>VLOOKUP(B2058,[2]Kreise!$A$2:$C$53,3,FALSE)</f>
        <v>K03358</v>
      </c>
      <c r="I2058">
        <f>'2020_5-2-2_Download'!AB38</f>
        <v>7.5379939209726441</v>
      </c>
    </row>
    <row r="2059" spans="2:9">
      <c r="B2059">
        <f>'2020_5-2-2_Download'!B39</f>
        <v>359</v>
      </c>
      <c r="C2059">
        <f>'2020_5-2-2_Download'!$Y$5</f>
        <v>2017</v>
      </c>
      <c r="D2059" t="str">
        <f>VLOOKUP(B2059,[1]Tabelle1!$A$1:$B$68,2,FALSE)</f>
        <v>Stade</v>
      </c>
      <c r="F2059" t="str">
        <f>'2020_5-2-2_Download'!$AB$7</f>
        <v>hoch</v>
      </c>
      <c r="G2059" t="s">
        <v>362</v>
      </c>
      <c r="H2059" t="str">
        <f>VLOOKUP(B2059,[2]Kreise!$A$2:$C$53,3,FALSE)</f>
        <v>K03359</v>
      </c>
      <c r="I2059">
        <f>'2020_5-2-2_Download'!AB39</f>
        <v>7.9973416038989802</v>
      </c>
    </row>
    <row r="2060" spans="2:9">
      <c r="B2060">
        <f>'2020_5-2-2_Download'!B40</f>
        <v>360</v>
      </c>
      <c r="C2060">
        <f>'2020_5-2-2_Download'!$Y$5</f>
        <v>2017</v>
      </c>
      <c r="D2060" t="str">
        <f>VLOOKUP(B2060,[1]Tabelle1!$A$1:$B$68,2,FALSE)</f>
        <v>Uelzen</v>
      </c>
      <c r="F2060" t="str">
        <f>'2020_5-2-2_Download'!$AB$7</f>
        <v>hoch</v>
      </c>
      <c r="G2060" t="s">
        <v>362</v>
      </c>
      <c r="H2060" t="str">
        <f>VLOOKUP(B2060,[2]Kreise!$A$2:$C$53,3,FALSE)</f>
        <v>K03360</v>
      </c>
      <c r="I2060">
        <f>'2020_5-2-2_Download'!AB40</f>
        <v>16.626506024096386</v>
      </c>
    </row>
    <row r="2061" spans="2:9">
      <c r="B2061">
        <f>'2020_5-2-2_Download'!B41</f>
        <v>361</v>
      </c>
      <c r="C2061">
        <f>'2020_5-2-2_Download'!$Y$5</f>
        <v>2017</v>
      </c>
      <c r="D2061" t="str">
        <f>VLOOKUP(B2061,[1]Tabelle1!$A$1:$B$68,2,FALSE)</f>
        <v>Verden</v>
      </c>
      <c r="F2061" t="str">
        <f>'2020_5-2-2_Download'!$AB$7</f>
        <v>hoch</v>
      </c>
      <c r="G2061" t="s">
        <v>362</v>
      </c>
      <c r="H2061" t="str">
        <f>VLOOKUP(B2061,[2]Kreise!$A$2:$C$53,3,FALSE)</f>
        <v>K03361</v>
      </c>
      <c r="I2061">
        <f>'2020_5-2-2_Download'!AB41</f>
        <v>9.2415221330572095</v>
      </c>
    </row>
    <row r="2062" spans="2:9">
      <c r="B2062">
        <f>'2020_5-2-2_Download'!B42</f>
        <v>3</v>
      </c>
      <c r="C2062">
        <f>'2020_5-2-2_Download'!$Y$5</f>
        <v>2017</v>
      </c>
      <c r="D2062" t="str">
        <f>VLOOKUP(B2062,[1]Tabelle1!$A$1:$B$68,2,FALSE)</f>
        <v>Stat. Region Lüneburg</v>
      </c>
      <c r="F2062" t="str">
        <f>'2020_5-2-2_Download'!$AB$7</f>
        <v>hoch</v>
      </c>
      <c r="G2062" t="s">
        <v>362</v>
      </c>
      <c r="H2062" t="str">
        <f>VLOOKUP(B2062,[2]Kreise!$A$2:$C$53,3,FALSE)</f>
        <v>K033</v>
      </c>
      <c r="I2062">
        <f>'2020_5-2-2_Download'!AB42</f>
        <v>9.2622571692876967</v>
      </c>
    </row>
    <row r="2063" spans="2:9">
      <c r="B2063">
        <f>'2020_5-2-2_Download'!B43</f>
        <v>401</v>
      </c>
      <c r="C2063">
        <f>'2020_5-2-2_Download'!$Y$5</f>
        <v>2017</v>
      </c>
      <c r="D2063" t="str">
        <f>VLOOKUP(B2063,[1]Tabelle1!$A$1:$B$68,2,FALSE)</f>
        <v>Delmenhorst  Stadt</v>
      </c>
      <c r="F2063" t="str">
        <f>'2020_5-2-2_Download'!$AB$7</f>
        <v>hoch</v>
      </c>
      <c r="G2063" t="s">
        <v>362</v>
      </c>
      <c r="H2063" t="str">
        <f>VLOOKUP(B2063,[2]Kreise!$A$2:$C$53,3,FALSE)</f>
        <v>K03401</v>
      </c>
      <c r="I2063">
        <f>'2020_5-2-2_Download'!AB43</f>
        <v>8.984375</v>
      </c>
    </row>
    <row r="2064" spans="2:9">
      <c r="B2064">
        <f>'2020_5-2-2_Download'!B44</f>
        <v>402</v>
      </c>
      <c r="C2064">
        <f>'2020_5-2-2_Download'!$Y$5</f>
        <v>2017</v>
      </c>
      <c r="D2064" t="str">
        <f>VLOOKUP(B2064,[1]Tabelle1!$A$1:$B$68,2,FALSE)</f>
        <v>Emden  Stadt</v>
      </c>
      <c r="F2064" t="str">
        <f>'2020_5-2-2_Download'!$AB$7</f>
        <v>hoch</v>
      </c>
      <c r="G2064" t="s">
        <v>362</v>
      </c>
      <c r="H2064" t="str">
        <f>VLOOKUP(B2064,[2]Kreise!$A$2:$C$53,3,FALSE)</f>
        <v>K03402</v>
      </c>
      <c r="I2064">
        <f>'2020_5-2-2_Download'!AB44</f>
        <v>9.8704503392967311</v>
      </c>
    </row>
    <row r="2065" spans="2:9">
      <c r="B2065">
        <f>'2020_5-2-2_Download'!B45</f>
        <v>403</v>
      </c>
      <c r="C2065">
        <f>'2020_5-2-2_Download'!$Y$5</f>
        <v>2017</v>
      </c>
      <c r="D2065" t="str">
        <f>VLOOKUP(B2065,[1]Tabelle1!$A$1:$B$68,2,FALSE)</f>
        <v>Oldenburg(Oldb)  Stadt</v>
      </c>
      <c r="F2065" t="str">
        <f>'2020_5-2-2_Download'!$AB$7</f>
        <v>hoch</v>
      </c>
      <c r="G2065" t="s">
        <v>362</v>
      </c>
      <c r="H2065" t="str">
        <f>VLOOKUP(B2065,[2]Kreise!$A$2:$C$53,3,FALSE)</f>
        <v>K03403</v>
      </c>
      <c r="I2065">
        <f>'2020_5-2-2_Download'!AB45</f>
        <v>18.253599628425452</v>
      </c>
    </row>
    <row r="2066" spans="2:9">
      <c r="B2066">
        <f>'2020_5-2-2_Download'!B46</f>
        <v>404</v>
      </c>
      <c r="C2066">
        <f>'2020_5-2-2_Download'!$Y$5</f>
        <v>2017</v>
      </c>
      <c r="D2066" t="str">
        <f>VLOOKUP(B2066,[1]Tabelle1!$A$1:$B$68,2,FALSE)</f>
        <v>Osnabrück  Stadt</v>
      </c>
      <c r="F2066" t="str">
        <f>'2020_5-2-2_Download'!$AB$7</f>
        <v>hoch</v>
      </c>
      <c r="G2066" t="s">
        <v>362</v>
      </c>
      <c r="H2066" t="str">
        <f>VLOOKUP(B2066,[2]Kreise!$A$2:$C$53,3,FALSE)</f>
        <v>K03404</v>
      </c>
      <c r="I2066">
        <f>'2020_5-2-2_Download'!AB46</f>
        <v>10.265232974910395</v>
      </c>
    </row>
    <row r="2067" spans="2:9">
      <c r="B2067">
        <f>'2020_5-2-2_Download'!B47</f>
        <v>405</v>
      </c>
      <c r="C2067">
        <f>'2020_5-2-2_Download'!$Y$5</f>
        <v>2017</v>
      </c>
      <c r="D2067" t="str">
        <f>VLOOKUP(B2067,[1]Tabelle1!$A$1:$B$68,2,FALSE)</f>
        <v>Wilhelmshaven  Stadt</v>
      </c>
      <c r="F2067" t="str">
        <f>'2020_5-2-2_Download'!$AB$7</f>
        <v>hoch</v>
      </c>
      <c r="G2067" t="s">
        <v>362</v>
      </c>
      <c r="H2067" t="str">
        <f>VLOOKUP(B2067,[2]Kreise!$A$2:$C$53,3,FALSE)</f>
        <v>K03405</v>
      </c>
      <c r="I2067">
        <f>'2020_5-2-2_Download'!AB47</f>
        <v>14.98344370860927</v>
      </c>
    </row>
    <row r="2068" spans="2:9">
      <c r="B2068">
        <f>'2020_5-2-2_Download'!B48</f>
        <v>451</v>
      </c>
      <c r="C2068">
        <f>'2020_5-2-2_Download'!$Y$5</f>
        <v>2017</v>
      </c>
      <c r="D2068" t="str">
        <f>VLOOKUP(B2068,[1]Tabelle1!$A$1:$B$68,2,FALSE)</f>
        <v>Ammerland</v>
      </c>
      <c r="F2068" t="str">
        <f>'2020_5-2-2_Download'!$AB$7</f>
        <v>hoch</v>
      </c>
      <c r="G2068" t="s">
        <v>362</v>
      </c>
      <c r="H2068" t="str">
        <f>VLOOKUP(B2068,[2]Kreise!$A$2:$C$53,3,FALSE)</f>
        <v>K03451</v>
      </c>
      <c r="I2068">
        <f>'2020_5-2-2_Download'!AB48</f>
        <v>5.5896387184730747</v>
      </c>
    </row>
    <row r="2069" spans="2:9">
      <c r="B2069">
        <f>'2020_5-2-2_Download'!B49</f>
        <v>452</v>
      </c>
      <c r="C2069">
        <f>'2020_5-2-2_Download'!$Y$5</f>
        <v>2017</v>
      </c>
      <c r="D2069" t="str">
        <f>VLOOKUP(B2069,[1]Tabelle1!$A$1:$B$68,2,FALSE)</f>
        <v>Aurich</v>
      </c>
      <c r="F2069" t="str">
        <f>'2020_5-2-2_Download'!$AB$7</f>
        <v>hoch</v>
      </c>
      <c r="G2069" t="s">
        <v>362</v>
      </c>
      <c r="H2069" t="str">
        <f>VLOOKUP(B2069,[2]Kreise!$A$2:$C$53,3,FALSE)</f>
        <v>K03452</v>
      </c>
      <c r="I2069">
        <f>'2020_5-2-2_Download'!AB49</f>
        <v>8.4646670055922719</v>
      </c>
    </row>
    <row r="2070" spans="2:9">
      <c r="B2070">
        <f>'2020_5-2-2_Download'!B50</f>
        <v>453</v>
      </c>
      <c r="C2070">
        <f>'2020_5-2-2_Download'!$Y$5</f>
        <v>2017</v>
      </c>
      <c r="D2070" t="str">
        <f>VLOOKUP(B2070,[1]Tabelle1!$A$1:$B$68,2,FALSE)</f>
        <v>Cloppenburg</v>
      </c>
      <c r="F2070" t="str">
        <f>'2020_5-2-2_Download'!$AB$7</f>
        <v>hoch</v>
      </c>
      <c r="G2070" t="s">
        <v>362</v>
      </c>
      <c r="H2070" t="str">
        <f>VLOOKUP(B2070,[2]Kreise!$A$2:$C$53,3,FALSE)</f>
        <v>K03453</v>
      </c>
      <c r="I2070">
        <f>'2020_5-2-2_Download'!AB50</f>
        <v>2.9011099899091826</v>
      </c>
    </row>
    <row r="2071" spans="2:9">
      <c r="B2071">
        <f>'2020_5-2-2_Download'!B51</f>
        <v>454</v>
      </c>
      <c r="C2071">
        <f>'2020_5-2-2_Download'!$Y$5</f>
        <v>2017</v>
      </c>
      <c r="D2071" t="str">
        <f>VLOOKUP(B2071,[1]Tabelle1!$A$1:$B$68,2,FALSE)</f>
        <v>Emsland</v>
      </c>
      <c r="F2071" t="str">
        <f>'2020_5-2-2_Download'!$AB$7</f>
        <v>hoch</v>
      </c>
      <c r="G2071" t="s">
        <v>362</v>
      </c>
      <c r="H2071" t="str">
        <f>VLOOKUP(B2071,[2]Kreise!$A$2:$C$53,3,FALSE)</f>
        <v>K03454</v>
      </c>
      <c r="I2071">
        <f>'2020_5-2-2_Download'!AB51</f>
        <v>6.7183462532299743</v>
      </c>
    </row>
    <row r="2072" spans="2:9">
      <c r="B2072">
        <f>'2020_5-2-2_Download'!B52</f>
        <v>455</v>
      </c>
      <c r="C2072">
        <f>'2020_5-2-2_Download'!$Y$5</f>
        <v>2017</v>
      </c>
      <c r="D2072" t="str">
        <f>VLOOKUP(B2072,[1]Tabelle1!$A$1:$B$68,2,FALSE)</f>
        <v>Friesland</v>
      </c>
      <c r="F2072" t="str">
        <f>'2020_5-2-2_Download'!$AB$7</f>
        <v>hoch</v>
      </c>
      <c r="G2072" t="s">
        <v>362</v>
      </c>
      <c r="H2072" t="str">
        <f>VLOOKUP(B2072,[2]Kreise!$A$2:$C$53,3,FALSE)</f>
        <v>K03455</v>
      </c>
      <c r="I2072">
        <f>'2020_5-2-2_Download'!AB52</f>
        <v>11.831726555652935</v>
      </c>
    </row>
    <row r="2073" spans="2:9">
      <c r="B2073">
        <f>'2020_5-2-2_Download'!B53</f>
        <v>456</v>
      </c>
      <c r="C2073">
        <f>'2020_5-2-2_Download'!$Y$5</f>
        <v>2017</v>
      </c>
      <c r="D2073" t="str">
        <f>VLOOKUP(B2073,[1]Tabelle1!$A$1:$B$68,2,FALSE)</f>
        <v>Grafschaft Bentheim</v>
      </c>
      <c r="F2073" t="str">
        <f>'2020_5-2-2_Download'!$AB$7</f>
        <v>hoch</v>
      </c>
      <c r="G2073" t="s">
        <v>362</v>
      </c>
      <c r="H2073" t="str">
        <f>VLOOKUP(B2073,[2]Kreise!$A$2:$C$53,3,FALSE)</f>
        <v>K03456</v>
      </c>
      <c r="I2073">
        <f>'2020_5-2-2_Download'!AB53</f>
        <v>6.3066863530900656</v>
      </c>
    </row>
    <row r="2074" spans="2:9">
      <c r="B2074">
        <f>'2020_5-2-2_Download'!B54</f>
        <v>457</v>
      </c>
      <c r="C2074">
        <f>'2020_5-2-2_Download'!$Y$5</f>
        <v>2017</v>
      </c>
      <c r="D2074" t="str">
        <f>VLOOKUP(B2074,[1]Tabelle1!$A$1:$B$68,2,FALSE)</f>
        <v>Leer</v>
      </c>
      <c r="F2074" t="str">
        <f>'2020_5-2-2_Download'!$AB$7</f>
        <v>hoch</v>
      </c>
      <c r="G2074" t="s">
        <v>362</v>
      </c>
      <c r="H2074" t="str">
        <f>VLOOKUP(B2074,[2]Kreise!$A$2:$C$53,3,FALSE)</f>
        <v>K03457</v>
      </c>
      <c r="I2074">
        <f>'2020_5-2-2_Download'!AB54</f>
        <v>9.3520140105078813</v>
      </c>
    </row>
    <row r="2075" spans="2:9">
      <c r="B2075">
        <f>'2020_5-2-2_Download'!B55</f>
        <v>458</v>
      </c>
      <c r="C2075">
        <f>'2020_5-2-2_Download'!$Y$5</f>
        <v>2017</v>
      </c>
      <c r="D2075" t="str">
        <f>VLOOKUP(B2075,[1]Tabelle1!$A$1:$B$68,2,FALSE)</f>
        <v>Oldenburg</v>
      </c>
      <c r="F2075" t="str">
        <f>'2020_5-2-2_Download'!$AB$7</f>
        <v>hoch</v>
      </c>
      <c r="G2075" t="s">
        <v>362</v>
      </c>
      <c r="H2075" t="str">
        <f>VLOOKUP(B2075,[2]Kreise!$A$2:$C$53,3,FALSE)</f>
        <v>K03458</v>
      </c>
      <c r="I2075">
        <f>'2020_5-2-2_Download'!AB55</f>
        <v>4.5077533357374682</v>
      </c>
    </row>
    <row r="2076" spans="2:9">
      <c r="B2076">
        <f>'2020_5-2-2_Download'!B56</f>
        <v>459</v>
      </c>
      <c r="C2076">
        <f>'2020_5-2-2_Download'!$Y$5</f>
        <v>2017</v>
      </c>
      <c r="D2076" t="str">
        <f>VLOOKUP(B2076,[1]Tabelle1!$A$1:$B$68,2,FALSE)</f>
        <v>Osnabrück</v>
      </c>
      <c r="F2076" t="str">
        <f>'2020_5-2-2_Download'!$AB$7</f>
        <v>hoch</v>
      </c>
      <c r="G2076" t="s">
        <v>362</v>
      </c>
      <c r="H2076" t="str">
        <f>VLOOKUP(B2076,[2]Kreise!$A$2:$C$53,3,FALSE)</f>
        <v>K03459</v>
      </c>
      <c r="I2076">
        <f>'2020_5-2-2_Download'!AB56</f>
        <v>4.3156685336780125</v>
      </c>
    </row>
    <row r="2077" spans="2:9">
      <c r="B2077">
        <f>'2020_5-2-2_Download'!B57</f>
        <v>460</v>
      </c>
      <c r="C2077">
        <f>'2020_5-2-2_Download'!$Y$5</f>
        <v>2017</v>
      </c>
      <c r="D2077" t="str">
        <f>VLOOKUP(B2077,[1]Tabelle1!$A$1:$B$68,2,FALSE)</f>
        <v>Vechta</v>
      </c>
      <c r="F2077" t="str">
        <f>'2020_5-2-2_Download'!$AB$7</f>
        <v>hoch</v>
      </c>
      <c r="G2077" t="s">
        <v>362</v>
      </c>
      <c r="H2077" t="str">
        <f>VLOOKUP(B2077,[2]Kreise!$A$2:$C$53,3,FALSE)</f>
        <v>K03460</v>
      </c>
      <c r="I2077">
        <f>'2020_5-2-2_Download'!AB57</f>
        <v>3.9644641865630206</v>
      </c>
    </row>
    <row r="2078" spans="2:9">
      <c r="B2078">
        <f>'2020_5-2-2_Download'!B58</f>
        <v>461</v>
      </c>
      <c r="C2078">
        <f>'2020_5-2-2_Download'!$Y$5</f>
        <v>2017</v>
      </c>
      <c r="D2078" t="str">
        <f>VLOOKUP(B2078,[1]Tabelle1!$A$1:$B$68,2,FALSE)</f>
        <v>Wesermarsch</v>
      </c>
      <c r="F2078" t="str">
        <f>'2020_5-2-2_Download'!$AB$7</f>
        <v>hoch</v>
      </c>
      <c r="G2078" t="s">
        <v>362</v>
      </c>
      <c r="H2078" t="str">
        <f>VLOOKUP(B2078,[2]Kreise!$A$2:$C$53,3,FALSE)</f>
        <v>K03461</v>
      </c>
      <c r="I2078">
        <f>'2020_5-2-2_Download'!AB58</f>
        <v>6.0923369823893383</v>
      </c>
    </row>
    <row r="2079" spans="2:9">
      <c r="B2079">
        <f>'2020_5-2-2_Download'!B59</f>
        <v>462</v>
      </c>
      <c r="C2079">
        <f>'2020_5-2-2_Download'!$Y$5</f>
        <v>2017</v>
      </c>
      <c r="D2079" t="str">
        <f>VLOOKUP(B2079,[1]Tabelle1!$A$1:$B$68,2,FALSE)</f>
        <v>Wittmund</v>
      </c>
      <c r="F2079" t="str">
        <f>'2020_5-2-2_Download'!$AB$7</f>
        <v>hoch</v>
      </c>
      <c r="G2079" t="s">
        <v>362</v>
      </c>
      <c r="H2079" t="str">
        <f>VLOOKUP(B2079,[2]Kreise!$A$2:$C$53,3,FALSE)</f>
        <v>K03462</v>
      </c>
      <c r="I2079">
        <f>'2020_5-2-2_Download'!AB59</f>
        <v>6.1173533083645442</v>
      </c>
    </row>
    <row r="2080" spans="2:9">
      <c r="B2080">
        <f>'2020_5-2-2_Download'!B60</f>
        <v>4</v>
      </c>
      <c r="C2080">
        <f>'2020_5-2-2_Download'!$Y$5</f>
        <v>2017</v>
      </c>
      <c r="D2080" t="str">
        <f>VLOOKUP(B2080,[1]Tabelle1!$A$1:$B$68,2,FALSE)</f>
        <v>Stat. Region Weser-Ems</v>
      </c>
      <c r="F2080" t="str">
        <f>'2020_5-2-2_Download'!$AB$7</f>
        <v>hoch</v>
      </c>
      <c r="G2080" t="s">
        <v>362</v>
      </c>
      <c r="H2080" t="str">
        <f>VLOOKUP(B2080,[2]Kreise!$A$2:$C$53,3,FALSE)</f>
        <v>K034</v>
      </c>
      <c r="I2080">
        <f>'2020_5-2-2_Download'!AB60</f>
        <v>6.8645781661388181</v>
      </c>
    </row>
    <row r="2081" spans="2:9">
      <c r="B2081">
        <f>'2020_5-2-2_Download'!B61</f>
        <v>0</v>
      </c>
      <c r="C2081">
        <f>'2020_5-2-2_Download'!$Y$5</f>
        <v>2017</v>
      </c>
      <c r="D2081" t="str">
        <f>VLOOKUP(B2081,[1]Tabelle1!$A$1:$B$68,2,FALSE)</f>
        <v>Niedersachsen</v>
      </c>
      <c r="F2081" t="str">
        <f>'2020_5-2-2_Download'!$AB$7</f>
        <v>hoch</v>
      </c>
      <c r="G2081" t="s">
        <v>362</v>
      </c>
      <c r="H2081" t="str">
        <f>VLOOKUP(B2081,[2]Kreise!$A$2:$C$53,3,FALSE)</f>
        <v>K030</v>
      </c>
      <c r="I2081">
        <f>'2020_5-2-2_Download'!AB61</f>
        <v>11.066448161776075</v>
      </c>
    </row>
    <row r="2082" spans="2:9">
      <c r="B2082">
        <f>'2020_5-2-2_Download'!B10</f>
        <v>101</v>
      </c>
      <c r="C2082">
        <f>'2020_5-2-2_Download'!$Y$5</f>
        <v>2017</v>
      </c>
      <c r="D2082" t="str">
        <f>VLOOKUP(B2082,[1]Tabelle1!$A$1:$B$68,2,FALSE)</f>
        <v>Braunschweig  Stadt</v>
      </c>
      <c r="F2082" t="str">
        <f>'2020_5-2-2_Download'!$AC$7</f>
        <v>mittel</v>
      </c>
      <c r="G2082" t="s">
        <v>362</v>
      </c>
      <c r="H2082" t="str">
        <f>VLOOKUP(B2082,[2]Kreise!$A$2:$C$53,3,FALSE)</f>
        <v>K03101</v>
      </c>
      <c r="I2082">
        <f>'2020_5-2-2_Download'!AC10</f>
        <v>29.463890119627823</v>
      </c>
    </row>
    <row r="2083" spans="2:9">
      <c r="B2083">
        <f>'2020_5-2-2_Download'!B11</f>
        <v>102</v>
      </c>
      <c r="C2083">
        <f>'2020_5-2-2_Download'!$Y$5</f>
        <v>2017</v>
      </c>
      <c r="D2083" t="str">
        <f>VLOOKUP(B2083,[1]Tabelle1!$A$1:$B$68,2,FALSE)</f>
        <v>Salzgitter  Stadt</v>
      </c>
      <c r="F2083" t="str">
        <f>'2020_5-2-2_Download'!$AC$7</f>
        <v>mittel</v>
      </c>
      <c r="G2083" t="s">
        <v>362</v>
      </c>
      <c r="H2083" t="str">
        <f>VLOOKUP(B2083,[2]Kreise!$A$2:$C$53,3,FALSE)</f>
        <v>K03102</v>
      </c>
      <c r="I2083">
        <f>'2020_5-2-2_Download'!AC11</f>
        <v>42.167462911742518</v>
      </c>
    </row>
    <row r="2084" spans="2:9">
      <c r="B2084">
        <f>'2020_5-2-2_Download'!B12</f>
        <v>103</v>
      </c>
      <c r="C2084">
        <f>'2020_5-2-2_Download'!$Y$5</f>
        <v>2017</v>
      </c>
      <c r="D2084" t="str">
        <f>VLOOKUP(B2084,[1]Tabelle1!$A$1:$B$68,2,FALSE)</f>
        <v>Wolfsburg  Stadt</v>
      </c>
      <c r="F2084" t="str">
        <f>'2020_5-2-2_Download'!$AC$7</f>
        <v>mittel</v>
      </c>
      <c r="G2084" t="s">
        <v>362</v>
      </c>
      <c r="H2084" t="str">
        <f>VLOOKUP(B2084,[2]Kreise!$A$2:$C$53,3,FALSE)</f>
        <v>K03103</v>
      </c>
      <c r="I2084">
        <f>'2020_5-2-2_Download'!AC12</f>
        <v>34.250867181380777</v>
      </c>
    </row>
    <row r="2085" spans="2:9">
      <c r="B2085">
        <f>'2020_5-2-2_Download'!B13</f>
        <v>151</v>
      </c>
      <c r="C2085">
        <f>'2020_5-2-2_Download'!$Y$5</f>
        <v>2017</v>
      </c>
      <c r="D2085" t="str">
        <f>VLOOKUP(B2085,[1]Tabelle1!$A$1:$B$68,2,FALSE)</f>
        <v>Gifhorn</v>
      </c>
      <c r="F2085" t="str">
        <f>'2020_5-2-2_Download'!$AC$7</f>
        <v>mittel</v>
      </c>
      <c r="G2085" t="s">
        <v>362</v>
      </c>
      <c r="H2085" t="str">
        <f>VLOOKUP(B2085,[2]Kreise!$A$2:$C$53,3,FALSE)</f>
        <v>K03151</v>
      </c>
      <c r="I2085">
        <f>'2020_5-2-2_Download'!AC13</f>
        <v>28.630193336075688</v>
      </c>
    </row>
    <row r="2086" spans="2:9">
      <c r="B2086">
        <f>'2020_5-2-2_Download'!B14</f>
        <v>153</v>
      </c>
      <c r="C2086">
        <f>'2020_5-2-2_Download'!$Y$5</f>
        <v>2017</v>
      </c>
      <c r="D2086" t="str">
        <f>VLOOKUP(B2086,[1]Tabelle1!$A$1:$B$68,2,FALSE)</f>
        <v>Goslar</v>
      </c>
      <c r="F2086" t="str">
        <f>'2020_5-2-2_Download'!$AC$7</f>
        <v>mittel</v>
      </c>
      <c r="G2086" t="s">
        <v>362</v>
      </c>
      <c r="H2086" t="str">
        <f>VLOOKUP(B2086,[2]Kreise!$A$2:$C$53,3,FALSE)</f>
        <v>K03153</v>
      </c>
      <c r="I2086">
        <f>'2020_5-2-2_Download'!AC14</f>
        <v>30.72765072765073</v>
      </c>
    </row>
    <row r="2087" spans="2:9">
      <c r="B2087">
        <f>'2020_5-2-2_Download'!B15</f>
        <v>154</v>
      </c>
      <c r="C2087">
        <f>'2020_5-2-2_Download'!$Y$5</f>
        <v>2017</v>
      </c>
      <c r="D2087" t="str">
        <f>VLOOKUP(B2087,[1]Tabelle1!$A$1:$B$68,2,FALSE)</f>
        <v>Helmstedt</v>
      </c>
      <c r="F2087" t="str">
        <f>'2020_5-2-2_Download'!$AC$7</f>
        <v>mittel</v>
      </c>
      <c r="G2087" t="s">
        <v>362</v>
      </c>
      <c r="H2087" t="str">
        <f>VLOOKUP(B2087,[2]Kreise!$A$2:$C$53,3,FALSE)</f>
        <v>K03154</v>
      </c>
      <c r="I2087">
        <f>'2020_5-2-2_Download'!AC15</f>
        <v>41.853281853281857</v>
      </c>
    </row>
    <row r="2088" spans="2:9">
      <c r="B2088">
        <f>'2020_5-2-2_Download'!B16</f>
        <v>155</v>
      </c>
      <c r="C2088">
        <f>'2020_5-2-2_Download'!$Y$5</f>
        <v>2017</v>
      </c>
      <c r="D2088" t="str">
        <f>VLOOKUP(B2088,[1]Tabelle1!$A$1:$B$68,2,FALSE)</f>
        <v>Northeim</v>
      </c>
      <c r="F2088" t="str">
        <f>'2020_5-2-2_Download'!$AC$7</f>
        <v>mittel</v>
      </c>
      <c r="G2088" t="s">
        <v>362</v>
      </c>
      <c r="H2088" t="str">
        <f>VLOOKUP(B2088,[2]Kreise!$A$2:$C$53,3,FALSE)</f>
        <v>K03155</v>
      </c>
      <c r="I2088">
        <f>'2020_5-2-2_Download'!AC16</f>
        <v>47.273411056788269</v>
      </c>
    </row>
    <row r="2089" spans="2:9">
      <c r="B2089">
        <f>'2020_5-2-2_Download'!B17</f>
        <v>157</v>
      </c>
      <c r="C2089">
        <f>'2020_5-2-2_Download'!$Y$5</f>
        <v>2017</v>
      </c>
      <c r="D2089" t="str">
        <f>VLOOKUP(B2089,[1]Tabelle1!$A$1:$B$68,2,FALSE)</f>
        <v>Peine</v>
      </c>
      <c r="F2089" t="str">
        <f>'2020_5-2-2_Download'!$AC$7</f>
        <v>mittel</v>
      </c>
      <c r="G2089" t="s">
        <v>362</v>
      </c>
      <c r="H2089" t="str">
        <f>VLOOKUP(B2089,[2]Kreise!$A$2:$C$53,3,FALSE)</f>
        <v>K03157</v>
      </c>
      <c r="I2089">
        <f>'2020_5-2-2_Download'!AC17</f>
        <v>34.831970935513169</v>
      </c>
    </row>
    <row r="2090" spans="2:9">
      <c r="B2090">
        <f>'2020_5-2-2_Download'!B18</f>
        <v>158</v>
      </c>
      <c r="C2090">
        <f>'2020_5-2-2_Download'!$Y$5</f>
        <v>2017</v>
      </c>
      <c r="D2090" t="str">
        <f>VLOOKUP(B2090,[1]Tabelle1!$A$1:$B$68,2,FALSE)</f>
        <v>Wolfenbüttel</v>
      </c>
      <c r="F2090" t="str">
        <f>'2020_5-2-2_Download'!$AC$7</f>
        <v>mittel</v>
      </c>
      <c r="G2090" t="s">
        <v>362</v>
      </c>
      <c r="H2090" t="str">
        <f>VLOOKUP(B2090,[2]Kreise!$A$2:$C$53,3,FALSE)</f>
        <v>K03158</v>
      </c>
      <c r="I2090">
        <f>'2020_5-2-2_Download'!AC18</f>
        <v>40.759075907590756</v>
      </c>
    </row>
    <row r="2091" spans="2:9">
      <c r="B2091">
        <f>'2020_5-2-2_Download'!B19</f>
        <v>159</v>
      </c>
      <c r="C2091">
        <f>'2020_5-2-2_Download'!$Y$5</f>
        <v>2017</v>
      </c>
      <c r="D2091" t="str">
        <f>VLOOKUP(B2091,[1]Tabelle1!$A$1:$B$68,2,FALSE)</f>
        <v>Göttingen</v>
      </c>
      <c r="F2091" t="str">
        <f>'2020_5-2-2_Download'!$AC$7</f>
        <v>mittel</v>
      </c>
      <c r="G2091" t="s">
        <v>362</v>
      </c>
      <c r="H2091" t="str">
        <f>VLOOKUP(B2091,[2]Kreise!$A$2:$C$53,3,FALSE)</f>
        <v>K03159</v>
      </c>
      <c r="I2091">
        <f>'2020_5-2-2_Download'!AC19</f>
        <v>29.622010799691438</v>
      </c>
    </row>
    <row r="2092" spans="2:9">
      <c r="B2092">
        <f>'2020_5-2-2_Download'!B20</f>
        <v>1</v>
      </c>
      <c r="C2092">
        <f>'2020_5-2-2_Download'!$Y$5</f>
        <v>2017</v>
      </c>
      <c r="D2092" t="str">
        <f>VLOOKUP(B2092,[1]Tabelle1!$A$1:$B$68,2,FALSE)</f>
        <v>Stat. Region Braunschweig</v>
      </c>
      <c r="F2092" t="str">
        <f>'2020_5-2-2_Download'!$AC$7</f>
        <v>mittel</v>
      </c>
      <c r="G2092" t="s">
        <v>362</v>
      </c>
      <c r="H2092" t="str">
        <f>VLOOKUP(B2092,[2]Kreise!$A$2:$C$53,3,FALSE)</f>
        <v>K031</v>
      </c>
      <c r="I2092">
        <f>'2020_5-2-2_Download'!AC20</f>
        <v>33.863658047896195</v>
      </c>
    </row>
    <row r="2093" spans="2:9">
      <c r="B2093">
        <f>'2020_5-2-2_Download'!B21</f>
        <v>241</v>
      </c>
      <c r="C2093">
        <f>'2020_5-2-2_Download'!$Y$5</f>
        <v>2017</v>
      </c>
      <c r="D2093" t="str">
        <f>VLOOKUP(B2093,[1]Tabelle1!$A$1:$B$68,2,FALSE)</f>
        <v>Hannover  Region</v>
      </c>
      <c r="F2093" t="str">
        <f>'2020_5-2-2_Download'!$AC$7</f>
        <v>mittel</v>
      </c>
      <c r="G2093" t="s">
        <v>362</v>
      </c>
      <c r="H2093" t="str">
        <f>VLOOKUP(B2093,[2]Kreise!$A$2:$C$53,3,FALSE)</f>
        <v>K03241</v>
      </c>
      <c r="I2093">
        <f>'2020_5-2-2_Download'!AC21</f>
        <v>33.013637336342242</v>
      </c>
    </row>
    <row r="2094" spans="2:9">
      <c r="B2094">
        <f>'2020_5-2-2_Download'!B22</f>
        <v>241001</v>
      </c>
      <c r="C2094">
        <f>'2020_5-2-2_Download'!$Y$5</f>
        <v>2017</v>
      </c>
      <c r="D2094" t="str">
        <f>VLOOKUP(B2094,[1]Tabelle1!$A$1:$B$68,2,FALSE)</f>
        <v>dav. Hannover  Lhst.</v>
      </c>
      <c r="F2094" t="str">
        <f>'2020_5-2-2_Download'!$AC$7</f>
        <v>mittel</v>
      </c>
      <c r="G2094" t="s">
        <v>362</v>
      </c>
      <c r="H2094" t="str">
        <f>VLOOKUP(B2094,[2]Kreise!$A$2:$C$53,3,FALSE)</f>
        <v>K03241001</v>
      </c>
      <c r="I2094">
        <f>'2020_5-2-2_Download'!AC22</f>
        <v>32.046665277819116</v>
      </c>
    </row>
    <row r="2095" spans="2:9">
      <c r="B2095">
        <f>'2020_5-2-2_Download'!B23</f>
        <v>241999</v>
      </c>
      <c r="C2095">
        <f>'2020_5-2-2_Download'!$Y$5</f>
        <v>2017</v>
      </c>
      <c r="D2095" t="str">
        <f>VLOOKUP(B2095,[1]Tabelle1!$A$1:$B$68,2,FALSE)</f>
        <v>dav. Hannover  Umland</v>
      </c>
      <c r="F2095" t="str">
        <f>'2020_5-2-2_Download'!$AC$7</f>
        <v>mittel</v>
      </c>
      <c r="G2095" t="s">
        <v>362</v>
      </c>
      <c r="H2095" t="str">
        <f>VLOOKUP(B2095,[2]Kreise!$A$2:$C$53,3,FALSE)</f>
        <v>K03241999</v>
      </c>
      <c r="I2095">
        <f>'2020_5-2-2_Download'!AC23</f>
        <v>34.838782159307939</v>
      </c>
    </row>
    <row r="2096" spans="2:9">
      <c r="B2096">
        <f>'2020_5-2-2_Download'!B24</f>
        <v>251</v>
      </c>
      <c r="C2096">
        <f>'2020_5-2-2_Download'!$Y$5</f>
        <v>2017</v>
      </c>
      <c r="D2096" t="str">
        <f>VLOOKUP(B2096,[1]Tabelle1!$A$1:$B$68,2,FALSE)</f>
        <v>Diepholz</v>
      </c>
      <c r="F2096" t="str">
        <f>'2020_5-2-2_Download'!$AC$7</f>
        <v>mittel</v>
      </c>
      <c r="G2096" t="s">
        <v>362</v>
      </c>
      <c r="H2096" t="str">
        <f>VLOOKUP(B2096,[2]Kreise!$A$2:$C$53,3,FALSE)</f>
        <v>K03251</v>
      </c>
      <c r="I2096">
        <f>'2020_5-2-2_Download'!AC24</f>
        <v>33.257119102057786</v>
      </c>
    </row>
    <row r="2097" spans="2:9">
      <c r="B2097">
        <f>'2020_5-2-2_Download'!B25</f>
        <v>252</v>
      </c>
      <c r="C2097">
        <f>'2020_5-2-2_Download'!$Y$5</f>
        <v>2017</v>
      </c>
      <c r="D2097" t="str">
        <f>VLOOKUP(B2097,[1]Tabelle1!$A$1:$B$68,2,FALSE)</f>
        <v>Hameln-Pyrmont</v>
      </c>
      <c r="F2097" t="str">
        <f>'2020_5-2-2_Download'!$AC$7</f>
        <v>mittel</v>
      </c>
      <c r="G2097" t="s">
        <v>362</v>
      </c>
      <c r="H2097" t="str">
        <f>VLOOKUP(B2097,[2]Kreise!$A$2:$C$53,3,FALSE)</f>
        <v>K03252</v>
      </c>
      <c r="I2097">
        <f>'2020_5-2-2_Download'!AC25</f>
        <v>37.767584097859327</v>
      </c>
    </row>
    <row r="2098" spans="2:9">
      <c r="B2098">
        <f>'2020_5-2-2_Download'!B26</f>
        <v>254</v>
      </c>
      <c r="C2098">
        <f>'2020_5-2-2_Download'!$Y$5</f>
        <v>2017</v>
      </c>
      <c r="D2098" t="str">
        <f>VLOOKUP(B2098,[1]Tabelle1!$A$1:$B$68,2,FALSE)</f>
        <v>Hildesheim</v>
      </c>
      <c r="F2098" t="str">
        <f>'2020_5-2-2_Download'!$AC$7</f>
        <v>mittel</v>
      </c>
      <c r="G2098" t="s">
        <v>362</v>
      </c>
      <c r="H2098" t="str">
        <f>VLOOKUP(B2098,[2]Kreise!$A$2:$C$53,3,FALSE)</f>
        <v>K03254</v>
      </c>
      <c r="I2098">
        <f>'2020_5-2-2_Download'!AC26</f>
        <v>37.390959555908012</v>
      </c>
    </row>
    <row r="2099" spans="2:9">
      <c r="B2099">
        <f>'2020_5-2-2_Download'!B27</f>
        <v>255</v>
      </c>
      <c r="C2099">
        <f>'2020_5-2-2_Download'!$Y$5</f>
        <v>2017</v>
      </c>
      <c r="D2099" t="str">
        <f>VLOOKUP(B2099,[1]Tabelle1!$A$1:$B$68,2,FALSE)</f>
        <v>Holzminden</v>
      </c>
      <c r="F2099" t="str">
        <f>'2020_5-2-2_Download'!$AC$7</f>
        <v>mittel</v>
      </c>
      <c r="G2099" t="s">
        <v>362</v>
      </c>
      <c r="H2099" t="str">
        <f>VLOOKUP(B2099,[2]Kreise!$A$2:$C$53,3,FALSE)</f>
        <v>K03255</v>
      </c>
      <c r="I2099">
        <f>'2020_5-2-2_Download'!AC27</f>
        <v>35.202205882352942</v>
      </c>
    </row>
    <row r="2100" spans="2:9">
      <c r="B2100">
        <f>'2020_5-2-2_Download'!B28</f>
        <v>256</v>
      </c>
      <c r="C2100">
        <f>'2020_5-2-2_Download'!$Y$5</f>
        <v>2017</v>
      </c>
      <c r="D2100" t="str">
        <f>VLOOKUP(B2100,[1]Tabelle1!$A$1:$B$68,2,FALSE)</f>
        <v>Nienburg (Weser)</v>
      </c>
      <c r="F2100" t="str">
        <f>'2020_5-2-2_Download'!$AC$7</f>
        <v>mittel</v>
      </c>
      <c r="G2100" t="s">
        <v>362</v>
      </c>
      <c r="H2100" t="str">
        <f>VLOOKUP(B2100,[2]Kreise!$A$2:$C$53,3,FALSE)</f>
        <v>K03256</v>
      </c>
      <c r="I2100">
        <f>'2020_5-2-2_Download'!AC28</f>
        <v>27.023988005997001</v>
      </c>
    </row>
    <row r="2101" spans="2:9">
      <c r="B2101">
        <f>'2020_5-2-2_Download'!B29</f>
        <v>257</v>
      </c>
      <c r="C2101">
        <f>'2020_5-2-2_Download'!$Y$5</f>
        <v>2017</v>
      </c>
      <c r="D2101" t="str">
        <f>VLOOKUP(B2101,[1]Tabelle1!$A$1:$B$68,2,FALSE)</f>
        <v>Schaumburg</v>
      </c>
      <c r="F2101" t="str">
        <f>'2020_5-2-2_Download'!$AC$7</f>
        <v>mittel</v>
      </c>
      <c r="G2101" t="s">
        <v>362</v>
      </c>
      <c r="H2101" t="str">
        <f>VLOOKUP(B2101,[2]Kreise!$A$2:$C$53,3,FALSE)</f>
        <v>K03257</v>
      </c>
      <c r="I2101">
        <f>'2020_5-2-2_Download'!AC29</f>
        <v>43.391773432231965</v>
      </c>
    </row>
    <row r="2102" spans="2:9">
      <c r="B2102">
        <f>'2020_5-2-2_Download'!B30</f>
        <v>2</v>
      </c>
      <c r="C2102">
        <f>'2020_5-2-2_Download'!$Y$5</f>
        <v>2017</v>
      </c>
      <c r="D2102" t="str">
        <f>VLOOKUP(B2102,[1]Tabelle1!$A$1:$B$68,2,FALSE)</f>
        <v>Stat. Region Hannover</v>
      </c>
      <c r="F2102" t="str">
        <f>'2020_5-2-2_Download'!$AC$7</f>
        <v>mittel</v>
      </c>
      <c r="G2102" t="s">
        <v>362</v>
      </c>
      <c r="H2102" t="str">
        <f>VLOOKUP(B2102,[2]Kreise!$A$2:$C$53,3,FALSE)</f>
        <v>K032</v>
      </c>
      <c r="I2102">
        <f>'2020_5-2-2_Download'!AC30</f>
        <v>33.799298245614033</v>
      </c>
    </row>
    <row r="2103" spans="2:9">
      <c r="B2103">
        <f>'2020_5-2-2_Download'!B31</f>
        <v>351</v>
      </c>
      <c r="C2103">
        <f>'2020_5-2-2_Download'!$Y$5</f>
        <v>2017</v>
      </c>
      <c r="D2103" t="str">
        <f>VLOOKUP(B2103,[1]Tabelle1!$A$1:$B$68,2,FALSE)</f>
        <v>Celle</v>
      </c>
      <c r="F2103" t="str">
        <f>'2020_5-2-2_Download'!$AC$7</f>
        <v>mittel</v>
      </c>
      <c r="G2103" t="s">
        <v>362</v>
      </c>
      <c r="H2103" t="str">
        <f>VLOOKUP(B2103,[2]Kreise!$A$2:$C$53,3,FALSE)</f>
        <v>K03351</v>
      </c>
      <c r="I2103">
        <f>'2020_5-2-2_Download'!AC31</f>
        <v>33.322443645867359</v>
      </c>
    </row>
    <row r="2104" spans="2:9">
      <c r="B2104">
        <f>'2020_5-2-2_Download'!B32</f>
        <v>352</v>
      </c>
      <c r="C2104">
        <f>'2020_5-2-2_Download'!$Y$5</f>
        <v>2017</v>
      </c>
      <c r="D2104" t="str">
        <f>VLOOKUP(B2104,[1]Tabelle1!$A$1:$B$68,2,FALSE)</f>
        <v>Cuxhaven</v>
      </c>
      <c r="F2104" t="str">
        <f>'2020_5-2-2_Download'!$AC$7</f>
        <v>mittel</v>
      </c>
      <c r="G2104" t="s">
        <v>362</v>
      </c>
      <c r="H2104" t="str">
        <f>VLOOKUP(B2104,[2]Kreise!$A$2:$C$53,3,FALSE)</f>
        <v>K03352</v>
      </c>
      <c r="I2104">
        <f>'2020_5-2-2_Download'!AC32</f>
        <v>27.805784027593528</v>
      </c>
    </row>
    <row r="2105" spans="2:9">
      <c r="B2105">
        <f>'2020_5-2-2_Download'!B33</f>
        <v>353</v>
      </c>
      <c r="C2105">
        <f>'2020_5-2-2_Download'!$Y$5</f>
        <v>2017</v>
      </c>
      <c r="D2105" t="str">
        <f>VLOOKUP(B2105,[1]Tabelle1!$A$1:$B$68,2,FALSE)</f>
        <v>Harburg</v>
      </c>
      <c r="F2105" t="str">
        <f>'2020_5-2-2_Download'!$AC$7</f>
        <v>mittel</v>
      </c>
      <c r="G2105" t="s">
        <v>362</v>
      </c>
      <c r="H2105" t="str">
        <f>VLOOKUP(B2105,[2]Kreise!$A$2:$C$53,3,FALSE)</f>
        <v>K03353</v>
      </c>
      <c r="I2105">
        <f>'2020_5-2-2_Download'!AC33</f>
        <v>29.161311053984573</v>
      </c>
    </row>
    <row r="2106" spans="2:9">
      <c r="B2106">
        <f>'2020_5-2-2_Download'!B34</f>
        <v>354</v>
      </c>
      <c r="C2106">
        <f>'2020_5-2-2_Download'!$Y$5</f>
        <v>2017</v>
      </c>
      <c r="D2106" t="str">
        <f>VLOOKUP(B2106,[1]Tabelle1!$A$1:$B$68,2,FALSE)</f>
        <v>Lüchow-Dannenberg</v>
      </c>
      <c r="F2106" t="str">
        <f>'2020_5-2-2_Download'!$AC$7</f>
        <v>mittel</v>
      </c>
      <c r="G2106" t="s">
        <v>362</v>
      </c>
      <c r="H2106" t="str">
        <f>VLOOKUP(B2106,[2]Kreise!$A$2:$C$53,3,FALSE)</f>
        <v>K03354</v>
      </c>
      <c r="I2106">
        <f>'2020_5-2-2_Download'!AC34</f>
        <v>30.122324159021407</v>
      </c>
    </row>
    <row r="2107" spans="2:9">
      <c r="B2107">
        <f>'2020_5-2-2_Download'!B35</f>
        <v>355</v>
      </c>
      <c r="C2107">
        <f>'2020_5-2-2_Download'!$Y$5</f>
        <v>2017</v>
      </c>
      <c r="D2107" t="str">
        <f>VLOOKUP(B2107,[1]Tabelle1!$A$1:$B$68,2,FALSE)</f>
        <v>Lüneburg</v>
      </c>
      <c r="F2107" t="str">
        <f>'2020_5-2-2_Download'!$AC$7</f>
        <v>mittel</v>
      </c>
      <c r="G2107" t="s">
        <v>362</v>
      </c>
      <c r="H2107" t="str">
        <f>VLOOKUP(B2107,[2]Kreise!$A$2:$C$53,3,FALSE)</f>
        <v>K03355</v>
      </c>
      <c r="I2107">
        <f>'2020_5-2-2_Download'!AC35</f>
        <v>33.472000000000001</v>
      </c>
    </row>
    <row r="2108" spans="2:9">
      <c r="B2108">
        <f>'2020_5-2-2_Download'!B36</f>
        <v>356</v>
      </c>
      <c r="C2108">
        <f>'2020_5-2-2_Download'!$Y$5</f>
        <v>2017</v>
      </c>
      <c r="D2108" t="str">
        <f>VLOOKUP(B2108,[1]Tabelle1!$A$1:$B$68,2,FALSE)</f>
        <v>Osterholz</v>
      </c>
      <c r="F2108" t="str">
        <f>'2020_5-2-2_Download'!$AC$7</f>
        <v>mittel</v>
      </c>
      <c r="G2108" t="s">
        <v>362</v>
      </c>
      <c r="H2108" t="str">
        <f>VLOOKUP(B2108,[2]Kreise!$A$2:$C$53,3,FALSE)</f>
        <v>K03356</v>
      </c>
      <c r="I2108">
        <f>'2020_5-2-2_Download'!AC36</f>
        <v>33.936955063715629</v>
      </c>
    </row>
    <row r="2109" spans="2:9">
      <c r="B2109">
        <f>'2020_5-2-2_Download'!B37</f>
        <v>357</v>
      </c>
      <c r="C2109">
        <f>'2020_5-2-2_Download'!$Y$5</f>
        <v>2017</v>
      </c>
      <c r="D2109" t="str">
        <f>VLOOKUP(B2109,[1]Tabelle1!$A$1:$B$68,2,FALSE)</f>
        <v>Rotenburg (Wümme)</v>
      </c>
      <c r="F2109" t="str">
        <f>'2020_5-2-2_Download'!$AC$7</f>
        <v>mittel</v>
      </c>
      <c r="G2109" t="s">
        <v>362</v>
      </c>
      <c r="H2109" t="str">
        <f>VLOOKUP(B2109,[2]Kreise!$A$2:$C$53,3,FALSE)</f>
        <v>K03357</v>
      </c>
      <c r="I2109">
        <f>'2020_5-2-2_Download'!AC37</f>
        <v>37.216924910607865</v>
      </c>
    </row>
    <row r="2110" spans="2:9">
      <c r="B2110">
        <f>'2020_5-2-2_Download'!B38</f>
        <v>358</v>
      </c>
      <c r="C2110">
        <f>'2020_5-2-2_Download'!$Y$5</f>
        <v>2017</v>
      </c>
      <c r="D2110" t="str">
        <f>VLOOKUP(B2110,[1]Tabelle1!$A$1:$B$68,2,FALSE)</f>
        <v>Heidekreis</v>
      </c>
      <c r="F2110" t="str">
        <f>'2020_5-2-2_Download'!$AC$7</f>
        <v>mittel</v>
      </c>
      <c r="G2110" t="s">
        <v>362</v>
      </c>
      <c r="H2110" t="str">
        <f>VLOOKUP(B2110,[2]Kreise!$A$2:$C$53,3,FALSE)</f>
        <v>K03358</v>
      </c>
      <c r="I2110">
        <f>'2020_5-2-2_Download'!AC38</f>
        <v>35.775075987841944</v>
      </c>
    </row>
    <row r="2111" spans="2:9">
      <c r="B2111">
        <f>'2020_5-2-2_Download'!B39</f>
        <v>359</v>
      </c>
      <c r="C2111">
        <f>'2020_5-2-2_Download'!$Y$5</f>
        <v>2017</v>
      </c>
      <c r="D2111" t="str">
        <f>VLOOKUP(B2111,[1]Tabelle1!$A$1:$B$68,2,FALSE)</f>
        <v>Stade</v>
      </c>
      <c r="F2111" t="str">
        <f>'2020_5-2-2_Download'!$AC$7</f>
        <v>mittel</v>
      </c>
      <c r="G2111" t="s">
        <v>362</v>
      </c>
      <c r="H2111" t="str">
        <f>VLOOKUP(B2111,[2]Kreise!$A$2:$C$53,3,FALSE)</f>
        <v>K03359</v>
      </c>
      <c r="I2111">
        <f>'2020_5-2-2_Download'!AC39</f>
        <v>25.963668586619406</v>
      </c>
    </row>
    <row r="2112" spans="2:9">
      <c r="B2112">
        <f>'2020_5-2-2_Download'!B40</f>
        <v>360</v>
      </c>
      <c r="C2112">
        <f>'2020_5-2-2_Download'!$Y$5</f>
        <v>2017</v>
      </c>
      <c r="D2112" t="str">
        <f>VLOOKUP(B2112,[1]Tabelle1!$A$1:$B$68,2,FALSE)</f>
        <v>Uelzen</v>
      </c>
      <c r="F2112" t="str">
        <f>'2020_5-2-2_Download'!$AC$7</f>
        <v>mittel</v>
      </c>
      <c r="G2112" t="s">
        <v>362</v>
      </c>
      <c r="H2112" t="str">
        <f>VLOOKUP(B2112,[2]Kreise!$A$2:$C$53,3,FALSE)</f>
        <v>K03360</v>
      </c>
      <c r="I2112">
        <f>'2020_5-2-2_Download'!AC40</f>
        <v>32.690763052208837</v>
      </c>
    </row>
    <row r="2113" spans="2:9">
      <c r="B2113">
        <f>'2020_5-2-2_Download'!B41</f>
        <v>361</v>
      </c>
      <c r="C2113">
        <f>'2020_5-2-2_Download'!$Y$5</f>
        <v>2017</v>
      </c>
      <c r="D2113" t="str">
        <f>VLOOKUP(B2113,[1]Tabelle1!$A$1:$B$68,2,FALSE)</f>
        <v>Verden</v>
      </c>
      <c r="F2113" t="str">
        <f>'2020_5-2-2_Download'!$AC$7</f>
        <v>mittel</v>
      </c>
      <c r="G2113" t="s">
        <v>362</v>
      </c>
      <c r="H2113" t="str">
        <f>VLOOKUP(B2113,[2]Kreise!$A$2:$C$53,3,FALSE)</f>
        <v>K03361</v>
      </c>
      <c r="I2113">
        <f>'2020_5-2-2_Download'!AC41</f>
        <v>27.439813616360343</v>
      </c>
    </row>
    <row r="2114" spans="2:9">
      <c r="B2114">
        <f>'2020_5-2-2_Download'!B42</f>
        <v>3</v>
      </c>
      <c r="C2114">
        <f>'2020_5-2-2_Download'!$Y$5</f>
        <v>2017</v>
      </c>
      <c r="D2114" t="str">
        <f>VLOOKUP(B2114,[1]Tabelle1!$A$1:$B$68,2,FALSE)</f>
        <v>Stat. Region Lüneburg</v>
      </c>
      <c r="F2114" t="str">
        <f>'2020_5-2-2_Download'!$AC$7</f>
        <v>mittel</v>
      </c>
      <c r="G2114" t="s">
        <v>362</v>
      </c>
      <c r="H2114" t="str">
        <f>VLOOKUP(B2114,[2]Kreise!$A$2:$C$53,3,FALSE)</f>
        <v>K033</v>
      </c>
      <c r="I2114">
        <f>'2020_5-2-2_Download'!AC42</f>
        <v>30.923334875115632</v>
      </c>
    </row>
    <row r="2115" spans="2:9">
      <c r="B2115">
        <f>'2020_5-2-2_Download'!B43</f>
        <v>401</v>
      </c>
      <c r="C2115">
        <f>'2020_5-2-2_Download'!$Y$5</f>
        <v>2017</v>
      </c>
      <c r="D2115" t="str">
        <f>VLOOKUP(B2115,[1]Tabelle1!$A$1:$B$68,2,FALSE)</f>
        <v>Delmenhorst  Stadt</v>
      </c>
      <c r="F2115" t="str">
        <f>'2020_5-2-2_Download'!$AC$7</f>
        <v>mittel</v>
      </c>
      <c r="G2115" t="s">
        <v>362</v>
      </c>
      <c r="H2115" t="str">
        <f>VLOOKUP(B2115,[2]Kreise!$A$2:$C$53,3,FALSE)</f>
        <v>K03401</v>
      </c>
      <c r="I2115">
        <f>'2020_5-2-2_Download'!AC43</f>
        <v>30.2734375</v>
      </c>
    </row>
    <row r="2116" spans="2:9">
      <c r="B2116">
        <f>'2020_5-2-2_Download'!B44</f>
        <v>402</v>
      </c>
      <c r="C2116">
        <f>'2020_5-2-2_Download'!$Y$5</f>
        <v>2017</v>
      </c>
      <c r="D2116" t="str">
        <f>VLOOKUP(B2116,[1]Tabelle1!$A$1:$B$68,2,FALSE)</f>
        <v>Emden  Stadt</v>
      </c>
      <c r="F2116" t="str">
        <f>'2020_5-2-2_Download'!$AC$7</f>
        <v>mittel</v>
      </c>
      <c r="G2116" t="s">
        <v>362</v>
      </c>
      <c r="H2116" t="str">
        <f>VLOOKUP(B2116,[2]Kreise!$A$2:$C$53,3,FALSE)</f>
        <v>K03402</v>
      </c>
      <c r="I2116">
        <f>'2020_5-2-2_Download'!AC44</f>
        <v>38.433066008636644</v>
      </c>
    </row>
    <row r="2117" spans="2:9">
      <c r="B2117">
        <f>'2020_5-2-2_Download'!B45</f>
        <v>403</v>
      </c>
      <c r="C2117">
        <f>'2020_5-2-2_Download'!$Y$5</f>
        <v>2017</v>
      </c>
      <c r="D2117" t="str">
        <f>VLOOKUP(B2117,[1]Tabelle1!$A$1:$B$68,2,FALSE)</f>
        <v>Oldenburg(Oldb)  Stadt</v>
      </c>
      <c r="F2117" t="str">
        <f>'2020_5-2-2_Download'!$AC$7</f>
        <v>mittel</v>
      </c>
      <c r="G2117" t="s">
        <v>362</v>
      </c>
      <c r="H2117" t="str">
        <f>VLOOKUP(B2117,[2]Kreise!$A$2:$C$53,3,FALSE)</f>
        <v>K03403</v>
      </c>
      <c r="I2117">
        <f>'2020_5-2-2_Download'!AC45</f>
        <v>27.519739897816997</v>
      </c>
    </row>
    <row r="2118" spans="2:9">
      <c r="B2118">
        <f>'2020_5-2-2_Download'!B46</f>
        <v>404</v>
      </c>
      <c r="C2118">
        <f>'2020_5-2-2_Download'!$Y$5</f>
        <v>2017</v>
      </c>
      <c r="D2118" t="str">
        <f>VLOOKUP(B2118,[1]Tabelle1!$A$1:$B$68,2,FALSE)</f>
        <v>Osnabrück  Stadt</v>
      </c>
      <c r="F2118" t="str">
        <f>'2020_5-2-2_Download'!$AC$7</f>
        <v>mittel</v>
      </c>
      <c r="G2118" t="s">
        <v>362</v>
      </c>
      <c r="H2118" t="str">
        <f>VLOOKUP(B2118,[2]Kreise!$A$2:$C$53,3,FALSE)</f>
        <v>K03404</v>
      </c>
      <c r="I2118">
        <f>'2020_5-2-2_Download'!AC46</f>
        <v>31.913978494623656</v>
      </c>
    </row>
    <row r="2119" spans="2:9">
      <c r="B2119">
        <f>'2020_5-2-2_Download'!B47</f>
        <v>405</v>
      </c>
      <c r="C2119">
        <f>'2020_5-2-2_Download'!$Y$5</f>
        <v>2017</v>
      </c>
      <c r="D2119" t="str">
        <f>VLOOKUP(B2119,[1]Tabelle1!$A$1:$B$68,2,FALSE)</f>
        <v>Wilhelmshaven  Stadt</v>
      </c>
      <c r="F2119" t="str">
        <f>'2020_5-2-2_Download'!$AC$7</f>
        <v>mittel</v>
      </c>
      <c r="G2119" t="s">
        <v>362</v>
      </c>
      <c r="H2119" t="str">
        <f>VLOOKUP(B2119,[2]Kreise!$A$2:$C$53,3,FALSE)</f>
        <v>K03405</v>
      </c>
      <c r="I2119">
        <f>'2020_5-2-2_Download'!AC47</f>
        <v>34.354304635761594</v>
      </c>
    </row>
    <row r="2120" spans="2:9">
      <c r="B2120">
        <f>'2020_5-2-2_Download'!B48</f>
        <v>451</v>
      </c>
      <c r="C2120">
        <f>'2020_5-2-2_Download'!$Y$5</f>
        <v>2017</v>
      </c>
      <c r="D2120" t="str">
        <f>VLOOKUP(B2120,[1]Tabelle1!$A$1:$B$68,2,FALSE)</f>
        <v>Ammerland</v>
      </c>
      <c r="F2120" t="str">
        <f>'2020_5-2-2_Download'!$AC$7</f>
        <v>mittel</v>
      </c>
      <c r="G2120" t="s">
        <v>362</v>
      </c>
      <c r="H2120" t="str">
        <f>VLOOKUP(B2120,[2]Kreise!$A$2:$C$53,3,FALSE)</f>
        <v>K03451</v>
      </c>
      <c r="I2120">
        <f>'2020_5-2-2_Download'!AC48</f>
        <v>26.380368098159508</v>
      </c>
    </row>
    <row r="2121" spans="2:9">
      <c r="B2121">
        <f>'2020_5-2-2_Download'!B49</f>
        <v>452</v>
      </c>
      <c r="C2121">
        <f>'2020_5-2-2_Download'!$Y$5</f>
        <v>2017</v>
      </c>
      <c r="D2121" t="str">
        <f>VLOOKUP(B2121,[1]Tabelle1!$A$1:$B$68,2,FALSE)</f>
        <v>Aurich</v>
      </c>
      <c r="F2121" t="str">
        <f>'2020_5-2-2_Download'!$AC$7</f>
        <v>mittel</v>
      </c>
      <c r="G2121" t="s">
        <v>362</v>
      </c>
      <c r="H2121" t="str">
        <f>VLOOKUP(B2121,[2]Kreise!$A$2:$C$53,3,FALSE)</f>
        <v>K03452</v>
      </c>
      <c r="I2121">
        <f>'2020_5-2-2_Download'!AC49</f>
        <v>29.588205388917132</v>
      </c>
    </row>
    <row r="2122" spans="2:9">
      <c r="B2122">
        <f>'2020_5-2-2_Download'!B50</f>
        <v>453</v>
      </c>
      <c r="C2122">
        <f>'2020_5-2-2_Download'!$Y$5</f>
        <v>2017</v>
      </c>
      <c r="D2122" t="str">
        <f>VLOOKUP(B2122,[1]Tabelle1!$A$1:$B$68,2,FALSE)</f>
        <v>Cloppenburg</v>
      </c>
      <c r="F2122" t="str">
        <f>'2020_5-2-2_Download'!$AC$7</f>
        <v>mittel</v>
      </c>
      <c r="G2122" t="s">
        <v>362</v>
      </c>
      <c r="H2122" t="str">
        <f>VLOOKUP(B2122,[2]Kreise!$A$2:$C$53,3,FALSE)</f>
        <v>K03453</v>
      </c>
      <c r="I2122">
        <f>'2020_5-2-2_Download'!AC50</f>
        <v>18.592330978809283</v>
      </c>
    </row>
    <row r="2123" spans="2:9">
      <c r="B2123">
        <f>'2020_5-2-2_Download'!B51</f>
        <v>454</v>
      </c>
      <c r="C2123">
        <f>'2020_5-2-2_Download'!$Y$5</f>
        <v>2017</v>
      </c>
      <c r="D2123" t="str">
        <f>VLOOKUP(B2123,[1]Tabelle1!$A$1:$B$68,2,FALSE)</f>
        <v>Emsland</v>
      </c>
      <c r="F2123" t="str">
        <f>'2020_5-2-2_Download'!$AC$7</f>
        <v>mittel</v>
      </c>
      <c r="G2123" t="s">
        <v>362</v>
      </c>
      <c r="H2123" t="str">
        <f>VLOOKUP(B2123,[2]Kreise!$A$2:$C$53,3,FALSE)</f>
        <v>K03454</v>
      </c>
      <c r="I2123">
        <f>'2020_5-2-2_Download'!AC51</f>
        <v>29.346622369878183</v>
      </c>
    </row>
    <row r="2124" spans="2:9">
      <c r="B2124">
        <f>'2020_5-2-2_Download'!B52</f>
        <v>455</v>
      </c>
      <c r="C2124">
        <f>'2020_5-2-2_Download'!$Y$5</f>
        <v>2017</v>
      </c>
      <c r="D2124" t="str">
        <f>VLOOKUP(B2124,[1]Tabelle1!$A$1:$B$68,2,FALSE)</f>
        <v>Friesland</v>
      </c>
      <c r="F2124" t="str">
        <f>'2020_5-2-2_Download'!$AC$7</f>
        <v>mittel</v>
      </c>
      <c r="G2124" t="s">
        <v>362</v>
      </c>
      <c r="H2124" t="str">
        <f>VLOOKUP(B2124,[2]Kreise!$A$2:$C$53,3,FALSE)</f>
        <v>K03455</v>
      </c>
      <c r="I2124">
        <f>'2020_5-2-2_Download'!AC52</f>
        <v>29.623137598597722</v>
      </c>
    </row>
    <row r="2125" spans="2:9">
      <c r="B2125">
        <f>'2020_5-2-2_Download'!B53</f>
        <v>456</v>
      </c>
      <c r="C2125">
        <f>'2020_5-2-2_Download'!$Y$5</f>
        <v>2017</v>
      </c>
      <c r="D2125" t="str">
        <f>VLOOKUP(B2125,[1]Tabelle1!$A$1:$B$68,2,FALSE)</f>
        <v>Grafschaft Bentheim</v>
      </c>
      <c r="F2125" t="str">
        <f>'2020_5-2-2_Download'!$AC$7</f>
        <v>mittel</v>
      </c>
      <c r="G2125" t="s">
        <v>362</v>
      </c>
      <c r="H2125" t="str">
        <f>VLOOKUP(B2125,[2]Kreise!$A$2:$C$53,3,FALSE)</f>
        <v>K03456</v>
      </c>
      <c r="I2125">
        <f>'2020_5-2-2_Download'!AC53</f>
        <v>40.582155663362158</v>
      </c>
    </row>
    <row r="2126" spans="2:9">
      <c r="B2126">
        <f>'2020_5-2-2_Download'!B54</f>
        <v>457</v>
      </c>
      <c r="C2126">
        <f>'2020_5-2-2_Download'!$Y$5</f>
        <v>2017</v>
      </c>
      <c r="D2126" t="str">
        <f>VLOOKUP(B2126,[1]Tabelle1!$A$1:$B$68,2,FALSE)</f>
        <v>Leer</v>
      </c>
      <c r="F2126" t="str">
        <f>'2020_5-2-2_Download'!$AC$7</f>
        <v>mittel</v>
      </c>
      <c r="G2126" t="s">
        <v>362</v>
      </c>
      <c r="H2126" t="str">
        <f>VLOOKUP(B2126,[2]Kreise!$A$2:$C$53,3,FALSE)</f>
        <v>K03457</v>
      </c>
      <c r="I2126">
        <f>'2020_5-2-2_Download'!AC54</f>
        <v>33.730297723292466</v>
      </c>
    </row>
    <row r="2127" spans="2:9">
      <c r="B2127">
        <f>'2020_5-2-2_Download'!B55</f>
        <v>458</v>
      </c>
      <c r="C2127">
        <f>'2020_5-2-2_Download'!$Y$5</f>
        <v>2017</v>
      </c>
      <c r="D2127" t="str">
        <f>VLOOKUP(B2127,[1]Tabelle1!$A$1:$B$68,2,FALSE)</f>
        <v>Oldenburg</v>
      </c>
      <c r="F2127" t="str">
        <f>'2020_5-2-2_Download'!$AC$7</f>
        <v>mittel</v>
      </c>
      <c r="G2127" t="s">
        <v>362</v>
      </c>
      <c r="H2127" t="str">
        <f>VLOOKUP(B2127,[2]Kreise!$A$2:$C$53,3,FALSE)</f>
        <v>K03458</v>
      </c>
      <c r="I2127">
        <f>'2020_5-2-2_Download'!AC55</f>
        <v>26.433465560764514</v>
      </c>
    </row>
    <row r="2128" spans="2:9">
      <c r="B2128">
        <f>'2020_5-2-2_Download'!B56</f>
        <v>459</v>
      </c>
      <c r="C2128">
        <f>'2020_5-2-2_Download'!$Y$5</f>
        <v>2017</v>
      </c>
      <c r="D2128" t="str">
        <f>VLOOKUP(B2128,[1]Tabelle1!$A$1:$B$68,2,FALSE)</f>
        <v>Osnabrück</v>
      </c>
      <c r="F2128" t="str">
        <f>'2020_5-2-2_Download'!$AC$7</f>
        <v>mittel</v>
      </c>
      <c r="G2128" t="s">
        <v>362</v>
      </c>
      <c r="H2128" t="str">
        <f>VLOOKUP(B2128,[2]Kreise!$A$2:$C$53,3,FALSE)</f>
        <v>K03459</v>
      </c>
      <c r="I2128">
        <f>'2020_5-2-2_Download'!AC56</f>
        <v>23.617693522906794</v>
      </c>
    </row>
    <row r="2129" spans="2:9">
      <c r="B2129">
        <f>'2020_5-2-2_Download'!B57</f>
        <v>460</v>
      </c>
      <c r="C2129">
        <f>'2020_5-2-2_Download'!$Y$5</f>
        <v>2017</v>
      </c>
      <c r="D2129" t="str">
        <f>VLOOKUP(B2129,[1]Tabelle1!$A$1:$B$68,2,FALSE)</f>
        <v>Vechta</v>
      </c>
      <c r="F2129" t="str">
        <f>'2020_5-2-2_Download'!$AC$7</f>
        <v>mittel</v>
      </c>
      <c r="G2129" t="s">
        <v>362</v>
      </c>
      <c r="H2129" t="str">
        <f>VLOOKUP(B2129,[2]Kreise!$A$2:$C$53,3,FALSE)</f>
        <v>K03460</v>
      </c>
      <c r="I2129">
        <f>'2020_5-2-2_Download'!AC57</f>
        <v>21.787895613548027</v>
      </c>
    </row>
    <row r="2130" spans="2:9">
      <c r="B2130">
        <f>'2020_5-2-2_Download'!B58</f>
        <v>461</v>
      </c>
      <c r="C2130">
        <f>'2020_5-2-2_Download'!$Y$5</f>
        <v>2017</v>
      </c>
      <c r="D2130" t="str">
        <f>VLOOKUP(B2130,[1]Tabelle1!$A$1:$B$68,2,FALSE)</f>
        <v>Wesermarsch</v>
      </c>
      <c r="F2130" t="str">
        <f>'2020_5-2-2_Download'!$AC$7</f>
        <v>mittel</v>
      </c>
      <c r="G2130" t="s">
        <v>362</v>
      </c>
      <c r="H2130" t="str">
        <f>VLOOKUP(B2130,[2]Kreise!$A$2:$C$53,3,FALSE)</f>
        <v>K03461</v>
      </c>
      <c r="I2130">
        <f>'2020_5-2-2_Download'!AC58</f>
        <v>36.220847215611613</v>
      </c>
    </row>
    <row r="2131" spans="2:9">
      <c r="B2131">
        <f>'2020_5-2-2_Download'!B59</f>
        <v>462</v>
      </c>
      <c r="C2131">
        <f>'2020_5-2-2_Download'!$Y$5</f>
        <v>2017</v>
      </c>
      <c r="D2131" t="str">
        <f>VLOOKUP(B2131,[1]Tabelle1!$A$1:$B$68,2,FALSE)</f>
        <v>Wittmund</v>
      </c>
      <c r="F2131" t="str">
        <f>'2020_5-2-2_Download'!$AC$7</f>
        <v>mittel</v>
      </c>
      <c r="G2131" t="s">
        <v>362</v>
      </c>
      <c r="H2131" t="str">
        <f>VLOOKUP(B2131,[2]Kreise!$A$2:$C$53,3,FALSE)</f>
        <v>K03462</v>
      </c>
      <c r="I2131">
        <f>'2020_5-2-2_Download'!AC59</f>
        <v>21.972534332084894</v>
      </c>
    </row>
    <row r="2132" spans="2:9">
      <c r="B2132">
        <f>'2020_5-2-2_Download'!B60</f>
        <v>4</v>
      </c>
      <c r="C2132">
        <f>'2020_5-2-2_Download'!$Y$5</f>
        <v>2017</v>
      </c>
      <c r="D2132" t="str">
        <f>VLOOKUP(B2132,[1]Tabelle1!$A$1:$B$68,2,FALSE)</f>
        <v>Stat. Region Weser-Ems</v>
      </c>
      <c r="F2132" t="str">
        <f>'2020_5-2-2_Download'!$AC$7</f>
        <v>mittel</v>
      </c>
      <c r="G2132" t="s">
        <v>362</v>
      </c>
      <c r="H2132" t="str">
        <f>VLOOKUP(B2132,[2]Kreise!$A$2:$C$53,3,FALSE)</f>
        <v>K034</v>
      </c>
      <c r="I2132">
        <f>'2020_5-2-2_Download'!AC60</f>
        <v>27.539715851998832</v>
      </c>
    </row>
    <row r="2133" spans="2:9">
      <c r="B2133">
        <f>'2020_5-2-2_Download'!B61</f>
        <v>0</v>
      </c>
      <c r="C2133">
        <f>'2020_5-2-2_Download'!$Y$5</f>
        <v>2017</v>
      </c>
      <c r="D2133" t="str">
        <f>VLOOKUP(B2133,[1]Tabelle1!$A$1:$B$68,2,FALSE)</f>
        <v>Niedersachsen</v>
      </c>
      <c r="F2133" t="str">
        <f>'2020_5-2-2_Download'!$AC$7</f>
        <v>mittel</v>
      </c>
      <c r="G2133" t="s">
        <v>362</v>
      </c>
      <c r="H2133" t="str">
        <f>VLOOKUP(B2133,[2]Kreise!$A$2:$C$53,3,FALSE)</f>
        <v>K030</v>
      </c>
      <c r="I2133">
        <f>'2020_5-2-2_Download'!AC61</f>
        <v>31.197904473313397</v>
      </c>
    </row>
    <row r="2134" spans="2:9">
      <c r="B2134">
        <f>'2020_5-2-2_Download'!B10</f>
        <v>101</v>
      </c>
      <c r="C2134">
        <f>'2020_5-2-2_Download'!$Y$5</f>
        <v>2017</v>
      </c>
      <c r="D2134" t="str">
        <f>VLOOKUP(B2134,[1]Tabelle1!$A$1:$B$68,2,FALSE)</f>
        <v>Braunschweig  Stadt</v>
      </c>
      <c r="F2134" t="str">
        <f>'2020_5-2-2_Download'!$AD$7</f>
        <v>niedrig</v>
      </c>
      <c r="G2134" t="s">
        <v>362</v>
      </c>
      <c r="H2134" t="str">
        <f>VLOOKUP(B2134,[2]Kreise!$A$2:$C$53,3,FALSE)</f>
        <v>K03101</v>
      </c>
      <c r="I2134">
        <f>'2020_5-2-2_Download'!AD10</f>
        <v>22.120070890562694</v>
      </c>
    </row>
    <row r="2135" spans="2:9">
      <c r="B2135">
        <f>'2020_5-2-2_Download'!B11</f>
        <v>102</v>
      </c>
      <c r="C2135">
        <f>'2020_5-2-2_Download'!$Y$5</f>
        <v>2017</v>
      </c>
      <c r="D2135" t="str">
        <f>VLOOKUP(B2135,[1]Tabelle1!$A$1:$B$68,2,FALSE)</f>
        <v>Salzgitter  Stadt</v>
      </c>
      <c r="F2135" t="str">
        <f>'2020_5-2-2_Download'!$AD$7</f>
        <v>niedrig</v>
      </c>
      <c r="G2135" t="s">
        <v>362</v>
      </c>
      <c r="H2135" t="str">
        <f>VLOOKUP(B2135,[2]Kreise!$A$2:$C$53,3,FALSE)</f>
        <v>K03102</v>
      </c>
      <c r="I2135">
        <f>'2020_5-2-2_Download'!AD11</f>
        <v>22.353532813678655</v>
      </c>
    </row>
    <row r="2136" spans="2:9">
      <c r="B2136">
        <f>'2020_5-2-2_Download'!B12</f>
        <v>103</v>
      </c>
      <c r="C2136">
        <f>'2020_5-2-2_Download'!$Y$5</f>
        <v>2017</v>
      </c>
      <c r="D2136" t="str">
        <f>VLOOKUP(B2136,[1]Tabelle1!$A$1:$B$68,2,FALSE)</f>
        <v>Wolfsburg  Stadt</v>
      </c>
      <c r="F2136" t="str">
        <f>'2020_5-2-2_Download'!$AD$7</f>
        <v>niedrig</v>
      </c>
      <c r="G2136" t="s">
        <v>362</v>
      </c>
      <c r="H2136" t="str">
        <f>VLOOKUP(B2136,[2]Kreise!$A$2:$C$53,3,FALSE)</f>
        <v>K03103</v>
      </c>
      <c r="I2136">
        <f>'2020_5-2-2_Download'!AD12</f>
        <v>12.811905561150274</v>
      </c>
    </row>
    <row r="2137" spans="2:9">
      <c r="B2137">
        <f>'2020_5-2-2_Download'!B13</f>
        <v>151</v>
      </c>
      <c r="C2137">
        <f>'2020_5-2-2_Download'!$Y$5</f>
        <v>2017</v>
      </c>
      <c r="D2137" t="str">
        <f>VLOOKUP(B2137,[1]Tabelle1!$A$1:$B$68,2,FALSE)</f>
        <v>Gifhorn</v>
      </c>
      <c r="F2137" t="str">
        <f>'2020_5-2-2_Download'!$AD$7</f>
        <v>niedrig</v>
      </c>
      <c r="G2137" t="s">
        <v>362</v>
      </c>
      <c r="H2137" t="str">
        <f>VLOOKUP(B2137,[2]Kreise!$A$2:$C$53,3,FALSE)</f>
        <v>K03151</v>
      </c>
      <c r="I2137">
        <f>'2020_5-2-2_Download'!AD13</f>
        <v>24.886877828054299</v>
      </c>
    </row>
    <row r="2138" spans="2:9">
      <c r="B2138">
        <f>'2020_5-2-2_Download'!B14</f>
        <v>153</v>
      </c>
      <c r="C2138">
        <f>'2020_5-2-2_Download'!$Y$5</f>
        <v>2017</v>
      </c>
      <c r="D2138" t="str">
        <f>VLOOKUP(B2138,[1]Tabelle1!$A$1:$B$68,2,FALSE)</f>
        <v>Goslar</v>
      </c>
      <c r="F2138" t="str">
        <f>'2020_5-2-2_Download'!$AD$7</f>
        <v>niedrig</v>
      </c>
      <c r="G2138" t="s">
        <v>362</v>
      </c>
      <c r="H2138" t="str">
        <f>VLOOKUP(B2138,[2]Kreise!$A$2:$C$53,3,FALSE)</f>
        <v>K03153</v>
      </c>
      <c r="I2138">
        <f>'2020_5-2-2_Download'!AD14</f>
        <v>22.245322245322246</v>
      </c>
    </row>
    <row r="2139" spans="2:9">
      <c r="B2139">
        <f>'2020_5-2-2_Download'!B15</f>
        <v>154</v>
      </c>
      <c r="C2139">
        <f>'2020_5-2-2_Download'!$Y$5</f>
        <v>2017</v>
      </c>
      <c r="D2139" t="str">
        <f>VLOOKUP(B2139,[1]Tabelle1!$A$1:$B$68,2,FALSE)</f>
        <v>Helmstedt</v>
      </c>
      <c r="F2139" t="str">
        <f>'2020_5-2-2_Download'!$AD$7</f>
        <v>niedrig</v>
      </c>
      <c r="G2139" t="s">
        <v>362</v>
      </c>
      <c r="H2139" t="str">
        <f>VLOOKUP(B2139,[2]Kreise!$A$2:$C$53,3,FALSE)</f>
        <v>K03154</v>
      </c>
      <c r="I2139">
        <f>'2020_5-2-2_Download'!AD15</f>
        <v>20.231660231660232</v>
      </c>
    </row>
    <row r="2140" spans="2:9">
      <c r="B2140">
        <f>'2020_5-2-2_Download'!B16</f>
        <v>155</v>
      </c>
      <c r="C2140">
        <f>'2020_5-2-2_Download'!$Y$5</f>
        <v>2017</v>
      </c>
      <c r="D2140" t="str">
        <f>VLOOKUP(B2140,[1]Tabelle1!$A$1:$B$68,2,FALSE)</f>
        <v>Northeim</v>
      </c>
      <c r="F2140" t="str">
        <f>'2020_5-2-2_Download'!$AD$7</f>
        <v>niedrig</v>
      </c>
      <c r="G2140" t="s">
        <v>362</v>
      </c>
      <c r="H2140" t="str">
        <f>VLOOKUP(B2140,[2]Kreise!$A$2:$C$53,3,FALSE)</f>
        <v>K03155</v>
      </c>
      <c r="I2140">
        <f>'2020_5-2-2_Download'!AD16</f>
        <v>20.007521624670929</v>
      </c>
    </row>
    <row r="2141" spans="2:9">
      <c r="B2141">
        <f>'2020_5-2-2_Download'!B17</f>
        <v>157</v>
      </c>
      <c r="C2141">
        <f>'2020_5-2-2_Download'!$Y$5</f>
        <v>2017</v>
      </c>
      <c r="D2141" t="str">
        <f>VLOOKUP(B2141,[1]Tabelle1!$A$1:$B$68,2,FALSE)</f>
        <v>Peine</v>
      </c>
      <c r="F2141" t="str">
        <f>'2020_5-2-2_Download'!$AD$7</f>
        <v>niedrig</v>
      </c>
      <c r="G2141" t="s">
        <v>362</v>
      </c>
      <c r="H2141" t="str">
        <f>VLOOKUP(B2141,[2]Kreise!$A$2:$C$53,3,FALSE)</f>
        <v>K03157</v>
      </c>
      <c r="I2141">
        <f>'2020_5-2-2_Download'!AD17</f>
        <v>30.290644868301541</v>
      </c>
    </row>
    <row r="2142" spans="2:9">
      <c r="B2142">
        <f>'2020_5-2-2_Download'!B18</f>
        <v>158</v>
      </c>
      <c r="C2142">
        <f>'2020_5-2-2_Download'!$Y$5</f>
        <v>2017</v>
      </c>
      <c r="D2142" t="str">
        <f>VLOOKUP(B2142,[1]Tabelle1!$A$1:$B$68,2,FALSE)</f>
        <v>Wolfenbüttel</v>
      </c>
      <c r="F2142" t="str">
        <f>'2020_5-2-2_Download'!$AD$7</f>
        <v>niedrig</v>
      </c>
      <c r="G2142" t="s">
        <v>362</v>
      </c>
      <c r="H2142" t="str">
        <f>VLOOKUP(B2142,[2]Kreise!$A$2:$C$53,3,FALSE)</f>
        <v>K03158</v>
      </c>
      <c r="I2142">
        <f>'2020_5-2-2_Download'!AD18</f>
        <v>21.03960396039604</v>
      </c>
    </row>
    <row r="2143" spans="2:9">
      <c r="B2143">
        <f>'2020_5-2-2_Download'!B19</f>
        <v>159</v>
      </c>
      <c r="C2143">
        <f>'2020_5-2-2_Download'!$Y$5</f>
        <v>2017</v>
      </c>
      <c r="D2143" t="str">
        <f>VLOOKUP(B2143,[1]Tabelle1!$A$1:$B$68,2,FALSE)</f>
        <v>Göttingen</v>
      </c>
      <c r="F2143" t="str">
        <f>'2020_5-2-2_Download'!$AD$7</f>
        <v>niedrig</v>
      </c>
      <c r="G2143" t="s">
        <v>362</v>
      </c>
      <c r="H2143" t="str">
        <f>VLOOKUP(B2143,[2]Kreise!$A$2:$C$53,3,FALSE)</f>
        <v>K03159</v>
      </c>
      <c r="I2143">
        <f>'2020_5-2-2_Download'!AD19</f>
        <v>23.592183080483416</v>
      </c>
    </row>
    <row r="2144" spans="2:9">
      <c r="B2144">
        <f>'2020_5-2-2_Download'!B20</f>
        <v>1</v>
      </c>
      <c r="C2144">
        <f>'2020_5-2-2_Download'!$Y$5</f>
        <v>2017</v>
      </c>
      <c r="D2144" t="str">
        <f>VLOOKUP(B2144,[1]Tabelle1!$A$1:$B$68,2,FALSE)</f>
        <v>Stat. Region Braunschweig</v>
      </c>
      <c r="F2144" t="str">
        <f>'2020_5-2-2_Download'!$AD$7</f>
        <v>niedrig</v>
      </c>
      <c r="G2144" t="s">
        <v>362</v>
      </c>
      <c r="H2144" t="str">
        <f>VLOOKUP(B2144,[2]Kreise!$A$2:$C$53,3,FALSE)</f>
        <v>K031</v>
      </c>
      <c r="I2144">
        <f>'2020_5-2-2_Download'!AD20</f>
        <v>20.804312565594884</v>
      </c>
    </row>
    <row r="2145" spans="2:9">
      <c r="B2145">
        <f>'2020_5-2-2_Download'!B21</f>
        <v>241</v>
      </c>
      <c r="C2145">
        <f>'2020_5-2-2_Download'!$Y$5</f>
        <v>2017</v>
      </c>
      <c r="D2145" t="str">
        <f>VLOOKUP(B2145,[1]Tabelle1!$A$1:$B$68,2,FALSE)</f>
        <v>Hannover  Region</v>
      </c>
      <c r="F2145" t="str">
        <f>'2020_5-2-2_Download'!$AD$7</f>
        <v>niedrig</v>
      </c>
      <c r="G2145" t="s">
        <v>362</v>
      </c>
      <c r="H2145" t="str">
        <f>VLOOKUP(B2145,[2]Kreise!$A$2:$C$53,3,FALSE)</f>
        <v>K03241</v>
      </c>
      <c r="I2145">
        <f>'2020_5-2-2_Download'!AD21</f>
        <v>25.51991128922436</v>
      </c>
    </row>
    <row r="2146" spans="2:9">
      <c r="B2146">
        <f>'2020_5-2-2_Download'!B22</f>
        <v>241001</v>
      </c>
      <c r="C2146">
        <f>'2020_5-2-2_Download'!$Y$5</f>
        <v>2017</v>
      </c>
      <c r="D2146" t="str">
        <f>VLOOKUP(B2146,[1]Tabelle1!$A$1:$B$68,2,FALSE)</f>
        <v>dav. Hannover  Lhst.</v>
      </c>
      <c r="F2146" t="str">
        <f>'2020_5-2-2_Download'!$AD$7</f>
        <v>niedrig</v>
      </c>
      <c r="G2146" t="s">
        <v>362</v>
      </c>
      <c r="H2146" t="str">
        <f>VLOOKUP(B2146,[2]Kreise!$A$2:$C$53,3,FALSE)</f>
        <v>K03241001</v>
      </c>
      <c r="I2146">
        <f>'2020_5-2-2_Download'!AD22</f>
        <v>24.886164102258864</v>
      </c>
    </row>
    <row r="2147" spans="2:9">
      <c r="B2147">
        <f>'2020_5-2-2_Download'!B23</f>
        <v>241999</v>
      </c>
      <c r="C2147">
        <f>'2020_5-2-2_Download'!$Y$5</f>
        <v>2017</v>
      </c>
      <c r="D2147" t="str">
        <f>VLOOKUP(B2147,[1]Tabelle1!$A$1:$B$68,2,FALSE)</f>
        <v>dav. Hannover  Umland</v>
      </c>
      <c r="F2147" t="str">
        <f>'2020_5-2-2_Download'!$AD$7</f>
        <v>niedrig</v>
      </c>
      <c r="G2147" t="s">
        <v>362</v>
      </c>
      <c r="H2147" t="str">
        <f>VLOOKUP(B2147,[2]Kreise!$A$2:$C$53,3,FALSE)</f>
        <v>K03241999</v>
      </c>
      <c r="I2147">
        <f>'2020_5-2-2_Download'!AD23</f>
        <v>26.716099314683746</v>
      </c>
    </row>
    <row r="2148" spans="2:9">
      <c r="B2148">
        <f>'2020_5-2-2_Download'!B24</f>
        <v>251</v>
      </c>
      <c r="C2148">
        <f>'2020_5-2-2_Download'!$Y$5</f>
        <v>2017</v>
      </c>
      <c r="D2148" t="str">
        <f>VLOOKUP(B2148,[1]Tabelle1!$A$1:$B$68,2,FALSE)</f>
        <v>Diepholz</v>
      </c>
      <c r="F2148" t="str">
        <f>'2020_5-2-2_Download'!$AD$7</f>
        <v>niedrig</v>
      </c>
      <c r="G2148" t="s">
        <v>362</v>
      </c>
      <c r="H2148" t="str">
        <f>VLOOKUP(B2148,[2]Kreise!$A$2:$C$53,3,FALSE)</f>
        <v>K03251</v>
      </c>
      <c r="I2148">
        <f>'2020_5-2-2_Download'!AD24</f>
        <v>21.575556017459988</v>
      </c>
    </row>
    <row r="2149" spans="2:9">
      <c r="B2149">
        <f>'2020_5-2-2_Download'!B25</f>
        <v>252</v>
      </c>
      <c r="C2149">
        <f>'2020_5-2-2_Download'!$Y$5</f>
        <v>2017</v>
      </c>
      <c r="D2149" t="str">
        <f>VLOOKUP(B2149,[1]Tabelle1!$A$1:$B$68,2,FALSE)</f>
        <v>Hameln-Pyrmont</v>
      </c>
      <c r="F2149" t="str">
        <f>'2020_5-2-2_Download'!$AD$7</f>
        <v>niedrig</v>
      </c>
      <c r="G2149" t="s">
        <v>362</v>
      </c>
      <c r="H2149" t="str">
        <f>VLOOKUP(B2149,[2]Kreise!$A$2:$C$53,3,FALSE)</f>
        <v>K03252</v>
      </c>
      <c r="I2149">
        <f>'2020_5-2-2_Download'!AD25</f>
        <v>23.394495412844037</v>
      </c>
    </row>
    <row r="2150" spans="2:9">
      <c r="B2150">
        <f>'2020_5-2-2_Download'!B26</f>
        <v>254</v>
      </c>
      <c r="C2150">
        <f>'2020_5-2-2_Download'!$Y$5</f>
        <v>2017</v>
      </c>
      <c r="D2150" t="str">
        <f>VLOOKUP(B2150,[1]Tabelle1!$A$1:$B$68,2,FALSE)</f>
        <v>Hildesheim</v>
      </c>
      <c r="F2150" t="str">
        <f>'2020_5-2-2_Download'!$AD$7</f>
        <v>niedrig</v>
      </c>
      <c r="G2150" t="s">
        <v>362</v>
      </c>
      <c r="H2150" t="str">
        <f>VLOOKUP(B2150,[2]Kreise!$A$2:$C$53,3,FALSE)</f>
        <v>K03254</v>
      </c>
      <c r="I2150">
        <f>'2020_5-2-2_Download'!AD26</f>
        <v>24.187153053132434</v>
      </c>
    </row>
    <row r="2151" spans="2:9">
      <c r="B2151">
        <f>'2020_5-2-2_Download'!B27</f>
        <v>255</v>
      </c>
      <c r="C2151">
        <f>'2020_5-2-2_Download'!$Y$5</f>
        <v>2017</v>
      </c>
      <c r="D2151" t="str">
        <f>VLOOKUP(B2151,[1]Tabelle1!$A$1:$B$68,2,FALSE)</f>
        <v>Holzminden</v>
      </c>
      <c r="F2151" t="str">
        <f>'2020_5-2-2_Download'!$AD$7</f>
        <v>niedrig</v>
      </c>
      <c r="G2151" t="s">
        <v>362</v>
      </c>
      <c r="H2151" t="str">
        <f>VLOOKUP(B2151,[2]Kreise!$A$2:$C$53,3,FALSE)</f>
        <v>K03255</v>
      </c>
      <c r="I2151">
        <f>'2020_5-2-2_Download'!AD27</f>
        <v>27.113970588235293</v>
      </c>
    </row>
    <row r="2152" spans="2:9">
      <c r="B2152">
        <f>'2020_5-2-2_Download'!B28</f>
        <v>256</v>
      </c>
      <c r="C2152">
        <f>'2020_5-2-2_Download'!$Y$5</f>
        <v>2017</v>
      </c>
      <c r="D2152" t="str">
        <f>VLOOKUP(B2152,[1]Tabelle1!$A$1:$B$68,2,FALSE)</f>
        <v>Nienburg (Weser)</v>
      </c>
      <c r="F2152" t="str">
        <f>'2020_5-2-2_Download'!$AD$7</f>
        <v>niedrig</v>
      </c>
      <c r="G2152" t="s">
        <v>362</v>
      </c>
      <c r="H2152" t="str">
        <f>VLOOKUP(B2152,[2]Kreise!$A$2:$C$53,3,FALSE)</f>
        <v>K03256</v>
      </c>
      <c r="I2152">
        <f>'2020_5-2-2_Download'!AD28</f>
        <v>26.72413793103448</v>
      </c>
    </row>
    <row r="2153" spans="2:9">
      <c r="B2153">
        <f>'2020_5-2-2_Download'!B29</f>
        <v>257</v>
      </c>
      <c r="C2153">
        <f>'2020_5-2-2_Download'!$Y$5</f>
        <v>2017</v>
      </c>
      <c r="D2153" t="str">
        <f>VLOOKUP(B2153,[1]Tabelle1!$A$1:$B$68,2,FALSE)</f>
        <v>Schaumburg</v>
      </c>
      <c r="F2153" t="str">
        <f>'2020_5-2-2_Download'!$AD$7</f>
        <v>niedrig</v>
      </c>
      <c r="G2153" t="s">
        <v>362</v>
      </c>
      <c r="H2153" t="str">
        <f>VLOOKUP(B2153,[2]Kreise!$A$2:$C$53,3,FALSE)</f>
        <v>K03257</v>
      </c>
      <c r="I2153">
        <f>'2020_5-2-2_Download'!AD29</f>
        <v>25.354012137559</v>
      </c>
    </row>
    <row r="2154" spans="2:9">
      <c r="B2154">
        <f>'2020_5-2-2_Download'!B30</f>
        <v>2</v>
      </c>
      <c r="C2154">
        <f>'2020_5-2-2_Download'!$Y$5</f>
        <v>2017</v>
      </c>
      <c r="D2154" t="str">
        <f>VLOOKUP(B2154,[1]Tabelle1!$A$1:$B$68,2,FALSE)</f>
        <v>Stat. Region Hannover</v>
      </c>
      <c r="F2154" t="str">
        <f>'2020_5-2-2_Download'!$AD$7</f>
        <v>niedrig</v>
      </c>
      <c r="G2154" t="s">
        <v>362</v>
      </c>
      <c r="H2154" t="str">
        <f>VLOOKUP(B2154,[2]Kreise!$A$2:$C$53,3,FALSE)</f>
        <v>K032</v>
      </c>
      <c r="I2154">
        <f>'2020_5-2-2_Download'!AD30</f>
        <v>25.124210526315789</v>
      </c>
    </row>
    <row r="2155" spans="2:9">
      <c r="B2155">
        <f>'2020_5-2-2_Download'!B31</f>
        <v>351</v>
      </c>
      <c r="C2155">
        <f>'2020_5-2-2_Download'!$Y$5</f>
        <v>2017</v>
      </c>
      <c r="D2155" t="str">
        <f>VLOOKUP(B2155,[1]Tabelle1!$A$1:$B$68,2,FALSE)</f>
        <v>Celle</v>
      </c>
      <c r="F2155" t="str">
        <f>'2020_5-2-2_Download'!$AD$7</f>
        <v>niedrig</v>
      </c>
      <c r="G2155" t="s">
        <v>362</v>
      </c>
      <c r="H2155" t="str">
        <f>VLOOKUP(B2155,[2]Kreise!$A$2:$C$53,3,FALSE)</f>
        <v>K03351</v>
      </c>
      <c r="I2155">
        <f>'2020_5-2-2_Download'!AD31</f>
        <v>28.520091473374716</v>
      </c>
    </row>
    <row r="2156" spans="2:9">
      <c r="B2156">
        <f>'2020_5-2-2_Download'!B32</f>
        <v>352</v>
      </c>
      <c r="C2156">
        <f>'2020_5-2-2_Download'!$Y$5</f>
        <v>2017</v>
      </c>
      <c r="D2156" t="str">
        <f>VLOOKUP(B2156,[1]Tabelle1!$A$1:$B$68,2,FALSE)</f>
        <v>Cuxhaven</v>
      </c>
      <c r="F2156" t="str">
        <f>'2020_5-2-2_Download'!$AD$7</f>
        <v>niedrig</v>
      </c>
      <c r="G2156" t="s">
        <v>362</v>
      </c>
      <c r="H2156" t="str">
        <f>VLOOKUP(B2156,[2]Kreise!$A$2:$C$53,3,FALSE)</f>
        <v>K03352</v>
      </c>
      <c r="I2156">
        <f>'2020_5-2-2_Download'!AD32</f>
        <v>23.029981427434333</v>
      </c>
    </row>
    <row r="2157" spans="2:9">
      <c r="B2157">
        <f>'2020_5-2-2_Download'!B33</f>
        <v>353</v>
      </c>
      <c r="C2157">
        <f>'2020_5-2-2_Download'!$Y$5</f>
        <v>2017</v>
      </c>
      <c r="D2157" t="str">
        <f>VLOOKUP(B2157,[1]Tabelle1!$A$1:$B$68,2,FALSE)</f>
        <v>Harburg</v>
      </c>
      <c r="F2157" t="str">
        <f>'2020_5-2-2_Download'!$AD$7</f>
        <v>niedrig</v>
      </c>
      <c r="G2157" t="s">
        <v>362</v>
      </c>
      <c r="H2157" t="str">
        <f>VLOOKUP(B2157,[2]Kreise!$A$2:$C$53,3,FALSE)</f>
        <v>K03353</v>
      </c>
      <c r="I2157">
        <f>'2020_5-2-2_Download'!AD33</f>
        <v>19.296272493573266</v>
      </c>
    </row>
    <row r="2158" spans="2:9">
      <c r="B2158">
        <f>'2020_5-2-2_Download'!B34</f>
        <v>354</v>
      </c>
      <c r="C2158">
        <f>'2020_5-2-2_Download'!$Y$5</f>
        <v>2017</v>
      </c>
      <c r="D2158" t="str">
        <f>VLOOKUP(B2158,[1]Tabelle1!$A$1:$B$68,2,FALSE)</f>
        <v>Lüchow-Dannenberg</v>
      </c>
      <c r="F2158" t="str">
        <f>'2020_5-2-2_Download'!$AD$7</f>
        <v>niedrig</v>
      </c>
      <c r="G2158" t="s">
        <v>362</v>
      </c>
      <c r="H2158" t="str">
        <f>VLOOKUP(B2158,[2]Kreise!$A$2:$C$53,3,FALSE)</f>
        <v>K03354</v>
      </c>
      <c r="I2158">
        <f>'2020_5-2-2_Download'!AD34</f>
        <v>16.513761467889911</v>
      </c>
    </row>
    <row r="2159" spans="2:9">
      <c r="B2159">
        <f>'2020_5-2-2_Download'!B35</f>
        <v>355</v>
      </c>
      <c r="C2159">
        <f>'2020_5-2-2_Download'!$Y$5</f>
        <v>2017</v>
      </c>
      <c r="D2159" t="str">
        <f>VLOOKUP(B2159,[1]Tabelle1!$A$1:$B$68,2,FALSE)</f>
        <v>Lüneburg</v>
      </c>
      <c r="F2159" t="str">
        <f>'2020_5-2-2_Download'!$AD$7</f>
        <v>niedrig</v>
      </c>
      <c r="G2159" t="s">
        <v>362</v>
      </c>
      <c r="H2159" t="str">
        <f>VLOOKUP(B2159,[2]Kreise!$A$2:$C$53,3,FALSE)</f>
        <v>K03355</v>
      </c>
      <c r="I2159">
        <f>'2020_5-2-2_Download'!AD35</f>
        <v>22.656000000000002</v>
      </c>
    </row>
    <row r="2160" spans="2:9">
      <c r="B2160">
        <f>'2020_5-2-2_Download'!B36</f>
        <v>356</v>
      </c>
      <c r="C2160">
        <f>'2020_5-2-2_Download'!$Y$5</f>
        <v>2017</v>
      </c>
      <c r="D2160" t="str">
        <f>VLOOKUP(B2160,[1]Tabelle1!$A$1:$B$68,2,FALSE)</f>
        <v>Osterholz</v>
      </c>
      <c r="F2160" t="str">
        <f>'2020_5-2-2_Download'!$AD$7</f>
        <v>niedrig</v>
      </c>
      <c r="G2160" t="s">
        <v>362</v>
      </c>
      <c r="H2160" t="str">
        <f>VLOOKUP(B2160,[2]Kreise!$A$2:$C$53,3,FALSE)</f>
        <v>K03356</v>
      </c>
      <c r="I2160">
        <f>'2020_5-2-2_Download'!AD36</f>
        <v>23.205902079141516</v>
      </c>
    </row>
    <row r="2161" spans="2:9">
      <c r="B2161">
        <f>'2020_5-2-2_Download'!B37</f>
        <v>357</v>
      </c>
      <c r="C2161">
        <f>'2020_5-2-2_Download'!$Y$5</f>
        <v>2017</v>
      </c>
      <c r="D2161" t="str">
        <f>VLOOKUP(B2161,[1]Tabelle1!$A$1:$B$68,2,FALSE)</f>
        <v>Rotenburg (Wümme)</v>
      </c>
      <c r="F2161" t="str">
        <f>'2020_5-2-2_Download'!$AD$7</f>
        <v>niedrig</v>
      </c>
      <c r="G2161" t="s">
        <v>362</v>
      </c>
      <c r="H2161" t="str">
        <f>VLOOKUP(B2161,[2]Kreise!$A$2:$C$53,3,FALSE)</f>
        <v>K03357</v>
      </c>
      <c r="I2161">
        <f>'2020_5-2-2_Download'!AD37</f>
        <v>19.338498212157329</v>
      </c>
    </row>
    <row r="2162" spans="2:9">
      <c r="B2162">
        <f>'2020_5-2-2_Download'!B38</f>
        <v>358</v>
      </c>
      <c r="C2162">
        <f>'2020_5-2-2_Download'!$Y$5</f>
        <v>2017</v>
      </c>
      <c r="D2162" t="str">
        <f>VLOOKUP(B2162,[1]Tabelle1!$A$1:$B$68,2,FALSE)</f>
        <v>Heidekreis</v>
      </c>
      <c r="F2162" t="str">
        <f>'2020_5-2-2_Download'!$AD$7</f>
        <v>niedrig</v>
      </c>
      <c r="G2162" t="s">
        <v>362</v>
      </c>
      <c r="H2162" t="str">
        <f>VLOOKUP(B2162,[2]Kreise!$A$2:$C$53,3,FALSE)</f>
        <v>K03358</v>
      </c>
      <c r="I2162">
        <f>'2020_5-2-2_Download'!AD38</f>
        <v>21.124620060790271</v>
      </c>
    </row>
    <row r="2163" spans="2:9">
      <c r="B2163">
        <f>'2020_5-2-2_Download'!B39</f>
        <v>359</v>
      </c>
      <c r="C2163">
        <f>'2020_5-2-2_Download'!$Y$5</f>
        <v>2017</v>
      </c>
      <c r="D2163" t="str">
        <f>VLOOKUP(B2163,[1]Tabelle1!$A$1:$B$68,2,FALSE)</f>
        <v>Stade</v>
      </c>
      <c r="F2163" t="str">
        <f>'2020_5-2-2_Download'!$AD$7</f>
        <v>niedrig</v>
      </c>
      <c r="G2163" t="s">
        <v>362</v>
      </c>
      <c r="H2163" t="str">
        <f>VLOOKUP(B2163,[2]Kreise!$A$2:$C$53,3,FALSE)</f>
        <v>K03359</v>
      </c>
      <c r="I2163">
        <f>'2020_5-2-2_Download'!AD39</f>
        <v>18.365086397873284</v>
      </c>
    </row>
    <row r="2164" spans="2:9">
      <c r="B2164">
        <f>'2020_5-2-2_Download'!B40</f>
        <v>360</v>
      </c>
      <c r="C2164">
        <f>'2020_5-2-2_Download'!$Y$5</f>
        <v>2017</v>
      </c>
      <c r="D2164" t="str">
        <f>VLOOKUP(B2164,[1]Tabelle1!$A$1:$B$68,2,FALSE)</f>
        <v>Uelzen</v>
      </c>
      <c r="F2164" t="str">
        <f>'2020_5-2-2_Download'!$AD$7</f>
        <v>niedrig</v>
      </c>
      <c r="G2164" t="s">
        <v>362</v>
      </c>
      <c r="H2164" t="str">
        <f>VLOOKUP(B2164,[2]Kreise!$A$2:$C$53,3,FALSE)</f>
        <v>K03360</v>
      </c>
      <c r="I2164">
        <f>'2020_5-2-2_Download'!AD40</f>
        <v>17.831325301204821</v>
      </c>
    </row>
    <row r="2165" spans="2:9">
      <c r="B2165">
        <f>'2020_5-2-2_Download'!B41</f>
        <v>361</v>
      </c>
      <c r="C2165">
        <f>'2020_5-2-2_Download'!$Y$5</f>
        <v>2017</v>
      </c>
      <c r="D2165" t="str">
        <f>VLOOKUP(B2165,[1]Tabelle1!$A$1:$B$68,2,FALSE)</f>
        <v>Verden</v>
      </c>
      <c r="F2165" t="str">
        <f>'2020_5-2-2_Download'!$AD$7</f>
        <v>niedrig</v>
      </c>
      <c r="G2165" t="s">
        <v>362</v>
      </c>
      <c r="H2165" t="str">
        <f>VLOOKUP(B2165,[2]Kreise!$A$2:$C$53,3,FALSE)</f>
        <v>K03361</v>
      </c>
      <c r="I2165">
        <f>'2020_5-2-2_Download'!AD41</f>
        <v>25.213564587108468</v>
      </c>
    </row>
    <row r="2166" spans="2:9">
      <c r="B2166">
        <f>'2020_5-2-2_Download'!B42</f>
        <v>3</v>
      </c>
      <c r="C2166">
        <f>'2020_5-2-2_Download'!$Y$5</f>
        <v>2017</v>
      </c>
      <c r="D2166" t="str">
        <f>VLOOKUP(B2166,[1]Tabelle1!$A$1:$B$68,2,FALSE)</f>
        <v>Stat. Region Lüneburg</v>
      </c>
      <c r="F2166" t="str">
        <f>'2020_5-2-2_Download'!$AD$7</f>
        <v>niedrig</v>
      </c>
      <c r="G2166" t="s">
        <v>362</v>
      </c>
      <c r="H2166" t="str">
        <f>VLOOKUP(B2166,[2]Kreise!$A$2:$C$53,3,FALSE)</f>
        <v>K033</v>
      </c>
      <c r="I2166">
        <f>'2020_5-2-2_Download'!AD42</f>
        <v>21.603260869565215</v>
      </c>
    </row>
    <row r="2167" spans="2:9">
      <c r="B2167">
        <f>'2020_5-2-2_Download'!B43</f>
        <v>401</v>
      </c>
      <c r="C2167">
        <f>'2020_5-2-2_Download'!$Y$5</f>
        <v>2017</v>
      </c>
      <c r="D2167" t="str">
        <f>VLOOKUP(B2167,[1]Tabelle1!$A$1:$B$68,2,FALSE)</f>
        <v>Delmenhorst  Stadt</v>
      </c>
      <c r="F2167" t="str">
        <f>'2020_5-2-2_Download'!$AD$7</f>
        <v>niedrig</v>
      </c>
      <c r="G2167" t="s">
        <v>362</v>
      </c>
      <c r="H2167" t="str">
        <f>VLOOKUP(B2167,[2]Kreise!$A$2:$C$53,3,FALSE)</f>
        <v>K03401</v>
      </c>
      <c r="I2167">
        <f>'2020_5-2-2_Download'!AD43</f>
        <v>26.432291666666668</v>
      </c>
    </row>
    <row r="2168" spans="2:9">
      <c r="B2168">
        <f>'2020_5-2-2_Download'!B44</f>
        <v>402</v>
      </c>
      <c r="C2168">
        <f>'2020_5-2-2_Download'!$Y$5</f>
        <v>2017</v>
      </c>
      <c r="D2168" t="str">
        <f>VLOOKUP(B2168,[1]Tabelle1!$A$1:$B$68,2,FALSE)</f>
        <v>Emden  Stadt</v>
      </c>
      <c r="F2168" t="str">
        <f>'2020_5-2-2_Download'!$AD$7</f>
        <v>niedrig</v>
      </c>
      <c r="G2168" t="s">
        <v>362</v>
      </c>
      <c r="H2168" t="str">
        <f>VLOOKUP(B2168,[2]Kreise!$A$2:$C$53,3,FALSE)</f>
        <v>K03402</v>
      </c>
      <c r="I2168">
        <f>'2020_5-2-2_Download'!AD44</f>
        <v>23.874151758173966</v>
      </c>
    </row>
    <row r="2169" spans="2:9">
      <c r="B2169">
        <f>'2020_5-2-2_Download'!B45</f>
        <v>403</v>
      </c>
      <c r="C2169">
        <f>'2020_5-2-2_Download'!$Y$5</f>
        <v>2017</v>
      </c>
      <c r="D2169" t="str">
        <f>VLOOKUP(B2169,[1]Tabelle1!$A$1:$B$68,2,FALSE)</f>
        <v>Oldenburg(Oldb)  Stadt</v>
      </c>
      <c r="F2169" t="str">
        <f>'2020_5-2-2_Download'!$AD$7</f>
        <v>niedrig</v>
      </c>
      <c r="G2169" t="s">
        <v>362</v>
      </c>
      <c r="H2169" t="str">
        <f>VLOOKUP(B2169,[2]Kreise!$A$2:$C$53,3,FALSE)</f>
        <v>K03403</v>
      </c>
      <c r="I2169">
        <f>'2020_5-2-2_Download'!AD45</f>
        <v>23.989781699953554</v>
      </c>
    </row>
    <row r="2170" spans="2:9">
      <c r="B2170">
        <f>'2020_5-2-2_Download'!B46</f>
        <v>404</v>
      </c>
      <c r="C2170">
        <f>'2020_5-2-2_Download'!$Y$5</f>
        <v>2017</v>
      </c>
      <c r="D2170" t="str">
        <f>VLOOKUP(B2170,[1]Tabelle1!$A$1:$B$68,2,FALSE)</f>
        <v>Osnabrück  Stadt</v>
      </c>
      <c r="F2170" t="str">
        <f>'2020_5-2-2_Download'!$AD$7</f>
        <v>niedrig</v>
      </c>
      <c r="G2170" t="s">
        <v>362</v>
      </c>
      <c r="H2170" t="str">
        <f>VLOOKUP(B2170,[2]Kreise!$A$2:$C$53,3,FALSE)</f>
        <v>K03404</v>
      </c>
      <c r="I2170">
        <f>'2020_5-2-2_Download'!AD46</f>
        <v>29.275985663082437</v>
      </c>
    </row>
    <row r="2171" spans="2:9">
      <c r="B2171">
        <f>'2020_5-2-2_Download'!B47</f>
        <v>405</v>
      </c>
      <c r="C2171">
        <f>'2020_5-2-2_Download'!$Y$5</f>
        <v>2017</v>
      </c>
      <c r="D2171" t="str">
        <f>VLOOKUP(B2171,[1]Tabelle1!$A$1:$B$68,2,FALSE)</f>
        <v>Wilhelmshaven  Stadt</v>
      </c>
      <c r="F2171" t="str">
        <f>'2020_5-2-2_Download'!$AD$7</f>
        <v>niedrig</v>
      </c>
      <c r="G2171" t="s">
        <v>362</v>
      </c>
      <c r="H2171" t="str">
        <f>VLOOKUP(B2171,[2]Kreise!$A$2:$C$53,3,FALSE)</f>
        <v>K03405</v>
      </c>
      <c r="I2171">
        <f>'2020_5-2-2_Download'!AD47</f>
        <v>22.682119205298012</v>
      </c>
    </row>
    <row r="2172" spans="2:9">
      <c r="B2172">
        <f>'2020_5-2-2_Download'!B48</f>
        <v>451</v>
      </c>
      <c r="C2172">
        <f>'2020_5-2-2_Download'!$Y$5</f>
        <v>2017</v>
      </c>
      <c r="D2172" t="str">
        <f>VLOOKUP(B2172,[1]Tabelle1!$A$1:$B$68,2,FALSE)</f>
        <v>Ammerland</v>
      </c>
      <c r="F2172" t="str">
        <f>'2020_5-2-2_Download'!$AD$7</f>
        <v>niedrig</v>
      </c>
      <c r="G2172" t="s">
        <v>362</v>
      </c>
      <c r="H2172" t="str">
        <f>VLOOKUP(B2172,[2]Kreise!$A$2:$C$53,3,FALSE)</f>
        <v>K03451</v>
      </c>
      <c r="I2172">
        <f>'2020_5-2-2_Download'!AD48</f>
        <v>22.801635991820042</v>
      </c>
    </row>
    <row r="2173" spans="2:9">
      <c r="B2173">
        <f>'2020_5-2-2_Download'!B49</f>
        <v>452</v>
      </c>
      <c r="C2173">
        <f>'2020_5-2-2_Download'!$Y$5</f>
        <v>2017</v>
      </c>
      <c r="D2173" t="str">
        <f>VLOOKUP(B2173,[1]Tabelle1!$A$1:$B$68,2,FALSE)</f>
        <v>Aurich</v>
      </c>
      <c r="F2173" t="str">
        <f>'2020_5-2-2_Download'!$AD$7</f>
        <v>niedrig</v>
      </c>
      <c r="G2173" t="s">
        <v>362</v>
      </c>
      <c r="H2173" t="str">
        <f>VLOOKUP(B2173,[2]Kreise!$A$2:$C$53,3,FALSE)</f>
        <v>K03452</v>
      </c>
      <c r="I2173">
        <f>'2020_5-2-2_Download'!AD49</f>
        <v>22.191154041687849</v>
      </c>
    </row>
    <row r="2174" spans="2:9">
      <c r="B2174">
        <f>'2020_5-2-2_Download'!B50</f>
        <v>453</v>
      </c>
      <c r="C2174">
        <f>'2020_5-2-2_Download'!$Y$5</f>
        <v>2017</v>
      </c>
      <c r="D2174" t="str">
        <f>VLOOKUP(B2174,[1]Tabelle1!$A$1:$B$68,2,FALSE)</f>
        <v>Cloppenburg</v>
      </c>
      <c r="F2174" t="str">
        <f>'2020_5-2-2_Download'!$AD$7</f>
        <v>niedrig</v>
      </c>
      <c r="G2174" t="s">
        <v>362</v>
      </c>
      <c r="H2174" t="str">
        <f>VLOOKUP(B2174,[2]Kreise!$A$2:$C$53,3,FALSE)</f>
        <v>K03453</v>
      </c>
      <c r="I2174">
        <f>'2020_5-2-2_Download'!AD50</f>
        <v>25.403632694248234</v>
      </c>
    </row>
    <row r="2175" spans="2:9">
      <c r="B2175">
        <f>'2020_5-2-2_Download'!B51</f>
        <v>454</v>
      </c>
      <c r="C2175">
        <f>'2020_5-2-2_Download'!$Y$5</f>
        <v>2017</v>
      </c>
      <c r="D2175" t="str">
        <f>VLOOKUP(B2175,[1]Tabelle1!$A$1:$B$68,2,FALSE)</f>
        <v>Emsland</v>
      </c>
      <c r="F2175" t="str">
        <f>'2020_5-2-2_Download'!$AD$7</f>
        <v>niedrig</v>
      </c>
      <c r="G2175" t="s">
        <v>362</v>
      </c>
      <c r="H2175" t="str">
        <f>VLOOKUP(B2175,[2]Kreise!$A$2:$C$53,3,FALSE)</f>
        <v>K03454</v>
      </c>
      <c r="I2175">
        <f>'2020_5-2-2_Download'!AD51</f>
        <v>19.204503506829088</v>
      </c>
    </row>
    <row r="2176" spans="2:9">
      <c r="B2176">
        <f>'2020_5-2-2_Download'!B52</f>
        <v>455</v>
      </c>
      <c r="C2176">
        <f>'2020_5-2-2_Download'!$Y$5</f>
        <v>2017</v>
      </c>
      <c r="D2176" t="str">
        <f>VLOOKUP(B2176,[1]Tabelle1!$A$1:$B$68,2,FALSE)</f>
        <v>Friesland</v>
      </c>
      <c r="F2176" t="str">
        <f>'2020_5-2-2_Download'!$AD$7</f>
        <v>niedrig</v>
      </c>
      <c r="G2176" t="s">
        <v>362</v>
      </c>
      <c r="H2176" t="str">
        <f>VLOOKUP(B2176,[2]Kreise!$A$2:$C$53,3,FALSE)</f>
        <v>K03455</v>
      </c>
      <c r="I2176">
        <f>'2020_5-2-2_Download'!AD52</f>
        <v>18.75547765118317</v>
      </c>
    </row>
    <row r="2177" spans="2:9">
      <c r="B2177">
        <f>'2020_5-2-2_Download'!B53</f>
        <v>456</v>
      </c>
      <c r="C2177">
        <f>'2020_5-2-2_Download'!$Y$5</f>
        <v>2017</v>
      </c>
      <c r="D2177" t="str">
        <f>VLOOKUP(B2177,[1]Tabelle1!$A$1:$B$68,2,FALSE)</f>
        <v>Grafschaft Bentheim</v>
      </c>
      <c r="F2177" t="str">
        <f>'2020_5-2-2_Download'!$AD$7</f>
        <v>niedrig</v>
      </c>
      <c r="G2177" t="s">
        <v>362</v>
      </c>
      <c r="H2177" t="str">
        <f>VLOOKUP(B2177,[2]Kreise!$A$2:$C$53,3,FALSE)</f>
        <v>K03456</v>
      </c>
      <c r="I2177">
        <f>'2020_5-2-2_Download'!AD53</f>
        <v>18.540392322294874</v>
      </c>
    </row>
    <row r="2178" spans="2:9">
      <c r="B2178">
        <f>'2020_5-2-2_Download'!B54</f>
        <v>457</v>
      </c>
      <c r="C2178">
        <f>'2020_5-2-2_Download'!$Y$5</f>
        <v>2017</v>
      </c>
      <c r="D2178" t="str">
        <f>VLOOKUP(B2178,[1]Tabelle1!$A$1:$B$68,2,FALSE)</f>
        <v>Leer</v>
      </c>
      <c r="F2178" t="str">
        <f>'2020_5-2-2_Download'!$AD$7</f>
        <v>niedrig</v>
      </c>
      <c r="G2178" t="s">
        <v>362</v>
      </c>
      <c r="H2178" t="str">
        <f>VLOOKUP(B2178,[2]Kreise!$A$2:$C$53,3,FALSE)</f>
        <v>K03457</v>
      </c>
      <c r="I2178">
        <f>'2020_5-2-2_Download'!AD54</f>
        <v>15.691768826619965</v>
      </c>
    </row>
    <row r="2179" spans="2:9">
      <c r="B2179">
        <f>'2020_5-2-2_Download'!B55</f>
        <v>458</v>
      </c>
      <c r="C2179">
        <f>'2020_5-2-2_Download'!$Y$5</f>
        <v>2017</v>
      </c>
      <c r="D2179" t="str">
        <f>VLOOKUP(B2179,[1]Tabelle1!$A$1:$B$68,2,FALSE)</f>
        <v>Oldenburg</v>
      </c>
      <c r="F2179" t="str">
        <f>'2020_5-2-2_Download'!$AD$7</f>
        <v>niedrig</v>
      </c>
      <c r="G2179" t="s">
        <v>362</v>
      </c>
      <c r="H2179" t="str">
        <f>VLOOKUP(B2179,[2]Kreise!$A$2:$C$53,3,FALSE)</f>
        <v>K03458</v>
      </c>
      <c r="I2179">
        <f>'2020_5-2-2_Download'!AD55</f>
        <v>23.548503425892537</v>
      </c>
    </row>
    <row r="2180" spans="2:9">
      <c r="B2180">
        <f>'2020_5-2-2_Download'!B56</f>
        <v>459</v>
      </c>
      <c r="C2180">
        <f>'2020_5-2-2_Download'!$Y$5</f>
        <v>2017</v>
      </c>
      <c r="D2180" t="str">
        <f>VLOOKUP(B2180,[1]Tabelle1!$A$1:$B$68,2,FALSE)</f>
        <v>Osnabrück</v>
      </c>
      <c r="F2180" t="str">
        <f>'2020_5-2-2_Download'!$AD$7</f>
        <v>niedrig</v>
      </c>
      <c r="G2180" t="s">
        <v>362</v>
      </c>
      <c r="H2180" t="str">
        <f>VLOOKUP(B2180,[2]Kreise!$A$2:$C$53,3,FALSE)</f>
        <v>K03459</v>
      </c>
      <c r="I2180">
        <f>'2020_5-2-2_Download'!AD56</f>
        <v>24.673273014505241</v>
      </c>
    </row>
    <row r="2181" spans="2:9">
      <c r="B2181">
        <f>'2020_5-2-2_Download'!B57</f>
        <v>460</v>
      </c>
      <c r="C2181">
        <f>'2020_5-2-2_Download'!$Y$5</f>
        <v>2017</v>
      </c>
      <c r="D2181" t="str">
        <f>VLOOKUP(B2181,[1]Tabelle1!$A$1:$B$68,2,FALSE)</f>
        <v>Vechta</v>
      </c>
      <c r="F2181" t="str">
        <f>'2020_5-2-2_Download'!$AD$7</f>
        <v>niedrig</v>
      </c>
      <c r="G2181" t="s">
        <v>362</v>
      </c>
      <c r="H2181" t="str">
        <f>VLOOKUP(B2181,[2]Kreise!$A$2:$C$53,3,FALSE)</f>
        <v>K03460</v>
      </c>
      <c r="I2181">
        <f>'2020_5-2-2_Download'!AD57</f>
        <v>24.652970571904497</v>
      </c>
    </row>
    <row r="2182" spans="2:9">
      <c r="B2182">
        <f>'2020_5-2-2_Download'!B58</f>
        <v>461</v>
      </c>
      <c r="C2182">
        <f>'2020_5-2-2_Download'!$Y$5</f>
        <v>2017</v>
      </c>
      <c r="D2182" t="str">
        <f>VLOOKUP(B2182,[1]Tabelle1!$A$1:$B$68,2,FALSE)</f>
        <v>Wesermarsch</v>
      </c>
      <c r="F2182" t="str">
        <f>'2020_5-2-2_Download'!$AD$7</f>
        <v>niedrig</v>
      </c>
      <c r="G2182" t="s">
        <v>362</v>
      </c>
      <c r="H2182" t="str">
        <f>VLOOKUP(B2182,[2]Kreise!$A$2:$C$53,3,FALSE)</f>
        <v>K03461</v>
      </c>
      <c r="I2182">
        <f>'2020_5-2-2_Download'!AD58</f>
        <v>18.419800095192766</v>
      </c>
    </row>
    <row r="2183" spans="2:9">
      <c r="B2183">
        <f>'2020_5-2-2_Download'!B59</f>
        <v>462</v>
      </c>
      <c r="C2183">
        <f>'2020_5-2-2_Download'!$Y$5</f>
        <v>2017</v>
      </c>
      <c r="D2183" t="str">
        <f>VLOOKUP(B2183,[1]Tabelle1!$A$1:$B$68,2,FALSE)</f>
        <v>Wittmund</v>
      </c>
      <c r="F2183" t="str">
        <f>'2020_5-2-2_Download'!$AD$7</f>
        <v>niedrig</v>
      </c>
      <c r="G2183" t="s">
        <v>362</v>
      </c>
      <c r="H2183" t="str">
        <f>VLOOKUP(B2183,[2]Kreise!$A$2:$C$53,3,FALSE)</f>
        <v>K03462</v>
      </c>
      <c r="I2183">
        <f>'2020_5-2-2_Download'!AD59</f>
        <v>14.107365792759053</v>
      </c>
    </row>
    <row r="2184" spans="2:9">
      <c r="B2184">
        <f>'2020_5-2-2_Download'!B60</f>
        <v>4</v>
      </c>
      <c r="C2184">
        <f>'2020_5-2-2_Download'!$Y$5</f>
        <v>2017</v>
      </c>
      <c r="D2184" t="str">
        <f>VLOOKUP(B2184,[1]Tabelle1!$A$1:$B$68,2,FALSE)</f>
        <v>Stat. Region Weser-Ems</v>
      </c>
      <c r="F2184" t="str">
        <f>'2020_5-2-2_Download'!$AD$7</f>
        <v>niedrig</v>
      </c>
      <c r="G2184" t="s">
        <v>362</v>
      </c>
      <c r="H2184" t="str">
        <f>VLOOKUP(B2184,[2]Kreise!$A$2:$C$53,3,FALSE)</f>
        <v>K034</v>
      </c>
      <c r="I2184">
        <f>'2020_5-2-2_Download'!AD60</f>
        <v>23.058724768191706</v>
      </c>
    </row>
    <row r="2185" spans="2:9">
      <c r="B2185">
        <f>'2020_5-2-2_Download'!B61</f>
        <v>0</v>
      </c>
      <c r="C2185">
        <f>'2020_5-2-2_Download'!$Y$5</f>
        <v>2017</v>
      </c>
      <c r="D2185" t="str">
        <f>VLOOKUP(B2185,[1]Tabelle1!$A$1:$B$68,2,FALSE)</f>
        <v>Niedersachsen</v>
      </c>
      <c r="F2185" t="str">
        <f>'2020_5-2-2_Download'!$AD$7</f>
        <v>niedrig</v>
      </c>
      <c r="G2185" t="s">
        <v>362</v>
      </c>
      <c r="H2185" t="str">
        <f>VLOOKUP(B2185,[2]Kreise!$A$2:$C$53,3,FALSE)</f>
        <v>K030</v>
      </c>
      <c r="I2185">
        <f>'2020_5-2-2_Download'!AD61</f>
        <v>23.068904133187861</v>
      </c>
    </row>
    <row r="2186" spans="2:9">
      <c r="B2186">
        <f>'2020_5-2-2_Download'!B10</f>
        <v>101</v>
      </c>
      <c r="C2186">
        <f>'2020_5-2-2_Download'!$Y$5</f>
        <v>2017</v>
      </c>
      <c r="D2186" t="str">
        <f>VLOOKUP(B2186,[1]Tabelle1!$A$1:$B$68,2,FALSE)</f>
        <v>Braunschweig  Stadt</v>
      </c>
      <c r="F2186" t="str">
        <f>'2020_5-2-2_Download'!$AE$7</f>
        <v>unbekannt</v>
      </c>
      <c r="G2186" t="s">
        <v>362</v>
      </c>
      <c r="H2186" t="str">
        <f>VLOOKUP(B2186,[2]Kreise!$A$2:$C$53,3,FALSE)</f>
        <v>K03101</v>
      </c>
      <c r="I2186">
        <f>'2020_5-2-2_Download'!AE10</f>
        <v>25.97474523704032</v>
      </c>
    </row>
    <row r="2187" spans="2:9">
      <c r="B2187">
        <f>'2020_5-2-2_Download'!B11</f>
        <v>102</v>
      </c>
      <c r="C2187">
        <f>'2020_5-2-2_Download'!$Y$5</f>
        <v>2017</v>
      </c>
      <c r="D2187" t="str">
        <f>VLOOKUP(B2187,[1]Tabelle1!$A$1:$B$68,2,FALSE)</f>
        <v>Salzgitter  Stadt</v>
      </c>
      <c r="F2187" t="str">
        <f>'2020_5-2-2_Download'!$AE$7</f>
        <v>unbekannt</v>
      </c>
      <c r="G2187" t="s">
        <v>362</v>
      </c>
      <c r="H2187" t="str">
        <f>VLOOKUP(B2187,[2]Kreise!$A$2:$C$53,3,FALSE)</f>
        <v>K03102</v>
      </c>
      <c r="I2187">
        <f>'2020_5-2-2_Download'!AE11</f>
        <v>28.413376917274331</v>
      </c>
    </row>
    <row r="2188" spans="2:9">
      <c r="B2188">
        <f>'2020_5-2-2_Download'!B12</f>
        <v>103</v>
      </c>
      <c r="C2188">
        <f>'2020_5-2-2_Download'!$Y$5</f>
        <v>2017</v>
      </c>
      <c r="D2188" t="str">
        <f>VLOOKUP(B2188,[1]Tabelle1!$A$1:$B$68,2,FALSE)</f>
        <v>Wolfsburg  Stadt</v>
      </c>
      <c r="F2188" t="str">
        <f>'2020_5-2-2_Download'!$AE$7</f>
        <v>unbekannt</v>
      </c>
      <c r="G2188" t="s">
        <v>362</v>
      </c>
      <c r="H2188" t="str">
        <f>VLOOKUP(B2188,[2]Kreise!$A$2:$C$53,3,FALSE)</f>
        <v>K03103</v>
      </c>
      <c r="I2188">
        <f>'2020_5-2-2_Download'!AE12</f>
        <v>30.793331095445897</v>
      </c>
    </row>
    <row r="2189" spans="2:9">
      <c r="B2189">
        <f>'2020_5-2-2_Download'!B13</f>
        <v>151</v>
      </c>
      <c r="C2189">
        <f>'2020_5-2-2_Download'!$Y$5</f>
        <v>2017</v>
      </c>
      <c r="D2189" t="str">
        <f>VLOOKUP(B2189,[1]Tabelle1!$A$1:$B$68,2,FALSE)</f>
        <v>Gifhorn</v>
      </c>
      <c r="F2189" t="str">
        <f>'2020_5-2-2_Download'!$AE$7</f>
        <v>unbekannt</v>
      </c>
      <c r="G2189" t="s">
        <v>362</v>
      </c>
      <c r="H2189" t="str">
        <f>VLOOKUP(B2189,[2]Kreise!$A$2:$C$53,3,FALSE)</f>
        <v>K03151</v>
      </c>
      <c r="I2189">
        <f>'2020_5-2-2_Download'!AE13</f>
        <v>31.838749485808311</v>
      </c>
    </row>
    <row r="2190" spans="2:9">
      <c r="B2190">
        <f>'2020_5-2-2_Download'!B14</f>
        <v>153</v>
      </c>
      <c r="C2190">
        <f>'2020_5-2-2_Download'!$Y$5</f>
        <v>2017</v>
      </c>
      <c r="D2190" t="str">
        <f>VLOOKUP(B2190,[1]Tabelle1!$A$1:$B$68,2,FALSE)</f>
        <v>Goslar</v>
      </c>
      <c r="F2190" t="str">
        <f>'2020_5-2-2_Download'!$AE$7</f>
        <v>unbekannt</v>
      </c>
      <c r="G2190" t="s">
        <v>362</v>
      </c>
      <c r="H2190" t="str">
        <f>VLOOKUP(B2190,[2]Kreise!$A$2:$C$53,3,FALSE)</f>
        <v>K03153</v>
      </c>
      <c r="I2190">
        <f>'2020_5-2-2_Download'!AE14</f>
        <v>29.064449064449065</v>
      </c>
    </row>
    <row r="2191" spans="2:9">
      <c r="B2191">
        <f>'2020_5-2-2_Download'!B15</f>
        <v>154</v>
      </c>
      <c r="C2191">
        <f>'2020_5-2-2_Download'!$Y$5</f>
        <v>2017</v>
      </c>
      <c r="D2191" t="str">
        <f>VLOOKUP(B2191,[1]Tabelle1!$A$1:$B$68,2,FALSE)</f>
        <v>Helmstedt</v>
      </c>
      <c r="F2191" t="str">
        <f>'2020_5-2-2_Download'!$AE$7</f>
        <v>unbekannt</v>
      </c>
      <c r="G2191" t="s">
        <v>362</v>
      </c>
      <c r="H2191" t="str">
        <f>VLOOKUP(B2191,[2]Kreise!$A$2:$C$53,3,FALSE)</f>
        <v>K03154</v>
      </c>
      <c r="I2191">
        <f>'2020_5-2-2_Download'!AE15</f>
        <v>23.861003861003859</v>
      </c>
    </row>
    <row r="2192" spans="2:9">
      <c r="B2192">
        <f>'2020_5-2-2_Download'!B16</f>
        <v>155</v>
      </c>
      <c r="C2192">
        <f>'2020_5-2-2_Download'!$Y$5</f>
        <v>2017</v>
      </c>
      <c r="D2192" t="str">
        <f>VLOOKUP(B2192,[1]Tabelle1!$A$1:$B$68,2,FALSE)</f>
        <v>Northeim</v>
      </c>
      <c r="F2192" t="str">
        <f>'2020_5-2-2_Download'!$AE$7</f>
        <v>unbekannt</v>
      </c>
      <c r="G2192" t="s">
        <v>362</v>
      </c>
      <c r="H2192" t="str">
        <f>VLOOKUP(B2192,[2]Kreise!$A$2:$C$53,3,FALSE)</f>
        <v>K03155</v>
      </c>
      <c r="I2192">
        <f>'2020_5-2-2_Download'!AE16</f>
        <v>24.407672057164348</v>
      </c>
    </row>
    <row r="2193" spans="2:9">
      <c r="B2193">
        <f>'2020_5-2-2_Download'!B17</f>
        <v>157</v>
      </c>
      <c r="C2193">
        <f>'2020_5-2-2_Download'!$Y$5</f>
        <v>2017</v>
      </c>
      <c r="D2193" t="str">
        <f>VLOOKUP(B2193,[1]Tabelle1!$A$1:$B$68,2,FALSE)</f>
        <v>Peine</v>
      </c>
      <c r="F2193" t="str">
        <f>'2020_5-2-2_Download'!$AE$7</f>
        <v>unbekannt</v>
      </c>
      <c r="G2193" t="s">
        <v>362</v>
      </c>
      <c r="H2193" t="str">
        <f>VLOOKUP(B2193,[2]Kreise!$A$2:$C$53,3,FALSE)</f>
        <v>K03157</v>
      </c>
      <c r="I2193">
        <f>'2020_5-2-2_Download'!AE17</f>
        <v>28.428701180744774</v>
      </c>
    </row>
    <row r="2194" spans="2:9">
      <c r="B2194">
        <f>'2020_5-2-2_Download'!B18</f>
        <v>158</v>
      </c>
      <c r="C2194">
        <f>'2020_5-2-2_Download'!$Y$5</f>
        <v>2017</v>
      </c>
      <c r="D2194" t="str">
        <f>VLOOKUP(B2194,[1]Tabelle1!$A$1:$B$68,2,FALSE)</f>
        <v>Wolfenbüttel</v>
      </c>
      <c r="F2194" t="str">
        <f>'2020_5-2-2_Download'!$AE$7</f>
        <v>unbekannt</v>
      </c>
      <c r="G2194" t="s">
        <v>362</v>
      </c>
      <c r="H2194" t="str">
        <f>VLOOKUP(B2194,[2]Kreise!$A$2:$C$53,3,FALSE)</f>
        <v>K03158</v>
      </c>
      <c r="I2194">
        <f>'2020_5-2-2_Download'!AE18</f>
        <v>27.062706270627064</v>
      </c>
    </row>
    <row r="2195" spans="2:9">
      <c r="B2195">
        <f>'2020_5-2-2_Download'!B19</f>
        <v>159</v>
      </c>
      <c r="C2195">
        <f>'2020_5-2-2_Download'!$Y$5</f>
        <v>2017</v>
      </c>
      <c r="D2195" t="str">
        <f>VLOOKUP(B2195,[1]Tabelle1!$A$1:$B$68,2,FALSE)</f>
        <v>Göttingen</v>
      </c>
      <c r="F2195" t="str">
        <f>'2020_5-2-2_Download'!$AE$7</f>
        <v>unbekannt</v>
      </c>
      <c r="G2195" t="s">
        <v>362</v>
      </c>
      <c r="H2195" t="str">
        <f>VLOOKUP(B2195,[2]Kreise!$A$2:$C$53,3,FALSE)</f>
        <v>K03159</v>
      </c>
      <c r="I2195">
        <f>'2020_5-2-2_Download'!AE19</f>
        <v>17.793777320647983</v>
      </c>
    </row>
    <row r="2196" spans="2:9">
      <c r="B2196">
        <f>'2020_5-2-2_Download'!B20</f>
        <v>1</v>
      </c>
      <c r="C2196">
        <f>'2020_5-2-2_Download'!$Y$5</f>
        <v>2017</v>
      </c>
      <c r="D2196" t="str">
        <f>VLOOKUP(B2196,[1]Tabelle1!$A$1:$B$68,2,FALSE)</f>
        <v>Stat. Region Braunschweig</v>
      </c>
      <c r="F2196" t="str">
        <f>'2020_5-2-2_Download'!$AE$7</f>
        <v>unbekannt</v>
      </c>
      <c r="G2196" t="s">
        <v>362</v>
      </c>
      <c r="H2196" t="str">
        <f>VLOOKUP(B2196,[2]Kreise!$A$2:$C$53,3,FALSE)</f>
        <v>K031</v>
      </c>
      <c r="I2196">
        <f>'2020_5-2-2_Download'!AE20</f>
        <v>26.228413319339754</v>
      </c>
    </row>
    <row r="2197" spans="2:9">
      <c r="B2197">
        <f>'2020_5-2-2_Download'!B21</f>
        <v>241</v>
      </c>
      <c r="C2197">
        <f>'2020_5-2-2_Download'!$Y$5</f>
        <v>2017</v>
      </c>
      <c r="D2197" t="str">
        <f>VLOOKUP(B2197,[1]Tabelle1!$A$1:$B$68,2,FALSE)</f>
        <v>Hannover  Region</v>
      </c>
      <c r="F2197" t="str">
        <f>'2020_5-2-2_Download'!$AE$7</f>
        <v>unbekannt</v>
      </c>
      <c r="G2197" t="s">
        <v>362</v>
      </c>
      <c r="H2197" t="str">
        <f>VLOOKUP(B2197,[2]Kreise!$A$2:$C$53,3,FALSE)</f>
        <v>K03241</v>
      </c>
      <c r="I2197">
        <f>'2020_5-2-2_Download'!AE21</f>
        <v>28.937999727642357</v>
      </c>
    </row>
    <row r="2198" spans="2:9">
      <c r="B2198">
        <f>'2020_5-2-2_Download'!B22</f>
        <v>241001</v>
      </c>
      <c r="C2198">
        <f>'2020_5-2-2_Download'!$Y$5</f>
        <v>2017</v>
      </c>
      <c r="D2198" t="str">
        <f>VLOOKUP(B2198,[1]Tabelle1!$A$1:$B$68,2,FALSE)</f>
        <v>dav. Hannover  Lhst.</v>
      </c>
      <c r="F2198" t="str">
        <f>'2020_5-2-2_Download'!$AE$7</f>
        <v>unbekannt</v>
      </c>
      <c r="G2198" t="s">
        <v>362</v>
      </c>
      <c r="H2198" t="str">
        <f>VLOOKUP(B2198,[2]Kreise!$A$2:$C$53,3,FALSE)</f>
        <v>K03241001</v>
      </c>
      <c r="I2198">
        <f>'2020_5-2-2_Download'!AE22</f>
        <v>27.853337698282786</v>
      </c>
    </row>
    <row r="2199" spans="2:9">
      <c r="B2199">
        <f>'2020_5-2-2_Download'!B23</f>
        <v>241999</v>
      </c>
      <c r="C2199">
        <f>'2020_5-2-2_Download'!$Y$5</f>
        <v>2017</v>
      </c>
      <c r="D2199" t="str">
        <f>VLOOKUP(B2199,[1]Tabelle1!$A$1:$B$68,2,FALSE)</f>
        <v>dav. Hannover  Umland</v>
      </c>
      <c r="F2199" t="str">
        <f>'2020_5-2-2_Download'!$AE$7</f>
        <v>unbekannt</v>
      </c>
      <c r="G2199" t="s">
        <v>362</v>
      </c>
      <c r="H2199" t="str">
        <f>VLOOKUP(B2199,[2]Kreise!$A$2:$C$53,3,FALSE)</f>
        <v>K03241999</v>
      </c>
      <c r="I2199">
        <f>'2020_5-2-2_Download'!AE23</f>
        <v>30.985282552522186</v>
      </c>
    </row>
    <row r="2200" spans="2:9">
      <c r="B2200">
        <f>'2020_5-2-2_Download'!B24</f>
        <v>251</v>
      </c>
      <c r="C2200">
        <f>'2020_5-2-2_Download'!$Y$5</f>
        <v>2017</v>
      </c>
      <c r="D2200" t="str">
        <f>VLOOKUP(B2200,[1]Tabelle1!$A$1:$B$68,2,FALSE)</f>
        <v>Diepholz</v>
      </c>
      <c r="F2200" t="str">
        <f>'2020_5-2-2_Download'!$AE$7</f>
        <v>unbekannt</v>
      </c>
      <c r="G2200" t="s">
        <v>362</v>
      </c>
      <c r="H2200" t="str">
        <f>VLOOKUP(B2200,[2]Kreise!$A$2:$C$53,3,FALSE)</f>
        <v>K03251</v>
      </c>
      <c r="I2200">
        <f>'2020_5-2-2_Download'!AE24</f>
        <v>37.476616088131365</v>
      </c>
    </row>
    <row r="2201" spans="2:9">
      <c r="B2201">
        <f>'2020_5-2-2_Download'!B25</f>
        <v>252</v>
      </c>
      <c r="C2201">
        <f>'2020_5-2-2_Download'!$Y$5</f>
        <v>2017</v>
      </c>
      <c r="D2201" t="str">
        <f>VLOOKUP(B2201,[1]Tabelle1!$A$1:$B$68,2,FALSE)</f>
        <v>Hameln-Pyrmont</v>
      </c>
      <c r="F2201" t="str">
        <f>'2020_5-2-2_Download'!$AE$7</f>
        <v>unbekannt</v>
      </c>
      <c r="G2201" t="s">
        <v>362</v>
      </c>
      <c r="H2201" t="str">
        <f>VLOOKUP(B2201,[2]Kreise!$A$2:$C$53,3,FALSE)</f>
        <v>K03252</v>
      </c>
      <c r="I2201">
        <f>'2020_5-2-2_Download'!AE25</f>
        <v>28.103975535168196</v>
      </c>
    </row>
    <row r="2202" spans="2:9">
      <c r="B2202">
        <f>'2020_5-2-2_Download'!B26</f>
        <v>254</v>
      </c>
      <c r="C2202">
        <f>'2020_5-2-2_Download'!$Y$5</f>
        <v>2017</v>
      </c>
      <c r="D2202" t="str">
        <f>VLOOKUP(B2202,[1]Tabelle1!$A$1:$B$68,2,FALSE)</f>
        <v>Hildesheim</v>
      </c>
      <c r="F2202" t="str">
        <f>'2020_5-2-2_Download'!$AE$7</f>
        <v>unbekannt</v>
      </c>
      <c r="G2202" t="s">
        <v>362</v>
      </c>
      <c r="H2202" t="str">
        <f>VLOOKUP(B2202,[2]Kreise!$A$2:$C$53,3,FALSE)</f>
        <v>K03254</v>
      </c>
      <c r="I2202">
        <f>'2020_5-2-2_Download'!AE26</f>
        <v>23.394131641554321</v>
      </c>
    </row>
    <row r="2203" spans="2:9">
      <c r="B2203">
        <f>'2020_5-2-2_Download'!B27</f>
        <v>255</v>
      </c>
      <c r="C2203">
        <f>'2020_5-2-2_Download'!$Y$5</f>
        <v>2017</v>
      </c>
      <c r="D2203" t="str">
        <f>VLOOKUP(B2203,[1]Tabelle1!$A$1:$B$68,2,FALSE)</f>
        <v>Holzminden</v>
      </c>
      <c r="F2203" t="str">
        <f>'2020_5-2-2_Download'!$AE$7</f>
        <v>unbekannt</v>
      </c>
      <c r="G2203" t="s">
        <v>362</v>
      </c>
      <c r="H2203" t="str">
        <f>VLOOKUP(B2203,[2]Kreise!$A$2:$C$53,3,FALSE)</f>
        <v>K03255</v>
      </c>
      <c r="I2203">
        <f>'2020_5-2-2_Download'!AE27</f>
        <v>26.5625</v>
      </c>
    </row>
    <row r="2204" spans="2:9">
      <c r="B2204">
        <f>'2020_5-2-2_Download'!B28</f>
        <v>256</v>
      </c>
      <c r="C2204">
        <f>'2020_5-2-2_Download'!$Y$5</f>
        <v>2017</v>
      </c>
      <c r="D2204" t="str">
        <f>VLOOKUP(B2204,[1]Tabelle1!$A$1:$B$68,2,FALSE)</f>
        <v>Nienburg (Weser)</v>
      </c>
      <c r="F2204" t="str">
        <f>'2020_5-2-2_Download'!$AE$7</f>
        <v>unbekannt</v>
      </c>
      <c r="G2204" t="s">
        <v>362</v>
      </c>
      <c r="H2204" t="str">
        <f>VLOOKUP(B2204,[2]Kreise!$A$2:$C$53,3,FALSE)</f>
        <v>K03256</v>
      </c>
      <c r="I2204">
        <f>'2020_5-2-2_Download'!AE28</f>
        <v>39.467766116941526</v>
      </c>
    </row>
    <row r="2205" spans="2:9">
      <c r="B2205">
        <f>'2020_5-2-2_Download'!B29</f>
        <v>257</v>
      </c>
      <c r="C2205">
        <f>'2020_5-2-2_Download'!$Y$5</f>
        <v>2017</v>
      </c>
      <c r="D2205" t="str">
        <f>VLOOKUP(B2205,[1]Tabelle1!$A$1:$B$68,2,FALSE)</f>
        <v>Schaumburg</v>
      </c>
      <c r="F2205" t="str">
        <f>'2020_5-2-2_Download'!$AE$7</f>
        <v>unbekannt</v>
      </c>
      <c r="G2205" t="s">
        <v>362</v>
      </c>
      <c r="H2205" t="str">
        <f>VLOOKUP(B2205,[2]Kreise!$A$2:$C$53,3,FALSE)</f>
        <v>K03257</v>
      </c>
      <c r="I2205">
        <f>'2020_5-2-2_Download'!AE29</f>
        <v>23.769386378961567</v>
      </c>
    </row>
    <row r="2206" spans="2:9">
      <c r="B2206">
        <f>'2020_5-2-2_Download'!B30</f>
        <v>2</v>
      </c>
      <c r="C2206">
        <f>'2020_5-2-2_Download'!$Y$5</f>
        <v>2017</v>
      </c>
      <c r="D2206" t="str">
        <f>VLOOKUP(B2206,[1]Tabelle1!$A$1:$B$68,2,FALSE)</f>
        <v>Stat. Region Hannover</v>
      </c>
      <c r="F2206" t="str">
        <f>'2020_5-2-2_Download'!$AE$7</f>
        <v>unbekannt</v>
      </c>
      <c r="G2206" t="s">
        <v>362</v>
      </c>
      <c r="H2206" t="str">
        <f>VLOOKUP(B2206,[2]Kreise!$A$2:$C$53,3,FALSE)</f>
        <v>K032</v>
      </c>
      <c r="I2206">
        <f>'2020_5-2-2_Download'!AE30</f>
        <v>29.226666666666667</v>
      </c>
    </row>
    <row r="2207" spans="2:9">
      <c r="B2207">
        <f>'2020_5-2-2_Download'!B31</f>
        <v>351</v>
      </c>
      <c r="C2207">
        <f>'2020_5-2-2_Download'!$Y$5</f>
        <v>2017</v>
      </c>
      <c r="D2207" t="str">
        <f>VLOOKUP(B2207,[1]Tabelle1!$A$1:$B$68,2,FALSE)</f>
        <v>Celle</v>
      </c>
      <c r="F2207" t="str">
        <f>'2020_5-2-2_Download'!$AE$7</f>
        <v>unbekannt</v>
      </c>
      <c r="G2207" t="s">
        <v>362</v>
      </c>
      <c r="H2207" t="str">
        <f>VLOOKUP(B2207,[2]Kreise!$A$2:$C$53,3,FALSE)</f>
        <v>K03351</v>
      </c>
      <c r="I2207">
        <f>'2020_5-2-2_Download'!AE31</f>
        <v>23.881084612871611</v>
      </c>
    </row>
    <row r="2208" spans="2:9">
      <c r="B2208">
        <f>'2020_5-2-2_Download'!B32</f>
        <v>352</v>
      </c>
      <c r="C2208">
        <f>'2020_5-2-2_Download'!$Y$5</f>
        <v>2017</v>
      </c>
      <c r="D2208" t="str">
        <f>VLOOKUP(B2208,[1]Tabelle1!$A$1:$B$68,2,FALSE)</f>
        <v>Cuxhaven</v>
      </c>
      <c r="F2208" t="str">
        <f>'2020_5-2-2_Download'!$AE$7</f>
        <v>unbekannt</v>
      </c>
      <c r="G2208" t="s">
        <v>362</v>
      </c>
      <c r="H2208" t="str">
        <f>VLOOKUP(B2208,[2]Kreise!$A$2:$C$53,3,FALSE)</f>
        <v>K03352</v>
      </c>
      <c r="I2208">
        <f>'2020_5-2-2_Download'!AE32</f>
        <v>42.53117537808437</v>
      </c>
    </row>
    <row r="2209" spans="2:9">
      <c r="B2209">
        <f>'2020_5-2-2_Download'!B33</f>
        <v>353</v>
      </c>
      <c r="C2209">
        <f>'2020_5-2-2_Download'!$Y$5</f>
        <v>2017</v>
      </c>
      <c r="D2209" t="str">
        <f>VLOOKUP(B2209,[1]Tabelle1!$A$1:$B$68,2,FALSE)</f>
        <v>Harburg</v>
      </c>
      <c r="F2209" t="str">
        <f>'2020_5-2-2_Download'!$AE$7</f>
        <v>unbekannt</v>
      </c>
      <c r="G2209" t="s">
        <v>362</v>
      </c>
      <c r="H2209" t="str">
        <f>VLOOKUP(B2209,[2]Kreise!$A$2:$C$53,3,FALSE)</f>
        <v>K03353</v>
      </c>
      <c r="I2209">
        <f>'2020_5-2-2_Download'!AE33</f>
        <v>45.453084832904885</v>
      </c>
    </row>
    <row r="2210" spans="2:9">
      <c r="B2210">
        <f>'2020_5-2-2_Download'!B34</f>
        <v>354</v>
      </c>
      <c r="C2210">
        <f>'2020_5-2-2_Download'!$Y$5</f>
        <v>2017</v>
      </c>
      <c r="D2210" t="str">
        <f>VLOOKUP(B2210,[1]Tabelle1!$A$1:$B$68,2,FALSE)</f>
        <v>Lüchow-Dannenberg</v>
      </c>
      <c r="F2210" t="str">
        <f>'2020_5-2-2_Download'!$AE$7</f>
        <v>unbekannt</v>
      </c>
      <c r="G2210" t="s">
        <v>362</v>
      </c>
      <c r="H2210" t="str">
        <f>VLOOKUP(B2210,[2]Kreise!$A$2:$C$53,3,FALSE)</f>
        <v>K03354</v>
      </c>
      <c r="I2210">
        <f>'2020_5-2-2_Download'!AE34</f>
        <v>44.801223241590215</v>
      </c>
    </row>
    <row r="2211" spans="2:9">
      <c r="B2211">
        <f>'2020_5-2-2_Download'!B35</f>
        <v>355</v>
      </c>
      <c r="C2211">
        <f>'2020_5-2-2_Download'!$Y$5</f>
        <v>2017</v>
      </c>
      <c r="D2211" t="str">
        <f>VLOOKUP(B2211,[1]Tabelle1!$A$1:$B$68,2,FALSE)</f>
        <v>Lüneburg</v>
      </c>
      <c r="F2211" t="str">
        <f>'2020_5-2-2_Download'!$AE$7</f>
        <v>unbekannt</v>
      </c>
      <c r="G2211" t="s">
        <v>362</v>
      </c>
      <c r="H2211" t="str">
        <f>VLOOKUP(B2211,[2]Kreise!$A$2:$C$53,3,FALSE)</f>
        <v>K03355</v>
      </c>
      <c r="I2211">
        <f>'2020_5-2-2_Download'!AE35</f>
        <v>29.311999999999998</v>
      </c>
    </row>
    <row r="2212" spans="2:9">
      <c r="B2212">
        <f>'2020_5-2-2_Download'!B36</f>
        <v>356</v>
      </c>
      <c r="C2212">
        <f>'2020_5-2-2_Download'!$Y$5</f>
        <v>2017</v>
      </c>
      <c r="D2212" t="str">
        <f>VLOOKUP(B2212,[1]Tabelle1!$A$1:$B$68,2,FALSE)</f>
        <v>Osterholz</v>
      </c>
      <c r="F2212" t="str">
        <f>'2020_5-2-2_Download'!$AE$7</f>
        <v>unbekannt</v>
      </c>
      <c r="G2212" t="s">
        <v>362</v>
      </c>
      <c r="H2212" t="str">
        <f>VLOOKUP(B2212,[2]Kreise!$A$2:$C$53,3,FALSE)</f>
        <v>K03356</v>
      </c>
      <c r="I2212">
        <f>'2020_5-2-2_Download'!AE36</f>
        <v>32.461435278336687</v>
      </c>
    </row>
    <row r="2213" spans="2:9">
      <c r="B2213">
        <f>'2020_5-2-2_Download'!B37</f>
        <v>357</v>
      </c>
      <c r="C2213">
        <f>'2020_5-2-2_Download'!$Y$5</f>
        <v>2017</v>
      </c>
      <c r="D2213" t="str">
        <f>VLOOKUP(B2213,[1]Tabelle1!$A$1:$B$68,2,FALSE)</f>
        <v>Rotenburg (Wümme)</v>
      </c>
      <c r="F2213" t="str">
        <f>'2020_5-2-2_Download'!$AE$7</f>
        <v>unbekannt</v>
      </c>
      <c r="G2213" t="s">
        <v>362</v>
      </c>
      <c r="H2213" t="str">
        <f>VLOOKUP(B2213,[2]Kreise!$A$2:$C$53,3,FALSE)</f>
        <v>K03357</v>
      </c>
      <c r="I2213">
        <f>'2020_5-2-2_Download'!AE37</f>
        <v>34.535160905840286</v>
      </c>
    </row>
    <row r="2214" spans="2:9">
      <c r="B2214">
        <f>'2020_5-2-2_Download'!B38</f>
        <v>358</v>
      </c>
      <c r="C2214">
        <f>'2020_5-2-2_Download'!$Y$5</f>
        <v>2017</v>
      </c>
      <c r="D2214" t="str">
        <f>VLOOKUP(B2214,[1]Tabelle1!$A$1:$B$68,2,FALSE)</f>
        <v>Heidekreis</v>
      </c>
      <c r="F2214" t="str">
        <f>'2020_5-2-2_Download'!$AE$7</f>
        <v>unbekannt</v>
      </c>
      <c r="G2214" t="s">
        <v>362</v>
      </c>
      <c r="H2214" t="str">
        <f>VLOOKUP(B2214,[2]Kreise!$A$2:$C$53,3,FALSE)</f>
        <v>K03358</v>
      </c>
      <c r="I2214">
        <f>'2020_5-2-2_Download'!AE38</f>
        <v>35.562310030395139</v>
      </c>
    </row>
    <row r="2215" spans="2:9">
      <c r="B2215">
        <f>'2020_5-2-2_Download'!B39</f>
        <v>359</v>
      </c>
      <c r="C2215">
        <f>'2020_5-2-2_Download'!$Y$5</f>
        <v>2017</v>
      </c>
      <c r="D2215" t="str">
        <f>VLOOKUP(B2215,[1]Tabelle1!$A$1:$B$68,2,FALSE)</f>
        <v>Stade</v>
      </c>
      <c r="F2215" t="str">
        <f>'2020_5-2-2_Download'!$AE$7</f>
        <v>unbekannt</v>
      </c>
      <c r="G2215" t="s">
        <v>362</v>
      </c>
      <c r="H2215" t="str">
        <f>VLOOKUP(B2215,[2]Kreise!$A$2:$C$53,3,FALSE)</f>
        <v>K03359</v>
      </c>
      <c r="I2215">
        <f>'2020_5-2-2_Download'!AE39</f>
        <v>47.673903411608329</v>
      </c>
    </row>
    <row r="2216" spans="2:9">
      <c r="B2216">
        <f>'2020_5-2-2_Download'!B40</f>
        <v>360</v>
      </c>
      <c r="C2216">
        <f>'2020_5-2-2_Download'!$Y$5</f>
        <v>2017</v>
      </c>
      <c r="D2216" t="str">
        <f>VLOOKUP(B2216,[1]Tabelle1!$A$1:$B$68,2,FALSE)</f>
        <v>Uelzen</v>
      </c>
      <c r="F2216" t="str">
        <f>'2020_5-2-2_Download'!$AE$7</f>
        <v>unbekannt</v>
      </c>
      <c r="G2216" t="s">
        <v>362</v>
      </c>
      <c r="H2216" t="str">
        <f>VLOOKUP(B2216,[2]Kreise!$A$2:$C$53,3,FALSE)</f>
        <v>K03360</v>
      </c>
      <c r="I2216">
        <f>'2020_5-2-2_Download'!AE40</f>
        <v>32.851405622489963</v>
      </c>
    </row>
    <row r="2217" spans="2:9">
      <c r="B2217">
        <f>'2020_5-2-2_Download'!B41</f>
        <v>361</v>
      </c>
      <c r="C2217">
        <f>'2020_5-2-2_Download'!$Y$5</f>
        <v>2017</v>
      </c>
      <c r="D2217" t="str">
        <f>VLOOKUP(B2217,[1]Tabelle1!$A$1:$B$68,2,FALSE)</f>
        <v>Verden</v>
      </c>
      <c r="F2217" t="str">
        <f>'2020_5-2-2_Download'!$AE$7</f>
        <v>unbekannt</v>
      </c>
      <c r="G2217" t="s">
        <v>362</v>
      </c>
      <c r="H2217" t="str">
        <f>VLOOKUP(B2217,[2]Kreise!$A$2:$C$53,3,FALSE)</f>
        <v>K03361</v>
      </c>
      <c r="I2217">
        <f>'2020_5-2-2_Download'!AE41</f>
        <v>38.105099663473986</v>
      </c>
    </row>
    <row r="2218" spans="2:9">
      <c r="B2218">
        <f>'2020_5-2-2_Download'!B42</f>
        <v>3</v>
      </c>
      <c r="C2218">
        <f>'2020_5-2-2_Download'!$Y$5</f>
        <v>2017</v>
      </c>
      <c r="D2218" t="str">
        <f>VLOOKUP(B2218,[1]Tabelle1!$A$1:$B$68,2,FALSE)</f>
        <v>Stat. Region Lüneburg</v>
      </c>
      <c r="F2218" t="str">
        <f>'2020_5-2-2_Download'!$AE$7</f>
        <v>unbekannt</v>
      </c>
      <c r="G2218" t="s">
        <v>362</v>
      </c>
      <c r="H2218" t="str">
        <f>VLOOKUP(B2218,[2]Kreise!$A$2:$C$53,3,FALSE)</f>
        <v>K033</v>
      </c>
      <c r="I2218">
        <f>'2020_5-2-2_Download'!AE42</f>
        <v>38.211147086031453</v>
      </c>
    </row>
    <row r="2219" spans="2:9">
      <c r="B2219">
        <f>'2020_5-2-2_Download'!B43</f>
        <v>401</v>
      </c>
      <c r="C2219">
        <f>'2020_5-2-2_Download'!$Y$5</f>
        <v>2017</v>
      </c>
      <c r="D2219" t="str">
        <f>VLOOKUP(B2219,[1]Tabelle1!$A$1:$B$68,2,FALSE)</f>
        <v>Delmenhorst  Stadt</v>
      </c>
      <c r="F2219" t="str">
        <f>'2020_5-2-2_Download'!$AE$7</f>
        <v>unbekannt</v>
      </c>
      <c r="G2219" t="s">
        <v>362</v>
      </c>
      <c r="H2219" t="str">
        <f>VLOOKUP(B2219,[2]Kreise!$A$2:$C$53,3,FALSE)</f>
        <v>K03401</v>
      </c>
      <c r="I2219">
        <f>'2020_5-2-2_Download'!AE43</f>
        <v>34.309895833333329</v>
      </c>
    </row>
    <row r="2220" spans="2:9">
      <c r="B2220">
        <f>'2020_5-2-2_Download'!B44</f>
        <v>402</v>
      </c>
      <c r="C2220">
        <f>'2020_5-2-2_Download'!$Y$5</f>
        <v>2017</v>
      </c>
      <c r="D2220" t="str">
        <f>VLOOKUP(B2220,[1]Tabelle1!$A$1:$B$68,2,FALSE)</f>
        <v>Emden  Stadt</v>
      </c>
      <c r="F2220" t="str">
        <f>'2020_5-2-2_Download'!$AE$7</f>
        <v>unbekannt</v>
      </c>
      <c r="G2220" t="s">
        <v>362</v>
      </c>
      <c r="H2220" t="str">
        <f>VLOOKUP(B2220,[2]Kreise!$A$2:$C$53,3,FALSE)</f>
        <v>K03402</v>
      </c>
      <c r="I2220">
        <f>'2020_5-2-2_Download'!AE44</f>
        <v>27.82233189389266</v>
      </c>
    </row>
    <row r="2221" spans="2:9">
      <c r="B2221">
        <f>'2020_5-2-2_Download'!B45</f>
        <v>403</v>
      </c>
      <c r="C2221">
        <f>'2020_5-2-2_Download'!$Y$5</f>
        <v>2017</v>
      </c>
      <c r="D2221" t="str">
        <f>VLOOKUP(B2221,[1]Tabelle1!$A$1:$B$68,2,FALSE)</f>
        <v>Oldenburg(Oldb)  Stadt</v>
      </c>
      <c r="F2221" t="str">
        <f>'2020_5-2-2_Download'!$AE$7</f>
        <v>unbekannt</v>
      </c>
      <c r="G2221" t="s">
        <v>362</v>
      </c>
      <c r="H2221" t="str">
        <f>VLOOKUP(B2221,[2]Kreise!$A$2:$C$53,3,FALSE)</f>
        <v>K03403</v>
      </c>
      <c r="I2221">
        <f>'2020_5-2-2_Download'!AE45</f>
        <v>30.236878773803994</v>
      </c>
    </row>
    <row r="2222" spans="2:9">
      <c r="B2222">
        <f>'2020_5-2-2_Download'!B46</f>
        <v>404</v>
      </c>
      <c r="C2222">
        <f>'2020_5-2-2_Download'!$Y$5</f>
        <v>2017</v>
      </c>
      <c r="D2222" t="str">
        <f>VLOOKUP(B2222,[1]Tabelle1!$A$1:$B$68,2,FALSE)</f>
        <v>Osnabrück  Stadt</v>
      </c>
      <c r="F2222" t="str">
        <f>'2020_5-2-2_Download'!$AE$7</f>
        <v>unbekannt</v>
      </c>
      <c r="G2222" t="s">
        <v>362</v>
      </c>
      <c r="H2222" t="str">
        <f>VLOOKUP(B2222,[2]Kreise!$A$2:$C$53,3,FALSE)</f>
        <v>K03404</v>
      </c>
      <c r="I2222">
        <f>'2020_5-2-2_Download'!AE46</f>
        <v>28.544802867383513</v>
      </c>
    </row>
    <row r="2223" spans="2:9">
      <c r="B2223">
        <f>'2020_5-2-2_Download'!B47</f>
        <v>405</v>
      </c>
      <c r="C2223">
        <f>'2020_5-2-2_Download'!$Y$5</f>
        <v>2017</v>
      </c>
      <c r="D2223" t="str">
        <f>VLOOKUP(B2223,[1]Tabelle1!$A$1:$B$68,2,FALSE)</f>
        <v>Wilhelmshaven  Stadt</v>
      </c>
      <c r="F2223" t="str">
        <f>'2020_5-2-2_Download'!$AE$7</f>
        <v>unbekannt</v>
      </c>
      <c r="G2223" t="s">
        <v>362</v>
      </c>
      <c r="H2223" t="str">
        <f>VLOOKUP(B2223,[2]Kreise!$A$2:$C$53,3,FALSE)</f>
        <v>K03405</v>
      </c>
      <c r="I2223">
        <f>'2020_5-2-2_Download'!AE47</f>
        <v>27.980132450331123</v>
      </c>
    </row>
    <row r="2224" spans="2:9">
      <c r="B2224">
        <f>'2020_5-2-2_Download'!B48</f>
        <v>451</v>
      </c>
      <c r="C2224">
        <f>'2020_5-2-2_Download'!$Y$5</f>
        <v>2017</v>
      </c>
      <c r="D2224" t="str">
        <f>VLOOKUP(B2224,[1]Tabelle1!$A$1:$B$68,2,FALSE)</f>
        <v>Ammerland</v>
      </c>
      <c r="F2224" t="str">
        <f>'2020_5-2-2_Download'!$AE$7</f>
        <v>unbekannt</v>
      </c>
      <c r="G2224" t="s">
        <v>362</v>
      </c>
      <c r="H2224" t="str">
        <f>VLOOKUP(B2224,[2]Kreise!$A$2:$C$53,3,FALSE)</f>
        <v>K03451</v>
      </c>
      <c r="I2224">
        <f>'2020_5-2-2_Download'!AE48</f>
        <v>45.228357191547374</v>
      </c>
    </row>
    <row r="2225" spans="2:9">
      <c r="B2225">
        <f>'2020_5-2-2_Download'!B49</f>
        <v>452</v>
      </c>
      <c r="C2225">
        <f>'2020_5-2-2_Download'!$Y$5</f>
        <v>2017</v>
      </c>
      <c r="D2225" t="str">
        <f>VLOOKUP(B2225,[1]Tabelle1!$A$1:$B$68,2,FALSE)</f>
        <v>Aurich</v>
      </c>
      <c r="F2225" t="str">
        <f>'2020_5-2-2_Download'!$AE$7</f>
        <v>unbekannt</v>
      </c>
      <c r="G2225" t="s">
        <v>362</v>
      </c>
      <c r="H2225" t="str">
        <f>VLOOKUP(B2225,[2]Kreise!$A$2:$C$53,3,FALSE)</f>
        <v>K03452</v>
      </c>
      <c r="I2225">
        <f>'2020_5-2-2_Download'!AE49</f>
        <v>39.755973563802741</v>
      </c>
    </row>
    <row r="2226" spans="2:9">
      <c r="B2226">
        <f>'2020_5-2-2_Download'!B50</f>
        <v>453</v>
      </c>
      <c r="C2226">
        <f>'2020_5-2-2_Download'!$Y$5</f>
        <v>2017</v>
      </c>
      <c r="D2226" t="str">
        <f>VLOOKUP(B2226,[1]Tabelle1!$A$1:$B$68,2,FALSE)</f>
        <v>Cloppenburg</v>
      </c>
      <c r="F2226" t="str">
        <f>'2020_5-2-2_Download'!$AE$7</f>
        <v>unbekannt</v>
      </c>
      <c r="G2226" t="s">
        <v>362</v>
      </c>
      <c r="H2226" t="str">
        <f>VLOOKUP(B2226,[2]Kreise!$A$2:$C$53,3,FALSE)</f>
        <v>K03453</v>
      </c>
      <c r="I2226">
        <f>'2020_5-2-2_Download'!AE50</f>
        <v>53.102926337033296</v>
      </c>
    </row>
    <row r="2227" spans="2:9">
      <c r="B2227">
        <f>'2020_5-2-2_Download'!B51</f>
        <v>454</v>
      </c>
      <c r="C2227">
        <f>'2020_5-2-2_Download'!$Y$5</f>
        <v>2017</v>
      </c>
      <c r="D2227" t="str">
        <f>VLOOKUP(B2227,[1]Tabelle1!$A$1:$B$68,2,FALSE)</f>
        <v>Emsland</v>
      </c>
      <c r="F2227" t="str">
        <f>'2020_5-2-2_Download'!$AE$7</f>
        <v>unbekannt</v>
      </c>
      <c r="G2227" t="s">
        <v>362</v>
      </c>
      <c r="H2227" t="str">
        <f>VLOOKUP(B2227,[2]Kreise!$A$2:$C$53,3,FALSE)</f>
        <v>K03454</v>
      </c>
      <c r="I2227">
        <f>'2020_5-2-2_Download'!AE51</f>
        <v>44.730527870062751</v>
      </c>
    </row>
    <row r="2228" spans="2:9">
      <c r="B2228">
        <f>'2020_5-2-2_Download'!B52</f>
        <v>455</v>
      </c>
      <c r="C2228">
        <f>'2020_5-2-2_Download'!$Y$5</f>
        <v>2017</v>
      </c>
      <c r="D2228" t="str">
        <f>VLOOKUP(B2228,[1]Tabelle1!$A$1:$B$68,2,FALSE)</f>
        <v>Friesland</v>
      </c>
      <c r="F2228" t="str">
        <f>'2020_5-2-2_Download'!$AE$7</f>
        <v>unbekannt</v>
      </c>
      <c r="G2228" t="s">
        <v>362</v>
      </c>
      <c r="H2228" t="str">
        <f>VLOOKUP(B2228,[2]Kreise!$A$2:$C$53,3,FALSE)</f>
        <v>K03455</v>
      </c>
      <c r="I2228">
        <f>'2020_5-2-2_Download'!AE52</f>
        <v>39.789658194566172</v>
      </c>
    </row>
    <row r="2229" spans="2:9">
      <c r="B2229">
        <f>'2020_5-2-2_Download'!B53</f>
        <v>456</v>
      </c>
      <c r="C2229">
        <f>'2020_5-2-2_Download'!$Y$5</f>
        <v>2017</v>
      </c>
      <c r="D2229" t="str">
        <f>VLOOKUP(B2229,[1]Tabelle1!$A$1:$B$68,2,FALSE)</f>
        <v>Grafschaft Bentheim</v>
      </c>
      <c r="F2229" t="str">
        <f>'2020_5-2-2_Download'!$AE$7</f>
        <v>unbekannt</v>
      </c>
      <c r="G2229" t="s">
        <v>362</v>
      </c>
      <c r="H2229" t="str">
        <f>VLOOKUP(B2229,[2]Kreise!$A$2:$C$53,3,FALSE)</f>
        <v>K03456</v>
      </c>
      <c r="I2229">
        <f>'2020_5-2-2_Download'!AE53</f>
        <v>34.570765661252899</v>
      </c>
    </row>
    <row r="2230" spans="2:9">
      <c r="B2230">
        <f>'2020_5-2-2_Download'!B54</f>
        <v>457</v>
      </c>
      <c r="C2230">
        <f>'2020_5-2-2_Download'!$Y$5</f>
        <v>2017</v>
      </c>
      <c r="D2230" t="str">
        <f>VLOOKUP(B2230,[1]Tabelle1!$A$1:$B$68,2,FALSE)</f>
        <v>Leer</v>
      </c>
      <c r="F2230" t="str">
        <f>'2020_5-2-2_Download'!$AE$7</f>
        <v>unbekannt</v>
      </c>
      <c r="G2230" t="s">
        <v>362</v>
      </c>
      <c r="H2230" t="str">
        <f>VLOOKUP(B2230,[2]Kreise!$A$2:$C$53,3,FALSE)</f>
        <v>K03457</v>
      </c>
      <c r="I2230">
        <f>'2020_5-2-2_Download'!AE54</f>
        <v>41.225919439579684</v>
      </c>
    </row>
    <row r="2231" spans="2:9">
      <c r="B2231">
        <f>'2020_5-2-2_Download'!B55</f>
        <v>458</v>
      </c>
      <c r="C2231">
        <f>'2020_5-2-2_Download'!$Y$5</f>
        <v>2017</v>
      </c>
      <c r="D2231" t="str">
        <f>VLOOKUP(B2231,[1]Tabelle1!$A$1:$B$68,2,FALSE)</f>
        <v>Oldenburg</v>
      </c>
      <c r="F2231" t="str">
        <f>'2020_5-2-2_Download'!$AE$7</f>
        <v>unbekannt</v>
      </c>
      <c r="G2231" t="s">
        <v>362</v>
      </c>
      <c r="H2231" t="str">
        <f>VLOOKUP(B2231,[2]Kreise!$A$2:$C$53,3,FALSE)</f>
        <v>K03458</v>
      </c>
      <c r="I2231">
        <f>'2020_5-2-2_Download'!AE55</f>
        <v>45.51027767760548</v>
      </c>
    </row>
    <row r="2232" spans="2:9">
      <c r="B2232">
        <f>'2020_5-2-2_Download'!B56</f>
        <v>459</v>
      </c>
      <c r="C2232">
        <f>'2020_5-2-2_Download'!$Y$5</f>
        <v>2017</v>
      </c>
      <c r="D2232" t="str">
        <f>VLOOKUP(B2232,[1]Tabelle1!$A$1:$B$68,2,FALSE)</f>
        <v>Osnabrück</v>
      </c>
      <c r="F2232" t="str">
        <f>'2020_5-2-2_Download'!$AE$7</f>
        <v>unbekannt</v>
      </c>
      <c r="G2232" t="s">
        <v>362</v>
      </c>
      <c r="H2232" t="str">
        <f>VLOOKUP(B2232,[2]Kreise!$A$2:$C$53,3,FALSE)</f>
        <v>K03459</v>
      </c>
      <c r="I2232">
        <f>'2020_5-2-2_Download'!AE56</f>
        <v>47.393364928909953</v>
      </c>
    </row>
    <row r="2233" spans="2:9">
      <c r="B2233">
        <f>'2020_5-2-2_Download'!B57</f>
        <v>460</v>
      </c>
      <c r="C2233">
        <f>'2020_5-2-2_Download'!$Y$5</f>
        <v>2017</v>
      </c>
      <c r="D2233" t="str">
        <f>VLOOKUP(B2233,[1]Tabelle1!$A$1:$B$68,2,FALSE)</f>
        <v>Vechta</v>
      </c>
      <c r="F2233" t="str">
        <f>'2020_5-2-2_Download'!$AE$7</f>
        <v>unbekannt</v>
      </c>
      <c r="G2233" t="s">
        <v>362</v>
      </c>
      <c r="H2233" t="str">
        <f>VLOOKUP(B2233,[2]Kreise!$A$2:$C$53,3,FALSE)</f>
        <v>K03460</v>
      </c>
      <c r="I2233">
        <f>'2020_5-2-2_Download'!AE57</f>
        <v>49.594669627984459</v>
      </c>
    </row>
    <row r="2234" spans="2:9">
      <c r="B2234">
        <f>'2020_5-2-2_Download'!B58</f>
        <v>461</v>
      </c>
      <c r="C2234">
        <f>'2020_5-2-2_Download'!$Y$5</f>
        <v>2017</v>
      </c>
      <c r="D2234" t="str">
        <f>VLOOKUP(B2234,[1]Tabelle1!$A$1:$B$68,2,FALSE)</f>
        <v>Wesermarsch</v>
      </c>
      <c r="F2234" t="str">
        <f>'2020_5-2-2_Download'!$AE$7</f>
        <v>unbekannt</v>
      </c>
      <c r="G2234" t="s">
        <v>362</v>
      </c>
      <c r="H2234" t="str">
        <f>VLOOKUP(B2234,[2]Kreise!$A$2:$C$53,3,FALSE)</f>
        <v>K03461</v>
      </c>
      <c r="I2234">
        <f>'2020_5-2-2_Download'!AE58</f>
        <v>39.267015706806284</v>
      </c>
    </row>
    <row r="2235" spans="2:9">
      <c r="B2235">
        <f>'2020_5-2-2_Download'!B59</f>
        <v>462</v>
      </c>
      <c r="C2235">
        <f>'2020_5-2-2_Download'!$Y$5</f>
        <v>2017</v>
      </c>
      <c r="D2235" t="str">
        <f>VLOOKUP(B2235,[1]Tabelle1!$A$1:$B$68,2,FALSE)</f>
        <v>Wittmund</v>
      </c>
      <c r="F2235" t="str">
        <f>'2020_5-2-2_Download'!$AE$7</f>
        <v>unbekannt</v>
      </c>
      <c r="G2235" t="s">
        <v>362</v>
      </c>
      <c r="H2235" t="str">
        <f>VLOOKUP(B2235,[2]Kreise!$A$2:$C$53,3,FALSE)</f>
        <v>K03462</v>
      </c>
      <c r="I2235">
        <f>'2020_5-2-2_Download'!AE59</f>
        <v>57.802746566791505</v>
      </c>
    </row>
    <row r="2236" spans="2:9">
      <c r="B2236">
        <f>'2020_5-2-2_Download'!B60</f>
        <v>4</v>
      </c>
      <c r="C2236">
        <f>'2020_5-2-2_Download'!$Y$5</f>
        <v>2017</v>
      </c>
      <c r="D2236" t="str">
        <f>VLOOKUP(B2236,[1]Tabelle1!$A$1:$B$68,2,FALSE)</f>
        <v>Stat. Region Weser-Ems</v>
      </c>
      <c r="F2236" t="str">
        <f>'2020_5-2-2_Download'!$AE$7</f>
        <v>unbekannt</v>
      </c>
      <c r="G2236" t="s">
        <v>362</v>
      </c>
      <c r="H2236" t="str">
        <f>VLOOKUP(B2236,[2]Kreise!$A$2:$C$53,3,FALSE)</f>
        <v>K034</v>
      </c>
      <c r="I2236">
        <f>'2020_5-2-2_Download'!AE60</f>
        <v>42.53698121367065</v>
      </c>
    </row>
    <row r="2237" spans="2:9">
      <c r="B2237">
        <f>'2020_5-2-2_Download'!B61</f>
        <v>0</v>
      </c>
      <c r="C2237">
        <f>'2020_5-2-2_Download'!$Y$5</f>
        <v>2017</v>
      </c>
      <c r="D2237" t="str">
        <f>VLOOKUP(B2237,[1]Tabelle1!$A$1:$B$68,2,FALSE)</f>
        <v>Niedersachsen</v>
      </c>
      <c r="F2237" t="str">
        <f>'2020_5-2-2_Download'!$AE$7</f>
        <v>unbekannt</v>
      </c>
      <c r="G2237" t="s">
        <v>362</v>
      </c>
      <c r="H2237" t="str">
        <f>VLOOKUP(B2237,[2]Kreise!$A$2:$C$53,3,FALSE)</f>
        <v>K030</v>
      </c>
      <c r="I2237">
        <f>'2020_5-2-2_Download'!AE61</f>
        <v>34.66674323172267</v>
      </c>
    </row>
    <row r="2238" spans="2:9">
      <c r="B2238">
        <f>'2020_5-2-2_Download'!B10</f>
        <v>101</v>
      </c>
      <c r="C2238">
        <f>'2020_5-2-2_Download'!$AF$5</f>
        <v>2016</v>
      </c>
      <c r="D2238" t="str">
        <f>VLOOKUP(B2238,[1]Tabelle1!$A$1:$B$68,2,FALSE)</f>
        <v>Braunschweig  Stadt</v>
      </c>
      <c r="F2238" t="str">
        <f>'2020_5-2-2_Download'!$AI$7</f>
        <v>hoch</v>
      </c>
      <c r="G2238" t="s">
        <v>362</v>
      </c>
      <c r="H2238" t="str">
        <f>VLOOKUP(B2238,[2]Kreise!$A$2:$C$53,3,FALSE)</f>
        <v>K03101</v>
      </c>
      <c r="I2238">
        <f>'2020_5-2-2_Download'!AI10</f>
        <v>22.286504842158219</v>
      </c>
    </row>
    <row r="2239" spans="2:9">
      <c r="B2239">
        <f>'2020_5-2-2_Download'!B11</f>
        <v>102</v>
      </c>
      <c r="C2239">
        <f>'2020_5-2-2_Download'!$AF$5</f>
        <v>2016</v>
      </c>
      <c r="D2239" t="str">
        <f>VLOOKUP(B2239,[1]Tabelle1!$A$1:$B$68,2,FALSE)</f>
        <v>Salzgitter  Stadt</v>
      </c>
      <c r="F2239" t="str">
        <f>'2020_5-2-2_Download'!$AI$7</f>
        <v>hoch</v>
      </c>
      <c r="G2239" t="s">
        <v>362</v>
      </c>
      <c r="H2239" t="str">
        <f>VLOOKUP(B2239,[2]Kreise!$A$2:$C$53,3,FALSE)</f>
        <v>K03102</v>
      </c>
      <c r="I2239">
        <f>'2020_5-2-2_Download'!AI11</f>
        <v>7.0976616231086656</v>
      </c>
    </row>
    <row r="2240" spans="2:9">
      <c r="B2240">
        <f>'2020_5-2-2_Download'!B12</f>
        <v>103</v>
      </c>
      <c r="C2240">
        <f>'2020_5-2-2_Download'!$AF$5</f>
        <v>2016</v>
      </c>
      <c r="D2240" t="str">
        <f>VLOOKUP(B2240,[1]Tabelle1!$A$1:$B$68,2,FALSE)</f>
        <v>Wolfsburg  Stadt</v>
      </c>
      <c r="F2240" t="str">
        <f>'2020_5-2-2_Download'!$AI$7</f>
        <v>hoch</v>
      </c>
      <c r="G2240" t="s">
        <v>362</v>
      </c>
      <c r="H2240" t="str">
        <f>VLOOKUP(B2240,[2]Kreise!$A$2:$C$53,3,FALSE)</f>
        <v>K03103</v>
      </c>
      <c r="I2240">
        <f>'2020_5-2-2_Download'!AI12</f>
        <v>22.240091901206203</v>
      </c>
    </row>
    <row r="2241" spans="2:9">
      <c r="B2241">
        <f>'2020_5-2-2_Download'!B13</f>
        <v>151</v>
      </c>
      <c r="C2241">
        <f>'2020_5-2-2_Download'!$AF$5</f>
        <v>2016</v>
      </c>
      <c r="D2241" t="str">
        <f>VLOOKUP(B2241,[1]Tabelle1!$A$1:$B$68,2,FALSE)</f>
        <v>Gifhorn</v>
      </c>
      <c r="F2241" t="str">
        <f>'2020_5-2-2_Download'!$AI$7</f>
        <v>hoch</v>
      </c>
      <c r="G2241" t="s">
        <v>362</v>
      </c>
      <c r="H2241" t="str">
        <f>VLOOKUP(B2241,[2]Kreise!$A$2:$C$53,3,FALSE)</f>
        <v>K03151</v>
      </c>
      <c r="I2241">
        <f>'2020_5-2-2_Download'!AI13</f>
        <v>15.329125338142472</v>
      </c>
    </row>
    <row r="2242" spans="2:9">
      <c r="B2242">
        <f>'2020_5-2-2_Download'!B14</f>
        <v>153</v>
      </c>
      <c r="C2242">
        <f>'2020_5-2-2_Download'!$AF$5</f>
        <v>2016</v>
      </c>
      <c r="D2242" t="str">
        <f>VLOOKUP(B2242,[1]Tabelle1!$A$1:$B$68,2,FALSE)</f>
        <v>Goslar</v>
      </c>
      <c r="F2242" t="str">
        <f>'2020_5-2-2_Download'!$AI$7</f>
        <v>hoch</v>
      </c>
      <c r="G2242" t="s">
        <v>362</v>
      </c>
      <c r="H2242" t="str">
        <f>VLOOKUP(B2242,[2]Kreise!$A$2:$C$53,3,FALSE)</f>
        <v>K03153</v>
      </c>
      <c r="I2242">
        <f>'2020_5-2-2_Download'!AI14</f>
        <v>18.667917448405252</v>
      </c>
    </row>
    <row r="2243" spans="2:9">
      <c r="B2243">
        <f>'2020_5-2-2_Download'!B15</f>
        <v>154</v>
      </c>
      <c r="C2243">
        <f>'2020_5-2-2_Download'!$AF$5</f>
        <v>2016</v>
      </c>
      <c r="D2243" t="str">
        <f>VLOOKUP(B2243,[1]Tabelle1!$A$1:$B$68,2,FALSE)</f>
        <v>Helmstedt</v>
      </c>
      <c r="F2243" t="str">
        <f>'2020_5-2-2_Download'!$AI$7</f>
        <v>hoch</v>
      </c>
      <c r="G2243" t="s">
        <v>362</v>
      </c>
      <c r="H2243" t="str">
        <f>VLOOKUP(B2243,[2]Kreise!$A$2:$C$53,3,FALSE)</f>
        <v>K03154</v>
      </c>
      <c r="I2243">
        <f>'2020_5-2-2_Download'!AI15</f>
        <v>15.893271461716937</v>
      </c>
    </row>
    <row r="2244" spans="2:9">
      <c r="B2244">
        <f>'2020_5-2-2_Download'!B16</f>
        <v>155</v>
      </c>
      <c r="C2244">
        <f>'2020_5-2-2_Download'!$AF$5</f>
        <v>2016</v>
      </c>
      <c r="D2244" t="str">
        <f>VLOOKUP(B2244,[1]Tabelle1!$A$1:$B$68,2,FALSE)</f>
        <v>Northeim</v>
      </c>
      <c r="F2244" t="str">
        <f>'2020_5-2-2_Download'!$AI$7</f>
        <v>hoch</v>
      </c>
      <c r="G2244" t="s">
        <v>362</v>
      </c>
      <c r="H2244" t="str">
        <f>VLOOKUP(B2244,[2]Kreise!$A$2:$C$53,3,FALSE)</f>
        <v>K03155</v>
      </c>
      <c r="I2244">
        <f>'2020_5-2-2_Download'!AI16</f>
        <v>8.7406793703396843</v>
      </c>
    </row>
    <row r="2245" spans="2:9">
      <c r="B2245">
        <f>'2020_5-2-2_Download'!B17</f>
        <v>157</v>
      </c>
      <c r="C2245">
        <f>'2020_5-2-2_Download'!$AF$5</f>
        <v>2016</v>
      </c>
      <c r="D2245" t="str">
        <f>VLOOKUP(B2245,[1]Tabelle1!$A$1:$B$68,2,FALSE)</f>
        <v>Peine</v>
      </c>
      <c r="F2245" t="str">
        <f>'2020_5-2-2_Download'!$AI$7</f>
        <v>hoch</v>
      </c>
      <c r="G2245" t="s">
        <v>362</v>
      </c>
      <c r="H2245" t="str">
        <f>VLOOKUP(B2245,[2]Kreise!$A$2:$C$53,3,FALSE)</f>
        <v>K03157</v>
      </c>
      <c r="I2245">
        <f>'2020_5-2-2_Download'!AI17</f>
        <v>6.6877303844128484</v>
      </c>
    </row>
    <row r="2246" spans="2:9">
      <c r="B2246">
        <f>'2020_5-2-2_Download'!B18</f>
        <v>158</v>
      </c>
      <c r="C2246">
        <f>'2020_5-2-2_Download'!$AF$5</f>
        <v>2016</v>
      </c>
      <c r="D2246" t="str">
        <f>VLOOKUP(B2246,[1]Tabelle1!$A$1:$B$68,2,FALSE)</f>
        <v>Wolfenbüttel</v>
      </c>
      <c r="F2246" t="str">
        <f>'2020_5-2-2_Download'!$AI$7</f>
        <v>hoch</v>
      </c>
      <c r="G2246" t="s">
        <v>362</v>
      </c>
      <c r="H2246" t="str">
        <f>VLOOKUP(B2246,[2]Kreise!$A$2:$C$53,3,FALSE)</f>
        <v>K03158</v>
      </c>
      <c r="I2246">
        <f>'2020_5-2-2_Download'!AI18</f>
        <v>10.182516810758885</v>
      </c>
    </row>
    <row r="2247" spans="2:9">
      <c r="B2247">
        <f>'2020_5-2-2_Download'!B19</f>
        <v>159</v>
      </c>
      <c r="C2247">
        <f>'2020_5-2-2_Download'!$AF$5</f>
        <v>2016</v>
      </c>
      <c r="D2247" t="str">
        <f>VLOOKUP(B2247,[1]Tabelle1!$A$1:$B$68,2,FALSE)</f>
        <v>Göttingen</v>
      </c>
      <c r="F2247" t="str">
        <f>'2020_5-2-2_Download'!$AI$7</f>
        <v>hoch</v>
      </c>
      <c r="G2247" t="s">
        <v>362</v>
      </c>
      <c r="H2247" t="str">
        <f>VLOOKUP(B2247,[2]Kreise!$A$2:$C$53,3,FALSE)</f>
        <v>K03159</v>
      </c>
      <c r="I2247">
        <f>'2020_5-2-2_Download'!AI19</f>
        <v>27.498248072880166</v>
      </c>
    </row>
    <row r="2248" spans="2:9">
      <c r="B2248">
        <f>'2020_5-2-2_Download'!B20</f>
        <v>1</v>
      </c>
      <c r="C2248">
        <f>'2020_5-2-2_Download'!$AF$5</f>
        <v>2016</v>
      </c>
      <c r="D2248" t="str">
        <f>VLOOKUP(B2248,[1]Tabelle1!$A$1:$B$68,2,FALSE)</f>
        <v>Stat. Region Braunschweig</v>
      </c>
      <c r="F2248" t="str">
        <f>'2020_5-2-2_Download'!$AI$7</f>
        <v>hoch</v>
      </c>
      <c r="G2248" t="s">
        <v>362</v>
      </c>
      <c r="H2248" t="str">
        <f>VLOOKUP(B2248,[2]Kreise!$A$2:$C$53,3,FALSE)</f>
        <v>K031</v>
      </c>
      <c r="I2248">
        <f>'2020_5-2-2_Download'!AI20</f>
        <v>19.075068435460096</v>
      </c>
    </row>
    <row r="2249" spans="2:9">
      <c r="B2249">
        <f>'2020_5-2-2_Download'!B21</f>
        <v>241</v>
      </c>
      <c r="C2249">
        <f>'2020_5-2-2_Download'!$AF$5</f>
        <v>2016</v>
      </c>
      <c r="D2249" t="str">
        <f>VLOOKUP(B2249,[1]Tabelle1!$A$1:$B$68,2,FALSE)</f>
        <v>Hannover  Region</v>
      </c>
      <c r="F2249" t="str">
        <f>'2020_5-2-2_Download'!$AI$7</f>
        <v>hoch</v>
      </c>
      <c r="G2249" t="s">
        <v>362</v>
      </c>
      <c r="H2249" t="str">
        <f>VLOOKUP(B2249,[2]Kreise!$A$2:$C$53,3,FALSE)</f>
        <v>K03241</v>
      </c>
      <c r="I2249">
        <f>'2020_5-2-2_Download'!AI21</f>
        <v>12.376668293407455</v>
      </c>
    </row>
    <row r="2250" spans="2:9">
      <c r="B2250">
        <f>'2020_5-2-2_Download'!B22</f>
        <v>241001</v>
      </c>
      <c r="C2250">
        <f>'2020_5-2-2_Download'!$AF$5</f>
        <v>2016</v>
      </c>
      <c r="D2250" t="str">
        <f>VLOOKUP(B2250,[1]Tabelle1!$A$1:$B$68,2,FALSE)</f>
        <v>dav. Hannover  Lhst.</v>
      </c>
      <c r="F2250" t="str">
        <f>'2020_5-2-2_Download'!$AI$7</f>
        <v>hoch</v>
      </c>
      <c r="G2250" t="s">
        <v>362</v>
      </c>
      <c r="H2250" t="str">
        <f>VLOOKUP(B2250,[2]Kreise!$A$2:$C$53,3,FALSE)</f>
        <v>K03241001</v>
      </c>
      <c r="I2250">
        <f>'2020_5-2-2_Download'!AI22</f>
        <v>14.988814317673377</v>
      </c>
    </row>
    <row r="2251" spans="2:9">
      <c r="B2251">
        <f>'2020_5-2-2_Download'!B23</f>
        <v>241999</v>
      </c>
      <c r="C2251">
        <f>'2020_5-2-2_Download'!$AF$5</f>
        <v>2016</v>
      </c>
      <c r="D2251" t="str">
        <f>VLOOKUP(B2251,[1]Tabelle1!$A$1:$B$68,2,FALSE)</f>
        <v>dav. Hannover  Umland</v>
      </c>
      <c r="F2251" t="str">
        <f>'2020_5-2-2_Download'!$AI$7</f>
        <v>hoch</v>
      </c>
      <c r="G2251" t="s">
        <v>362</v>
      </c>
      <c r="H2251" t="str">
        <f>VLOOKUP(B2251,[2]Kreise!$A$2:$C$53,3,FALSE)</f>
        <v>K03241999</v>
      </c>
      <c r="I2251">
        <f>'2020_5-2-2_Download'!AI23</f>
        <v>7.216364669486711</v>
      </c>
    </row>
    <row r="2252" spans="2:9">
      <c r="B2252">
        <f>'2020_5-2-2_Download'!B24</f>
        <v>251</v>
      </c>
      <c r="C2252">
        <f>'2020_5-2-2_Download'!$AF$5</f>
        <v>2016</v>
      </c>
      <c r="D2252" t="str">
        <f>VLOOKUP(B2252,[1]Tabelle1!$A$1:$B$68,2,FALSE)</f>
        <v>Diepholz</v>
      </c>
      <c r="F2252" t="str">
        <f>'2020_5-2-2_Download'!$AI$7</f>
        <v>hoch</v>
      </c>
      <c r="G2252" t="s">
        <v>362</v>
      </c>
      <c r="H2252" t="str">
        <f>VLOOKUP(B2252,[2]Kreise!$A$2:$C$53,3,FALSE)</f>
        <v>K03251</v>
      </c>
      <c r="I2252">
        <f>'2020_5-2-2_Download'!AI24</f>
        <v>7.9419719695106954</v>
      </c>
    </row>
    <row r="2253" spans="2:9">
      <c r="B2253">
        <f>'2020_5-2-2_Download'!B25</f>
        <v>252</v>
      </c>
      <c r="C2253">
        <f>'2020_5-2-2_Download'!$AF$5</f>
        <v>2016</v>
      </c>
      <c r="D2253" t="str">
        <f>VLOOKUP(B2253,[1]Tabelle1!$A$1:$B$68,2,FALSE)</f>
        <v>Hameln-Pyrmont</v>
      </c>
      <c r="F2253" t="str">
        <f>'2020_5-2-2_Download'!$AI$7</f>
        <v>hoch</v>
      </c>
      <c r="G2253" t="s">
        <v>362</v>
      </c>
      <c r="H2253" t="str">
        <f>VLOOKUP(B2253,[2]Kreise!$A$2:$C$53,3,FALSE)</f>
        <v>K03252</v>
      </c>
      <c r="I2253">
        <f>'2020_5-2-2_Download'!AI25</f>
        <v>11.147866357922593</v>
      </c>
    </row>
    <row r="2254" spans="2:9">
      <c r="B2254">
        <f>'2020_5-2-2_Download'!B26</f>
        <v>254</v>
      </c>
      <c r="C2254">
        <f>'2020_5-2-2_Download'!$AF$5</f>
        <v>2016</v>
      </c>
      <c r="D2254" t="str">
        <f>VLOOKUP(B2254,[1]Tabelle1!$A$1:$B$68,2,FALSE)</f>
        <v>Hildesheim</v>
      </c>
      <c r="F2254" t="str">
        <f>'2020_5-2-2_Download'!$AI$7</f>
        <v>hoch</v>
      </c>
      <c r="G2254" t="s">
        <v>362</v>
      </c>
      <c r="H2254" t="str">
        <f>VLOOKUP(B2254,[2]Kreise!$A$2:$C$53,3,FALSE)</f>
        <v>K03254</v>
      </c>
      <c r="I2254">
        <f>'2020_5-2-2_Download'!AI26</f>
        <v>14.337240757439135</v>
      </c>
    </row>
    <row r="2255" spans="2:9">
      <c r="B2255">
        <f>'2020_5-2-2_Download'!B27</f>
        <v>255</v>
      </c>
      <c r="C2255">
        <f>'2020_5-2-2_Download'!$AF$5</f>
        <v>2016</v>
      </c>
      <c r="D2255" t="str">
        <f>VLOOKUP(B2255,[1]Tabelle1!$A$1:$B$68,2,FALSE)</f>
        <v>Holzminden</v>
      </c>
      <c r="F2255" t="str">
        <f>'2020_5-2-2_Download'!$AI$7</f>
        <v>hoch</v>
      </c>
      <c r="G2255" t="s">
        <v>362</v>
      </c>
      <c r="H2255" t="str">
        <f>VLOOKUP(B2255,[2]Kreise!$A$2:$C$53,3,FALSE)</f>
        <v>K03255</v>
      </c>
      <c r="I2255">
        <f>'2020_5-2-2_Download'!AI27</f>
        <v>12.244897959183673</v>
      </c>
    </row>
    <row r="2256" spans="2:9">
      <c r="B2256">
        <f>'2020_5-2-2_Download'!B28</f>
        <v>256</v>
      </c>
      <c r="C2256">
        <f>'2020_5-2-2_Download'!$AF$5</f>
        <v>2016</v>
      </c>
      <c r="D2256" t="str">
        <f>VLOOKUP(B2256,[1]Tabelle1!$A$1:$B$68,2,FALSE)</f>
        <v>Nienburg (Weser)</v>
      </c>
      <c r="F2256" t="str">
        <f>'2020_5-2-2_Download'!$AI$7</f>
        <v>hoch</v>
      </c>
      <c r="G2256" t="s">
        <v>362</v>
      </c>
      <c r="H2256" t="str">
        <f>VLOOKUP(B2256,[2]Kreise!$A$2:$C$53,3,FALSE)</f>
        <v>K03256</v>
      </c>
      <c r="I2256">
        <f>'2020_5-2-2_Download'!AI28</f>
        <v>5.7716436637390212</v>
      </c>
    </row>
    <row r="2257" spans="2:9">
      <c r="B2257">
        <f>'2020_5-2-2_Download'!B29</f>
        <v>257</v>
      </c>
      <c r="C2257">
        <f>'2020_5-2-2_Download'!$AF$5</f>
        <v>2016</v>
      </c>
      <c r="D2257" t="str">
        <f>VLOOKUP(B2257,[1]Tabelle1!$A$1:$B$68,2,FALSE)</f>
        <v>Schaumburg</v>
      </c>
      <c r="F2257" t="str">
        <f>'2020_5-2-2_Download'!$AI$7</f>
        <v>hoch</v>
      </c>
      <c r="G2257" t="s">
        <v>362</v>
      </c>
      <c r="H2257" t="str">
        <f>VLOOKUP(B2257,[2]Kreise!$A$2:$C$53,3,FALSE)</f>
        <v>K03257</v>
      </c>
      <c r="I2257">
        <f>'2020_5-2-2_Download'!AI29</f>
        <v>7.9863739591218774</v>
      </c>
    </row>
    <row r="2258" spans="2:9">
      <c r="B2258">
        <f>'2020_5-2-2_Download'!B30</f>
        <v>2</v>
      </c>
      <c r="C2258">
        <f>'2020_5-2-2_Download'!$AF$5</f>
        <v>2016</v>
      </c>
      <c r="D2258" t="str">
        <f>VLOOKUP(B2258,[1]Tabelle1!$A$1:$B$68,2,FALSE)</f>
        <v>Stat. Region Hannover</v>
      </c>
      <c r="F2258" t="str">
        <f>'2020_5-2-2_Download'!$AI$7</f>
        <v>hoch</v>
      </c>
      <c r="G2258" t="s">
        <v>362</v>
      </c>
      <c r="H2258" t="str">
        <f>VLOOKUP(B2258,[2]Kreise!$A$2:$C$53,3,FALSE)</f>
        <v>K032</v>
      </c>
      <c r="I2258">
        <f>'2020_5-2-2_Download'!AI30</f>
        <v>11.749242283664255</v>
      </c>
    </row>
    <row r="2259" spans="2:9">
      <c r="B2259">
        <f>'2020_5-2-2_Download'!B31</f>
        <v>351</v>
      </c>
      <c r="C2259">
        <f>'2020_5-2-2_Download'!$AF$5</f>
        <v>2016</v>
      </c>
      <c r="D2259" t="str">
        <f>VLOOKUP(B2259,[1]Tabelle1!$A$1:$B$68,2,FALSE)</f>
        <v>Celle</v>
      </c>
      <c r="F2259" t="str">
        <f>'2020_5-2-2_Download'!$AI$7</f>
        <v>hoch</v>
      </c>
      <c r="G2259" t="s">
        <v>362</v>
      </c>
      <c r="H2259" t="str">
        <f>VLOOKUP(B2259,[2]Kreise!$A$2:$C$53,3,FALSE)</f>
        <v>K03351</v>
      </c>
      <c r="I2259">
        <f>'2020_5-2-2_Download'!AI31</f>
        <v>14.566642388929353</v>
      </c>
    </row>
    <row r="2260" spans="2:9">
      <c r="B2260">
        <f>'2020_5-2-2_Download'!B32</f>
        <v>352</v>
      </c>
      <c r="C2260">
        <f>'2020_5-2-2_Download'!$AF$5</f>
        <v>2016</v>
      </c>
      <c r="D2260" t="str">
        <f>VLOOKUP(B2260,[1]Tabelle1!$A$1:$B$68,2,FALSE)</f>
        <v>Cuxhaven</v>
      </c>
      <c r="F2260" t="str">
        <f>'2020_5-2-2_Download'!$AI$7</f>
        <v>hoch</v>
      </c>
      <c r="G2260" t="s">
        <v>362</v>
      </c>
      <c r="H2260" t="str">
        <f>VLOOKUP(B2260,[2]Kreise!$A$2:$C$53,3,FALSE)</f>
        <v>K03352</v>
      </c>
      <c r="I2260">
        <f>'2020_5-2-2_Download'!AI32</f>
        <v>6.7531701562960773</v>
      </c>
    </row>
    <row r="2261" spans="2:9">
      <c r="B2261">
        <f>'2020_5-2-2_Download'!B33</f>
        <v>353</v>
      </c>
      <c r="C2261">
        <f>'2020_5-2-2_Download'!$AF$5</f>
        <v>2016</v>
      </c>
      <c r="D2261" t="str">
        <f>VLOOKUP(B2261,[1]Tabelle1!$A$1:$B$68,2,FALSE)</f>
        <v>Harburg</v>
      </c>
      <c r="F2261" t="str">
        <f>'2020_5-2-2_Download'!$AI$7</f>
        <v>hoch</v>
      </c>
      <c r="G2261" t="s">
        <v>362</v>
      </c>
      <c r="H2261" t="str">
        <f>VLOOKUP(B2261,[2]Kreise!$A$2:$C$53,3,FALSE)</f>
        <v>K03353</v>
      </c>
      <c r="I2261">
        <f>'2020_5-2-2_Download'!AI33</f>
        <v>5.5649241146711637</v>
      </c>
    </row>
    <row r="2262" spans="2:9">
      <c r="B2262">
        <f>'2020_5-2-2_Download'!B34</f>
        <v>354</v>
      </c>
      <c r="C2262">
        <f>'2020_5-2-2_Download'!$AF$5</f>
        <v>2016</v>
      </c>
      <c r="D2262" t="str">
        <f>VLOOKUP(B2262,[1]Tabelle1!$A$1:$B$68,2,FALSE)</f>
        <v>Lüchow-Dannenberg</v>
      </c>
      <c r="F2262" t="str">
        <f>'2020_5-2-2_Download'!$AI$7</f>
        <v>hoch</v>
      </c>
      <c r="G2262" t="s">
        <v>362</v>
      </c>
      <c r="H2262" t="str">
        <f>VLOOKUP(B2262,[2]Kreise!$A$2:$C$53,3,FALSE)</f>
        <v>K03354</v>
      </c>
      <c r="I2262">
        <f>'2020_5-2-2_Download'!AI34</f>
        <v>8.2533589251439547</v>
      </c>
    </row>
    <row r="2263" spans="2:9">
      <c r="B2263">
        <f>'2020_5-2-2_Download'!B35</f>
        <v>355</v>
      </c>
      <c r="C2263">
        <f>'2020_5-2-2_Download'!$AF$5</f>
        <v>2016</v>
      </c>
      <c r="D2263" t="str">
        <f>VLOOKUP(B2263,[1]Tabelle1!$A$1:$B$68,2,FALSE)</f>
        <v>Lüneburg</v>
      </c>
      <c r="F2263" t="str">
        <f>'2020_5-2-2_Download'!$AI$7</f>
        <v>hoch</v>
      </c>
      <c r="G2263" t="s">
        <v>362</v>
      </c>
      <c r="H2263" t="str">
        <f>VLOOKUP(B2263,[2]Kreise!$A$2:$C$53,3,FALSE)</f>
        <v>K03355</v>
      </c>
      <c r="I2263">
        <f>'2020_5-2-2_Download'!AI35</f>
        <v>14.24408014571949</v>
      </c>
    </row>
    <row r="2264" spans="2:9">
      <c r="B2264">
        <f>'2020_5-2-2_Download'!B36</f>
        <v>356</v>
      </c>
      <c r="C2264">
        <f>'2020_5-2-2_Download'!$AF$5</f>
        <v>2016</v>
      </c>
      <c r="D2264" t="str">
        <f>VLOOKUP(B2264,[1]Tabelle1!$A$1:$B$68,2,FALSE)</f>
        <v>Osterholz</v>
      </c>
      <c r="F2264" t="str">
        <f>'2020_5-2-2_Download'!$AI$7</f>
        <v>hoch</v>
      </c>
      <c r="G2264" t="s">
        <v>362</v>
      </c>
      <c r="H2264" t="str">
        <f>VLOOKUP(B2264,[2]Kreise!$A$2:$C$53,3,FALSE)</f>
        <v>K03356</v>
      </c>
      <c r="I2264">
        <f>'2020_5-2-2_Download'!AI36</f>
        <v>8.4027252081756245</v>
      </c>
    </row>
    <row r="2265" spans="2:9">
      <c r="B2265">
        <f>'2020_5-2-2_Download'!B37</f>
        <v>357</v>
      </c>
      <c r="C2265">
        <f>'2020_5-2-2_Download'!$AF$5</f>
        <v>2016</v>
      </c>
      <c r="D2265" t="str">
        <f>VLOOKUP(B2265,[1]Tabelle1!$A$1:$B$68,2,FALSE)</f>
        <v>Rotenburg (Wümme)</v>
      </c>
      <c r="F2265" t="str">
        <f>'2020_5-2-2_Download'!$AI$7</f>
        <v>hoch</v>
      </c>
      <c r="G2265" t="s">
        <v>362</v>
      </c>
      <c r="H2265" t="str">
        <f>VLOOKUP(B2265,[2]Kreise!$A$2:$C$53,3,FALSE)</f>
        <v>K03357</v>
      </c>
      <c r="I2265">
        <f>'2020_5-2-2_Download'!AI37</f>
        <v>8.8136729222520103</v>
      </c>
    </row>
    <row r="2266" spans="2:9">
      <c r="B2266">
        <f>'2020_5-2-2_Download'!B38</f>
        <v>358</v>
      </c>
      <c r="C2266">
        <f>'2020_5-2-2_Download'!$AF$5</f>
        <v>2016</v>
      </c>
      <c r="D2266" t="str">
        <f>VLOOKUP(B2266,[1]Tabelle1!$A$1:$B$68,2,FALSE)</f>
        <v>Heidekreis</v>
      </c>
      <c r="F2266" t="str">
        <f>'2020_5-2-2_Download'!$AI$7</f>
        <v>hoch</v>
      </c>
      <c r="G2266" t="s">
        <v>362</v>
      </c>
      <c r="H2266" t="str">
        <f>VLOOKUP(B2266,[2]Kreise!$A$2:$C$53,3,FALSE)</f>
        <v>K03358</v>
      </c>
      <c r="I2266">
        <f>'2020_5-2-2_Download'!AI38</f>
        <v>7.8809106830122584</v>
      </c>
    </row>
    <row r="2267" spans="2:9">
      <c r="B2267">
        <f>'2020_5-2-2_Download'!B39</f>
        <v>359</v>
      </c>
      <c r="C2267">
        <f>'2020_5-2-2_Download'!$AF$5</f>
        <v>2016</v>
      </c>
      <c r="D2267" t="str">
        <f>VLOOKUP(B2267,[1]Tabelle1!$A$1:$B$68,2,FALSE)</f>
        <v>Stade</v>
      </c>
      <c r="F2267" t="str">
        <f>'2020_5-2-2_Download'!$AI$7</f>
        <v>hoch</v>
      </c>
      <c r="G2267" t="s">
        <v>362</v>
      </c>
      <c r="H2267" t="str">
        <f>VLOOKUP(B2267,[2]Kreise!$A$2:$C$53,3,FALSE)</f>
        <v>K03359</v>
      </c>
      <c r="I2267">
        <f>'2020_5-2-2_Download'!AI39</f>
        <v>7.4288359176116634</v>
      </c>
    </row>
    <row r="2268" spans="2:9">
      <c r="B2268">
        <f>'2020_5-2-2_Download'!B40</f>
        <v>360</v>
      </c>
      <c r="C2268">
        <f>'2020_5-2-2_Download'!$AF$5</f>
        <v>2016</v>
      </c>
      <c r="D2268" t="str">
        <f>VLOOKUP(B2268,[1]Tabelle1!$A$1:$B$68,2,FALSE)</f>
        <v>Uelzen</v>
      </c>
      <c r="F2268" t="str">
        <f>'2020_5-2-2_Download'!$AI$7</f>
        <v>hoch</v>
      </c>
      <c r="G2268" t="s">
        <v>362</v>
      </c>
      <c r="H2268" t="str">
        <f>VLOOKUP(B2268,[2]Kreise!$A$2:$C$53,3,FALSE)</f>
        <v>K03360</v>
      </c>
      <c r="I2268">
        <f>'2020_5-2-2_Download'!AI40</f>
        <v>16.292134831460675</v>
      </c>
    </row>
    <row r="2269" spans="2:9">
      <c r="B2269">
        <f>'2020_5-2-2_Download'!B41</f>
        <v>361</v>
      </c>
      <c r="C2269">
        <f>'2020_5-2-2_Download'!$AF$5</f>
        <v>2016</v>
      </c>
      <c r="D2269" t="str">
        <f>VLOOKUP(B2269,[1]Tabelle1!$A$1:$B$68,2,FALSE)</f>
        <v>Verden</v>
      </c>
      <c r="F2269" t="str">
        <f>'2020_5-2-2_Download'!$AI$7</f>
        <v>hoch</v>
      </c>
      <c r="G2269" t="s">
        <v>362</v>
      </c>
      <c r="H2269" t="str">
        <f>VLOOKUP(B2269,[2]Kreise!$A$2:$C$53,3,FALSE)</f>
        <v>K03361</v>
      </c>
      <c r="I2269">
        <f>'2020_5-2-2_Download'!AI41</f>
        <v>10.495892911469424</v>
      </c>
    </row>
    <row r="2270" spans="2:9">
      <c r="B2270">
        <f>'2020_5-2-2_Download'!B42</f>
        <v>3</v>
      </c>
      <c r="C2270">
        <f>'2020_5-2-2_Download'!$AF$5</f>
        <v>2016</v>
      </c>
      <c r="D2270" t="str">
        <f>VLOOKUP(B2270,[1]Tabelle1!$A$1:$B$68,2,FALSE)</f>
        <v>Stat. Region Lüneburg</v>
      </c>
      <c r="F2270" t="str">
        <f>'2020_5-2-2_Download'!$AI$7</f>
        <v>hoch</v>
      </c>
      <c r="G2270" t="s">
        <v>362</v>
      </c>
      <c r="H2270" t="str">
        <f>VLOOKUP(B2270,[2]Kreise!$A$2:$C$53,3,FALSE)</f>
        <v>K033</v>
      </c>
      <c r="I2270">
        <f>'2020_5-2-2_Download'!AI42</f>
        <v>9.1542386185243316</v>
      </c>
    </row>
    <row r="2271" spans="2:9">
      <c r="B2271">
        <f>'2020_5-2-2_Download'!B43</f>
        <v>401</v>
      </c>
      <c r="C2271">
        <f>'2020_5-2-2_Download'!$AF$5</f>
        <v>2016</v>
      </c>
      <c r="D2271" t="str">
        <f>VLOOKUP(B2271,[1]Tabelle1!$A$1:$B$68,2,FALSE)</f>
        <v>Delmenhorst  Stadt</v>
      </c>
      <c r="F2271" t="str">
        <f>'2020_5-2-2_Download'!$AI$7</f>
        <v>hoch</v>
      </c>
      <c r="G2271" t="s">
        <v>362</v>
      </c>
      <c r="H2271" t="str">
        <f>VLOOKUP(B2271,[2]Kreise!$A$2:$C$53,3,FALSE)</f>
        <v>K03401</v>
      </c>
      <c r="I2271">
        <f>'2020_5-2-2_Download'!AI43</f>
        <v>8.6666666666666679</v>
      </c>
    </row>
    <row r="2272" spans="2:9">
      <c r="B2272">
        <f>'2020_5-2-2_Download'!B44</f>
        <v>402</v>
      </c>
      <c r="C2272">
        <f>'2020_5-2-2_Download'!$AF$5</f>
        <v>2016</v>
      </c>
      <c r="D2272" t="str">
        <f>VLOOKUP(B2272,[1]Tabelle1!$A$1:$B$68,2,FALSE)</f>
        <v>Emden  Stadt</v>
      </c>
      <c r="F2272" t="str">
        <f>'2020_5-2-2_Download'!$AI$7</f>
        <v>hoch</v>
      </c>
      <c r="G2272" t="s">
        <v>362</v>
      </c>
      <c r="H2272" t="str">
        <f>VLOOKUP(B2272,[2]Kreise!$A$2:$C$53,3,FALSE)</f>
        <v>K03402</v>
      </c>
      <c r="I2272">
        <f>'2020_5-2-2_Download'!AI44</f>
        <v>9.0185676392572933</v>
      </c>
    </row>
    <row r="2273" spans="2:9">
      <c r="B2273">
        <f>'2020_5-2-2_Download'!B45</f>
        <v>403</v>
      </c>
      <c r="C2273">
        <f>'2020_5-2-2_Download'!$AF$5</f>
        <v>2016</v>
      </c>
      <c r="D2273" t="str">
        <f>VLOOKUP(B2273,[1]Tabelle1!$A$1:$B$68,2,FALSE)</f>
        <v>Oldenburg(Oldb)  Stadt</v>
      </c>
      <c r="F2273" t="str">
        <f>'2020_5-2-2_Download'!$AI$7</f>
        <v>hoch</v>
      </c>
      <c r="G2273" t="s">
        <v>362</v>
      </c>
      <c r="H2273" t="str">
        <f>VLOOKUP(B2273,[2]Kreise!$A$2:$C$53,3,FALSE)</f>
        <v>K03403</v>
      </c>
      <c r="I2273">
        <f>'2020_5-2-2_Download'!AI45</f>
        <v>17.648605996843767</v>
      </c>
    </row>
    <row r="2274" spans="2:9">
      <c r="B2274">
        <f>'2020_5-2-2_Download'!B46</f>
        <v>404</v>
      </c>
      <c r="C2274">
        <f>'2020_5-2-2_Download'!$AF$5</f>
        <v>2016</v>
      </c>
      <c r="D2274" t="str">
        <f>VLOOKUP(B2274,[1]Tabelle1!$A$1:$B$68,2,FALSE)</f>
        <v>Osnabrück  Stadt</v>
      </c>
      <c r="F2274" t="str">
        <f>'2020_5-2-2_Download'!$AI$7</f>
        <v>hoch</v>
      </c>
      <c r="G2274" t="s">
        <v>362</v>
      </c>
      <c r="H2274" t="str">
        <f>VLOOKUP(B2274,[2]Kreise!$A$2:$C$53,3,FALSE)</f>
        <v>K03404</v>
      </c>
      <c r="I2274">
        <f>'2020_5-2-2_Download'!AI46</f>
        <v>10.096603303209722</v>
      </c>
    </row>
    <row r="2275" spans="2:9">
      <c r="B2275">
        <f>'2020_5-2-2_Download'!B47</f>
        <v>405</v>
      </c>
      <c r="C2275">
        <f>'2020_5-2-2_Download'!$AF$5</f>
        <v>2016</v>
      </c>
      <c r="D2275" t="str">
        <f>VLOOKUP(B2275,[1]Tabelle1!$A$1:$B$68,2,FALSE)</f>
        <v>Wilhelmshaven  Stadt</v>
      </c>
      <c r="F2275" t="str">
        <f>'2020_5-2-2_Download'!$AI$7</f>
        <v>hoch</v>
      </c>
      <c r="G2275" t="s">
        <v>362</v>
      </c>
      <c r="H2275" t="str">
        <f>VLOOKUP(B2275,[2]Kreise!$A$2:$C$53,3,FALSE)</f>
        <v>K03405</v>
      </c>
      <c r="I2275">
        <f>'2020_5-2-2_Download'!AI47</f>
        <v>14.359861591695502</v>
      </c>
    </row>
    <row r="2276" spans="2:9">
      <c r="B2276">
        <f>'2020_5-2-2_Download'!B48</f>
        <v>451</v>
      </c>
      <c r="C2276">
        <f>'2020_5-2-2_Download'!$AF$5</f>
        <v>2016</v>
      </c>
      <c r="D2276" t="str">
        <f>VLOOKUP(B2276,[1]Tabelle1!$A$1:$B$68,2,FALSE)</f>
        <v>Ammerland</v>
      </c>
      <c r="F2276" t="str">
        <f>'2020_5-2-2_Download'!$AI$7</f>
        <v>hoch</v>
      </c>
      <c r="G2276" t="s">
        <v>362</v>
      </c>
      <c r="H2276" t="str">
        <f>VLOOKUP(B2276,[2]Kreise!$A$2:$C$53,3,FALSE)</f>
        <v>K03451</v>
      </c>
      <c r="I2276">
        <f>'2020_5-2-2_Download'!AI48</f>
        <v>5.4893463344167577</v>
      </c>
    </row>
    <row r="2277" spans="2:9">
      <c r="B2277">
        <f>'2020_5-2-2_Download'!B49</f>
        <v>452</v>
      </c>
      <c r="C2277">
        <f>'2020_5-2-2_Download'!$AF$5</f>
        <v>2016</v>
      </c>
      <c r="D2277" t="str">
        <f>VLOOKUP(B2277,[1]Tabelle1!$A$1:$B$68,2,FALSE)</f>
        <v>Aurich</v>
      </c>
      <c r="F2277" t="str">
        <f>'2020_5-2-2_Download'!$AI$7</f>
        <v>hoch</v>
      </c>
      <c r="G2277" t="s">
        <v>362</v>
      </c>
      <c r="H2277" t="str">
        <f>VLOOKUP(B2277,[2]Kreise!$A$2:$C$53,3,FALSE)</f>
        <v>K03452</v>
      </c>
      <c r="I2277">
        <f>'2020_5-2-2_Download'!AI49</f>
        <v>8.3652430044182609</v>
      </c>
    </row>
    <row r="2278" spans="2:9">
      <c r="B2278">
        <f>'2020_5-2-2_Download'!B50</f>
        <v>453</v>
      </c>
      <c r="C2278">
        <f>'2020_5-2-2_Download'!$AF$5</f>
        <v>2016</v>
      </c>
      <c r="D2278" t="str">
        <f>VLOOKUP(B2278,[1]Tabelle1!$A$1:$B$68,2,FALSE)</f>
        <v>Cloppenburg</v>
      </c>
      <c r="F2278" t="str">
        <f>'2020_5-2-2_Download'!$AI$7</f>
        <v>hoch</v>
      </c>
      <c r="G2278" t="s">
        <v>362</v>
      </c>
      <c r="H2278" t="str">
        <f>VLOOKUP(B2278,[2]Kreise!$A$2:$C$53,3,FALSE)</f>
        <v>K03453</v>
      </c>
      <c r="I2278">
        <f>'2020_5-2-2_Download'!AI50</f>
        <v>3.3414832925835372</v>
      </c>
    </row>
    <row r="2279" spans="2:9">
      <c r="B2279">
        <f>'2020_5-2-2_Download'!B51</f>
        <v>454</v>
      </c>
      <c r="C2279">
        <f>'2020_5-2-2_Download'!$AF$5</f>
        <v>2016</v>
      </c>
      <c r="D2279" t="str">
        <f>VLOOKUP(B2279,[1]Tabelle1!$A$1:$B$68,2,FALSE)</f>
        <v>Emsland</v>
      </c>
      <c r="F2279" t="str">
        <f>'2020_5-2-2_Download'!$AI$7</f>
        <v>hoch</v>
      </c>
      <c r="G2279" t="s">
        <v>362</v>
      </c>
      <c r="H2279" t="str">
        <f>VLOOKUP(B2279,[2]Kreise!$A$2:$C$53,3,FALSE)</f>
        <v>K03454</v>
      </c>
      <c r="I2279">
        <f>'2020_5-2-2_Download'!AI51</f>
        <v>6.98615548455804</v>
      </c>
    </row>
    <row r="2280" spans="2:9">
      <c r="B2280">
        <f>'2020_5-2-2_Download'!B52</f>
        <v>455</v>
      </c>
      <c r="C2280">
        <f>'2020_5-2-2_Download'!$AF$5</f>
        <v>2016</v>
      </c>
      <c r="D2280" t="str">
        <f>VLOOKUP(B2280,[1]Tabelle1!$A$1:$B$68,2,FALSE)</f>
        <v>Friesland</v>
      </c>
      <c r="F2280" t="str">
        <f>'2020_5-2-2_Download'!$AI$7</f>
        <v>hoch</v>
      </c>
      <c r="G2280" t="s">
        <v>362</v>
      </c>
      <c r="H2280" t="str">
        <f>VLOOKUP(B2280,[2]Kreise!$A$2:$C$53,3,FALSE)</f>
        <v>K03455</v>
      </c>
      <c r="I2280">
        <f>'2020_5-2-2_Download'!AI52</f>
        <v>12.298387096774194</v>
      </c>
    </row>
    <row r="2281" spans="2:9">
      <c r="B2281">
        <f>'2020_5-2-2_Download'!B53</f>
        <v>456</v>
      </c>
      <c r="C2281">
        <f>'2020_5-2-2_Download'!$AF$5</f>
        <v>2016</v>
      </c>
      <c r="D2281" t="str">
        <f>VLOOKUP(B2281,[1]Tabelle1!$A$1:$B$68,2,FALSE)</f>
        <v>Grafschaft Bentheim</v>
      </c>
      <c r="F2281" t="str">
        <f>'2020_5-2-2_Download'!$AI$7</f>
        <v>hoch</v>
      </c>
      <c r="G2281" t="s">
        <v>362</v>
      </c>
      <c r="H2281" t="str">
        <f>VLOOKUP(B2281,[2]Kreise!$A$2:$C$53,3,FALSE)</f>
        <v>K03456</v>
      </c>
      <c r="I2281">
        <f>'2020_5-2-2_Download'!AI53</f>
        <v>6.25</v>
      </c>
    </row>
    <row r="2282" spans="2:9">
      <c r="B2282">
        <f>'2020_5-2-2_Download'!B54</f>
        <v>457</v>
      </c>
      <c r="C2282">
        <f>'2020_5-2-2_Download'!$AF$5</f>
        <v>2016</v>
      </c>
      <c r="D2282" t="str">
        <f>VLOOKUP(B2282,[1]Tabelle1!$A$1:$B$68,2,FALSE)</f>
        <v>Leer</v>
      </c>
      <c r="F2282" t="str">
        <f>'2020_5-2-2_Download'!$AI$7</f>
        <v>hoch</v>
      </c>
      <c r="G2282" t="s">
        <v>362</v>
      </c>
      <c r="H2282" t="str">
        <f>VLOOKUP(B2282,[2]Kreise!$A$2:$C$53,3,FALSE)</f>
        <v>K03457</v>
      </c>
      <c r="I2282">
        <f>'2020_5-2-2_Download'!AI54</f>
        <v>9.7099113618049966</v>
      </c>
    </row>
    <row r="2283" spans="2:9">
      <c r="B2283">
        <f>'2020_5-2-2_Download'!B55</f>
        <v>458</v>
      </c>
      <c r="C2283">
        <f>'2020_5-2-2_Download'!$AF$5</f>
        <v>2016</v>
      </c>
      <c r="D2283" t="str">
        <f>VLOOKUP(B2283,[1]Tabelle1!$A$1:$B$68,2,FALSE)</f>
        <v>Oldenburg</v>
      </c>
      <c r="F2283" t="str">
        <f>'2020_5-2-2_Download'!$AI$7</f>
        <v>hoch</v>
      </c>
      <c r="G2283" t="s">
        <v>362</v>
      </c>
      <c r="H2283" t="str">
        <f>VLOOKUP(B2283,[2]Kreise!$A$2:$C$53,3,FALSE)</f>
        <v>K03458</v>
      </c>
      <c r="I2283">
        <f>'2020_5-2-2_Download'!AI55</f>
        <v>4.3829787234042552</v>
      </c>
    </row>
    <row r="2284" spans="2:9">
      <c r="B2284">
        <f>'2020_5-2-2_Download'!B56</f>
        <v>459</v>
      </c>
      <c r="C2284">
        <f>'2020_5-2-2_Download'!$AF$5</f>
        <v>2016</v>
      </c>
      <c r="D2284" t="str">
        <f>VLOOKUP(B2284,[1]Tabelle1!$A$1:$B$68,2,FALSE)</f>
        <v>Osnabrück</v>
      </c>
      <c r="F2284" t="str">
        <f>'2020_5-2-2_Download'!$AI$7</f>
        <v>hoch</v>
      </c>
      <c r="G2284" t="s">
        <v>362</v>
      </c>
      <c r="H2284" t="str">
        <f>VLOOKUP(B2284,[2]Kreise!$A$2:$C$53,3,FALSE)</f>
        <v>K03459</v>
      </c>
      <c r="I2284">
        <f>'2020_5-2-2_Download'!AI56</f>
        <v>4.3409033771893073</v>
      </c>
    </row>
    <row r="2285" spans="2:9">
      <c r="B2285">
        <f>'2020_5-2-2_Download'!B57</f>
        <v>460</v>
      </c>
      <c r="C2285">
        <f>'2020_5-2-2_Download'!$AF$5</f>
        <v>2016</v>
      </c>
      <c r="D2285" t="str">
        <f>VLOOKUP(B2285,[1]Tabelle1!$A$1:$B$68,2,FALSE)</f>
        <v>Vechta</v>
      </c>
      <c r="F2285" t="str">
        <f>'2020_5-2-2_Download'!$AI$7</f>
        <v>hoch</v>
      </c>
      <c r="G2285" t="s">
        <v>362</v>
      </c>
      <c r="H2285" t="str">
        <f>VLOOKUP(B2285,[2]Kreise!$A$2:$C$53,3,FALSE)</f>
        <v>K03460</v>
      </c>
      <c r="I2285">
        <f>'2020_5-2-2_Download'!AI57</f>
        <v>3.9185140802875975</v>
      </c>
    </row>
    <row r="2286" spans="2:9">
      <c r="B2286">
        <f>'2020_5-2-2_Download'!B58</f>
        <v>461</v>
      </c>
      <c r="C2286">
        <f>'2020_5-2-2_Download'!$AF$5</f>
        <v>2016</v>
      </c>
      <c r="D2286" t="str">
        <f>VLOOKUP(B2286,[1]Tabelle1!$A$1:$B$68,2,FALSE)</f>
        <v>Wesermarsch</v>
      </c>
      <c r="F2286" t="str">
        <f>'2020_5-2-2_Download'!$AI$7</f>
        <v>hoch</v>
      </c>
      <c r="G2286" t="s">
        <v>362</v>
      </c>
      <c r="H2286" t="str">
        <f>VLOOKUP(B2286,[2]Kreise!$A$2:$C$53,3,FALSE)</f>
        <v>K03461</v>
      </c>
      <c r="I2286">
        <f>'2020_5-2-2_Download'!AI58</f>
        <v>5.5135135135135132</v>
      </c>
    </row>
    <row r="2287" spans="2:9">
      <c r="B2287">
        <f>'2020_5-2-2_Download'!B59</f>
        <v>462</v>
      </c>
      <c r="C2287">
        <f>'2020_5-2-2_Download'!$AF$5</f>
        <v>2016</v>
      </c>
      <c r="D2287" t="str">
        <f>VLOOKUP(B2287,[1]Tabelle1!$A$1:$B$68,2,FALSE)</f>
        <v>Wittmund</v>
      </c>
      <c r="F2287" t="str">
        <f>'2020_5-2-2_Download'!$AI$7</f>
        <v>hoch</v>
      </c>
      <c r="G2287" t="s">
        <v>362</v>
      </c>
      <c r="H2287" t="str">
        <f>VLOOKUP(B2287,[2]Kreise!$A$2:$C$53,3,FALSE)</f>
        <v>K03462</v>
      </c>
      <c r="I2287">
        <f>'2020_5-2-2_Download'!AI59</f>
        <v>6.104651162790697</v>
      </c>
    </row>
    <row r="2288" spans="2:9">
      <c r="B2288">
        <f>'2020_5-2-2_Download'!B60</f>
        <v>4</v>
      </c>
      <c r="C2288">
        <f>'2020_5-2-2_Download'!$AF$5</f>
        <v>2016</v>
      </c>
      <c r="D2288" t="str">
        <f>VLOOKUP(B2288,[1]Tabelle1!$A$1:$B$68,2,FALSE)</f>
        <v>Stat. Region Weser-Ems</v>
      </c>
      <c r="F2288" t="str">
        <f>'2020_5-2-2_Download'!$AI$7</f>
        <v>hoch</v>
      </c>
      <c r="G2288" t="s">
        <v>362</v>
      </c>
      <c r="H2288" t="str">
        <f>VLOOKUP(B2288,[2]Kreise!$A$2:$C$53,3,FALSE)</f>
        <v>K034</v>
      </c>
      <c r="I2288">
        <f>'2020_5-2-2_Download'!AI60</f>
        <v>6.9088907239196251</v>
      </c>
    </row>
    <row r="2289" spans="2:9">
      <c r="B2289">
        <f>'2020_5-2-2_Download'!B61</f>
        <v>0</v>
      </c>
      <c r="C2289">
        <f>'2020_5-2-2_Download'!$AF$5</f>
        <v>2016</v>
      </c>
      <c r="D2289" t="str">
        <f>VLOOKUP(B2289,[1]Tabelle1!$A$1:$B$68,2,FALSE)</f>
        <v>Niedersachsen</v>
      </c>
      <c r="F2289" t="str">
        <f>'2020_5-2-2_Download'!$AI$7</f>
        <v>hoch</v>
      </c>
      <c r="G2289" t="s">
        <v>362</v>
      </c>
      <c r="H2289" t="str">
        <f>VLOOKUP(B2289,[2]Kreise!$A$2:$C$53,3,FALSE)</f>
        <v>K030</v>
      </c>
      <c r="I2289">
        <f>'2020_5-2-2_Download'!AI61</f>
        <v>11.081117159342044</v>
      </c>
    </row>
    <row r="2290" spans="2:9">
      <c r="B2290">
        <f>'2020_5-2-2_Download'!B10</f>
        <v>101</v>
      </c>
      <c r="C2290">
        <f>'2020_5-2-2_Download'!$AF$5</f>
        <v>2016</v>
      </c>
      <c r="D2290" t="str">
        <f>VLOOKUP(B2290,[1]Tabelle1!$A$1:$B$68,2,FALSE)</f>
        <v>Braunschweig  Stadt</v>
      </c>
      <c r="F2290" t="str">
        <f>'2020_5-2-2_Download'!$AJ$7</f>
        <v>mittel</v>
      </c>
      <c r="G2290" t="s">
        <v>362</v>
      </c>
      <c r="H2290" t="str">
        <f>VLOOKUP(B2290,[2]Kreise!$A$2:$C$53,3,FALSE)</f>
        <v>K03101</v>
      </c>
      <c r="I2290">
        <f>'2020_5-2-2_Download'!AJ10</f>
        <v>31.14073701421205</v>
      </c>
    </row>
    <row r="2291" spans="2:9">
      <c r="B2291">
        <f>'2020_5-2-2_Download'!B11</f>
        <v>102</v>
      </c>
      <c r="C2291">
        <f>'2020_5-2-2_Download'!$AF$5</f>
        <v>2016</v>
      </c>
      <c r="D2291" t="str">
        <f>VLOOKUP(B2291,[1]Tabelle1!$A$1:$B$68,2,FALSE)</f>
        <v>Salzgitter  Stadt</v>
      </c>
      <c r="F2291" t="str">
        <f>'2020_5-2-2_Download'!$AJ$7</f>
        <v>mittel</v>
      </c>
      <c r="G2291" t="s">
        <v>362</v>
      </c>
      <c r="H2291" t="str">
        <f>VLOOKUP(B2291,[2]Kreise!$A$2:$C$53,3,FALSE)</f>
        <v>K03102</v>
      </c>
      <c r="I2291">
        <f>'2020_5-2-2_Download'!AJ11</f>
        <v>43.466299862448423</v>
      </c>
    </row>
    <row r="2292" spans="2:9">
      <c r="B2292">
        <f>'2020_5-2-2_Download'!B12</f>
        <v>103</v>
      </c>
      <c r="C2292">
        <f>'2020_5-2-2_Download'!$AF$5</f>
        <v>2016</v>
      </c>
      <c r="D2292" t="str">
        <f>VLOOKUP(B2292,[1]Tabelle1!$A$1:$B$68,2,FALSE)</f>
        <v>Wolfsburg  Stadt</v>
      </c>
      <c r="F2292" t="str">
        <f>'2020_5-2-2_Download'!$AJ$7</f>
        <v>mittel</v>
      </c>
      <c r="G2292" t="s">
        <v>362</v>
      </c>
      <c r="H2292" t="str">
        <f>VLOOKUP(B2292,[2]Kreise!$A$2:$C$53,3,FALSE)</f>
        <v>K03103</v>
      </c>
      <c r="I2292">
        <f>'2020_5-2-2_Download'!AJ12</f>
        <v>33.658816771970137</v>
      </c>
    </row>
    <row r="2293" spans="2:9">
      <c r="B2293">
        <f>'2020_5-2-2_Download'!B13</f>
        <v>151</v>
      </c>
      <c r="C2293">
        <f>'2020_5-2-2_Download'!$AF$5</f>
        <v>2016</v>
      </c>
      <c r="D2293" t="str">
        <f>VLOOKUP(B2293,[1]Tabelle1!$A$1:$B$68,2,FALSE)</f>
        <v>Gifhorn</v>
      </c>
      <c r="F2293" t="str">
        <f>'2020_5-2-2_Download'!$AJ$7</f>
        <v>mittel</v>
      </c>
      <c r="G2293" t="s">
        <v>362</v>
      </c>
      <c r="H2293" t="str">
        <f>VLOOKUP(B2293,[2]Kreise!$A$2:$C$53,3,FALSE)</f>
        <v>K03151</v>
      </c>
      <c r="I2293">
        <f>'2020_5-2-2_Download'!AJ13</f>
        <v>28.67448151487827</v>
      </c>
    </row>
    <row r="2294" spans="2:9">
      <c r="B2294">
        <f>'2020_5-2-2_Download'!B14</f>
        <v>153</v>
      </c>
      <c r="C2294">
        <f>'2020_5-2-2_Download'!$AF$5</f>
        <v>2016</v>
      </c>
      <c r="D2294" t="str">
        <f>VLOOKUP(B2294,[1]Tabelle1!$A$1:$B$68,2,FALSE)</f>
        <v>Goslar</v>
      </c>
      <c r="F2294" t="str">
        <f>'2020_5-2-2_Download'!$AJ$7</f>
        <v>mittel</v>
      </c>
      <c r="G2294" t="s">
        <v>362</v>
      </c>
      <c r="H2294" t="str">
        <f>VLOOKUP(B2294,[2]Kreise!$A$2:$C$53,3,FALSE)</f>
        <v>K03153</v>
      </c>
      <c r="I2294">
        <f>'2020_5-2-2_Download'!AJ14</f>
        <v>32.551594746716702</v>
      </c>
    </row>
    <row r="2295" spans="2:9">
      <c r="B2295">
        <f>'2020_5-2-2_Download'!B15</f>
        <v>154</v>
      </c>
      <c r="C2295">
        <f>'2020_5-2-2_Download'!$AF$5</f>
        <v>2016</v>
      </c>
      <c r="D2295" t="str">
        <f>VLOOKUP(B2295,[1]Tabelle1!$A$1:$B$68,2,FALSE)</f>
        <v>Helmstedt</v>
      </c>
      <c r="F2295" t="str">
        <f>'2020_5-2-2_Download'!$AJ$7</f>
        <v>mittel</v>
      </c>
      <c r="G2295" t="s">
        <v>362</v>
      </c>
      <c r="H2295" t="str">
        <f>VLOOKUP(B2295,[2]Kreise!$A$2:$C$53,3,FALSE)</f>
        <v>K03154</v>
      </c>
      <c r="I2295">
        <f>'2020_5-2-2_Download'!AJ15</f>
        <v>35.150812064965194</v>
      </c>
    </row>
    <row r="2296" spans="2:9">
      <c r="B2296">
        <f>'2020_5-2-2_Download'!B16</f>
        <v>155</v>
      </c>
      <c r="C2296">
        <f>'2020_5-2-2_Download'!$AF$5</f>
        <v>2016</v>
      </c>
      <c r="D2296" t="str">
        <f>VLOOKUP(B2296,[1]Tabelle1!$A$1:$B$68,2,FALSE)</f>
        <v>Northeim</v>
      </c>
      <c r="F2296" t="str">
        <f>'2020_5-2-2_Download'!$AJ$7</f>
        <v>mittel</v>
      </c>
      <c r="G2296" t="s">
        <v>362</v>
      </c>
      <c r="H2296" t="str">
        <f>VLOOKUP(B2296,[2]Kreise!$A$2:$C$53,3,FALSE)</f>
        <v>K03155</v>
      </c>
      <c r="I2296">
        <f>'2020_5-2-2_Download'!AJ16</f>
        <v>49.088649544324767</v>
      </c>
    </row>
    <row r="2297" spans="2:9">
      <c r="B2297">
        <f>'2020_5-2-2_Download'!B17</f>
        <v>157</v>
      </c>
      <c r="C2297">
        <f>'2020_5-2-2_Download'!$AF$5</f>
        <v>2016</v>
      </c>
      <c r="D2297" t="str">
        <f>VLOOKUP(B2297,[1]Tabelle1!$A$1:$B$68,2,FALSE)</f>
        <v>Peine</v>
      </c>
      <c r="F2297" t="str">
        <f>'2020_5-2-2_Download'!$AJ$7</f>
        <v>mittel</v>
      </c>
      <c r="G2297" t="s">
        <v>362</v>
      </c>
      <c r="H2297" t="str">
        <f>VLOOKUP(B2297,[2]Kreise!$A$2:$C$53,3,FALSE)</f>
        <v>K03157</v>
      </c>
      <c r="I2297">
        <f>'2020_5-2-2_Download'!AJ17</f>
        <v>36.387572406529749</v>
      </c>
    </row>
    <row r="2298" spans="2:9">
      <c r="B2298">
        <f>'2020_5-2-2_Download'!B18</f>
        <v>158</v>
      </c>
      <c r="C2298">
        <f>'2020_5-2-2_Download'!$AF$5</f>
        <v>2016</v>
      </c>
      <c r="D2298" t="str">
        <f>VLOOKUP(B2298,[1]Tabelle1!$A$1:$B$68,2,FALSE)</f>
        <v>Wolfenbüttel</v>
      </c>
      <c r="F2298" t="str">
        <f>'2020_5-2-2_Download'!$AJ$7</f>
        <v>mittel</v>
      </c>
      <c r="G2298" t="s">
        <v>362</v>
      </c>
      <c r="H2298" t="str">
        <f>VLOOKUP(B2298,[2]Kreise!$A$2:$C$53,3,FALSE)</f>
        <v>K03158</v>
      </c>
      <c r="I2298">
        <f>'2020_5-2-2_Download'!AJ18</f>
        <v>42.459173871277613</v>
      </c>
    </row>
    <row r="2299" spans="2:9">
      <c r="B2299">
        <f>'2020_5-2-2_Download'!B19</f>
        <v>159</v>
      </c>
      <c r="C2299">
        <f>'2020_5-2-2_Download'!$AF$5</f>
        <v>2016</v>
      </c>
      <c r="D2299" t="str">
        <f>VLOOKUP(B2299,[1]Tabelle1!$A$1:$B$68,2,FALSE)</f>
        <v>Göttingen</v>
      </c>
      <c r="F2299" t="str">
        <f>'2020_5-2-2_Download'!$AJ$7</f>
        <v>mittel</v>
      </c>
      <c r="G2299" t="s">
        <v>362</v>
      </c>
      <c r="H2299" t="str">
        <f>VLOOKUP(B2299,[2]Kreise!$A$2:$C$53,3,FALSE)</f>
        <v>K03159</v>
      </c>
      <c r="I2299">
        <f>'2020_5-2-2_Download'!AJ19</f>
        <v>29.964961457603362</v>
      </c>
    </row>
    <row r="2300" spans="2:9">
      <c r="B2300">
        <f>'2020_5-2-2_Download'!B20</f>
        <v>1</v>
      </c>
      <c r="C2300">
        <f>'2020_5-2-2_Download'!$AF$5</f>
        <v>2016</v>
      </c>
      <c r="D2300" t="str">
        <f>VLOOKUP(B2300,[1]Tabelle1!$A$1:$B$68,2,FALSE)</f>
        <v>Stat. Region Braunschweig</v>
      </c>
      <c r="F2300" t="str">
        <f>'2020_5-2-2_Download'!$AJ$7</f>
        <v>mittel</v>
      </c>
      <c r="G2300" t="s">
        <v>362</v>
      </c>
      <c r="H2300" t="str">
        <f>VLOOKUP(B2300,[2]Kreise!$A$2:$C$53,3,FALSE)</f>
        <v>K031</v>
      </c>
      <c r="I2300">
        <f>'2020_5-2-2_Download'!AJ20</f>
        <v>34.415140029479893</v>
      </c>
    </row>
    <row r="2301" spans="2:9">
      <c r="B2301">
        <f>'2020_5-2-2_Download'!B21</f>
        <v>241</v>
      </c>
      <c r="C2301">
        <f>'2020_5-2-2_Download'!$AF$5</f>
        <v>2016</v>
      </c>
      <c r="D2301" t="str">
        <f>VLOOKUP(B2301,[1]Tabelle1!$A$1:$B$68,2,FALSE)</f>
        <v>Hannover  Region</v>
      </c>
      <c r="F2301" t="str">
        <f>'2020_5-2-2_Download'!$AJ$7</f>
        <v>mittel</v>
      </c>
      <c r="G2301" t="s">
        <v>362</v>
      </c>
      <c r="H2301" t="str">
        <f>VLOOKUP(B2301,[2]Kreise!$A$2:$C$53,3,FALSE)</f>
        <v>K03241</v>
      </c>
      <c r="I2301">
        <f>'2020_5-2-2_Download'!AJ21</f>
        <v>33.274629209191794</v>
      </c>
    </row>
    <row r="2302" spans="2:9">
      <c r="B2302">
        <f>'2020_5-2-2_Download'!B22</f>
        <v>241001</v>
      </c>
      <c r="C2302">
        <f>'2020_5-2-2_Download'!$AF$5</f>
        <v>2016</v>
      </c>
      <c r="D2302" t="str">
        <f>VLOOKUP(B2302,[1]Tabelle1!$A$1:$B$68,2,FALSE)</f>
        <v>dav. Hannover  Lhst.</v>
      </c>
      <c r="F2302" t="str">
        <f>'2020_5-2-2_Download'!$AJ$7</f>
        <v>mittel</v>
      </c>
      <c r="G2302" t="s">
        <v>362</v>
      </c>
      <c r="H2302" t="str">
        <f>VLOOKUP(B2302,[2]Kreise!$A$2:$C$53,3,FALSE)</f>
        <v>K03241001</v>
      </c>
      <c r="I2302">
        <f>'2020_5-2-2_Download'!AJ22</f>
        <v>32.336209651645895</v>
      </c>
    </row>
    <row r="2303" spans="2:9">
      <c r="B2303">
        <f>'2020_5-2-2_Download'!B23</f>
        <v>241999</v>
      </c>
      <c r="C2303">
        <f>'2020_5-2-2_Download'!$AF$5</f>
        <v>2016</v>
      </c>
      <c r="D2303" t="str">
        <f>VLOOKUP(B2303,[1]Tabelle1!$A$1:$B$68,2,FALSE)</f>
        <v>dav. Hannover  Umland</v>
      </c>
      <c r="F2303" t="str">
        <f>'2020_5-2-2_Download'!$AJ$7</f>
        <v>mittel</v>
      </c>
      <c r="G2303" t="s">
        <v>362</v>
      </c>
      <c r="H2303" t="str">
        <f>VLOOKUP(B2303,[2]Kreise!$A$2:$C$53,3,FALSE)</f>
        <v>K03241999</v>
      </c>
      <c r="I2303">
        <f>'2020_5-2-2_Download'!AJ23</f>
        <v>35.128480333354375</v>
      </c>
    </row>
    <row r="2304" spans="2:9">
      <c r="B2304">
        <f>'2020_5-2-2_Download'!B24</f>
        <v>251</v>
      </c>
      <c r="C2304">
        <f>'2020_5-2-2_Download'!$AF$5</f>
        <v>2016</v>
      </c>
      <c r="D2304" t="str">
        <f>VLOOKUP(B2304,[1]Tabelle1!$A$1:$B$68,2,FALSE)</f>
        <v>Diepholz</v>
      </c>
      <c r="F2304" t="str">
        <f>'2020_5-2-2_Download'!$AJ$7</f>
        <v>mittel</v>
      </c>
      <c r="G2304" t="s">
        <v>362</v>
      </c>
      <c r="H2304" t="str">
        <f>VLOOKUP(B2304,[2]Kreise!$A$2:$C$53,3,FALSE)</f>
        <v>K03251</v>
      </c>
      <c r="I2304">
        <f>'2020_5-2-2_Download'!AJ24</f>
        <v>32.579296778952546</v>
      </c>
    </row>
    <row r="2305" spans="2:9">
      <c r="B2305">
        <f>'2020_5-2-2_Download'!B25</f>
        <v>252</v>
      </c>
      <c r="C2305">
        <f>'2020_5-2-2_Download'!$AF$5</f>
        <v>2016</v>
      </c>
      <c r="D2305" t="str">
        <f>VLOOKUP(B2305,[1]Tabelle1!$A$1:$B$68,2,FALSE)</f>
        <v>Hameln-Pyrmont</v>
      </c>
      <c r="F2305" t="str">
        <f>'2020_5-2-2_Download'!$AJ$7</f>
        <v>mittel</v>
      </c>
      <c r="G2305" t="s">
        <v>362</v>
      </c>
      <c r="H2305" t="str">
        <f>VLOOKUP(B2305,[2]Kreise!$A$2:$C$53,3,FALSE)</f>
        <v>K03252</v>
      </c>
      <c r="I2305">
        <f>'2020_5-2-2_Download'!AJ25</f>
        <v>39.034072113794245</v>
      </c>
    </row>
    <row r="2306" spans="2:9">
      <c r="B2306">
        <f>'2020_5-2-2_Download'!B26</f>
        <v>254</v>
      </c>
      <c r="C2306">
        <f>'2020_5-2-2_Download'!$AF$5</f>
        <v>2016</v>
      </c>
      <c r="D2306" t="str">
        <f>VLOOKUP(B2306,[1]Tabelle1!$A$1:$B$68,2,FALSE)</f>
        <v>Hildesheim</v>
      </c>
      <c r="F2306" t="str">
        <f>'2020_5-2-2_Download'!$AJ$7</f>
        <v>mittel</v>
      </c>
      <c r="G2306" t="s">
        <v>362</v>
      </c>
      <c r="H2306" t="str">
        <f>VLOOKUP(B2306,[2]Kreise!$A$2:$C$53,3,FALSE)</f>
        <v>K03254</v>
      </c>
      <c r="I2306">
        <f>'2020_5-2-2_Download'!AJ26</f>
        <v>38.232642019837691</v>
      </c>
    </row>
    <row r="2307" spans="2:9">
      <c r="B2307">
        <f>'2020_5-2-2_Download'!B27</f>
        <v>255</v>
      </c>
      <c r="C2307">
        <f>'2020_5-2-2_Download'!$AF$5</f>
        <v>2016</v>
      </c>
      <c r="D2307" t="str">
        <f>VLOOKUP(B2307,[1]Tabelle1!$A$1:$B$68,2,FALSE)</f>
        <v>Holzminden</v>
      </c>
      <c r="F2307" t="str">
        <f>'2020_5-2-2_Download'!$AJ$7</f>
        <v>mittel</v>
      </c>
      <c r="G2307" t="s">
        <v>362</v>
      </c>
      <c r="H2307" t="str">
        <f>VLOOKUP(B2307,[2]Kreise!$A$2:$C$53,3,FALSE)</f>
        <v>K03255</v>
      </c>
      <c r="I2307">
        <f>'2020_5-2-2_Download'!AJ27</f>
        <v>35.816326530612244</v>
      </c>
    </row>
    <row r="2308" spans="2:9">
      <c r="B2308">
        <f>'2020_5-2-2_Download'!B28</f>
        <v>256</v>
      </c>
      <c r="C2308">
        <f>'2020_5-2-2_Download'!$AF$5</f>
        <v>2016</v>
      </c>
      <c r="D2308" t="str">
        <f>VLOOKUP(B2308,[1]Tabelle1!$A$1:$B$68,2,FALSE)</f>
        <v>Nienburg (Weser)</v>
      </c>
      <c r="F2308" t="str">
        <f>'2020_5-2-2_Download'!$AJ$7</f>
        <v>mittel</v>
      </c>
      <c r="G2308" t="s">
        <v>362</v>
      </c>
      <c r="H2308" t="str">
        <f>VLOOKUP(B2308,[2]Kreise!$A$2:$C$53,3,FALSE)</f>
        <v>K03256</v>
      </c>
      <c r="I2308">
        <f>'2020_5-2-2_Download'!AJ28</f>
        <v>27.603513174404014</v>
      </c>
    </row>
    <row r="2309" spans="2:9">
      <c r="B2309">
        <f>'2020_5-2-2_Download'!B29</f>
        <v>257</v>
      </c>
      <c r="C2309">
        <f>'2020_5-2-2_Download'!$AF$5</f>
        <v>2016</v>
      </c>
      <c r="D2309" t="str">
        <f>VLOOKUP(B2309,[1]Tabelle1!$A$1:$B$68,2,FALSE)</f>
        <v>Schaumburg</v>
      </c>
      <c r="F2309" t="str">
        <f>'2020_5-2-2_Download'!$AJ$7</f>
        <v>mittel</v>
      </c>
      <c r="G2309" t="s">
        <v>362</v>
      </c>
      <c r="H2309" t="str">
        <f>VLOOKUP(B2309,[2]Kreise!$A$2:$C$53,3,FALSE)</f>
        <v>K03257</v>
      </c>
      <c r="I2309">
        <f>'2020_5-2-2_Download'!AJ29</f>
        <v>42.922028766086299</v>
      </c>
    </row>
    <row r="2310" spans="2:9">
      <c r="B2310">
        <f>'2020_5-2-2_Download'!B30</f>
        <v>2</v>
      </c>
      <c r="C2310">
        <f>'2020_5-2-2_Download'!$AF$5</f>
        <v>2016</v>
      </c>
      <c r="D2310" t="str">
        <f>VLOOKUP(B2310,[1]Tabelle1!$A$1:$B$68,2,FALSE)</f>
        <v>Stat. Region Hannover</v>
      </c>
      <c r="F2310" t="str">
        <f>'2020_5-2-2_Download'!$AJ$7</f>
        <v>mittel</v>
      </c>
      <c r="G2310" t="s">
        <v>362</v>
      </c>
      <c r="H2310" t="str">
        <f>VLOOKUP(B2310,[2]Kreise!$A$2:$C$53,3,FALSE)</f>
        <v>K032</v>
      </c>
      <c r="I2310">
        <f>'2020_5-2-2_Download'!AJ30</f>
        <v>34.063215191439348</v>
      </c>
    </row>
    <row r="2311" spans="2:9">
      <c r="B2311">
        <f>'2020_5-2-2_Download'!B31</f>
        <v>351</v>
      </c>
      <c r="C2311">
        <f>'2020_5-2-2_Download'!$AF$5</f>
        <v>2016</v>
      </c>
      <c r="D2311" t="str">
        <f>VLOOKUP(B2311,[1]Tabelle1!$A$1:$B$68,2,FALSE)</f>
        <v>Celle</v>
      </c>
      <c r="F2311" t="str">
        <f>'2020_5-2-2_Download'!$AJ$7</f>
        <v>mittel</v>
      </c>
      <c r="G2311" t="s">
        <v>362</v>
      </c>
      <c r="H2311" t="str">
        <f>VLOOKUP(B2311,[2]Kreise!$A$2:$C$53,3,FALSE)</f>
        <v>K03351</v>
      </c>
      <c r="I2311">
        <f>'2020_5-2-2_Download'!AJ31</f>
        <v>34.705025491624184</v>
      </c>
    </row>
    <row r="2312" spans="2:9">
      <c r="B2312">
        <f>'2020_5-2-2_Download'!B32</f>
        <v>352</v>
      </c>
      <c r="C2312">
        <f>'2020_5-2-2_Download'!$AF$5</f>
        <v>2016</v>
      </c>
      <c r="D2312" t="str">
        <f>VLOOKUP(B2312,[1]Tabelle1!$A$1:$B$68,2,FALSE)</f>
        <v>Cuxhaven</v>
      </c>
      <c r="F2312" t="str">
        <f>'2020_5-2-2_Download'!$AJ$7</f>
        <v>mittel</v>
      </c>
      <c r="G2312" t="s">
        <v>362</v>
      </c>
      <c r="H2312" t="str">
        <f>VLOOKUP(B2312,[2]Kreise!$A$2:$C$53,3,FALSE)</f>
        <v>K03352</v>
      </c>
      <c r="I2312">
        <f>'2020_5-2-2_Download'!AJ32</f>
        <v>29.106458271896194</v>
      </c>
    </row>
    <row r="2313" spans="2:9">
      <c r="B2313">
        <f>'2020_5-2-2_Download'!B33</f>
        <v>353</v>
      </c>
      <c r="C2313">
        <f>'2020_5-2-2_Download'!$AF$5</f>
        <v>2016</v>
      </c>
      <c r="D2313" t="str">
        <f>VLOOKUP(B2313,[1]Tabelle1!$A$1:$B$68,2,FALSE)</f>
        <v>Harburg</v>
      </c>
      <c r="F2313" t="str">
        <f>'2020_5-2-2_Download'!$AJ$7</f>
        <v>mittel</v>
      </c>
      <c r="G2313" t="s">
        <v>362</v>
      </c>
      <c r="H2313" t="str">
        <f>VLOOKUP(B2313,[2]Kreise!$A$2:$C$53,3,FALSE)</f>
        <v>K03353</v>
      </c>
      <c r="I2313">
        <f>'2020_5-2-2_Download'!AJ33</f>
        <v>28.592842420835673</v>
      </c>
    </row>
    <row r="2314" spans="2:9">
      <c r="B2314">
        <f>'2020_5-2-2_Download'!B34</f>
        <v>354</v>
      </c>
      <c r="C2314">
        <f>'2020_5-2-2_Download'!$AF$5</f>
        <v>2016</v>
      </c>
      <c r="D2314" t="str">
        <f>VLOOKUP(B2314,[1]Tabelle1!$A$1:$B$68,2,FALSE)</f>
        <v>Lüchow-Dannenberg</v>
      </c>
      <c r="F2314" t="str">
        <f>'2020_5-2-2_Download'!$AJ$7</f>
        <v>mittel</v>
      </c>
      <c r="G2314" t="s">
        <v>362</v>
      </c>
      <c r="H2314" t="str">
        <f>VLOOKUP(B2314,[2]Kreise!$A$2:$C$53,3,FALSE)</f>
        <v>K03354</v>
      </c>
      <c r="I2314">
        <f>'2020_5-2-2_Download'!AJ34</f>
        <v>28.406909788867562</v>
      </c>
    </row>
    <row r="2315" spans="2:9">
      <c r="B2315">
        <f>'2020_5-2-2_Download'!B35</f>
        <v>355</v>
      </c>
      <c r="C2315">
        <f>'2020_5-2-2_Download'!$AF$5</f>
        <v>2016</v>
      </c>
      <c r="D2315" t="str">
        <f>VLOOKUP(B2315,[1]Tabelle1!$A$1:$B$68,2,FALSE)</f>
        <v>Lüneburg</v>
      </c>
      <c r="F2315" t="str">
        <f>'2020_5-2-2_Download'!$AJ$7</f>
        <v>mittel</v>
      </c>
      <c r="G2315" t="s">
        <v>362</v>
      </c>
      <c r="H2315" t="str">
        <f>VLOOKUP(B2315,[2]Kreise!$A$2:$C$53,3,FALSE)</f>
        <v>K03355</v>
      </c>
      <c r="I2315">
        <f>'2020_5-2-2_Download'!AJ35</f>
        <v>34.244080145719494</v>
      </c>
    </row>
    <row r="2316" spans="2:9">
      <c r="B2316">
        <f>'2020_5-2-2_Download'!B36</f>
        <v>356</v>
      </c>
      <c r="C2316">
        <f>'2020_5-2-2_Download'!$AF$5</f>
        <v>2016</v>
      </c>
      <c r="D2316" t="str">
        <f>VLOOKUP(B2316,[1]Tabelle1!$A$1:$B$68,2,FALSE)</f>
        <v>Osterholz</v>
      </c>
      <c r="F2316" t="str">
        <f>'2020_5-2-2_Download'!$AJ$7</f>
        <v>mittel</v>
      </c>
      <c r="G2316" t="s">
        <v>362</v>
      </c>
      <c r="H2316" t="str">
        <f>VLOOKUP(B2316,[2]Kreise!$A$2:$C$53,3,FALSE)</f>
        <v>K03356</v>
      </c>
      <c r="I2316">
        <f>'2020_5-2-2_Download'!AJ36</f>
        <v>33.232399697199092</v>
      </c>
    </row>
    <row r="2317" spans="2:9">
      <c r="B2317">
        <f>'2020_5-2-2_Download'!B37</f>
        <v>357</v>
      </c>
      <c r="C2317">
        <f>'2020_5-2-2_Download'!$AF$5</f>
        <v>2016</v>
      </c>
      <c r="D2317" t="str">
        <f>VLOOKUP(B2317,[1]Tabelle1!$A$1:$B$68,2,FALSE)</f>
        <v>Rotenburg (Wümme)</v>
      </c>
      <c r="F2317" t="str">
        <f>'2020_5-2-2_Download'!$AJ$7</f>
        <v>mittel</v>
      </c>
      <c r="G2317" t="s">
        <v>362</v>
      </c>
      <c r="H2317" t="str">
        <f>VLOOKUP(B2317,[2]Kreise!$A$2:$C$53,3,FALSE)</f>
        <v>K03357</v>
      </c>
      <c r="I2317">
        <f>'2020_5-2-2_Download'!AJ37</f>
        <v>40.214477211796243</v>
      </c>
    </row>
    <row r="2318" spans="2:9">
      <c r="B2318">
        <f>'2020_5-2-2_Download'!B38</f>
        <v>358</v>
      </c>
      <c r="C2318">
        <f>'2020_5-2-2_Download'!$AF$5</f>
        <v>2016</v>
      </c>
      <c r="D2318" t="str">
        <f>VLOOKUP(B2318,[1]Tabelle1!$A$1:$B$68,2,FALSE)</f>
        <v>Heidekreis</v>
      </c>
      <c r="F2318" t="str">
        <f>'2020_5-2-2_Download'!$AJ$7</f>
        <v>mittel</v>
      </c>
      <c r="G2318" t="s">
        <v>362</v>
      </c>
      <c r="H2318" t="str">
        <f>VLOOKUP(B2318,[2]Kreise!$A$2:$C$53,3,FALSE)</f>
        <v>K03358</v>
      </c>
      <c r="I2318">
        <f>'2020_5-2-2_Download'!AJ38</f>
        <v>36.812609457092819</v>
      </c>
    </row>
    <row r="2319" spans="2:9">
      <c r="B2319">
        <f>'2020_5-2-2_Download'!B39</f>
        <v>359</v>
      </c>
      <c r="C2319">
        <f>'2020_5-2-2_Download'!$AF$5</f>
        <v>2016</v>
      </c>
      <c r="D2319" t="str">
        <f>VLOOKUP(B2319,[1]Tabelle1!$A$1:$B$68,2,FALSE)</f>
        <v>Stade</v>
      </c>
      <c r="F2319" t="str">
        <f>'2020_5-2-2_Download'!$AJ$7</f>
        <v>mittel</v>
      </c>
      <c r="G2319" t="s">
        <v>362</v>
      </c>
      <c r="H2319" t="str">
        <f>VLOOKUP(B2319,[2]Kreise!$A$2:$C$53,3,FALSE)</f>
        <v>K03359</v>
      </c>
      <c r="I2319">
        <f>'2020_5-2-2_Download'!AJ39</f>
        <v>24.369358944688731</v>
      </c>
    </row>
    <row r="2320" spans="2:9">
      <c r="B2320">
        <f>'2020_5-2-2_Download'!B40</f>
        <v>360</v>
      </c>
      <c r="C2320">
        <f>'2020_5-2-2_Download'!$AF$5</f>
        <v>2016</v>
      </c>
      <c r="D2320" t="str">
        <f>VLOOKUP(B2320,[1]Tabelle1!$A$1:$B$68,2,FALSE)</f>
        <v>Uelzen</v>
      </c>
      <c r="F2320" t="str">
        <f>'2020_5-2-2_Download'!$AJ$7</f>
        <v>mittel</v>
      </c>
      <c r="G2320" t="s">
        <v>362</v>
      </c>
      <c r="H2320" t="str">
        <f>VLOOKUP(B2320,[2]Kreise!$A$2:$C$53,3,FALSE)</f>
        <v>K03360</v>
      </c>
      <c r="I2320">
        <f>'2020_5-2-2_Download'!AJ40</f>
        <v>35.018726591760299</v>
      </c>
    </row>
    <row r="2321" spans="2:9">
      <c r="B2321">
        <f>'2020_5-2-2_Download'!B41</f>
        <v>361</v>
      </c>
      <c r="C2321">
        <f>'2020_5-2-2_Download'!$AF$5</f>
        <v>2016</v>
      </c>
      <c r="D2321" t="str">
        <f>VLOOKUP(B2321,[1]Tabelle1!$A$1:$B$68,2,FALSE)</f>
        <v>Verden</v>
      </c>
      <c r="F2321" t="str">
        <f>'2020_5-2-2_Download'!$AJ$7</f>
        <v>mittel</v>
      </c>
      <c r="G2321" t="s">
        <v>362</v>
      </c>
      <c r="H2321" t="str">
        <f>VLOOKUP(B2321,[2]Kreise!$A$2:$C$53,3,FALSE)</f>
        <v>K03361</v>
      </c>
      <c r="I2321">
        <f>'2020_5-2-2_Download'!AJ41</f>
        <v>29.327654396105874</v>
      </c>
    </row>
    <row r="2322" spans="2:9">
      <c r="B2322">
        <f>'2020_5-2-2_Download'!B42</f>
        <v>3</v>
      </c>
      <c r="C2322">
        <f>'2020_5-2-2_Download'!$AF$5</f>
        <v>2016</v>
      </c>
      <c r="D2322" t="str">
        <f>VLOOKUP(B2322,[1]Tabelle1!$A$1:$B$68,2,FALSE)</f>
        <v>Stat. Region Lüneburg</v>
      </c>
      <c r="F2322" t="str">
        <f>'2020_5-2-2_Download'!$AJ$7</f>
        <v>mittel</v>
      </c>
      <c r="G2322" t="s">
        <v>362</v>
      </c>
      <c r="H2322" t="str">
        <f>VLOOKUP(B2322,[2]Kreise!$A$2:$C$53,3,FALSE)</f>
        <v>K033</v>
      </c>
      <c r="I2322">
        <f>'2020_5-2-2_Download'!AJ42</f>
        <v>31.511643118785976</v>
      </c>
    </row>
    <row r="2323" spans="2:9">
      <c r="B2323">
        <f>'2020_5-2-2_Download'!B43</f>
        <v>401</v>
      </c>
      <c r="C2323">
        <f>'2020_5-2-2_Download'!$AF$5</f>
        <v>2016</v>
      </c>
      <c r="D2323" t="str">
        <f>VLOOKUP(B2323,[1]Tabelle1!$A$1:$B$68,2,FALSE)</f>
        <v>Delmenhorst  Stadt</v>
      </c>
      <c r="F2323" t="str">
        <f>'2020_5-2-2_Download'!$AJ$7</f>
        <v>mittel</v>
      </c>
      <c r="G2323" t="s">
        <v>362</v>
      </c>
      <c r="H2323" t="str">
        <f>VLOOKUP(B2323,[2]Kreise!$A$2:$C$53,3,FALSE)</f>
        <v>K03401</v>
      </c>
      <c r="I2323">
        <f>'2020_5-2-2_Download'!AJ43</f>
        <v>29.407407407407408</v>
      </c>
    </row>
    <row r="2324" spans="2:9">
      <c r="B2324">
        <f>'2020_5-2-2_Download'!B44</f>
        <v>402</v>
      </c>
      <c r="C2324">
        <f>'2020_5-2-2_Download'!$AF$5</f>
        <v>2016</v>
      </c>
      <c r="D2324" t="str">
        <f>VLOOKUP(B2324,[1]Tabelle1!$A$1:$B$68,2,FALSE)</f>
        <v>Emden  Stadt</v>
      </c>
      <c r="F2324" t="str">
        <f>'2020_5-2-2_Download'!$AJ$7</f>
        <v>mittel</v>
      </c>
      <c r="G2324" t="s">
        <v>362</v>
      </c>
      <c r="H2324" t="str">
        <f>VLOOKUP(B2324,[2]Kreise!$A$2:$C$53,3,FALSE)</f>
        <v>K03402</v>
      </c>
      <c r="I2324">
        <f>'2020_5-2-2_Download'!AJ44</f>
        <v>40.318302387267906</v>
      </c>
    </row>
    <row r="2325" spans="2:9">
      <c r="B2325">
        <f>'2020_5-2-2_Download'!B45</f>
        <v>403</v>
      </c>
      <c r="C2325">
        <f>'2020_5-2-2_Download'!$AF$5</f>
        <v>2016</v>
      </c>
      <c r="D2325" t="str">
        <f>VLOOKUP(B2325,[1]Tabelle1!$A$1:$B$68,2,FALSE)</f>
        <v>Oldenburg(Oldb)  Stadt</v>
      </c>
      <c r="F2325" t="str">
        <f>'2020_5-2-2_Download'!$AJ$7</f>
        <v>mittel</v>
      </c>
      <c r="G2325" t="s">
        <v>362</v>
      </c>
      <c r="H2325" t="str">
        <f>VLOOKUP(B2325,[2]Kreise!$A$2:$C$53,3,FALSE)</f>
        <v>K03403</v>
      </c>
      <c r="I2325">
        <f>'2020_5-2-2_Download'!AJ45</f>
        <v>28.485007890583901</v>
      </c>
    </row>
    <row r="2326" spans="2:9">
      <c r="B2326">
        <f>'2020_5-2-2_Download'!B46</f>
        <v>404</v>
      </c>
      <c r="C2326">
        <f>'2020_5-2-2_Download'!$AF$5</f>
        <v>2016</v>
      </c>
      <c r="D2326" t="str">
        <f>VLOOKUP(B2326,[1]Tabelle1!$A$1:$B$68,2,FALSE)</f>
        <v>Osnabrück  Stadt</v>
      </c>
      <c r="F2326" t="str">
        <f>'2020_5-2-2_Download'!$AJ$7</f>
        <v>mittel</v>
      </c>
      <c r="G2326" t="s">
        <v>362</v>
      </c>
      <c r="H2326" t="str">
        <f>VLOOKUP(B2326,[2]Kreise!$A$2:$C$53,3,FALSE)</f>
        <v>K03404</v>
      </c>
      <c r="I2326">
        <f>'2020_5-2-2_Download'!AJ46</f>
        <v>32.76721720162044</v>
      </c>
    </row>
    <row r="2327" spans="2:9">
      <c r="B2327">
        <f>'2020_5-2-2_Download'!B47</f>
        <v>405</v>
      </c>
      <c r="C2327">
        <f>'2020_5-2-2_Download'!$AF$5</f>
        <v>2016</v>
      </c>
      <c r="D2327" t="str">
        <f>VLOOKUP(B2327,[1]Tabelle1!$A$1:$B$68,2,FALSE)</f>
        <v>Wilhelmshaven  Stadt</v>
      </c>
      <c r="F2327" t="str">
        <f>'2020_5-2-2_Download'!$AJ$7</f>
        <v>mittel</v>
      </c>
      <c r="G2327" t="s">
        <v>362</v>
      </c>
      <c r="H2327" t="str">
        <f>VLOOKUP(B2327,[2]Kreise!$A$2:$C$53,3,FALSE)</f>
        <v>K03405</v>
      </c>
      <c r="I2327">
        <f>'2020_5-2-2_Download'!AJ47</f>
        <v>34.256055363321799</v>
      </c>
    </row>
    <row r="2328" spans="2:9">
      <c r="B2328">
        <f>'2020_5-2-2_Download'!B48</f>
        <v>451</v>
      </c>
      <c r="C2328">
        <f>'2020_5-2-2_Download'!$AF$5</f>
        <v>2016</v>
      </c>
      <c r="D2328" t="str">
        <f>VLOOKUP(B2328,[1]Tabelle1!$A$1:$B$68,2,FALSE)</f>
        <v>Ammerland</v>
      </c>
      <c r="F2328" t="str">
        <f>'2020_5-2-2_Download'!$AJ$7</f>
        <v>mittel</v>
      </c>
      <c r="G2328" t="s">
        <v>362</v>
      </c>
      <c r="H2328" t="str">
        <f>VLOOKUP(B2328,[2]Kreise!$A$2:$C$53,3,FALSE)</f>
        <v>K03451</v>
      </c>
      <c r="I2328">
        <f>'2020_5-2-2_Download'!AJ48</f>
        <v>25.315998555435176</v>
      </c>
    </row>
    <row r="2329" spans="2:9">
      <c r="B2329">
        <f>'2020_5-2-2_Download'!B49</f>
        <v>452</v>
      </c>
      <c r="C2329">
        <f>'2020_5-2-2_Download'!$AF$5</f>
        <v>2016</v>
      </c>
      <c r="D2329" t="str">
        <f>VLOOKUP(B2329,[1]Tabelle1!$A$1:$B$68,2,FALSE)</f>
        <v>Aurich</v>
      </c>
      <c r="F2329" t="str">
        <f>'2020_5-2-2_Download'!$AJ$7</f>
        <v>mittel</v>
      </c>
      <c r="G2329" t="s">
        <v>362</v>
      </c>
      <c r="H2329" t="str">
        <f>VLOOKUP(B2329,[2]Kreise!$A$2:$C$53,3,FALSE)</f>
        <v>K03452</v>
      </c>
      <c r="I2329">
        <f>'2020_5-2-2_Download'!AJ49</f>
        <v>30.044182621502209</v>
      </c>
    </row>
    <row r="2330" spans="2:9">
      <c r="B2330">
        <f>'2020_5-2-2_Download'!B50</f>
        <v>453</v>
      </c>
      <c r="C2330">
        <f>'2020_5-2-2_Download'!$AF$5</f>
        <v>2016</v>
      </c>
      <c r="D2330" t="str">
        <f>VLOOKUP(B2330,[1]Tabelle1!$A$1:$B$68,2,FALSE)</f>
        <v>Cloppenburg</v>
      </c>
      <c r="F2330" t="str">
        <f>'2020_5-2-2_Download'!$AJ$7</f>
        <v>mittel</v>
      </c>
      <c r="G2330" t="s">
        <v>362</v>
      </c>
      <c r="H2330" t="str">
        <f>VLOOKUP(B2330,[2]Kreise!$A$2:$C$53,3,FALSE)</f>
        <v>K03453</v>
      </c>
      <c r="I2330">
        <f>'2020_5-2-2_Download'!AJ50</f>
        <v>20.603096984515076</v>
      </c>
    </row>
    <row r="2331" spans="2:9">
      <c r="B2331">
        <f>'2020_5-2-2_Download'!B51</f>
        <v>454</v>
      </c>
      <c r="C2331">
        <f>'2020_5-2-2_Download'!$AF$5</f>
        <v>2016</v>
      </c>
      <c r="D2331" t="str">
        <f>VLOOKUP(B2331,[1]Tabelle1!$A$1:$B$68,2,FALSE)</f>
        <v>Emsland</v>
      </c>
      <c r="F2331" t="str">
        <f>'2020_5-2-2_Download'!$AJ$7</f>
        <v>mittel</v>
      </c>
      <c r="G2331" t="s">
        <v>362</v>
      </c>
      <c r="H2331" t="str">
        <f>VLOOKUP(B2331,[2]Kreise!$A$2:$C$53,3,FALSE)</f>
        <v>K03454</v>
      </c>
      <c r="I2331">
        <f>'2020_5-2-2_Download'!AJ51</f>
        <v>29.861554845580407</v>
      </c>
    </row>
    <row r="2332" spans="2:9">
      <c r="B2332">
        <f>'2020_5-2-2_Download'!B52</f>
        <v>455</v>
      </c>
      <c r="C2332">
        <f>'2020_5-2-2_Download'!$AF$5</f>
        <v>2016</v>
      </c>
      <c r="D2332" t="str">
        <f>VLOOKUP(B2332,[1]Tabelle1!$A$1:$B$68,2,FALSE)</f>
        <v>Friesland</v>
      </c>
      <c r="F2332" t="str">
        <f>'2020_5-2-2_Download'!$AJ$7</f>
        <v>mittel</v>
      </c>
      <c r="G2332" t="s">
        <v>362</v>
      </c>
      <c r="H2332" t="str">
        <f>VLOOKUP(B2332,[2]Kreise!$A$2:$C$53,3,FALSE)</f>
        <v>K03455</v>
      </c>
      <c r="I2332">
        <f>'2020_5-2-2_Download'!AJ52</f>
        <v>30.040322580645164</v>
      </c>
    </row>
    <row r="2333" spans="2:9">
      <c r="B2333">
        <f>'2020_5-2-2_Download'!B53</f>
        <v>456</v>
      </c>
      <c r="C2333">
        <f>'2020_5-2-2_Download'!$AF$5</f>
        <v>2016</v>
      </c>
      <c r="D2333" t="str">
        <f>VLOOKUP(B2333,[1]Tabelle1!$A$1:$B$68,2,FALSE)</f>
        <v>Grafschaft Bentheim</v>
      </c>
      <c r="F2333" t="str">
        <f>'2020_5-2-2_Download'!$AJ$7</f>
        <v>mittel</v>
      </c>
      <c r="G2333" t="s">
        <v>362</v>
      </c>
      <c r="H2333" t="str">
        <f>VLOOKUP(B2333,[2]Kreise!$A$2:$C$53,3,FALSE)</f>
        <v>K03456</v>
      </c>
      <c r="I2333">
        <f>'2020_5-2-2_Download'!AJ53</f>
        <v>39.202508960573482</v>
      </c>
    </row>
    <row r="2334" spans="2:9">
      <c r="B2334">
        <f>'2020_5-2-2_Download'!B54</f>
        <v>457</v>
      </c>
      <c r="C2334">
        <f>'2020_5-2-2_Download'!$AF$5</f>
        <v>2016</v>
      </c>
      <c r="D2334" t="str">
        <f>VLOOKUP(B2334,[1]Tabelle1!$A$1:$B$68,2,FALSE)</f>
        <v>Leer</v>
      </c>
      <c r="F2334" t="str">
        <f>'2020_5-2-2_Download'!$AJ$7</f>
        <v>mittel</v>
      </c>
      <c r="G2334" t="s">
        <v>362</v>
      </c>
      <c r="H2334" t="str">
        <f>VLOOKUP(B2334,[2]Kreise!$A$2:$C$53,3,FALSE)</f>
        <v>K03457</v>
      </c>
      <c r="I2334">
        <f>'2020_5-2-2_Download'!AJ54</f>
        <v>32.87671232876712</v>
      </c>
    </row>
    <row r="2335" spans="2:9">
      <c r="B2335">
        <f>'2020_5-2-2_Download'!B55</f>
        <v>458</v>
      </c>
      <c r="C2335">
        <f>'2020_5-2-2_Download'!$AF$5</f>
        <v>2016</v>
      </c>
      <c r="D2335" t="str">
        <f>VLOOKUP(B2335,[1]Tabelle1!$A$1:$B$68,2,FALSE)</f>
        <v>Oldenburg</v>
      </c>
      <c r="F2335" t="str">
        <f>'2020_5-2-2_Download'!$AJ$7</f>
        <v>mittel</v>
      </c>
      <c r="G2335" t="s">
        <v>362</v>
      </c>
      <c r="H2335" t="str">
        <f>VLOOKUP(B2335,[2]Kreise!$A$2:$C$53,3,FALSE)</f>
        <v>K03458</v>
      </c>
      <c r="I2335">
        <f>'2020_5-2-2_Download'!AJ55</f>
        <v>25.191489361702128</v>
      </c>
    </row>
    <row r="2336" spans="2:9">
      <c r="B2336">
        <f>'2020_5-2-2_Download'!B56</f>
        <v>459</v>
      </c>
      <c r="C2336">
        <f>'2020_5-2-2_Download'!$AF$5</f>
        <v>2016</v>
      </c>
      <c r="D2336" t="str">
        <f>VLOOKUP(B2336,[1]Tabelle1!$A$1:$B$68,2,FALSE)</f>
        <v>Osnabrück</v>
      </c>
      <c r="F2336" t="str">
        <f>'2020_5-2-2_Download'!$AJ$7</f>
        <v>mittel</v>
      </c>
      <c r="G2336" t="s">
        <v>362</v>
      </c>
      <c r="H2336" t="str">
        <f>VLOOKUP(B2336,[2]Kreise!$A$2:$C$53,3,FALSE)</f>
        <v>K03459</v>
      </c>
      <c r="I2336">
        <f>'2020_5-2-2_Download'!AJ56</f>
        <v>24.009050532137767</v>
      </c>
    </row>
    <row r="2337" spans="2:9">
      <c r="B2337">
        <f>'2020_5-2-2_Download'!B57</f>
        <v>460</v>
      </c>
      <c r="C2337">
        <f>'2020_5-2-2_Download'!$AF$5</f>
        <v>2016</v>
      </c>
      <c r="D2337" t="str">
        <f>VLOOKUP(B2337,[1]Tabelle1!$A$1:$B$68,2,FALSE)</f>
        <v>Vechta</v>
      </c>
      <c r="F2337" t="str">
        <f>'2020_5-2-2_Download'!$AJ$7</f>
        <v>mittel</v>
      </c>
      <c r="G2337" t="s">
        <v>362</v>
      </c>
      <c r="H2337" t="str">
        <f>VLOOKUP(B2337,[2]Kreise!$A$2:$C$53,3,FALSE)</f>
        <v>K03460</v>
      </c>
      <c r="I2337">
        <f>'2020_5-2-2_Download'!AJ57</f>
        <v>20</v>
      </c>
    </row>
    <row r="2338" spans="2:9">
      <c r="B2338">
        <f>'2020_5-2-2_Download'!B58</f>
        <v>461</v>
      </c>
      <c r="C2338">
        <f>'2020_5-2-2_Download'!$AF$5</f>
        <v>2016</v>
      </c>
      <c r="D2338" t="str">
        <f>VLOOKUP(B2338,[1]Tabelle1!$A$1:$B$68,2,FALSE)</f>
        <v>Wesermarsch</v>
      </c>
      <c r="F2338" t="str">
        <f>'2020_5-2-2_Download'!$AJ$7</f>
        <v>mittel</v>
      </c>
      <c r="G2338" t="s">
        <v>362</v>
      </c>
      <c r="H2338" t="str">
        <f>VLOOKUP(B2338,[2]Kreise!$A$2:$C$53,3,FALSE)</f>
        <v>K03461</v>
      </c>
      <c r="I2338">
        <f>'2020_5-2-2_Download'!AJ58</f>
        <v>37.567567567567565</v>
      </c>
    </row>
    <row r="2339" spans="2:9">
      <c r="B2339">
        <f>'2020_5-2-2_Download'!B59</f>
        <v>462</v>
      </c>
      <c r="C2339">
        <f>'2020_5-2-2_Download'!$AF$5</f>
        <v>2016</v>
      </c>
      <c r="D2339" t="str">
        <f>VLOOKUP(B2339,[1]Tabelle1!$A$1:$B$68,2,FALSE)</f>
        <v>Wittmund</v>
      </c>
      <c r="F2339" t="str">
        <f>'2020_5-2-2_Download'!$AJ$7</f>
        <v>mittel</v>
      </c>
      <c r="G2339" t="s">
        <v>362</v>
      </c>
      <c r="H2339" t="str">
        <f>VLOOKUP(B2339,[2]Kreise!$A$2:$C$53,3,FALSE)</f>
        <v>K03462</v>
      </c>
      <c r="I2339">
        <f>'2020_5-2-2_Download'!AJ59</f>
        <v>21.36627906976744</v>
      </c>
    </row>
    <row r="2340" spans="2:9">
      <c r="B2340">
        <f>'2020_5-2-2_Download'!B60</f>
        <v>4</v>
      </c>
      <c r="C2340">
        <f>'2020_5-2-2_Download'!$AF$5</f>
        <v>2016</v>
      </c>
      <c r="D2340" t="str">
        <f>VLOOKUP(B2340,[1]Tabelle1!$A$1:$B$68,2,FALSE)</f>
        <v>Stat. Region Weser-Ems</v>
      </c>
      <c r="F2340" t="str">
        <f>'2020_5-2-2_Download'!$AJ$7</f>
        <v>mittel</v>
      </c>
      <c r="G2340" t="s">
        <v>362</v>
      </c>
      <c r="H2340" t="str">
        <f>VLOOKUP(B2340,[2]Kreise!$A$2:$C$53,3,FALSE)</f>
        <v>K034</v>
      </c>
      <c r="I2340">
        <f>'2020_5-2-2_Download'!AJ60</f>
        <v>27.826792414562419</v>
      </c>
    </row>
    <row r="2341" spans="2:9">
      <c r="B2341">
        <f>'2020_5-2-2_Download'!B61</f>
        <v>0</v>
      </c>
      <c r="C2341">
        <f>'2020_5-2-2_Download'!$AF$5</f>
        <v>2016</v>
      </c>
      <c r="D2341" t="str">
        <f>VLOOKUP(B2341,[1]Tabelle1!$A$1:$B$68,2,FALSE)</f>
        <v>Niedersachsen</v>
      </c>
      <c r="F2341" t="str">
        <f>'2020_5-2-2_Download'!$AJ$7</f>
        <v>mittel</v>
      </c>
      <c r="G2341" t="s">
        <v>362</v>
      </c>
      <c r="H2341" t="str">
        <f>VLOOKUP(B2341,[2]Kreise!$A$2:$C$53,3,FALSE)</f>
        <v>K030</v>
      </c>
      <c r="I2341">
        <f>'2020_5-2-2_Download'!AJ61</f>
        <v>31.615273183923904</v>
      </c>
    </row>
    <row r="2342" spans="2:9">
      <c r="B2342">
        <f>'2020_5-2-2_Download'!B10</f>
        <v>101</v>
      </c>
      <c r="C2342">
        <f>'2020_5-2-2_Download'!$AF$5</f>
        <v>2016</v>
      </c>
      <c r="D2342" t="str">
        <f>VLOOKUP(B2342,[1]Tabelle1!$A$1:$B$68,2,FALSE)</f>
        <v>Braunschweig  Stadt</v>
      </c>
      <c r="F2342" t="str">
        <f>'2020_5-2-2_Download'!$AK$7</f>
        <v>niedrig</v>
      </c>
      <c r="G2342" t="s">
        <v>362</v>
      </c>
      <c r="H2342" t="str">
        <f>VLOOKUP(B2342,[2]Kreise!$A$2:$C$53,3,FALSE)</f>
        <v>K03101</v>
      </c>
      <c r="I2342">
        <f>'2020_5-2-2_Download'!AK10</f>
        <v>20.324487485850838</v>
      </c>
    </row>
    <row r="2343" spans="2:9">
      <c r="B2343">
        <f>'2020_5-2-2_Download'!B11</f>
        <v>102</v>
      </c>
      <c r="C2343">
        <f>'2020_5-2-2_Download'!$AF$5</f>
        <v>2016</v>
      </c>
      <c r="D2343" t="str">
        <f>VLOOKUP(B2343,[1]Tabelle1!$A$1:$B$68,2,FALSE)</f>
        <v>Salzgitter  Stadt</v>
      </c>
      <c r="F2343" t="str">
        <f>'2020_5-2-2_Download'!$AK$7</f>
        <v>niedrig</v>
      </c>
      <c r="G2343" t="s">
        <v>362</v>
      </c>
      <c r="H2343" t="str">
        <f>VLOOKUP(B2343,[2]Kreise!$A$2:$C$53,3,FALSE)</f>
        <v>K03102</v>
      </c>
      <c r="I2343">
        <f>'2020_5-2-2_Download'!AK11</f>
        <v>22.668500687757909</v>
      </c>
    </row>
    <row r="2344" spans="2:9">
      <c r="B2344">
        <f>'2020_5-2-2_Download'!B12</f>
        <v>103</v>
      </c>
      <c r="C2344">
        <f>'2020_5-2-2_Download'!$AF$5</f>
        <v>2016</v>
      </c>
      <c r="D2344" t="str">
        <f>VLOOKUP(B2344,[1]Tabelle1!$A$1:$B$68,2,FALSE)</f>
        <v>Wolfsburg  Stadt</v>
      </c>
      <c r="F2344" t="str">
        <f>'2020_5-2-2_Download'!$AK$7</f>
        <v>niedrig</v>
      </c>
      <c r="G2344" t="s">
        <v>362</v>
      </c>
      <c r="H2344" t="str">
        <f>VLOOKUP(B2344,[2]Kreise!$A$2:$C$53,3,FALSE)</f>
        <v>K03103</v>
      </c>
      <c r="I2344">
        <f>'2020_5-2-2_Download'!AK12</f>
        <v>12.590465249856406</v>
      </c>
    </row>
    <row r="2345" spans="2:9">
      <c r="B2345">
        <f>'2020_5-2-2_Download'!B13</f>
        <v>151</v>
      </c>
      <c r="C2345">
        <f>'2020_5-2-2_Download'!$AF$5</f>
        <v>2016</v>
      </c>
      <c r="D2345" t="str">
        <f>VLOOKUP(B2345,[1]Tabelle1!$A$1:$B$68,2,FALSE)</f>
        <v>Gifhorn</v>
      </c>
      <c r="F2345" t="str">
        <f>'2020_5-2-2_Download'!$AK$7</f>
        <v>niedrig</v>
      </c>
      <c r="G2345" t="s">
        <v>362</v>
      </c>
      <c r="H2345" t="str">
        <f>VLOOKUP(B2345,[2]Kreise!$A$2:$C$53,3,FALSE)</f>
        <v>K03151</v>
      </c>
      <c r="I2345">
        <f>'2020_5-2-2_Download'!AK13</f>
        <v>25.247971145175836</v>
      </c>
    </row>
    <row r="2346" spans="2:9">
      <c r="B2346">
        <f>'2020_5-2-2_Download'!B14</f>
        <v>153</v>
      </c>
      <c r="C2346">
        <f>'2020_5-2-2_Download'!$AF$5</f>
        <v>2016</v>
      </c>
      <c r="D2346" t="str">
        <f>VLOOKUP(B2346,[1]Tabelle1!$A$1:$B$68,2,FALSE)</f>
        <v>Goslar</v>
      </c>
      <c r="F2346" t="str">
        <f>'2020_5-2-2_Download'!$AK$7</f>
        <v>niedrig</v>
      </c>
      <c r="G2346" t="s">
        <v>362</v>
      </c>
      <c r="H2346" t="str">
        <f>VLOOKUP(B2346,[2]Kreise!$A$2:$C$53,3,FALSE)</f>
        <v>K03153</v>
      </c>
      <c r="I2346">
        <f>'2020_5-2-2_Download'!AK14</f>
        <v>20.825515947467167</v>
      </c>
    </row>
    <row r="2347" spans="2:9">
      <c r="B2347">
        <f>'2020_5-2-2_Download'!B15</f>
        <v>154</v>
      </c>
      <c r="C2347">
        <f>'2020_5-2-2_Download'!$AF$5</f>
        <v>2016</v>
      </c>
      <c r="D2347" t="str">
        <f>VLOOKUP(B2347,[1]Tabelle1!$A$1:$B$68,2,FALSE)</f>
        <v>Helmstedt</v>
      </c>
      <c r="F2347" t="str">
        <f>'2020_5-2-2_Download'!$AK$7</f>
        <v>niedrig</v>
      </c>
      <c r="G2347" t="s">
        <v>362</v>
      </c>
      <c r="H2347" t="str">
        <f>VLOOKUP(B2347,[2]Kreise!$A$2:$C$53,3,FALSE)</f>
        <v>K03154</v>
      </c>
      <c r="I2347">
        <f>'2020_5-2-2_Download'!AK15</f>
        <v>24.709976798143853</v>
      </c>
    </row>
    <row r="2348" spans="2:9">
      <c r="B2348">
        <f>'2020_5-2-2_Download'!B16</f>
        <v>155</v>
      </c>
      <c r="C2348">
        <f>'2020_5-2-2_Download'!$AF$5</f>
        <v>2016</v>
      </c>
      <c r="D2348" t="str">
        <f>VLOOKUP(B2348,[1]Tabelle1!$A$1:$B$68,2,FALSE)</f>
        <v>Northeim</v>
      </c>
      <c r="F2348" t="str">
        <f>'2020_5-2-2_Download'!$AK$7</f>
        <v>niedrig</v>
      </c>
      <c r="G2348" t="s">
        <v>362</v>
      </c>
      <c r="H2348" t="str">
        <f>VLOOKUP(B2348,[2]Kreise!$A$2:$C$53,3,FALSE)</f>
        <v>K03155</v>
      </c>
      <c r="I2348">
        <f>'2020_5-2-2_Download'!AK16</f>
        <v>16.818558409279206</v>
      </c>
    </row>
    <row r="2349" spans="2:9">
      <c r="B2349">
        <f>'2020_5-2-2_Download'!B17</f>
        <v>157</v>
      </c>
      <c r="C2349">
        <f>'2020_5-2-2_Download'!$AF$5</f>
        <v>2016</v>
      </c>
      <c r="D2349" t="str">
        <f>VLOOKUP(B2349,[1]Tabelle1!$A$1:$B$68,2,FALSE)</f>
        <v>Peine</v>
      </c>
      <c r="F2349" t="str">
        <f>'2020_5-2-2_Download'!$AK$7</f>
        <v>niedrig</v>
      </c>
      <c r="G2349" t="s">
        <v>362</v>
      </c>
      <c r="H2349" t="str">
        <f>VLOOKUP(B2349,[2]Kreise!$A$2:$C$53,3,FALSE)</f>
        <v>K03157</v>
      </c>
      <c r="I2349">
        <f>'2020_5-2-2_Download'!AK17</f>
        <v>28.225381779884152</v>
      </c>
    </row>
    <row r="2350" spans="2:9">
      <c r="B2350">
        <f>'2020_5-2-2_Download'!B18</f>
        <v>158</v>
      </c>
      <c r="C2350">
        <f>'2020_5-2-2_Download'!$AF$5</f>
        <v>2016</v>
      </c>
      <c r="D2350" t="str">
        <f>VLOOKUP(B2350,[1]Tabelle1!$A$1:$B$68,2,FALSE)</f>
        <v>Wolfenbüttel</v>
      </c>
      <c r="F2350" t="str">
        <f>'2020_5-2-2_Download'!$AK$7</f>
        <v>niedrig</v>
      </c>
      <c r="G2350" t="s">
        <v>362</v>
      </c>
      <c r="H2350" t="str">
        <f>VLOOKUP(B2350,[2]Kreise!$A$2:$C$53,3,FALSE)</f>
        <v>K03158</v>
      </c>
      <c r="I2350">
        <f>'2020_5-2-2_Download'!AK18</f>
        <v>19.404418828049952</v>
      </c>
    </row>
    <row r="2351" spans="2:9">
      <c r="B2351">
        <f>'2020_5-2-2_Download'!B19</f>
        <v>159</v>
      </c>
      <c r="C2351">
        <f>'2020_5-2-2_Download'!$AF$5</f>
        <v>2016</v>
      </c>
      <c r="D2351" t="str">
        <f>VLOOKUP(B2351,[1]Tabelle1!$A$1:$B$68,2,FALSE)</f>
        <v>Göttingen</v>
      </c>
      <c r="F2351" t="str">
        <f>'2020_5-2-2_Download'!$AK$7</f>
        <v>niedrig</v>
      </c>
      <c r="G2351" t="s">
        <v>362</v>
      </c>
      <c r="H2351" t="str">
        <f>VLOOKUP(B2351,[2]Kreise!$A$2:$C$53,3,FALSE)</f>
        <v>K03159</v>
      </c>
      <c r="I2351">
        <f>'2020_5-2-2_Download'!AK19</f>
        <v>23.37771548703574</v>
      </c>
    </row>
    <row r="2352" spans="2:9">
      <c r="B2352">
        <f>'2020_5-2-2_Download'!B20</f>
        <v>1</v>
      </c>
      <c r="C2352">
        <f>'2020_5-2-2_Download'!$AF$5</f>
        <v>2016</v>
      </c>
      <c r="D2352" t="str">
        <f>VLOOKUP(B2352,[1]Tabelle1!$A$1:$B$68,2,FALSE)</f>
        <v>Stat. Region Braunschweig</v>
      </c>
      <c r="F2352" t="str">
        <f>'2020_5-2-2_Download'!$AK$7</f>
        <v>niedrig</v>
      </c>
      <c r="G2352" t="s">
        <v>362</v>
      </c>
      <c r="H2352" t="str">
        <f>VLOOKUP(B2352,[2]Kreise!$A$2:$C$53,3,FALSE)</f>
        <v>K031</v>
      </c>
      <c r="I2352">
        <f>'2020_5-2-2_Download'!AK20</f>
        <v>19.912086755106337</v>
      </c>
    </row>
    <row r="2353" spans="2:9">
      <c r="B2353">
        <f>'2020_5-2-2_Download'!B21</f>
        <v>241</v>
      </c>
      <c r="C2353">
        <f>'2020_5-2-2_Download'!$AF$5</f>
        <v>2016</v>
      </c>
      <c r="D2353" t="str">
        <f>VLOOKUP(B2353,[1]Tabelle1!$A$1:$B$68,2,FALSE)</f>
        <v>Hannover  Region</v>
      </c>
      <c r="F2353" t="str">
        <f>'2020_5-2-2_Download'!$AK$7</f>
        <v>niedrig</v>
      </c>
      <c r="G2353" t="s">
        <v>362</v>
      </c>
      <c r="H2353" t="str">
        <f>VLOOKUP(B2353,[2]Kreise!$A$2:$C$53,3,FALSE)</f>
        <v>K03241</v>
      </c>
      <c r="I2353">
        <f>'2020_5-2-2_Download'!AK21</f>
        <v>25.226505972967811</v>
      </c>
    </row>
    <row r="2354" spans="2:9">
      <c r="B2354">
        <f>'2020_5-2-2_Download'!B22</f>
        <v>241001</v>
      </c>
      <c r="C2354">
        <f>'2020_5-2-2_Download'!$AF$5</f>
        <v>2016</v>
      </c>
      <c r="D2354" t="str">
        <f>VLOOKUP(B2354,[1]Tabelle1!$A$1:$B$68,2,FALSE)</f>
        <v>dav. Hannover  Lhst.</v>
      </c>
      <c r="F2354" t="str">
        <f>'2020_5-2-2_Download'!$AK$7</f>
        <v>niedrig</v>
      </c>
      <c r="G2354" t="s">
        <v>362</v>
      </c>
      <c r="H2354" t="str">
        <f>VLOOKUP(B2354,[2]Kreise!$A$2:$C$53,3,FALSE)</f>
        <v>K03241001</v>
      </c>
      <c r="I2354">
        <f>'2020_5-2-2_Download'!AK22</f>
        <v>24.749121124960052</v>
      </c>
    </row>
    <row r="2355" spans="2:9">
      <c r="B2355">
        <f>'2020_5-2-2_Download'!B23</f>
        <v>241999</v>
      </c>
      <c r="C2355">
        <f>'2020_5-2-2_Download'!$AF$5</f>
        <v>2016</v>
      </c>
      <c r="D2355" t="str">
        <f>VLOOKUP(B2355,[1]Tabelle1!$A$1:$B$68,2,FALSE)</f>
        <v>dav. Hannover  Umland</v>
      </c>
      <c r="F2355" t="str">
        <f>'2020_5-2-2_Download'!$AK$7</f>
        <v>niedrig</v>
      </c>
      <c r="G2355" t="s">
        <v>362</v>
      </c>
      <c r="H2355" t="str">
        <f>VLOOKUP(B2355,[2]Kreise!$A$2:$C$53,3,FALSE)</f>
        <v>K03241999</v>
      </c>
      <c r="I2355">
        <f>'2020_5-2-2_Download'!AK23</f>
        <v>26.16958141296799</v>
      </c>
    </row>
    <row r="2356" spans="2:9">
      <c r="B2356">
        <f>'2020_5-2-2_Download'!B24</f>
        <v>251</v>
      </c>
      <c r="C2356">
        <f>'2020_5-2-2_Download'!$AF$5</f>
        <v>2016</v>
      </c>
      <c r="D2356" t="str">
        <f>VLOOKUP(B2356,[1]Tabelle1!$A$1:$B$68,2,FALSE)</f>
        <v>Diepholz</v>
      </c>
      <c r="F2356" t="str">
        <f>'2020_5-2-2_Download'!$AK$7</f>
        <v>niedrig</v>
      </c>
      <c r="G2356" t="s">
        <v>362</v>
      </c>
      <c r="H2356" t="str">
        <f>VLOOKUP(B2356,[2]Kreise!$A$2:$C$53,3,FALSE)</f>
        <v>K03251</v>
      </c>
      <c r="I2356">
        <f>'2020_5-2-2_Download'!AK24</f>
        <v>20.088517334644703</v>
      </c>
    </row>
    <row r="2357" spans="2:9">
      <c r="B2357">
        <f>'2020_5-2-2_Download'!B25</f>
        <v>252</v>
      </c>
      <c r="C2357">
        <f>'2020_5-2-2_Download'!$AF$5</f>
        <v>2016</v>
      </c>
      <c r="D2357" t="str">
        <f>VLOOKUP(B2357,[1]Tabelle1!$A$1:$B$68,2,FALSE)</f>
        <v>Hameln-Pyrmont</v>
      </c>
      <c r="F2357" t="str">
        <f>'2020_5-2-2_Download'!$AK$7</f>
        <v>niedrig</v>
      </c>
      <c r="G2357" t="s">
        <v>362</v>
      </c>
      <c r="H2357" t="str">
        <f>VLOOKUP(B2357,[2]Kreise!$A$2:$C$53,3,FALSE)</f>
        <v>K03252</v>
      </c>
      <c r="I2357">
        <f>'2020_5-2-2_Download'!AK25</f>
        <v>22.758848825669865</v>
      </c>
    </row>
    <row r="2358" spans="2:9">
      <c r="B2358">
        <f>'2020_5-2-2_Download'!B26</f>
        <v>254</v>
      </c>
      <c r="C2358">
        <f>'2020_5-2-2_Download'!$AF$5</f>
        <v>2016</v>
      </c>
      <c r="D2358" t="str">
        <f>VLOOKUP(B2358,[1]Tabelle1!$A$1:$B$68,2,FALSE)</f>
        <v>Hildesheim</v>
      </c>
      <c r="F2358" t="str">
        <f>'2020_5-2-2_Download'!$AK$7</f>
        <v>niedrig</v>
      </c>
      <c r="G2358" t="s">
        <v>362</v>
      </c>
      <c r="H2358" t="str">
        <f>VLOOKUP(B2358,[2]Kreise!$A$2:$C$53,3,FALSE)</f>
        <v>K03254</v>
      </c>
      <c r="I2358">
        <f>'2020_5-2-2_Download'!AK26</f>
        <v>24.301172227231742</v>
      </c>
    </row>
    <row r="2359" spans="2:9">
      <c r="B2359">
        <f>'2020_5-2-2_Download'!B27</f>
        <v>255</v>
      </c>
      <c r="C2359">
        <f>'2020_5-2-2_Download'!$AF$5</f>
        <v>2016</v>
      </c>
      <c r="D2359" t="str">
        <f>VLOOKUP(B2359,[1]Tabelle1!$A$1:$B$68,2,FALSE)</f>
        <v>Holzminden</v>
      </c>
      <c r="F2359" t="str">
        <f>'2020_5-2-2_Download'!$AK$7</f>
        <v>niedrig</v>
      </c>
      <c r="G2359" t="s">
        <v>362</v>
      </c>
      <c r="H2359" t="str">
        <f>VLOOKUP(B2359,[2]Kreise!$A$2:$C$53,3,FALSE)</f>
        <v>K03255</v>
      </c>
      <c r="I2359">
        <f>'2020_5-2-2_Download'!AK27</f>
        <v>28.877551020408166</v>
      </c>
    </row>
    <row r="2360" spans="2:9">
      <c r="B2360">
        <f>'2020_5-2-2_Download'!B28</f>
        <v>256</v>
      </c>
      <c r="C2360">
        <f>'2020_5-2-2_Download'!$AF$5</f>
        <v>2016</v>
      </c>
      <c r="D2360" t="str">
        <f>VLOOKUP(B2360,[1]Tabelle1!$A$1:$B$68,2,FALSE)</f>
        <v>Nienburg (Weser)</v>
      </c>
      <c r="F2360" t="str">
        <f>'2020_5-2-2_Download'!$AK$7</f>
        <v>niedrig</v>
      </c>
      <c r="G2360" t="s">
        <v>362</v>
      </c>
      <c r="H2360" t="str">
        <f>VLOOKUP(B2360,[2]Kreise!$A$2:$C$53,3,FALSE)</f>
        <v>K03256</v>
      </c>
      <c r="I2360">
        <f>'2020_5-2-2_Download'!AK28</f>
        <v>26.516102049351737</v>
      </c>
    </row>
    <row r="2361" spans="2:9">
      <c r="B2361">
        <f>'2020_5-2-2_Download'!B29</f>
        <v>257</v>
      </c>
      <c r="C2361">
        <f>'2020_5-2-2_Download'!$AF$5</f>
        <v>2016</v>
      </c>
      <c r="D2361" t="str">
        <f>VLOOKUP(B2361,[1]Tabelle1!$A$1:$B$68,2,FALSE)</f>
        <v>Schaumburg</v>
      </c>
      <c r="F2361" t="str">
        <f>'2020_5-2-2_Download'!$AK$7</f>
        <v>niedrig</v>
      </c>
      <c r="G2361" t="s">
        <v>362</v>
      </c>
      <c r="H2361" t="str">
        <f>VLOOKUP(B2361,[2]Kreise!$A$2:$C$53,3,FALSE)</f>
        <v>K03257</v>
      </c>
      <c r="I2361">
        <f>'2020_5-2-2_Download'!AK29</f>
        <v>24.716124148372444</v>
      </c>
    </row>
    <row r="2362" spans="2:9">
      <c r="B2362">
        <f>'2020_5-2-2_Download'!B30</f>
        <v>2</v>
      </c>
      <c r="C2362">
        <f>'2020_5-2-2_Download'!$AF$5</f>
        <v>2016</v>
      </c>
      <c r="D2362" t="str">
        <f>VLOOKUP(B2362,[1]Tabelle1!$A$1:$B$68,2,FALSE)</f>
        <v>Stat. Region Hannover</v>
      </c>
      <c r="F2362" t="str">
        <f>'2020_5-2-2_Download'!$AK$7</f>
        <v>niedrig</v>
      </c>
      <c r="G2362" t="s">
        <v>362</v>
      </c>
      <c r="H2362" t="str">
        <f>VLOOKUP(B2362,[2]Kreise!$A$2:$C$53,3,FALSE)</f>
        <v>K032</v>
      </c>
      <c r="I2362">
        <f>'2020_5-2-2_Download'!AK30</f>
        <v>24.806705016391415</v>
      </c>
    </row>
    <row r="2363" spans="2:9">
      <c r="B2363">
        <f>'2020_5-2-2_Download'!B31</f>
        <v>351</v>
      </c>
      <c r="C2363">
        <f>'2020_5-2-2_Download'!$AF$5</f>
        <v>2016</v>
      </c>
      <c r="D2363" t="str">
        <f>VLOOKUP(B2363,[1]Tabelle1!$A$1:$B$68,2,FALSE)</f>
        <v>Celle</v>
      </c>
      <c r="F2363" t="str">
        <f>'2020_5-2-2_Download'!$AK$7</f>
        <v>niedrig</v>
      </c>
      <c r="G2363" t="s">
        <v>362</v>
      </c>
      <c r="H2363" t="str">
        <f>VLOOKUP(B2363,[2]Kreise!$A$2:$C$53,3,FALSE)</f>
        <v>K03351</v>
      </c>
      <c r="I2363">
        <f>'2020_5-2-2_Download'!AK31</f>
        <v>27.093954843408596</v>
      </c>
    </row>
    <row r="2364" spans="2:9">
      <c r="B2364">
        <f>'2020_5-2-2_Download'!B32</f>
        <v>352</v>
      </c>
      <c r="C2364">
        <f>'2020_5-2-2_Download'!$AF$5</f>
        <v>2016</v>
      </c>
      <c r="D2364" t="str">
        <f>VLOOKUP(B2364,[1]Tabelle1!$A$1:$B$68,2,FALSE)</f>
        <v>Cuxhaven</v>
      </c>
      <c r="F2364" t="str">
        <f>'2020_5-2-2_Download'!$AK$7</f>
        <v>niedrig</v>
      </c>
      <c r="G2364" t="s">
        <v>362</v>
      </c>
      <c r="H2364" t="str">
        <f>VLOOKUP(B2364,[2]Kreise!$A$2:$C$53,3,FALSE)</f>
        <v>K03352</v>
      </c>
      <c r="I2364">
        <f>'2020_5-2-2_Download'!AK32</f>
        <v>21.675022117369508</v>
      </c>
    </row>
    <row r="2365" spans="2:9">
      <c r="B2365">
        <f>'2020_5-2-2_Download'!B33</f>
        <v>353</v>
      </c>
      <c r="C2365">
        <f>'2020_5-2-2_Download'!$AF$5</f>
        <v>2016</v>
      </c>
      <c r="D2365" t="str">
        <f>VLOOKUP(B2365,[1]Tabelle1!$A$1:$B$68,2,FALSE)</f>
        <v>Harburg</v>
      </c>
      <c r="F2365" t="str">
        <f>'2020_5-2-2_Download'!$AK$7</f>
        <v>niedrig</v>
      </c>
      <c r="G2365" t="s">
        <v>362</v>
      </c>
      <c r="H2365" t="str">
        <f>VLOOKUP(B2365,[2]Kreise!$A$2:$C$53,3,FALSE)</f>
        <v>K03353</v>
      </c>
      <c r="I2365">
        <f>'2020_5-2-2_Download'!AK33</f>
        <v>19.599025669851976</v>
      </c>
    </row>
    <row r="2366" spans="2:9">
      <c r="B2366">
        <f>'2020_5-2-2_Download'!B34</f>
        <v>354</v>
      </c>
      <c r="C2366">
        <f>'2020_5-2-2_Download'!$AF$5</f>
        <v>2016</v>
      </c>
      <c r="D2366" t="str">
        <f>VLOOKUP(B2366,[1]Tabelle1!$A$1:$B$68,2,FALSE)</f>
        <v>Lüchow-Dannenberg</v>
      </c>
      <c r="F2366" t="str">
        <f>'2020_5-2-2_Download'!$AK$7</f>
        <v>niedrig</v>
      </c>
      <c r="G2366" t="s">
        <v>362</v>
      </c>
      <c r="H2366" t="str">
        <f>VLOOKUP(B2366,[2]Kreise!$A$2:$C$53,3,FALSE)</f>
        <v>K03354</v>
      </c>
      <c r="I2366">
        <f>'2020_5-2-2_Download'!AK34</f>
        <v>12.092130518234164</v>
      </c>
    </row>
    <row r="2367" spans="2:9">
      <c r="B2367">
        <f>'2020_5-2-2_Download'!B35</f>
        <v>355</v>
      </c>
      <c r="C2367">
        <f>'2020_5-2-2_Download'!$AF$5</f>
        <v>2016</v>
      </c>
      <c r="D2367" t="str">
        <f>VLOOKUP(B2367,[1]Tabelle1!$A$1:$B$68,2,FALSE)</f>
        <v>Lüneburg</v>
      </c>
      <c r="F2367" t="str">
        <f>'2020_5-2-2_Download'!$AK$7</f>
        <v>niedrig</v>
      </c>
      <c r="G2367" t="s">
        <v>362</v>
      </c>
      <c r="H2367" t="str">
        <f>VLOOKUP(B2367,[2]Kreise!$A$2:$C$53,3,FALSE)</f>
        <v>K03355</v>
      </c>
      <c r="I2367">
        <f>'2020_5-2-2_Download'!AK35</f>
        <v>21.712204007285973</v>
      </c>
    </row>
    <row r="2368" spans="2:9">
      <c r="B2368">
        <f>'2020_5-2-2_Download'!B36</f>
        <v>356</v>
      </c>
      <c r="C2368">
        <f>'2020_5-2-2_Download'!$AF$5</f>
        <v>2016</v>
      </c>
      <c r="D2368" t="str">
        <f>VLOOKUP(B2368,[1]Tabelle1!$A$1:$B$68,2,FALSE)</f>
        <v>Osterholz</v>
      </c>
      <c r="F2368" t="str">
        <f>'2020_5-2-2_Download'!$AK$7</f>
        <v>niedrig</v>
      </c>
      <c r="G2368" t="s">
        <v>362</v>
      </c>
      <c r="H2368" t="str">
        <f>VLOOKUP(B2368,[2]Kreise!$A$2:$C$53,3,FALSE)</f>
        <v>K03356</v>
      </c>
      <c r="I2368">
        <f>'2020_5-2-2_Download'!AK36</f>
        <v>24.678274034822103</v>
      </c>
    </row>
    <row r="2369" spans="2:9">
      <c r="B2369">
        <f>'2020_5-2-2_Download'!B37</f>
        <v>357</v>
      </c>
      <c r="C2369">
        <f>'2020_5-2-2_Download'!$AF$5</f>
        <v>2016</v>
      </c>
      <c r="D2369" t="str">
        <f>VLOOKUP(B2369,[1]Tabelle1!$A$1:$B$68,2,FALSE)</f>
        <v>Rotenburg (Wümme)</v>
      </c>
      <c r="F2369" t="str">
        <f>'2020_5-2-2_Download'!$AK$7</f>
        <v>niedrig</v>
      </c>
      <c r="G2369" t="s">
        <v>362</v>
      </c>
      <c r="H2369" t="str">
        <f>VLOOKUP(B2369,[2]Kreise!$A$2:$C$53,3,FALSE)</f>
        <v>K03357</v>
      </c>
      <c r="I2369">
        <f>'2020_5-2-2_Download'!AK37</f>
        <v>16.823056300268096</v>
      </c>
    </row>
    <row r="2370" spans="2:9">
      <c r="B2370">
        <f>'2020_5-2-2_Download'!B38</f>
        <v>358</v>
      </c>
      <c r="C2370">
        <f>'2020_5-2-2_Download'!$AF$5</f>
        <v>2016</v>
      </c>
      <c r="D2370" t="str">
        <f>VLOOKUP(B2370,[1]Tabelle1!$A$1:$B$68,2,FALSE)</f>
        <v>Heidekreis</v>
      </c>
      <c r="F2370" t="str">
        <f>'2020_5-2-2_Download'!$AK$7</f>
        <v>niedrig</v>
      </c>
      <c r="G2370" t="s">
        <v>362</v>
      </c>
      <c r="H2370" t="str">
        <f>VLOOKUP(B2370,[2]Kreise!$A$2:$C$53,3,FALSE)</f>
        <v>K03358</v>
      </c>
      <c r="I2370">
        <f>'2020_5-2-2_Download'!AK38</f>
        <v>21.190893169877409</v>
      </c>
    </row>
    <row r="2371" spans="2:9">
      <c r="B2371">
        <f>'2020_5-2-2_Download'!B39</f>
        <v>359</v>
      </c>
      <c r="C2371">
        <f>'2020_5-2-2_Download'!$AF$5</f>
        <v>2016</v>
      </c>
      <c r="D2371" t="str">
        <f>VLOOKUP(B2371,[1]Tabelle1!$A$1:$B$68,2,FALSE)</f>
        <v>Stade</v>
      </c>
      <c r="F2371" t="str">
        <f>'2020_5-2-2_Download'!$AK$7</f>
        <v>niedrig</v>
      </c>
      <c r="G2371" t="s">
        <v>362</v>
      </c>
      <c r="H2371" t="str">
        <f>VLOOKUP(B2371,[2]Kreise!$A$2:$C$53,3,FALSE)</f>
        <v>K03359</v>
      </c>
      <c r="I2371">
        <f>'2020_5-2-2_Download'!AK39</f>
        <v>15.667669520944225</v>
      </c>
    </row>
    <row r="2372" spans="2:9">
      <c r="B2372">
        <f>'2020_5-2-2_Download'!B40</f>
        <v>360</v>
      </c>
      <c r="C2372">
        <f>'2020_5-2-2_Download'!$AF$5</f>
        <v>2016</v>
      </c>
      <c r="D2372" t="str">
        <f>VLOOKUP(B2372,[1]Tabelle1!$A$1:$B$68,2,FALSE)</f>
        <v>Uelzen</v>
      </c>
      <c r="F2372" t="str">
        <f>'2020_5-2-2_Download'!$AK$7</f>
        <v>niedrig</v>
      </c>
      <c r="G2372" t="s">
        <v>362</v>
      </c>
      <c r="H2372" t="str">
        <f>VLOOKUP(B2372,[2]Kreise!$A$2:$C$53,3,FALSE)</f>
        <v>K03360</v>
      </c>
      <c r="I2372">
        <f>'2020_5-2-2_Download'!AK40</f>
        <v>17.977528089887642</v>
      </c>
    </row>
    <row r="2373" spans="2:9">
      <c r="B2373">
        <f>'2020_5-2-2_Download'!B41</f>
        <v>361</v>
      </c>
      <c r="C2373">
        <f>'2020_5-2-2_Download'!$AF$5</f>
        <v>2016</v>
      </c>
      <c r="D2373" t="str">
        <f>VLOOKUP(B2373,[1]Tabelle1!$A$1:$B$68,2,FALSE)</f>
        <v>Verden</v>
      </c>
      <c r="F2373" t="str">
        <f>'2020_5-2-2_Download'!$AK$7</f>
        <v>niedrig</v>
      </c>
      <c r="G2373" t="s">
        <v>362</v>
      </c>
      <c r="H2373" t="str">
        <f>VLOOKUP(B2373,[2]Kreise!$A$2:$C$53,3,FALSE)</f>
        <v>K03361</v>
      </c>
      <c r="I2373">
        <f>'2020_5-2-2_Download'!AK41</f>
        <v>25.585640401581987</v>
      </c>
    </row>
    <row r="2374" spans="2:9">
      <c r="B2374">
        <f>'2020_5-2-2_Download'!B42</f>
        <v>3</v>
      </c>
      <c r="C2374">
        <f>'2020_5-2-2_Download'!$AF$5</f>
        <v>2016</v>
      </c>
      <c r="D2374" t="str">
        <f>VLOOKUP(B2374,[1]Tabelle1!$A$1:$B$68,2,FALSE)</f>
        <v>Stat. Region Lüneburg</v>
      </c>
      <c r="F2374" t="str">
        <f>'2020_5-2-2_Download'!$AK$7</f>
        <v>niedrig</v>
      </c>
      <c r="G2374" t="s">
        <v>362</v>
      </c>
      <c r="H2374" t="str">
        <f>VLOOKUP(B2374,[2]Kreise!$A$2:$C$53,3,FALSE)</f>
        <v>K033</v>
      </c>
      <c r="I2374">
        <f>'2020_5-2-2_Download'!AK42</f>
        <v>20.692700156985872</v>
      </c>
    </row>
    <row r="2375" spans="2:9">
      <c r="B2375">
        <f>'2020_5-2-2_Download'!B43</f>
        <v>401</v>
      </c>
      <c r="C2375">
        <f>'2020_5-2-2_Download'!$AF$5</f>
        <v>2016</v>
      </c>
      <c r="D2375" t="str">
        <f>VLOOKUP(B2375,[1]Tabelle1!$A$1:$B$68,2,FALSE)</f>
        <v>Delmenhorst  Stadt</v>
      </c>
      <c r="F2375" t="str">
        <f>'2020_5-2-2_Download'!$AK$7</f>
        <v>niedrig</v>
      </c>
      <c r="G2375" t="s">
        <v>362</v>
      </c>
      <c r="H2375" t="str">
        <f>VLOOKUP(B2375,[2]Kreise!$A$2:$C$53,3,FALSE)</f>
        <v>K03401</v>
      </c>
      <c r="I2375">
        <f>'2020_5-2-2_Download'!AK43</f>
        <v>26.888888888888889</v>
      </c>
    </row>
    <row r="2376" spans="2:9">
      <c r="B2376">
        <f>'2020_5-2-2_Download'!B44</f>
        <v>402</v>
      </c>
      <c r="C2376">
        <f>'2020_5-2-2_Download'!$AF$5</f>
        <v>2016</v>
      </c>
      <c r="D2376" t="str">
        <f>VLOOKUP(B2376,[1]Tabelle1!$A$1:$B$68,2,FALSE)</f>
        <v>Emden  Stadt</v>
      </c>
      <c r="F2376" t="str">
        <f>'2020_5-2-2_Download'!$AK$7</f>
        <v>niedrig</v>
      </c>
      <c r="G2376" t="s">
        <v>362</v>
      </c>
      <c r="H2376" t="str">
        <f>VLOOKUP(B2376,[2]Kreise!$A$2:$C$53,3,FALSE)</f>
        <v>K03402</v>
      </c>
      <c r="I2376">
        <f>'2020_5-2-2_Download'!AK44</f>
        <v>22.745358090185679</v>
      </c>
    </row>
    <row r="2377" spans="2:9">
      <c r="B2377">
        <f>'2020_5-2-2_Download'!B45</f>
        <v>403</v>
      </c>
      <c r="C2377">
        <f>'2020_5-2-2_Download'!$AF$5</f>
        <v>2016</v>
      </c>
      <c r="D2377" t="str">
        <f>VLOOKUP(B2377,[1]Tabelle1!$A$1:$B$68,2,FALSE)</f>
        <v>Oldenburg(Oldb)  Stadt</v>
      </c>
      <c r="F2377" t="str">
        <f>'2020_5-2-2_Download'!$AK$7</f>
        <v>niedrig</v>
      </c>
      <c r="G2377" t="s">
        <v>362</v>
      </c>
      <c r="H2377" t="str">
        <f>VLOOKUP(B2377,[2]Kreise!$A$2:$C$53,3,FALSE)</f>
        <v>K03403</v>
      </c>
      <c r="I2377">
        <f>'2020_5-2-2_Download'!AK45</f>
        <v>21.962125197264598</v>
      </c>
    </row>
    <row r="2378" spans="2:9">
      <c r="B2378">
        <f>'2020_5-2-2_Download'!B46</f>
        <v>404</v>
      </c>
      <c r="C2378">
        <f>'2020_5-2-2_Download'!$AF$5</f>
        <v>2016</v>
      </c>
      <c r="D2378" t="str">
        <f>VLOOKUP(B2378,[1]Tabelle1!$A$1:$B$68,2,FALSE)</f>
        <v>Osnabrück  Stadt</v>
      </c>
      <c r="F2378" t="str">
        <f>'2020_5-2-2_Download'!$AK$7</f>
        <v>niedrig</v>
      </c>
      <c r="G2378" t="s">
        <v>362</v>
      </c>
      <c r="H2378" t="str">
        <f>VLOOKUP(B2378,[2]Kreise!$A$2:$C$53,3,FALSE)</f>
        <v>K03404</v>
      </c>
      <c r="I2378">
        <f>'2020_5-2-2_Download'!AK46</f>
        <v>27.609847304456213</v>
      </c>
    </row>
    <row r="2379" spans="2:9">
      <c r="B2379">
        <f>'2020_5-2-2_Download'!B47</f>
        <v>405</v>
      </c>
      <c r="C2379">
        <f>'2020_5-2-2_Download'!$AF$5</f>
        <v>2016</v>
      </c>
      <c r="D2379" t="str">
        <f>VLOOKUP(B2379,[1]Tabelle1!$A$1:$B$68,2,FALSE)</f>
        <v>Wilhelmshaven  Stadt</v>
      </c>
      <c r="F2379" t="str">
        <f>'2020_5-2-2_Download'!$AK$7</f>
        <v>niedrig</v>
      </c>
      <c r="G2379" t="s">
        <v>362</v>
      </c>
      <c r="H2379" t="str">
        <f>VLOOKUP(B2379,[2]Kreise!$A$2:$C$53,3,FALSE)</f>
        <v>K03405</v>
      </c>
      <c r="I2379">
        <f>'2020_5-2-2_Download'!AK47</f>
        <v>22.664359861591695</v>
      </c>
    </row>
    <row r="2380" spans="2:9">
      <c r="B2380">
        <f>'2020_5-2-2_Download'!B48</f>
        <v>451</v>
      </c>
      <c r="C2380">
        <f>'2020_5-2-2_Download'!$AF$5</f>
        <v>2016</v>
      </c>
      <c r="D2380" t="str">
        <f>VLOOKUP(B2380,[1]Tabelle1!$A$1:$B$68,2,FALSE)</f>
        <v>Ammerland</v>
      </c>
      <c r="F2380" t="str">
        <f>'2020_5-2-2_Download'!$AK$7</f>
        <v>niedrig</v>
      </c>
      <c r="G2380" t="s">
        <v>362</v>
      </c>
      <c r="H2380" t="str">
        <f>VLOOKUP(B2380,[2]Kreise!$A$2:$C$53,3,FALSE)</f>
        <v>K03451</v>
      </c>
      <c r="I2380">
        <f>'2020_5-2-2_Download'!AK48</f>
        <v>19.501625135427954</v>
      </c>
    </row>
    <row r="2381" spans="2:9">
      <c r="B2381">
        <f>'2020_5-2-2_Download'!B49</f>
        <v>452</v>
      </c>
      <c r="C2381">
        <f>'2020_5-2-2_Download'!$AF$5</f>
        <v>2016</v>
      </c>
      <c r="D2381" t="str">
        <f>VLOOKUP(B2381,[1]Tabelle1!$A$1:$B$68,2,FALSE)</f>
        <v>Aurich</v>
      </c>
      <c r="F2381" t="str">
        <f>'2020_5-2-2_Download'!$AK$7</f>
        <v>niedrig</v>
      </c>
      <c r="G2381" t="s">
        <v>362</v>
      </c>
      <c r="H2381" t="str">
        <f>VLOOKUP(B2381,[2]Kreise!$A$2:$C$53,3,FALSE)</f>
        <v>K03452</v>
      </c>
      <c r="I2381">
        <f>'2020_5-2-2_Download'!AK49</f>
        <v>20.824742268041238</v>
      </c>
    </row>
    <row r="2382" spans="2:9">
      <c r="B2382">
        <f>'2020_5-2-2_Download'!B50</f>
        <v>453</v>
      </c>
      <c r="C2382">
        <f>'2020_5-2-2_Download'!$AF$5</f>
        <v>2016</v>
      </c>
      <c r="D2382" t="str">
        <f>VLOOKUP(B2382,[1]Tabelle1!$A$1:$B$68,2,FALSE)</f>
        <v>Cloppenburg</v>
      </c>
      <c r="F2382" t="str">
        <f>'2020_5-2-2_Download'!$AK$7</f>
        <v>niedrig</v>
      </c>
      <c r="G2382" t="s">
        <v>362</v>
      </c>
      <c r="H2382" t="str">
        <f>VLOOKUP(B2382,[2]Kreise!$A$2:$C$53,3,FALSE)</f>
        <v>K03453</v>
      </c>
      <c r="I2382">
        <f>'2020_5-2-2_Download'!AK50</f>
        <v>25.525672371638141</v>
      </c>
    </row>
    <row r="2383" spans="2:9">
      <c r="B2383">
        <f>'2020_5-2-2_Download'!B51</f>
        <v>454</v>
      </c>
      <c r="C2383">
        <f>'2020_5-2-2_Download'!$AF$5</f>
        <v>2016</v>
      </c>
      <c r="D2383" t="str">
        <f>VLOOKUP(B2383,[1]Tabelle1!$A$1:$B$68,2,FALSE)</f>
        <v>Emsland</v>
      </c>
      <c r="F2383" t="str">
        <f>'2020_5-2-2_Download'!$AK$7</f>
        <v>niedrig</v>
      </c>
      <c r="G2383" t="s">
        <v>362</v>
      </c>
      <c r="H2383" t="str">
        <f>VLOOKUP(B2383,[2]Kreise!$A$2:$C$53,3,FALSE)</f>
        <v>K03454</v>
      </c>
      <c r="I2383">
        <f>'2020_5-2-2_Download'!AK51</f>
        <v>16.922257720979765</v>
      </c>
    </row>
    <row r="2384" spans="2:9">
      <c r="B2384">
        <f>'2020_5-2-2_Download'!B52</f>
        <v>455</v>
      </c>
      <c r="C2384">
        <f>'2020_5-2-2_Download'!$AF$5</f>
        <v>2016</v>
      </c>
      <c r="D2384" t="str">
        <f>VLOOKUP(B2384,[1]Tabelle1!$A$1:$B$68,2,FALSE)</f>
        <v>Friesland</v>
      </c>
      <c r="F2384" t="str">
        <f>'2020_5-2-2_Download'!$AK$7</f>
        <v>niedrig</v>
      </c>
      <c r="G2384" t="s">
        <v>362</v>
      </c>
      <c r="H2384" t="str">
        <f>VLOOKUP(B2384,[2]Kreise!$A$2:$C$53,3,FALSE)</f>
        <v>K03455</v>
      </c>
      <c r="I2384">
        <f>'2020_5-2-2_Download'!AK52</f>
        <v>17.338709677419356</v>
      </c>
    </row>
    <row r="2385" spans="2:9">
      <c r="B2385">
        <f>'2020_5-2-2_Download'!B53</f>
        <v>456</v>
      </c>
      <c r="C2385">
        <f>'2020_5-2-2_Download'!$AF$5</f>
        <v>2016</v>
      </c>
      <c r="D2385" t="str">
        <f>VLOOKUP(B2385,[1]Tabelle1!$A$1:$B$68,2,FALSE)</f>
        <v>Grafschaft Bentheim</v>
      </c>
      <c r="F2385" t="str">
        <f>'2020_5-2-2_Download'!$AK$7</f>
        <v>niedrig</v>
      </c>
      <c r="G2385" t="s">
        <v>362</v>
      </c>
      <c r="H2385" t="str">
        <f>VLOOKUP(B2385,[2]Kreise!$A$2:$C$53,3,FALSE)</f>
        <v>K03456</v>
      </c>
      <c r="I2385">
        <f>'2020_5-2-2_Download'!AK53</f>
        <v>17.405913978494624</v>
      </c>
    </row>
    <row r="2386" spans="2:9">
      <c r="B2386">
        <f>'2020_5-2-2_Download'!B54</f>
        <v>457</v>
      </c>
      <c r="C2386">
        <f>'2020_5-2-2_Download'!$AF$5</f>
        <v>2016</v>
      </c>
      <c r="D2386" t="str">
        <f>VLOOKUP(B2386,[1]Tabelle1!$A$1:$B$68,2,FALSE)</f>
        <v>Leer</v>
      </c>
      <c r="F2386" t="str">
        <f>'2020_5-2-2_Download'!$AK$7</f>
        <v>niedrig</v>
      </c>
      <c r="G2386" t="s">
        <v>362</v>
      </c>
      <c r="H2386" t="str">
        <f>VLOOKUP(B2386,[2]Kreise!$A$2:$C$53,3,FALSE)</f>
        <v>K03457</v>
      </c>
      <c r="I2386">
        <f>'2020_5-2-2_Download'!AK54</f>
        <v>15.350523771152297</v>
      </c>
    </row>
    <row r="2387" spans="2:9">
      <c r="B2387">
        <f>'2020_5-2-2_Download'!B55</f>
        <v>458</v>
      </c>
      <c r="C2387">
        <f>'2020_5-2-2_Download'!$AF$5</f>
        <v>2016</v>
      </c>
      <c r="D2387" t="str">
        <f>VLOOKUP(B2387,[1]Tabelle1!$A$1:$B$68,2,FALSE)</f>
        <v>Oldenburg</v>
      </c>
      <c r="F2387" t="str">
        <f>'2020_5-2-2_Download'!$AK$7</f>
        <v>niedrig</v>
      </c>
      <c r="G2387" t="s">
        <v>362</v>
      </c>
      <c r="H2387" t="str">
        <f>VLOOKUP(B2387,[2]Kreise!$A$2:$C$53,3,FALSE)</f>
        <v>K03458</v>
      </c>
      <c r="I2387">
        <f>'2020_5-2-2_Download'!AK55</f>
        <v>21.74468085106383</v>
      </c>
    </row>
    <row r="2388" spans="2:9">
      <c r="B2388">
        <f>'2020_5-2-2_Download'!B56</f>
        <v>459</v>
      </c>
      <c r="C2388">
        <f>'2020_5-2-2_Download'!$AF$5</f>
        <v>2016</v>
      </c>
      <c r="D2388" t="str">
        <f>VLOOKUP(B2388,[1]Tabelle1!$A$1:$B$68,2,FALSE)</f>
        <v>Osnabrück</v>
      </c>
      <c r="F2388" t="str">
        <f>'2020_5-2-2_Download'!$AK$7</f>
        <v>niedrig</v>
      </c>
      <c r="G2388" t="s">
        <v>362</v>
      </c>
      <c r="H2388" t="str">
        <f>VLOOKUP(B2388,[2]Kreise!$A$2:$C$53,3,FALSE)</f>
        <v>K03459</v>
      </c>
      <c r="I2388">
        <f>'2020_5-2-2_Download'!AK56</f>
        <v>25.668314757395461</v>
      </c>
    </row>
    <row r="2389" spans="2:9">
      <c r="B2389">
        <f>'2020_5-2-2_Download'!B57</f>
        <v>460</v>
      </c>
      <c r="C2389">
        <f>'2020_5-2-2_Download'!$AF$5</f>
        <v>2016</v>
      </c>
      <c r="D2389" t="str">
        <f>VLOOKUP(B2389,[1]Tabelle1!$A$1:$B$68,2,FALSE)</f>
        <v>Vechta</v>
      </c>
      <c r="F2389" t="str">
        <f>'2020_5-2-2_Download'!$AK$7</f>
        <v>niedrig</v>
      </c>
      <c r="G2389" t="s">
        <v>362</v>
      </c>
      <c r="H2389" t="str">
        <f>VLOOKUP(B2389,[2]Kreise!$A$2:$C$53,3,FALSE)</f>
        <v>K03460</v>
      </c>
      <c r="I2389">
        <f>'2020_5-2-2_Download'!AK57</f>
        <v>25.871779508687837</v>
      </c>
    </row>
    <row r="2390" spans="2:9">
      <c r="B2390">
        <f>'2020_5-2-2_Download'!B58</f>
        <v>461</v>
      </c>
      <c r="C2390">
        <f>'2020_5-2-2_Download'!$AF$5</f>
        <v>2016</v>
      </c>
      <c r="D2390" t="str">
        <f>VLOOKUP(B2390,[1]Tabelle1!$A$1:$B$68,2,FALSE)</f>
        <v>Wesermarsch</v>
      </c>
      <c r="F2390" t="str">
        <f>'2020_5-2-2_Download'!$AK$7</f>
        <v>niedrig</v>
      </c>
      <c r="G2390" t="s">
        <v>362</v>
      </c>
      <c r="H2390" t="str">
        <f>VLOOKUP(B2390,[2]Kreise!$A$2:$C$53,3,FALSE)</f>
        <v>K03461</v>
      </c>
      <c r="I2390">
        <f>'2020_5-2-2_Download'!AK58</f>
        <v>18.216216216216218</v>
      </c>
    </row>
    <row r="2391" spans="2:9">
      <c r="B2391">
        <f>'2020_5-2-2_Download'!B59</f>
        <v>462</v>
      </c>
      <c r="C2391">
        <f>'2020_5-2-2_Download'!$AF$5</f>
        <v>2016</v>
      </c>
      <c r="D2391" t="str">
        <f>VLOOKUP(B2391,[1]Tabelle1!$A$1:$B$68,2,FALSE)</f>
        <v>Wittmund</v>
      </c>
      <c r="F2391" t="str">
        <f>'2020_5-2-2_Download'!$AK$7</f>
        <v>niedrig</v>
      </c>
      <c r="G2391" t="s">
        <v>362</v>
      </c>
      <c r="H2391" t="str">
        <f>VLOOKUP(B2391,[2]Kreise!$A$2:$C$53,3,FALSE)</f>
        <v>K03462</v>
      </c>
      <c r="I2391">
        <f>'2020_5-2-2_Download'!AK59</f>
        <v>11.337209302325581</v>
      </c>
    </row>
    <row r="2392" spans="2:9">
      <c r="B2392">
        <f>'2020_5-2-2_Download'!B60</f>
        <v>4</v>
      </c>
      <c r="C2392">
        <f>'2020_5-2-2_Download'!$AF$5</f>
        <v>2016</v>
      </c>
      <c r="D2392" t="str">
        <f>VLOOKUP(B2392,[1]Tabelle1!$A$1:$B$68,2,FALSE)</f>
        <v>Stat. Region Weser-Ems</v>
      </c>
      <c r="F2392" t="str">
        <f>'2020_5-2-2_Download'!$AK$7</f>
        <v>niedrig</v>
      </c>
      <c r="G2392" t="s">
        <v>362</v>
      </c>
      <c r="H2392" t="str">
        <f>VLOOKUP(B2392,[2]Kreise!$A$2:$C$53,3,FALSE)</f>
        <v>K034</v>
      </c>
      <c r="I2392">
        <f>'2020_5-2-2_Download'!AK60</f>
        <v>22.389789502658381</v>
      </c>
    </row>
    <row r="2393" spans="2:9">
      <c r="B2393">
        <f>'2020_5-2-2_Download'!B61</f>
        <v>0</v>
      </c>
      <c r="C2393">
        <f>'2020_5-2-2_Download'!$AF$5</f>
        <v>2016</v>
      </c>
      <c r="D2393" t="str">
        <f>VLOOKUP(B2393,[1]Tabelle1!$A$1:$B$68,2,FALSE)</f>
        <v>Niedersachsen</v>
      </c>
      <c r="F2393" t="str">
        <f>'2020_5-2-2_Download'!$AK$7</f>
        <v>niedrig</v>
      </c>
      <c r="G2393" t="s">
        <v>362</v>
      </c>
      <c r="H2393" t="str">
        <f>VLOOKUP(B2393,[2]Kreise!$A$2:$C$53,3,FALSE)</f>
        <v>K030</v>
      </c>
      <c r="I2393">
        <f>'2020_5-2-2_Download'!AK61</f>
        <v>22.440584783178338</v>
      </c>
    </row>
    <row r="2394" spans="2:9">
      <c r="B2394">
        <f>'2020_5-2-2_Download'!B10</f>
        <v>101</v>
      </c>
      <c r="C2394">
        <f>'2020_5-2-2_Download'!$AF$5</f>
        <v>2016</v>
      </c>
      <c r="D2394" t="str">
        <f>VLOOKUP(B2394,[1]Tabelle1!$A$1:$B$68,2,FALSE)</f>
        <v>Braunschweig  Stadt</v>
      </c>
      <c r="F2394" t="str">
        <f>'2020_5-2-2_Download'!$AL$7</f>
        <v>unbekannt</v>
      </c>
      <c r="G2394" t="s">
        <v>362</v>
      </c>
      <c r="H2394" t="str">
        <f>VLOOKUP(B2394,[2]Kreise!$A$2:$C$53,3,FALSE)</f>
        <v>K03101</v>
      </c>
      <c r="I2394">
        <f>'2020_5-2-2_Download'!AL10</f>
        <v>26.248270657778892</v>
      </c>
    </row>
    <row r="2395" spans="2:9">
      <c r="B2395">
        <f>'2020_5-2-2_Download'!B11</f>
        <v>102</v>
      </c>
      <c r="C2395">
        <f>'2020_5-2-2_Download'!$AF$5</f>
        <v>2016</v>
      </c>
      <c r="D2395" t="str">
        <f>VLOOKUP(B2395,[1]Tabelle1!$A$1:$B$68,2,FALSE)</f>
        <v>Salzgitter  Stadt</v>
      </c>
      <c r="F2395" t="str">
        <f>'2020_5-2-2_Download'!$AL$7</f>
        <v>unbekannt</v>
      </c>
      <c r="G2395" t="s">
        <v>362</v>
      </c>
      <c r="H2395" t="str">
        <f>VLOOKUP(B2395,[2]Kreise!$A$2:$C$53,3,FALSE)</f>
        <v>K03102</v>
      </c>
      <c r="I2395">
        <f>'2020_5-2-2_Download'!AL11</f>
        <v>26.767537826685007</v>
      </c>
    </row>
    <row r="2396" spans="2:9">
      <c r="B2396">
        <f>'2020_5-2-2_Download'!B12</f>
        <v>103</v>
      </c>
      <c r="C2396">
        <f>'2020_5-2-2_Download'!$AF$5</f>
        <v>2016</v>
      </c>
      <c r="D2396" t="str">
        <f>VLOOKUP(B2396,[1]Tabelle1!$A$1:$B$68,2,FALSE)</f>
        <v>Wolfsburg  Stadt</v>
      </c>
      <c r="F2396" t="str">
        <f>'2020_5-2-2_Download'!$AL$7</f>
        <v>unbekannt</v>
      </c>
      <c r="G2396" t="s">
        <v>362</v>
      </c>
      <c r="H2396" t="str">
        <f>VLOOKUP(B2396,[2]Kreise!$A$2:$C$53,3,FALSE)</f>
        <v>K03103</v>
      </c>
      <c r="I2396">
        <f>'2020_5-2-2_Download'!AL12</f>
        <v>31.510626076967256</v>
      </c>
    </row>
    <row r="2397" spans="2:9">
      <c r="B2397">
        <f>'2020_5-2-2_Download'!B13</f>
        <v>151</v>
      </c>
      <c r="C2397">
        <f>'2020_5-2-2_Download'!$AF$5</f>
        <v>2016</v>
      </c>
      <c r="D2397" t="str">
        <f>VLOOKUP(B2397,[1]Tabelle1!$A$1:$B$68,2,FALSE)</f>
        <v>Gifhorn</v>
      </c>
      <c r="F2397" t="str">
        <f>'2020_5-2-2_Download'!$AL$7</f>
        <v>unbekannt</v>
      </c>
      <c r="G2397" t="s">
        <v>362</v>
      </c>
      <c r="H2397" t="str">
        <f>VLOOKUP(B2397,[2]Kreise!$A$2:$C$53,3,FALSE)</f>
        <v>K03151</v>
      </c>
      <c r="I2397">
        <f>'2020_5-2-2_Download'!AL13</f>
        <v>30.748422001803426</v>
      </c>
    </row>
    <row r="2398" spans="2:9">
      <c r="B2398">
        <f>'2020_5-2-2_Download'!B14</f>
        <v>153</v>
      </c>
      <c r="C2398">
        <f>'2020_5-2-2_Download'!$AF$5</f>
        <v>2016</v>
      </c>
      <c r="D2398" t="str">
        <f>VLOOKUP(B2398,[1]Tabelle1!$A$1:$B$68,2,FALSE)</f>
        <v>Goslar</v>
      </c>
      <c r="F2398" t="str">
        <f>'2020_5-2-2_Download'!$AL$7</f>
        <v>unbekannt</v>
      </c>
      <c r="G2398" t="s">
        <v>362</v>
      </c>
      <c r="H2398" t="str">
        <f>VLOOKUP(B2398,[2]Kreise!$A$2:$C$53,3,FALSE)</f>
        <v>K03153</v>
      </c>
      <c r="I2398">
        <f>'2020_5-2-2_Download'!AL14</f>
        <v>27.954971857410882</v>
      </c>
    </row>
    <row r="2399" spans="2:9">
      <c r="B2399">
        <f>'2020_5-2-2_Download'!B15</f>
        <v>154</v>
      </c>
      <c r="C2399">
        <f>'2020_5-2-2_Download'!$AF$5</f>
        <v>2016</v>
      </c>
      <c r="D2399" t="str">
        <f>VLOOKUP(B2399,[1]Tabelle1!$A$1:$B$68,2,FALSE)</f>
        <v>Helmstedt</v>
      </c>
      <c r="F2399" t="str">
        <f>'2020_5-2-2_Download'!$AL$7</f>
        <v>unbekannt</v>
      </c>
      <c r="G2399" t="s">
        <v>362</v>
      </c>
      <c r="H2399" t="str">
        <f>VLOOKUP(B2399,[2]Kreise!$A$2:$C$53,3,FALSE)</f>
        <v>K03154</v>
      </c>
      <c r="I2399">
        <f>'2020_5-2-2_Download'!AL15</f>
        <v>24.245939675174014</v>
      </c>
    </row>
    <row r="2400" spans="2:9">
      <c r="B2400">
        <f>'2020_5-2-2_Download'!B16</f>
        <v>155</v>
      </c>
      <c r="C2400">
        <f>'2020_5-2-2_Download'!$AF$5</f>
        <v>2016</v>
      </c>
      <c r="D2400" t="str">
        <f>VLOOKUP(B2400,[1]Tabelle1!$A$1:$B$68,2,FALSE)</f>
        <v>Northeim</v>
      </c>
      <c r="F2400" t="str">
        <f>'2020_5-2-2_Download'!$AL$7</f>
        <v>unbekannt</v>
      </c>
      <c r="G2400" t="s">
        <v>362</v>
      </c>
      <c r="H2400" t="str">
        <f>VLOOKUP(B2400,[2]Kreise!$A$2:$C$53,3,FALSE)</f>
        <v>K03155</v>
      </c>
      <c r="I2400">
        <f>'2020_5-2-2_Download'!AL16</f>
        <v>25.352112676056336</v>
      </c>
    </row>
    <row r="2401" spans="2:9">
      <c r="B2401">
        <f>'2020_5-2-2_Download'!B17</f>
        <v>157</v>
      </c>
      <c r="C2401">
        <f>'2020_5-2-2_Download'!$AF$5</f>
        <v>2016</v>
      </c>
      <c r="D2401" t="str">
        <f>VLOOKUP(B2401,[1]Tabelle1!$A$1:$B$68,2,FALSE)</f>
        <v>Peine</v>
      </c>
      <c r="F2401" t="str">
        <f>'2020_5-2-2_Download'!$AL$7</f>
        <v>unbekannt</v>
      </c>
      <c r="G2401" t="s">
        <v>362</v>
      </c>
      <c r="H2401" t="str">
        <f>VLOOKUP(B2401,[2]Kreise!$A$2:$C$53,3,FALSE)</f>
        <v>K03157</v>
      </c>
      <c r="I2401">
        <f>'2020_5-2-2_Download'!AL17</f>
        <v>28.69931542917325</v>
      </c>
    </row>
    <row r="2402" spans="2:9">
      <c r="B2402">
        <f>'2020_5-2-2_Download'!B18</f>
        <v>158</v>
      </c>
      <c r="C2402">
        <f>'2020_5-2-2_Download'!$AF$5</f>
        <v>2016</v>
      </c>
      <c r="D2402" t="str">
        <f>VLOOKUP(B2402,[1]Tabelle1!$A$1:$B$68,2,FALSE)</f>
        <v>Wolfenbüttel</v>
      </c>
      <c r="F2402" t="str">
        <f>'2020_5-2-2_Download'!$AL$7</f>
        <v>unbekannt</v>
      </c>
      <c r="G2402" t="s">
        <v>362</v>
      </c>
      <c r="H2402" t="str">
        <f>VLOOKUP(B2402,[2]Kreise!$A$2:$C$53,3,FALSE)</f>
        <v>K03158</v>
      </c>
      <c r="I2402">
        <f>'2020_5-2-2_Download'!AL18</f>
        <v>27.953890489913547</v>
      </c>
    </row>
    <row r="2403" spans="2:9">
      <c r="B2403">
        <f>'2020_5-2-2_Download'!B19</f>
        <v>159</v>
      </c>
      <c r="C2403">
        <f>'2020_5-2-2_Download'!$AF$5</f>
        <v>2016</v>
      </c>
      <c r="D2403" t="str">
        <f>VLOOKUP(B2403,[1]Tabelle1!$A$1:$B$68,2,FALSE)</f>
        <v>Göttingen</v>
      </c>
      <c r="F2403" t="str">
        <f>'2020_5-2-2_Download'!$AL$7</f>
        <v>unbekannt</v>
      </c>
      <c r="G2403" t="s">
        <v>362</v>
      </c>
      <c r="H2403" t="str">
        <f>VLOOKUP(B2403,[2]Kreise!$A$2:$C$53,3,FALSE)</f>
        <v>K03159</v>
      </c>
      <c r="I2403">
        <f>'2020_5-2-2_Download'!AL19</f>
        <v>19.159074982480728</v>
      </c>
    </row>
    <row r="2404" spans="2:9">
      <c r="B2404">
        <f>'2020_5-2-2_Download'!B20</f>
        <v>1</v>
      </c>
      <c r="C2404">
        <f>'2020_5-2-2_Download'!$AF$5</f>
        <v>2016</v>
      </c>
      <c r="D2404" t="str">
        <f>VLOOKUP(B2404,[1]Tabelle1!$A$1:$B$68,2,FALSE)</f>
        <v>Stat. Region Braunschweig</v>
      </c>
      <c r="F2404" t="str">
        <f>'2020_5-2-2_Download'!$AL$7</f>
        <v>unbekannt</v>
      </c>
      <c r="G2404" t="s">
        <v>362</v>
      </c>
      <c r="H2404" t="str">
        <f>VLOOKUP(B2404,[2]Kreise!$A$2:$C$53,3,FALSE)</f>
        <v>K031</v>
      </c>
      <c r="I2404">
        <f>'2020_5-2-2_Download'!AL20</f>
        <v>26.597704779953673</v>
      </c>
    </row>
    <row r="2405" spans="2:9">
      <c r="B2405">
        <f>'2020_5-2-2_Download'!B21</f>
        <v>241</v>
      </c>
      <c r="C2405">
        <f>'2020_5-2-2_Download'!$AF$5</f>
        <v>2016</v>
      </c>
      <c r="D2405" t="str">
        <f>VLOOKUP(B2405,[1]Tabelle1!$A$1:$B$68,2,FALSE)</f>
        <v>Hannover  Region</v>
      </c>
      <c r="F2405" t="str">
        <f>'2020_5-2-2_Download'!$AL$7</f>
        <v>unbekannt</v>
      </c>
      <c r="G2405" t="s">
        <v>362</v>
      </c>
      <c r="H2405" t="str">
        <f>VLOOKUP(B2405,[2]Kreise!$A$2:$C$53,3,FALSE)</f>
        <v>K03241</v>
      </c>
      <c r="I2405">
        <f>'2020_5-2-2_Download'!AL21</f>
        <v>29.12219652443294</v>
      </c>
    </row>
    <row r="2406" spans="2:9">
      <c r="B2406">
        <f>'2020_5-2-2_Download'!B22</f>
        <v>241001</v>
      </c>
      <c r="C2406">
        <f>'2020_5-2-2_Download'!$AF$5</f>
        <v>2016</v>
      </c>
      <c r="D2406" t="str">
        <f>VLOOKUP(B2406,[1]Tabelle1!$A$1:$B$68,2,FALSE)</f>
        <v>dav. Hannover  Lhst.</v>
      </c>
      <c r="F2406" t="str">
        <f>'2020_5-2-2_Download'!$AL$7</f>
        <v>unbekannt</v>
      </c>
      <c r="G2406" t="s">
        <v>362</v>
      </c>
      <c r="H2406" t="str">
        <f>VLOOKUP(B2406,[2]Kreise!$A$2:$C$53,3,FALSE)</f>
        <v>K03241001</v>
      </c>
      <c r="I2406">
        <f>'2020_5-2-2_Download'!AL22</f>
        <v>27.925854905720676</v>
      </c>
    </row>
    <row r="2407" spans="2:9">
      <c r="B2407">
        <f>'2020_5-2-2_Download'!B23</f>
        <v>241999</v>
      </c>
      <c r="C2407">
        <f>'2020_5-2-2_Download'!$AF$5</f>
        <v>2016</v>
      </c>
      <c r="D2407" t="str">
        <f>VLOOKUP(B2407,[1]Tabelle1!$A$1:$B$68,2,FALSE)</f>
        <v>dav. Hannover  Umland</v>
      </c>
      <c r="F2407" t="str">
        <f>'2020_5-2-2_Download'!$AL$7</f>
        <v>unbekannt</v>
      </c>
      <c r="G2407" t="s">
        <v>362</v>
      </c>
      <c r="H2407" t="str">
        <f>VLOOKUP(B2407,[2]Kreise!$A$2:$C$53,3,FALSE)</f>
        <v>K03241999</v>
      </c>
      <c r="I2407">
        <f>'2020_5-2-2_Download'!AL23</f>
        <v>31.485573584190924</v>
      </c>
    </row>
    <row r="2408" spans="2:9">
      <c r="B2408">
        <f>'2020_5-2-2_Download'!B24</f>
        <v>251</v>
      </c>
      <c r="C2408">
        <f>'2020_5-2-2_Download'!$AF$5</f>
        <v>2016</v>
      </c>
      <c r="D2408" t="str">
        <f>VLOOKUP(B2408,[1]Tabelle1!$A$1:$B$68,2,FALSE)</f>
        <v>Diepholz</v>
      </c>
      <c r="F2408" t="str">
        <f>'2020_5-2-2_Download'!$AL$7</f>
        <v>unbekannt</v>
      </c>
      <c r="G2408" t="s">
        <v>362</v>
      </c>
      <c r="H2408" t="str">
        <f>VLOOKUP(B2408,[2]Kreise!$A$2:$C$53,3,FALSE)</f>
        <v>K03251</v>
      </c>
      <c r="I2408">
        <f>'2020_5-2-2_Download'!AL24</f>
        <v>39.390213916892058</v>
      </c>
    </row>
    <row r="2409" spans="2:9">
      <c r="B2409">
        <f>'2020_5-2-2_Download'!B25</f>
        <v>252</v>
      </c>
      <c r="C2409">
        <f>'2020_5-2-2_Download'!$AF$5</f>
        <v>2016</v>
      </c>
      <c r="D2409" t="str">
        <f>VLOOKUP(B2409,[1]Tabelle1!$A$1:$B$68,2,FALSE)</f>
        <v>Hameln-Pyrmont</v>
      </c>
      <c r="F2409" t="str">
        <f>'2020_5-2-2_Download'!$AL$7</f>
        <v>unbekannt</v>
      </c>
      <c r="G2409" t="s">
        <v>362</v>
      </c>
      <c r="H2409" t="str">
        <f>VLOOKUP(B2409,[2]Kreise!$A$2:$C$53,3,FALSE)</f>
        <v>K03252</v>
      </c>
      <c r="I2409">
        <f>'2020_5-2-2_Download'!AL25</f>
        <v>27.059212702613301</v>
      </c>
    </row>
    <row r="2410" spans="2:9">
      <c r="B2410">
        <f>'2020_5-2-2_Download'!B26</f>
        <v>254</v>
      </c>
      <c r="C2410">
        <f>'2020_5-2-2_Download'!$AF$5</f>
        <v>2016</v>
      </c>
      <c r="D2410" t="str">
        <f>VLOOKUP(B2410,[1]Tabelle1!$A$1:$B$68,2,FALSE)</f>
        <v>Hildesheim</v>
      </c>
      <c r="F2410" t="str">
        <f>'2020_5-2-2_Download'!$AL$7</f>
        <v>unbekannt</v>
      </c>
      <c r="G2410" t="s">
        <v>362</v>
      </c>
      <c r="H2410" t="str">
        <f>VLOOKUP(B2410,[2]Kreise!$A$2:$C$53,3,FALSE)</f>
        <v>K03254</v>
      </c>
      <c r="I2410">
        <f>'2020_5-2-2_Download'!AL26</f>
        <v>23.128944995491434</v>
      </c>
    </row>
    <row r="2411" spans="2:9">
      <c r="B2411">
        <f>'2020_5-2-2_Download'!B27</f>
        <v>255</v>
      </c>
      <c r="C2411">
        <f>'2020_5-2-2_Download'!$AF$5</f>
        <v>2016</v>
      </c>
      <c r="D2411" t="str">
        <f>VLOOKUP(B2411,[1]Tabelle1!$A$1:$B$68,2,FALSE)</f>
        <v>Holzminden</v>
      </c>
      <c r="F2411" t="str">
        <f>'2020_5-2-2_Download'!$AL$7</f>
        <v>unbekannt</v>
      </c>
      <c r="G2411" t="s">
        <v>362</v>
      </c>
      <c r="H2411" t="str">
        <f>VLOOKUP(B2411,[2]Kreise!$A$2:$C$53,3,FALSE)</f>
        <v>K03255</v>
      </c>
      <c r="I2411">
        <f>'2020_5-2-2_Download'!AL27</f>
        <v>23.061224489795919</v>
      </c>
    </row>
    <row r="2412" spans="2:9">
      <c r="B2412">
        <f>'2020_5-2-2_Download'!B28</f>
        <v>256</v>
      </c>
      <c r="C2412">
        <f>'2020_5-2-2_Download'!$AF$5</f>
        <v>2016</v>
      </c>
      <c r="D2412" t="str">
        <f>VLOOKUP(B2412,[1]Tabelle1!$A$1:$B$68,2,FALSE)</f>
        <v>Nienburg (Weser)</v>
      </c>
      <c r="F2412" t="str">
        <f>'2020_5-2-2_Download'!$AL$7</f>
        <v>unbekannt</v>
      </c>
      <c r="G2412" t="s">
        <v>362</v>
      </c>
      <c r="H2412" t="str">
        <f>VLOOKUP(B2412,[2]Kreise!$A$2:$C$53,3,FALSE)</f>
        <v>K03256</v>
      </c>
      <c r="I2412">
        <f>'2020_5-2-2_Download'!AL28</f>
        <v>40.108741112505228</v>
      </c>
    </row>
    <row r="2413" spans="2:9">
      <c r="B2413">
        <f>'2020_5-2-2_Download'!B29</f>
        <v>257</v>
      </c>
      <c r="C2413">
        <f>'2020_5-2-2_Download'!$AF$5</f>
        <v>2016</v>
      </c>
      <c r="D2413" t="str">
        <f>VLOOKUP(B2413,[1]Tabelle1!$A$1:$B$68,2,FALSE)</f>
        <v>Schaumburg</v>
      </c>
      <c r="F2413" t="str">
        <f>'2020_5-2-2_Download'!$AL$7</f>
        <v>unbekannt</v>
      </c>
      <c r="G2413" t="s">
        <v>362</v>
      </c>
      <c r="H2413" t="str">
        <f>VLOOKUP(B2413,[2]Kreise!$A$2:$C$53,3,FALSE)</f>
        <v>K03257</v>
      </c>
      <c r="I2413">
        <f>'2020_5-2-2_Download'!AL29</f>
        <v>24.375473126419379</v>
      </c>
    </row>
    <row r="2414" spans="2:9">
      <c r="B2414">
        <f>'2020_5-2-2_Download'!B30</f>
        <v>2</v>
      </c>
      <c r="C2414">
        <f>'2020_5-2-2_Download'!$AF$5</f>
        <v>2016</v>
      </c>
      <c r="D2414" t="str">
        <f>VLOOKUP(B2414,[1]Tabelle1!$A$1:$B$68,2,FALSE)</f>
        <v>Stat. Region Hannover</v>
      </c>
      <c r="F2414" t="str">
        <f>'2020_5-2-2_Download'!$AL$7</f>
        <v>unbekannt</v>
      </c>
      <c r="G2414" t="s">
        <v>362</v>
      </c>
      <c r="H2414" t="str">
        <f>VLOOKUP(B2414,[2]Kreise!$A$2:$C$53,3,FALSE)</f>
        <v>K032</v>
      </c>
      <c r="I2414">
        <f>'2020_5-2-2_Download'!AL30</f>
        <v>29.380837508504982</v>
      </c>
    </row>
    <row r="2415" spans="2:9">
      <c r="B2415">
        <f>'2020_5-2-2_Download'!B31</f>
        <v>351</v>
      </c>
      <c r="C2415">
        <f>'2020_5-2-2_Download'!$AF$5</f>
        <v>2016</v>
      </c>
      <c r="D2415" t="str">
        <f>VLOOKUP(B2415,[1]Tabelle1!$A$1:$B$68,2,FALSE)</f>
        <v>Celle</v>
      </c>
      <c r="F2415" t="str">
        <f>'2020_5-2-2_Download'!$AL$7</f>
        <v>unbekannt</v>
      </c>
      <c r="G2415" t="s">
        <v>362</v>
      </c>
      <c r="H2415" t="str">
        <f>VLOOKUP(B2415,[2]Kreise!$A$2:$C$53,3,FALSE)</f>
        <v>K03351</v>
      </c>
      <c r="I2415">
        <f>'2020_5-2-2_Download'!AL31</f>
        <v>23.634377276037874</v>
      </c>
    </row>
    <row r="2416" spans="2:9">
      <c r="B2416">
        <f>'2020_5-2-2_Download'!B32</f>
        <v>352</v>
      </c>
      <c r="C2416">
        <f>'2020_5-2-2_Download'!$AF$5</f>
        <v>2016</v>
      </c>
      <c r="D2416" t="str">
        <f>VLOOKUP(B2416,[1]Tabelle1!$A$1:$B$68,2,FALSE)</f>
        <v>Cuxhaven</v>
      </c>
      <c r="F2416" t="str">
        <f>'2020_5-2-2_Download'!$AL$7</f>
        <v>unbekannt</v>
      </c>
      <c r="G2416" t="s">
        <v>362</v>
      </c>
      <c r="H2416" t="str">
        <f>VLOOKUP(B2416,[2]Kreise!$A$2:$C$53,3,FALSE)</f>
        <v>K03352</v>
      </c>
      <c r="I2416">
        <f>'2020_5-2-2_Download'!AL32</f>
        <v>42.465349454438218</v>
      </c>
    </row>
    <row r="2417" spans="2:9">
      <c r="B2417">
        <f>'2020_5-2-2_Download'!B33</f>
        <v>353</v>
      </c>
      <c r="C2417">
        <f>'2020_5-2-2_Download'!$AF$5</f>
        <v>2016</v>
      </c>
      <c r="D2417" t="str">
        <f>VLOOKUP(B2417,[1]Tabelle1!$A$1:$B$68,2,FALSE)</f>
        <v>Harburg</v>
      </c>
      <c r="F2417" t="str">
        <f>'2020_5-2-2_Download'!$AL$7</f>
        <v>unbekannt</v>
      </c>
      <c r="G2417" t="s">
        <v>362</v>
      </c>
      <c r="H2417" t="str">
        <f>VLOOKUP(B2417,[2]Kreise!$A$2:$C$53,3,FALSE)</f>
        <v>K03353</v>
      </c>
      <c r="I2417">
        <f>'2020_5-2-2_Download'!AL33</f>
        <v>46.243207794641187</v>
      </c>
    </row>
    <row r="2418" spans="2:9">
      <c r="B2418">
        <f>'2020_5-2-2_Download'!B34</f>
        <v>354</v>
      </c>
      <c r="C2418">
        <f>'2020_5-2-2_Download'!$AF$5</f>
        <v>2016</v>
      </c>
      <c r="D2418" t="str">
        <f>VLOOKUP(B2418,[1]Tabelle1!$A$1:$B$68,2,FALSE)</f>
        <v>Lüchow-Dannenberg</v>
      </c>
      <c r="F2418" t="str">
        <f>'2020_5-2-2_Download'!$AL$7</f>
        <v>unbekannt</v>
      </c>
      <c r="G2418" t="s">
        <v>362</v>
      </c>
      <c r="H2418" t="str">
        <f>VLOOKUP(B2418,[2]Kreise!$A$2:$C$53,3,FALSE)</f>
        <v>K03354</v>
      </c>
      <c r="I2418">
        <f>'2020_5-2-2_Download'!AL34</f>
        <v>51.247600767754321</v>
      </c>
    </row>
    <row r="2419" spans="2:9">
      <c r="B2419">
        <f>'2020_5-2-2_Download'!B35</f>
        <v>355</v>
      </c>
      <c r="C2419">
        <f>'2020_5-2-2_Download'!$AF$5</f>
        <v>2016</v>
      </c>
      <c r="D2419" t="str">
        <f>VLOOKUP(B2419,[1]Tabelle1!$A$1:$B$68,2,FALSE)</f>
        <v>Lüneburg</v>
      </c>
      <c r="F2419" t="str">
        <f>'2020_5-2-2_Download'!$AL$7</f>
        <v>unbekannt</v>
      </c>
      <c r="G2419" t="s">
        <v>362</v>
      </c>
      <c r="H2419" t="str">
        <f>VLOOKUP(B2419,[2]Kreise!$A$2:$C$53,3,FALSE)</f>
        <v>K03355</v>
      </c>
      <c r="I2419">
        <f>'2020_5-2-2_Download'!AL35</f>
        <v>29.799635701275047</v>
      </c>
    </row>
    <row r="2420" spans="2:9">
      <c r="B2420">
        <f>'2020_5-2-2_Download'!B36</f>
        <v>356</v>
      </c>
      <c r="C2420">
        <f>'2020_5-2-2_Download'!$AF$5</f>
        <v>2016</v>
      </c>
      <c r="D2420" t="str">
        <f>VLOOKUP(B2420,[1]Tabelle1!$A$1:$B$68,2,FALSE)</f>
        <v>Osterholz</v>
      </c>
      <c r="F2420" t="str">
        <f>'2020_5-2-2_Download'!$AL$7</f>
        <v>unbekannt</v>
      </c>
      <c r="G2420" t="s">
        <v>362</v>
      </c>
      <c r="H2420" t="str">
        <f>VLOOKUP(B2420,[2]Kreise!$A$2:$C$53,3,FALSE)</f>
        <v>K03356</v>
      </c>
      <c r="I2420">
        <f>'2020_5-2-2_Download'!AL36</f>
        <v>33.686601059803181</v>
      </c>
    </row>
    <row r="2421" spans="2:9">
      <c r="B2421">
        <f>'2020_5-2-2_Download'!B37</f>
        <v>357</v>
      </c>
      <c r="C2421">
        <f>'2020_5-2-2_Download'!$AF$5</f>
        <v>2016</v>
      </c>
      <c r="D2421" t="str">
        <f>VLOOKUP(B2421,[1]Tabelle1!$A$1:$B$68,2,FALSE)</f>
        <v>Rotenburg (Wümme)</v>
      </c>
      <c r="F2421" t="str">
        <f>'2020_5-2-2_Download'!$AL$7</f>
        <v>unbekannt</v>
      </c>
      <c r="G2421" t="s">
        <v>362</v>
      </c>
      <c r="H2421" t="str">
        <f>VLOOKUP(B2421,[2]Kreise!$A$2:$C$53,3,FALSE)</f>
        <v>K03357</v>
      </c>
      <c r="I2421">
        <f>'2020_5-2-2_Download'!AL37</f>
        <v>34.148793565683647</v>
      </c>
    </row>
    <row r="2422" spans="2:9">
      <c r="B2422">
        <f>'2020_5-2-2_Download'!B38</f>
        <v>358</v>
      </c>
      <c r="C2422">
        <f>'2020_5-2-2_Download'!$AF$5</f>
        <v>2016</v>
      </c>
      <c r="D2422" t="str">
        <f>VLOOKUP(B2422,[1]Tabelle1!$A$1:$B$68,2,FALSE)</f>
        <v>Heidekreis</v>
      </c>
      <c r="F2422" t="str">
        <f>'2020_5-2-2_Download'!$AL$7</f>
        <v>unbekannt</v>
      </c>
      <c r="G2422" t="s">
        <v>362</v>
      </c>
      <c r="H2422" t="str">
        <f>VLOOKUP(B2422,[2]Kreise!$A$2:$C$53,3,FALSE)</f>
        <v>K03358</v>
      </c>
      <c r="I2422">
        <f>'2020_5-2-2_Download'!AL38</f>
        <v>34.115586690017516</v>
      </c>
    </row>
    <row r="2423" spans="2:9">
      <c r="B2423">
        <f>'2020_5-2-2_Download'!B39</f>
        <v>359</v>
      </c>
      <c r="C2423">
        <f>'2020_5-2-2_Download'!$AF$5</f>
        <v>2016</v>
      </c>
      <c r="D2423" t="str">
        <f>VLOOKUP(B2423,[1]Tabelle1!$A$1:$B$68,2,FALSE)</f>
        <v>Stade</v>
      </c>
      <c r="F2423" t="str">
        <f>'2020_5-2-2_Download'!$AL$7</f>
        <v>unbekannt</v>
      </c>
      <c r="G2423" t="s">
        <v>362</v>
      </c>
      <c r="H2423" t="str">
        <f>VLOOKUP(B2423,[2]Kreise!$A$2:$C$53,3,FALSE)</f>
        <v>K03359</v>
      </c>
      <c r="I2423">
        <f>'2020_5-2-2_Download'!AL39</f>
        <v>52.534135616755385</v>
      </c>
    </row>
    <row r="2424" spans="2:9">
      <c r="B2424">
        <f>'2020_5-2-2_Download'!B40</f>
        <v>360</v>
      </c>
      <c r="C2424">
        <f>'2020_5-2-2_Download'!$AF$5</f>
        <v>2016</v>
      </c>
      <c r="D2424" t="str">
        <f>VLOOKUP(B2424,[1]Tabelle1!$A$1:$B$68,2,FALSE)</f>
        <v>Uelzen</v>
      </c>
      <c r="F2424" t="str">
        <f>'2020_5-2-2_Download'!$AL$7</f>
        <v>unbekannt</v>
      </c>
      <c r="G2424" t="s">
        <v>362</v>
      </c>
      <c r="H2424" t="str">
        <f>VLOOKUP(B2424,[2]Kreise!$A$2:$C$53,3,FALSE)</f>
        <v>K03360</v>
      </c>
      <c r="I2424">
        <f>'2020_5-2-2_Download'!AL40</f>
        <v>30.711610486891384</v>
      </c>
    </row>
    <row r="2425" spans="2:9">
      <c r="B2425">
        <f>'2020_5-2-2_Download'!B41</f>
        <v>361</v>
      </c>
      <c r="C2425">
        <f>'2020_5-2-2_Download'!$AF$5</f>
        <v>2016</v>
      </c>
      <c r="D2425" t="str">
        <f>VLOOKUP(B2425,[1]Tabelle1!$A$1:$B$68,2,FALSE)</f>
        <v>Verden</v>
      </c>
      <c r="F2425" t="str">
        <f>'2020_5-2-2_Download'!$AL$7</f>
        <v>unbekannt</v>
      </c>
      <c r="G2425" t="s">
        <v>362</v>
      </c>
      <c r="H2425" t="str">
        <f>VLOOKUP(B2425,[2]Kreise!$A$2:$C$53,3,FALSE)</f>
        <v>K03361</v>
      </c>
      <c r="I2425">
        <f>'2020_5-2-2_Download'!AL41</f>
        <v>34.590812290842713</v>
      </c>
    </row>
    <row r="2426" spans="2:9">
      <c r="B2426">
        <f>'2020_5-2-2_Download'!B42</f>
        <v>3</v>
      </c>
      <c r="C2426">
        <f>'2020_5-2-2_Download'!$AF$5</f>
        <v>2016</v>
      </c>
      <c r="D2426" t="str">
        <f>VLOOKUP(B2426,[1]Tabelle1!$A$1:$B$68,2,FALSE)</f>
        <v>Stat. Region Lüneburg</v>
      </c>
      <c r="F2426" t="str">
        <f>'2020_5-2-2_Download'!$AL$7</f>
        <v>unbekannt</v>
      </c>
      <c r="G2426" t="s">
        <v>362</v>
      </c>
      <c r="H2426" t="str">
        <f>VLOOKUP(B2426,[2]Kreise!$A$2:$C$53,3,FALSE)</f>
        <v>K033</v>
      </c>
      <c r="I2426">
        <f>'2020_5-2-2_Download'!AL42</f>
        <v>38.641418105703821</v>
      </c>
    </row>
    <row r="2427" spans="2:9">
      <c r="B2427">
        <f>'2020_5-2-2_Download'!B43</f>
        <v>401</v>
      </c>
      <c r="C2427">
        <f>'2020_5-2-2_Download'!$AF$5</f>
        <v>2016</v>
      </c>
      <c r="D2427" t="str">
        <f>VLOOKUP(B2427,[1]Tabelle1!$A$1:$B$68,2,FALSE)</f>
        <v>Delmenhorst  Stadt</v>
      </c>
      <c r="F2427" t="str">
        <f>'2020_5-2-2_Download'!$AL$7</f>
        <v>unbekannt</v>
      </c>
      <c r="G2427" t="s">
        <v>362</v>
      </c>
      <c r="H2427" t="str">
        <f>VLOOKUP(B2427,[2]Kreise!$A$2:$C$53,3,FALSE)</f>
        <v>K03401</v>
      </c>
      <c r="I2427">
        <f>'2020_5-2-2_Download'!AL43</f>
        <v>35.037037037037038</v>
      </c>
    </row>
    <row r="2428" spans="2:9">
      <c r="B2428">
        <f>'2020_5-2-2_Download'!B44</f>
        <v>402</v>
      </c>
      <c r="C2428">
        <f>'2020_5-2-2_Download'!$AF$5</f>
        <v>2016</v>
      </c>
      <c r="D2428" t="str">
        <f>VLOOKUP(B2428,[1]Tabelle1!$A$1:$B$68,2,FALSE)</f>
        <v>Emden  Stadt</v>
      </c>
      <c r="F2428" t="str">
        <f>'2020_5-2-2_Download'!$AL$7</f>
        <v>unbekannt</v>
      </c>
      <c r="G2428" t="s">
        <v>362</v>
      </c>
      <c r="H2428" t="str">
        <f>VLOOKUP(B2428,[2]Kreise!$A$2:$C$53,3,FALSE)</f>
        <v>K03402</v>
      </c>
      <c r="I2428">
        <f>'2020_5-2-2_Download'!AL44</f>
        <v>27.91777188328912</v>
      </c>
    </row>
    <row r="2429" spans="2:9">
      <c r="B2429">
        <f>'2020_5-2-2_Download'!B45</f>
        <v>403</v>
      </c>
      <c r="C2429">
        <f>'2020_5-2-2_Download'!$AF$5</f>
        <v>2016</v>
      </c>
      <c r="D2429" t="str">
        <f>VLOOKUP(B2429,[1]Tabelle1!$A$1:$B$68,2,FALSE)</f>
        <v>Oldenburg(Oldb)  Stadt</v>
      </c>
      <c r="F2429" t="str">
        <f>'2020_5-2-2_Download'!$AL$7</f>
        <v>unbekannt</v>
      </c>
      <c r="G2429" t="s">
        <v>362</v>
      </c>
      <c r="H2429" t="str">
        <f>VLOOKUP(B2429,[2]Kreise!$A$2:$C$53,3,FALSE)</f>
        <v>K03403</v>
      </c>
      <c r="I2429">
        <f>'2020_5-2-2_Download'!AL45</f>
        <v>31.904260915307731</v>
      </c>
    </row>
    <row r="2430" spans="2:9">
      <c r="B2430">
        <f>'2020_5-2-2_Download'!B46</f>
        <v>404</v>
      </c>
      <c r="C2430">
        <f>'2020_5-2-2_Download'!$AF$5</f>
        <v>2016</v>
      </c>
      <c r="D2430" t="str">
        <f>VLOOKUP(B2430,[1]Tabelle1!$A$1:$B$68,2,FALSE)</f>
        <v>Osnabrück  Stadt</v>
      </c>
      <c r="F2430" t="str">
        <f>'2020_5-2-2_Download'!$AL$7</f>
        <v>unbekannt</v>
      </c>
      <c r="G2430" t="s">
        <v>362</v>
      </c>
      <c r="H2430" t="str">
        <f>VLOOKUP(B2430,[2]Kreise!$A$2:$C$53,3,FALSE)</f>
        <v>K03404</v>
      </c>
      <c r="I2430">
        <f>'2020_5-2-2_Download'!AL46</f>
        <v>29.526332190713617</v>
      </c>
    </row>
    <row r="2431" spans="2:9">
      <c r="B2431">
        <f>'2020_5-2-2_Download'!B47</f>
        <v>405</v>
      </c>
      <c r="C2431">
        <f>'2020_5-2-2_Download'!$AF$5</f>
        <v>2016</v>
      </c>
      <c r="D2431" t="str">
        <f>VLOOKUP(B2431,[1]Tabelle1!$A$1:$B$68,2,FALSE)</f>
        <v>Wilhelmshaven  Stadt</v>
      </c>
      <c r="F2431" t="str">
        <f>'2020_5-2-2_Download'!$AL$7</f>
        <v>unbekannt</v>
      </c>
      <c r="G2431" t="s">
        <v>362</v>
      </c>
      <c r="H2431" t="str">
        <f>VLOOKUP(B2431,[2]Kreise!$A$2:$C$53,3,FALSE)</f>
        <v>K03405</v>
      </c>
      <c r="I2431">
        <f>'2020_5-2-2_Download'!AL47</f>
        <v>28.719723183391004</v>
      </c>
    </row>
    <row r="2432" spans="2:9">
      <c r="B2432">
        <f>'2020_5-2-2_Download'!B48</f>
        <v>451</v>
      </c>
      <c r="C2432">
        <f>'2020_5-2-2_Download'!$AF$5</f>
        <v>2016</v>
      </c>
      <c r="D2432" t="str">
        <f>VLOOKUP(B2432,[1]Tabelle1!$A$1:$B$68,2,FALSE)</f>
        <v>Ammerland</v>
      </c>
      <c r="F2432" t="str">
        <f>'2020_5-2-2_Download'!$AL$7</f>
        <v>unbekannt</v>
      </c>
      <c r="G2432" t="s">
        <v>362</v>
      </c>
      <c r="H2432" t="str">
        <f>VLOOKUP(B2432,[2]Kreise!$A$2:$C$53,3,FALSE)</f>
        <v>K03451</v>
      </c>
      <c r="I2432">
        <f>'2020_5-2-2_Download'!AL48</f>
        <v>49.693029974720119</v>
      </c>
    </row>
    <row r="2433" spans="2:9">
      <c r="B2433">
        <f>'2020_5-2-2_Download'!B49</f>
        <v>452</v>
      </c>
      <c r="C2433">
        <f>'2020_5-2-2_Download'!$AF$5</f>
        <v>2016</v>
      </c>
      <c r="D2433" t="str">
        <f>VLOOKUP(B2433,[1]Tabelle1!$A$1:$B$68,2,FALSE)</f>
        <v>Aurich</v>
      </c>
      <c r="F2433" t="str">
        <f>'2020_5-2-2_Download'!$AL$7</f>
        <v>unbekannt</v>
      </c>
      <c r="G2433" t="s">
        <v>362</v>
      </c>
      <c r="H2433" t="str">
        <f>VLOOKUP(B2433,[2]Kreise!$A$2:$C$53,3,FALSE)</f>
        <v>K03452</v>
      </c>
      <c r="I2433">
        <f>'2020_5-2-2_Download'!AL49</f>
        <v>40.765832106038289</v>
      </c>
    </row>
    <row r="2434" spans="2:9">
      <c r="B2434">
        <f>'2020_5-2-2_Download'!B50</f>
        <v>453</v>
      </c>
      <c r="C2434">
        <f>'2020_5-2-2_Download'!$AF$5</f>
        <v>2016</v>
      </c>
      <c r="D2434" t="str">
        <f>VLOOKUP(B2434,[1]Tabelle1!$A$1:$B$68,2,FALSE)</f>
        <v>Cloppenburg</v>
      </c>
      <c r="F2434" t="str">
        <f>'2020_5-2-2_Download'!$AL$7</f>
        <v>unbekannt</v>
      </c>
      <c r="G2434" t="s">
        <v>362</v>
      </c>
      <c r="H2434" t="str">
        <f>VLOOKUP(B2434,[2]Kreise!$A$2:$C$53,3,FALSE)</f>
        <v>K03453</v>
      </c>
      <c r="I2434">
        <f>'2020_5-2-2_Download'!AL50</f>
        <v>50.529747351263246</v>
      </c>
    </row>
    <row r="2435" spans="2:9">
      <c r="B2435">
        <f>'2020_5-2-2_Download'!B51</f>
        <v>454</v>
      </c>
      <c r="C2435">
        <f>'2020_5-2-2_Download'!$AF$5</f>
        <v>2016</v>
      </c>
      <c r="D2435" t="str">
        <f>VLOOKUP(B2435,[1]Tabelle1!$A$1:$B$68,2,FALSE)</f>
        <v>Emsland</v>
      </c>
      <c r="F2435" t="str">
        <f>'2020_5-2-2_Download'!$AL$7</f>
        <v>unbekannt</v>
      </c>
      <c r="G2435" t="s">
        <v>362</v>
      </c>
      <c r="H2435" t="str">
        <f>VLOOKUP(B2435,[2]Kreise!$A$2:$C$53,3,FALSE)</f>
        <v>K03454</v>
      </c>
      <c r="I2435">
        <f>'2020_5-2-2_Download'!AL51</f>
        <v>46.230031948881788</v>
      </c>
    </row>
    <row r="2436" spans="2:9">
      <c r="B2436">
        <f>'2020_5-2-2_Download'!B52</f>
        <v>455</v>
      </c>
      <c r="C2436">
        <f>'2020_5-2-2_Download'!$AF$5</f>
        <v>2016</v>
      </c>
      <c r="D2436" t="str">
        <f>VLOOKUP(B2436,[1]Tabelle1!$A$1:$B$68,2,FALSE)</f>
        <v>Friesland</v>
      </c>
      <c r="F2436" t="str">
        <f>'2020_5-2-2_Download'!$AL$7</f>
        <v>unbekannt</v>
      </c>
      <c r="G2436" t="s">
        <v>362</v>
      </c>
      <c r="H2436" t="str">
        <f>VLOOKUP(B2436,[2]Kreise!$A$2:$C$53,3,FALSE)</f>
        <v>K03455</v>
      </c>
      <c r="I2436">
        <f>'2020_5-2-2_Download'!AL52</f>
        <v>40.322580645161288</v>
      </c>
    </row>
    <row r="2437" spans="2:9">
      <c r="B2437">
        <f>'2020_5-2-2_Download'!B53</f>
        <v>456</v>
      </c>
      <c r="C2437">
        <f>'2020_5-2-2_Download'!$AF$5</f>
        <v>2016</v>
      </c>
      <c r="D2437" t="str">
        <f>VLOOKUP(B2437,[1]Tabelle1!$A$1:$B$68,2,FALSE)</f>
        <v>Grafschaft Bentheim</v>
      </c>
      <c r="F2437" t="str">
        <f>'2020_5-2-2_Download'!$AL$7</f>
        <v>unbekannt</v>
      </c>
      <c r="G2437" t="s">
        <v>362</v>
      </c>
      <c r="H2437" t="str">
        <f>VLOOKUP(B2437,[2]Kreise!$A$2:$C$53,3,FALSE)</f>
        <v>K03456</v>
      </c>
      <c r="I2437">
        <f>'2020_5-2-2_Download'!AL53</f>
        <v>37.141577060931901</v>
      </c>
    </row>
    <row r="2438" spans="2:9">
      <c r="B2438">
        <f>'2020_5-2-2_Download'!B54</f>
        <v>457</v>
      </c>
      <c r="C2438">
        <f>'2020_5-2-2_Download'!$AF$5</f>
        <v>2016</v>
      </c>
      <c r="D2438" t="str">
        <f>VLOOKUP(B2438,[1]Tabelle1!$A$1:$B$68,2,FALSE)</f>
        <v>Leer</v>
      </c>
      <c r="F2438" t="str">
        <f>'2020_5-2-2_Download'!$AL$7</f>
        <v>unbekannt</v>
      </c>
      <c r="G2438" t="s">
        <v>362</v>
      </c>
      <c r="H2438" t="str">
        <f>VLOOKUP(B2438,[2]Kreise!$A$2:$C$53,3,FALSE)</f>
        <v>K03457</v>
      </c>
      <c r="I2438">
        <f>'2020_5-2-2_Download'!AL54</f>
        <v>42.062852538275585</v>
      </c>
    </row>
    <row r="2439" spans="2:9">
      <c r="B2439">
        <f>'2020_5-2-2_Download'!B55</f>
        <v>458</v>
      </c>
      <c r="C2439">
        <f>'2020_5-2-2_Download'!$AF$5</f>
        <v>2016</v>
      </c>
      <c r="D2439" t="str">
        <f>VLOOKUP(B2439,[1]Tabelle1!$A$1:$B$68,2,FALSE)</f>
        <v>Oldenburg</v>
      </c>
      <c r="F2439" t="str">
        <f>'2020_5-2-2_Download'!$AL$7</f>
        <v>unbekannt</v>
      </c>
      <c r="G2439" t="s">
        <v>362</v>
      </c>
      <c r="H2439" t="str">
        <f>VLOOKUP(B2439,[2]Kreise!$A$2:$C$53,3,FALSE)</f>
        <v>K03458</v>
      </c>
      <c r="I2439">
        <f>'2020_5-2-2_Download'!AL55</f>
        <v>48.680851063829792</v>
      </c>
    </row>
    <row r="2440" spans="2:9">
      <c r="B2440">
        <f>'2020_5-2-2_Download'!B56</f>
        <v>459</v>
      </c>
      <c r="C2440">
        <f>'2020_5-2-2_Download'!$AF$5</f>
        <v>2016</v>
      </c>
      <c r="D2440" t="str">
        <f>VLOOKUP(B2440,[1]Tabelle1!$A$1:$B$68,2,FALSE)</f>
        <v>Osnabrück</v>
      </c>
      <c r="F2440" t="str">
        <f>'2020_5-2-2_Download'!$AL$7</f>
        <v>unbekannt</v>
      </c>
      <c r="G2440" t="s">
        <v>362</v>
      </c>
      <c r="H2440" t="str">
        <f>VLOOKUP(B2440,[2]Kreise!$A$2:$C$53,3,FALSE)</f>
        <v>K03459</v>
      </c>
      <c r="I2440">
        <f>'2020_5-2-2_Download'!AL56</f>
        <v>45.981731333277466</v>
      </c>
    </row>
    <row r="2441" spans="2:9">
      <c r="B2441">
        <f>'2020_5-2-2_Download'!B57</f>
        <v>460</v>
      </c>
      <c r="C2441">
        <f>'2020_5-2-2_Download'!$AF$5</f>
        <v>2016</v>
      </c>
      <c r="D2441" t="str">
        <f>VLOOKUP(B2441,[1]Tabelle1!$A$1:$B$68,2,FALSE)</f>
        <v>Vechta</v>
      </c>
      <c r="F2441" t="str">
        <f>'2020_5-2-2_Download'!$AL$7</f>
        <v>unbekannt</v>
      </c>
      <c r="G2441" t="s">
        <v>362</v>
      </c>
      <c r="H2441" t="str">
        <f>VLOOKUP(B2441,[2]Kreise!$A$2:$C$53,3,FALSE)</f>
        <v>K03460</v>
      </c>
      <c r="I2441">
        <f>'2020_5-2-2_Download'!AL57</f>
        <v>50.20970641102457</v>
      </c>
    </row>
    <row r="2442" spans="2:9">
      <c r="B2442">
        <f>'2020_5-2-2_Download'!B58</f>
        <v>461</v>
      </c>
      <c r="C2442">
        <f>'2020_5-2-2_Download'!$AF$5</f>
        <v>2016</v>
      </c>
      <c r="D2442" t="str">
        <f>VLOOKUP(B2442,[1]Tabelle1!$A$1:$B$68,2,FALSE)</f>
        <v>Wesermarsch</v>
      </c>
      <c r="F2442" t="str">
        <f>'2020_5-2-2_Download'!$AL$7</f>
        <v>unbekannt</v>
      </c>
      <c r="G2442" t="s">
        <v>362</v>
      </c>
      <c r="H2442" t="str">
        <f>VLOOKUP(B2442,[2]Kreise!$A$2:$C$53,3,FALSE)</f>
        <v>K03461</v>
      </c>
      <c r="I2442">
        <f>'2020_5-2-2_Download'!AL58</f>
        <v>38.702702702702702</v>
      </c>
    </row>
    <row r="2443" spans="2:9">
      <c r="B2443">
        <f>'2020_5-2-2_Download'!B59</f>
        <v>462</v>
      </c>
      <c r="C2443">
        <f>'2020_5-2-2_Download'!$AF$5</f>
        <v>2016</v>
      </c>
      <c r="D2443" t="str">
        <f>VLOOKUP(B2443,[1]Tabelle1!$A$1:$B$68,2,FALSE)</f>
        <v>Wittmund</v>
      </c>
      <c r="F2443" t="str">
        <f>'2020_5-2-2_Download'!$AL$7</f>
        <v>unbekannt</v>
      </c>
      <c r="G2443" t="s">
        <v>362</v>
      </c>
      <c r="H2443" t="str">
        <f>VLOOKUP(B2443,[2]Kreise!$A$2:$C$53,3,FALSE)</f>
        <v>K03462</v>
      </c>
      <c r="I2443">
        <f>'2020_5-2-2_Download'!AL59</f>
        <v>61.191860465116278</v>
      </c>
    </row>
    <row r="2444" spans="2:9">
      <c r="B2444">
        <f>'2020_5-2-2_Download'!B60</f>
        <v>4</v>
      </c>
      <c r="C2444">
        <f>'2020_5-2-2_Download'!$AF$5</f>
        <v>2016</v>
      </c>
      <c r="D2444" t="str">
        <f>VLOOKUP(B2444,[1]Tabelle1!$A$1:$B$68,2,FALSE)</f>
        <v>Stat. Region Weser-Ems</v>
      </c>
      <c r="F2444" t="str">
        <f>'2020_5-2-2_Download'!$AL$7</f>
        <v>unbekannt</v>
      </c>
      <c r="G2444" t="s">
        <v>362</v>
      </c>
      <c r="H2444" t="str">
        <f>VLOOKUP(B2444,[2]Kreise!$A$2:$C$53,3,FALSE)</f>
        <v>K034</v>
      </c>
      <c r="I2444">
        <f>'2020_5-2-2_Download'!AL60</f>
        <v>42.874527358859574</v>
      </c>
    </row>
    <row r="2445" spans="2:9">
      <c r="B2445">
        <f>'2020_5-2-2_Download'!B61</f>
        <v>0</v>
      </c>
      <c r="C2445">
        <f>'2020_5-2-2_Download'!$AF$5</f>
        <v>2016</v>
      </c>
      <c r="D2445" t="str">
        <f>VLOOKUP(B2445,[1]Tabelle1!$A$1:$B$68,2,FALSE)</f>
        <v>Niedersachsen</v>
      </c>
      <c r="F2445" t="str">
        <f>'2020_5-2-2_Download'!$AL$7</f>
        <v>unbekannt</v>
      </c>
      <c r="G2445" t="s">
        <v>362</v>
      </c>
      <c r="H2445" t="str">
        <f>VLOOKUP(B2445,[2]Kreise!$A$2:$C$53,3,FALSE)</f>
        <v>K030</v>
      </c>
      <c r="I2445">
        <f>'2020_5-2-2_Download'!AL61</f>
        <v>34.863024873555716</v>
      </c>
    </row>
    <row r="2446" spans="2:9">
      <c r="B2446">
        <f>'2020_5-2-2_Download'!B10</f>
        <v>101</v>
      </c>
      <c r="C2446">
        <f>'2020_5-2-2_Download'!$AM$5</f>
        <v>2015</v>
      </c>
      <c r="D2446" t="str">
        <f>VLOOKUP(B2446,[1]Tabelle1!$A$1:$B$68,2,FALSE)</f>
        <v>Braunschweig  Stadt</v>
      </c>
      <c r="F2446" t="str">
        <f>'2020_5-2-2_Download'!$AP$7</f>
        <v>hoch</v>
      </c>
      <c r="G2446" t="s">
        <v>362</v>
      </c>
      <c r="H2446" t="str">
        <f>VLOOKUP(B2446,[2]Kreise!$A$2:$C$53,3,FALSE)</f>
        <v>K03101</v>
      </c>
      <c r="I2446">
        <f>'2020_5-2-2_Download'!AP10</f>
        <v>22.564382068401688</v>
      </c>
    </row>
    <row r="2447" spans="2:9">
      <c r="B2447">
        <f>'2020_5-2-2_Download'!B11</f>
        <v>102</v>
      </c>
      <c r="C2447">
        <f>'2020_5-2-2_Download'!$AM$5</f>
        <v>2015</v>
      </c>
      <c r="D2447" t="str">
        <f>VLOOKUP(B2447,[1]Tabelle1!$A$1:$B$68,2,FALSE)</f>
        <v>Salzgitter  Stadt</v>
      </c>
      <c r="F2447" t="str">
        <f>'2020_5-2-2_Download'!$AP$7</f>
        <v>hoch</v>
      </c>
      <c r="G2447" t="s">
        <v>362</v>
      </c>
      <c r="H2447" t="str">
        <f>VLOOKUP(B2447,[2]Kreise!$A$2:$C$53,3,FALSE)</f>
        <v>K03102</v>
      </c>
      <c r="I2447">
        <f>'2020_5-2-2_Download'!AP11</f>
        <v>6.3742690058479532</v>
      </c>
    </row>
    <row r="2448" spans="2:9">
      <c r="B2448">
        <f>'2020_5-2-2_Download'!B12</f>
        <v>103</v>
      </c>
      <c r="C2448">
        <f>'2020_5-2-2_Download'!$AM$5</f>
        <v>2015</v>
      </c>
      <c r="D2448" t="str">
        <f>VLOOKUP(B2448,[1]Tabelle1!$A$1:$B$68,2,FALSE)</f>
        <v>Wolfsburg  Stadt</v>
      </c>
      <c r="F2448" t="str">
        <f>'2020_5-2-2_Download'!$AP$7</f>
        <v>hoch</v>
      </c>
      <c r="G2448" t="s">
        <v>362</v>
      </c>
      <c r="H2448" t="str">
        <f>VLOOKUP(B2448,[2]Kreise!$A$2:$C$53,3,FALSE)</f>
        <v>K03103</v>
      </c>
      <c r="I2448">
        <f>'2020_5-2-2_Download'!AP12</f>
        <v>22.465088038858529</v>
      </c>
    </row>
    <row r="2449" spans="2:9">
      <c r="B2449">
        <f>'2020_5-2-2_Download'!B13</f>
        <v>151</v>
      </c>
      <c r="C2449">
        <f>'2020_5-2-2_Download'!$AM$5</f>
        <v>2015</v>
      </c>
      <c r="D2449" t="str">
        <f>VLOOKUP(B2449,[1]Tabelle1!$A$1:$B$68,2,FALSE)</f>
        <v>Gifhorn</v>
      </c>
      <c r="F2449" t="str">
        <f>'2020_5-2-2_Download'!$AP$7</f>
        <v>hoch</v>
      </c>
      <c r="G2449" t="s">
        <v>362</v>
      </c>
      <c r="H2449" t="str">
        <f>VLOOKUP(B2449,[2]Kreise!$A$2:$C$53,3,FALSE)</f>
        <v>K03151</v>
      </c>
      <c r="I2449">
        <f>'2020_5-2-2_Download'!AP13</f>
        <v>15.870786516853933</v>
      </c>
    </row>
    <row r="2450" spans="2:9">
      <c r="B2450">
        <f>'2020_5-2-2_Download'!B14</f>
        <v>153</v>
      </c>
      <c r="C2450">
        <f>'2020_5-2-2_Download'!$AM$5</f>
        <v>2015</v>
      </c>
      <c r="D2450" t="str">
        <f>VLOOKUP(B2450,[1]Tabelle1!$A$1:$B$68,2,FALSE)</f>
        <v>Goslar</v>
      </c>
      <c r="F2450" t="str">
        <f>'2020_5-2-2_Download'!$AP$7</f>
        <v>hoch</v>
      </c>
      <c r="G2450" t="s">
        <v>362</v>
      </c>
      <c r="H2450" t="str">
        <f>VLOOKUP(B2450,[2]Kreise!$A$2:$C$53,3,FALSE)</f>
        <v>K03153</v>
      </c>
      <c r="I2450">
        <f>'2020_5-2-2_Download'!AP14</f>
        <v>19.593908629441625</v>
      </c>
    </row>
    <row r="2451" spans="2:9">
      <c r="B2451">
        <f>'2020_5-2-2_Download'!B15</f>
        <v>154</v>
      </c>
      <c r="C2451">
        <f>'2020_5-2-2_Download'!$AM$5</f>
        <v>2015</v>
      </c>
      <c r="D2451" t="str">
        <f>VLOOKUP(B2451,[1]Tabelle1!$A$1:$B$68,2,FALSE)</f>
        <v>Helmstedt</v>
      </c>
      <c r="F2451" t="str">
        <f>'2020_5-2-2_Download'!$AP$7</f>
        <v>hoch</v>
      </c>
      <c r="G2451" t="s">
        <v>362</v>
      </c>
      <c r="H2451" t="str">
        <f>VLOOKUP(B2451,[2]Kreise!$A$2:$C$53,3,FALSE)</f>
        <v>K03154</v>
      </c>
      <c r="I2451">
        <f>'2020_5-2-2_Download'!AP15</f>
        <v>14.606741573033707</v>
      </c>
    </row>
    <row r="2452" spans="2:9">
      <c r="B2452">
        <f>'2020_5-2-2_Download'!B16</f>
        <v>155</v>
      </c>
      <c r="C2452">
        <f>'2020_5-2-2_Download'!$AM$5</f>
        <v>2015</v>
      </c>
      <c r="D2452" t="str">
        <f>VLOOKUP(B2452,[1]Tabelle1!$A$1:$B$68,2,FALSE)</f>
        <v>Northeim</v>
      </c>
      <c r="F2452" t="str">
        <f>'2020_5-2-2_Download'!$AP$7</f>
        <v>hoch</v>
      </c>
      <c r="G2452" t="s">
        <v>362</v>
      </c>
      <c r="H2452" t="str">
        <f>VLOOKUP(B2452,[2]Kreise!$A$2:$C$53,3,FALSE)</f>
        <v>K03155</v>
      </c>
      <c r="I2452">
        <f>'2020_5-2-2_Download'!AP16</f>
        <v>8.9668615984405449</v>
      </c>
    </row>
    <row r="2453" spans="2:9">
      <c r="B2453">
        <f>'2020_5-2-2_Download'!B17</f>
        <v>157</v>
      </c>
      <c r="C2453">
        <f>'2020_5-2-2_Download'!$AM$5</f>
        <v>2015</v>
      </c>
      <c r="D2453" t="str">
        <f>VLOOKUP(B2453,[1]Tabelle1!$A$1:$B$68,2,FALSE)</f>
        <v>Peine</v>
      </c>
      <c r="F2453" t="str">
        <f>'2020_5-2-2_Download'!$AP$7</f>
        <v>hoch</v>
      </c>
      <c r="G2453" t="s">
        <v>362</v>
      </c>
      <c r="H2453" t="str">
        <f>VLOOKUP(B2453,[2]Kreise!$A$2:$C$53,3,FALSE)</f>
        <v>K03157</v>
      </c>
      <c r="I2453">
        <f>'2020_5-2-2_Download'!AP17</f>
        <v>6.2539086929330825</v>
      </c>
    </row>
    <row r="2454" spans="2:9">
      <c r="B2454">
        <f>'2020_5-2-2_Download'!B18</f>
        <v>158</v>
      </c>
      <c r="C2454">
        <f>'2020_5-2-2_Download'!$AM$5</f>
        <v>2015</v>
      </c>
      <c r="D2454" t="str">
        <f>VLOOKUP(B2454,[1]Tabelle1!$A$1:$B$68,2,FALSE)</f>
        <v>Wolfenbüttel</v>
      </c>
      <c r="F2454" t="str">
        <f>'2020_5-2-2_Download'!$AP$7</f>
        <v>hoch</v>
      </c>
      <c r="G2454" t="s">
        <v>362</v>
      </c>
      <c r="H2454" t="str">
        <f>VLOOKUP(B2454,[2]Kreise!$A$2:$C$53,3,FALSE)</f>
        <v>K03158</v>
      </c>
      <c r="I2454">
        <f>'2020_5-2-2_Download'!AP18</f>
        <v>10.96045197740113</v>
      </c>
    </row>
    <row r="2455" spans="2:9">
      <c r="B2455">
        <f>'2020_5-2-2_Download'!B19</f>
        <v>159</v>
      </c>
      <c r="C2455">
        <f>'2020_5-2-2_Download'!$AM$5</f>
        <v>2015</v>
      </c>
      <c r="D2455" t="str">
        <f>VLOOKUP(B2455,[1]Tabelle1!$A$1:$B$68,2,FALSE)</f>
        <v>Göttingen</v>
      </c>
      <c r="F2455" t="str">
        <f>'2020_5-2-2_Download'!$AP$7</f>
        <v>hoch</v>
      </c>
      <c r="G2455" t="s">
        <v>362</v>
      </c>
      <c r="H2455" t="str">
        <f>VLOOKUP(B2455,[2]Kreise!$A$2:$C$53,3,FALSE)</f>
        <v>K03159</v>
      </c>
      <c r="I2455">
        <f>'2020_5-2-2_Download'!AP19</f>
        <v>27.584564078132445</v>
      </c>
    </row>
    <row r="2456" spans="2:9">
      <c r="B2456">
        <f>'2020_5-2-2_Download'!B20</f>
        <v>1</v>
      </c>
      <c r="C2456">
        <f>'2020_5-2-2_Download'!$AM$5</f>
        <v>2015</v>
      </c>
      <c r="D2456" t="str">
        <f>VLOOKUP(B2456,[1]Tabelle1!$A$1:$B$68,2,FALSE)</f>
        <v>Stat. Region Braunschweig</v>
      </c>
      <c r="F2456" t="str">
        <f>'2020_5-2-2_Download'!$AP$7</f>
        <v>hoch</v>
      </c>
      <c r="G2456" t="s">
        <v>362</v>
      </c>
      <c r="H2456" t="str">
        <f>VLOOKUP(B2456,[2]Kreise!$A$2:$C$53,3,FALSE)</f>
        <v>K031</v>
      </c>
      <c r="I2456">
        <f>'2020_5-2-2_Download'!AP20</f>
        <v>19.255303795641499</v>
      </c>
    </row>
    <row r="2457" spans="2:9">
      <c r="B2457">
        <f>'2020_5-2-2_Download'!B21</f>
        <v>241</v>
      </c>
      <c r="C2457">
        <f>'2020_5-2-2_Download'!$AM$5</f>
        <v>2015</v>
      </c>
      <c r="D2457" t="str">
        <f>VLOOKUP(B2457,[1]Tabelle1!$A$1:$B$68,2,FALSE)</f>
        <v>Hannover  Region</v>
      </c>
      <c r="F2457" t="str">
        <f>'2020_5-2-2_Download'!$AP$7</f>
        <v>hoch</v>
      </c>
      <c r="G2457" t="s">
        <v>362</v>
      </c>
      <c r="H2457" t="str">
        <f>VLOOKUP(B2457,[2]Kreise!$A$2:$C$53,3,FALSE)</f>
        <v>K03241</v>
      </c>
      <c r="I2457">
        <f>'2020_5-2-2_Download'!AP21</f>
        <v>11.768976743096704</v>
      </c>
    </row>
    <row r="2458" spans="2:9">
      <c r="B2458">
        <f>'2020_5-2-2_Download'!B22</f>
        <v>241001</v>
      </c>
      <c r="C2458">
        <f>'2020_5-2-2_Download'!$AM$5</f>
        <v>2015</v>
      </c>
      <c r="D2458" t="str">
        <f>VLOOKUP(B2458,[1]Tabelle1!$A$1:$B$68,2,FALSE)</f>
        <v>dav. Hannover  Lhst.</v>
      </c>
      <c r="F2458" t="str">
        <f>'2020_5-2-2_Download'!$AP$7</f>
        <v>hoch</v>
      </c>
      <c r="G2458" t="s">
        <v>362</v>
      </c>
      <c r="H2458" t="str">
        <f>VLOOKUP(B2458,[2]Kreise!$A$2:$C$53,3,FALSE)</f>
        <v>K03241001</v>
      </c>
      <c r="I2458">
        <f>'2020_5-2-2_Download'!AP22</f>
        <v>14.298709022845749</v>
      </c>
    </row>
    <row r="2459" spans="2:9">
      <c r="B2459">
        <f>'2020_5-2-2_Download'!B23</f>
        <v>241999</v>
      </c>
      <c r="C2459">
        <f>'2020_5-2-2_Download'!$AM$5</f>
        <v>2015</v>
      </c>
      <c r="D2459" t="str">
        <f>VLOOKUP(B2459,[1]Tabelle1!$A$1:$B$68,2,FALSE)</f>
        <v>dav. Hannover  Umland</v>
      </c>
      <c r="F2459" t="str">
        <f>'2020_5-2-2_Download'!$AP$7</f>
        <v>hoch</v>
      </c>
      <c r="G2459" t="s">
        <v>362</v>
      </c>
      <c r="H2459" t="str">
        <f>VLOOKUP(B2459,[2]Kreise!$A$2:$C$53,3,FALSE)</f>
        <v>K03241999</v>
      </c>
      <c r="I2459">
        <f>'2020_5-2-2_Download'!AP23</f>
        <v>6.6458835199093098</v>
      </c>
    </row>
    <row r="2460" spans="2:9">
      <c r="B2460">
        <f>'2020_5-2-2_Download'!B24</f>
        <v>251</v>
      </c>
      <c r="C2460">
        <f>'2020_5-2-2_Download'!$AM$5</f>
        <v>2015</v>
      </c>
      <c r="D2460" t="str">
        <f>VLOOKUP(B2460,[1]Tabelle1!$A$1:$B$68,2,FALSE)</f>
        <v>Diepholz</v>
      </c>
      <c r="F2460" t="str">
        <f>'2020_5-2-2_Download'!$AP$7</f>
        <v>hoch</v>
      </c>
      <c r="G2460" t="s">
        <v>362</v>
      </c>
      <c r="H2460" t="str">
        <f>VLOOKUP(B2460,[2]Kreise!$A$2:$C$53,3,FALSE)</f>
        <v>K03251</v>
      </c>
      <c r="I2460">
        <f>'2020_5-2-2_Download'!AP24</f>
        <v>7.8550647976725729</v>
      </c>
    </row>
    <row r="2461" spans="2:9">
      <c r="B2461">
        <f>'2020_5-2-2_Download'!B25</f>
        <v>252</v>
      </c>
      <c r="C2461">
        <f>'2020_5-2-2_Download'!$AM$5</f>
        <v>2015</v>
      </c>
      <c r="D2461" t="str">
        <f>VLOOKUP(B2461,[1]Tabelle1!$A$1:$B$68,2,FALSE)</f>
        <v>Hameln-Pyrmont</v>
      </c>
      <c r="F2461" t="str">
        <f>'2020_5-2-2_Download'!$AP$7</f>
        <v>hoch</v>
      </c>
      <c r="G2461" t="s">
        <v>362</v>
      </c>
      <c r="H2461" t="str">
        <f>VLOOKUP(B2461,[2]Kreise!$A$2:$C$53,3,FALSE)</f>
        <v>K03252</v>
      </c>
      <c r="I2461">
        <f>'2020_5-2-2_Download'!AP25</f>
        <v>10.804020100502512</v>
      </c>
    </row>
    <row r="2462" spans="2:9">
      <c r="B2462">
        <f>'2020_5-2-2_Download'!B26</f>
        <v>254</v>
      </c>
      <c r="C2462">
        <f>'2020_5-2-2_Download'!$AM$5</f>
        <v>2015</v>
      </c>
      <c r="D2462" t="str">
        <f>VLOOKUP(B2462,[1]Tabelle1!$A$1:$B$68,2,FALSE)</f>
        <v>Hildesheim</v>
      </c>
      <c r="F2462" t="str">
        <f>'2020_5-2-2_Download'!$AP$7</f>
        <v>hoch</v>
      </c>
      <c r="G2462" t="s">
        <v>362</v>
      </c>
      <c r="H2462" t="str">
        <f>VLOOKUP(B2462,[2]Kreise!$A$2:$C$53,3,FALSE)</f>
        <v>K03254</v>
      </c>
      <c r="I2462">
        <f>'2020_5-2-2_Download'!AP26</f>
        <v>14.459389549922399</v>
      </c>
    </row>
    <row r="2463" spans="2:9">
      <c r="B2463">
        <f>'2020_5-2-2_Download'!B27</f>
        <v>255</v>
      </c>
      <c r="C2463">
        <f>'2020_5-2-2_Download'!$AM$5</f>
        <v>2015</v>
      </c>
      <c r="D2463" t="str">
        <f>VLOOKUP(B2463,[1]Tabelle1!$A$1:$B$68,2,FALSE)</f>
        <v>Holzminden</v>
      </c>
      <c r="F2463" t="str">
        <f>'2020_5-2-2_Download'!$AP$7</f>
        <v>hoch</v>
      </c>
      <c r="G2463" t="s">
        <v>362</v>
      </c>
      <c r="H2463" t="str">
        <f>VLOOKUP(B2463,[2]Kreise!$A$2:$C$53,3,FALSE)</f>
        <v>K03255</v>
      </c>
      <c r="I2463">
        <f>'2020_5-2-2_Download'!AP27</f>
        <v>12.220916568742656</v>
      </c>
    </row>
    <row r="2464" spans="2:9">
      <c r="B2464">
        <f>'2020_5-2-2_Download'!B28</f>
        <v>256</v>
      </c>
      <c r="C2464">
        <f>'2020_5-2-2_Download'!$AM$5</f>
        <v>2015</v>
      </c>
      <c r="D2464" t="str">
        <f>VLOOKUP(B2464,[1]Tabelle1!$A$1:$B$68,2,FALSE)</f>
        <v>Nienburg (Weser)</v>
      </c>
      <c r="F2464" t="str">
        <f>'2020_5-2-2_Download'!$AP$7</f>
        <v>hoch</v>
      </c>
      <c r="G2464" t="s">
        <v>362</v>
      </c>
      <c r="H2464" t="str">
        <f>VLOOKUP(B2464,[2]Kreise!$A$2:$C$53,3,FALSE)</f>
        <v>K03256</v>
      </c>
      <c r="I2464">
        <f>'2020_5-2-2_Download'!AP28</f>
        <v>5.5446516192345436</v>
      </c>
    </row>
    <row r="2465" spans="2:9">
      <c r="B2465">
        <f>'2020_5-2-2_Download'!B29</f>
        <v>257</v>
      </c>
      <c r="C2465">
        <f>'2020_5-2-2_Download'!$AM$5</f>
        <v>2015</v>
      </c>
      <c r="D2465" t="str">
        <f>VLOOKUP(B2465,[1]Tabelle1!$A$1:$B$68,2,FALSE)</f>
        <v>Schaumburg</v>
      </c>
      <c r="F2465" t="str">
        <f>'2020_5-2-2_Download'!$AP$7</f>
        <v>hoch</v>
      </c>
      <c r="G2465" t="s">
        <v>362</v>
      </c>
      <c r="H2465" t="str">
        <f>VLOOKUP(B2465,[2]Kreise!$A$2:$C$53,3,FALSE)</f>
        <v>K03257</v>
      </c>
      <c r="I2465">
        <f>'2020_5-2-2_Download'!AP29</f>
        <v>7.6219512195121952</v>
      </c>
    </row>
    <row r="2466" spans="2:9">
      <c r="B2466">
        <f>'2020_5-2-2_Download'!B30</f>
        <v>2</v>
      </c>
      <c r="C2466">
        <f>'2020_5-2-2_Download'!$AM$5</f>
        <v>2015</v>
      </c>
      <c r="D2466" t="str">
        <f>VLOOKUP(B2466,[1]Tabelle1!$A$1:$B$68,2,FALSE)</f>
        <v>Stat. Region Hannover</v>
      </c>
      <c r="F2466" t="str">
        <f>'2020_5-2-2_Download'!$AP$7</f>
        <v>hoch</v>
      </c>
      <c r="G2466" t="s">
        <v>362</v>
      </c>
      <c r="H2466" t="str">
        <f>VLOOKUP(B2466,[2]Kreise!$A$2:$C$53,3,FALSE)</f>
        <v>K032</v>
      </c>
      <c r="I2466">
        <f>'2020_5-2-2_Download'!AP30</f>
        <v>11.27325730944011</v>
      </c>
    </row>
    <row r="2467" spans="2:9">
      <c r="B2467">
        <f>'2020_5-2-2_Download'!B31</f>
        <v>351</v>
      </c>
      <c r="C2467">
        <f>'2020_5-2-2_Download'!$AM$5</f>
        <v>2015</v>
      </c>
      <c r="D2467" t="str">
        <f>VLOOKUP(B2467,[1]Tabelle1!$A$1:$B$68,2,FALSE)</f>
        <v>Celle</v>
      </c>
      <c r="F2467" t="str">
        <f>'2020_5-2-2_Download'!$AP$7</f>
        <v>hoch</v>
      </c>
      <c r="G2467" t="s">
        <v>362</v>
      </c>
      <c r="H2467" t="str">
        <f>VLOOKUP(B2467,[2]Kreise!$A$2:$C$53,3,FALSE)</f>
        <v>K03351</v>
      </c>
      <c r="I2467">
        <f>'2020_5-2-2_Download'!AP31</f>
        <v>14.494425221068818</v>
      </c>
    </row>
    <row r="2468" spans="2:9">
      <c r="B2468">
        <f>'2020_5-2-2_Download'!B32</f>
        <v>352</v>
      </c>
      <c r="C2468">
        <f>'2020_5-2-2_Download'!$AM$5</f>
        <v>2015</v>
      </c>
      <c r="D2468" t="str">
        <f>VLOOKUP(B2468,[1]Tabelle1!$A$1:$B$68,2,FALSE)</f>
        <v>Cuxhaven</v>
      </c>
      <c r="F2468" t="str">
        <f>'2020_5-2-2_Download'!$AP$7</f>
        <v>hoch</v>
      </c>
      <c r="G2468" t="s">
        <v>362</v>
      </c>
      <c r="H2468" t="str">
        <f>VLOOKUP(B2468,[2]Kreise!$A$2:$C$53,3,FALSE)</f>
        <v>K03352</v>
      </c>
      <c r="I2468">
        <f>'2020_5-2-2_Download'!AP32</f>
        <v>6.2415196743554953</v>
      </c>
    </row>
    <row r="2469" spans="2:9">
      <c r="B2469">
        <f>'2020_5-2-2_Download'!B33</f>
        <v>353</v>
      </c>
      <c r="C2469">
        <f>'2020_5-2-2_Download'!$AM$5</f>
        <v>2015</v>
      </c>
      <c r="D2469" t="str">
        <f>VLOOKUP(B2469,[1]Tabelle1!$A$1:$B$68,2,FALSE)</f>
        <v>Harburg</v>
      </c>
      <c r="F2469" t="str">
        <f>'2020_5-2-2_Download'!$AP$7</f>
        <v>hoch</v>
      </c>
      <c r="G2469" t="s">
        <v>362</v>
      </c>
      <c r="H2469" t="str">
        <f>VLOOKUP(B2469,[2]Kreise!$A$2:$C$53,3,FALSE)</f>
        <v>K03353</v>
      </c>
      <c r="I2469">
        <f>'2020_5-2-2_Download'!AP33</f>
        <v>5.4886211512717535</v>
      </c>
    </row>
    <row r="2470" spans="2:9">
      <c r="B2470">
        <f>'2020_5-2-2_Download'!B34</f>
        <v>354</v>
      </c>
      <c r="C2470">
        <f>'2020_5-2-2_Download'!$AM$5</f>
        <v>2015</v>
      </c>
      <c r="D2470" t="str">
        <f>VLOOKUP(B2470,[1]Tabelle1!$A$1:$B$68,2,FALSE)</f>
        <v>Lüchow-Dannenberg</v>
      </c>
      <c r="F2470" t="str">
        <f>'2020_5-2-2_Download'!$AP$7</f>
        <v>hoch</v>
      </c>
      <c r="G2470" t="s">
        <v>362</v>
      </c>
      <c r="H2470" t="str">
        <f>VLOOKUP(B2470,[2]Kreise!$A$2:$C$53,3,FALSE)</f>
        <v>K03354</v>
      </c>
      <c r="I2470">
        <f>'2020_5-2-2_Download'!AP34</f>
        <v>5.5643879173290935</v>
      </c>
    </row>
    <row r="2471" spans="2:9">
      <c r="B2471">
        <f>'2020_5-2-2_Download'!B35</f>
        <v>355</v>
      </c>
      <c r="C2471">
        <f>'2020_5-2-2_Download'!$AM$5</f>
        <v>2015</v>
      </c>
      <c r="D2471" t="str">
        <f>VLOOKUP(B2471,[1]Tabelle1!$A$1:$B$68,2,FALSE)</f>
        <v>Lüneburg</v>
      </c>
      <c r="F2471" t="str">
        <f>'2020_5-2-2_Download'!$AP$7</f>
        <v>hoch</v>
      </c>
      <c r="G2471" t="s">
        <v>362</v>
      </c>
      <c r="H2471" t="str">
        <f>VLOOKUP(B2471,[2]Kreise!$A$2:$C$53,3,FALSE)</f>
        <v>K03355</v>
      </c>
      <c r="I2471">
        <f>'2020_5-2-2_Download'!AP35</f>
        <v>14.94153313122564</v>
      </c>
    </row>
    <row r="2472" spans="2:9">
      <c r="B2472">
        <f>'2020_5-2-2_Download'!B36</f>
        <v>356</v>
      </c>
      <c r="C2472">
        <f>'2020_5-2-2_Download'!$AM$5</f>
        <v>2015</v>
      </c>
      <c r="D2472" t="str">
        <f>VLOOKUP(B2472,[1]Tabelle1!$A$1:$B$68,2,FALSE)</f>
        <v>Osterholz</v>
      </c>
      <c r="F2472" t="str">
        <f>'2020_5-2-2_Download'!$AP$7</f>
        <v>hoch</v>
      </c>
      <c r="G2472" t="s">
        <v>362</v>
      </c>
      <c r="H2472" t="str">
        <f>VLOOKUP(B2472,[2]Kreise!$A$2:$C$53,3,FALSE)</f>
        <v>K03356</v>
      </c>
      <c r="I2472">
        <f>'2020_5-2-2_Download'!AP36</f>
        <v>7.9696394686907022</v>
      </c>
    </row>
    <row r="2473" spans="2:9">
      <c r="B2473">
        <f>'2020_5-2-2_Download'!B37</f>
        <v>357</v>
      </c>
      <c r="C2473">
        <f>'2020_5-2-2_Download'!$AM$5</f>
        <v>2015</v>
      </c>
      <c r="D2473" t="str">
        <f>VLOOKUP(B2473,[1]Tabelle1!$A$1:$B$68,2,FALSE)</f>
        <v>Rotenburg (Wümme)</v>
      </c>
      <c r="F2473" t="str">
        <f>'2020_5-2-2_Download'!$AP$7</f>
        <v>hoch</v>
      </c>
      <c r="G2473" t="s">
        <v>362</v>
      </c>
      <c r="H2473" t="str">
        <f>VLOOKUP(B2473,[2]Kreise!$A$2:$C$53,3,FALSE)</f>
        <v>K03357</v>
      </c>
      <c r="I2473">
        <f>'2020_5-2-2_Download'!AP37</f>
        <v>10.273665320771647</v>
      </c>
    </row>
    <row r="2474" spans="2:9">
      <c r="B2474">
        <f>'2020_5-2-2_Download'!B38</f>
        <v>358</v>
      </c>
      <c r="C2474">
        <f>'2020_5-2-2_Download'!$AM$5</f>
        <v>2015</v>
      </c>
      <c r="D2474" t="str">
        <f>VLOOKUP(B2474,[1]Tabelle1!$A$1:$B$68,2,FALSE)</f>
        <v>Heidekreis</v>
      </c>
      <c r="F2474" t="str">
        <f>'2020_5-2-2_Download'!$AP$7</f>
        <v>hoch</v>
      </c>
      <c r="G2474" t="s">
        <v>362</v>
      </c>
      <c r="H2474" t="str">
        <f>VLOOKUP(B2474,[2]Kreise!$A$2:$C$53,3,FALSE)</f>
        <v>K03358</v>
      </c>
      <c r="I2474">
        <f>'2020_5-2-2_Download'!AP38</f>
        <v>7.7294685990338161</v>
      </c>
    </row>
    <row r="2475" spans="2:9">
      <c r="B2475">
        <f>'2020_5-2-2_Download'!B39</f>
        <v>359</v>
      </c>
      <c r="C2475">
        <f>'2020_5-2-2_Download'!$AM$5</f>
        <v>2015</v>
      </c>
      <c r="D2475" t="str">
        <f>VLOOKUP(B2475,[1]Tabelle1!$A$1:$B$68,2,FALSE)</f>
        <v>Stade</v>
      </c>
      <c r="F2475" t="str">
        <f>'2020_5-2-2_Download'!$AP$7</f>
        <v>hoch</v>
      </c>
      <c r="G2475" t="s">
        <v>362</v>
      </c>
      <c r="H2475" t="str">
        <f>VLOOKUP(B2475,[2]Kreise!$A$2:$C$53,3,FALSE)</f>
        <v>K03359</v>
      </c>
      <c r="I2475">
        <f>'2020_5-2-2_Download'!AP39</f>
        <v>6.3988453211450569</v>
      </c>
    </row>
    <row r="2476" spans="2:9">
      <c r="B2476">
        <f>'2020_5-2-2_Download'!B40</f>
        <v>360</v>
      </c>
      <c r="C2476">
        <f>'2020_5-2-2_Download'!$AM$5</f>
        <v>2015</v>
      </c>
      <c r="D2476" t="str">
        <f>VLOOKUP(B2476,[1]Tabelle1!$A$1:$B$68,2,FALSE)</f>
        <v>Uelzen</v>
      </c>
      <c r="F2476" t="str">
        <f>'2020_5-2-2_Download'!$AP$7</f>
        <v>hoch</v>
      </c>
      <c r="G2476" t="s">
        <v>362</v>
      </c>
      <c r="H2476" t="str">
        <f>VLOOKUP(B2476,[2]Kreise!$A$2:$C$53,3,FALSE)</f>
        <v>K03360</v>
      </c>
      <c r="I2476">
        <f>'2020_5-2-2_Download'!AP40</f>
        <v>16.735966735966738</v>
      </c>
    </row>
    <row r="2477" spans="2:9">
      <c r="B2477">
        <f>'2020_5-2-2_Download'!B41</f>
        <v>361</v>
      </c>
      <c r="C2477">
        <f>'2020_5-2-2_Download'!$AM$5</f>
        <v>2015</v>
      </c>
      <c r="D2477" t="str">
        <f>VLOOKUP(B2477,[1]Tabelle1!$A$1:$B$68,2,FALSE)</f>
        <v>Verden</v>
      </c>
      <c r="F2477" t="str">
        <f>'2020_5-2-2_Download'!$AP$7</f>
        <v>hoch</v>
      </c>
      <c r="G2477" t="s">
        <v>362</v>
      </c>
      <c r="H2477" t="str">
        <f>VLOOKUP(B2477,[2]Kreise!$A$2:$C$53,3,FALSE)</f>
        <v>K03361</v>
      </c>
      <c r="I2477">
        <f>'2020_5-2-2_Download'!AP41</f>
        <v>11.936437546193645</v>
      </c>
    </row>
    <row r="2478" spans="2:9">
      <c r="B2478">
        <f>'2020_5-2-2_Download'!B42</f>
        <v>3</v>
      </c>
      <c r="C2478">
        <f>'2020_5-2-2_Download'!$AM$5</f>
        <v>2015</v>
      </c>
      <c r="D2478" t="str">
        <f>VLOOKUP(B2478,[1]Tabelle1!$A$1:$B$68,2,FALSE)</f>
        <v>Stat. Region Lüneburg</v>
      </c>
      <c r="F2478" t="str">
        <f>'2020_5-2-2_Download'!$AP$7</f>
        <v>hoch</v>
      </c>
      <c r="G2478" t="s">
        <v>362</v>
      </c>
      <c r="H2478" t="str">
        <f>VLOOKUP(B2478,[2]Kreise!$A$2:$C$53,3,FALSE)</f>
        <v>K033</v>
      </c>
      <c r="I2478">
        <f>'2020_5-2-2_Download'!AP42</f>
        <v>9.1939309513949024</v>
      </c>
    </row>
    <row r="2479" spans="2:9">
      <c r="B2479">
        <f>'2020_5-2-2_Download'!B43</f>
        <v>401</v>
      </c>
      <c r="C2479">
        <f>'2020_5-2-2_Download'!$AM$5</f>
        <v>2015</v>
      </c>
      <c r="D2479" t="str">
        <f>VLOOKUP(B2479,[1]Tabelle1!$A$1:$B$68,2,FALSE)</f>
        <v>Delmenhorst  Stadt</v>
      </c>
      <c r="F2479" t="str">
        <f>'2020_5-2-2_Download'!$AP$7</f>
        <v>hoch</v>
      </c>
      <c r="G2479" t="s">
        <v>362</v>
      </c>
      <c r="H2479" t="str">
        <f>VLOOKUP(B2479,[2]Kreise!$A$2:$C$53,3,FALSE)</f>
        <v>K03401</v>
      </c>
      <c r="I2479">
        <f>'2020_5-2-2_Download'!AP43</f>
        <v>8.7553648068669521</v>
      </c>
    </row>
    <row r="2480" spans="2:9">
      <c r="B2480">
        <f>'2020_5-2-2_Download'!B44</f>
        <v>402</v>
      </c>
      <c r="C2480">
        <f>'2020_5-2-2_Download'!$AM$5</f>
        <v>2015</v>
      </c>
      <c r="D2480" t="str">
        <f>VLOOKUP(B2480,[1]Tabelle1!$A$1:$B$68,2,FALSE)</f>
        <v>Emden  Stadt</v>
      </c>
      <c r="F2480" t="str">
        <f>'2020_5-2-2_Download'!$AP$7</f>
        <v>hoch</v>
      </c>
      <c r="G2480" t="s">
        <v>362</v>
      </c>
      <c r="H2480" t="str">
        <f>VLOOKUP(B2480,[2]Kreise!$A$2:$C$53,3,FALSE)</f>
        <v>K03402</v>
      </c>
      <c r="I2480">
        <f>'2020_5-2-2_Download'!AP44</f>
        <v>8.0955540809555409</v>
      </c>
    </row>
    <row r="2481" spans="2:9">
      <c r="B2481">
        <f>'2020_5-2-2_Download'!B45</f>
        <v>403</v>
      </c>
      <c r="C2481">
        <f>'2020_5-2-2_Download'!$AM$5</f>
        <v>2015</v>
      </c>
      <c r="D2481" t="str">
        <f>VLOOKUP(B2481,[1]Tabelle1!$A$1:$B$68,2,FALSE)</f>
        <v>Oldenburg(Oldb)  Stadt</v>
      </c>
      <c r="F2481" t="str">
        <f>'2020_5-2-2_Download'!$AP$7</f>
        <v>hoch</v>
      </c>
      <c r="G2481" t="s">
        <v>362</v>
      </c>
      <c r="H2481" t="str">
        <f>VLOOKUP(B2481,[2]Kreise!$A$2:$C$53,3,FALSE)</f>
        <v>K03403</v>
      </c>
      <c r="I2481">
        <f>'2020_5-2-2_Download'!AP45</f>
        <v>19.821757836508912</v>
      </c>
    </row>
    <row r="2482" spans="2:9">
      <c r="B2482">
        <f>'2020_5-2-2_Download'!B46</f>
        <v>404</v>
      </c>
      <c r="C2482">
        <f>'2020_5-2-2_Download'!$AM$5</f>
        <v>2015</v>
      </c>
      <c r="D2482" t="str">
        <f>VLOOKUP(B2482,[1]Tabelle1!$A$1:$B$68,2,FALSE)</f>
        <v>Osnabrück  Stadt</v>
      </c>
      <c r="F2482" t="str">
        <f>'2020_5-2-2_Download'!$AP$7</f>
        <v>hoch</v>
      </c>
      <c r="G2482" t="s">
        <v>362</v>
      </c>
      <c r="H2482" t="str">
        <f>VLOOKUP(B2482,[2]Kreise!$A$2:$C$53,3,FALSE)</f>
        <v>K03404</v>
      </c>
      <c r="I2482">
        <f>'2020_5-2-2_Download'!AP46</f>
        <v>10.696605374823196</v>
      </c>
    </row>
    <row r="2483" spans="2:9">
      <c r="B2483">
        <f>'2020_5-2-2_Download'!B47</f>
        <v>405</v>
      </c>
      <c r="C2483">
        <f>'2020_5-2-2_Download'!$AM$5</f>
        <v>2015</v>
      </c>
      <c r="D2483" t="str">
        <f>VLOOKUP(B2483,[1]Tabelle1!$A$1:$B$68,2,FALSE)</f>
        <v>Wilhelmshaven  Stadt</v>
      </c>
      <c r="F2483" t="str">
        <f>'2020_5-2-2_Download'!$AP$7</f>
        <v>hoch</v>
      </c>
      <c r="G2483" t="s">
        <v>362</v>
      </c>
      <c r="H2483" t="str">
        <f>VLOOKUP(B2483,[2]Kreise!$A$2:$C$53,3,FALSE)</f>
        <v>K03405</v>
      </c>
      <c r="I2483">
        <f>'2020_5-2-2_Download'!AP47</f>
        <v>15.09433962264151</v>
      </c>
    </row>
    <row r="2484" spans="2:9">
      <c r="B2484">
        <f>'2020_5-2-2_Download'!B48</f>
        <v>451</v>
      </c>
      <c r="C2484">
        <f>'2020_5-2-2_Download'!$AM$5</f>
        <v>2015</v>
      </c>
      <c r="D2484" t="str">
        <f>VLOOKUP(B2484,[1]Tabelle1!$A$1:$B$68,2,FALSE)</f>
        <v>Ammerland</v>
      </c>
      <c r="F2484" t="str">
        <f>'2020_5-2-2_Download'!$AP$7</f>
        <v>hoch</v>
      </c>
      <c r="G2484" t="s">
        <v>362</v>
      </c>
      <c r="H2484" t="str">
        <f>VLOOKUP(B2484,[2]Kreise!$A$2:$C$53,3,FALSE)</f>
        <v>K03451</v>
      </c>
      <c r="I2484">
        <f>'2020_5-2-2_Download'!AP48</f>
        <v>5.8164584230934944</v>
      </c>
    </row>
    <row r="2485" spans="2:9">
      <c r="B2485">
        <f>'2020_5-2-2_Download'!B49</f>
        <v>452</v>
      </c>
      <c r="C2485">
        <f>'2020_5-2-2_Download'!$AM$5</f>
        <v>2015</v>
      </c>
      <c r="D2485" t="str">
        <f>VLOOKUP(B2485,[1]Tabelle1!$A$1:$B$68,2,FALSE)</f>
        <v>Aurich</v>
      </c>
      <c r="F2485" t="str">
        <f>'2020_5-2-2_Download'!$AP$7</f>
        <v>hoch</v>
      </c>
      <c r="G2485" t="s">
        <v>362</v>
      </c>
      <c r="H2485" t="str">
        <f>VLOOKUP(B2485,[2]Kreise!$A$2:$C$53,3,FALSE)</f>
        <v>K03452</v>
      </c>
      <c r="I2485">
        <f>'2020_5-2-2_Download'!AP49</f>
        <v>6.945317410433689</v>
      </c>
    </row>
    <row r="2486" spans="2:9">
      <c r="B2486">
        <f>'2020_5-2-2_Download'!B50</f>
        <v>453</v>
      </c>
      <c r="C2486">
        <f>'2020_5-2-2_Download'!$AM$5</f>
        <v>2015</v>
      </c>
      <c r="D2486" t="str">
        <f>VLOOKUP(B2486,[1]Tabelle1!$A$1:$B$68,2,FALSE)</f>
        <v>Cloppenburg</v>
      </c>
      <c r="F2486" t="str">
        <f>'2020_5-2-2_Download'!$AP$7</f>
        <v>hoch</v>
      </c>
      <c r="G2486" t="s">
        <v>362</v>
      </c>
      <c r="H2486" t="str">
        <f>VLOOKUP(B2486,[2]Kreise!$A$2:$C$53,3,FALSE)</f>
        <v>K03453</v>
      </c>
      <c r="I2486">
        <f>'2020_5-2-2_Download'!AP50</f>
        <v>3.2283310506750142</v>
      </c>
    </row>
    <row r="2487" spans="2:9">
      <c r="B2487">
        <f>'2020_5-2-2_Download'!B51</f>
        <v>454</v>
      </c>
      <c r="C2487">
        <f>'2020_5-2-2_Download'!$AM$5</f>
        <v>2015</v>
      </c>
      <c r="D2487" t="str">
        <f>VLOOKUP(B2487,[1]Tabelle1!$A$1:$B$68,2,FALSE)</f>
        <v>Emsland</v>
      </c>
      <c r="F2487" t="str">
        <f>'2020_5-2-2_Download'!$AP$7</f>
        <v>hoch</v>
      </c>
      <c r="G2487" t="s">
        <v>362</v>
      </c>
      <c r="H2487" t="str">
        <f>VLOOKUP(B2487,[2]Kreise!$A$2:$C$53,3,FALSE)</f>
        <v>K03454</v>
      </c>
      <c r="I2487">
        <f>'2020_5-2-2_Download'!AP51</f>
        <v>7.0760158953980259</v>
      </c>
    </row>
    <row r="2488" spans="2:9">
      <c r="B2488">
        <f>'2020_5-2-2_Download'!B52</f>
        <v>455</v>
      </c>
      <c r="C2488">
        <f>'2020_5-2-2_Download'!$AM$5</f>
        <v>2015</v>
      </c>
      <c r="D2488" t="str">
        <f>VLOOKUP(B2488,[1]Tabelle1!$A$1:$B$68,2,FALSE)</f>
        <v>Friesland</v>
      </c>
      <c r="F2488" t="str">
        <f>'2020_5-2-2_Download'!$AP$7</f>
        <v>hoch</v>
      </c>
      <c r="G2488" t="s">
        <v>362</v>
      </c>
      <c r="H2488" t="str">
        <f>VLOOKUP(B2488,[2]Kreise!$A$2:$C$53,3,FALSE)</f>
        <v>K03455</v>
      </c>
      <c r="I2488">
        <f>'2020_5-2-2_Download'!AP52</f>
        <v>9.469302809573362</v>
      </c>
    </row>
    <row r="2489" spans="2:9">
      <c r="B2489">
        <f>'2020_5-2-2_Download'!B53</f>
        <v>456</v>
      </c>
      <c r="C2489">
        <f>'2020_5-2-2_Download'!$AM$5</f>
        <v>2015</v>
      </c>
      <c r="D2489" t="str">
        <f>VLOOKUP(B2489,[1]Tabelle1!$A$1:$B$68,2,FALSE)</f>
        <v>Grafschaft Bentheim</v>
      </c>
      <c r="F2489" t="str">
        <f>'2020_5-2-2_Download'!$AP$7</f>
        <v>hoch</v>
      </c>
      <c r="G2489" t="s">
        <v>362</v>
      </c>
      <c r="H2489" t="str">
        <f>VLOOKUP(B2489,[2]Kreise!$A$2:$C$53,3,FALSE)</f>
        <v>K03456</v>
      </c>
      <c r="I2489">
        <f>'2020_5-2-2_Download'!AP53</f>
        <v>6.477214541730671</v>
      </c>
    </row>
    <row r="2490" spans="2:9">
      <c r="B2490">
        <f>'2020_5-2-2_Download'!B54</f>
        <v>457</v>
      </c>
      <c r="C2490">
        <f>'2020_5-2-2_Download'!$AM$5</f>
        <v>2015</v>
      </c>
      <c r="D2490" t="str">
        <f>VLOOKUP(B2490,[1]Tabelle1!$A$1:$B$68,2,FALSE)</f>
        <v>Leer</v>
      </c>
      <c r="F2490" t="str">
        <f>'2020_5-2-2_Download'!$AP$7</f>
        <v>hoch</v>
      </c>
      <c r="G2490" t="s">
        <v>362</v>
      </c>
      <c r="H2490" t="str">
        <f>VLOOKUP(B2490,[2]Kreise!$A$2:$C$53,3,FALSE)</f>
        <v>K03457</v>
      </c>
      <c r="I2490">
        <f>'2020_5-2-2_Download'!AP54</f>
        <v>10.285977859778598</v>
      </c>
    </row>
    <row r="2491" spans="2:9">
      <c r="B2491">
        <f>'2020_5-2-2_Download'!B55</f>
        <v>458</v>
      </c>
      <c r="C2491">
        <f>'2020_5-2-2_Download'!$AM$5</f>
        <v>2015</v>
      </c>
      <c r="D2491" t="str">
        <f>VLOOKUP(B2491,[1]Tabelle1!$A$1:$B$68,2,FALSE)</f>
        <v>Oldenburg</v>
      </c>
      <c r="F2491" t="str">
        <f>'2020_5-2-2_Download'!$AP$7</f>
        <v>hoch</v>
      </c>
      <c r="G2491" t="s">
        <v>362</v>
      </c>
      <c r="H2491" t="str">
        <f>VLOOKUP(B2491,[2]Kreise!$A$2:$C$53,3,FALSE)</f>
        <v>K03458</v>
      </c>
      <c r="I2491">
        <f>'2020_5-2-2_Download'!AP55</f>
        <v>4.4089147286821708</v>
      </c>
    </row>
    <row r="2492" spans="2:9">
      <c r="B2492">
        <f>'2020_5-2-2_Download'!B56</f>
        <v>459</v>
      </c>
      <c r="C2492">
        <f>'2020_5-2-2_Download'!$AM$5</f>
        <v>2015</v>
      </c>
      <c r="D2492" t="str">
        <f>VLOOKUP(B2492,[1]Tabelle1!$A$1:$B$68,2,FALSE)</f>
        <v>Osnabrück</v>
      </c>
      <c r="F2492" t="str">
        <f>'2020_5-2-2_Download'!$AP$7</f>
        <v>hoch</v>
      </c>
      <c r="G2492" t="s">
        <v>362</v>
      </c>
      <c r="H2492" t="str">
        <f>VLOOKUP(B2492,[2]Kreise!$A$2:$C$53,3,FALSE)</f>
        <v>K03459</v>
      </c>
      <c r="I2492">
        <f>'2020_5-2-2_Download'!AP56</f>
        <v>4.2631527952717763</v>
      </c>
    </row>
    <row r="2493" spans="2:9">
      <c r="B2493">
        <f>'2020_5-2-2_Download'!B57</f>
        <v>460</v>
      </c>
      <c r="C2493">
        <f>'2020_5-2-2_Download'!$AM$5</f>
        <v>2015</v>
      </c>
      <c r="D2493" t="str">
        <f>VLOOKUP(B2493,[1]Tabelle1!$A$1:$B$68,2,FALSE)</f>
        <v>Vechta</v>
      </c>
      <c r="F2493" t="str">
        <f>'2020_5-2-2_Download'!$AP$7</f>
        <v>hoch</v>
      </c>
      <c r="G2493" t="s">
        <v>362</v>
      </c>
      <c r="H2493" t="str">
        <f>VLOOKUP(B2493,[2]Kreise!$A$2:$C$53,3,FALSE)</f>
        <v>K03460</v>
      </c>
      <c r="I2493">
        <f>'2020_5-2-2_Download'!AP57</f>
        <v>3.5723771580345289</v>
      </c>
    </row>
    <row r="2494" spans="2:9">
      <c r="B2494">
        <f>'2020_5-2-2_Download'!B58</f>
        <v>461</v>
      </c>
      <c r="C2494">
        <f>'2020_5-2-2_Download'!$AM$5</f>
        <v>2015</v>
      </c>
      <c r="D2494" t="str">
        <f>VLOOKUP(B2494,[1]Tabelle1!$A$1:$B$68,2,FALSE)</f>
        <v>Wesermarsch</v>
      </c>
      <c r="F2494" t="str">
        <f>'2020_5-2-2_Download'!$AP$7</f>
        <v>hoch</v>
      </c>
      <c r="G2494" t="s">
        <v>362</v>
      </c>
      <c r="H2494" t="str">
        <f>VLOOKUP(B2494,[2]Kreise!$A$2:$C$53,3,FALSE)</f>
        <v>K03461</v>
      </c>
      <c r="I2494">
        <f>'2020_5-2-2_Download'!AP58</f>
        <v>5.4838709677419359</v>
      </c>
    </row>
    <row r="2495" spans="2:9">
      <c r="B2495">
        <f>'2020_5-2-2_Download'!B59</f>
        <v>462</v>
      </c>
      <c r="C2495">
        <f>'2020_5-2-2_Download'!$AM$5</f>
        <v>2015</v>
      </c>
      <c r="D2495" t="str">
        <f>VLOOKUP(B2495,[1]Tabelle1!$A$1:$B$68,2,FALSE)</f>
        <v>Wittmund</v>
      </c>
      <c r="F2495" t="str">
        <f>'2020_5-2-2_Download'!$AP$7</f>
        <v>hoch</v>
      </c>
      <c r="G2495" t="s">
        <v>362</v>
      </c>
      <c r="H2495" t="str">
        <f>VLOOKUP(B2495,[2]Kreise!$A$2:$C$53,3,FALSE)</f>
        <v>K03462</v>
      </c>
      <c r="I2495">
        <f>'2020_5-2-2_Download'!AP59</f>
        <v>5.7777777777777777</v>
      </c>
    </row>
    <row r="2496" spans="2:9">
      <c r="B2496">
        <f>'2020_5-2-2_Download'!B60</f>
        <v>4</v>
      </c>
      <c r="C2496">
        <f>'2020_5-2-2_Download'!$AM$5</f>
        <v>2015</v>
      </c>
      <c r="D2496" t="str">
        <f>VLOOKUP(B2496,[1]Tabelle1!$A$1:$B$68,2,FALSE)</f>
        <v>Stat. Region Weser-Ems</v>
      </c>
      <c r="F2496" t="str">
        <f>'2020_5-2-2_Download'!$AP$7</f>
        <v>hoch</v>
      </c>
      <c r="G2496" t="s">
        <v>362</v>
      </c>
      <c r="H2496" t="str">
        <f>VLOOKUP(B2496,[2]Kreise!$A$2:$C$53,3,FALSE)</f>
        <v>K034</v>
      </c>
      <c r="I2496">
        <f>'2020_5-2-2_Download'!AP60</f>
        <v>6.9553936732860988</v>
      </c>
    </row>
    <row r="2497" spans="2:9">
      <c r="B2497">
        <f>'2020_5-2-2_Download'!B61</f>
        <v>0</v>
      </c>
      <c r="C2497">
        <f>'2020_5-2-2_Download'!$AM$5</f>
        <v>2015</v>
      </c>
      <c r="D2497" t="str">
        <f>VLOOKUP(B2497,[1]Tabelle1!$A$1:$B$68,2,FALSE)</f>
        <v>Niedersachsen</v>
      </c>
      <c r="F2497" t="str">
        <f>'2020_5-2-2_Download'!$AP$7</f>
        <v>hoch</v>
      </c>
      <c r="G2497" t="s">
        <v>362</v>
      </c>
      <c r="H2497" t="str">
        <f>VLOOKUP(B2497,[2]Kreise!$A$2:$C$53,3,FALSE)</f>
        <v>K030</v>
      </c>
      <c r="I2497">
        <f>'2020_5-2-2_Download'!AP61</f>
        <v>11.060023267853067</v>
      </c>
    </row>
    <row r="2498" spans="2:9">
      <c r="B2498">
        <f>'2020_5-2-2_Download'!B10</f>
        <v>101</v>
      </c>
      <c r="C2498">
        <f>'2020_5-2-2_Download'!$AM$5</f>
        <v>2015</v>
      </c>
      <c r="D2498" t="str">
        <f>VLOOKUP(B2498,[1]Tabelle1!$A$1:$B$68,2,FALSE)</f>
        <v>Braunschweig  Stadt</v>
      </c>
      <c r="F2498" t="str">
        <f>'2020_5-2-2_Download'!$AQ$7</f>
        <v>mittel</v>
      </c>
      <c r="G2498" t="s">
        <v>362</v>
      </c>
      <c r="H2498" t="str">
        <f>VLOOKUP(B2498,[2]Kreise!$A$2:$C$53,3,FALSE)</f>
        <v>K03101</v>
      </c>
      <c r="I2498">
        <f>'2020_5-2-2_Download'!AQ10</f>
        <v>30.467366126175229</v>
      </c>
    </row>
    <row r="2499" spans="2:9">
      <c r="B2499">
        <f>'2020_5-2-2_Download'!B11</f>
        <v>102</v>
      </c>
      <c r="C2499">
        <f>'2020_5-2-2_Download'!$AM$5</f>
        <v>2015</v>
      </c>
      <c r="D2499" t="str">
        <f>VLOOKUP(B2499,[1]Tabelle1!$A$1:$B$68,2,FALSE)</f>
        <v>Salzgitter  Stadt</v>
      </c>
      <c r="F2499" t="str">
        <f>'2020_5-2-2_Download'!$AQ$7</f>
        <v>mittel</v>
      </c>
      <c r="G2499" t="s">
        <v>362</v>
      </c>
      <c r="H2499" t="str">
        <f>VLOOKUP(B2499,[2]Kreise!$A$2:$C$53,3,FALSE)</f>
        <v>K03102</v>
      </c>
      <c r="I2499">
        <f>'2020_5-2-2_Download'!AQ11</f>
        <v>43.625730994152043</v>
      </c>
    </row>
    <row r="2500" spans="2:9">
      <c r="B2500">
        <f>'2020_5-2-2_Download'!B12</f>
        <v>103</v>
      </c>
      <c r="C2500">
        <f>'2020_5-2-2_Download'!$AM$5</f>
        <v>2015</v>
      </c>
      <c r="D2500" t="str">
        <f>VLOOKUP(B2500,[1]Tabelle1!$A$1:$B$68,2,FALSE)</f>
        <v>Wolfsburg  Stadt</v>
      </c>
      <c r="F2500" t="str">
        <f>'2020_5-2-2_Download'!$AQ$7</f>
        <v>mittel</v>
      </c>
      <c r="G2500" t="s">
        <v>362</v>
      </c>
      <c r="H2500" t="str">
        <f>VLOOKUP(B2500,[2]Kreise!$A$2:$C$53,3,FALSE)</f>
        <v>K03103</v>
      </c>
      <c r="I2500">
        <f>'2020_5-2-2_Download'!AQ12</f>
        <v>33.636915604128717</v>
      </c>
    </row>
    <row r="2501" spans="2:9">
      <c r="B2501">
        <f>'2020_5-2-2_Download'!B13</f>
        <v>151</v>
      </c>
      <c r="C2501">
        <f>'2020_5-2-2_Download'!$AM$5</f>
        <v>2015</v>
      </c>
      <c r="D2501" t="str">
        <f>VLOOKUP(B2501,[1]Tabelle1!$A$1:$B$68,2,FALSE)</f>
        <v>Gifhorn</v>
      </c>
      <c r="F2501" t="str">
        <f>'2020_5-2-2_Download'!$AQ$7</f>
        <v>mittel</v>
      </c>
      <c r="G2501" t="s">
        <v>362</v>
      </c>
      <c r="H2501" t="str">
        <f>VLOOKUP(B2501,[2]Kreise!$A$2:$C$53,3,FALSE)</f>
        <v>K03151</v>
      </c>
      <c r="I2501">
        <f>'2020_5-2-2_Download'!AQ13</f>
        <v>27.153558052434455</v>
      </c>
    </row>
    <row r="2502" spans="2:9">
      <c r="B2502">
        <f>'2020_5-2-2_Download'!B14</f>
        <v>153</v>
      </c>
      <c r="C2502">
        <f>'2020_5-2-2_Download'!$AM$5</f>
        <v>2015</v>
      </c>
      <c r="D2502" t="str">
        <f>VLOOKUP(B2502,[1]Tabelle1!$A$1:$B$68,2,FALSE)</f>
        <v>Goslar</v>
      </c>
      <c r="F2502" t="str">
        <f>'2020_5-2-2_Download'!$AQ$7</f>
        <v>mittel</v>
      </c>
      <c r="G2502" t="s">
        <v>362</v>
      </c>
      <c r="H2502" t="str">
        <f>VLOOKUP(B2502,[2]Kreise!$A$2:$C$53,3,FALSE)</f>
        <v>K03153</v>
      </c>
      <c r="I2502">
        <f>'2020_5-2-2_Download'!AQ14</f>
        <v>31.319796954314722</v>
      </c>
    </row>
    <row r="2503" spans="2:9">
      <c r="B2503">
        <f>'2020_5-2-2_Download'!B15</f>
        <v>154</v>
      </c>
      <c r="C2503">
        <f>'2020_5-2-2_Download'!$AM$5</f>
        <v>2015</v>
      </c>
      <c r="D2503" t="str">
        <f>VLOOKUP(B2503,[1]Tabelle1!$A$1:$B$68,2,FALSE)</f>
        <v>Helmstedt</v>
      </c>
      <c r="F2503" t="str">
        <f>'2020_5-2-2_Download'!$AQ$7</f>
        <v>mittel</v>
      </c>
      <c r="G2503" t="s">
        <v>362</v>
      </c>
      <c r="H2503" t="str">
        <f>VLOOKUP(B2503,[2]Kreise!$A$2:$C$53,3,FALSE)</f>
        <v>K03154</v>
      </c>
      <c r="I2503">
        <f>'2020_5-2-2_Download'!AQ15</f>
        <v>33.567415730337082</v>
      </c>
    </row>
    <row r="2504" spans="2:9">
      <c r="B2504">
        <f>'2020_5-2-2_Download'!B16</f>
        <v>155</v>
      </c>
      <c r="C2504">
        <f>'2020_5-2-2_Download'!$AM$5</f>
        <v>2015</v>
      </c>
      <c r="D2504" t="str">
        <f>VLOOKUP(B2504,[1]Tabelle1!$A$1:$B$68,2,FALSE)</f>
        <v>Northeim</v>
      </c>
      <c r="F2504" t="str">
        <f>'2020_5-2-2_Download'!$AQ$7</f>
        <v>mittel</v>
      </c>
      <c r="G2504" t="s">
        <v>362</v>
      </c>
      <c r="H2504" t="str">
        <f>VLOOKUP(B2504,[2]Kreise!$A$2:$C$53,3,FALSE)</f>
        <v>K03155</v>
      </c>
      <c r="I2504">
        <f>'2020_5-2-2_Download'!AQ16</f>
        <v>51.169590643274852</v>
      </c>
    </row>
    <row r="2505" spans="2:9">
      <c r="B2505">
        <f>'2020_5-2-2_Download'!B17</f>
        <v>157</v>
      </c>
      <c r="C2505">
        <f>'2020_5-2-2_Download'!$AM$5</f>
        <v>2015</v>
      </c>
      <c r="D2505" t="str">
        <f>VLOOKUP(B2505,[1]Tabelle1!$A$1:$B$68,2,FALSE)</f>
        <v>Peine</v>
      </c>
      <c r="F2505" t="str">
        <f>'2020_5-2-2_Download'!$AQ$7</f>
        <v>mittel</v>
      </c>
      <c r="G2505" t="s">
        <v>362</v>
      </c>
      <c r="H2505" t="str">
        <f>VLOOKUP(B2505,[2]Kreise!$A$2:$C$53,3,FALSE)</f>
        <v>K03157</v>
      </c>
      <c r="I2505">
        <f>'2020_5-2-2_Download'!AQ17</f>
        <v>35.709818636647903</v>
      </c>
    </row>
    <row r="2506" spans="2:9">
      <c r="B2506">
        <f>'2020_5-2-2_Download'!B18</f>
        <v>158</v>
      </c>
      <c r="C2506">
        <f>'2020_5-2-2_Download'!$AM$5</f>
        <v>2015</v>
      </c>
      <c r="D2506" t="str">
        <f>VLOOKUP(B2506,[1]Tabelle1!$A$1:$B$68,2,FALSE)</f>
        <v>Wolfenbüttel</v>
      </c>
      <c r="F2506" t="str">
        <f>'2020_5-2-2_Download'!$AQ$7</f>
        <v>mittel</v>
      </c>
      <c r="G2506" t="s">
        <v>362</v>
      </c>
      <c r="H2506" t="str">
        <f>VLOOKUP(B2506,[2]Kreise!$A$2:$C$53,3,FALSE)</f>
        <v>K03158</v>
      </c>
      <c r="I2506">
        <f>'2020_5-2-2_Download'!AQ18</f>
        <v>42.93785310734463</v>
      </c>
    </row>
    <row r="2507" spans="2:9">
      <c r="B2507">
        <f>'2020_5-2-2_Download'!B19</f>
        <v>159</v>
      </c>
      <c r="C2507">
        <f>'2020_5-2-2_Download'!$AM$5</f>
        <v>2015</v>
      </c>
      <c r="D2507" t="str">
        <f>VLOOKUP(B2507,[1]Tabelle1!$A$1:$B$68,2,FALSE)</f>
        <v>Göttingen</v>
      </c>
      <c r="F2507" t="str">
        <f>'2020_5-2-2_Download'!$AQ$7</f>
        <v>mittel</v>
      </c>
      <c r="G2507" t="s">
        <v>362</v>
      </c>
      <c r="H2507" t="str">
        <f>VLOOKUP(B2507,[2]Kreise!$A$2:$C$53,3,FALSE)</f>
        <v>K03159</v>
      </c>
      <c r="I2507">
        <f>'2020_5-2-2_Download'!AQ19</f>
        <v>18.040336668254724</v>
      </c>
    </row>
    <row r="2508" spans="2:9">
      <c r="B2508">
        <f>'2020_5-2-2_Download'!B20</f>
        <v>1</v>
      </c>
      <c r="C2508">
        <f>'2020_5-2-2_Download'!$AM$5</f>
        <v>2015</v>
      </c>
      <c r="D2508" t="str">
        <f>VLOOKUP(B2508,[1]Tabelle1!$A$1:$B$68,2,FALSE)</f>
        <v>Stat. Region Braunschweig</v>
      </c>
      <c r="F2508" t="str">
        <f>'2020_5-2-2_Download'!$AQ$7</f>
        <v>mittel</v>
      </c>
      <c r="G2508" t="s">
        <v>362</v>
      </c>
      <c r="H2508" t="str">
        <f>VLOOKUP(B2508,[2]Kreise!$A$2:$C$53,3,FALSE)</f>
        <v>K031</v>
      </c>
      <c r="I2508">
        <f>'2020_5-2-2_Download'!AQ20</f>
        <v>34.15500072160485</v>
      </c>
    </row>
    <row r="2509" spans="2:9">
      <c r="B2509">
        <f>'2020_5-2-2_Download'!B21</f>
        <v>241</v>
      </c>
      <c r="C2509">
        <f>'2020_5-2-2_Download'!$AM$5</f>
        <v>2015</v>
      </c>
      <c r="D2509" t="str">
        <f>VLOOKUP(B2509,[1]Tabelle1!$A$1:$B$68,2,FALSE)</f>
        <v>Hannover  Region</v>
      </c>
      <c r="F2509" t="str">
        <f>'2020_5-2-2_Download'!$AQ$7</f>
        <v>mittel</v>
      </c>
      <c r="G2509" t="s">
        <v>362</v>
      </c>
      <c r="H2509" t="str">
        <f>VLOOKUP(B2509,[2]Kreise!$A$2:$C$53,3,FALSE)</f>
        <v>K03241</v>
      </c>
      <c r="I2509">
        <f>'2020_5-2-2_Download'!AQ21</f>
        <v>33.599550319694593</v>
      </c>
    </row>
    <row r="2510" spans="2:9">
      <c r="B2510">
        <f>'2020_5-2-2_Download'!B22</f>
        <v>241001</v>
      </c>
      <c r="C2510">
        <f>'2020_5-2-2_Download'!$AM$5</f>
        <v>2015</v>
      </c>
      <c r="D2510" t="str">
        <f>VLOOKUP(B2510,[1]Tabelle1!$A$1:$B$68,2,FALSE)</f>
        <v>dav. Hannover  Lhst.</v>
      </c>
      <c r="F2510" t="str">
        <f>'2020_5-2-2_Download'!$AQ$7</f>
        <v>mittel</v>
      </c>
      <c r="G2510" t="s">
        <v>362</v>
      </c>
      <c r="H2510" t="str">
        <f>VLOOKUP(B2510,[2]Kreise!$A$2:$C$53,3,FALSE)</f>
        <v>K03241001</v>
      </c>
      <c r="I2510">
        <f>'2020_5-2-2_Download'!AQ22</f>
        <v>32.613791414477141</v>
      </c>
    </row>
    <row r="2511" spans="2:9">
      <c r="B2511">
        <f>'2020_5-2-2_Download'!B23</f>
        <v>241999</v>
      </c>
      <c r="C2511">
        <f>'2020_5-2-2_Download'!$AM$5</f>
        <v>2015</v>
      </c>
      <c r="D2511" t="str">
        <f>VLOOKUP(B2511,[1]Tabelle1!$A$1:$B$68,2,FALSE)</f>
        <v>dav. Hannover  Umland</v>
      </c>
      <c r="F2511" t="str">
        <f>'2020_5-2-2_Download'!$AQ$7</f>
        <v>mittel</v>
      </c>
      <c r="G2511" t="s">
        <v>362</v>
      </c>
      <c r="H2511" t="str">
        <f>VLOOKUP(B2511,[2]Kreise!$A$2:$C$53,3,FALSE)</f>
        <v>K03241999</v>
      </c>
      <c r="I2511">
        <f>'2020_5-2-2_Download'!AQ23</f>
        <v>35.595862264418308</v>
      </c>
    </row>
    <row r="2512" spans="2:9">
      <c r="B2512">
        <f>'2020_5-2-2_Download'!B24</f>
        <v>251</v>
      </c>
      <c r="C2512">
        <f>'2020_5-2-2_Download'!$AM$5</f>
        <v>2015</v>
      </c>
      <c r="D2512" t="str">
        <f>VLOOKUP(B2512,[1]Tabelle1!$A$1:$B$68,2,FALSE)</f>
        <v>Diepholz</v>
      </c>
      <c r="F2512" t="str">
        <f>'2020_5-2-2_Download'!$AQ$7</f>
        <v>mittel</v>
      </c>
      <c r="G2512" t="s">
        <v>362</v>
      </c>
      <c r="H2512" t="str">
        <f>VLOOKUP(B2512,[2]Kreise!$A$2:$C$53,3,FALSE)</f>
        <v>K03251</v>
      </c>
      <c r="I2512">
        <f>'2020_5-2-2_Download'!AQ24</f>
        <v>32.002115842369747</v>
      </c>
    </row>
    <row r="2513" spans="2:9">
      <c r="B2513">
        <f>'2020_5-2-2_Download'!B25</f>
        <v>252</v>
      </c>
      <c r="C2513">
        <f>'2020_5-2-2_Download'!$AM$5</f>
        <v>2015</v>
      </c>
      <c r="D2513" t="str">
        <f>VLOOKUP(B2513,[1]Tabelle1!$A$1:$B$68,2,FALSE)</f>
        <v>Hameln-Pyrmont</v>
      </c>
      <c r="F2513" t="str">
        <f>'2020_5-2-2_Download'!$AQ$7</f>
        <v>mittel</v>
      </c>
      <c r="G2513" t="s">
        <v>362</v>
      </c>
      <c r="H2513" t="str">
        <f>VLOOKUP(B2513,[2]Kreise!$A$2:$C$53,3,FALSE)</f>
        <v>K03252</v>
      </c>
      <c r="I2513">
        <f>'2020_5-2-2_Download'!AQ25</f>
        <v>38.944723618090457</v>
      </c>
    </row>
    <row r="2514" spans="2:9">
      <c r="B2514">
        <f>'2020_5-2-2_Download'!B26</f>
        <v>254</v>
      </c>
      <c r="C2514">
        <f>'2020_5-2-2_Download'!$AM$5</f>
        <v>2015</v>
      </c>
      <c r="D2514" t="str">
        <f>VLOOKUP(B2514,[1]Tabelle1!$A$1:$B$68,2,FALSE)</f>
        <v>Hildesheim</v>
      </c>
      <c r="F2514" t="str">
        <f>'2020_5-2-2_Download'!$AQ$7</f>
        <v>mittel</v>
      </c>
      <c r="G2514" t="s">
        <v>362</v>
      </c>
      <c r="H2514" t="str">
        <f>VLOOKUP(B2514,[2]Kreise!$A$2:$C$53,3,FALSE)</f>
        <v>K03254</v>
      </c>
      <c r="I2514">
        <f>'2020_5-2-2_Download'!AQ26</f>
        <v>38.618727366787375</v>
      </c>
    </row>
    <row r="2515" spans="2:9">
      <c r="B2515">
        <f>'2020_5-2-2_Download'!B27</f>
        <v>255</v>
      </c>
      <c r="C2515">
        <f>'2020_5-2-2_Download'!$AM$5</f>
        <v>2015</v>
      </c>
      <c r="D2515" t="str">
        <f>VLOOKUP(B2515,[1]Tabelle1!$A$1:$B$68,2,FALSE)</f>
        <v>Holzminden</v>
      </c>
      <c r="F2515" t="str">
        <f>'2020_5-2-2_Download'!$AQ$7</f>
        <v>mittel</v>
      </c>
      <c r="G2515" t="s">
        <v>362</v>
      </c>
      <c r="H2515" t="str">
        <f>VLOOKUP(B2515,[2]Kreise!$A$2:$C$53,3,FALSE)</f>
        <v>K03255</v>
      </c>
      <c r="I2515">
        <f>'2020_5-2-2_Download'!AQ27</f>
        <v>36.192714453584017</v>
      </c>
    </row>
    <row r="2516" spans="2:9">
      <c r="B2516">
        <f>'2020_5-2-2_Download'!B28</f>
        <v>256</v>
      </c>
      <c r="C2516">
        <f>'2020_5-2-2_Download'!$AM$5</f>
        <v>2015</v>
      </c>
      <c r="D2516" t="str">
        <f>VLOOKUP(B2516,[1]Tabelle1!$A$1:$B$68,2,FALSE)</f>
        <v>Nienburg (Weser)</v>
      </c>
      <c r="F2516" t="str">
        <f>'2020_5-2-2_Download'!$AQ$7</f>
        <v>mittel</v>
      </c>
      <c r="G2516" t="s">
        <v>362</v>
      </c>
      <c r="H2516" t="str">
        <f>VLOOKUP(B2516,[2]Kreise!$A$2:$C$53,3,FALSE)</f>
        <v>K03256</v>
      </c>
      <c r="I2516">
        <f>'2020_5-2-2_Download'!AQ28</f>
        <v>29.587831207065751</v>
      </c>
    </row>
    <row r="2517" spans="2:9">
      <c r="B2517">
        <f>'2020_5-2-2_Download'!B29</f>
        <v>257</v>
      </c>
      <c r="C2517">
        <f>'2020_5-2-2_Download'!$AM$5</f>
        <v>2015</v>
      </c>
      <c r="D2517" t="str">
        <f>VLOOKUP(B2517,[1]Tabelle1!$A$1:$B$68,2,FALSE)</f>
        <v>Schaumburg</v>
      </c>
      <c r="F2517" t="str">
        <f>'2020_5-2-2_Download'!$AQ$7</f>
        <v>mittel</v>
      </c>
      <c r="G2517" t="s">
        <v>362</v>
      </c>
      <c r="H2517" t="str">
        <f>VLOOKUP(B2517,[2]Kreise!$A$2:$C$53,3,FALSE)</f>
        <v>K03257</v>
      </c>
      <c r="I2517">
        <f>'2020_5-2-2_Download'!AQ29</f>
        <v>39.851916376306619</v>
      </c>
    </row>
    <row r="2518" spans="2:9">
      <c r="B2518">
        <f>'2020_5-2-2_Download'!B30</f>
        <v>2</v>
      </c>
      <c r="C2518">
        <f>'2020_5-2-2_Download'!$AM$5</f>
        <v>2015</v>
      </c>
      <c r="D2518" t="str">
        <f>VLOOKUP(B2518,[1]Tabelle1!$A$1:$B$68,2,FALSE)</f>
        <v>Stat. Region Hannover</v>
      </c>
      <c r="F2518" t="str">
        <f>'2020_5-2-2_Download'!$AQ$7</f>
        <v>mittel</v>
      </c>
      <c r="G2518" t="s">
        <v>362</v>
      </c>
      <c r="H2518" t="str">
        <f>VLOOKUP(B2518,[2]Kreise!$A$2:$C$53,3,FALSE)</f>
        <v>K032</v>
      </c>
      <c r="I2518">
        <f>'2020_5-2-2_Download'!AQ30</f>
        <v>34.227900197204839</v>
      </c>
    </row>
    <row r="2519" spans="2:9">
      <c r="B2519">
        <f>'2020_5-2-2_Download'!B31</f>
        <v>351</v>
      </c>
      <c r="C2519">
        <f>'2020_5-2-2_Download'!$AM$5</f>
        <v>2015</v>
      </c>
      <c r="D2519" t="str">
        <f>VLOOKUP(B2519,[1]Tabelle1!$A$1:$B$68,2,FALSE)</f>
        <v>Celle</v>
      </c>
      <c r="F2519" t="str">
        <f>'2020_5-2-2_Download'!$AQ$7</f>
        <v>mittel</v>
      </c>
      <c r="G2519" t="s">
        <v>362</v>
      </c>
      <c r="H2519" t="str">
        <f>VLOOKUP(B2519,[2]Kreise!$A$2:$C$53,3,FALSE)</f>
        <v>K03351</v>
      </c>
      <c r="I2519">
        <f>'2020_5-2-2_Download'!AQ31</f>
        <v>35.063437139561707</v>
      </c>
    </row>
    <row r="2520" spans="2:9">
      <c r="B2520">
        <f>'2020_5-2-2_Download'!B32</f>
        <v>352</v>
      </c>
      <c r="C2520">
        <f>'2020_5-2-2_Download'!$AM$5</f>
        <v>2015</v>
      </c>
      <c r="D2520" t="str">
        <f>VLOOKUP(B2520,[1]Tabelle1!$A$1:$B$68,2,FALSE)</f>
        <v>Cuxhaven</v>
      </c>
      <c r="F2520" t="str">
        <f>'2020_5-2-2_Download'!$AQ$7</f>
        <v>mittel</v>
      </c>
      <c r="G2520" t="s">
        <v>362</v>
      </c>
      <c r="H2520" t="str">
        <f>VLOOKUP(B2520,[2]Kreise!$A$2:$C$53,3,FALSE)</f>
        <v>K03352</v>
      </c>
      <c r="I2520">
        <f>'2020_5-2-2_Download'!AQ32</f>
        <v>30.156037991858888</v>
      </c>
    </row>
    <row r="2521" spans="2:9">
      <c r="B2521">
        <f>'2020_5-2-2_Download'!B33</f>
        <v>353</v>
      </c>
      <c r="C2521">
        <f>'2020_5-2-2_Download'!$AM$5</f>
        <v>2015</v>
      </c>
      <c r="D2521" t="str">
        <f>VLOOKUP(B2521,[1]Tabelle1!$A$1:$B$68,2,FALSE)</f>
        <v>Harburg</v>
      </c>
      <c r="F2521" t="str">
        <f>'2020_5-2-2_Download'!$AQ$7</f>
        <v>mittel</v>
      </c>
      <c r="G2521" t="s">
        <v>362</v>
      </c>
      <c r="H2521" t="str">
        <f>VLOOKUP(B2521,[2]Kreise!$A$2:$C$53,3,FALSE)</f>
        <v>K03353</v>
      </c>
      <c r="I2521">
        <f>'2020_5-2-2_Download'!AQ33</f>
        <v>30.031236055332439</v>
      </c>
    </row>
    <row r="2522" spans="2:9">
      <c r="B2522">
        <f>'2020_5-2-2_Download'!B34</f>
        <v>354</v>
      </c>
      <c r="C2522">
        <f>'2020_5-2-2_Download'!$AM$5</f>
        <v>2015</v>
      </c>
      <c r="D2522" t="str">
        <f>VLOOKUP(B2522,[1]Tabelle1!$A$1:$B$68,2,FALSE)</f>
        <v>Lüchow-Dannenberg</v>
      </c>
      <c r="F2522" t="str">
        <f>'2020_5-2-2_Download'!$AQ$7</f>
        <v>mittel</v>
      </c>
      <c r="G2522" t="s">
        <v>362</v>
      </c>
      <c r="H2522" t="str">
        <f>VLOOKUP(B2522,[2]Kreise!$A$2:$C$53,3,FALSE)</f>
        <v>K03354</v>
      </c>
      <c r="I2522">
        <f>'2020_5-2-2_Download'!AQ34</f>
        <v>24.642289348171701</v>
      </c>
    </row>
    <row r="2523" spans="2:9">
      <c r="B2523">
        <f>'2020_5-2-2_Download'!B35</f>
        <v>355</v>
      </c>
      <c r="C2523">
        <f>'2020_5-2-2_Download'!$AM$5</f>
        <v>2015</v>
      </c>
      <c r="D2523" t="str">
        <f>VLOOKUP(B2523,[1]Tabelle1!$A$1:$B$68,2,FALSE)</f>
        <v>Lüneburg</v>
      </c>
      <c r="F2523" t="str">
        <f>'2020_5-2-2_Download'!$AQ$7</f>
        <v>mittel</v>
      </c>
      <c r="G2523" t="s">
        <v>362</v>
      </c>
      <c r="H2523" t="str">
        <f>VLOOKUP(B2523,[2]Kreise!$A$2:$C$53,3,FALSE)</f>
        <v>K03355</v>
      </c>
      <c r="I2523">
        <f>'2020_5-2-2_Download'!AQ35</f>
        <v>34.084019055868339</v>
      </c>
    </row>
    <row r="2524" spans="2:9">
      <c r="B2524">
        <f>'2020_5-2-2_Download'!B36</f>
        <v>356</v>
      </c>
      <c r="C2524">
        <f>'2020_5-2-2_Download'!$AM$5</f>
        <v>2015</v>
      </c>
      <c r="D2524" t="str">
        <f>VLOOKUP(B2524,[1]Tabelle1!$A$1:$B$68,2,FALSE)</f>
        <v>Osterholz</v>
      </c>
      <c r="F2524" t="str">
        <f>'2020_5-2-2_Download'!$AQ$7</f>
        <v>mittel</v>
      </c>
      <c r="G2524" t="s">
        <v>362</v>
      </c>
      <c r="H2524" t="str">
        <f>VLOOKUP(B2524,[2]Kreise!$A$2:$C$53,3,FALSE)</f>
        <v>K03356</v>
      </c>
      <c r="I2524">
        <f>'2020_5-2-2_Download'!AQ36</f>
        <v>37.950664136622393</v>
      </c>
    </row>
    <row r="2525" spans="2:9">
      <c r="B2525">
        <f>'2020_5-2-2_Download'!B37</f>
        <v>357</v>
      </c>
      <c r="C2525">
        <f>'2020_5-2-2_Download'!$AM$5</f>
        <v>2015</v>
      </c>
      <c r="D2525" t="str">
        <f>VLOOKUP(B2525,[1]Tabelle1!$A$1:$B$68,2,FALSE)</f>
        <v>Rotenburg (Wümme)</v>
      </c>
      <c r="F2525" t="str">
        <f>'2020_5-2-2_Download'!$AQ$7</f>
        <v>mittel</v>
      </c>
      <c r="G2525" t="s">
        <v>362</v>
      </c>
      <c r="H2525" t="str">
        <f>VLOOKUP(B2525,[2]Kreise!$A$2:$C$53,3,FALSE)</f>
        <v>K03357</v>
      </c>
      <c r="I2525">
        <f>'2020_5-2-2_Download'!AQ37</f>
        <v>31.942575145805296</v>
      </c>
    </row>
    <row r="2526" spans="2:9">
      <c r="B2526">
        <f>'2020_5-2-2_Download'!B38</f>
        <v>358</v>
      </c>
      <c r="C2526">
        <f>'2020_5-2-2_Download'!$AM$5</f>
        <v>2015</v>
      </c>
      <c r="D2526" t="str">
        <f>VLOOKUP(B2526,[1]Tabelle1!$A$1:$B$68,2,FALSE)</f>
        <v>Heidekreis</v>
      </c>
      <c r="F2526" t="str">
        <f>'2020_5-2-2_Download'!$AQ$7</f>
        <v>mittel</v>
      </c>
      <c r="G2526" t="s">
        <v>362</v>
      </c>
      <c r="H2526" t="str">
        <f>VLOOKUP(B2526,[2]Kreise!$A$2:$C$53,3,FALSE)</f>
        <v>K03358</v>
      </c>
      <c r="I2526">
        <f>'2020_5-2-2_Download'!AQ38</f>
        <v>37.721417069243159</v>
      </c>
    </row>
    <row r="2527" spans="2:9">
      <c r="B2527">
        <f>'2020_5-2-2_Download'!B39</f>
        <v>359</v>
      </c>
      <c r="C2527">
        <f>'2020_5-2-2_Download'!$AM$5</f>
        <v>2015</v>
      </c>
      <c r="D2527" t="str">
        <f>VLOOKUP(B2527,[1]Tabelle1!$A$1:$B$68,2,FALSE)</f>
        <v>Stade</v>
      </c>
      <c r="F2527" t="str">
        <f>'2020_5-2-2_Download'!$AQ$7</f>
        <v>mittel</v>
      </c>
      <c r="G2527" t="s">
        <v>362</v>
      </c>
      <c r="H2527" t="str">
        <f>VLOOKUP(B2527,[2]Kreise!$A$2:$C$53,3,FALSE)</f>
        <v>K03359</v>
      </c>
      <c r="I2527">
        <f>'2020_5-2-2_Download'!AQ39</f>
        <v>25.066153476064468</v>
      </c>
    </row>
    <row r="2528" spans="2:9">
      <c r="B2528">
        <f>'2020_5-2-2_Download'!B40</f>
        <v>360</v>
      </c>
      <c r="C2528">
        <f>'2020_5-2-2_Download'!$AM$5</f>
        <v>2015</v>
      </c>
      <c r="D2528" t="str">
        <f>VLOOKUP(B2528,[1]Tabelle1!$A$1:$B$68,2,FALSE)</f>
        <v>Uelzen</v>
      </c>
      <c r="F2528" t="str">
        <f>'2020_5-2-2_Download'!$AQ$7</f>
        <v>mittel</v>
      </c>
      <c r="G2528" t="s">
        <v>362</v>
      </c>
      <c r="H2528" t="str">
        <f>VLOOKUP(B2528,[2]Kreise!$A$2:$C$53,3,FALSE)</f>
        <v>K03360</v>
      </c>
      <c r="I2528">
        <f>'2020_5-2-2_Download'!AQ40</f>
        <v>33.991683991683992</v>
      </c>
    </row>
    <row r="2529" spans="2:9">
      <c r="B2529">
        <f>'2020_5-2-2_Download'!B41</f>
        <v>361</v>
      </c>
      <c r="C2529">
        <f>'2020_5-2-2_Download'!$AM$5</f>
        <v>2015</v>
      </c>
      <c r="D2529" t="str">
        <f>VLOOKUP(B2529,[1]Tabelle1!$A$1:$B$68,2,FALSE)</f>
        <v>Verden</v>
      </c>
      <c r="F2529" t="str">
        <f>'2020_5-2-2_Download'!$AQ$7</f>
        <v>mittel</v>
      </c>
      <c r="G2529" t="s">
        <v>362</v>
      </c>
      <c r="H2529" t="str">
        <f>VLOOKUP(B2529,[2]Kreise!$A$2:$C$53,3,FALSE)</f>
        <v>K03361</v>
      </c>
      <c r="I2529">
        <f>'2020_5-2-2_Download'!AQ41</f>
        <v>31.300813008130078</v>
      </c>
    </row>
    <row r="2530" spans="2:9">
      <c r="B2530">
        <f>'2020_5-2-2_Download'!B42</f>
        <v>3</v>
      </c>
      <c r="C2530">
        <f>'2020_5-2-2_Download'!$AM$5</f>
        <v>2015</v>
      </c>
      <c r="D2530" t="str">
        <f>VLOOKUP(B2530,[1]Tabelle1!$A$1:$B$68,2,FALSE)</f>
        <v>Stat. Region Lüneburg</v>
      </c>
      <c r="F2530" t="str">
        <f>'2020_5-2-2_Download'!$AQ$7</f>
        <v>mittel</v>
      </c>
      <c r="G2530" t="s">
        <v>362</v>
      </c>
      <c r="H2530" t="str">
        <f>VLOOKUP(B2530,[2]Kreise!$A$2:$C$53,3,FALSE)</f>
        <v>K033</v>
      </c>
      <c r="I2530">
        <f>'2020_5-2-2_Download'!AQ42</f>
        <v>31.45212906140582</v>
      </c>
    </row>
    <row r="2531" spans="2:9">
      <c r="B2531">
        <f>'2020_5-2-2_Download'!B43</f>
        <v>401</v>
      </c>
      <c r="C2531">
        <f>'2020_5-2-2_Download'!$AM$5</f>
        <v>2015</v>
      </c>
      <c r="D2531" t="str">
        <f>VLOOKUP(B2531,[1]Tabelle1!$A$1:$B$68,2,FALSE)</f>
        <v>Delmenhorst  Stadt</v>
      </c>
      <c r="F2531" t="str">
        <f>'2020_5-2-2_Download'!$AQ$7</f>
        <v>mittel</v>
      </c>
      <c r="G2531" t="s">
        <v>362</v>
      </c>
      <c r="H2531" t="str">
        <f>VLOOKUP(B2531,[2]Kreise!$A$2:$C$53,3,FALSE)</f>
        <v>K03401</v>
      </c>
      <c r="I2531">
        <f>'2020_5-2-2_Download'!AQ43</f>
        <v>28.412017167381975</v>
      </c>
    </row>
    <row r="2532" spans="2:9">
      <c r="B2532">
        <f>'2020_5-2-2_Download'!B44</f>
        <v>402</v>
      </c>
      <c r="C2532">
        <f>'2020_5-2-2_Download'!$AM$5</f>
        <v>2015</v>
      </c>
      <c r="D2532" t="str">
        <f>VLOOKUP(B2532,[1]Tabelle1!$A$1:$B$68,2,FALSE)</f>
        <v>Emden  Stadt</v>
      </c>
      <c r="F2532" t="str">
        <f>'2020_5-2-2_Download'!$AQ$7</f>
        <v>mittel</v>
      </c>
      <c r="G2532" t="s">
        <v>362</v>
      </c>
      <c r="H2532" t="str">
        <f>VLOOKUP(B2532,[2]Kreise!$A$2:$C$53,3,FALSE)</f>
        <v>K03402</v>
      </c>
      <c r="I2532">
        <f>'2020_5-2-2_Download'!AQ44</f>
        <v>40.942269409422693</v>
      </c>
    </row>
    <row r="2533" spans="2:9">
      <c r="B2533">
        <f>'2020_5-2-2_Download'!B45</f>
        <v>403</v>
      </c>
      <c r="C2533">
        <f>'2020_5-2-2_Download'!$AM$5</f>
        <v>2015</v>
      </c>
      <c r="D2533" t="str">
        <f>VLOOKUP(B2533,[1]Tabelle1!$A$1:$B$68,2,FALSE)</f>
        <v>Oldenburg(Oldb)  Stadt</v>
      </c>
      <c r="F2533" t="str">
        <f>'2020_5-2-2_Download'!$AQ$7</f>
        <v>mittel</v>
      </c>
      <c r="G2533" t="s">
        <v>362</v>
      </c>
      <c r="H2533" t="str">
        <f>VLOOKUP(B2533,[2]Kreise!$A$2:$C$53,3,FALSE)</f>
        <v>K03403</v>
      </c>
      <c r="I2533">
        <f>'2020_5-2-2_Download'!AQ45</f>
        <v>28.795328826060235</v>
      </c>
    </row>
    <row r="2534" spans="2:9">
      <c r="B2534">
        <f>'2020_5-2-2_Download'!B46</f>
        <v>404</v>
      </c>
      <c r="C2534">
        <f>'2020_5-2-2_Download'!$AM$5</f>
        <v>2015</v>
      </c>
      <c r="D2534" t="str">
        <f>VLOOKUP(B2534,[1]Tabelle1!$A$1:$B$68,2,FALSE)</f>
        <v>Osnabrück  Stadt</v>
      </c>
      <c r="F2534" t="str">
        <f>'2020_5-2-2_Download'!$AQ$7</f>
        <v>mittel</v>
      </c>
      <c r="G2534" t="s">
        <v>362</v>
      </c>
      <c r="H2534" t="str">
        <f>VLOOKUP(B2534,[2]Kreise!$A$2:$C$53,3,FALSE)</f>
        <v>K03404</v>
      </c>
      <c r="I2534">
        <f>'2020_5-2-2_Download'!AQ46</f>
        <v>32.708628005657708</v>
      </c>
    </row>
    <row r="2535" spans="2:9">
      <c r="B2535">
        <f>'2020_5-2-2_Download'!B47</f>
        <v>405</v>
      </c>
      <c r="C2535">
        <f>'2020_5-2-2_Download'!$AM$5</f>
        <v>2015</v>
      </c>
      <c r="D2535" t="str">
        <f>VLOOKUP(B2535,[1]Tabelle1!$A$1:$B$68,2,FALSE)</f>
        <v>Wilhelmshaven  Stadt</v>
      </c>
      <c r="F2535" t="str">
        <f>'2020_5-2-2_Download'!$AQ$7</f>
        <v>mittel</v>
      </c>
      <c r="G2535" t="s">
        <v>362</v>
      </c>
      <c r="H2535" t="str">
        <f>VLOOKUP(B2535,[2]Kreise!$A$2:$C$53,3,FALSE)</f>
        <v>K03405</v>
      </c>
      <c r="I2535">
        <f>'2020_5-2-2_Download'!AQ47</f>
        <v>33.333333333333329</v>
      </c>
    </row>
    <row r="2536" spans="2:9">
      <c r="B2536">
        <f>'2020_5-2-2_Download'!B48</f>
        <v>451</v>
      </c>
      <c r="C2536">
        <f>'2020_5-2-2_Download'!$AM$5</f>
        <v>2015</v>
      </c>
      <c r="D2536" t="str">
        <f>VLOOKUP(B2536,[1]Tabelle1!$A$1:$B$68,2,FALSE)</f>
        <v>Ammerland</v>
      </c>
      <c r="F2536" t="str">
        <f>'2020_5-2-2_Download'!$AQ$7</f>
        <v>mittel</v>
      </c>
      <c r="G2536" t="s">
        <v>362</v>
      </c>
      <c r="H2536" t="str">
        <f>VLOOKUP(B2536,[2]Kreise!$A$2:$C$53,3,FALSE)</f>
        <v>K03451</v>
      </c>
      <c r="I2536">
        <f>'2020_5-2-2_Download'!AQ48</f>
        <v>27.057302886686774</v>
      </c>
    </row>
    <row r="2537" spans="2:9">
      <c r="B2537">
        <f>'2020_5-2-2_Download'!B49</f>
        <v>452</v>
      </c>
      <c r="C2537">
        <f>'2020_5-2-2_Download'!$AM$5</f>
        <v>2015</v>
      </c>
      <c r="D2537" t="str">
        <f>VLOOKUP(B2537,[1]Tabelle1!$A$1:$B$68,2,FALSE)</f>
        <v>Aurich</v>
      </c>
      <c r="F2537" t="str">
        <f>'2020_5-2-2_Download'!$AQ$7</f>
        <v>mittel</v>
      </c>
      <c r="G2537" t="s">
        <v>362</v>
      </c>
      <c r="H2537" t="str">
        <f>VLOOKUP(B2537,[2]Kreise!$A$2:$C$53,3,FALSE)</f>
        <v>K03452</v>
      </c>
      <c r="I2537">
        <f>'2020_5-2-2_Download'!AQ49</f>
        <v>30.609679446888748</v>
      </c>
    </row>
    <row r="2538" spans="2:9">
      <c r="B2538">
        <f>'2020_5-2-2_Download'!B50</f>
        <v>453</v>
      </c>
      <c r="C2538">
        <f>'2020_5-2-2_Download'!$AM$5</f>
        <v>2015</v>
      </c>
      <c r="D2538" t="str">
        <f>VLOOKUP(B2538,[1]Tabelle1!$A$1:$B$68,2,FALSE)</f>
        <v>Cloppenburg</v>
      </c>
      <c r="F2538" t="str">
        <f>'2020_5-2-2_Download'!$AQ$7</f>
        <v>mittel</v>
      </c>
      <c r="G2538" t="s">
        <v>362</v>
      </c>
      <c r="H2538" t="str">
        <f>VLOOKUP(B2538,[2]Kreise!$A$2:$C$53,3,FALSE)</f>
        <v>K03453</v>
      </c>
      <c r="I2538">
        <f>'2020_5-2-2_Download'!AQ50</f>
        <v>21.32655057718646</v>
      </c>
    </row>
    <row r="2539" spans="2:9">
      <c r="B2539">
        <f>'2020_5-2-2_Download'!B51</f>
        <v>454</v>
      </c>
      <c r="C2539">
        <f>'2020_5-2-2_Download'!$AM$5</f>
        <v>2015</v>
      </c>
      <c r="D2539" t="str">
        <f>VLOOKUP(B2539,[1]Tabelle1!$A$1:$B$68,2,FALSE)</f>
        <v>Emsland</v>
      </c>
      <c r="F2539" t="str">
        <f>'2020_5-2-2_Download'!$AQ$7</f>
        <v>mittel</v>
      </c>
      <c r="G2539" t="s">
        <v>362</v>
      </c>
      <c r="H2539" t="str">
        <f>VLOOKUP(B2539,[2]Kreise!$A$2:$C$53,3,FALSE)</f>
        <v>K03454</v>
      </c>
      <c r="I2539">
        <f>'2020_5-2-2_Download'!AQ51</f>
        <v>30.214075118574542</v>
      </c>
    </row>
    <row r="2540" spans="2:9">
      <c r="B2540">
        <f>'2020_5-2-2_Download'!B52</f>
        <v>455</v>
      </c>
      <c r="C2540">
        <f>'2020_5-2-2_Download'!$AM$5</f>
        <v>2015</v>
      </c>
      <c r="D2540" t="str">
        <f>VLOOKUP(B2540,[1]Tabelle1!$A$1:$B$68,2,FALSE)</f>
        <v>Friesland</v>
      </c>
      <c r="F2540" t="str">
        <f>'2020_5-2-2_Download'!$AQ$7</f>
        <v>mittel</v>
      </c>
      <c r="G2540" t="s">
        <v>362</v>
      </c>
      <c r="H2540" t="str">
        <f>VLOOKUP(B2540,[2]Kreise!$A$2:$C$53,3,FALSE)</f>
        <v>K03455</v>
      </c>
      <c r="I2540">
        <f>'2020_5-2-2_Download'!AQ52</f>
        <v>30.905306971904267</v>
      </c>
    </row>
    <row r="2541" spans="2:9">
      <c r="B2541">
        <f>'2020_5-2-2_Download'!B53</f>
        <v>456</v>
      </c>
      <c r="C2541">
        <f>'2020_5-2-2_Download'!$AM$5</f>
        <v>2015</v>
      </c>
      <c r="D2541" t="str">
        <f>VLOOKUP(B2541,[1]Tabelle1!$A$1:$B$68,2,FALSE)</f>
        <v>Grafschaft Bentheim</v>
      </c>
      <c r="F2541" t="str">
        <f>'2020_5-2-2_Download'!$AQ$7</f>
        <v>mittel</v>
      </c>
      <c r="G2541" t="s">
        <v>362</v>
      </c>
      <c r="H2541" t="str">
        <f>VLOOKUP(B2541,[2]Kreise!$A$2:$C$53,3,FALSE)</f>
        <v>K03456</v>
      </c>
      <c r="I2541">
        <f>'2020_5-2-2_Download'!AQ53</f>
        <v>39.73374295954941</v>
      </c>
    </row>
    <row r="2542" spans="2:9">
      <c r="B2542">
        <f>'2020_5-2-2_Download'!B54</f>
        <v>457</v>
      </c>
      <c r="C2542">
        <f>'2020_5-2-2_Download'!$AM$5</f>
        <v>2015</v>
      </c>
      <c r="D2542" t="str">
        <f>VLOOKUP(B2542,[1]Tabelle1!$A$1:$B$68,2,FALSE)</f>
        <v>Leer</v>
      </c>
      <c r="F2542" t="str">
        <f>'2020_5-2-2_Download'!$AQ$7</f>
        <v>mittel</v>
      </c>
      <c r="G2542" t="s">
        <v>362</v>
      </c>
      <c r="H2542" t="str">
        <f>VLOOKUP(B2542,[2]Kreise!$A$2:$C$53,3,FALSE)</f>
        <v>K03457</v>
      </c>
      <c r="I2542">
        <f>'2020_5-2-2_Download'!AQ54</f>
        <v>33.025830258302584</v>
      </c>
    </row>
    <row r="2543" spans="2:9">
      <c r="B2543">
        <f>'2020_5-2-2_Download'!B55</f>
        <v>458</v>
      </c>
      <c r="C2543">
        <f>'2020_5-2-2_Download'!$AM$5</f>
        <v>2015</v>
      </c>
      <c r="D2543" t="str">
        <f>VLOOKUP(B2543,[1]Tabelle1!$A$1:$B$68,2,FALSE)</f>
        <v>Oldenburg</v>
      </c>
      <c r="F2543" t="str">
        <f>'2020_5-2-2_Download'!$AQ$7</f>
        <v>mittel</v>
      </c>
      <c r="G2543" t="s">
        <v>362</v>
      </c>
      <c r="H2543" t="str">
        <f>VLOOKUP(B2543,[2]Kreise!$A$2:$C$53,3,FALSE)</f>
        <v>K03458</v>
      </c>
      <c r="I2543">
        <f>'2020_5-2-2_Download'!AQ55</f>
        <v>23.885658914728683</v>
      </c>
    </row>
    <row r="2544" spans="2:9">
      <c r="B2544">
        <f>'2020_5-2-2_Download'!B56</f>
        <v>459</v>
      </c>
      <c r="C2544">
        <f>'2020_5-2-2_Download'!$AM$5</f>
        <v>2015</v>
      </c>
      <c r="D2544" t="str">
        <f>VLOOKUP(B2544,[1]Tabelle1!$A$1:$B$68,2,FALSE)</f>
        <v>Osnabrück</v>
      </c>
      <c r="F2544" t="str">
        <f>'2020_5-2-2_Download'!$AQ$7</f>
        <v>mittel</v>
      </c>
      <c r="G2544" t="s">
        <v>362</v>
      </c>
      <c r="H2544" t="str">
        <f>VLOOKUP(B2544,[2]Kreise!$A$2:$C$53,3,FALSE)</f>
        <v>K03459</v>
      </c>
      <c r="I2544">
        <f>'2020_5-2-2_Download'!AQ56</f>
        <v>25.511093886251334</v>
      </c>
    </row>
    <row r="2545" spans="2:9">
      <c r="B2545">
        <f>'2020_5-2-2_Download'!B57</f>
        <v>460</v>
      </c>
      <c r="C2545">
        <f>'2020_5-2-2_Download'!$AM$5</f>
        <v>2015</v>
      </c>
      <c r="D2545" t="str">
        <f>VLOOKUP(B2545,[1]Tabelle1!$A$1:$B$68,2,FALSE)</f>
        <v>Vechta</v>
      </c>
      <c r="F2545" t="str">
        <f>'2020_5-2-2_Download'!$AQ$7</f>
        <v>mittel</v>
      </c>
      <c r="G2545" t="s">
        <v>362</v>
      </c>
      <c r="H2545" t="str">
        <f>VLOOKUP(B2545,[2]Kreise!$A$2:$C$53,3,FALSE)</f>
        <v>K03460</v>
      </c>
      <c r="I2545">
        <f>'2020_5-2-2_Download'!AQ57</f>
        <v>19.070385126162019</v>
      </c>
    </row>
    <row r="2546" spans="2:9">
      <c r="B2546">
        <f>'2020_5-2-2_Download'!B58</f>
        <v>461</v>
      </c>
      <c r="C2546">
        <f>'2020_5-2-2_Download'!$AM$5</f>
        <v>2015</v>
      </c>
      <c r="D2546" t="str">
        <f>VLOOKUP(B2546,[1]Tabelle1!$A$1:$B$68,2,FALSE)</f>
        <v>Wesermarsch</v>
      </c>
      <c r="F2546" t="str">
        <f>'2020_5-2-2_Download'!$AQ$7</f>
        <v>mittel</v>
      </c>
      <c r="G2546" t="s">
        <v>362</v>
      </c>
      <c r="H2546" t="str">
        <f>VLOOKUP(B2546,[2]Kreise!$A$2:$C$53,3,FALSE)</f>
        <v>K03461</v>
      </c>
      <c r="I2546">
        <f>'2020_5-2-2_Download'!AQ58</f>
        <v>40.580645161290327</v>
      </c>
    </row>
    <row r="2547" spans="2:9">
      <c r="B2547">
        <f>'2020_5-2-2_Download'!B59</f>
        <v>462</v>
      </c>
      <c r="C2547">
        <f>'2020_5-2-2_Download'!$AM$5</f>
        <v>2015</v>
      </c>
      <c r="D2547" t="str">
        <f>VLOOKUP(B2547,[1]Tabelle1!$A$1:$B$68,2,FALSE)</f>
        <v>Wittmund</v>
      </c>
      <c r="F2547" t="str">
        <f>'2020_5-2-2_Download'!$AQ$7</f>
        <v>mittel</v>
      </c>
      <c r="G2547" t="s">
        <v>362</v>
      </c>
      <c r="H2547" t="str">
        <f>VLOOKUP(B2547,[2]Kreise!$A$2:$C$53,3,FALSE)</f>
        <v>K03462</v>
      </c>
      <c r="I2547">
        <f>'2020_5-2-2_Download'!AQ59</f>
        <v>22.222222222222221</v>
      </c>
    </row>
    <row r="2548" spans="2:9">
      <c r="B2548">
        <f>'2020_5-2-2_Download'!B60</f>
        <v>4</v>
      </c>
      <c r="C2548">
        <f>'2020_5-2-2_Download'!$AM$5</f>
        <v>2015</v>
      </c>
      <c r="D2548" t="str">
        <f>VLOOKUP(B2548,[1]Tabelle1!$A$1:$B$68,2,FALSE)</f>
        <v>Stat. Region Weser-Ems</v>
      </c>
      <c r="F2548" t="str">
        <f>'2020_5-2-2_Download'!$AQ$7</f>
        <v>mittel</v>
      </c>
      <c r="G2548" t="s">
        <v>362</v>
      </c>
      <c r="H2548" t="str">
        <f>VLOOKUP(B2548,[2]Kreise!$A$2:$C$53,3,FALSE)</f>
        <v>K034</v>
      </c>
      <c r="I2548">
        <f>'2020_5-2-2_Download'!AQ60</f>
        <v>28.287263413498319</v>
      </c>
    </row>
    <row r="2549" spans="2:9">
      <c r="B2549">
        <f>'2020_5-2-2_Download'!B61</f>
        <v>0</v>
      </c>
      <c r="C2549">
        <f>'2020_5-2-2_Download'!$AM$5</f>
        <v>2015</v>
      </c>
      <c r="D2549" t="str">
        <f>VLOOKUP(B2549,[1]Tabelle1!$A$1:$B$68,2,FALSE)</f>
        <v>Niedersachsen</v>
      </c>
      <c r="F2549" t="str">
        <f>'2020_5-2-2_Download'!$AQ$7</f>
        <v>mittel</v>
      </c>
      <c r="G2549" t="s">
        <v>362</v>
      </c>
      <c r="H2549" t="str">
        <f>VLOOKUP(B2549,[2]Kreise!$A$2:$C$53,3,FALSE)</f>
        <v>K030</v>
      </c>
      <c r="I2549">
        <f>'2020_5-2-2_Download'!AQ61</f>
        <v>31.815170862858828</v>
      </c>
    </row>
    <row r="2550" spans="2:9">
      <c r="B2550">
        <f>'2020_5-2-2_Download'!B10</f>
        <v>101</v>
      </c>
      <c r="C2550">
        <f>'2020_5-2-2_Download'!$AM$5</f>
        <v>2015</v>
      </c>
      <c r="D2550" t="str">
        <f>VLOOKUP(B2550,[1]Tabelle1!$A$1:$B$68,2,FALSE)</f>
        <v>Braunschweig  Stadt</v>
      </c>
      <c r="F2550" t="str">
        <f>'2020_5-2-2_Download'!$AR$7</f>
        <v>niedrig</v>
      </c>
      <c r="G2550" t="s">
        <v>362</v>
      </c>
      <c r="H2550" t="str">
        <f>VLOOKUP(B2550,[2]Kreise!$A$2:$C$53,3,FALSE)</f>
        <v>K03101</v>
      </c>
      <c r="I2550">
        <f>'2020_5-2-2_Download'!AR10</f>
        <v>20.316119362310943</v>
      </c>
    </row>
    <row r="2551" spans="2:9">
      <c r="B2551">
        <f>'2020_5-2-2_Download'!B11</f>
        <v>102</v>
      </c>
      <c r="C2551">
        <f>'2020_5-2-2_Download'!$AM$5</f>
        <v>2015</v>
      </c>
      <c r="D2551" t="str">
        <f>VLOOKUP(B2551,[1]Tabelle1!$A$1:$B$68,2,FALSE)</f>
        <v>Salzgitter  Stadt</v>
      </c>
      <c r="F2551" t="str">
        <f>'2020_5-2-2_Download'!$AR$7</f>
        <v>niedrig</v>
      </c>
      <c r="G2551" t="s">
        <v>362</v>
      </c>
      <c r="H2551" t="str">
        <f>VLOOKUP(B2551,[2]Kreise!$A$2:$C$53,3,FALSE)</f>
        <v>K03102</v>
      </c>
      <c r="I2551">
        <f>'2020_5-2-2_Download'!AR11</f>
        <v>22.485380116959064</v>
      </c>
    </row>
    <row r="2552" spans="2:9">
      <c r="B2552">
        <f>'2020_5-2-2_Download'!B12</f>
        <v>103</v>
      </c>
      <c r="C2552">
        <f>'2020_5-2-2_Download'!$AM$5</f>
        <v>2015</v>
      </c>
      <c r="D2552" t="str">
        <f>VLOOKUP(B2552,[1]Tabelle1!$A$1:$B$68,2,FALSE)</f>
        <v>Wolfsburg  Stadt</v>
      </c>
      <c r="F2552" t="str">
        <f>'2020_5-2-2_Download'!$AR$7</f>
        <v>niedrig</v>
      </c>
      <c r="G2552" t="s">
        <v>362</v>
      </c>
      <c r="H2552" t="str">
        <f>VLOOKUP(B2552,[2]Kreise!$A$2:$C$53,3,FALSE)</f>
        <v>K03103</v>
      </c>
      <c r="I2552">
        <f>'2020_5-2-2_Download'!AR12</f>
        <v>11.220400728597451</v>
      </c>
    </row>
    <row r="2553" spans="2:9">
      <c r="B2553">
        <f>'2020_5-2-2_Download'!B13</f>
        <v>151</v>
      </c>
      <c r="C2553">
        <f>'2020_5-2-2_Download'!$AM$5</f>
        <v>2015</v>
      </c>
      <c r="D2553" t="str">
        <f>VLOOKUP(B2553,[1]Tabelle1!$A$1:$B$68,2,FALSE)</f>
        <v>Gifhorn</v>
      </c>
      <c r="F2553" t="str">
        <f>'2020_5-2-2_Download'!$AR$7</f>
        <v>niedrig</v>
      </c>
      <c r="G2553" t="s">
        <v>362</v>
      </c>
      <c r="H2553" t="str">
        <f>VLOOKUP(B2553,[2]Kreise!$A$2:$C$53,3,FALSE)</f>
        <v>K03151</v>
      </c>
      <c r="I2553">
        <f>'2020_5-2-2_Download'!AR13</f>
        <v>25.046816479400746</v>
      </c>
    </row>
    <row r="2554" spans="2:9">
      <c r="B2554">
        <f>'2020_5-2-2_Download'!B14</f>
        <v>153</v>
      </c>
      <c r="C2554">
        <f>'2020_5-2-2_Download'!$AM$5</f>
        <v>2015</v>
      </c>
      <c r="D2554" t="str">
        <f>VLOOKUP(B2554,[1]Tabelle1!$A$1:$B$68,2,FALSE)</f>
        <v>Goslar</v>
      </c>
      <c r="F2554" t="str">
        <f>'2020_5-2-2_Download'!$AR$7</f>
        <v>niedrig</v>
      </c>
      <c r="G2554" t="s">
        <v>362</v>
      </c>
      <c r="H2554" t="str">
        <f>VLOOKUP(B2554,[2]Kreise!$A$2:$C$53,3,FALSE)</f>
        <v>K03153</v>
      </c>
      <c r="I2554">
        <f>'2020_5-2-2_Download'!AR14</f>
        <v>18.781725888324875</v>
      </c>
    </row>
    <row r="2555" spans="2:9">
      <c r="B2555">
        <f>'2020_5-2-2_Download'!B15</f>
        <v>154</v>
      </c>
      <c r="C2555">
        <f>'2020_5-2-2_Download'!$AM$5</f>
        <v>2015</v>
      </c>
      <c r="D2555" t="str">
        <f>VLOOKUP(B2555,[1]Tabelle1!$A$1:$B$68,2,FALSE)</f>
        <v>Helmstedt</v>
      </c>
      <c r="F2555" t="str">
        <f>'2020_5-2-2_Download'!$AR$7</f>
        <v>niedrig</v>
      </c>
      <c r="G2555" t="s">
        <v>362</v>
      </c>
      <c r="H2555" t="str">
        <f>VLOOKUP(B2555,[2]Kreise!$A$2:$C$53,3,FALSE)</f>
        <v>K03154</v>
      </c>
      <c r="I2555">
        <f>'2020_5-2-2_Download'!AR15</f>
        <v>25.280898876404496</v>
      </c>
    </row>
    <row r="2556" spans="2:9">
      <c r="B2556">
        <f>'2020_5-2-2_Download'!B16</f>
        <v>155</v>
      </c>
      <c r="C2556">
        <f>'2020_5-2-2_Download'!$AM$5</f>
        <v>2015</v>
      </c>
      <c r="D2556" t="str">
        <f>VLOOKUP(B2556,[1]Tabelle1!$A$1:$B$68,2,FALSE)</f>
        <v>Northeim</v>
      </c>
      <c r="F2556" t="str">
        <f>'2020_5-2-2_Download'!$AR$7</f>
        <v>niedrig</v>
      </c>
      <c r="G2556" t="s">
        <v>362</v>
      </c>
      <c r="H2556" t="str">
        <f>VLOOKUP(B2556,[2]Kreise!$A$2:$C$53,3,FALSE)</f>
        <v>K03155</v>
      </c>
      <c r="I2556">
        <f>'2020_5-2-2_Download'!AR16</f>
        <v>16.569200779727094</v>
      </c>
    </row>
    <row r="2557" spans="2:9">
      <c r="B2557">
        <f>'2020_5-2-2_Download'!B17</f>
        <v>157</v>
      </c>
      <c r="C2557">
        <f>'2020_5-2-2_Download'!$AM$5</f>
        <v>2015</v>
      </c>
      <c r="D2557" t="str">
        <f>VLOOKUP(B2557,[1]Tabelle1!$A$1:$B$68,2,FALSE)</f>
        <v>Peine</v>
      </c>
      <c r="F2557" t="str">
        <f>'2020_5-2-2_Download'!$AR$7</f>
        <v>niedrig</v>
      </c>
      <c r="G2557" t="s">
        <v>362</v>
      </c>
      <c r="H2557" t="str">
        <f>VLOOKUP(B2557,[2]Kreise!$A$2:$C$53,3,FALSE)</f>
        <v>K03157</v>
      </c>
      <c r="I2557">
        <f>'2020_5-2-2_Download'!AR17</f>
        <v>29.393370856785488</v>
      </c>
    </row>
    <row r="2558" spans="2:9">
      <c r="B2558">
        <f>'2020_5-2-2_Download'!B18</f>
        <v>158</v>
      </c>
      <c r="C2558">
        <f>'2020_5-2-2_Download'!$AM$5</f>
        <v>2015</v>
      </c>
      <c r="D2558" t="str">
        <f>VLOOKUP(B2558,[1]Tabelle1!$A$1:$B$68,2,FALSE)</f>
        <v>Wolfenbüttel</v>
      </c>
      <c r="F2558" t="str">
        <f>'2020_5-2-2_Download'!$AR$7</f>
        <v>niedrig</v>
      </c>
      <c r="G2558" t="s">
        <v>362</v>
      </c>
      <c r="H2558" t="str">
        <f>VLOOKUP(B2558,[2]Kreise!$A$2:$C$53,3,FALSE)</f>
        <v>K03158</v>
      </c>
      <c r="I2558">
        <f>'2020_5-2-2_Download'!AR18</f>
        <v>18.192090395480225</v>
      </c>
    </row>
    <row r="2559" spans="2:9">
      <c r="B2559">
        <f>'2020_5-2-2_Download'!B19</f>
        <v>159</v>
      </c>
      <c r="C2559">
        <f>'2020_5-2-2_Download'!$AM$5</f>
        <v>2015</v>
      </c>
      <c r="D2559" t="str">
        <f>VLOOKUP(B2559,[1]Tabelle1!$A$1:$B$68,2,FALSE)</f>
        <v>Göttingen</v>
      </c>
      <c r="F2559" t="str">
        <f>'2020_5-2-2_Download'!$AR$7</f>
        <v>niedrig</v>
      </c>
      <c r="G2559" t="s">
        <v>362</v>
      </c>
      <c r="H2559" t="str">
        <f>VLOOKUP(B2559,[2]Kreise!$A$2:$C$53,3,FALSE)</f>
        <v>K03159</v>
      </c>
      <c r="I2559">
        <f>'2020_5-2-2_Download'!AR19</f>
        <v>14.419564872161347</v>
      </c>
    </row>
    <row r="2560" spans="2:9">
      <c r="B2560">
        <f>'2020_5-2-2_Download'!B20</f>
        <v>1</v>
      </c>
      <c r="C2560">
        <f>'2020_5-2-2_Download'!$AM$5</f>
        <v>2015</v>
      </c>
      <c r="D2560" t="str">
        <f>VLOOKUP(B2560,[1]Tabelle1!$A$1:$B$68,2,FALSE)</f>
        <v>Stat. Region Braunschweig</v>
      </c>
      <c r="F2560" t="str">
        <f>'2020_5-2-2_Download'!$AR$7</f>
        <v>niedrig</v>
      </c>
      <c r="G2560" t="s">
        <v>362</v>
      </c>
      <c r="H2560" t="str">
        <f>VLOOKUP(B2560,[2]Kreise!$A$2:$C$53,3,FALSE)</f>
        <v>K031</v>
      </c>
      <c r="I2560">
        <f>'2020_5-2-2_Download'!AR20</f>
        <v>19.445807475826239</v>
      </c>
    </row>
    <row r="2561" spans="2:9">
      <c r="B2561">
        <f>'2020_5-2-2_Download'!B21</f>
        <v>241</v>
      </c>
      <c r="C2561">
        <f>'2020_5-2-2_Download'!$AM$5</f>
        <v>2015</v>
      </c>
      <c r="D2561" t="str">
        <f>VLOOKUP(B2561,[1]Tabelle1!$A$1:$B$68,2,FALSE)</f>
        <v>Hannover  Region</v>
      </c>
      <c r="F2561" t="str">
        <f>'2020_5-2-2_Download'!$AR$7</f>
        <v>niedrig</v>
      </c>
      <c r="G2561" t="s">
        <v>362</v>
      </c>
      <c r="H2561" t="str">
        <f>VLOOKUP(B2561,[2]Kreise!$A$2:$C$53,3,FALSE)</f>
        <v>K03241</v>
      </c>
      <c r="I2561">
        <f>'2020_5-2-2_Download'!AR21</f>
        <v>24.683233014029089</v>
      </c>
    </row>
    <row r="2562" spans="2:9">
      <c r="B2562">
        <f>'2020_5-2-2_Download'!B22</f>
        <v>241001</v>
      </c>
      <c r="C2562">
        <f>'2020_5-2-2_Download'!$AM$5</f>
        <v>2015</v>
      </c>
      <c r="D2562" t="str">
        <f>VLOOKUP(B2562,[1]Tabelle1!$A$1:$B$68,2,FALSE)</f>
        <v>dav. Hannover  Lhst.</v>
      </c>
      <c r="F2562" t="str">
        <f>'2020_5-2-2_Download'!$AR$7</f>
        <v>niedrig</v>
      </c>
      <c r="G2562" t="s">
        <v>362</v>
      </c>
      <c r="H2562" t="str">
        <f>VLOOKUP(B2562,[2]Kreise!$A$2:$C$53,3,FALSE)</f>
        <v>K03241001</v>
      </c>
      <c r="I2562">
        <f>'2020_5-2-2_Download'!AR22</f>
        <v>24.248679284889622</v>
      </c>
    </row>
    <row r="2563" spans="2:9">
      <c r="B2563">
        <f>'2020_5-2-2_Download'!B23</f>
        <v>241999</v>
      </c>
      <c r="C2563">
        <f>'2020_5-2-2_Download'!$AM$5</f>
        <v>2015</v>
      </c>
      <c r="D2563" t="str">
        <f>VLOOKUP(B2563,[1]Tabelle1!$A$1:$B$68,2,FALSE)</f>
        <v>dav. Hannover  Umland</v>
      </c>
      <c r="F2563" t="str">
        <f>'2020_5-2-2_Download'!$AR$7</f>
        <v>niedrig</v>
      </c>
      <c r="G2563" t="s">
        <v>362</v>
      </c>
      <c r="H2563" t="str">
        <f>VLOOKUP(B2563,[2]Kreise!$A$2:$C$53,3,FALSE)</f>
        <v>K03241999</v>
      </c>
      <c r="I2563">
        <f>'2020_5-2-2_Download'!AR23</f>
        <v>25.563270511548819</v>
      </c>
    </row>
    <row r="2564" spans="2:9">
      <c r="B2564">
        <f>'2020_5-2-2_Download'!B24</f>
        <v>251</v>
      </c>
      <c r="C2564">
        <f>'2020_5-2-2_Download'!$AM$5</f>
        <v>2015</v>
      </c>
      <c r="D2564" t="str">
        <f>VLOOKUP(B2564,[1]Tabelle1!$A$1:$B$68,2,FALSE)</f>
        <v>Diepholz</v>
      </c>
      <c r="F2564" t="str">
        <f>'2020_5-2-2_Download'!$AR$7</f>
        <v>niedrig</v>
      </c>
      <c r="G2564" t="s">
        <v>362</v>
      </c>
      <c r="H2564" t="str">
        <f>VLOOKUP(B2564,[2]Kreise!$A$2:$C$53,3,FALSE)</f>
        <v>K03251</v>
      </c>
      <c r="I2564">
        <f>'2020_5-2-2_Download'!AR24</f>
        <v>23.618090452261306</v>
      </c>
    </row>
    <row r="2565" spans="2:9">
      <c r="B2565">
        <f>'2020_5-2-2_Download'!B25</f>
        <v>252</v>
      </c>
      <c r="C2565">
        <f>'2020_5-2-2_Download'!$AM$5</f>
        <v>2015</v>
      </c>
      <c r="D2565" t="str">
        <f>VLOOKUP(B2565,[1]Tabelle1!$A$1:$B$68,2,FALSE)</f>
        <v>Hameln-Pyrmont</v>
      </c>
      <c r="F2565" t="str">
        <f>'2020_5-2-2_Download'!$AR$7</f>
        <v>niedrig</v>
      </c>
      <c r="G2565" t="s">
        <v>362</v>
      </c>
      <c r="H2565" t="str">
        <f>VLOOKUP(B2565,[2]Kreise!$A$2:$C$53,3,FALSE)</f>
        <v>K03252</v>
      </c>
      <c r="I2565">
        <f>'2020_5-2-2_Download'!AR25</f>
        <v>22.469490308686289</v>
      </c>
    </row>
    <row r="2566" spans="2:9">
      <c r="B2566">
        <f>'2020_5-2-2_Download'!B26</f>
        <v>254</v>
      </c>
      <c r="C2566">
        <f>'2020_5-2-2_Download'!$AM$5</f>
        <v>2015</v>
      </c>
      <c r="D2566" t="str">
        <f>VLOOKUP(B2566,[1]Tabelle1!$A$1:$B$68,2,FALSE)</f>
        <v>Hildesheim</v>
      </c>
      <c r="F2566" t="str">
        <f>'2020_5-2-2_Download'!$AR$7</f>
        <v>niedrig</v>
      </c>
      <c r="G2566" t="s">
        <v>362</v>
      </c>
      <c r="H2566" t="str">
        <f>VLOOKUP(B2566,[2]Kreise!$A$2:$C$53,3,FALSE)</f>
        <v>K03254</v>
      </c>
      <c r="I2566">
        <f>'2020_5-2-2_Download'!AR26</f>
        <v>23.952405587170205</v>
      </c>
    </row>
    <row r="2567" spans="2:9">
      <c r="B2567">
        <f>'2020_5-2-2_Download'!B27</f>
        <v>255</v>
      </c>
      <c r="C2567">
        <f>'2020_5-2-2_Download'!$AM$5</f>
        <v>2015</v>
      </c>
      <c r="D2567" t="str">
        <f>VLOOKUP(B2567,[1]Tabelle1!$A$1:$B$68,2,FALSE)</f>
        <v>Holzminden</v>
      </c>
      <c r="F2567" t="str">
        <f>'2020_5-2-2_Download'!$AR$7</f>
        <v>niedrig</v>
      </c>
      <c r="G2567" t="s">
        <v>362</v>
      </c>
      <c r="H2567" t="str">
        <f>VLOOKUP(B2567,[2]Kreise!$A$2:$C$53,3,FALSE)</f>
        <v>K03255</v>
      </c>
      <c r="I2567">
        <f>'2020_5-2-2_Download'!AR27</f>
        <v>31.374853113983548</v>
      </c>
    </row>
    <row r="2568" spans="2:9">
      <c r="B2568">
        <f>'2020_5-2-2_Download'!B28</f>
        <v>256</v>
      </c>
      <c r="C2568">
        <f>'2020_5-2-2_Download'!$AM$5</f>
        <v>2015</v>
      </c>
      <c r="D2568" t="str">
        <f>VLOOKUP(B2568,[1]Tabelle1!$A$1:$B$68,2,FALSE)</f>
        <v>Nienburg (Weser)</v>
      </c>
      <c r="F2568" t="str">
        <f>'2020_5-2-2_Download'!$AR$7</f>
        <v>niedrig</v>
      </c>
      <c r="G2568" t="s">
        <v>362</v>
      </c>
      <c r="H2568" t="str">
        <f>VLOOKUP(B2568,[2]Kreise!$A$2:$C$53,3,FALSE)</f>
        <v>K03256</v>
      </c>
      <c r="I2568">
        <f>'2020_5-2-2_Download'!AR28</f>
        <v>26.104023552502454</v>
      </c>
    </row>
    <row r="2569" spans="2:9">
      <c r="B2569">
        <f>'2020_5-2-2_Download'!B29</f>
        <v>257</v>
      </c>
      <c r="C2569">
        <f>'2020_5-2-2_Download'!$AM$5</f>
        <v>2015</v>
      </c>
      <c r="D2569" t="str">
        <f>VLOOKUP(B2569,[1]Tabelle1!$A$1:$B$68,2,FALSE)</f>
        <v>Schaumburg</v>
      </c>
      <c r="F2569" t="str">
        <f>'2020_5-2-2_Download'!$AR$7</f>
        <v>niedrig</v>
      </c>
      <c r="G2569" t="s">
        <v>362</v>
      </c>
      <c r="H2569" t="str">
        <f>VLOOKUP(B2569,[2]Kreise!$A$2:$C$53,3,FALSE)</f>
        <v>K03257</v>
      </c>
      <c r="I2569">
        <f>'2020_5-2-2_Download'!AR29</f>
        <v>26.393728222996515</v>
      </c>
    </row>
    <row r="2570" spans="2:9">
      <c r="B2570">
        <f>'2020_5-2-2_Download'!B30</f>
        <v>2</v>
      </c>
      <c r="C2570">
        <f>'2020_5-2-2_Download'!$AM$5</f>
        <v>2015</v>
      </c>
      <c r="D2570" t="str">
        <f>VLOOKUP(B2570,[1]Tabelle1!$A$1:$B$68,2,FALSE)</f>
        <v>Stat. Region Hannover</v>
      </c>
      <c r="F2570" t="str">
        <f>'2020_5-2-2_Download'!$AR$7</f>
        <v>niedrig</v>
      </c>
      <c r="G2570" t="s">
        <v>362</v>
      </c>
      <c r="H2570" t="str">
        <f>VLOOKUP(B2570,[2]Kreise!$A$2:$C$53,3,FALSE)</f>
        <v>K032</v>
      </c>
      <c r="I2570">
        <f>'2020_5-2-2_Download'!AR30</f>
        <v>24.674612020920861</v>
      </c>
    </row>
    <row r="2571" spans="2:9">
      <c r="B2571">
        <f>'2020_5-2-2_Download'!B31</f>
        <v>351</v>
      </c>
      <c r="C2571">
        <f>'2020_5-2-2_Download'!$AM$5</f>
        <v>2015</v>
      </c>
      <c r="D2571" t="str">
        <f>VLOOKUP(B2571,[1]Tabelle1!$A$1:$B$68,2,FALSE)</f>
        <v>Celle</v>
      </c>
      <c r="F2571" t="str">
        <f>'2020_5-2-2_Download'!$AR$7</f>
        <v>niedrig</v>
      </c>
      <c r="G2571" t="s">
        <v>362</v>
      </c>
      <c r="H2571" t="str">
        <f>VLOOKUP(B2571,[2]Kreise!$A$2:$C$53,3,FALSE)</f>
        <v>K03351</v>
      </c>
      <c r="I2571">
        <f>'2020_5-2-2_Download'!AR31</f>
        <v>25.297962322183775</v>
      </c>
    </row>
    <row r="2572" spans="2:9">
      <c r="B2572">
        <f>'2020_5-2-2_Download'!B32</f>
        <v>352</v>
      </c>
      <c r="C2572">
        <f>'2020_5-2-2_Download'!$AM$5</f>
        <v>2015</v>
      </c>
      <c r="D2572" t="str">
        <f>VLOOKUP(B2572,[1]Tabelle1!$A$1:$B$68,2,FALSE)</f>
        <v>Cuxhaven</v>
      </c>
      <c r="F2572" t="str">
        <f>'2020_5-2-2_Download'!$AR$7</f>
        <v>niedrig</v>
      </c>
      <c r="G2572" t="s">
        <v>362</v>
      </c>
      <c r="H2572" t="str">
        <f>VLOOKUP(B2572,[2]Kreise!$A$2:$C$53,3,FALSE)</f>
        <v>K03352</v>
      </c>
      <c r="I2572">
        <f>'2020_5-2-2_Download'!AR32</f>
        <v>22.388059701492537</v>
      </c>
    </row>
    <row r="2573" spans="2:9">
      <c r="B2573">
        <f>'2020_5-2-2_Download'!B33</f>
        <v>353</v>
      </c>
      <c r="C2573">
        <f>'2020_5-2-2_Download'!$AM$5</f>
        <v>2015</v>
      </c>
      <c r="D2573" t="str">
        <f>VLOOKUP(B2573,[1]Tabelle1!$A$1:$B$68,2,FALSE)</f>
        <v>Harburg</v>
      </c>
      <c r="F2573" t="str">
        <f>'2020_5-2-2_Download'!$AR$7</f>
        <v>niedrig</v>
      </c>
      <c r="G2573" t="s">
        <v>362</v>
      </c>
      <c r="H2573" t="str">
        <f>VLOOKUP(B2573,[2]Kreise!$A$2:$C$53,3,FALSE)</f>
        <v>K03353</v>
      </c>
      <c r="I2573">
        <f>'2020_5-2-2_Download'!AR33</f>
        <v>17.492190986166889</v>
      </c>
    </row>
    <row r="2574" spans="2:9">
      <c r="B2574">
        <f>'2020_5-2-2_Download'!B34</f>
        <v>354</v>
      </c>
      <c r="C2574">
        <f>'2020_5-2-2_Download'!$AM$5</f>
        <v>2015</v>
      </c>
      <c r="D2574" t="str">
        <f>VLOOKUP(B2574,[1]Tabelle1!$A$1:$B$68,2,FALSE)</f>
        <v>Lüchow-Dannenberg</v>
      </c>
      <c r="F2574" t="str">
        <f>'2020_5-2-2_Download'!$AR$7</f>
        <v>niedrig</v>
      </c>
      <c r="G2574" t="s">
        <v>362</v>
      </c>
      <c r="H2574" t="str">
        <f>VLOOKUP(B2574,[2]Kreise!$A$2:$C$53,3,FALSE)</f>
        <v>K03354</v>
      </c>
      <c r="I2574">
        <f>'2020_5-2-2_Download'!AR34</f>
        <v>8.4260731319554854</v>
      </c>
    </row>
    <row r="2575" spans="2:9">
      <c r="B2575">
        <f>'2020_5-2-2_Download'!B35</f>
        <v>355</v>
      </c>
      <c r="C2575">
        <f>'2020_5-2-2_Download'!$AM$5</f>
        <v>2015</v>
      </c>
      <c r="D2575" t="str">
        <f>VLOOKUP(B2575,[1]Tabelle1!$A$1:$B$68,2,FALSE)</f>
        <v>Lüneburg</v>
      </c>
      <c r="F2575" t="str">
        <f>'2020_5-2-2_Download'!$AR$7</f>
        <v>niedrig</v>
      </c>
      <c r="G2575" t="s">
        <v>362</v>
      </c>
      <c r="H2575" t="str">
        <f>VLOOKUP(B2575,[2]Kreise!$A$2:$C$53,3,FALSE)</f>
        <v>K03355</v>
      </c>
      <c r="I2575">
        <f>'2020_5-2-2_Download'!AR35</f>
        <v>22.304027717626678</v>
      </c>
    </row>
    <row r="2576" spans="2:9">
      <c r="B2576">
        <f>'2020_5-2-2_Download'!B36</f>
        <v>356</v>
      </c>
      <c r="C2576">
        <f>'2020_5-2-2_Download'!$AM$5</f>
        <v>2015</v>
      </c>
      <c r="D2576" t="str">
        <f>VLOOKUP(B2576,[1]Tabelle1!$A$1:$B$68,2,FALSE)</f>
        <v>Osterholz</v>
      </c>
      <c r="F2576" t="str">
        <f>'2020_5-2-2_Download'!$AR$7</f>
        <v>niedrig</v>
      </c>
      <c r="G2576" t="s">
        <v>362</v>
      </c>
      <c r="H2576" t="str">
        <f>VLOOKUP(B2576,[2]Kreise!$A$2:$C$53,3,FALSE)</f>
        <v>K03356</v>
      </c>
      <c r="I2576">
        <f>'2020_5-2-2_Download'!AR36</f>
        <v>22.485768500948765</v>
      </c>
    </row>
    <row r="2577" spans="2:9">
      <c r="B2577">
        <f>'2020_5-2-2_Download'!B37</f>
        <v>357</v>
      </c>
      <c r="C2577">
        <f>'2020_5-2-2_Download'!$AM$5</f>
        <v>2015</v>
      </c>
      <c r="D2577" t="str">
        <f>VLOOKUP(B2577,[1]Tabelle1!$A$1:$B$68,2,FALSE)</f>
        <v>Rotenburg (Wümme)</v>
      </c>
      <c r="F2577" t="str">
        <f>'2020_5-2-2_Download'!$AR$7</f>
        <v>niedrig</v>
      </c>
      <c r="G2577" t="s">
        <v>362</v>
      </c>
      <c r="H2577" t="str">
        <f>VLOOKUP(B2577,[2]Kreise!$A$2:$C$53,3,FALSE)</f>
        <v>K03357</v>
      </c>
      <c r="I2577">
        <f>'2020_5-2-2_Download'!AR37</f>
        <v>19.02198295199641</v>
      </c>
    </row>
    <row r="2578" spans="2:9">
      <c r="B2578">
        <f>'2020_5-2-2_Download'!B38</f>
        <v>358</v>
      </c>
      <c r="C2578">
        <f>'2020_5-2-2_Download'!$AM$5</f>
        <v>2015</v>
      </c>
      <c r="D2578" t="str">
        <f>VLOOKUP(B2578,[1]Tabelle1!$A$1:$B$68,2,FALSE)</f>
        <v>Heidekreis</v>
      </c>
      <c r="F2578" t="str">
        <f>'2020_5-2-2_Download'!$AR$7</f>
        <v>niedrig</v>
      </c>
      <c r="G2578" t="s">
        <v>362</v>
      </c>
      <c r="H2578" t="str">
        <f>VLOOKUP(B2578,[2]Kreise!$A$2:$C$53,3,FALSE)</f>
        <v>K03358</v>
      </c>
      <c r="I2578">
        <f>'2020_5-2-2_Download'!AR38</f>
        <v>19.404186795491142</v>
      </c>
    </row>
    <row r="2579" spans="2:9">
      <c r="B2579">
        <f>'2020_5-2-2_Download'!B39</f>
        <v>359</v>
      </c>
      <c r="C2579">
        <f>'2020_5-2-2_Download'!$AM$5</f>
        <v>2015</v>
      </c>
      <c r="D2579" t="str">
        <f>VLOOKUP(B2579,[1]Tabelle1!$A$1:$B$68,2,FALSE)</f>
        <v>Stade</v>
      </c>
      <c r="F2579" t="str">
        <f>'2020_5-2-2_Download'!$AR$7</f>
        <v>niedrig</v>
      </c>
      <c r="G2579" t="s">
        <v>362</v>
      </c>
      <c r="H2579" t="str">
        <f>VLOOKUP(B2579,[2]Kreise!$A$2:$C$53,3,FALSE)</f>
        <v>K03359</v>
      </c>
      <c r="I2579">
        <f>'2020_5-2-2_Download'!AR39</f>
        <v>13.302862641327881</v>
      </c>
    </row>
    <row r="2580" spans="2:9">
      <c r="B2580">
        <f>'2020_5-2-2_Download'!B40</f>
        <v>360</v>
      </c>
      <c r="C2580">
        <f>'2020_5-2-2_Download'!$AM$5</f>
        <v>2015</v>
      </c>
      <c r="D2580" t="str">
        <f>VLOOKUP(B2580,[1]Tabelle1!$A$1:$B$68,2,FALSE)</f>
        <v>Uelzen</v>
      </c>
      <c r="F2580" t="str">
        <f>'2020_5-2-2_Download'!$AR$7</f>
        <v>niedrig</v>
      </c>
      <c r="G2580" t="s">
        <v>362</v>
      </c>
      <c r="H2580" t="str">
        <f>VLOOKUP(B2580,[2]Kreise!$A$2:$C$53,3,FALSE)</f>
        <v>K03360</v>
      </c>
      <c r="I2580">
        <f>'2020_5-2-2_Download'!AR40</f>
        <v>16.424116424116423</v>
      </c>
    </row>
    <row r="2581" spans="2:9">
      <c r="B2581">
        <f>'2020_5-2-2_Download'!B41</f>
        <v>361</v>
      </c>
      <c r="C2581">
        <f>'2020_5-2-2_Download'!$AM$5</f>
        <v>2015</v>
      </c>
      <c r="D2581" t="str">
        <f>VLOOKUP(B2581,[1]Tabelle1!$A$1:$B$68,2,FALSE)</f>
        <v>Verden</v>
      </c>
      <c r="F2581" t="str">
        <f>'2020_5-2-2_Download'!$AR$7</f>
        <v>niedrig</v>
      </c>
      <c r="G2581" t="s">
        <v>362</v>
      </c>
      <c r="H2581" t="str">
        <f>VLOOKUP(B2581,[2]Kreise!$A$2:$C$53,3,FALSE)</f>
        <v>K03361</v>
      </c>
      <c r="I2581">
        <f>'2020_5-2-2_Download'!AR41</f>
        <v>23.133776792313377</v>
      </c>
    </row>
    <row r="2582" spans="2:9">
      <c r="B2582">
        <f>'2020_5-2-2_Download'!B42</f>
        <v>3</v>
      </c>
      <c r="C2582">
        <f>'2020_5-2-2_Download'!$AM$5</f>
        <v>2015</v>
      </c>
      <c r="D2582" t="str">
        <f>VLOOKUP(B2582,[1]Tabelle1!$A$1:$B$68,2,FALSE)</f>
        <v>Stat. Region Lüneburg</v>
      </c>
      <c r="F2582" t="str">
        <f>'2020_5-2-2_Download'!$AR$7</f>
        <v>niedrig</v>
      </c>
      <c r="G2582" t="s">
        <v>362</v>
      </c>
      <c r="H2582" t="str">
        <f>VLOOKUP(B2582,[2]Kreise!$A$2:$C$53,3,FALSE)</f>
        <v>K033</v>
      </c>
      <c r="I2582">
        <f>'2020_5-2-2_Download'!AR42</f>
        <v>19.389330221000716</v>
      </c>
    </row>
    <row r="2583" spans="2:9">
      <c r="B2583">
        <f>'2020_5-2-2_Download'!B43</f>
        <v>401</v>
      </c>
      <c r="C2583">
        <f>'2020_5-2-2_Download'!$AM$5</f>
        <v>2015</v>
      </c>
      <c r="D2583" t="str">
        <f>VLOOKUP(B2583,[1]Tabelle1!$A$1:$B$68,2,FALSE)</f>
        <v>Delmenhorst  Stadt</v>
      </c>
      <c r="F2583" t="str">
        <f>'2020_5-2-2_Download'!$AR$7</f>
        <v>niedrig</v>
      </c>
      <c r="G2583" t="s">
        <v>362</v>
      </c>
      <c r="H2583" t="str">
        <f>VLOOKUP(B2583,[2]Kreise!$A$2:$C$53,3,FALSE)</f>
        <v>K03401</v>
      </c>
      <c r="I2583">
        <f>'2020_5-2-2_Download'!AR43</f>
        <v>25.321888412017167</v>
      </c>
    </row>
    <row r="2584" spans="2:9">
      <c r="B2584">
        <f>'2020_5-2-2_Download'!B44</f>
        <v>402</v>
      </c>
      <c r="C2584">
        <f>'2020_5-2-2_Download'!$AM$5</f>
        <v>2015</v>
      </c>
      <c r="D2584" t="str">
        <f>VLOOKUP(B2584,[1]Tabelle1!$A$1:$B$68,2,FALSE)</f>
        <v>Emden  Stadt</v>
      </c>
      <c r="F2584" t="str">
        <f>'2020_5-2-2_Download'!$AR$7</f>
        <v>niedrig</v>
      </c>
      <c r="G2584" t="s">
        <v>362</v>
      </c>
      <c r="H2584" t="str">
        <f>VLOOKUP(B2584,[2]Kreise!$A$2:$C$53,3,FALSE)</f>
        <v>K03402</v>
      </c>
      <c r="I2584">
        <f>'2020_5-2-2_Download'!AR44</f>
        <v>20.902455209024552</v>
      </c>
    </row>
    <row r="2585" spans="2:9">
      <c r="B2585">
        <f>'2020_5-2-2_Download'!B45</f>
        <v>403</v>
      </c>
      <c r="C2585">
        <f>'2020_5-2-2_Download'!$AM$5</f>
        <v>2015</v>
      </c>
      <c r="D2585" t="str">
        <f>VLOOKUP(B2585,[1]Tabelle1!$A$1:$B$68,2,FALSE)</f>
        <v>Oldenburg(Oldb)  Stadt</v>
      </c>
      <c r="F2585" t="str">
        <f>'2020_5-2-2_Download'!$AR$7</f>
        <v>niedrig</v>
      </c>
      <c r="G2585" t="s">
        <v>362</v>
      </c>
      <c r="H2585" t="str">
        <f>VLOOKUP(B2585,[2]Kreise!$A$2:$C$53,3,FALSE)</f>
        <v>K03403</v>
      </c>
      <c r="I2585">
        <f>'2020_5-2-2_Download'!AR45</f>
        <v>21.727105101413642</v>
      </c>
    </row>
    <row r="2586" spans="2:9">
      <c r="B2586">
        <f>'2020_5-2-2_Download'!B46</f>
        <v>404</v>
      </c>
      <c r="C2586">
        <f>'2020_5-2-2_Download'!$AM$5</f>
        <v>2015</v>
      </c>
      <c r="D2586" t="str">
        <f>VLOOKUP(B2586,[1]Tabelle1!$A$1:$B$68,2,FALSE)</f>
        <v>Osnabrück  Stadt</v>
      </c>
      <c r="F2586" t="str">
        <f>'2020_5-2-2_Download'!$AR$7</f>
        <v>niedrig</v>
      </c>
      <c r="G2586" t="s">
        <v>362</v>
      </c>
      <c r="H2586" t="str">
        <f>VLOOKUP(B2586,[2]Kreise!$A$2:$C$53,3,FALSE)</f>
        <v>K03404</v>
      </c>
      <c r="I2586">
        <f>'2020_5-2-2_Download'!AR46</f>
        <v>28.217821782178216</v>
      </c>
    </row>
    <row r="2587" spans="2:9">
      <c r="B2587">
        <f>'2020_5-2-2_Download'!B47</f>
        <v>405</v>
      </c>
      <c r="C2587">
        <f>'2020_5-2-2_Download'!$AM$5</f>
        <v>2015</v>
      </c>
      <c r="D2587" t="str">
        <f>VLOOKUP(B2587,[1]Tabelle1!$A$1:$B$68,2,FALSE)</f>
        <v>Wilhelmshaven  Stadt</v>
      </c>
      <c r="F2587" t="str">
        <f>'2020_5-2-2_Download'!$AR$7</f>
        <v>niedrig</v>
      </c>
      <c r="G2587" t="s">
        <v>362</v>
      </c>
      <c r="H2587" t="str">
        <f>VLOOKUP(B2587,[2]Kreise!$A$2:$C$53,3,FALSE)</f>
        <v>K03405</v>
      </c>
      <c r="I2587">
        <f>'2020_5-2-2_Download'!AR47</f>
        <v>21.488469601677149</v>
      </c>
    </row>
    <row r="2588" spans="2:9">
      <c r="B2588">
        <f>'2020_5-2-2_Download'!B48</f>
        <v>451</v>
      </c>
      <c r="C2588">
        <f>'2020_5-2-2_Download'!$AM$5</f>
        <v>2015</v>
      </c>
      <c r="D2588" t="str">
        <f>VLOOKUP(B2588,[1]Tabelle1!$A$1:$B$68,2,FALSE)</f>
        <v>Ammerland</v>
      </c>
      <c r="F2588" t="str">
        <f>'2020_5-2-2_Download'!$AR$7</f>
        <v>niedrig</v>
      </c>
      <c r="G2588" t="s">
        <v>362</v>
      </c>
      <c r="H2588" t="str">
        <f>VLOOKUP(B2588,[2]Kreise!$A$2:$C$53,3,FALSE)</f>
        <v>K03451</v>
      </c>
      <c r="I2588">
        <f>'2020_5-2-2_Download'!AR48</f>
        <v>18.914261094355879</v>
      </c>
    </row>
    <row r="2589" spans="2:9">
      <c r="B2589">
        <f>'2020_5-2-2_Download'!B49</f>
        <v>452</v>
      </c>
      <c r="C2589">
        <f>'2020_5-2-2_Download'!$AM$5</f>
        <v>2015</v>
      </c>
      <c r="D2589" t="str">
        <f>VLOOKUP(B2589,[1]Tabelle1!$A$1:$B$68,2,FALSE)</f>
        <v>Aurich</v>
      </c>
      <c r="F2589" t="str">
        <f>'2020_5-2-2_Download'!$AR$7</f>
        <v>niedrig</v>
      </c>
      <c r="G2589" t="s">
        <v>362</v>
      </c>
      <c r="H2589" t="str">
        <f>VLOOKUP(B2589,[2]Kreise!$A$2:$C$53,3,FALSE)</f>
        <v>K03452</v>
      </c>
      <c r="I2589">
        <f>'2020_5-2-2_Download'!AR49</f>
        <v>19.35889377749843</v>
      </c>
    </row>
    <row r="2590" spans="2:9">
      <c r="B2590">
        <f>'2020_5-2-2_Download'!B50</f>
        <v>453</v>
      </c>
      <c r="C2590">
        <f>'2020_5-2-2_Download'!$AM$5</f>
        <v>2015</v>
      </c>
      <c r="D2590" t="str">
        <f>VLOOKUP(B2590,[1]Tabelle1!$A$1:$B$68,2,FALSE)</f>
        <v>Cloppenburg</v>
      </c>
      <c r="F2590" t="str">
        <f>'2020_5-2-2_Download'!$AR$7</f>
        <v>niedrig</v>
      </c>
      <c r="G2590" t="s">
        <v>362</v>
      </c>
      <c r="H2590" t="str">
        <f>VLOOKUP(B2590,[2]Kreise!$A$2:$C$53,3,FALSE)</f>
        <v>K03453</v>
      </c>
      <c r="I2590">
        <f>'2020_5-2-2_Download'!AR50</f>
        <v>21.502641361768735</v>
      </c>
    </row>
    <row r="2591" spans="2:9">
      <c r="B2591">
        <f>'2020_5-2-2_Download'!B51</f>
        <v>454</v>
      </c>
      <c r="C2591">
        <f>'2020_5-2-2_Download'!$AM$5</f>
        <v>2015</v>
      </c>
      <c r="D2591" t="str">
        <f>VLOOKUP(B2591,[1]Tabelle1!$A$1:$B$68,2,FALSE)</f>
        <v>Emsland</v>
      </c>
      <c r="F2591" t="str">
        <f>'2020_5-2-2_Download'!$AR$7</f>
        <v>niedrig</v>
      </c>
      <c r="G2591" t="s">
        <v>362</v>
      </c>
      <c r="H2591" t="str">
        <f>VLOOKUP(B2591,[2]Kreise!$A$2:$C$53,3,FALSE)</f>
        <v>K03454</v>
      </c>
      <c r="I2591">
        <f>'2020_5-2-2_Download'!AR51</f>
        <v>15.754390462761183</v>
      </c>
    </row>
    <row r="2592" spans="2:9">
      <c r="B2592">
        <f>'2020_5-2-2_Download'!B52</f>
        <v>455</v>
      </c>
      <c r="C2592">
        <f>'2020_5-2-2_Download'!$AM$5</f>
        <v>2015</v>
      </c>
      <c r="D2592" t="str">
        <f>VLOOKUP(B2592,[1]Tabelle1!$A$1:$B$68,2,FALSE)</f>
        <v>Friesland</v>
      </c>
      <c r="F2592" t="str">
        <f>'2020_5-2-2_Download'!$AR$7</f>
        <v>niedrig</v>
      </c>
      <c r="G2592" t="s">
        <v>362</v>
      </c>
      <c r="H2592" t="str">
        <f>VLOOKUP(B2592,[2]Kreise!$A$2:$C$53,3,FALSE)</f>
        <v>K03455</v>
      </c>
      <c r="I2592">
        <f>'2020_5-2-2_Download'!AR52</f>
        <v>19.87513007284079</v>
      </c>
    </row>
    <row r="2593" spans="2:9">
      <c r="B2593">
        <f>'2020_5-2-2_Download'!B53</f>
        <v>456</v>
      </c>
      <c r="C2593">
        <f>'2020_5-2-2_Download'!$AM$5</f>
        <v>2015</v>
      </c>
      <c r="D2593" t="str">
        <f>VLOOKUP(B2593,[1]Tabelle1!$A$1:$B$68,2,FALSE)</f>
        <v>Grafschaft Bentheim</v>
      </c>
      <c r="F2593" t="str">
        <f>'2020_5-2-2_Download'!$AR$7</f>
        <v>niedrig</v>
      </c>
      <c r="G2593" t="s">
        <v>362</v>
      </c>
      <c r="H2593" t="str">
        <f>VLOOKUP(B2593,[2]Kreise!$A$2:$C$53,3,FALSE)</f>
        <v>K03456</v>
      </c>
      <c r="I2593">
        <f>'2020_5-2-2_Download'!AR53</f>
        <v>16.820276497695851</v>
      </c>
    </row>
    <row r="2594" spans="2:9">
      <c r="B2594">
        <f>'2020_5-2-2_Download'!B54</f>
        <v>457</v>
      </c>
      <c r="C2594">
        <f>'2020_5-2-2_Download'!$AM$5</f>
        <v>2015</v>
      </c>
      <c r="D2594" t="str">
        <f>VLOOKUP(B2594,[1]Tabelle1!$A$1:$B$68,2,FALSE)</f>
        <v>Leer</v>
      </c>
      <c r="F2594" t="str">
        <f>'2020_5-2-2_Download'!$AR$7</f>
        <v>niedrig</v>
      </c>
      <c r="G2594" t="s">
        <v>362</v>
      </c>
      <c r="H2594" t="str">
        <f>VLOOKUP(B2594,[2]Kreise!$A$2:$C$53,3,FALSE)</f>
        <v>K03457</v>
      </c>
      <c r="I2594">
        <f>'2020_5-2-2_Download'!AR54</f>
        <v>13.422509225092252</v>
      </c>
    </row>
    <row r="2595" spans="2:9">
      <c r="B2595">
        <f>'2020_5-2-2_Download'!B55</f>
        <v>458</v>
      </c>
      <c r="C2595">
        <f>'2020_5-2-2_Download'!$AM$5</f>
        <v>2015</v>
      </c>
      <c r="D2595" t="str">
        <f>VLOOKUP(B2595,[1]Tabelle1!$A$1:$B$68,2,FALSE)</f>
        <v>Oldenburg</v>
      </c>
      <c r="F2595" t="str">
        <f>'2020_5-2-2_Download'!$AR$7</f>
        <v>niedrig</v>
      </c>
      <c r="G2595" t="s">
        <v>362</v>
      </c>
      <c r="H2595" t="str">
        <f>VLOOKUP(B2595,[2]Kreise!$A$2:$C$53,3,FALSE)</f>
        <v>K03458</v>
      </c>
      <c r="I2595">
        <f>'2020_5-2-2_Download'!AR55</f>
        <v>20.736434108527131</v>
      </c>
    </row>
    <row r="2596" spans="2:9">
      <c r="B2596">
        <f>'2020_5-2-2_Download'!B56</f>
        <v>459</v>
      </c>
      <c r="C2596">
        <f>'2020_5-2-2_Download'!$AM$5</f>
        <v>2015</v>
      </c>
      <c r="D2596" t="str">
        <f>VLOOKUP(B2596,[1]Tabelle1!$A$1:$B$68,2,FALSE)</f>
        <v>Osnabrück</v>
      </c>
      <c r="F2596" t="str">
        <f>'2020_5-2-2_Download'!$AR$7</f>
        <v>niedrig</v>
      </c>
      <c r="G2596" t="s">
        <v>362</v>
      </c>
      <c r="H2596" t="str">
        <f>VLOOKUP(B2596,[2]Kreise!$A$2:$C$53,3,FALSE)</f>
        <v>K03459</v>
      </c>
      <c r="I2596">
        <f>'2020_5-2-2_Download'!AR56</f>
        <v>24.774731130704389</v>
      </c>
    </row>
    <row r="2597" spans="2:9">
      <c r="B2597">
        <f>'2020_5-2-2_Download'!B57</f>
        <v>460</v>
      </c>
      <c r="C2597">
        <f>'2020_5-2-2_Download'!$AM$5</f>
        <v>2015</v>
      </c>
      <c r="D2597" t="str">
        <f>VLOOKUP(B2597,[1]Tabelle1!$A$1:$B$68,2,FALSE)</f>
        <v>Vechta</v>
      </c>
      <c r="F2597" t="str">
        <f>'2020_5-2-2_Download'!$AR$7</f>
        <v>niedrig</v>
      </c>
      <c r="G2597" t="s">
        <v>362</v>
      </c>
      <c r="H2597" t="str">
        <f>VLOOKUP(B2597,[2]Kreise!$A$2:$C$53,3,FALSE)</f>
        <v>K03460</v>
      </c>
      <c r="I2597">
        <f>'2020_5-2-2_Download'!AR57</f>
        <v>25.830013280212484</v>
      </c>
    </row>
    <row r="2598" spans="2:9">
      <c r="B2598">
        <f>'2020_5-2-2_Download'!B58</f>
        <v>461</v>
      </c>
      <c r="C2598">
        <f>'2020_5-2-2_Download'!$AM$5</f>
        <v>2015</v>
      </c>
      <c r="D2598" t="str">
        <f>VLOOKUP(B2598,[1]Tabelle1!$A$1:$B$68,2,FALSE)</f>
        <v>Wesermarsch</v>
      </c>
      <c r="F2598" t="str">
        <f>'2020_5-2-2_Download'!$AR$7</f>
        <v>niedrig</v>
      </c>
      <c r="G2598" t="s">
        <v>362</v>
      </c>
      <c r="H2598" t="str">
        <f>VLOOKUP(B2598,[2]Kreise!$A$2:$C$53,3,FALSE)</f>
        <v>K03461</v>
      </c>
      <c r="I2598">
        <f>'2020_5-2-2_Download'!AR58</f>
        <v>19.35483870967742</v>
      </c>
    </row>
    <row r="2599" spans="2:9">
      <c r="B2599">
        <f>'2020_5-2-2_Download'!B59</f>
        <v>462</v>
      </c>
      <c r="C2599">
        <f>'2020_5-2-2_Download'!$AM$5</f>
        <v>2015</v>
      </c>
      <c r="D2599" t="str">
        <f>VLOOKUP(B2599,[1]Tabelle1!$A$1:$B$68,2,FALSE)</f>
        <v>Wittmund</v>
      </c>
      <c r="F2599" t="str">
        <f>'2020_5-2-2_Download'!$AR$7</f>
        <v>niedrig</v>
      </c>
      <c r="G2599" t="s">
        <v>362</v>
      </c>
      <c r="H2599" t="str">
        <f>VLOOKUP(B2599,[2]Kreise!$A$2:$C$53,3,FALSE)</f>
        <v>K03462</v>
      </c>
      <c r="I2599">
        <f>'2020_5-2-2_Download'!AR59</f>
        <v>10.666666666666668</v>
      </c>
    </row>
    <row r="2600" spans="2:9">
      <c r="B2600">
        <f>'2020_5-2-2_Download'!B60</f>
        <v>4</v>
      </c>
      <c r="C2600">
        <f>'2020_5-2-2_Download'!$AM$5</f>
        <v>2015</v>
      </c>
      <c r="D2600" t="str">
        <f>VLOOKUP(B2600,[1]Tabelle1!$A$1:$B$68,2,FALSE)</f>
        <v>Stat. Region Weser-Ems</v>
      </c>
      <c r="F2600" t="str">
        <f>'2020_5-2-2_Download'!$AR$7</f>
        <v>niedrig</v>
      </c>
      <c r="G2600" t="s">
        <v>362</v>
      </c>
      <c r="H2600" t="str">
        <f>VLOOKUP(B2600,[2]Kreise!$A$2:$C$53,3,FALSE)</f>
        <v>K034</v>
      </c>
      <c r="I2600">
        <f>'2020_5-2-2_Download'!AR60</f>
        <v>21.524797924358847</v>
      </c>
    </row>
    <row r="2601" spans="2:9">
      <c r="B2601">
        <f>'2020_5-2-2_Download'!B61</f>
        <v>0</v>
      </c>
      <c r="C2601">
        <f>'2020_5-2-2_Download'!$AM$5</f>
        <v>2015</v>
      </c>
      <c r="D2601" t="str">
        <f>VLOOKUP(B2601,[1]Tabelle1!$A$1:$B$68,2,FALSE)</f>
        <v>Niedersachsen</v>
      </c>
      <c r="F2601" t="str">
        <f>'2020_5-2-2_Download'!$AR$7</f>
        <v>niedrig</v>
      </c>
      <c r="G2601" t="s">
        <v>362</v>
      </c>
      <c r="H2601" t="str">
        <f>VLOOKUP(B2601,[2]Kreise!$A$2:$C$53,3,FALSE)</f>
        <v>K030</v>
      </c>
      <c r="I2601">
        <f>'2020_5-2-2_Download'!AR61</f>
        <v>21.830589990370004</v>
      </c>
    </row>
    <row r="2602" spans="2:9">
      <c r="B2602">
        <f>'2020_5-2-2_Download'!B10</f>
        <v>101</v>
      </c>
      <c r="C2602">
        <f>'2020_5-2-2_Download'!$AM$5</f>
        <v>2015</v>
      </c>
      <c r="D2602" t="str">
        <f>VLOOKUP(B2602,[1]Tabelle1!$A$1:$B$68,2,FALSE)</f>
        <v>Braunschweig  Stadt</v>
      </c>
      <c r="F2602" t="str">
        <f>'2020_5-2-2_Download'!$AS$7</f>
        <v>unbekannt</v>
      </c>
      <c r="G2602" t="s">
        <v>362</v>
      </c>
      <c r="H2602" t="str">
        <f>VLOOKUP(B2602,[2]Kreise!$A$2:$C$53,3,FALSE)</f>
        <v>K03101</v>
      </c>
      <c r="I2602" s="266">
        <f>'2020_5-2-2_Download'!AS10</f>
        <v>26.652132443112141</v>
      </c>
    </row>
    <row r="2603" spans="2:9">
      <c r="B2603">
        <f>'2020_5-2-2_Download'!B11</f>
        <v>102</v>
      </c>
      <c r="C2603">
        <f>'2020_5-2-2_Download'!$AM$5</f>
        <v>2015</v>
      </c>
      <c r="D2603" t="str">
        <f>VLOOKUP(B2603,[1]Tabelle1!$A$1:$B$68,2,FALSE)</f>
        <v>Salzgitter  Stadt</v>
      </c>
      <c r="F2603" t="str">
        <f>'2020_5-2-2_Download'!$AS$7</f>
        <v>unbekannt</v>
      </c>
      <c r="G2603" t="s">
        <v>362</v>
      </c>
      <c r="H2603" t="str">
        <f>VLOOKUP(B2603,[2]Kreise!$A$2:$C$53,3,FALSE)</f>
        <v>K03102</v>
      </c>
      <c r="I2603" s="266">
        <f>'2020_5-2-2_Download'!AS11</f>
        <v>27.51461988304094</v>
      </c>
    </row>
    <row r="2604" spans="2:9">
      <c r="B2604">
        <f>'2020_5-2-2_Download'!B12</f>
        <v>103</v>
      </c>
      <c r="C2604">
        <f>'2020_5-2-2_Download'!$AM$5</f>
        <v>2015</v>
      </c>
      <c r="D2604" t="str">
        <f>VLOOKUP(B2604,[1]Tabelle1!$A$1:$B$68,2,FALSE)</f>
        <v>Wolfsburg  Stadt</v>
      </c>
      <c r="F2604" t="str">
        <f>'2020_5-2-2_Download'!$AS$7</f>
        <v>unbekannt</v>
      </c>
      <c r="G2604" t="s">
        <v>362</v>
      </c>
      <c r="H2604" t="str">
        <f>VLOOKUP(B2604,[2]Kreise!$A$2:$C$53,3,FALSE)</f>
        <v>K03103</v>
      </c>
      <c r="I2604" s="266">
        <f>'2020_5-2-2_Download'!AS12</f>
        <v>32.677595628415304</v>
      </c>
    </row>
    <row r="2605" spans="2:9">
      <c r="B2605">
        <f>'2020_5-2-2_Download'!B13</f>
        <v>151</v>
      </c>
      <c r="C2605">
        <f>'2020_5-2-2_Download'!$AM$5</f>
        <v>2015</v>
      </c>
      <c r="D2605" t="str">
        <f>VLOOKUP(B2605,[1]Tabelle1!$A$1:$B$68,2,FALSE)</f>
        <v>Gifhorn</v>
      </c>
      <c r="F2605" t="str">
        <f>'2020_5-2-2_Download'!$AS$7</f>
        <v>unbekannt</v>
      </c>
      <c r="G2605" t="s">
        <v>362</v>
      </c>
      <c r="H2605" t="str">
        <f>VLOOKUP(B2605,[2]Kreise!$A$2:$C$53,3,FALSE)</f>
        <v>K03151</v>
      </c>
      <c r="I2605" s="266">
        <f>'2020_5-2-2_Download'!AS13</f>
        <v>31.928838951310865</v>
      </c>
    </row>
    <row r="2606" spans="2:9">
      <c r="B2606">
        <f>'2020_5-2-2_Download'!B14</f>
        <v>153</v>
      </c>
      <c r="C2606">
        <f>'2020_5-2-2_Download'!$AM$5</f>
        <v>2015</v>
      </c>
      <c r="D2606" t="str">
        <f>VLOOKUP(B2606,[1]Tabelle1!$A$1:$B$68,2,FALSE)</f>
        <v>Goslar</v>
      </c>
      <c r="F2606" t="str">
        <f>'2020_5-2-2_Download'!$AS$7</f>
        <v>unbekannt</v>
      </c>
      <c r="G2606" t="s">
        <v>362</v>
      </c>
      <c r="H2606" t="str">
        <f>VLOOKUP(B2606,[2]Kreise!$A$2:$C$53,3,FALSE)</f>
        <v>K03153</v>
      </c>
      <c r="I2606" s="266">
        <f>'2020_5-2-2_Download'!AS14</f>
        <v>30.304568527918779</v>
      </c>
    </row>
    <row r="2607" spans="2:9">
      <c r="B2607">
        <f>'2020_5-2-2_Download'!B15</f>
        <v>154</v>
      </c>
      <c r="C2607">
        <f>'2020_5-2-2_Download'!$AM$5</f>
        <v>2015</v>
      </c>
      <c r="D2607" t="str">
        <f>VLOOKUP(B2607,[1]Tabelle1!$A$1:$B$68,2,FALSE)</f>
        <v>Helmstedt</v>
      </c>
      <c r="F2607" t="str">
        <f>'2020_5-2-2_Download'!$AS$7</f>
        <v>unbekannt</v>
      </c>
      <c r="G2607" t="s">
        <v>362</v>
      </c>
      <c r="H2607" t="str">
        <f>VLOOKUP(B2607,[2]Kreise!$A$2:$C$53,3,FALSE)</f>
        <v>K03154</v>
      </c>
      <c r="I2607" s="266">
        <f>'2020_5-2-2_Download'!AS15</f>
        <v>26.544943820224717</v>
      </c>
    </row>
    <row r="2608" spans="2:9">
      <c r="B2608">
        <f>'2020_5-2-2_Download'!B16</f>
        <v>155</v>
      </c>
      <c r="C2608">
        <f>'2020_5-2-2_Download'!$AM$5</f>
        <v>2015</v>
      </c>
      <c r="D2608" t="str">
        <f>VLOOKUP(B2608,[1]Tabelle1!$A$1:$B$68,2,FALSE)</f>
        <v>Northeim</v>
      </c>
      <c r="F2608" t="str">
        <f>'2020_5-2-2_Download'!$AS$7</f>
        <v>unbekannt</v>
      </c>
      <c r="G2608" t="s">
        <v>362</v>
      </c>
      <c r="H2608" t="str">
        <f>VLOOKUP(B2608,[2]Kreise!$A$2:$C$53,3,FALSE)</f>
        <v>K03155</v>
      </c>
      <c r="I2608" s="266">
        <f>'2020_5-2-2_Download'!AS16</f>
        <v>23.294346978557506</v>
      </c>
    </row>
    <row r="2609" spans="2:9">
      <c r="B2609">
        <f>'2020_5-2-2_Download'!B17</f>
        <v>157</v>
      </c>
      <c r="C2609">
        <f>'2020_5-2-2_Download'!$AM$5</f>
        <v>2015</v>
      </c>
      <c r="D2609" t="str">
        <f>VLOOKUP(B2609,[1]Tabelle1!$A$1:$B$68,2,FALSE)</f>
        <v>Peine</v>
      </c>
      <c r="F2609" t="str">
        <f>'2020_5-2-2_Download'!$AS$7</f>
        <v>unbekannt</v>
      </c>
      <c r="G2609" t="s">
        <v>362</v>
      </c>
      <c r="H2609" t="str">
        <f>VLOOKUP(B2609,[2]Kreise!$A$2:$C$53,3,FALSE)</f>
        <v>K03157</v>
      </c>
      <c r="I2609" s="266">
        <f>'2020_5-2-2_Download'!AS17</f>
        <v>28.642901813633536</v>
      </c>
    </row>
    <row r="2610" spans="2:9">
      <c r="B2610">
        <f>'2020_5-2-2_Download'!B18</f>
        <v>158</v>
      </c>
      <c r="C2610">
        <f>'2020_5-2-2_Download'!$AM$5</f>
        <v>2015</v>
      </c>
      <c r="D2610" t="str">
        <f>VLOOKUP(B2610,[1]Tabelle1!$A$1:$B$68,2,FALSE)</f>
        <v>Wolfenbüttel</v>
      </c>
      <c r="F2610" t="str">
        <f>'2020_5-2-2_Download'!$AS$7</f>
        <v>unbekannt</v>
      </c>
      <c r="G2610" t="s">
        <v>362</v>
      </c>
      <c r="H2610" t="str">
        <f>VLOOKUP(B2610,[2]Kreise!$A$2:$C$53,3,FALSE)</f>
        <v>K03158</v>
      </c>
      <c r="I2610" s="266">
        <f>'2020_5-2-2_Download'!AS18</f>
        <v>27.909604519774021</v>
      </c>
    </row>
    <row r="2611" spans="2:9">
      <c r="B2611">
        <f>'2020_5-2-2_Download'!B19</f>
        <v>159</v>
      </c>
      <c r="C2611">
        <f>'2020_5-2-2_Download'!$AM$5</f>
        <v>2015</v>
      </c>
      <c r="D2611" t="str">
        <f>VLOOKUP(B2611,[1]Tabelle1!$A$1:$B$68,2,FALSE)</f>
        <v>Göttingen</v>
      </c>
      <c r="F2611" t="str">
        <f>'2020_5-2-2_Download'!$AS$7</f>
        <v>unbekannt</v>
      </c>
      <c r="G2611" t="s">
        <v>362</v>
      </c>
      <c r="H2611" t="str">
        <f>VLOOKUP(B2611,[2]Kreise!$A$2:$C$53,3,FALSE)</f>
        <v>K03159</v>
      </c>
      <c r="I2611" s="266">
        <f>'2020_5-2-2_Download'!AS19</f>
        <v>12.10100047641734</v>
      </c>
    </row>
    <row r="2612" spans="2:9">
      <c r="B2612">
        <f>'2020_5-2-2_Download'!B20</f>
        <v>1</v>
      </c>
      <c r="C2612">
        <f>'2020_5-2-2_Download'!$AM$5</f>
        <v>2015</v>
      </c>
      <c r="D2612" t="str">
        <f>VLOOKUP(B2612,[1]Tabelle1!$A$1:$B$68,2,FALSE)</f>
        <v>Stat. Region Braunschweig</v>
      </c>
      <c r="F2612" t="str">
        <f>'2020_5-2-2_Download'!$AS$7</f>
        <v>unbekannt</v>
      </c>
      <c r="G2612" t="s">
        <v>362</v>
      </c>
      <c r="H2612" t="str">
        <f>VLOOKUP(B2612,[2]Kreise!$A$2:$C$53,3,FALSE)</f>
        <v>K031</v>
      </c>
      <c r="I2612" s="266">
        <f>'2020_5-2-2_Download'!AS20</f>
        <v>27.143888006927408</v>
      </c>
    </row>
    <row r="2613" spans="2:9">
      <c r="B2613">
        <f>'2020_5-2-2_Download'!B21</f>
        <v>241</v>
      </c>
      <c r="C2613">
        <f>'2020_5-2-2_Download'!$AM$5</f>
        <v>2015</v>
      </c>
      <c r="D2613" t="str">
        <f>VLOOKUP(B2613,[1]Tabelle1!$A$1:$B$68,2,FALSE)</f>
        <v>Hannover  Region</v>
      </c>
      <c r="F2613" t="str">
        <f>'2020_5-2-2_Download'!$AS$7</f>
        <v>unbekannt</v>
      </c>
      <c r="G2613" t="s">
        <v>362</v>
      </c>
      <c r="H2613" t="str">
        <f>VLOOKUP(B2613,[2]Kreise!$A$2:$C$53,3,FALSE)</f>
        <v>K03241</v>
      </c>
      <c r="I2613" s="266">
        <f>'2020_5-2-2_Download'!AS21</f>
        <v>29.948239923179617</v>
      </c>
    </row>
    <row r="2614" spans="2:9">
      <c r="B2614">
        <f>'2020_5-2-2_Download'!B22</f>
        <v>241001</v>
      </c>
      <c r="C2614">
        <f>'2020_5-2-2_Download'!$AM$5</f>
        <v>2015</v>
      </c>
      <c r="D2614" t="str">
        <f>VLOOKUP(B2614,[1]Tabelle1!$A$1:$B$68,2,FALSE)</f>
        <v>dav. Hannover  Lhst.</v>
      </c>
      <c r="F2614" t="str">
        <f>'2020_5-2-2_Download'!$AS$7</f>
        <v>unbekannt</v>
      </c>
      <c r="G2614" t="s">
        <v>362</v>
      </c>
      <c r="H2614" t="str">
        <f>VLOOKUP(B2614,[2]Kreise!$A$2:$C$53,3,FALSE)</f>
        <v>K03241001</v>
      </c>
      <c r="I2614" s="266">
        <f>'2020_5-2-2_Download'!AS22</f>
        <v>28.838820277787491</v>
      </c>
    </row>
    <row r="2615" spans="2:9">
      <c r="B2615">
        <f>'2020_5-2-2_Download'!B23</f>
        <v>241999</v>
      </c>
      <c r="C2615">
        <f>'2020_5-2-2_Download'!$AM$5</f>
        <v>2015</v>
      </c>
      <c r="D2615" t="str">
        <f>VLOOKUP(B2615,[1]Tabelle1!$A$1:$B$68,2,FALSE)</f>
        <v>dav. Hannover  Umland</v>
      </c>
      <c r="F2615" t="str">
        <f>'2020_5-2-2_Download'!$AS$7</f>
        <v>unbekannt</v>
      </c>
      <c r="G2615" t="s">
        <v>362</v>
      </c>
      <c r="H2615" t="str">
        <f>VLOOKUP(B2615,[2]Kreise!$A$2:$C$53,3,FALSE)</f>
        <v>K03241999</v>
      </c>
      <c r="I2615" s="266">
        <f>'2020_5-2-2_Download'!AS23</f>
        <v>32.194983704123558</v>
      </c>
    </row>
    <row r="2616" spans="2:9">
      <c r="B2616">
        <f>'2020_5-2-2_Download'!B24</f>
        <v>251</v>
      </c>
      <c r="C2616">
        <f>'2020_5-2-2_Download'!$AM$5</f>
        <v>2015</v>
      </c>
      <c r="D2616" t="str">
        <f>VLOOKUP(B2616,[1]Tabelle1!$A$1:$B$68,2,FALSE)</f>
        <v>Diepholz</v>
      </c>
      <c r="F2616" t="str">
        <f>'2020_5-2-2_Download'!$AS$7</f>
        <v>unbekannt</v>
      </c>
      <c r="G2616" t="s">
        <v>362</v>
      </c>
      <c r="H2616" t="str">
        <f>VLOOKUP(B2616,[2]Kreise!$A$2:$C$53,3,FALSE)</f>
        <v>K03251</v>
      </c>
      <c r="I2616" s="266">
        <f>'2020_5-2-2_Download'!AS24</f>
        <v>36.524728907696378</v>
      </c>
    </row>
    <row r="2617" spans="2:9">
      <c r="B2617">
        <f>'2020_5-2-2_Download'!B25</f>
        <v>252</v>
      </c>
      <c r="C2617">
        <f>'2020_5-2-2_Download'!$AM$5</f>
        <v>2015</v>
      </c>
      <c r="D2617" t="str">
        <f>VLOOKUP(B2617,[1]Tabelle1!$A$1:$B$68,2,FALSE)</f>
        <v>Hameln-Pyrmont</v>
      </c>
      <c r="F2617" t="str">
        <f>'2020_5-2-2_Download'!$AS$7</f>
        <v>unbekannt</v>
      </c>
      <c r="G2617" t="s">
        <v>362</v>
      </c>
      <c r="H2617" t="str">
        <f>VLOOKUP(B2617,[2]Kreise!$A$2:$C$53,3,FALSE)</f>
        <v>K03252</v>
      </c>
      <c r="I2617" s="266">
        <f>'2020_5-2-2_Download'!AS25</f>
        <v>27.781765972720741</v>
      </c>
    </row>
    <row r="2618" spans="2:9">
      <c r="B2618">
        <f>'2020_5-2-2_Download'!B26</f>
        <v>254</v>
      </c>
      <c r="C2618">
        <f>'2020_5-2-2_Download'!$AM$5</f>
        <v>2015</v>
      </c>
      <c r="D2618" t="str">
        <f>VLOOKUP(B2618,[1]Tabelle1!$A$1:$B$68,2,FALSE)</f>
        <v>Hildesheim</v>
      </c>
      <c r="F2618" t="str">
        <f>'2020_5-2-2_Download'!$AS$7</f>
        <v>unbekannt</v>
      </c>
      <c r="G2618" t="s">
        <v>362</v>
      </c>
      <c r="H2618" t="str">
        <f>VLOOKUP(B2618,[2]Kreise!$A$2:$C$53,3,FALSE)</f>
        <v>K03254</v>
      </c>
      <c r="I2618" s="266">
        <f>'2020_5-2-2_Download'!AS26</f>
        <v>22.969477496120021</v>
      </c>
    </row>
    <row r="2619" spans="2:9">
      <c r="B2619">
        <f>'2020_5-2-2_Download'!B27</f>
        <v>255</v>
      </c>
      <c r="C2619">
        <f>'2020_5-2-2_Download'!$AM$5</f>
        <v>2015</v>
      </c>
      <c r="D2619" t="str">
        <f>VLOOKUP(B2619,[1]Tabelle1!$A$1:$B$68,2,FALSE)</f>
        <v>Holzminden</v>
      </c>
      <c r="F2619" t="str">
        <f>'2020_5-2-2_Download'!$AS$7</f>
        <v>unbekannt</v>
      </c>
      <c r="G2619" t="s">
        <v>362</v>
      </c>
      <c r="H2619" t="str">
        <f>VLOOKUP(B2619,[2]Kreise!$A$2:$C$53,3,FALSE)</f>
        <v>K03255</v>
      </c>
      <c r="I2619" s="266">
        <f>'2020_5-2-2_Download'!AS27</f>
        <v>20.21151586368978</v>
      </c>
    </row>
    <row r="2620" spans="2:9">
      <c r="B2620">
        <f>'2020_5-2-2_Download'!B28</f>
        <v>256</v>
      </c>
      <c r="C2620">
        <f>'2020_5-2-2_Download'!$AM$5</f>
        <v>2015</v>
      </c>
      <c r="D2620" t="str">
        <f>VLOOKUP(B2620,[1]Tabelle1!$A$1:$B$68,2,FALSE)</f>
        <v>Nienburg (Weser)</v>
      </c>
      <c r="F2620" t="str">
        <f>'2020_5-2-2_Download'!$AS$7</f>
        <v>unbekannt</v>
      </c>
      <c r="G2620" t="s">
        <v>362</v>
      </c>
      <c r="H2620" t="str">
        <f>VLOOKUP(B2620,[2]Kreise!$A$2:$C$53,3,FALSE)</f>
        <v>K03256</v>
      </c>
      <c r="I2620" s="266">
        <f>'2020_5-2-2_Download'!AS28</f>
        <v>38.763493621197256</v>
      </c>
    </row>
    <row r="2621" spans="2:9">
      <c r="B2621">
        <f>'2020_5-2-2_Download'!B29</f>
        <v>257</v>
      </c>
      <c r="C2621">
        <f>'2020_5-2-2_Download'!$AM$5</f>
        <v>2015</v>
      </c>
      <c r="D2621" t="str">
        <f>VLOOKUP(B2621,[1]Tabelle1!$A$1:$B$68,2,FALSE)</f>
        <v>Schaumburg</v>
      </c>
      <c r="F2621" t="str">
        <f>'2020_5-2-2_Download'!$AS$7</f>
        <v>unbekannt</v>
      </c>
      <c r="G2621" t="s">
        <v>362</v>
      </c>
      <c r="H2621" t="str">
        <f>VLOOKUP(B2621,[2]Kreise!$A$2:$C$53,3,FALSE)</f>
        <v>K03257</v>
      </c>
      <c r="I2621" s="266">
        <f>'2020_5-2-2_Download'!AS29</f>
        <v>26.132404181184672</v>
      </c>
    </row>
    <row r="2622" spans="2:9">
      <c r="B2622">
        <f>'2020_5-2-2_Download'!B30</f>
        <v>2</v>
      </c>
      <c r="C2622">
        <f>'2020_5-2-2_Download'!$AM$5</f>
        <v>2015</v>
      </c>
      <c r="D2622" t="str">
        <f>VLOOKUP(B2622,[1]Tabelle1!$A$1:$B$68,2,FALSE)</f>
        <v>Stat. Region Hannover</v>
      </c>
      <c r="F2622" t="str">
        <f>'2020_5-2-2_Download'!$AS$7</f>
        <v>unbekannt</v>
      </c>
      <c r="G2622" t="s">
        <v>362</v>
      </c>
      <c r="H2622" t="str">
        <f>VLOOKUP(B2622,[2]Kreise!$A$2:$C$53,3,FALSE)</f>
        <v>K032</v>
      </c>
      <c r="I2622" s="266">
        <f>'2020_5-2-2_Download'!AS30</f>
        <v>29.824230472434188</v>
      </c>
    </row>
    <row r="2623" spans="2:9">
      <c r="B2623">
        <f>'2020_5-2-2_Download'!B31</f>
        <v>351</v>
      </c>
      <c r="C2623">
        <f>'2020_5-2-2_Download'!$AM$5</f>
        <v>2015</v>
      </c>
      <c r="D2623" t="str">
        <f>VLOOKUP(B2623,[1]Tabelle1!$A$1:$B$68,2,FALSE)</f>
        <v>Celle</v>
      </c>
      <c r="F2623" t="str">
        <f>'2020_5-2-2_Download'!$AS$7</f>
        <v>unbekannt</v>
      </c>
      <c r="G2623" t="s">
        <v>362</v>
      </c>
      <c r="H2623" t="str">
        <f>VLOOKUP(B2623,[2]Kreise!$A$2:$C$53,3,FALSE)</f>
        <v>K03351</v>
      </c>
      <c r="I2623" s="266">
        <f>'2020_5-2-2_Download'!AS31</f>
        <v>25.144175317185699</v>
      </c>
    </row>
    <row r="2624" spans="2:9">
      <c r="B2624">
        <f>'2020_5-2-2_Download'!B32</f>
        <v>352</v>
      </c>
      <c r="C2624">
        <f>'2020_5-2-2_Download'!$AM$5</f>
        <v>2015</v>
      </c>
      <c r="D2624" t="str">
        <f>VLOOKUP(B2624,[1]Tabelle1!$A$1:$B$68,2,FALSE)</f>
        <v>Cuxhaven</v>
      </c>
      <c r="F2624" t="str">
        <f>'2020_5-2-2_Download'!$AS$7</f>
        <v>unbekannt</v>
      </c>
      <c r="G2624" t="s">
        <v>362</v>
      </c>
      <c r="H2624" t="str">
        <f>VLOOKUP(B2624,[2]Kreise!$A$2:$C$53,3,FALSE)</f>
        <v>K03352</v>
      </c>
      <c r="I2624" s="266">
        <f>'2020_5-2-2_Download'!AS32</f>
        <v>41.214382632293081</v>
      </c>
    </row>
    <row r="2625" spans="2:9">
      <c r="B2625">
        <f>'2020_5-2-2_Download'!B33</f>
        <v>353</v>
      </c>
      <c r="C2625">
        <f>'2020_5-2-2_Download'!$AM$5</f>
        <v>2015</v>
      </c>
      <c r="D2625" t="str">
        <f>VLOOKUP(B2625,[1]Tabelle1!$A$1:$B$68,2,FALSE)</f>
        <v>Harburg</v>
      </c>
      <c r="F2625" t="str">
        <f>'2020_5-2-2_Download'!$AS$7</f>
        <v>unbekannt</v>
      </c>
      <c r="G2625" t="s">
        <v>362</v>
      </c>
      <c r="H2625" t="str">
        <f>VLOOKUP(B2625,[2]Kreise!$A$2:$C$53,3,FALSE)</f>
        <v>K03353</v>
      </c>
      <c r="I2625" s="266">
        <f>'2020_5-2-2_Download'!AS33</f>
        <v>46.987951807228917</v>
      </c>
    </row>
    <row r="2626" spans="2:9">
      <c r="B2626">
        <f>'2020_5-2-2_Download'!B34</f>
        <v>354</v>
      </c>
      <c r="C2626">
        <f>'2020_5-2-2_Download'!$AM$5</f>
        <v>2015</v>
      </c>
      <c r="D2626" t="str">
        <f>VLOOKUP(B2626,[1]Tabelle1!$A$1:$B$68,2,FALSE)</f>
        <v>Lüchow-Dannenberg</v>
      </c>
      <c r="F2626" t="str">
        <f>'2020_5-2-2_Download'!$AS$7</f>
        <v>unbekannt</v>
      </c>
      <c r="G2626" t="s">
        <v>362</v>
      </c>
      <c r="H2626" t="str">
        <f>VLOOKUP(B2626,[2]Kreise!$A$2:$C$53,3,FALSE)</f>
        <v>K03354</v>
      </c>
      <c r="I2626" s="266">
        <f>'2020_5-2-2_Download'!AS34</f>
        <v>61.367249602543716</v>
      </c>
    </row>
    <row r="2627" spans="2:9">
      <c r="B2627">
        <f>'2020_5-2-2_Download'!B35</f>
        <v>355</v>
      </c>
      <c r="C2627">
        <f>'2020_5-2-2_Download'!$AM$5</f>
        <v>2015</v>
      </c>
      <c r="D2627" t="str">
        <f>VLOOKUP(B2627,[1]Tabelle1!$A$1:$B$68,2,FALSE)</f>
        <v>Lüneburg</v>
      </c>
      <c r="F2627" t="str">
        <f>'2020_5-2-2_Download'!$AS$7</f>
        <v>unbekannt</v>
      </c>
      <c r="G2627" t="s">
        <v>362</v>
      </c>
      <c r="H2627" t="str">
        <f>VLOOKUP(B2627,[2]Kreise!$A$2:$C$53,3,FALSE)</f>
        <v>K03355</v>
      </c>
      <c r="I2627" s="266">
        <f>'2020_5-2-2_Download'!AS35</f>
        <v>28.67042009527934</v>
      </c>
    </row>
    <row r="2628" spans="2:9">
      <c r="B2628">
        <f>'2020_5-2-2_Download'!B36</f>
        <v>356</v>
      </c>
      <c r="C2628">
        <f>'2020_5-2-2_Download'!$AM$5</f>
        <v>2015</v>
      </c>
      <c r="D2628" t="str">
        <f>VLOOKUP(B2628,[1]Tabelle1!$A$1:$B$68,2,FALSE)</f>
        <v>Osterholz</v>
      </c>
      <c r="F2628" t="str">
        <f>'2020_5-2-2_Download'!$AS$7</f>
        <v>unbekannt</v>
      </c>
      <c r="G2628" t="s">
        <v>362</v>
      </c>
      <c r="H2628" t="str">
        <f>VLOOKUP(B2628,[2]Kreise!$A$2:$C$53,3,FALSE)</f>
        <v>K03356</v>
      </c>
      <c r="I2628" s="266">
        <f>'2020_5-2-2_Download'!AS36</f>
        <v>31.59392789373814</v>
      </c>
    </row>
    <row r="2629" spans="2:9">
      <c r="B2629">
        <f>'2020_5-2-2_Download'!B37</f>
        <v>357</v>
      </c>
      <c r="C2629">
        <f>'2020_5-2-2_Download'!$AM$5</f>
        <v>2015</v>
      </c>
      <c r="D2629" t="str">
        <f>VLOOKUP(B2629,[1]Tabelle1!$A$1:$B$68,2,FALSE)</f>
        <v>Rotenburg (Wümme)</v>
      </c>
      <c r="F2629" t="str">
        <f>'2020_5-2-2_Download'!$AS$7</f>
        <v>unbekannt</v>
      </c>
      <c r="G2629" t="s">
        <v>362</v>
      </c>
      <c r="H2629" t="str">
        <f>VLOOKUP(B2629,[2]Kreise!$A$2:$C$53,3,FALSE)</f>
        <v>K03357</v>
      </c>
      <c r="I2629" s="266">
        <f>'2020_5-2-2_Download'!AS37</f>
        <v>38.761776581426652</v>
      </c>
    </row>
    <row r="2630" spans="2:9">
      <c r="B2630">
        <f>'2020_5-2-2_Download'!B38</f>
        <v>358</v>
      </c>
      <c r="C2630">
        <f>'2020_5-2-2_Download'!$AM$5</f>
        <v>2015</v>
      </c>
      <c r="D2630" t="str">
        <f>VLOOKUP(B2630,[1]Tabelle1!$A$1:$B$68,2,FALSE)</f>
        <v>Heidekreis</v>
      </c>
      <c r="F2630" t="str">
        <f>'2020_5-2-2_Download'!$AS$7</f>
        <v>unbekannt</v>
      </c>
      <c r="G2630" t="s">
        <v>362</v>
      </c>
      <c r="H2630" t="str">
        <f>VLOOKUP(B2630,[2]Kreise!$A$2:$C$53,3,FALSE)</f>
        <v>K03358</v>
      </c>
      <c r="I2630" s="266">
        <f>'2020_5-2-2_Download'!AS38</f>
        <v>35.144927536231883</v>
      </c>
    </row>
    <row r="2631" spans="2:9">
      <c r="B2631">
        <f>'2020_5-2-2_Download'!B39</f>
        <v>359</v>
      </c>
      <c r="C2631">
        <f>'2020_5-2-2_Download'!$AM$5</f>
        <v>2015</v>
      </c>
      <c r="D2631" t="str">
        <f>VLOOKUP(B2631,[1]Tabelle1!$A$1:$B$68,2,FALSE)</f>
        <v>Stade</v>
      </c>
      <c r="F2631" t="str">
        <f>'2020_5-2-2_Download'!$AS$7</f>
        <v>unbekannt</v>
      </c>
      <c r="G2631" t="s">
        <v>362</v>
      </c>
      <c r="H2631" t="str">
        <f>VLOOKUP(B2631,[2]Kreise!$A$2:$C$53,3,FALSE)</f>
        <v>K03359</v>
      </c>
      <c r="I2631" s="266">
        <f>'2020_5-2-2_Download'!AS39</f>
        <v>55.232138561462591</v>
      </c>
    </row>
    <row r="2632" spans="2:9">
      <c r="B2632">
        <f>'2020_5-2-2_Download'!B40</f>
        <v>360</v>
      </c>
      <c r="C2632">
        <f>'2020_5-2-2_Download'!$AM$5</f>
        <v>2015</v>
      </c>
      <c r="D2632" t="str">
        <f>VLOOKUP(B2632,[1]Tabelle1!$A$1:$B$68,2,FALSE)</f>
        <v>Uelzen</v>
      </c>
      <c r="F2632" t="str">
        <f>'2020_5-2-2_Download'!$AS$7</f>
        <v>unbekannt</v>
      </c>
      <c r="G2632" t="s">
        <v>362</v>
      </c>
      <c r="H2632" t="str">
        <f>VLOOKUP(B2632,[2]Kreise!$A$2:$C$53,3,FALSE)</f>
        <v>K03360</v>
      </c>
      <c r="I2632" s="266">
        <f>'2020_5-2-2_Download'!AS40</f>
        <v>32.848232848232854</v>
      </c>
    </row>
    <row r="2633" spans="2:9">
      <c r="B2633">
        <f>'2020_5-2-2_Download'!B41</f>
        <v>361</v>
      </c>
      <c r="C2633">
        <f>'2020_5-2-2_Download'!$AM$5</f>
        <v>2015</v>
      </c>
      <c r="D2633" t="str">
        <f>VLOOKUP(B2633,[1]Tabelle1!$A$1:$B$68,2,FALSE)</f>
        <v>Verden</v>
      </c>
      <c r="F2633" t="str">
        <f>'2020_5-2-2_Download'!$AS$7</f>
        <v>unbekannt</v>
      </c>
      <c r="G2633" t="s">
        <v>362</v>
      </c>
      <c r="H2633" t="str">
        <f>VLOOKUP(B2633,[2]Kreise!$A$2:$C$53,3,FALSE)</f>
        <v>K03361</v>
      </c>
      <c r="I2633" s="266">
        <f>'2020_5-2-2_Download'!AS41</f>
        <v>33.628972653362908</v>
      </c>
    </row>
    <row r="2634" spans="2:9">
      <c r="B2634">
        <f>'2020_5-2-2_Download'!B42</f>
        <v>3</v>
      </c>
      <c r="C2634">
        <f>'2020_5-2-2_Download'!$AM$5</f>
        <v>2015</v>
      </c>
      <c r="D2634" t="str">
        <f>VLOOKUP(B2634,[1]Tabelle1!$A$1:$B$68,2,FALSE)</f>
        <v>Stat. Region Lüneburg</v>
      </c>
      <c r="F2634" t="str">
        <f>'2020_5-2-2_Download'!$AS$7</f>
        <v>unbekannt</v>
      </c>
      <c r="G2634" t="s">
        <v>362</v>
      </c>
      <c r="H2634" t="str">
        <f>VLOOKUP(B2634,[2]Kreise!$A$2:$C$53,3,FALSE)</f>
        <v>K033</v>
      </c>
      <c r="I2634" s="266">
        <f>'2020_5-2-2_Download'!AS42</f>
        <v>39.964609766198556</v>
      </c>
    </row>
    <row r="2635" spans="2:9">
      <c r="B2635">
        <f>'2020_5-2-2_Download'!B43</f>
        <v>401</v>
      </c>
      <c r="C2635">
        <f>'2020_5-2-2_Download'!$AM$5</f>
        <v>2015</v>
      </c>
      <c r="D2635" t="str">
        <f>VLOOKUP(B2635,[1]Tabelle1!$A$1:$B$68,2,FALSE)</f>
        <v>Delmenhorst  Stadt</v>
      </c>
      <c r="F2635" t="str">
        <f>'2020_5-2-2_Download'!$AS$7</f>
        <v>unbekannt</v>
      </c>
      <c r="G2635" t="s">
        <v>362</v>
      </c>
      <c r="H2635" t="str">
        <f>VLOOKUP(B2635,[2]Kreise!$A$2:$C$53,3,FALSE)</f>
        <v>K03401</v>
      </c>
      <c r="I2635" s="266">
        <f>'2020_5-2-2_Download'!AS43</f>
        <v>37.510729613733915</v>
      </c>
    </row>
    <row r="2636" spans="2:9">
      <c r="B2636">
        <f>'2020_5-2-2_Download'!B44</f>
        <v>402</v>
      </c>
      <c r="C2636">
        <f>'2020_5-2-2_Download'!$AM$5</f>
        <v>2015</v>
      </c>
      <c r="D2636" t="str">
        <f>VLOOKUP(B2636,[1]Tabelle1!$A$1:$B$68,2,FALSE)</f>
        <v>Emden  Stadt</v>
      </c>
      <c r="F2636" t="str">
        <f>'2020_5-2-2_Download'!$AS$7</f>
        <v>unbekannt</v>
      </c>
      <c r="G2636" t="s">
        <v>362</v>
      </c>
      <c r="H2636" t="str">
        <f>VLOOKUP(B2636,[2]Kreise!$A$2:$C$53,3,FALSE)</f>
        <v>K03402</v>
      </c>
      <c r="I2636" s="266">
        <f>'2020_5-2-2_Download'!AS44</f>
        <v>30.059721300597214</v>
      </c>
    </row>
    <row r="2637" spans="2:9">
      <c r="B2637">
        <f>'2020_5-2-2_Download'!B45</f>
        <v>403</v>
      </c>
      <c r="C2637">
        <f>'2020_5-2-2_Download'!$AM$5</f>
        <v>2015</v>
      </c>
      <c r="D2637" t="str">
        <f>VLOOKUP(B2637,[1]Tabelle1!$A$1:$B$68,2,FALSE)</f>
        <v>Oldenburg(Oldb)  Stadt</v>
      </c>
      <c r="F2637" t="str">
        <f>'2020_5-2-2_Download'!$AS$7</f>
        <v>unbekannt</v>
      </c>
      <c r="G2637" t="s">
        <v>362</v>
      </c>
      <c r="H2637" t="str">
        <f>VLOOKUP(B2637,[2]Kreise!$A$2:$C$53,3,FALSE)</f>
        <v>K03403</v>
      </c>
      <c r="I2637" s="266">
        <f>'2020_5-2-2_Download'!AS45</f>
        <v>29.655808236017211</v>
      </c>
    </row>
    <row r="2638" spans="2:9">
      <c r="B2638">
        <f>'2020_5-2-2_Download'!B46</f>
        <v>404</v>
      </c>
      <c r="C2638">
        <f>'2020_5-2-2_Download'!$AM$5</f>
        <v>2015</v>
      </c>
      <c r="D2638" t="str">
        <f>VLOOKUP(B2638,[1]Tabelle1!$A$1:$B$68,2,FALSE)</f>
        <v>Osnabrück  Stadt</v>
      </c>
      <c r="F2638" t="str">
        <f>'2020_5-2-2_Download'!$AS$7</f>
        <v>unbekannt</v>
      </c>
      <c r="G2638" t="s">
        <v>362</v>
      </c>
      <c r="H2638" t="str">
        <f>VLOOKUP(B2638,[2]Kreise!$A$2:$C$53,3,FALSE)</f>
        <v>K03404</v>
      </c>
      <c r="I2638" s="266">
        <f>'2020_5-2-2_Download'!AS46</f>
        <v>28.376944837340876</v>
      </c>
    </row>
    <row r="2639" spans="2:9">
      <c r="B2639">
        <f>'2020_5-2-2_Download'!B47</f>
        <v>405</v>
      </c>
      <c r="C2639">
        <f>'2020_5-2-2_Download'!$AM$5</f>
        <v>2015</v>
      </c>
      <c r="D2639" t="str">
        <f>VLOOKUP(B2639,[1]Tabelle1!$A$1:$B$68,2,FALSE)</f>
        <v>Wilhelmshaven  Stadt</v>
      </c>
      <c r="F2639" t="str">
        <f>'2020_5-2-2_Download'!$AS$7</f>
        <v>unbekannt</v>
      </c>
      <c r="G2639" t="s">
        <v>362</v>
      </c>
      <c r="H2639" t="str">
        <f>VLOOKUP(B2639,[2]Kreise!$A$2:$C$53,3,FALSE)</f>
        <v>K03405</v>
      </c>
      <c r="I2639" s="266">
        <f>'2020_5-2-2_Download'!AS47</f>
        <v>30.083857442348009</v>
      </c>
    </row>
    <row r="2640" spans="2:9">
      <c r="B2640">
        <f>'2020_5-2-2_Download'!B48</f>
        <v>451</v>
      </c>
      <c r="C2640">
        <f>'2020_5-2-2_Download'!$AM$5</f>
        <v>2015</v>
      </c>
      <c r="D2640" t="str">
        <f>VLOOKUP(B2640,[1]Tabelle1!$A$1:$B$68,2,FALSE)</f>
        <v>Ammerland</v>
      </c>
      <c r="F2640" t="str">
        <f>'2020_5-2-2_Download'!$AS$7</f>
        <v>unbekannt</v>
      </c>
      <c r="G2640" t="s">
        <v>362</v>
      </c>
      <c r="H2640" t="str">
        <f>VLOOKUP(B2640,[2]Kreise!$A$2:$C$53,3,FALSE)</f>
        <v>K03451</v>
      </c>
      <c r="I2640" s="266">
        <f>'2020_5-2-2_Download'!AS48</f>
        <v>48.211977595863857</v>
      </c>
    </row>
    <row r="2641" spans="2:9">
      <c r="B2641">
        <f>'2020_5-2-2_Download'!B49</f>
        <v>452</v>
      </c>
      <c r="C2641">
        <f>'2020_5-2-2_Download'!$AM$5</f>
        <v>2015</v>
      </c>
      <c r="D2641" t="str">
        <f>VLOOKUP(B2641,[1]Tabelle1!$A$1:$B$68,2,FALSE)</f>
        <v>Aurich</v>
      </c>
      <c r="F2641" t="str">
        <f>'2020_5-2-2_Download'!$AS$7</f>
        <v>unbekannt</v>
      </c>
      <c r="G2641" t="s">
        <v>362</v>
      </c>
      <c r="H2641" t="str">
        <f>VLOOKUP(B2641,[2]Kreise!$A$2:$C$53,3,FALSE)</f>
        <v>K03452</v>
      </c>
      <c r="I2641" s="266">
        <f>'2020_5-2-2_Download'!AS49</f>
        <v>43.086109365179141</v>
      </c>
    </row>
    <row r="2642" spans="2:9">
      <c r="B2642">
        <f>'2020_5-2-2_Download'!B50</f>
        <v>453</v>
      </c>
      <c r="C2642">
        <f>'2020_5-2-2_Download'!$AM$5</f>
        <v>2015</v>
      </c>
      <c r="D2642" t="str">
        <f>VLOOKUP(B2642,[1]Tabelle1!$A$1:$B$68,2,FALSE)</f>
        <v>Cloppenburg</v>
      </c>
      <c r="F2642" t="str">
        <f>'2020_5-2-2_Download'!$AS$7</f>
        <v>unbekannt</v>
      </c>
      <c r="G2642" t="s">
        <v>362</v>
      </c>
      <c r="H2642" t="str">
        <f>VLOOKUP(B2642,[2]Kreise!$A$2:$C$53,3,FALSE)</f>
        <v>K03453</v>
      </c>
      <c r="I2642" s="266">
        <f>'2020_5-2-2_Download'!AS50</f>
        <v>53.942477010369785</v>
      </c>
    </row>
    <row r="2643" spans="2:9">
      <c r="B2643">
        <f>'2020_5-2-2_Download'!B51</f>
        <v>454</v>
      </c>
      <c r="C2643">
        <f>'2020_5-2-2_Download'!$AM$5</f>
        <v>2015</v>
      </c>
      <c r="D2643" t="str">
        <f>VLOOKUP(B2643,[1]Tabelle1!$A$1:$B$68,2,FALSE)</f>
        <v>Emsland</v>
      </c>
      <c r="F2643" t="str">
        <f>'2020_5-2-2_Download'!$AS$7</f>
        <v>unbekannt</v>
      </c>
      <c r="G2643" t="s">
        <v>362</v>
      </c>
      <c r="H2643" t="str">
        <f>VLOOKUP(B2643,[2]Kreise!$A$2:$C$53,3,FALSE)</f>
        <v>K03454</v>
      </c>
      <c r="I2643" s="266">
        <f>'2020_5-2-2_Download'!AS51</f>
        <v>46.95551852326625</v>
      </c>
    </row>
    <row r="2644" spans="2:9">
      <c r="B2644">
        <f>'2020_5-2-2_Download'!B52</f>
        <v>455</v>
      </c>
      <c r="C2644">
        <f>'2020_5-2-2_Download'!$AM$5</f>
        <v>2015</v>
      </c>
      <c r="D2644" t="str">
        <f>VLOOKUP(B2644,[1]Tabelle1!$A$1:$B$68,2,FALSE)</f>
        <v>Friesland</v>
      </c>
      <c r="F2644" t="str">
        <f>'2020_5-2-2_Download'!$AS$7</f>
        <v>unbekannt</v>
      </c>
      <c r="G2644" t="s">
        <v>362</v>
      </c>
      <c r="H2644" t="str">
        <f>VLOOKUP(B2644,[2]Kreise!$A$2:$C$53,3,FALSE)</f>
        <v>K03455</v>
      </c>
      <c r="I2644" s="266">
        <f>'2020_5-2-2_Download'!AS52</f>
        <v>39.75026014568158</v>
      </c>
    </row>
    <row r="2645" spans="2:9">
      <c r="B2645">
        <f>'2020_5-2-2_Download'!B53</f>
        <v>456</v>
      </c>
      <c r="C2645">
        <f>'2020_5-2-2_Download'!$AM$5</f>
        <v>2015</v>
      </c>
      <c r="D2645" t="str">
        <f>VLOOKUP(B2645,[1]Tabelle1!$A$1:$B$68,2,FALSE)</f>
        <v>Grafschaft Bentheim</v>
      </c>
      <c r="F2645" t="str">
        <f>'2020_5-2-2_Download'!$AS$7</f>
        <v>unbekannt</v>
      </c>
      <c r="G2645" t="s">
        <v>362</v>
      </c>
      <c r="H2645" t="str">
        <f>VLOOKUP(B2645,[2]Kreise!$A$2:$C$53,3,FALSE)</f>
        <v>K03456</v>
      </c>
      <c r="I2645" s="266">
        <f>'2020_5-2-2_Download'!AS53</f>
        <v>36.968766001024065</v>
      </c>
    </row>
    <row r="2646" spans="2:9">
      <c r="B2646">
        <f>'2020_5-2-2_Download'!B54</f>
        <v>457</v>
      </c>
      <c r="C2646">
        <f>'2020_5-2-2_Download'!$AM$5</f>
        <v>2015</v>
      </c>
      <c r="D2646" t="str">
        <f>VLOOKUP(B2646,[1]Tabelle1!$A$1:$B$68,2,FALSE)</f>
        <v>Leer</v>
      </c>
      <c r="F2646" t="str">
        <f>'2020_5-2-2_Download'!$AS$7</f>
        <v>unbekannt</v>
      </c>
      <c r="G2646" t="s">
        <v>362</v>
      </c>
      <c r="H2646" t="str">
        <f>VLOOKUP(B2646,[2]Kreise!$A$2:$C$53,3,FALSE)</f>
        <v>K03457</v>
      </c>
      <c r="I2646" s="266">
        <f>'2020_5-2-2_Download'!AS54</f>
        <v>43.265682656826563</v>
      </c>
    </row>
    <row r="2647" spans="2:9">
      <c r="B2647">
        <f>'2020_5-2-2_Download'!B55</f>
        <v>458</v>
      </c>
      <c r="C2647">
        <f>'2020_5-2-2_Download'!$AM$5</f>
        <v>2015</v>
      </c>
      <c r="D2647" t="str">
        <f>VLOOKUP(B2647,[1]Tabelle1!$A$1:$B$68,2,FALSE)</f>
        <v>Oldenburg</v>
      </c>
      <c r="F2647" t="str">
        <f>'2020_5-2-2_Download'!$AS$7</f>
        <v>unbekannt</v>
      </c>
      <c r="G2647" t="s">
        <v>362</v>
      </c>
      <c r="H2647" t="str">
        <f>VLOOKUP(B2647,[2]Kreise!$A$2:$C$53,3,FALSE)</f>
        <v>K03458</v>
      </c>
      <c r="I2647" s="266">
        <f>'2020_5-2-2_Download'!AS55</f>
        <v>50.968992248062015</v>
      </c>
    </row>
    <row r="2648" spans="2:9">
      <c r="B2648">
        <f>'2020_5-2-2_Download'!B56</f>
        <v>459</v>
      </c>
      <c r="C2648">
        <f>'2020_5-2-2_Download'!$AM$5</f>
        <v>2015</v>
      </c>
      <c r="D2648" t="str">
        <f>VLOOKUP(B2648,[1]Tabelle1!$A$1:$B$68,2,FALSE)</f>
        <v>Osnabrück</v>
      </c>
      <c r="F2648" t="str">
        <f>'2020_5-2-2_Download'!$AS$7</f>
        <v>unbekannt</v>
      </c>
      <c r="G2648" t="s">
        <v>362</v>
      </c>
      <c r="H2648" t="str">
        <f>VLOOKUP(B2648,[2]Kreise!$A$2:$C$53,3,FALSE)</f>
        <v>K03459</v>
      </c>
      <c r="I2648" s="266">
        <f>'2020_5-2-2_Download'!AS56</f>
        <v>45.451022187772494</v>
      </c>
    </row>
    <row r="2649" spans="2:9">
      <c r="B2649">
        <f>'2020_5-2-2_Download'!B57</f>
        <v>460</v>
      </c>
      <c r="C2649">
        <f>'2020_5-2-2_Download'!$AM$5</f>
        <v>2015</v>
      </c>
      <c r="D2649" t="str">
        <f>VLOOKUP(B2649,[1]Tabelle1!$A$1:$B$68,2,FALSE)</f>
        <v>Vechta</v>
      </c>
      <c r="F2649" t="str">
        <f>'2020_5-2-2_Download'!$AS$7</f>
        <v>unbekannt</v>
      </c>
      <c r="G2649" t="s">
        <v>362</v>
      </c>
      <c r="H2649" t="str">
        <f>VLOOKUP(B2649,[2]Kreise!$A$2:$C$53,3,FALSE)</f>
        <v>K03460</v>
      </c>
      <c r="I2649" s="266">
        <f>'2020_5-2-2_Download'!AS57</f>
        <v>51.527224435590966</v>
      </c>
    </row>
    <row r="2650" spans="2:9">
      <c r="B2650">
        <f>'2020_5-2-2_Download'!B58</f>
        <v>461</v>
      </c>
      <c r="C2650">
        <f>'2020_5-2-2_Download'!$AM$5</f>
        <v>2015</v>
      </c>
      <c r="D2650" t="str">
        <f>VLOOKUP(B2650,[1]Tabelle1!$A$1:$B$68,2,FALSE)</f>
        <v>Wesermarsch</v>
      </c>
      <c r="F2650" t="str">
        <f>'2020_5-2-2_Download'!$AS$7</f>
        <v>unbekannt</v>
      </c>
      <c r="G2650" t="s">
        <v>362</v>
      </c>
      <c r="H2650" t="str">
        <f>VLOOKUP(B2650,[2]Kreise!$A$2:$C$53,3,FALSE)</f>
        <v>K03461</v>
      </c>
      <c r="I2650" s="266">
        <f>'2020_5-2-2_Download'!AS58</f>
        <v>34.580645161290313</v>
      </c>
    </row>
    <row r="2651" spans="2:9">
      <c r="B2651">
        <f>'2020_5-2-2_Download'!B59</f>
        <v>462</v>
      </c>
      <c r="C2651">
        <f>'2020_5-2-2_Download'!$AM$5</f>
        <v>2015</v>
      </c>
      <c r="D2651" t="str">
        <f>VLOOKUP(B2651,[1]Tabelle1!$A$1:$B$68,2,FALSE)</f>
        <v>Wittmund</v>
      </c>
      <c r="F2651" t="str">
        <f>'2020_5-2-2_Download'!$AS$7</f>
        <v>unbekannt</v>
      </c>
      <c r="G2651" t="s">
        <v>362</v>
      </c>
      <c r="H2651" t="str">
        <f>VLOOKUP(B2651,[2]Kreise!$A$2:$C$53,3,FALSE)</f>
        <v>K03462</v>
      </c>
      <c r="I2651" s="266">
        <f>'2020_5-2-2_Download'!AS59</f>
        <v>61.333333333333336</v>
      </c>
    </row>
    <row r="2652" spans="2:9">
      <c r="B2652">
        <f>'2020_5-2-2_Download'!B60</f>
        <v>4</v>
      </c>
      <c r="C2652">
        <f>'2020_5-2-2_Download'!$AM$5</f>
        <v>2015</v>
      </c>
      <c r="D2652" t="str">
        <f>VLOOKUP(B2652,[1]Tabelle1!$A$1:$B$68,2,FALSE)</f>
        <v>Stat. Region Weser-Ems</v>
      </c>
      <c r="F2652" t="str">
        <f>'2020_5-2-2_Download'!$AS$7</f>
        <v>unbekannt</v>
      </c>
      <c r="G2652" t="s">
        <v>362</v>
      </c>
      <c r="H2652" t="str">
        <f>VLOOKUP(B2652,[2]Kreise!$A$2:$C$53,3,FALSE)</f>
        <v>K034</v>
      </c>
      <c r="I2652" s="266">
        <f>'2020_5-2-2_Download'!AS60</f>
        <v>43.232544988856731</v>
      </c>
    </row>
    <row r="2653" spans="2:9">
      <c r="B2653">
        <f>'2020_5-2-2_Download'!B61</f>
        <v>0</v>
      </c>
      <c r="C2653">
        <f>'2020_5-2-2_Download'!$AM$5</f>
        <v>2015</v>
      </c>
      <c r="D2653" t="str">
        <f>VLOOKUP(B2653,[1]Tabelle1!$A$1:$B$68,2,FALSE)</f>
        <v>Niedersachsen</v>
      </c>
      <c r="F2653" t="str">
        <f>'2020_5-2-2_Download'!$AS$7</f>
        <v>unbekannt</v>
      </c>
      <c r="G2653" t="s">
        <v>362</v>
      </c>
      <c r="H2653" t="str">
        <f>VLOOKUP(B2653,[2]Kreise!$A$2:$C$53,3,FALSE)</f>
        <v>K030</v>
      </c>
      <c r="I2653" s="266">
        <f>'2020_5-2-2_Download'!AS61</f>
        <v>35.294215878918102</v>
      </c>
    </row>
    <row r="2654" spans="2:9">
      <c r="B2654">
        <f>'2020_5-2-2_Download'!B10</f>
        <v>101</v>
      </c>
      <c r="C2654">
        <f>'2020_5-2-2_Download'!$AT$5</f>
        <v>2014</v>
      </c>
      <c r="D2654" t="str">
        <f>VLOOKUP(B2654,[1]Tabelle1!$A$1:$B$68,2,FALSE)</f>
        <v>Braunschweig  Stadt</v>
      </c>
      <c r="F2654" t="str">
        <f>'2020_5-2-2_Download'!$AW$7</f>
        <v>hoch</v>
      </c>
      <c r="G2654" t="s">
        <v>362</v>
      </c>
      <c r="H2654" t="str">
        <f>VLOOKUP(B2654,[2]Kreise!$A$2:$C$53,3,FALSE)</f>
        <v>K03101</v>
      </c>
      <c r="I2654" s="266">
        <f>'2020_5-2-2_Download'!AW10</f>
        <v>22.991689750692519</v>
      </c>
    </row>
    <row r="2655" spans="2:9">
      <c r="B2655">
        <f>'2020_5-2-2_Download'!B11</f>
        <v>102</v>
      </c>
      <c r="C2655">
        <f>'2020_5-2-2_Download'!$AT$5</f>
        <v>2014</v>
      </c>
      <c r="D2655" t="str">
        <f>VLOOKUP(B2655,[1]Tabelle1!$A$1:$B$68,2,FALSE)</f>
        <v>Salzgitter  Stadt</v>
      </c>
      <c r="F2655" t="str">
        <f>'2020_5-2-2_Download'!$AW$7</f>
        <v>hoch</v>
      </c>
      <c r="G2655" t="s">
        <v>362</v>
      </c>
      <c r="H2655" t="str">
        <f>VLOOKUP(B2655,[2]Kreise!$A$2:$C$53,3,FALSE)</f>
        <v>K03102</v>
      </c>
      <c r="I2655" s="266">
        <f>'2020_5-2-2_Download'!AW11</f>
        <v>6.2558648733187363</v>
      </c>
    </row>
    <row r="2656" spans="2:9">
      <c r="B2656">
        <f>'2020_5-2-2_Download'!B12</f>
        <v>103</v>
      </c>
      <c r="C2656">
        <f>'2020_5-2-2_Download'!$AT$5</f>
        <v>2014</v>
      </c>
      <c r="D2656" t="str">
        <f>VLOOKUP(B2656,[1]Tabelle1!$A$1:$B$68,2,FALSE)</f>
        <v>Wolfsburg  Stadt</v>
      </c>
      <c r="F2656" t="str">
        <f>'2020_5-2-2_Download'!$AW$7</f>
        <v>hoch</v>
      </c>
      <c r="G2656" t="s">
        <v>362</v>
      </c>
      <c r="H2656" t="str">
        <f>VLOOKUP(B2656,[2]Kreise!$A$2:$C$53,3,FALSE)</f>
        <v>K03103</v>
      </c>
      <c r="I2656" s="266">
        <f>'2020_5-2-2_Download'!AW12</f>
        <v>21.062691131498472</v>
      </c>
    </row>
    <row r="2657" spans="2:9">
      <c r="B2657">
        <f>'2020_5-2-2_Download'!B13</f>
        <v>151</v>
      </c>
      <c r="C2657">
        <f>'2020_5-2-2_Download'!$AT$5</f>
        <v>2014</v>
      </c>
      <c r="D2657" t="str">
        <f>VLOOKUP(B2657,[1]Tabelle1!$A$1:$B$68,2,FALSE)</f>
        <v>Gifhorn</v>
      </c>
      <c r="F2657" t="str">
        <f>'2020_5-2-2_Download'!$AW$7</f>
        <v>hoch</v>
      </c>
      <c r="G2657" t="s">
        <v>362</v>
      </c>
      <c r="H2657" t="str">
        <f>VLOOKUP(B2657,[2]Kreise!$A$2:$C$53,3,FALSE)</f>
        <v>K03151</v>
      </c>
      <c r="I2657" s="266">
        <f>'2020_5-2-2_Download'!AW13</f>
        <v>14.79565442317641</v>
      </c>
    </row>
    <row r="2658" spans="2:9">
      <c r="B2658">
        <f>'2020_5-2-2_Download'!B14</f>
        <v>153</v>
      </c>
      <c r="C2658">
        <f>'2020_5-2-2_Download'!$AT$5</f>
        <v>2014</v>
      </c>
      <c r="D2658" t="str">
        <f>VLOOKUP(B2658,[1]Tabelle1!$A$1:$B$68,2,FALSE)</f>
        <v>Goslar</v>
      </c>
      <c r="F2658" t="str">
        <f>'2020_5-2-2_Download'!$AW$7</f>
        <v>hoch</v>
      </c>
      <c r="G2658" t="s">
        <v>362</v>
      </c>
      <c r="H2658" t="str">
        <f>VLOOKUP(B2658,[2]Kreise!$A$2:$C$53,3,FALSE)</f>
        <v>K03153</v>
      </c>
      <c r="I2658" s="266">
        <f>'2020_5-2-2_Download'!AW14</f>
        <v>19.810795770728991</v>
      </c>
    </row>
    <row r="2659" spans="2:9">
      <c r="B2659">
        <f>'2020_5-2-2_Download'!B15</f>
        <v>154</v>
      </c>
      <c r="C2659">
        <f>'2020_5-2-2_Download'!$AT$5</f>
        <v>2014</v>
      </c>
      <c r="D2659" t="str">
        <f>VLOOKUP(B2659,[1]Tabelle1!$A$1:$B$68,2,FALSE)</f>
        <v>Helmstedt</v>
      </c>
      <c r="F2659" t="str">
        <f>'2020_5-2-2_Download'!$AW$7</f>
        <v>hoch</v>
      </c>
      <c r="G2659" t="s">
        <v>362</v>
      </c>
      <c r="H2659" t="str">
        <f>VLOOKUP(B2659,[2]Kreise!$A$2:$C$53,3,FALSE)</f>
        <v>K03154</v>
      </c>
      <c r="I2659" s="266">
        <f>'2020_5-2-2_Download'!AW15</f>
        <v>13.313609467455622</v>
      </c>
    </row>
    <row r="2660" spans="2:9">
      <c r="B2660">
        <f>'2020_5-2-2_Download'!B16</f>
        <v>155</v>
      </c>
      <c r="C2660">
        <f>'2020_5-2-2_Download'!$AT$5</f>
        <v>2014</v>
      </c>
      <c r="D2660" t="str">
        <f>VLOOKUP(B2660,[1]Tabelle1!$A$1:$B$68,2,FALSE)</f>
        <v>Northeim</v>
      </c>
      <c r="F2660" t="str">
        <f>'2020_5-2-2_Download'!$AW$7</f>
        <v>hoch</v>
      </c>
      <c r="G2660" t="s">
        <v>362</v>
      </c>
      <c r="H2660" t="str">
        <f>VLOOKUP(B2660,[2]Kreise!$A$2:$C$53,3,FALSE)</f>
        <v>K03155</v>
      </c>
      <c r="I2660" s="266">
        <f>'2020_5-2-2_Download'!AW16</f>
        <v>8.3822744260544582</v>
      </c>
    </row>
    <row r="2661" spans="2:9">
      <c r="B2661">
        <f>'2020_5-2-2_Download'!B17</f>
        <v>157</v>
      </c>
      <c r="C2661">
        <f>'2020_5-2-2_Download'!$AT$5</f>
        <v>2014</v>
      </c>
      <c r="D2661" t="str">
        <f>VLOOKUP(B2661,[1]Tabelle1!$A$1:$B$68,2,FALSE)</f>
        <v>Peine</v>
      </c>
      <c r="F2661" t="str">
        <f>'2020_5-2-2_Download'!$AW$7</f>
        <v>hoch</v>
      </c>
      <c r="G2661" t="s">
        <v>362</v>
      </c>
      <c r="H2661" t="str">
        <f>VLOOKUP(B2661,[2]Kreise!$A$2:$C$53,3,FALSE)</f>
        <v>K03157</v>
      </c>
      <c r="I2661" s="266">
        <f>'2020_5-2-2_Download'!AW17</f>
        <v>5.9490084985835701</v>
      </c>
    </row>
    <row r="2662" spans="2:9">
      <c r="B2662">
        <f>'2020_5-2-2_Download'!B18</f>
        <v>158</v>
      </c>
      <c r="C2662">
        <f>'2020_5-2-2_Download'!$AT$5</f>
        <v>2014</v>
      </c>
      <c r="D2662" t="str">
        <f>VLOOKUP(B2662,[1]Tabelle1!$A$1:$B$68,2,FALSE)</f>
        <v>Wolfenbüttel</v>
      </c>
      <c r="F2662" t="str">
        <f>'2020_5-2-2_Download'!$AW$7</f>
        <v>hoch</v>
      </c>
      <c r="G2662" t="s">
        <v>362</v>
      </c>
      <c r="H2662" t="str">
        <f>VLOOKUP(B2662,[2]Kreise!$A$2:$C$53,3,FALSE)</f>
        <v>K03158</v>
      </c>
      <c r="I2662" s="266">
        <f>'2020_5-2-2_Download'!AW18</f>
        <v>10.969387755102041</v>
      </c>
    </row>
    <row r="2663" spans="2:9">
      <c r="B2663">
        <f>'2020_5-2-2_Download'!B19</f>
        <v>159</v>
      </c>
      <c r="C2663">
        <f>'2020_5-2-2_Download'!$AT$5</f>
        <v>2014</v>
      </c>
      <c r="D2663" t="str">
        <f>VLOOKUP(B2663,[1]Tabelle1!$A$1:$B$68,2,FALSE)</f>
        <v>Göttingen</v>
      </c>
      <c r="F2663" t="str">
        <f>'2020_5-2-2_Download'!$AW$7</f>
        <v>hoch</v>
      </c>
      <c r="G2663" t="s">
        <v>362</v>
      </c>
      <c r="H2663" t="str">
        <f>VLOOKUP(B2663,[2]Kreise!$A$2:$C$53,3,FALSE)</f>
        <v>K03159</v>
      </c>
      <c r="I2663" s="266">
        <f>'2020_5-2-2_Download'!AW19</f>
        <v>28.533568904593636</v>
      </c>
    </row>
    <row r="2664" spans="2:9">
      <c r="B2664">
        <f>'2020_5-2-2_Download'!B20</f>
        <v>1</v>
      </c>
      <c r="C2664">
        <f>'2020_5-2-2_Download'!$AT$5</f>
        <v>2014</v>
      </c>
      <c r="D2664" t="str">
        <f>VLOOKUP(B2664,[1]Tabelle1!$A$1:$B$68,2,FALSE)</f>
        <v>Stat. Region Braunschweig</v>
      </c>
      <c r="F2664" t="str">
        <f>'2020_5-2-2_Download'!$AW$7</f>
        <v>hoch</v>
      </c>
      <c r="G2664" t="s">
        <v>362</v>
      </c>
      <c r="H2664" t="str">
        <f>VLOOKUP(B2664,[2]Kreise!$A$2:$C$53,3,FALSE)</f>
        <v>K031</v>
      </c>
      <c r="I2664" s="266">
        <f>'2020_5-2-2_Download'!AW20</f>
        <v>19.005524861878452</v>
      </c>
    </row>
    <row r="2665" spans="2:9">
      <c r="B2665">
        <f>'2020_5-2-2_Download'!B21</f>
        <v>241</v>
      </c>
      <c r="C2665">
        <f>'2020_5-2-2_Download'!$AT$5</f>
        <v>2014</v>
      </c>
      <c r="D2665" t="str">
        <f>VLOOKUP(B2665,[1]Tabelle1!$A$1:$B$68,2,FALSE)</f>
        <v>Hannover  Region</v>
      </c>
      <c r="F2665" t="str">
        <f>'2020_5-2-2_Download'!$AW$7</f>
        <v>hoch</v>
      </c>
      <c r="G2665" t="s">
        <v>362</v>
      </c>
      <c r="H2665" t="str">
        <f>VLOOKUP(B2665,[2]Kreise!$A$2:$C$53,3,FALSE)</f>
        <v>K03241</v>
      </c>
      <c r="I2665" s="266">
        <f>'2020_5-2-2_Download'!AW21</f>
        <v>11.636241749174918</v>
      </c>
    </row>
    <row r="2666" spans="2:9">
      <c r="B2666">
        <f>'2020_5-2-2_Download'!B22</f>
        <v>241001</v>
      </c>
      <c r="C2666">
        <f>'2020_5-2-2_Download'!$AT$5</f>
        <v>2014</v>
      </c>
      <c r="D2666" t="str">
        <f>VLOOKUP(B2666,[1]Tabelle1!$A$1:$B$68,2,FALSE)</f>
        <v>dav. Hannover  Lhst.</v>
      </c>
      <c r="F2666" t="str">
        <f>'2020_5-2-2_Download'!$AW$7</f>
        <v>hoch</v>
      </c>
      <c r="G2666" t="s">
        <v>362</v>
      </c>
      <c r="H2666" t="str">
        <f>VLOOKUP(B2666,[2]Kreise!$A$2:$C$53,3,FALSE)</f>
        <v>K03241001</v>
      </c>
      <c r="I2666" s="266">
        <f>'2020_5-2-2_Download'!AW22</f>
        <v>14.532000314886249</v>
      </c>
    </row>
    <row r="2667" spans="2:9">
      <c r="B2667">
        <f>'2020_5-2-2_Download'!B23</f>
        <v>241999</v>
      </c>
      <c r="C2667">
        <f>'2020_5-2-2_Download'!$AT$5</f>
        <v>2014</v>
      </c>
      <c r="D2667" t="str">
        <f>VLOOKUP(B2667,[1]Tabelle1!$A$1:$B$68,2,FALSE)</f>
        <v>dav. Hannover  Umland</v>
      </c>
      <c r="F2667" t="str">
        <f>'2020_5-2-2_Download'!$AW$7</f>
        <v>hoch</v>
      </c>
      <c r="G2667" t="s">
        <v>362</v>
      </c>
      <c r="H2667" t="str">
        <f>VLOOKUP(B2667,[2]Kreise!$A$2:$C$53,3,FALSE)</f>
        <v>K03241999</v>
      </c>
      <c r="I2667" s="266">
        <f>'2020_5-2-2_Download'!AW23</f>
        <v>6.1369412468231426</v>
      </c>
    </row>
    <row r="2668" spans="2:9">
      <c r="B2668">
        <f>'2020_5-2-2_Download'!B24</f>
        <v>251</v>
      </c>
      <c r="C2668">
        <f>'2020_5-2-2_Download'!$AT$5</f>
        <v>2014</v>
      </c>
      <c r="D2668" t="str">
        <f>VLOOKUP(B2668,[1]Tabelle1!$A$1:$B$68,2,FALSE)</f>
        <v>Diepholz</v>
      </c>
      <c r="F2668" t="str">
        <f>'2020_5-2-2_Download'!$AW$7</f>
        <v>hoch</v>
      </c>
      <c r="G2668" t="s">
        <v>362</v>
      </c>
      <c r="H2668" t="str">
        <f>VLOOKUP(B2668,[2]Kreise!$A$2:$C$53,3,FALSE)</f>
        <v>K03251</v>
      </c>
      <c r="I2668" s="266">
        <f>'2020_5-2-2_Download'!AW24</f>
        <v>8.3526682134570756</v>
      </c>
    </row>
    <row r="2669" spans="2:9">
      <c r="B2669">
        <f>'2020_5-2-2_Download'!B25</f>
        <v>252</v>
      </c>
      <c r="C2669">
        <f>'2020_5-2-2_Download'!$AT$5</f>
        <v>2014</v>
      </c>
      <c r="D2669" t="str">
        <f>VLOOKUP(B2669,[1]Tabelle1!$A$1:$B$68,2,FALSE)</f>
        <v>Hameln-Pyrmont</v>
      </c>
      <c r="F2669" t="str">
        <f>'2020_5-2-2_Download'!$AW$7</f>
        <v>hoch</v>
      </c>
      <c r="G2669" t="s">
        <v>362</v>
      </c>
      <c r="H2669" t="str">
        <f>VLOOKUP(B2669,[2]Kreise!$A$2:$C$53,3,FALSE)</f>
        <v>K03252</v>
      </c>
      <c r="I2669" s="266">
        <f>'2020_5-2-2_Download'!AW25</f>
        <v>10.661322645290582</v>
      </c>
    </row>
    <row r="2670" spans="2:9">
      <c r="B2670">
        <f>'2020_5-2-2_Download'!B26</f>
        <v>254</v>
      </c>
      <c r="C2670">
        <f>'2020_5-2-2_Download'!$AT$5</f>
        <v>2014</v>
      </c>
      <c r="D2670" t="str">
        <f>VLOOKUP(B2670,[1]Tabelle1!$A$1:$B$68,2,FALSE)</f>
        <v>Hildesheim</v>
      </c>
      <c r="F2670" t="str">
        <f>'2020_5-2-2_Download'!$AW$7</f>
        <v>hoch</v>
      </c>
      <c r="G2670" t="s">
        <v>362</v>
      </c>
      <c r="H2670" t="str">
        <f>VLOOKUP(B2670,[2]Kreise!$A$2:$C$53,3,FALSE)</f>
        <v>K03254</v>
      </c>
      <c r="I2670" s="266">
        <f>'2020_5-2-2_Download'!AW26</f>
        <v>13.79700310998021</v>
      </c>
    </row>
    <row r="2671" spans="2:9">
      <c r="B2671">
        <f>'2020_5-2-2_Download'!B27</f>
        <v>255</v>
      </c>
      <c r="C2671">
        <f>'2020_5-2-2_Download'!$AT$5</f>
        <v>2014</v>
      </c>
      <c r="D2671" t="str">
        <f>VLOOKUP(B2671,[1]Tabelle1!$A$1:$B$68,2,FALSE)</f>
        <v>Holzminden</v>
      </c>
      <c r="F2671" t="str">
        <f>'2020_5-2-2_Download'!$AW$7</f>
        <v>hoch</v>
      </c>
      <c r="G2671" t="s">
        <v>362</v>
      </c>
      <c r="H2671" t="str">
        <f>VLOOKUP(B2671,[2]Kreise!$A$2:$C$53,3,FALSE)</f>
        <v>K03255</v>
      </c>
      <c r="I2671" s="266">
        <f>'2020_5-2-2_Download'!AW27</f>
        <v>9.2796092796092804</v>
      </c>
    </row>
    <row r="2672" spans="2:9">
      <c r="B2672">
        <f>'2020_5-2-2_Download'!B28</f>
        <v>256</v>
      </c>
      <c r="C2672">
        <f>'2020_5-2-2_Download'!$AT$5</f>
        <v>2014</v>
      </c>
      <c r="D2672" t="str">
        <f>VLOOKUP(B2672,[1]Tabelle1!$A$1:$B$68,2,FALSE)</f>
        <v>Nienburg (Weser)</v>
      </c>
      <c r="F2672" t="str">
        <f>'2020_5-2-2_Download'!$AW$7</f>
        <v>hoch</v>
      </c>
      <c r="G2672" t="s">
        <v>362</v>
      </c>
      <c r="H2672" t="str">
        <f>VLOOKUP(B2672,[2]Kreise!$A$2:$C$53,3,FALSE)</f>
        <v>K03256</v>
      </c>
      <c r="I2672" s="266">
        <f>'2020_5-2-2_Download'!AW28</f>
        <v>5.6666666666666661</v>
      </c>
    </row>
    <row r="2673" spans="2:9">
      <c r="B2673">
        <f>'2020_5-2-2_Download'!B29</f>
        <v>257</v>
      </c>
      <c r="C2673">
        <f>'2020_5-2-2_Download'!$AT$5</f>
        <v>2014</v>
      </c>
      <c r="D2673" t="str">
        <f>VLOOKUP(B2673,[1]Tabelle1!$A$1:$B$68,2,FALSE)</f>
        <v>Schaumburg</v>
      </c>
      <c r="F2673" t="str">
        <f>'2020_5-2-2_Download'!$AW$7</f>
        <v>hoch</v>
      </c>
      <c r="G2673" t="s">
        <v>362</v>
      </c>
      <c r="H2673" t="str">
        <f>VLOOKUP(B2673,[2]Kreise!$A$2:$C$53,3,FALSE)</f>
        <v>K03257</v>
      </c>
      <c r="I2673" s="266">
        <f>'2020_5-2-2_Download'!AW29</f>
        <v>6.9270833333333339</v>
      </c>
    </row>
    <row r="2674" spans="2:9">
      <c r="B2674">
        <f>'2020_5-2-2_Download'!B30</f>
        <v>2</v>
      </c>
      <c r="C2674">
        <f>'2020_5-2-2_Download'!$AT$5</f>
        <v>2014</v>
      </c>
      <c r="D2674" t="str">
        <f>VLOOKUP(B2674,[1]Tabelle1!$A$1:$B$68,2,FALSE)</f>
        <v>Stat. Region Hannover</v>
      </c>
      <c r="F2674" t="str">
        <f>'2020_5-2-2_Download'!$AW$7</f>
        <v>hoch</v>
      </c>
      <c r="G2674" t="s">
        <v>362</v>
      </c>
      <c r="H2674" t="str">
        <f>VLOOKUP(B2674,[2]Kreise!$A$2:$C$53,3,FALSE)</f>
        <v>K032</v>
      </c>
      <c r="I2674" s="266">
        <f>'2020_5-2-2_Download'!AW30</f>
        <v>11.131902543343772</v>
      </c>
    </row>
    <row r="2675" spans="2:9">
      <c r="B2675">
        <f>'2020_5-2-2_Download'!B31</f>
        <v>351</v>
      </c>
      <c r="C2675">
        <f>'2020_5-2-2_Download'!$AT$5</f>
        <v>2014</v>
      </c>
      <c r="D2675" t="str">
        <f>VLOOKUP(B2675,[1]Tabelle1!$A$1:$B$68,2,FALSE)</f>
        <v>Celle</v>
      </c>
      <c r="F2675" t="str">
        <f>'2020_5-2-2_Download'!$AW$7</f>
        <v>hoch</v>
      </c>
      <c r="G2675" t="s">
        <v>362</v>
      </c>
      <c r="H2675" t="str">
        <f>VLOOKUP(B2675,[2]Kreise!$A$2:$C$53,3,FALSE)</f>
        <v>K03351</v>
      </c>
      <c r="I2675" s="266">
        <f>'2020_5-2-2_Download'!AW31</f>
        <v>14.903640256959314</v>
      </c>
    </row>
    <row r="2676" spans="2:9">
      <c r="B2676">
        <f>'2020_5-2-2_Download'!B32</f>
        <v>352</v>
      </c>
      <c r="C2676">
        <f>'2020_5-2-2_Download'!$AT$5</f>
        <v>2014</v>
      </c>
      <c r="D2676" t="str">
        <f>VLOOKUP(B2676,[1]Tabelle1!$A$1:$B$68,2,FALSE)</f>
        <v>Cuxhaven</v>
      </c>
      <c r="F2676" t="str">
        <f>'2020_5-2-2_Download'!$AW$7</f>
        <v>hoch</v>
      </c>
      <c r="G2676" t="s">
        <v>362</v>
      </c>
      <c r="H2676" t="str">
        <f>VLOOKUP(B2676,[2]Kreise!$A$2:$C$53,3,FALSE)</f>
        <v>K03352</v>
      </c>
      <c r="I2676" s="266">
        <f>'2020_5-2-2_Download'!AW32</f>
        <v>6.0245310245310248</v>
      </c>
    </row>
    <row r="2677" spans="2:9">
      <c r="B2677">
        <f>'2020_5-2-2_Download'!B33</f>
        <v>353</v>
      </c>
      <c r="C2677">
        <f>'2020_5-2-2_Download'!$AT$5</f>
        <v>2014</v>
      </c>
      <c r="D2677" t="str">
        <f>VLOOKUP(B2677,[1]Tabelle1!$A$1:$B$68,2,FALSE)</f>
        <v>Harburg</v>
      </c>
      <c r="F2677" t="str">
        <f>'2020_5-2-2_Download'!$AW$7</f>
        <v>hoch</v>
      </c>
      <c r="G2677" t="s">
        <v>362</v>
      </c>
      <c r="H2677" t="str">
        <f>VLOOKUP(B2677,[2]Kreise!$A$2:$C$53,3,FALSE)</f>
        <v>K03353</v>
      </c>
      <c r="I2677" s="266">
        <f>'2020_5-2-2_Download'!AW33</f>
        <v>5.3171887338773365</v>
      </c>
    </row>
    <row r="2678" spans="2:9">
      <c r="B2678">
        <f>'2020_5-2-2_Download'!B34</f>
        <v>354</v>
      </c>
      <c r="C2678">
        <f>'2020_5-2-2_Download'!$AT$5</f>
        <v>2014</v>
      </c>
      <c r="D2678" t="str">
        <f>VLOOKUP(B2678,[1]Tabelle1!$A$1:$B$68,2,FALSE)</f>
        <v>Lüchow-Dannenberg</v>
      </c>
      <c r="F2678" t="str">
        <f>'2020_5-2-2_Download'!$AW$7</f>
        <v>hoch</v>
      </c>
      <c r="G2678" t="s">
        <v>362</v>
      </c>
      <c r="H2678" t="str">
        <f>VLOOKUP(B2678,[2]Kreise!$A$2:$C$53,3,FALSE)</f>
        <v>K03354</v>
      </c>
      <c r="I2678" s="266">
        <f>'2020_5-2-2_Download'!AW34</f>
        <v>6.9060773480662991</v>
      </c>
    </row>
    <row r="2679" spans="2:9">
      <c r="B2679">
        <f>'2020_5-2-2_Download'!B35</f>
        <v>355</v>
      </c>
      <c r="C2679">
        <f>'2020_5-2-2_Download'!$AT$5</f>
        <v>2014</v>
      </c>
      <c r="D2679" t="str">
        <f>VLOOKUP(B2679,[1]Tabelle1!$A$1:$B$68,2,FALSE)</f>
        <v>Lüneburg</v>
      </c>
      <c r="F2679" t="str">
        <f>'2020_5-2-2_Download'!$AW$7</f>
        <v>hoch</v>
      </c>
      <c r="G2679" t="s">
        <v>362</v>
      </c>
      <c r="H2679" t="str">
        <f>VLOOKUP(B2679,[2]Kreise!$A$2:$C$53,3,FALSE)</f>
        <v>K03355</v>
      </c>
      <c r="I2679" s="266">
        <f>'2020_5-2-2_Download'!AW35</f>
        <v>14.853857211308096</v>
      </c>
    </row>
    <row r="2680" spans="2:9">
      <c r="B2680">
        <f>'2020_5-2-2_Download'!B36</f>
        <v>356</v>
      </c>
      <c r="C2680">
        <f>'2020_5-2-2_Download'!$AT$5</f>
        <v>2014</v>
      </c>
      <c r="D2680" t="str">
        <f>VLOOKUP(B2680,[1]Tabelle1!$A$1:$B$68,2,FALSE)</f>
        <v>Osterholz</v>
      </c>
      <c r="F2680" t="str">
        <f>'2020_5-2-2_Download'!$AW$7</f>
        <v>hoch</v>
      </c>
      <c r="G2680" t="s">
        <v>362</v>
      </c>
      <c r="H2680" t="str">
        <f>VLOOKUP(B2680,[2]Kreise!$A$2:$C$53,3,FALSE)</f>
        <v>K03356</v>
      </c>
      <c r="I2680" s="266">
        <f>'2020_5-2-2_Download'!AW36</f>
        <v>6.6734074823053584</v>
      </c>
    </row>
    <row r="2681" spans="2:9">
      <c r="B2681">
        <f>'2020_5-2-2_Download'!B37</f>
        <v>357</v>
      </c>
      <c r="C2681">
        <f>'2020_5-2-2_Download'!$AT$5</f>
        <v>2014</v>
      </c>
      <c r="D2681" t="str">
        <f>VLOOKUP(B2681,[1]Tabelle1!$A$1:$B$68,2,FALSE)</f>
        <v>Rotenburg (Wümme)</v>
      </c>
      <c r="F2681" t="str">
        <f>'2020_5-2-2_Download'!$AW$7</f>
        <v>hoch</v>
      </c>
      <c r="G2681" t="s">
        <v>362</v>
      </c>
      <c r="H2681" t="str">
        <f>VLOOKUP(B2681,[2]Kreise!$A$2:$C$53,3,FALSE)</f>
        <v>K03357</v>
      </c>
      <c r="I2681" s="266">
        <f>'2020_5-2-2_Download'!AW37</f>
        <v>9.4648166501486628</v>
      </c>
    </row>
    <row r="2682" spans="2:9">
      <c r="B2682">
        <f>'2020_5-2-2_Download'!B38</f>
        <v>358</v>
      </c>
      <c r="C2682">
        <f>'2020_5-2-2_Download'!$AT$5</f>
        <v>2014</v>
      </c>
      <c r="D2682" t="str">
        <f>VLOOKUP(B2682,[1]Tabelle1!$A$1:$B$68,2,FALSE)</f>
        <v>Heidekreis</v>
      </c>
      <c r="F2682" t="str">
        <f>'2020_5-2-2_Download'!$AW$7</f>
        <v>hoch</v>
      </c>
      <c r="G2682" t="s">
        <v>362</v>
      </c>
      <c r="H2682" t="str">
        <f>VLOOKUP(B2682,[2]Kreise!$A$2:$C$53,3,FALSE)</f>
        <v>K03358</v>
      </c>
      <c r="I2682" s="266">
        <f>'2020_5-2-2_Download'!AW38</f>
        <v>7.4955908289241622</v>
      </c>
    </row>
    <row r="2683" spans="2:9">
      <c r="B2683">
        <f>'2020_5-2-2_Download'!B39</f>
        <v>359</v>
      </c>
      <c r="C2683">
        <f>'2020_5-2-2_Download'!$AT$5</f>
        <v>2014</v>
      </c>
      <c r="D2683" t="str">
        <f>VLOOKUP(B2683,[1]Tabelle1!$A$1:$B$68,2,FALSE)</f>
        <v>Stade</v>
      </c>
      <c r="F2683" t="str">
        <f>'2020_5-2-2_Download'!$AW$7</f>
        <v>hoch</v>
      </c>
      <c r="G2683" t="s">
        <v>362</v>
      </c>
      <c r="H2683" t="str">
        <f>VLOOKUP(B2683,[2]Kreise!$A$2:$C$53,3,FALSE)</f>
        <v>K03359</v>
      </c>
      <c r="I2683" s="266">
        <f>'2020_5-2-2_Download'!AW39</f>
        <v>6.1781609195402298</v>
      </c>
    </row>
    <row r="2684" spans="2:9">
      <c r="B2684">
        <f>'2020_5-2-2_Download'!B40</f>
        <v>360</v>
      </c>
      <c r="C2684">
        <f>'2020_5-2-2_Download'!$AT$5</f>
        <v>2014</v>
      </c>
      <c r="D2684" t="str">
        <f>VLOOKUP(B2684,[1]Tabelle1!$A$1:$B$68,2,FALSE)</f>
        <v>Uelzen</v>
      </c>
      <c r="F2684" t="str">
        <f>'2020_5-2-2_Download'!$AW$7</f>
        <v>hoch</v>
      </c>
      <c r="G2684" t="s">
        <v>362</v>
      </c>
      <c r="H2684" t="str">
        <f>VLOOKUP(B2684,[2]Kreise!$A$2:$C$53,3,FALSE)</f>
        <v>K03360</v>
      </c>
      <c r="I2684" s="266">
        <f>'2020_5-2-2_Download'!AW40</f>
        <v>14.935822637106183</v>
      </c>
    </row>
    <row r="2685" spans="2:9">
      <c r="B2685">
        <f>'2020_5-2-2_Download'!B41</f>
        <v>361</v>
      </c>
      <c r="C2685">
        <f>'2020_5-2-2_Download'!$AT$5</f>
        <v>2014</v>
      </c>
      <c r="D2685" t="str">
        <f>VLOOKUP(B2685,[1]Tabelle1!$A$1:$B$68,2,FALSE)</f>
        <v>Verden</v>
      </c>
      <c r="F2685" t="str">
        <f>'2020_5-2-2_Download'!$AW$7</f>
        <v>hoch</v>
      </c>
      <c r="G2685" t="s">
        <v>362</v>
      </c>
      <c r="H2685" t="str">
        <f>VLOOKUP(B2685,[2]Kreise!$A$2:$C$53,3,FALSE)</f>
        <v>K03361</v>
      </c>
      <c r="I2685" s="266">
        <f>'2020_5-2-2_Download'!AW41</f>
        <v>11.701689328388957</v>
      </c>
    </row>
    <row r="2686" spans="2:9">
      <c r="B2686">
        <f>'2020_5-2-2_Download'!B42</f>
        <v>3</v>
      </c>
      <c r="C2686">
        <f>'2020_5-2-2_Download'!$AT$5</f>
        <v>2014</v>
      </c>
      <c r="D2686" t="str">
        <f>VLOOKUP(B2686,[1]Tabelle1!$A$1:$B$68,2,FALSE)</f>
        <v>Stat. Region Lüneburg</v>
      </c>
      <c r="F2686" t="str">
        <f>'2020_5-2-2_Download'!$AW$7</f>
        <v>hoch</v>
      </c>
      <c r="G2686" t="s">
        <v>362</v>
      </c>
      <c r="H2686" t="str">
        <f>VLOOKUP(B2686,[2]Kreise!$A$2:$C$53,3,FALSE)</f>
        <v>K033</v>
      </c>
      <c r="I2686" s="266">
        <f>'2020_5-2-2_Download'!AW42</f>
        <v>8.9207139892071385</v>
      </c>
    </row>
    <row r="2687" spans="2:9">
      <c r="B2687">
        <f>'2020_5-2-2_Download'!B43</f>
        <v>401</v>
      </c>
      <c r="C2687">
        <f>'2020_5-2-2_Download'!$AT$5</f>
        <v>2014</v>
      </c>
      <c r="D2687" t="str">
        <f>VLOOKUP(B2687,[1]Tabelle1!$A$1:$B$68,2,FALSE)</f>
        <v>Delmenhorst  Stadt</v>
      </c>
      <c r="F2687" t="str">
        <f>'2020_5-2-2_Download'!$AW$7</f>
        <v>hoch</v>
      </c>
      <c r="G2687" t="s">
        <v>362</v>
      </c>
      <c r="H2687" t="str">
        <f>VLOOKUP(B2687,[2]Kreise!$A$2:$C$53,3,FALSE)</f>
        <v>K03401</v>
      </c>
      <c r="I2687" s="266">
        <f>'2020_5-2-2_Download'!AW43</f>
        <v>6.5257352941176476</v>
      </c>
    </row>
    <row r="2688" spans="2:9">
      <c r="B2688">
        <f>'2020_5-2-2_Download'!B44</f>
        <v>402</v>
      </c>
      <c r="C2688">
        <f>'2020_5-2-2_Download'!$AT$5</f>
        <v>2014</v>
      </c>
      <c r="D2688" t="str">
        <f>VLOOKUP(B2688,[1]Tabelle1!$A$1:$B$68,2,FALSE)</f>
        <v>Emden  Stadt</v>
      </c>
      <c r="F2688" t="str">
        <f>'2020_5-2-2_Download'!$AW$7</f>
        <v>hoch</v>
      </c>
      <c r="G2688" t="s">
        <v>362</v>
      </c>
      <c r="H2688" t="str">
        <f>VLOOKUP(B2688,[2]Kreise!$A$2:$C$53,3,FALSE)</f>
        <v>K03402</v>
      </c>
      <c r="I2688" s="266">
        <f>'2020_5-2-2_Download'!AW44</f>
        <v>8.617886178861788</v>
      </c>
    </row>
    <row r="2689" spans="2:9">
      <c r="B2689">
        <f>'2020_5-2-2_Download'!B45</f>
        <v>403</v>
      </c>
      <c r="C2689">
        <f>'2020_5-2-2_Download'!$AT$5</f>
        <v>2014</v>
      </c>
      <c r="D2689" t="str">
        <f>VLOOKUP(B2689,[1]Tabelle1!$A$1:$B$68,2,FALSE)</f>
        <v>Oldenburg(Oldb)  Stadt</v>
      </c>
      <c r="F2689" t="str">
        <f>'2020_5-2-2_Download'!$AW$7</f>
        <v>hoch</v>
      </c>
      <c r="G2689" t="s">
        <v>362</v>
      </c>
      <c r="H2689" t="str">
        <f>VLOOKUP(B2689,[2]Kreise!$A$2:$C$53,3,FALSE)</f>
        <v>K03403</v>
      </c>
      <c r="I2689" s="266">
        <f>'2020_5-2-2_Download'!AW45</f>
        <v>18.57191898386543</v>
      </c>
    </row>
    <row r="2690" spans="2:9">
      <c r="B2690">
        <f>'2020_5-2-2_Download'!B46</f>
        <v>404</v>
      </c>
      <c r="C2690">
        <f>'2020_5-2-2_Download'!$AT$5</f>
        <v>2014</v>
      </c>
      <c r="D2690" t="str">
        <f>VLOOKUP(B2690,[1]Tabelle1!$A$1:$B$68,2,FALSE)</f>
        <v>Osnabrück  Stadt</v>
      </c>
      <c r="F2690" t="str">
        <f>'2020_5-2-2_Download'!$AW$7</f>
        <v>hoch</v>
      </c>
      <c r="G2690" t="s">
        <v>362</v>
      </c>
      <c r="H2690" t="str">
        <f>VLOOKUP(B2690,[2]Kreise!$A$2:$C$53,3,FALSE)</f>
        <v>K03404</v>
      </c>
      <c r="I2690" s="266">
        <f>'2020_5-2-2_Download'!AW46</f>
        <v>10.152686892722587</v>
      </c>
    </row>
    <row r="2691" spans="2:9">
      <c r="B2691">
        <f>'2020_5-2-2_Download'!B47</f>
        <v>405</v>
      </c>
      <c r="C2691">
        <f>'2020_5-2-2_Download'!$AT$5</f>
        <v>2014</v>
      </c>
      <c r="D2691" t="str">
        <f>VLOOKUP(B2691,[1]Tabelle1!$A$1:$B$68,2,FALSE)</f>
        <v>Wilhelmshaven  Stadt</v>
      </c>
      <c r="F2691" t="str">
        <f>'2020_5-2-2_Download'!$AW$7</f>
        <v>hoch</v>
      </c>
      <c r="G2691" t="s">
        <v>362</v>
      </c>
      <c r="H2691" t="str">
        <f>VLOOKUP(B2691,[2]Kreise!$A$2:$C$53,3,FALSE)</f>
        <v>K03405</v>
      </c>
      <c r="I2691" s="266">
        <f>'2020_5-2-2_Download'!AW47</f>
        <v>16.968911917098445</v>
      </c>
    </row>
    <row r="2692" spans="2:9">
      <c r="B2692">
        <f>'2020_5-2-2_Download'!B48</f>
        <v>451</v>
      </c>
      <c r="C2692">
        <f>'2020_5-2-2_Download'!$AT$5</f>
        <v>2014</v>
      </c>
      <c r="D2692" t="str">
        <f>VLOOKUP(B2692,[1]Tabelle1!$A$1:$B$68,2,FALSE)</f>
        <v>Ammerland</v>
      </c>
      <c r="F2692" t="str">
        <f>'2020_5-2-2_Download'!$AW$7</f>
        <v>hoch</v>
      </c>
      <c r="G2692" t="s">
        <v>362</v>
      </c>
      <c r="H2692" t="str">
        <f>VLOOKUP(B2692,[2]Kreise!$A$2:$C$53,3,FALSE)</f>
        <v>K03451</v>
      </c>
      <c r="I2692" s="266">
        <f>'2020_5-2-2_Download'!AW48</f>
        <v>5.0656660412757972</v>
      </c>
    </row>
    <row r="2693" spans="2:9">
      <c r="B2693">
        <f>'2020_5-2-2_Download'!B49</f>
        <v>452</v>
      </c>
      <c r="C2693">
        <f>'2020_5-2-2_Download'!$AT$5</f>
        <v>2014</v>
      </c>
      <c r="D2693" t="str">
        <f>VLOOKUP(B2693,[1]Tabelle1!$A$1:$B$68,2,FALSE)</f>
        <v>Aurich</v>
      </c>
      <c r="F2693" t="str">
        <f>'2020_5-2-2_Download'!$AW$7</f>
        <v>hoch</v>
      </c>
      <c r="G2693" t="s">
        <v>362</v>
      </c>
      <c r="H2693" t="str">
        <f>VLOOKUP(B2693,[2]Kreise!$A$2:$C$53,3,FALSE)</f>
        <v>K03452</v>
      </c>
      <c r="I2693" s="266">
        <f>'2020_5-2-2_Download'!AW49</f>
        <v>7.1114369501466284</v>
      </c>
    </row>
    <row r="2694" spans="2:9">
      <c r="B2694">
        <f>'2020_5-2-2_Download'!B50</f>
        <v>453</v>
      </c>
      <c r="C2694">
        <f>'2020_5-2-2_Download'!$AT$5</f>
        <v>2014</v>
      </c>
      <c r="D2694" t="str">
        <f>VLOOKUP(B2694,[1]Tabelle1!$A$1:$B$68,2,FALSE)</f>
        <v>Cloppenburg</v>
      </c>
      <c r="F2694" t="str">
        <f>'2020_5-2-2_Download'!$AW$7</f>
        <v>hoch</v>
      </c>
      <c r="G2694" t="s">
        <v>362</v>
      </c>
      <c r="H2694" t="str">
        <f>VLOOKUP(B2694,[2]Kreise!$A$2:$C$53,3,FALSE)</f>
        <v>K03453</v>
      </c>
      <c r="I2694" s="266">
        <f>'2020_5-2-2_Download'!AW50</f>
        <v>3.0574361214238914</v>
      </c>
    </row>
    <row r="2695" spans="2:9">
      <c r="B2695">
        <f>'2020_5-2-2_Download'!B51</f>
        <v>454</v>
      </c>
      <c r="C2695">
        <f>'2020_5-2-2_Download'!$AT$5</f>
        <v>2014</v>
      </c>
      <c r="D2695" t="str">
        <f>VLOOKUP(B2695,[1]Tabelle1!$A$1:$B$68,2,FALSE)</f>
        <v>Emsland</v>
      </c>
      <c r="F2695" t="str">
        <f>'2020_5-2-2_Download'!$AW$7</f>
        <v>hoch</v>
      </c>
      <c r="G2695" t="s">
        <v>362</v>
      </c>
      <c r="H2695" t="str">
        <f>VLOOKUP(B2695,[2]Kreise!$A$2:$C$53,3,FALSE)</f>
        <v>K03454</v>
      </c>
      <c r="I2695" s="266">
        <f>'2020_5-2-2_Download'!AW51</f>
        <v>7.9715302491103204</v>
      </c>
    </row>
    <row r="2696" spans="2:9">
      <c r="B2696">
        <f>'2020_5-2-2_Download'!B52</f>
        <v>455</v>
      </c>
      <c r="C2696">
        <f>'2020_5-2-2_Download'!$AT$5</f>
        <v>2014</v>
      </c>
      <c r="D2696" t="str">
        <f>VLOOKUP(B2696,[1]Tabelle1!$A$1:$B$68,2,FALSE)</f>
        <v>Friesland</v>
      </c>
      <c r="F2696" t="str">
        <f>'2020_5-2-2_Download'!$AW$7</f>
        <v>hoch</v>
      </c>
      <c r="G2696" t="s">
        <v>362</v>
      </c>
      <c r="H2696" t="str">
        <f>VLOOKUP(B2696,[2]Kreise!$A$2:$C$53,3,FALSE)</f>
        <v>K03455</v>
      </c>
      <c r="I2696" s="266">
        <f>'2020_5-2-2_Download'!AW52</f>
        <v>9.1121495327102799</v>
      </c>
    </row>
    <row r="2697" spans="2:9">
      <c r="B2697">
        <f>'2020_5-2-2_Download'!B53</f>
        <v>456</v>
      </c>
      <c r="C2697">
        <f>'2020_5-2-2_Download'!$AT$5</f>
        <v>2014</v>
      </c>
      <c r="D2697" t="str">
        <f>VLOOKUP(B2697,[1]Tabelle1!$A$1:$B$68,2,FALSE)</f>
        <v>Grafschaft Bentheim</v>
      </c>
      <c r="F2697" t="str">
        <f>'2020_5-2-2_Download'!$AW$7</f>
        <v>hoch</v>
      </c>
      <c r="G2697" t="s">
        <v>362</v>
      </c>
      <c r="H2697" t="str">
        <f>VLOOKUP(B2697,[2]Kreise!$A$2:$C$53,3,FALSE)</f>
        <v>K03456</v>
      </c>
      <c r="I2697" s="266">
        <f>'2020_5-2-2_Download'!AW53</f>
        <v>6.3978168587022433</v>
      </c>
    </row>
    <row r="2698" spans="2:9">
      <c r="B2698">
        <f>'2020_5-2-2_Download'!B54</f>
        <v>457</v>
      </c>
      <c r="C2698">
        <f>'2020_5-2-2_Download'!$AT$5</f>
        <v>2014</v>
      </c>
      <c r="D2698" t="str">
        <f>VLOOKUP(B2698,[1]Tabelle1!$A$1:$B$68,2,FALSE)</f>
        <v>Leer</v>
      </c>
      <c r="F2698" t="str">
        <f>'2020_5-2-2_Download'!$AW$7</f>
        <v>hoch</v>
      </c>
      <c r="G2698" t="s">
        <v>362</v>
      </c>
      <c r="H2698" t="str">
        <f>VLOOKUP(B2698,[2]Kreise!$A$2:$C$53,3,FALSE)</f>
        <v>K03457</v>
      </c>
      <c r="I2698" s="266">
        <f>'2020_5-2-2_Download'!AW54</f>
        <v>10.472610096670246</v>
      </c>
    </row>
    <row r="2699" spans="2:9">
      <c r="B2699">
        <f>'2020_5-2-2_Download'!B55</f>
        <v>458</v>
      </c>
      <c r="C2699">
        <f>'2020_5-2-2_Download'!$AT$5</f>
        <v>2014</v>
      </c>
      <c r="D2699" t="str">
        <f>VLOOKUP(B2699,[1]Tabelle1!$A$1:$B$68,2,FALSE)</f>
        <v>Oldenburg</v>
      </c>
      <c r="F2699" t="str">
        <f>'2020_5-2-2_Download'!$AW$7</f>
        <v>hoch</v>
      </c>
      <c r="G2699" t="s">
        <v>362</v>
      </c>
      <c r="H2699" t="str">
        <f>VLOOKUP(B2699,[2]Kreise!$A$2:$C$53,3,FALSE)</f>
        <v>K03458</v>
      </c>
      <c r="I2699" s="266">
        <f>'2020_5-2-2_Download'!AW55</f>
        <v>4.2116076014381099</v>
      </c>
    </row>
    <row r="2700" spans="2:9">
      <c r="B2700">
        <f>'2020_5-2-2_Download'!B56</f>
        <v>459</v>
      </c>
      <c r="C2700">
        <f>'2020_5-2-2_Download'!$AT$5</f>
        <v>2014</v>
      </c>
      <c r="D2700" t="str">
        <f>VLOOKUP(B2700,[1]Tabelle1!$A$1:$B$68,2,FALSE)</f>
        <v>Osnabrück</v>
      </c>
      <c r="F2700" t="str">
        <f>'2020_5-2-2_Download'!$AW$7</f>
        <v>hoch</v>
      </c>
      <c r="G2700" t="s">
        <v>362</v>
      </c>
      <c r="H2700" t="str">
        <f>VLOOKUP(B2700,[2]Kreise!$A$2:$C$53,3,FALSE)</f>
        <v>K03459</v>
      </c>
      <c r="I2700" s="266">
        <f>'2020_5-2-2_Download'!AW56</f>
        <v>4.323029542602943</v>
      </c>
    </row>
    <row r="2701" spans="2:9">
      <c r="B2701">
        <f>'2020_5-2-2_Download'!B57</f>
        <v>460</v>
      </c>
      <c r="C2701">
        <f>'2020_5-2-2_Download'!$AT$5</f>
        <v>2014</v>
      </c>
      <c r="D2701" t="str">
        <f>VLOOKUP(B2701,[1]Tabelle1!$A$1:$B$68,2,FALSE)</f>
        <v>Vechta</v>
      </c>
      <c r="F2701" t="str">
        <f>'2020_5-2-2_Download'!$AW$7</f>
        <v>hoch</v>
      </c>
      <c r="G2701" t="s">
        <v>362</v>
      </c>
      <c r="H2701" t="str">
        <f>VLOOKUP(B2701,[2]Kreise!$A$2:$C$53,3,FALSE)</f>
        <v>K03460</v>
      </c>
      <c r="I2701" s="266">
        <f>'2020_5-2-2_Download'!AW57</f>
        <v>3.9502332814930012</v>
      </c>
    </row>
    <row r="2702" spans="2:9">
      <c r="B2702">
        <f>'2020_5-2-2_Download'!B58</f>
        <v>461</v>
      </c>
      <c r="C2702">
        <f>'2020_5-2-2_Download'!$AT$5</f>
        <v>2014</v>
      </c>
      <c r="D2702" t="str">
        <f>VLOOKUP(B2702,[1]Tabelle1!$A$1:$B$68,2,FALSE)</f>
        <v>Wesermarsch</v>
      </c>
      <c r="F2702" t="str">
        <f>'2020_5-2-2_Download'!$AW$7</f>
        <v>hoch</v>
      </c>
      <c r="G2702" t="s">
        <v>362</v>
      </c>
      <c r="H2702" t="str">
        <f>VLOOKUP(B2702,[2]Kreise!$A$2:$C$53,3,FALSE)</f>
        <v>K03461</v>
      </c>
      <c r="I2702" s="266">
        <f>'2020_5-2-2_Download'!AW58</f>
        <v>4.8120300751879705</v>
      </c>
    </row>
    <row r="2703" spans="2:9">
      <c r="B2703">
        <f>'2020_5-2-2_Download'!B59</f>
        <v>462</v>
      </c>
      <c r="C2703">
        <f>'2020_5-2-2_Download'!$AT$5</f>
        <v>2014</v>
      </c>
      <c r="D2703" t="str">
        <f>VLOOKUP(B2703,[1]Tabelle1!$A$1:$B$68,2,FALSE)</f>
        <v>Wittmund</v>
      </c>
      <c r="F2703" t="str">
        <f>'2020_5-2-2_Download'!$AW$7</f>
        <v>hoch</v>
      </c>
      <c r="G2703" t="s">
        <v>362</v>
      </c>
      <c r="H2703" t="str">
        <f>VLOOKUP(B2703,[2]Kreise!$A$2:$C$53,3,FALSE)</f>
        <v>K03462</v>
      </c>
      <c r="I2703" s="266">
        <f>'2020_5-2-2_Download'!AW59</f>
        <v>4.0955631399317403</v>
      </c>
    </row>
    <row r="2704" spans="2:9">
      <c r="B2704">
        <f>'2020_5-2-2_Download'!B60</f>
        <v>4</v>
      </c>
      <c r="C2704">
        <f>'2020_5-2-2_Download'!$AT$5</f>
        <v>2014</v>
      </c>
      <c r="D2704" t="str">
        <f>VLOOKUP(B2704,[1]Tabelle1!$A$1:$B$68,2,FALSE)</f>
        <v>Stat. Region Weser-Ems</v>
      </c>
      <c r="F2704" t="str">
        <f>'2020_5-2-2_Download'!$AW$7</f>
        <v>hoch</v>
      </c>
      <c r="G2704" t="s">
        <v>362</v>
      </c>
      <c r="H2704" t="str">
        <f>VLOOKUP(B2704,[2]Kreise!$A$2:$C$53,3,FALSE)</f>
        <v>K034</v>
      </c>
      <c r="I2704" s="266">
        <f>'2020_5-2-2_Download'!AW60</f>
        <v>6.912721517750728</v>
      </c>
    </row>
    <row r="2705" spans="2:9">
      <c r="B2705">
        <f>'2020_5-2-2_Download'!B61</f>
        <v>0</v>
      </c>
      <c r="C2705">
        <f>'2020_5-2-2_Download'!$AT$5</f>
        <v>2014</v>
      </c>
      <c r="D2705" t="str">
        <f>VLOOKUP(B2705,[1]Tabelle1!$A$1:$B$68,2,FALSE)</f>
        <v>Niedersachsen</v>
      </c>
      <c r="F2705" t="str">
        <f>'2020_5-2-2_Download'!$AW$7</f>
        <v>hoch</v>
      </c>
      <c r="G2705" t="s">
        <v>362</v>
      </c>
      <c r="H2705" t="str">
        <f>VLOOKUP(B2705,[2]Kreise!$A$2:$C$53,3,FALSE)</f>
        <v>K030</v>
      </c>
      <c r="I2705" s="266">
        <f>'2020_5-2-2_Download'!AW61</f>
        <v>11.007544659109454</v>
      </c>
    </row>
    <row r="2706" spans="2:9">
      <c r="B2706">
        <f>'2020_5-2-2_Download'!B10</f>
        <v>101</v>
      </c>
      <c r="C2706">
        <f>'2020_5-2-2_Download'!$AT$5</f>
        <v>2014</v>
      </c>
      <c r="D2706" t="str">
        <f>VLOOKUP(B2706,[1]Tabelle1!$A$1:$B$68,2,FALSE)</f>
        <v>Braunschweig  Stadt</v>
      </c>
      <c r="F2706" t="str">
        <f>'2020_5-2-2_Download'!$AX$7</f>
        <v>mittel</v>
      </c>
      <c r="G2706" t="s">
        <v>362</v>
      </c>
      <c r="H2706" t="str">
        <f>VLOOKUP(B2706,[2]Kreise!$A$2:$C$53,3,FALSE)</f>
        <v>K03101</v>
      </c>
      <c r="I2706" s="266">
        <f>'2020_5-2-2_Download'!AX10</f>
        <v>29.809172052939363</v>
      </c>
    </row>
    <row r="2707" spans="2:9">
      <c r="B2707">
        <f>'2020_5-2-2_Download'!B11</f>
        <v>102</v>
      </c>
      <c r="C2707">
        <f>'2020_5-2-2_Download'!$AT$5</f>
        <v>2014</v>
      </c>
      <c r="D2707" t="str">
        <f>VLOOKUP(B2707,[1]Tabelle1!$A$1:$B$68,2,FALSE)</f>
        <v>Salzgitter  Stadt</v>
      </c>
      <c r="F2707" t="str">
        <f>'2020_5-2-2_Download'!$AX$7</f>
        <v>mittel</v>
      </c>
      <c r="G2707" t="s">
        <v>362</v>
      </c>
      <c r="H2707" t="str">
        <f>VLOOKUP(B2707,[2]Kreise!$A$2:$C$53,3,FALSE)</f>
        <v>K03102</v>
      </c>
      <c r="I2707" s="266">
        <f>'2020_5-2-2_Download'!AX11</f>
        <v>42.63371911166719</v>
      </c>
    </row>
    <row r="2708" spans="2:9">
      <c r="B2708">
        <f>'2020_5-2-2_Download'!B12</f>
        <v>103</v>
      </c>
      <c r="C2708">
        <f>'2020_5-2-2_Download'!$AT$5</f>
        <v>2014</v>
      </c>
      <c r="D2708" t="str">
        <f>VLOOKUP(B2708,[1]Tabelle1!$A$1:$B$68,2,FALSE)</f>
        <v>Wolfsburg  Stadt</v>
      </c>
      <c r="F2708" t="str">
        <f>'2020_5-2-2_Download'!$AX$7</f>
        <v>mittel</v>
      </c>
      <c r="G2708" t="s">
        <v>362</v>
      </c>
      <c r="H2708" t="str">
        <f>VLOOKUP(B2708,[2]Kreise!$A$2:$C$53,3,FALSE)</f>
        <v>K03103</v>
      </c>
      <c r="I2708" s="266">
        <f>'2020_5-2-2_Download'!AX12</f>
        <v>33.613659531090725</v>
      </c>
    </row>
    <row r="2709" spans="2:9">
      <c r="B2709">
        <f>'2020_5-2-2_Download'!B13</f>
        <v>151</v>
      </c>
      <c r="C2709">
        <f>'2020_5-2-2_Download'!$AT$5</f>
        <v>2014</v>
      </c>
      <c r="D2709" t="str">
        <f>VLOOKUP(B2709,[1]Tabelle1!$A$1:$B$68,2,FALSE)</f>
        <v>Gifhorn</v>
      </c>
      <c r="F2709" t="str">
        <f>'2020_5-2-2_Download'!$AX$7</f>
        <v>mittel</v>
      </c>
      <c r="G2709" t="s">
        <v>362</v>
      </c>
      <c r="H2709" t="str">
        <f>VLOOKUP(B2709,[2]Kreise!$A$2:$C$53,3,FALSE)</f>
        <v>K03151</v>
      </c>
      <c r="I2709" s="266">
        <f>'2020_5-2-2_Download'!AX13</f>
        <v>26.952922917744438</v>
      </c>
    </row>
    <row r="2710" spans="2:9">
      <c r="B2710">
        <f>'2020_5-2-2_Download'!B14</f>
        <v>153</v>
      </c>
      <c r="C2710">
        <f>'2020_5-2-2_Download'!$AT$5</f>
        <v>2014</v>
      </c>
      <c r="D2710" t="str">
        <f>VLOOKUP(B2710,[1]Tabelle1!$A$1:$B$68,2,FALSE)</f>
        <v>Goslar</v>
      </c>
      <c r="F2710" t="str">
        <f>'2020_5-2-2_Download'!$AX$7</f>
        <v>mittel</v>
      </c>
      <c r="G2710" t="s">
        <v>362</v>
      </c>
      <c r="H2710" t="str">
        <f>VLOOKUP(B2710,[2]Kreise!$A$2:$C$53,3,FALSE)</f>
        <v>K03153</v>
      </c>
      <c r="I2710" s="266">
        <f>'2020_5-2-2_Download'!AX14</f>
        <v>31.942125765164164</v>
      </c>
    </row>
    <row r="2711" spans="2:9">
      <c r="B2711">
        <f>'2020_5-2-2_Download'!B15</f>
        <v>154</v>
      </c>
      <c r="C2711">
        <f>'2020_5-2-2_Download'!$AT$5</f>
        <v>2014</v>
      </c>
      <c r="D2711" t="str">
        <f>VLOOKUP(B2711,[1]Tabelle1!$A$1:$B$68,2,FALSE)</f>
        <v>Helmstedt</v>
      </c>
      <c r="F2711" t="str">
        <f>'2020_5-2-2_Download'!$AX$7</f>
        <v>mittel</v>
      </c>
      <c r="G2711" t="s">
        <v>362</v>
      </c>
      <c r="H2711" t="str">
        <f>VLOOKUP(B2711,[2]Kreise!$A$2:$C$53,3,FALSE)</f>
        <v>K03154</v>
      </c>
      <c r="I2711" s="266">
        <f>'2020_5-2-2_Download'!AX15</f>
        <v>33.57988165680473</v>
      </c>
    </row>
    <row r="2712" spans="2:9">
      <c r="B2712">
        <f>'2020_5-2-2_Download'!B16</f>
        <v>155</v>
      </c>
      <c r="C2712">
        <f>'2020_5-2-2_Download'!$AT$5</f>
        <v>2014</v>
      </c>
      <c r="D2712" t="str">
        <f>VLOOKUP(B2712,[1]Tabelle1!$A$1:$B$68,2,FALSE)</f>
        <v>Northeim</v>
      </c>
      <c r="F2712" t="str">
        <f>'2020_5-2-2_Download'!$AX$7</f>
        <v>mittel</v>
      </c>
      <c r="G2712" t="s">
        <v>362</v>
      </c>
      <c r="H2712" t="str">
        <f>VLOOKUP(B2712,[2]Kreise!$A$2:$C$53,3,FALSE)</f>
        <v>K03155</v>
      </c>
      <c r="I2712" s="266">
        <f>'2020_5-2-2_Download'!AX16</f>
        <v>50.774159103043246</v>
      </c>
    </row>
    <row r="2713" spans="2:9">
      <c r="B2713">
        <f>'2020_5-2-2_Download'!B17</f>
        <v>157</v>
      </c>
      <c r="C2713">
        <f>'2020_5-2-2_Download'!$AT$5</f>
        <v>2014</v>
      </c>
      <c r="D2713" t="str">
        <f>VLOOKUP(B2713,[1]Tabelle1!$A$1:$B$68,2,FALSE)</f>
        <v>Peine</v>
      </c>
      <c r="F2713" t="str">
        <f>'2020_5-2-2_Download'!$AX$7</f>
        <v>mittel</v>
      </c>
      <c r="G2713" t="s">
        <v>362</v>
      </c>
      <c r="H2713" t="str">
        <f>VLOOKUP(B2713,[2]Kreise!$A$2:$C$53,3,FALSE)</f>
        <v>K03157</v>
      </c>
      <c r="I2713" s="266">
        <f>'2020_5-2-2_Download'!AX17</f>
        <v>35.623229461756374</v>
      </c>
    </row>
    <row r="2714" spans="2:9">
      <c r="B2714">
        <f>'2020_5-2-2_Download'!B18</f>
        <v>158</v>
      </c>
      <c r="C2714">
        <f>'2020_5-2-2_Download'!$AT$5</f>
        <v>2014</v>
      </c>
      <c r="D2714" t="str">
        <f>VLOOKUP(B2714,[1]Tabelle1!$A$1:$B$68,2,FALSE)</f>
        <v>Wolfenbüttel</v>
      </c>
      <c r="F2714" t="str">
        <f>'2020_5-2-2_Download'!$AX$7</f>
        <v>mittel</v>
      </c>
      <c r="G2714" t="s">
        <v>362</v>
      </c>
      <c r="H2714" t="str">
        <f>VLOOKUP(B2714,[2]Kreise!$A$2:$C$53,3,FALSE)</f>
        <v>K03158</v>
      </c>
      <c r="I2714" s="266">
        <f>'2020_5-2-2_Download'!AX18</f>
        <v>39.413265306122447</v>
      </c>
    </row>
    <row r="2715" spans="2:9">
      <c r="B2715">
        <f>'2020_5-2-2_Download'!B19</f>
        <v>159</v>
      </c>
      <c r="C2715">
        <f>'2020_5-2-2_Download'!$AT$5</f>
        <v>2014</v>
      </c>
      <c r="D2715" t="str">
        <f>VLOOKUP(B2715,[1]Tabelle1!$A$1:$B$68,2,FALSE)</f>
        <v>Göttingen</v>
      </c>
      <c r="F2715" t="str">
        <f>'2020_5-2-2_Download'!$AX$7</f>
        <v>mittel</v>
      </c>
      <c r="G2715" t="s">
        <v>362</v>
      </c>
      <c r="H2715" t="str">
        <f>VLOOKUP(B2715,[2]Kreise!$A$2:$C$53,3,FALSE)</f>
        <v>K03159</v>
      </c>
      <c r="I2715" s="266">
        <f>'2020_5-2-2_Download'!AX19</f>
        <v>29.522968197879855</v>
      </c>
    </row>
    <row r="2716" spans="2:9">
      <c r="B2716">
        <f>'2020_5-2-2_Download'!B20</f>
        <v>1</v>
      </c>
      <c r="C2716">
        <f>'2020_5-2-2_Download'!$AT$5</f>
        <v>2014</v>
      </c>
      <c r="D2716" t="str">
        <f>VLOOKUP(B2716,[1]Tabelle1!$A$1:$B$68,2,FALSE)</f>
        <v>Stat. Region Braunschweig</v>
      </c>
      <c r="F2716" t="str">
        <f>'2020_5-2-2_Download'!$AX$7</f>
        <v>mittel</v>
      </c>
      <c r="G2716" t="s">
        <v>362</v>
      </c>
      <c r="H2716" t="str">
        <f>VLOOKUP(B2716,[2]Kreise!$A$2:$C$53,3,FALSE)</f>
        <v>K031</v>
      </c>
      <c r="I2716" s="266">
        <f>'2020_5-2-2_Download'!AX20</f>
        <v>33.764798737174431</v>
      </c>
    </row>
    <row r="2717" spans="2:9">
      <c r="B2717">
        <f>'2020_5-2-2_Download'!B21</f>
        <v>241</v>
      </c>
      <c r="C2717">
        <f>'2020_5-2-2_Download'!$AT$5</f>
        <v>2014</v>
      </c>
      <c r="D2717" t="str">
        <f>VLOOKUP(B2717,[1]Tabelle1!$A$1:$B$68,2,FALSE)</f>
        <v>Hannover  Region</v>
      </c>
      <c r="F2717" t="str">
        <f>'2020_5-2-2_Download'!$AX$7</f>
        <v>mittel</v>
      </c>
      <c r="G2717" t="s">
        <v>362</v>
      </c>
      <c r="H2717" t="str">
        <f>VLOOKUP(B2717,[2]Kreise!$A$2:$C$53,3,FALSE)</f>
        <v>K03241</v>
      </c>
      <c r="I2717" s="266">
        <f>'2020_5-2-2_Download'!AX21</f>
        <v>33.369430693069305</v>
      </c>
    </row>
    <row r="2718" spans="2:9">
      <c r="B2718">
        <f>'2020_5-2-2_Download'!B22</f>
        <v>241001</v>
      </c>
      <c r="C2718">
        <f>'2020_5-2-2_Download'!$AT$5</f>
        <v>2014</v>
      </c>
      <c r="D2718" t="str">
        <f>VLOOKUP(B2718,[1]Tabelle1!$A$1:$B$68,2,FALSE)</f>
        <v>dav. Hannover  Lhst.</v>
      </c>
      <c r="F2718" t="str">
        <f>'2020_5-2-2_Download'!$AX$7</f>
        <v>mittel</v>
      </c>
      <c r="G2718" t="s">
        <v>362</v>
      </c>
      <c r="H2718" t="str">
        <f>VLOOKUP(B2718,[2]Kreise!$A$2:$C$53,3,FALSE)</f>
        <v>K03241001</v>
      </c>
      <c r="I2718" s="266">
        <f>'2020_5-2-2_Download'!AX22</f>
        <v>33.043375580571521</v>
      </c>
    </row>
    <row r="2719" spans="2:9">
      <c r="B2719">
        <f>'2020_5-2-2_Download'!B23</f>
        <v>241999</v>
      </c>
      <c r="C2719">
        <f>'2020_5-2-2_Download'!$AT$5</f>
        <v>2014</v>
      </c>
      <c r="D2719" t="str">
        <f>VLOOKUP(B2719,[1]Tabelle1!$A$1:$B$68,2,FALSE)</f>
        <v>dav. Hannover  Umland</v>
      </c>
      <c r="F2719" t="str">
        <f>'2020_5-2-2_Download'!$AX$7</f>
        <v>mittel</v>
      </c>
      <c r="G2719" t="s">
        <v>362</v>
      </c>
      <c r="H2719" t="str">
        <f>VLOOKUP(B2719,[2]Kreise!$A$2:$C$53,3,FALSE)</f>
        <v>K03241999</v>
      </c>
      <c r="I2719" s="266">
        <f>'2020_5-2-2_Download'!AX23</f>
        <v>33.988638062490658</v>
      </c>
    </row>
    <row r="2720" spans="2:9">
      <c r="B2720">
        <f>'2020_5-2-2_Download'!B24</f>
        <v>251</v>
      </c>
      <c r="C2720">
        <f>'2020_5-2-2_Download'!$AT$5</f>
        <v>2014</v>
      </c>
      <c r="D2720" t="str">
        <f>VLOOKUP(B2720,[1]Tabelle1!$A$1:$B$68,2,FALSE)</f>
        <v>Diepholz</v>
      </c>
      <c r="F2720" t="str">
        <f>'2020_5-2-2_Download'!$AX$7</f>
        <v>mittel</v>
      </c>
      <c r="G2720" t="s">
        <v>362</v>
      </c>
      <c r="H2720" t="str">
        <f>VLOOKUP(B2720,[2]Kreise!$A$2:$C$53,3,FALSE)</f>
        <v>K03251</v>
      </c>
      <c r="I2720" s="266">
        <f>'2020_5-2-2_Download'!AX24</f>
        <v>31.554524361948953</v>
      </c>
    </row>
    <row r="2721" spans="2:9">
      <c r="B2721">
        <f>'2020_5-2-2_Download'!B25</f>
        <v>252</v>
      </c>
      <c r="C2721">
        <f>'2020_5-2-2_Download'!$AT$5</f>
        <v>2014</v>
      </c>
      <c r="D2721" t="str">
        <f>VLOOKUP(B2721,[1]Tabelle1!$A$1:$B$68,2,FALSE)</f>
        <v>Hameln-Pyrmont</v>
      </c>
      <c r="F2721" t="str">
        <f>'2020_5-2-2_Download'!$AX$7</f>
        <v>mittel</v>
      </c>
      <c r="G2721" t="s">
        <v>362</v>
      </c>
      <c r="H2721" t="str">
        <f>VLOOKUP(B2721,[2]Kreise!$A$2:$C$53,3,FALSE)</f>
        <v>K03252</v>
      </c>
      <c r="I2721" s="266">
        <f>'2020_5-2-2_Download'!AX25</f>
        <v>39.599198396793589</v>
      </c>
    </row>
    <row r="2722" spans="2:9">
      <c r="B2722">
        <f>'2020_5-2-2_Download'!B26</f>
        <v>254</v>
      </c>
      <c r="C2722">
        <f>'2020_5-2-2_Download'!$AT$5</f>
        <v>2014</v>
      </c>
      <c r="D2722" t="str">
        <f>VLOOKUP(B2722,[1]Tabelle1!$A$1:$B$68,2,FALSE)</f>
        <v>Hildesheim</v>
      </c>
      <c r="F2722" t="str">
        <f>'2020_5-2-2_Download'!$AX$7</f>
        <v>mittel</v>
      </c>
      <c r="G2722" t="s">
        <v>362</v>
      </c>
      <c r="H2722" t="str">
        <f>VLOOKUP(B2722,[2]Kreise!$A$2:$C$53,3,FALSE)</f>
        <v>K03254</v>
      </c>
      <c r="I2722" s="266">
        <f>'2020_5-2-2_Download'!AX26</f>
        <v>38.733389878428049</v>
      </c>
    </row>
    <row r="2723" spans="2:9">
      <c r="B2723">
        <f>'2020_5-2-2_Download'!B27</f>
        <v>255</v>
      </c>
      <c r="C2723">
        <f>'2020_5-2-2_Download'!$AT$5</f>
        <v>2014</v>
      </c>
      <c r="D2723" t="str">
        <f>VLOOKUP(B2723,[1]Tabelle1!$A$1:$B$68,2,FALSE)</f>
        <v>Holzminden</v>
      </c>
      <c r="F2723" t="str">
        <f>'2020_5-2-2_Download'!$AX$7</f>
        <v>mittel</v>
      </c>
      <c r="G2723" t="s">
        <v>362</v>
      </c>
      <c r="H2723" t="str">
        <f>VLOOKUP(B2723,[2]Kreise!$A$2:$C$53,3,FALSE)</f>
        <v>K03255</v>
      </c>
      <c r="I2723" s="266">
        <f>'2020_5-2-2_Download'!AX27</f>
        <v>37.72893772893773</v>
      </c>
    </row>
    <row r="2724" spans="2:9">
      <c r="B2724">
        <f>'2020_5-2-2_Download'!B28</f>
        <v>256</v>
      </c>
      <c r="C2724">
        <f>'2020_5-2-2_Download'!$AT$5</f>
        <v>2014</v>
      </c>
      <c r="D2724" t="str">
        <f>VLOOKUP(B2724,[1]Tabelle1!$A$1:$B$68,2,FALSE)</f>
        <v>Nienburg (Weser)</v>
      </c>
      <c r="F2724" t="str">
        <f>'2020_5-2-2_Download'!$AX$7</f>
        <v>mittel</v>
      </c>
      <c r="G2724" t="s">
        <v>362</v>
      </c>
      <c r="H2724" t="str">
        <f>VLOOKUP(B2724,[2]Kreise!$A$2:$C$53,3,FALSE)</f>
        <v>K03256</v>
      </c>
      <c r="I2724" s="266">
        <f>'2020_5-2-2_Download'!AX28</f>
        <v>30.222222222222221</v>
      </c>
    </row>
    <row r="2725" spans="2:9">
      <c r="B2725">
        <f>'2020_5-2-2_Download'!B29</f>
        <v>257</v>
      </c>
      <c r="C2725">
        <f>'2020_5-2-2_Download'!$AT$5</f>
        <v>2014</v>
      </c>
      <c r="D2725" t="str">
        <f>VLOOKUP(B2725,[1]Tabelle1!$A$1:$B$68,2,FALSE)</f>
        <v>Schaumburg</v>
      </c>
      <c r="F2725" t="str">
        <f>'2020_5-2-2_Download'!$AX$7</f>
        <v>mittel</v>
      </c>
      <c r="G2725" t="s">
        <v>362</v>
      </c>
      <c r="H2725" t="str">
        <f>VLOOKUP(B2725,[2]Kreise!$A$2:$C$53,3,FALSE)</f>
        <v>K03257</v>
      </c>
      <c r="I2725" s="266">
        <f>'2020_5-2-2_Download'!AX29</f>
        <v>37.864583333333336</v>
      </c>
    </row>
    <row r="2726" spans="2:9">
      <c r="B2726">
        <f>'2020_5-2-2_Download'!B30</f>
        <v>2</v>
      </c>
      <c r="C2726">
        <f>'2020_5-2-2_Download'!$AT$5</f>
        <v>2014</v>
      </c>
      <c r="D2726" t="str">
        <f>VLOOKUP(B2726,[1]Tabelle1!$A$1:$B$68,2,FALSE)</f>
        <v>Stat. Region Hannover</v>
      </c>
      <c r="F2726" t="str">
        <f>'2020_5-2-2_Download'!$AX$7</f>
        <v>mittel</v>
      </c>
      <c r="G2726" t="s">
        <v>362</v>
      </c>
      <c r="H2726" t="str">
        <f>VLOOKUP(B2726,[2]Kreise!$A$2:$C$53,3,FALSE)</f>
        <v>K032</v>
      </c>
      <c r="I2726" s="266">
        <f>'2020_5-2-2_Download'!AX30</f>
        <v>34.048728328114258</v>
      </c>
    </row>
    <row r="2727" spans="2:9">
      <c r="B2727">
        <f>'2020_5-2-2_Download'!B31</f>
        <v>351</v>
      </c>
      <c r="C2727">
        <f>'2020_5-2-2_Download'!$AT$5</f>
        <v>2014</v>
      </c>
      <c r="D2727" t="str">
        <f>VLOOKUP(B2727,[1]Tabelle1!$A$1:$B$68,2,FALSE)</f>
        <v>Celle</v>
      </c>
      <c r="F2727" t="str">
        <f>'2020_5-2-2_Download'!$AX$7</f>
        <v>mittel</v>
      </c>
      <c r="G2727" t="s">
        <v>362</v>
      </c>
      <c r="H2727" t="str">
        <f>VLOOKUP(B2727,[2]Kreise!$A$2:$C$53,3,FALSE)</f>
        <v>K03351</v>
      </c>
      <c r="I2727" s="266">
        <f>'2020_5-2-2_Download'!AX31</f>
        <v>34.304068522483938</v>
      </c>
    </row>
    <row r="2728" spans="2:9">
      <c r="B2728">
        <f>'2020_5-2-2_Download'!B32</f>
        <v>352</v>
      </c>
      <c r="C2728">
        <f>'2020_5-2-2_Download'!$AT$5</f>
        <v>2014</v>
      </c>
      <c r="D2728" t="str">
        <f>VLOOKUP(B2728,[1]Tabelle1!$A$1:$B$68,2,FALSE)</f>
        <v>Cuxhaven</v>
      </c>
      <c r="F2728" t="str">
        <f>'2020_5-2-2_Download'!$AX$7</f>
        <v>mittel</v>
      </c>
      <c r="G2728" t="s">
        <v>362</v>
      </c>
      <c r="H2728" t="str">
        <f>VLOOKUP(B2728,[2]Kreise!$A$2:$C$53,3,FALSE)</f>
        <v>K03352</v>
      </c>
      <c r="I2728" s="266">
        <f>'2020_5-2-2_Download'!AX32</f>
        <v>30.266955266955264</v>
      </c>
    </row>
    <row r="2729" spans="2:9">
      <c r="B2729">
        <f>'2020_5-2-2_Download'!B33</f>
        <v>353</v>
      </c>
      <c r="C2729">
        <f>'2020_5-2-2_Download'!$AT$5</f>
        <v>2014</v>
      </c>
      <c r="D2729" t="str">
        <f>VLOOKUP(B2729,[1]Tabelle1!$A$1:$B$68,2,FALSE)</f>
        <v>Harburg</v>
      </c>
      <c r="F2729" t="str">
        <f>'2020_5-2-2_Download'!$AX$7</f>
        <v>mittel</v>
      </c>
      <c r="G2729" t="s">
        <v>362</v>
      </c>
      <c r="H2729" t="str">
        <f>VLOOKUP(B2729,[2]Kreise!$A$2:$C$53,3,FALSE)</f>
        <v>K03353</v>
      </c>
      <c r="I2729" s="266">
        <f>'2020_5-2-2_Download'!AX33</f>
        <v>29.718346933403527</v>
      </c>
    </row>
    <row r="2730" spans="2:9">
      <c r="B2730">
        <f>'2020_5-2-2_Download'!B34</f>
        <v>354</v>
      </c>
      <c r="C2730">
        <f>'2020_5-2-2_Download'!$AT$5</f>
        <v>2014</v>
      </c>
      <c r="D2730" t="str">
        <f>VLOOKUP(B2730,[1]Tabelle1!$A$1:$B$68,2,FALSE)</f>
        <v>Lüchow-Dannenberg</v>
      </c>
      <c r="F2730" t="str">
        <f>'2020_5-2-2_Download'!$AX$7</f>
        <v>mittel</v>
      </c>
      <c r="G2730" t="s">
        <v>362</v>
      </c>
      <c r="H2730" t="str">
        <f>VLOOKUP(B2730,[2]Kreise!$A$2:$C$53,3,FALSE)</f>
        <v>K03354</v>
      </c>
      <c r="I2730" s="266">
        <f>'2020_5-2-2_Download'!AX34</f>
        <v>34.254143646408842</v>
      </c>
    </row>
    <row r="2731" spans="2:9">
      <c r="B2731">
        <f>'2020_5-2-2_Download'!B35</f>
        <v>355</v>
      </c>
      <c r="C2731">
        <f>'2020_5-2-2_Download'!$AT$5</f>
        <v>2014</v>
      </c>
      <c r="D2731" t="str">
        <f>VLOOKUP(B2731,[1]Tabelle1!$A$1:$B$68,2,FALSE)</f>
        <v>Lüneburg</v>
      </c>
      <c r="F2731" t="str">
        <f>'2020_5-2-2_Download'!$AX$7</f>
        <v>mittel</v>
      </c>
      <c r="G2731" t="s">
        <v>362</v>
      </c>
      <c r="H2731" t="str">
        <f>VLOOKUP(B2731,[2]Kreise!$A$2:$C$53,3,FALSE)</f>
        <v>K03355</v>
      </c>
      <c r="I2731" s="266">
        <f>'2020_5-2-2_Download'!AX35</f>
        <v>32.82223287014854</v>
      </c>
    </row>
    <row r="2732" spans="2:9">
      <c r="B2732">
        <f>'2020_5-2-2_Download'!B36</f>
        <v>356</v>
      </c>
      <c r="C2732">
        <f>'2020_5-2-2_Download'!$AT$5</f>
        <v>2014</v>
      </c>
      <c r="D2732" t="str">
        <f>VLOOKUP(B2732,[1]Tabelle1!$A$1:$B$68,2,FALSE)</f>
        <v>Osterholz</v>
      </c>
      <c r="F2732" t="str">
        <f>'2020_5-2-2_Download'!$AX$7</f>
        <v>mittel</v>
      </c>
      <c r="G2732" t="s">
        <v>362</v>
      </c>
      <c r="H2732" t="str">
        <f>VLOOKUP(B2732,[2]Kreise!$A$2:$C$53,3,FALSE)</f>
        <v>K03356</v>
      </c>
      <c r="I2732" s="266">
        <f>'2020_5-2-2_Download'!AX36</f>
        <v>34.681496461071795</v>
      </c>
    </row>
    <row r="2733" spans="2:9">
      <c r="B2733">
        <f>'2020_5-2-2_Download'!B37</f>
        <v>357</v>
      </c>
      <c r="C2733">
        <f>'2020_5-2-2_Download'!$AT$5</f>
        <v>2014</v>
      </c>
      <c r="D2733" t="str">
        <f>VLOOKUP(B2733,[1]Tabelle1!$A$1:$B$68,2,FALSE)</f>
        <v>Rotenburg (Wümme)</v>
      </c>
      <c r="F2733" t="str">
        <f>'2020_5-2-2_Download'!$AX$7</f>
        <v>mittel</v>
      </c>
      <c r="G2733" t="s">
        <v>362</v>
      </c>
      <c r="H2733" t="str">
        <f>VLOOKUP(B2733,[2]Kreise!$A$2:$C$53,3,FALSE)</f>
        <v>K03357</v>
      </c>
      <c r="I2733" s="266">
        <f>'2020_5-2-2_Download'!AX37</f>
        <v>31.318136769078297</v>
      </c>
    </row>
    <row r="2734" spans="2:9">
      <c r="B2734">
        <f>'2020_5-2-2_Download'!B38</f>
        <v>358</v>
      </c>
      <c r="C2734">
        <f>'2020_5-2-2_Download'!$AT$5</f>
        <v>2014</v>
      </c>
      <c r="D2734" t="str">
        <f>VLOOKUP(B2734,[1]Tabelle1!$A$1:$B$68,2,FALSE)</f>
        <v>Heidekreis</v>
      </c>
      <c r="F2734" t="str">
        <f>'2020_5-2-2_Download'!$AX$7</f>
        <v>mittel</v>
      </c>
      <c r="G2734" t="s">
        <v>362</v>
      </c>
      <c r="H2734" t="str">
        <f>VLOOKUP(B2734,[2]Kreise!$A$2:$C$53,3,FALSE)</f>
        <v>K03358</v>
      </c>
      <c r="I2734" s="266">
        <f>'2020_5-2-2_Download'!AX38</f>
        <v>37.213403880070544</v>
      </c>
    </row>
    <row r="2735" spans="2:9">
      <c r="B2735">
        <f>'2020_5-2-2_Download'!B39</f>
        <v>359</v>
      </c>
      <c r="C2735">
        <f>'2020_5-2-2_Download'!$AT$5</f>
        <v>2014</v>
      </c>
      <c r="D2735" t="str">
        <f>VLOOKUP(B2735,[1]Tabelle1!$A$1:$B$68,2,FALSE)</f>
        <v>Stade</v>
      </c>
      <c r="F2735" t="str">
        <f>'2020_5-2-2_Download'!$AX$7</f>
        <v>mittel</v>
      </c>
      <c r="G2735" t="s">
        <v>362</v>
      </c>
      <c r="H2735" t="str">
        <f>VLOOKUP(B2735,[2]Kreise!$A$2:$C$53,3,FALSE)</f>
        <v>K03359</v>
      </c>
      <c r="I2735" s="266">
        <f>'2020_5-2-2_Download'!AX39</f>
        <v>24.305555555555554</v>
      </c>
    </row>
    <row r="2736" spans="2:9">
      <c r="B2736">
        <f>'2020_5-2-2_Download'!B40</f>
        <v>360</v>
      </c>
      <c r="C2736">
        <f>'2020_5-2-2_Download'!$AT$5</f>
        <v>2014</v>
      </c>
      <c r="D2736" t="str">
        <f>VLOOKUP(B2736,[1]Tabelle1!$A$1:$B$68,2,FALSE)</f>
        <v>Uelzen</v>
      </c>
      <c r="F2736" t="str">
        <f>'2020_5-2-2_Download'!$AX$7</f>
        <v>mittel</v>
      </c>
      <c r="G2736" t="s">
        <v>362</v>
      </c>
      <c r="H2736" t="str">
        <f>VLOOKUP(B2736,[2]Kreise!$A$2:$C$53,3,FALSE)</f>
        <v>K03360</v>
      </c>
      <c r="I2736" s="266">
        <f>'2020_5-2-2_Download'!AX40</f>
        <v>34.189031505250881</v>
      </c>
    </row>
    <row r="2737" spans="2:9">
      <c r="B2737">
        <f>'2020_5-2-2_Download'!B41</f>
        <v>361</v>
      </c>
      <c r="C2737">
        <f>'2020_5-2-2_Download'!$AT$5</f>
        <v>2014</v>
      </c>
      <c r="D2737" t="str">
        <f>VLOOKUP(B2737,[1]Tabelle1!$A$1:$B$68,2,FALSE)</f>
        <v>Verden</v>
      </c>
      <c r="F2737" t="str">
        <f>'2020_5-2-2_Download'!$AX$7</f>
        <v>mittel</v>
      </c>
      <c r="G2737" t="s">
        <v>362</v>
      </c>
      <c r="H2737" t="str">
        <f>VLOOKUP(B2737,[2]Kreise!$A$2:$C$53,3,FALSE)</f>
        <v>K03361</v>
      </c>
      <c r="I2737" s="266">
        <f>'2020_5-2-2_Download'!AX41</f>
        <v>31.520395550061803</v>
      </c>
    </row>
    <row r="2738" spans="2:9">
      <c r="B2738">
        <f>'2020_5-2-2_Download'!B42</f>
        <v>3</v>
      </c>
      <c r="C2738">
        <f>'2020_5-2-2_Download'!$AT$5</f>
        <v>2014</v>
      </c>
      <c r="D2738" t="str">
        <f>VLOOKUP(B2738,[1]Tabelle1!$A$1:$B$68,2,FALSE)</f>
        <v>Stat. Region Lüneburg</v>
      </c>
      <c r="F2738" t="str">
        <f>'2020_5-2-2_Download'!$AX$7</f>
        <v>mittel</v>
      </c>
      <c r="G2738" t="s">
        <v>362</v>
      </c>
      <c r="H2738" t="str">
        <f>VLOOKUP(B2738,[2]Kreise!$A$2:$C$53,3,FALSE)</f>
        <v>K033</v>
      </c>
      <c r="I2738" s="266">
        <f>'2020_5-2-2_Download'!AX42</f>
        <v>31.008717310087174</v>
      </c>
    </row>
    <row r="2739" spans="2:9">
      <c r="B2739">
        <f>'2020_5-2-2_Download'!B43</f>
        <v>401</v>
      </c>
      <c r="C2739">
        <f>'2020_5-2-2_Download'!$AT$5</f>
        <v>2014</v>
      </c>
      <c r="D2739" t="str">
        <f>VLOOKUP(B2739,[1]Tabelle1!$A$1:$B$68,2,FALSE)</f>
        <v>Delmenhorst  Stadt</v>
      </c>
      <c r="F2739" t="str">
        <f>'2020_5-2-2_Download'!$AX$7</f>
        <v>mittel</v>
      </c>
      <c r="G2739" t="s">
        <v>362</v>
      </c>
      <c r="H2739" t="str">
        <f>VLOOKUP(B2739,[2]Kreise!$A$2:$C$53,3,FALSE)</f>
        <v>K03401</v>
      </c>
      <c r="I2739" s="266">
        <f>'2020_5-2-2_Download'!AX43</f>
        <v>27.113970588235293</v>
      </c>
    </row>
    <row r="2740" spans="2:9">
      <c r="B2740">
        <f>'2020_5-2-2_Download'!B44</f>
        <v>402</v>
      </c>
      <c r="C2740">
        <f>'2020_5-2-2_Download'!$AT$5</f>
        <v>2014</v>
      </c>
      <c r="D2740" t="str">
        <f>VLOOKUP(B2740,[1]Tabelle1!$A$1:$B$68,2,FALSE)</f>
        <v>Emden  Stadt</v>
      </c>
      <c r="F2740" t="str">
        <f>'2020_5-2-2_Download'!$AX$7</f>
        <v>mittel</v>
      </c>
      <c r="G2740" t="s">
        <v>362</v>
      </c>
      <c r="H2740" t="str">
        <f>VLOOKUP(B2740,[2]Kreise!$A$2:$C$53,3,FALSE)</f>
        <v>K03402</v>
      </c>
      <c r="I2740" s="266">
        <f>'2020_5-2-2_Download'!AX44</f>
        <v>40.243902439024396</v>
      </c>
    </row>
    <row r="2741" spans="2:9">
      <c r="B2741">
        <f>'2020_5-2-2_Download'!B45</f>
        <v>403</v>
      </c>
      <c r="C2741">
        <f>'2020_5-2-2_Download'!$AT$5</f>
        <v>2014</v>
      </c>
      <c r="D2741" t="str">
        <f>VLOOKUP(B2741,[1]Tabelle1!$A$1:$B$68,2,FALSE)</f>
        <v>Oldenburg(Oldb)  Stadt</v>
      </c>
      <c r="F2741" t="str">
        <f>'2020_5-2-2_Download'!$AX$7</f>
        <v>mittel</v>
      </c>
      <c r="G2741" t="s">
        <v>362</v>
      </c>
      <c r="H2741" t="str">
        <f>VLOOKUP(B2741,[2]Kreise!$A$2:$C$53,3,FALSE)</f>
        <v>K03403</v>
      </c>
      <c r="I2741" s="266">
        <f>'2020_5-2-2_Download'!AX45</f>
        <v>27.943700652248545</v>
      </c>
    </row>
    <row r="2742" spans="2:9">
      <c r="B2742">
        <f>'2020_5-2-2_Download'!B46</f>
        <v>404</v>
      </c>
      <c r="C2742">
        <f>'2020_5-2-2_Download'!$AT$5</f>
        <v>2014</v>
      </c>
      <c r="D2742" t="str">
        <f>VLOOKUP(B2742,[1]Tabelle1!$A$1:$B$68,2,FALSE)</f>
        <v>Osnabrück  Stadt</v>
      </c>
      <c r="F2742" t="str">
        <f>'2020_5-2-2_Download'!$AX$7</f>
        <v>mittel</v>
      </c>
      <c r="G2742" t="s">
        <v>362</v>
      </c>
      <c r="H2742" t="str">
        <f>VLOOKUP(B2742,[2]Kreise!$A$2:$C$53,3,FALSE)</f>
        <v>K03404</v>
      </c>
      <c r="I2742" s="266">
        <f>'2020_5-2-2_Download'!AX46</f>
        <v>33.511798532619473</v>
      </c>
    </row>
    <row r="2743" spans="2:9">
      <c r="B2743">
        <f>'2020_5-2-2_Download'!B47</f>
        <v>405</v>
      </c>
      <c r="C2743">
        <f>'2020_5-2-2_Download'!$AT$5</f>
        <v>2014</v>
      </c>
      <c r="D2743" t="str">
        <f>VLOOKUP(B2743,[1]Tabelle1!$A$1:$B$68,2,FALSE)</f>
        <v>Wilhelmshaven  Stadt</v>
      </c>
      <c r="F2743" t="str">
        <f>'2020_5-2-2_Download'!$AX$7</f>
        <v>mittel</v>
      </c>
      <c r="G2743" t="s">
        <v>362</v>
      </c>
      <c r="H2743" t="str">
        <f>VLOOKUP(B2743,[2]Kreise!$A$2:$C$53,3,FALSE)</f>
        <v>K03405</v>
      </c>
      <c r="I2743" s="266">
        <f>'2020_5-2-2_Download'!AX47</f>
        <v>35.62176165803109</v>
      </c>
    </row>
    <row r="2744" spans="2:9">
      <c r="B2744">
        <f>'2020_5-2-2_Download'!B48</f>
        <v>451</v>
      </c>
      <c r="C2744">
        <f>'2020_5-2-2_Download'!$AT$5</f>
        <v>2014</v>
      </c>
      <c r="D2744" t="str">
        <f>VLOOKUP(B2744,[1]Tabelle1!$A$1:$B$68,2,FALSE)</f>
        <v>Ammerland</v>
      </c>
      <c r="F2744" t="str">
        <f>'2020_5-2-2_Download'!$AX$7</f>
        <v>mittel</v>
      </c>
      <c r="G2744" t="s">
        <v>362</v>
      </c>
      <c r="H2744" t="str">
        <f>VLOOKUP(B2744,[2]Kreise!$A$2:$C$53,3,FALSE)</f>
        <v>K03451</v>
      </c>
      <c r="I2744" s="266">
        <f>'2020_5-2-2_Download'!AX48</f>
        <v>28.04878048780488</v>
      </c>
    </row>
    <row r="2745" spans="2:9">
      <c r="B2745">
        <f>'2020_5-2-2_Download'!B49</f>
        <v>452</v>
      </c>
      <c r="C2745">
        <f>'2020_5-2-2_Download'!$AT$5</f>
        <v>2014</v>
      </c>
      <c r="D2745" t="str">
        <f>VLOOKUP(B2745,[1]Tabelle1!$A$1:$B$68,2,FALSE)</f>
        <v>Aurich</v>
      </c>
      <c r="F2745" t="str">
        <f>'2020_5-2-2_Download'!$AX$7</f>
        <v>mittel</v>
      </c>
      <c r="G2745" t="s">
        <v>362</v>
      </c>
      <c r="H2745" t="str">
        <f>VLOOKUP(B2745,[2]Kreise!$A$2:$C$53,3,FALSE)</f>
        <v>K03452</v>
      </c>
      <c r="I2745" s="266">
        <f>'2020_5-2-2_Download'!AX49</f>
        <v>27.126099706744867</v>
      </c>
    </row>
    <row r="2746" spans="2:9">
      <c r="B2746">
        <f>'2020_5-2-2_Download'!B50</f>
        <v>453</v>
      </c>
      <c r="C2746">
        <f>'2020_5-2-2_Download'!$AT$5</f>
        <v>2014</v>
      </c>
      <c r="D2746" t="str">
        <f>VLOOKUP(B2746,[1]Tabelle1!$A$1:$B$68,2,FALSE)</f>
        <v>Cloppenburg</v>
      </c>
      <c r="F2746" t="str">
        <f>'2020_5-2-2_Download'!$AX$7</f>
        <v>mittel</v>
      </c>
      <c r="G2746" t="s">
        <v>362</v>
      </c>
      <c r="H2746" t="str">
        <f>VLOOKUP(B2746,[2]Kreise!$A$2:$C$53,3,FALSE)</f>
        <v>K03453</v>
      </c>
      <c r="I2746" s="266">
        <f>'2020_5-2-2_Download'!AX50</f>
        <v>20.419305525223848</v>
      </c>
    </row>
    <row r="2747" spans="2:9">
      <c r="B2747">
        <f>'2020_5-2-2_Download'!B51</f>
        <v>454</v>
      </c>
      <c r="C2747">
        <f>'2020_5-2-2_Download'!$AT$5</f>
        <v>2014</v>
      </c>
      <c r="D2747" t="str">
        <f>VLOOKUP(B2747,[1]Tabelle1!$A$1:$B$68,2,FALSE)</f>
        <v>Emsland</v>
      </c>
      <c r="F2747" t="str">
        <f>'2020_5-2-2_Download'!$AX$7</f>
        <v>mittel</v>
      </c>
      <c r="G2747" t="s">
        <v>362</v>
      </c>
      <c r="H2747" t="str">
        <f>VLOOKUP(B2747,[2]Kreise!$A$2:$C$53,3,FALSE)</f>
        <v>K03454</v>
      </c>
      <c r="I2747" s="266">
        <f>'2020_5-2-2_Download'!AX51</f>
        <v>35.587188612099645</v>
      </c>
    </row>
    <row r="2748" spans="2:9">
      <c r="B2748">
        <f>'2020_5-2-2_Download'!B52</f>
        <v>455</v>
      </c>
      <c r="C2748">
        <f>'2020_5-2-2_Download'!$AT$5</f>
        <v>2014</v>
      </c>
      <c r="D2748" t="str">
        <f>VLOOKUP(B2748,[1]Tabelle1!$A$1:$B$68,2,FALSE)</f>
        <v>Friesland</v>
      </c>
      <c r="F2748" t="str">
        <f>'2020_5-2-2_Download'!$AX$7</f>
        <v>mittel</v>
      </c>
      <c r="G2748" t="s">
        <v>362</v>
      </c>
      <c r="H2748" t="str">
        <f>VLOOKUP(B2748,[2]Kreise!$A$2:$C$53,3,FALSE)</f>
        <v>K03455</v>
      </c>
      <c r="I2748" s="266">
        <f>'2020_5-2-2_Download'!AX52</f>
        <v>33.177570093457945</v>
      </c>
    </row>
    <row r="2749" spans="2:9">
      <c r="B2749">
        <f>'2020_5-2-2_Download'!B53</f>
        <v>456</v>
      </c>
      <c r="C2749">
        <f>'2020_5-2-2_Download'!$AT$5</f>
        <v>2014</v>
      </c>
      <c r="D2749" t="str">
        <f>VLOOKUP(B2749,[1]Tabelle1!$A$1:$B$68,2,FALSE)</f>
        <v>Grafschaft Bentheim</v>
      </c>
      <c r="F2749" t="str">
        <f>'2020_5-2-2_Download'!$AX$7</f>
        <v>mittel</v>
      </c>
      <c r="G2749" t="s">
        <v>362</v>
      </c>
      <c r="H2749" t="str">
        <f>VLOOKUP(B2749,[2]Kreise!$A$2:$C$53,3,FALSE)</f>
        <v>K03456</v>
      </c>
      <c r="I2749" s="266">
        <f>'2020_5-2-2_Download'!AX53</f>
        <v>42.631898120072769</v>
      </c>
    </row>
    <row r="2750" spans="2:9">
      <c r="B2750">
        <f>'2020_5-2-2_Download'!B54</f>
        <v>457</v>
      </c>
      <c r="C2750">
        <f>'2020_5-2-2_Download'!$AT$5</f>
        <v>2014</v>
      </c>
      <c r="D2750" t="str">
        <f>VLOOKUP(B2750,[1]Tabelle1!$A$1:$B$68,2,FALSE)</f>
        <v>Leer</v>
      </c>
      <c r="F2750" t="str">
        <f>'2020_5-2-2_Download'!$AX$7</f>
        <v>mittel</v>
      </c>
      <c r="G2750" t="s">
        <v>362</v>
      </c>
      <c r="H2750" t="str">
        <f>VLOOKUP(B2750,[2]Kreise!$A$2:$C$53,3,FALSE)</f>
        <v>K03457</v>
      </c>
      <c r="I2750" s="266">
        <f>'2020_5-2-2_Download'!AX54</f>
        <v>33.243823845327604</v>
      </c>
    </row>
    <row r="2751" spans="2:9">
      <c r="B2751">
        <f>'2020_5-2-2_Download'!B55</f>
        <v>458</v>
      </c>
      <c r="C2751">
        <f>'2020_5-2-2_Download'!$AT$5</f>
        <v>2014</v>
      </c>
      <c r="D2751" t="str">
        <f>VLOOKUP(B2751,[1]Tabelle1!$A$1:$B$68,2,FALSE)</f>
        <v>Oldenburg</v>
      </c>
      <c r="F2751" t="str">
        <f>'2020_5-2-2_Download'!$AX$7</f>
        <v>mittel</v>
      </c>
      <c r="G2751" t="s">
        <v>362</v>
      </c>
      <c r="H2751" t="str">
        <f>VLOOKUP(B2751,[2]Kreise!$A$2:$C$53,3,FALSE)</f>
        <v>K03458</v>
      </c>
      <c r="I2751" s="266">
        <f>'2020_5-2-2_Download'!AX55</f>
        <v>23.112480739599384</v>
      </c>
    </row>
    <row r="2752" spans="2:9">
      <c r="B2752">
        <f>'2020_5-2-2_Download'!B56</f>
        <v>459</v>
      </c>
      <c r="C2752">
        <f>'2020_5-2-2_Download'!$AT$5</f>
        <v>2014</v>
      </c>
      <c r="D2752" t="str">
        <f>VLOOKUP(B2752,[1]Tabelle1!$A$1:$B$68,2,FALSE)</f>
        <v>Osnabrück</v>
      </c>
      <c r="F2752" t="str">
        <f>'2020_5-2-2_Download'!$AX$7</f>
        <v>mittel</v>
      </c>
      <c r="G2752" t="s">
        <v>362</v>
      </c>
      <c r="H2752" t="str">
        <f>VLOOKUP(B2752,[2]Kreise!$A$2:$C$53,3,FALSE)</f>
        <v>K03459</v>
      </c>
      <c r="I2752" s="266">
        <f>'2020_5-2-2_Download'!AX56</f>
        <v>24.786129804950381</v>
      </c>
    </row>
    <row r="2753" spans="2:9">
      <c r="B2753">
        <f>'2020_5-2-2_Download'!B57</f>
        <v>460</v>
      </c>
      <c r="C2753">
        <f>'2020_5-2-2_Download'!$AT$5</f>
        <v>2014</v>
      </c>
      <c r="D2753" t="str">
        <f>VLOOKUP(B2753,[1]Tabelle1!$A$1:$B$68,2,FALSE)</f>
        <v>Vechta</v>
      </c>
      <c r="F2753" t="str">
        <f>'2020_5-2-2_Download'!$AX$7</f>
        <v>mittel</v>
      </c>
      <c r="G2753" t="s">
        <v>362</v>
      </c>
      <c r="H2753" t="str">
        <f>VLOOKUP(B2753,[2]Kreise!$A$2:$C$53,3,FALSE)</f>
        <v>K03460</v>
      </c>
      <c r="I2753" s="266">
        <f>'2020_5-2-2_Download'!AX57</f>
        <v>17.293934681181959</v>
      </c>
    </row>
    <row r="2754" spans="2:9">
      <c r="B2754">
        <f>'2020_5-2-2_Download'!B58</f>
        <v>461</v>
      </c>
      <c r="C2754">
        <f>'2020_5-2-2_Download'!$AT$5</f>
        <v>2014</v>
      </c>
      <c r="D2754" t="str">
        <f>VLOOKUP(B2754,[1]Tabelle1!$A$1:$B$68,2,FALSE)</f>
        <v>Wesermarsch</v>
      </c>
      <c r="F2754" t="str">
        <f>'2020_5-2-2_Download'!$AX$7</f>
        <v>mittel</v>
      </c>
      <c r="G2754" t="s">
        <v>362</v>
      </c>
      <c r="H2754" t="str">
        <f>VLOOKUP(B2754,[2]Kreise!$A$2:$C$53,3,FALSE)</f>
        <v>K03461</v>
      </c>
      <c r="I2754" s="266">
        <f>'2020_5-2-2_Download'!AX58</f>
        <v>41.127819548872182</v>
      </c>
    </row>
    <row r="2755" spans="2:9">
      <c r="B2755">
        <f>'2020_5-2-2_Download'!B59</f>
        <v>462</v>
      </c>
      <c r="C2755">
        <f>'2020_5-2-2_Download'!$AT$5</f>
        <v>2014</v>
      </c>
      <c r="D2755" t="str">
        <f>VLOOKUP(B2755,[1]Tabelle1!$A$1:$B$68,2,FALSE)</f>
        <v>Wittmund</v>
      </c>
      <c r="F2755" t="str">
        <f>'2020_5-2-2_Download'!$AX$7</f>
        <v>mittel</v>
      </c>
      <c r="G2755" t="s">
        <v>362</v>
      </c>
      <c r="H2755" t="str">
        <f>VLOOKUP(B2755,[2]Kreise!$A$2:$C$53,3,FALSE)</f>
        <v>K03462</v>
      </c>
      <c r="I2755" s="266">
        <f>'2020_5-2-2_Download'!AX59</f>
        <v>20.136518771331058</v>
      </c>
    </row>
    <row r="2756" spans="2:9">
      <c r="B2756">
        <f>'2020_5-2-2_Download'!B60</f>
        <v>4</v>
      </c>
      <c r="C2756">
        <f>'2020_5-2-2_Download'!$AT$5</f>
        <v>2014</v>
      </c>
      <c r="D2756" t="str">
        <f>VLOOKUP(B2756,[1]Tabelle1!$A$1:$B$68,2,FALSE)</f>
        <v>Stat. Region Weser-Ems</v>
      </c>
      <c r="F2756" t="str">
        <f>'2020_5-2-2_Download'!$AX$7</f>
        <v>mittel</v>
      </c>
      <c r="G2756" t="s">
        <v>362</v>
      </c>
      <c r="H2756" t="str">
        <f>VLOOKUP(B2756,[2]Kreise!$A$2:$C$53,3,FALSE)</f>
        <v>K034</v>
      </c>
      <c r="I2756" s="266">
        <f>'2020_5-2-2_Download'!AX60</f>
        <v>28.430472245559873</v>
      </c>
    </row>
    <row r="2757" spans="2:9">
      <c r="B2757">
        <f>'2020_5-2-2_Download'!B61</f>
        <v>0</v>
      </c>
      <c r="C2757">
        <f>'2020_5-2-2_Download'!$AT$5</f>
        <v>2014</v>
      </c>
      <c r="D2757" t="str">
        <f>VLOOKUP(B2757,[1]Tabelle1!$A$1:$B$68,2,FALSE)</f>
        <v>Niedersachsen</v>
      </c>
      <c r="F2757" t="str">
        <f>'2020_5-2-2_Download'!$AX$7</f>
        <v>mittel</v>
      </c>
      <c r="G2757" t="s">
        <v>362</v>
      </c>
      <c r="H2757" t="str">
        <f>VLOOKUP(B2757,[2]Kreise!$A$2:$C$53,3,FALSE)</f>
        <v>K030</v>
      </c>
      <c r="I2757" s="266">
        <f>'2020_5-2-2_Download'!AX61</f>
        <v>31.727739489574308</v>
      </c>
    </row>
    <row r="2758" spans="2:9">
      <c r="B2758">
        <f>'2020_5-2-2_Download'!B10</f>
        <v>101</v>
      </c>
      <c r="C2758">
        <f>'2020_5-2-2_Download'!$AT$5</f>
        <v>2014</v>
      </c>
      <c r="D2758" t="str">
        <f>VLOOKUP(B2758,[1]Tabelle1!$A$1:$B$68,2,FALSE)</f>
        <v>Braunschweig  Stadt</v>
      </c>
      <c r="F2758" t="str">
        <f>'2020_5-2-2_Download'!$AY$7</f>
        <v>niedrig</v>
      </c>
      <c r="G2758" t="s">
        <v>362</v>
      </c>
      <c r="H2758" t="str">
        <f>VLOOKUP(B2758,[2]Kreise!$A$2:$C$53,3,FALSE)</f>
        <v>K03101</v>
      </c>
      <c r="I2758" s="266">
        <f>'2020_5-2-2_Download'!AY10</f>
        <v>18.990458602646967</v>
      </c>
    </row>
    <row r="2759" spans="2:9">
      <c r="B2759">
        <f>'2020_5-2-2_Download'!B11</f>
        <v>102</v>
      </c>
      <c r="C2759">
        <f>'2020_5-2-2_Download'!$AT$5</f>
        <v>2014</v>
      </c>
      <c r="D2759" t="str">
        <f>VLOOKUP(B2759,[1]Tabelle1!$A$1:$B$68,2,FALSE)</f>
        <v>Salzgitter  Stadt</v>
      </c>
      <c r="F2759" t="str">
        <f>'2020_5-2-2_Download'!$AY$7</f>
        <v>niedrig</v>
      </c>
      <c r="G2759" t="s">
        <v>362</v>
      </c>
      <c r="H2759" t="str">
        <f>VLOOKUP(B2759,[2]Kreise!$A$2:$C$53,3,FALSE)</f>
        <v>K03102</v>
      </c>
      <c r="I2759" s="266">
        <f>'2020_5-2-2_Download'!AY11</f>
        <v>21.582733812949641</v>
      </c>
    </row>
    <row r="2760" spans="2:9">
      <c r="B2760">
        <f>'2020_5-2-2_Download'!B12</f>
        <v>103</v>
      </c>
      <c r="C2760">
        <f>'2020_5-2-2_Download'!$AT$5</f>
        <v>2014</v>
      </c>
      <c r="D2760" t="str">
        <f>VLOOKUP(B2760,[1]Tabelle1!$A$1:$B$68,2,FALSE)</f>
        <v>Wolfsburg  Stadt</v>
      </c>
      <c r="F2760" t="str">
        <f>'2020_5-2-2_Download'!$AY$7</f>
        <v>niedrig</v>
      </c>
      <c r="G2760" t="s">
        <v>362</v>
      </c>
      <c r="H2760" t="str">
        <f>VLOOKUP(B2760,[2]Kreise!$A$2:$C$53,3,FALSE)</f>
        <v>K03103</v>
      </c>
      <c r="I2760" s="266">
        <f>'2020_5-2-2_Download'!AY12</f>
        <v>11.1493374108053</v>
      </c>
    </row>
    <row r="2761" spans="2:9">
      <c r="B2761">
        <f>'2020_5-2-2_Download'!B13</f>
        <v>151</v>
      </c>
      <c r="C2761">
        <f>'2020_5-2-2_Download'!$AT$5</f>
        <v>2014</v>
      </c>
      <c r="D2761" t="str">
        <f>VLOOKUP(B2761,[1]Tabelle1!$A$1:$B$68,2,FALSE)</f>
        <v>Gifhorn</v>
      </c>
      <c r="F2761" t="str">
        <f>'2020_5-2-2_Download'!$AY$7</f>
        <v>niedrig</v>
      </c>
      <c r="G2761" t="s">
        <v>362</v>
      </c>
      <c r="H2761" t="str">
        <f>VLOOKUP(B2761,[2]Kreise!$A$2:$C$53,3,FALSE)</f>
        <v>K03151</v>
      </c>
      <c r="I2761" s="266">
        <f>'2020_5-2-2_Download'!AY13</f>
        <v>26.435592343507501</v>
      </c>
    </row>
    <row r="2762" spans="2:9">
      <c r="B2762">
        <f>'2020_5-2-2_Download'!B14</f>
        <v>153</v>
      </c>
      <c r="C2762">
        <f>'2020_5-2-2_Download'!$AT$5</f>
        <v>2014</v>
      </c>
      <c r="D2762" t="str">
        <f>VLOOKUP(B2762,[1]Tabelle1!$A$1:$B$68,2,FALSE)</f>
        <v>Goslar</v>
      </c>
      <c r="F2762" t="str">
        <f>'2020_5-2-2_Download'!$AY$7</f>
        <v>niedrig</v>
      </c>
      <c r="G2762" t="s">
        <v>362</v>
      </c>
      <c r="H2762" t="str">
        <f>VLOOKUP(B2762,[2]Kreise!$A$2:$C$53,3,FALSE)</f>
        <v>K03153</v>
      </c>
      <c r="I2762" s="266">
        <f>'2020_5-2-2_Download'!AY14</f>
        <v>18.809126321647192</v>
      </c>
    </row>
    <row r="2763" spans="2:9">
      <c r="B2763">
        <f>'2020_5-2-2_Download'!B15</f>
        <v>154</v>
      </c>
      <c r="C2763">
        <f>'2020_5-2-2_Download'!$AT$5</f>
        <v>2014</v>
      </c>
      <c r="D2763" t="str">
        <f>VLOOKUP(B2763,[1]Tabelle1!$A$1:$B$68,2,FALSE)</f>
        <v>Helmstedt</v>
      </c>
      <c r="F2763" t="str">
        <f>'2020_5-2-2_Download'!$AY$7</f>
        <v>niedrig</v>
      </c>
      <c r="G2763" t="s">
        <v>362</v>
      </c>
      <c r="H2763" t="str">
        <f>VLOOKUP(B2763,[2]Kreise!$A$2:$C$53,3,FALSE)</f>
        <v>K03154</v>
      </c>
      <c r="I2763" s="266">
        <f>'2020_5-2-2_Download'!AY15</f>
        <v>24.260355029585799</v>
      </c>
    </row>
    <row r="2764" spans="2:9">
      <c r="B2764">
        <f>'2020_5-2-2_Download'!B16</f>
        <v>155</v>
      </c>
      <c r="C2764">
        <f>'2020_5-2-2_Download'!$AT$5</f>
        <v>2014</v>
      </c>
      <c r="D2764" t="str">
        <f>VLOOKUP(B2764,[1]Tabelle1!$A$1:$B$68,2,FALSE)</f>
        <v>Northeim</v>
      </c>
      <c r="F2764" t="str">
        <f>'2020_5-2-2_Download'!$AY$7</f>
        <v>niedrig</v>
      </c>
      <c r="G2764" t="s">
        <v>362</v>
      </c>
      <c r="H2764" t="str">
        <f>VLOOKUP(B2764,[2]Kreise!$A$2:$C$53,3,FALSE)</f>
        <v>K03155</v>
      </c>
      <c r="I2764" s="266">
        <f>'2020_5-2-2_Download'!AY16</f>
        <v>17.405232247730911</v>
      </c>
    </row>
    <row r="2765" spans="2:9">
      <c r="B2765">
        <f>'2020_5-2-2_Download'!B17</f>
        <v>157</v>
      </c>
      <c r="C2765">
        <f>'2020_5-2-2_Download'!$AT$5</f>
        <v>2014</v>
      </c>
      <c r="D2765" t="str">
        <f>VLOOKUP(B2765,[1]Tabelle1!$A$1:$B$68,2,FALSE)</f>
        <v>Peine</v>
      </c>
      <c r="F2765" t="str">
        <f>'2020_5-2-2_Download'!$AY$7</f>
        <v>niedrig</v>
      </c>
      <c r="G2765" t="s">
        <v>362</v>
      </c>
      <c r="H2765" t="str">
        <f>VLOOKUP(B2765,[2]Kreise!$A$2:$C$53,3,FALSE)</f>
        <v>K03157</v>
      </c>
      <c r="I2765" s="266">
        <f>'2020_5-2-2_Download'!AY17</f>
        <v>27.974504249291787</v>
      </c>
    </row>
    <row r="2766" spans="2:9">
      <c r="B2766">
        <f>'2020_5-2-2_Download'!B18</f>
        <v>158</v>
      </c>
      <c r="C2766">
        <f>'2020_5-2-2_Download'!$AT$5</f>
        <v>2014</v>
      </c>
      <c r="D2766" t="str">
        <f>VLOOKUP(B2766,[1]Tabelle1!$A$1:$B$68,2,FALSE)</f>
        <v>Wolfenbüttel</v>
      </c>
      <c r="F2766" t="str">
        <f>'2020_5-2-2_Download'!$AY$7</f>
        <v>niedrig</v>
      </c>
      <c r="G2766" t="s">
        <v>362</v>
      </c>
      <c r="H2766" t="str">
        <f>VLOOKUP(B2766,[2]Kreise!$A$2:$C$53,3,FALSE)</f>
        <v>K03158</v>
      </c>
      <c r="I2766" s="266">
        <f>'2020_5-2-2_Download'!AY18</f>
        <v>18.494897959183675</v>
      </c>
    </row>
    <row r="2767" spans="2:9">
      <c r="B2767">
        <f>'2020_5-2-2_Download'!B19</f>
        <v>159</v>
      </c>
      <c r="C2767">
        <f>'2020_5-2-2_Download'!$AT$5</f>
        <v>2014</v>
      </c>
      <c r="D2767" t="str">
        <f>VLOOKUP(B2767,[1]Tabelle1!$A$1:$B$68,2,FALSE)</f>
        <v>Göttingen</v>
      </c>
      <c r="F2767" t="str">
        <f>'2020_5-2-2_Download'!$AY$7</f>
        <v>niedrig</v>
      </c>
      <c r="G2767" t="s">
        <v>362</v>
      </c>
      <c r="H2767" t="str">
        <f>VLOOKUP(B2767,[2]Kreise!$A$2:$C$53,3,FALSE)</f>
        <v>K03159</v>
      </c>
      <c r="I2767" s="266">
        <f>'2020_5-2-2_Download'!AY19</f>
        <v>22.402826855123674</v>
      </c>
    </row>
    <row r="2768" spans="2:9">
      <c r="B2768">
        <f>'2020_5-2-2_Download'!B20</f>
        <v>1</v>
      </c>
      <c r="C2768">
        <f>'2020_5-2-2_Download'!$AT$5</f>
        <v>2014</v>
      </c>
      <c r="D2768" t="str">
        <f>VLOOKUP(B2768,[1]Tabelle1!$A$1:$B$68,2,FALSE)</f>
        <v>Stat. Region Braunschweig</v>
      </c>
      <c r="F2768" t="str">
        <f>'2020_5-2-2_Download'!$AY$7</f>
        <v>niedrig</v>
      </c>
      <c r="G2768" t="s">
        <v>362</v>
      </c>
      <c r="H2768" t="str">
        <f>VLOOKUP(B2768,[2]Kreise!$A$2:$C$53,3,FALSE)</f>
        <v>K031</v>
      </c>
      <c r="I2768" s="266">
        <f>'2020_5-2-2_Download'!AY20</f>
        <v>18.771902131018152</v>
      </c>
    </row>
    <row r="2769" spans="2:9">
      <c r="B2769">
        <f>'2020_5-2-2_Download'!B21</f>
        <v>241</v>
      </c>
      <c r="C2769">
        <f>'2020_5-2-2_Download'!$AT$5</f>
        <v>2014</v>
      </c>
      <c r="D2769" t="str">
        <f>VLOOKUP(B2769,[1]Tabelle1!$A$1:$B$68,2,FALSE)</f>
        <v>Hannover  Region</v>
      </c>
      <c r="F2769" t="str">
        <f>'2020_5-2-2_Download'!$AY$7</f>
        <v>niedrig</v>
      </c>
      <c r="G2769" t="s">
        <v>362</v>
      </c>
      <c r="H2769" t="str">
        <f>VLOOKUP(B2769,[2]Kreise!$A$2:$C$53,3,FALSE)</f>
        <v>K03241</v>
      </c>
      <c r="I2769" s="266">
        <f>'2020_5-2-2_Download'!AY21</f>
        <v>24.100144389438942</v>
      </c>
    </row>
    <row r="2770" spans="2:9">
      <c r="B2770">
        <f>'2020_5-2-2_Download'!B22</f>
        <v>241001</v>
      </c>
      <c r="C2770">
        <f>'2020_5-2-2_Download'!$AT$5</f>
        <v>2014</v>
      </c>
      <c r="D2770" t="str">
        <f>VLOOKUP(B2770,[1]Tabelle1!$A$1:$B$68,2,FALSE)</f>
        <v>dav. Hannover  Lhst.</v>
      </c>
      <c r="F2770" t="str">
        <f>'2020_5-2-2_Download'!$AY$7</f>
        <v>niedrig</v>
      </c>
      <c r="G2770" t="s">
        <v>362</v>
      </c>
      <c r="H2770" t="str">
        <f>VLOOKUP(B2770,[2]Kreise!$A$2:$C$53,3,FALSE)</f>
        <v>K03241001</v>
      </c>
      <c r="I2770" s="266">
        <f>'2020_5-2-2_Download'!AY22</f>
        <v>23.60072423836889</v>
      </c>
    </row>
    <row r="2771" spans="2:9">
      <c r="B2771">
        <f>'2020_5-2-2_Download'!B23</f>
        <v>241999</v>
      </c>
      <c r="C2771">
        <f>'2020_5-2-2_Download'!$AT$5</f>
        <v>2014</v>
      </c>
      <c r="D2771" t="str">
        <f>VLOOKUP(B2771,[1]Tabelle1!$A$1:$B$68,2,FALSE)</f>
        <v>dav. Hannover  Umland</v>
      </c>
      <c r="F2771" t="str">
        <f>'2020_5-2-2_Download'!$AY$7</f>
        <v>niedrig</v>
      </c>
      <c r="G2771" t="s">
        <v>362</v>
      </c>
      <c r="H2771" t="str">
        <f>VLOOKUP(B2771,[2]Kreise!$A$2:$C$53,3,FALSE)</f>
        <v>K03241999</v>
      </c>
      <c r="I2771" s="266">
        <f>'2020_5-2-2_Download'!AY23</f>
        <v>25.04858723277022</v>
      </c>
    </row>
    <row r="2772" spans="2:9">
      <c r="B2772">
        <f>'2020_5-2-2_Download'!B24</f>
        <v>251</v>
      </c>
      <c r="C2772">
        <f>'2020_5-2-2_Download'!$AT$5</f>
        <v>2014</v>
      </c>
      <c r="D2772" t="str">
        <f>VLOOKUP(B2772,[1]Tabelle1!$A$1:$B$68,2,FALSE)</f>
        <v>Diepholz</v>
      </c>
      <c r="F2772" t="str">
        <f>'2020_5-2-2_Download'!$AY$7</f>
        <v>niedrig</v>
      </c>
      <c r="G2772" t="s">
        <v>362</v>
      </c>
      <c r="H2772" t="str">
        <f>VLOOKUP(B2772,[2]Kreise!$A$2:$C$53,3,FALSE)</f>
        <v>K03251</v>
      </c>
      <c r="I2772" s="266">
        <f>'2020_5-2-2_Download'!AY24</f>
        <v>20.914816042426253</v>
      </c>
    </row>
    <row r="2773" spans="2:9">
      <c r="B2773">
        <f>'2020_5-2-2_Download'!B25</f>
        <v>252</v>
      </c>
      <c r="C2773">
        <f>'2020_5-2-2_Download'!$AT$5</f>
        <v>2014</v>
      </c>
      <c r="D2773" t="str">
        <f>VLOOKUP(B2773,[1]Tabelle1!$A$1:$B$68,2,FALSE)</f>
        <v>Hameln-Pyrmont</v>
      </c>
      <c r="F2773" t="str">
        <f>'2020_5-2-2_Download'!$AY$7</f>
        <v>niedrig</v>
      </c>
      <c r="G2773" t="s">
        <v>362</v>
      </c>
      <c r="H2773" t="str">
        <f>VLOOKUP(B2773,[2]Kreise!$A$2:$C$53,3,FALSE)</f>
        <v>K03252</v>
      </c>
      <c r="I2773" s="266">
        <f>'2020_5-2-2_Download'!AY25</f>
        <v>20.881763527054108</v>
      </c>
    </row>
    <row r="2774" spans="2:9">
      <c r="B2774">
        <f>'2020_5-2-2_Download'!B26</f>
        <v>254</v>
      </c>
      <c r="C2774">
        <f>'2020_5-2-2_Download'!$AT$5</f>
        <v>2014</v>
      </c>
      <c r="D2774" t="str">
        <f>VLOOKUP(B2774,[1]Tabelle1!$A$1:$B$68,2,FALSE)</f>
        <v>Hildesheim</v>
      </c>
      <c r="F2774" t="str">
        <f>'2020_5-2-2_Download'!$AY$7</f>
        <v>niedrig</v>
      </c>
      <c r="G2774" t="s">
        <v>362</v>
      </c>
      <c r="H2774" t="str">
        <f>VLOOKUP(B2774,[2]Kreise!$A$2:$C$53,3,FALSE)</f>
        <v>K03254</v>
      </c>
      <c r="I2774" s="266">
        <f>'2020_5-2-2_Download'!AY26</f>
        <v>23.664122137404579</v>
      </c>
    </row>
    <row r="2775" spans="2:9">
      <c r="B2775">
        <f>'2020_5-2-2_Download'!B27</f>
        <v>255</v>
      </c>
      <c r="C2775">
        <f>'2020_5-2-2_Download'!$AT$5</f>
        <v>2014</v>
      </c>
      <c r="D2775" t="str">
        <f>VLOOKUP(B2775,[1]Tabelle1!$A$1:$B$68,2,FALSE)</f>
        <v>Holzminden</v>
      </c>
      <c r="F2775" t="str">
        <f>'2020_5-2-2_Download'!$AY$7</f>
        <v>niedrig</v>
      </c>
      <c r="G2775" t="s">
        <v>362</v>
      </c>
      <c r="H2775" t="str">
        <f>VLOOKUP(B2775,[2]Kreise!$A$2:$C$53,3,FALSE)</f>
        <v>K03255</v>
      </c>
      <c r="I2775" s="266">
        <f>'2020_5-2-2_Download'!AY27</f>
        <v>31.135531135531135</v>
      </c>
    </row>
    <row r="2776" spans="2:9">
      <c r="B2776">
        <f>'2020_5-2-2_Download'!B28</f>
        <v>256</v>
      </c>
      <c r="C2776">
        <f>'2020_5-2-2_Download'!$AT$5</f>
        <v>2014</v>
      </c>
      <c r="D2776" t="str">
        <f>VLOOKUP(B2776,[1]Tabelle1!$A$1:$B$68,2,FALSE)</f>
        <v>Nienburg (Weser)</v>
      </c>
      <c r="F2776" t="str">
        <f>'2020_5-2-2_Download'!$AY$7</f>
        <v>niedrig</v>
      </c>
      <c r="G2776" t="s">
        <v>362</v>
      </c>
      <c r="H2776" t="str">
        <f>VLOOKUP(B2776,[2]Kreise!$A$2:$C$53,3,FALSE)</f>
        <v>K03256</v>
      </c>
      <c r="I2776" s="266">
        <f>'2020_5-2-2_Download'!AY28</f>
        <v>25.611111111111111</v>
      </c>
    </row>
    <row r="2777" spans="2:9">
      <c r="B2777">
        <f>'2020_5-2-2_Download'!B29</f>
        <v>257</v>
      </c>
      <c r="C2777">
        <f>'2020_5-2-2_Download'!$AT$5</f>
        <v>2014</v>
      </c>
      <c r="D2777" t="str">
        <f>VLOOKUP(B2777,[1]Tabelle1!$A$1:$B$68,2,FALSE)</f>
        <v>Schaumburg</v>
      </c>
      <c r="F2777" t="str">
        <f>'2020_5-2-2_Download'!$AY$7</f>
        <v>niedrig</v>
      </c>
      <c r="G2777" t="s">
        <v>362</v>
      </c>
      <c r="H2777" t="str">
        <f>VLOOKUP(B2777,[2]Kreise!$A$2:$C$53,3,FALSE)</f>
        <v>K03257</v>
      </c>
      <c r="I2777" s="266">
        <f>'2020_5-2-2_Download'!AY29</f>
        <v>27.447916666666668</v>
      </c>
    </row>
    <row r="2778" spans="2:9">
      <c r="B2778">
        <f>'2020_5-2-2_Download'!B30</f>
        <v>2</v>
      </c>
      <c r="C2778">
        <f>'2020_5-2-2_Download'!$AT$5</f>
        <v>2014</v>
      </c>
      <c r="D2778" t="str">
        <f>VLOOKUP(B2778,[1]Tabelle1!$A$1:$B$68,2,FALSE)</f>
        <v>Stat. Region Hannover</v>
      </c>
      <c r="F2778" t="str">
        <f>'2020_5-2-2_Download'!$AY$7</f>
        <v>niedrig</v>
      </c>
      <c r="G2778" t="s">
        <v>362</v>
      </c>
      <c r="H2778" t="str">
        <f>VLOOKUP(B2778,[2]Kreise!$A$2:$C$53,3,FALSE)</f>
        <v>K032</v>
      </c>
      <c r="I2778" s="266">
        <f>'2020_5-2-2_Download'!AY30</f>
        <v>24.018559535629727</v>
      </c>
    </row>
    <row r="2779" spans="2:9">
      <c r="B2779">
        <f>'2020_5-2-2_Download'!B31</f>
        <v>351</v>
      </c>
      <c r="C2779">
        <f>'2020_5-2-2_Download'!$AT$5</f>
        <v>2014</v>
      </c>
      <c r="D2779" t="str">
        <f>VLOOKUP(B2779,[1]Tabelle1!$A$1:$B$68,2,FALSE)</f>
        <v>Celle</v>
      </c>
      <c r="F2779" t="str">
        <f>'2020_5-2-2_Download'!$AY$7</f>
        <v>niedrig</v>
      </c>
      <c r="G2779" t="s">
        <v>362</v>
      </c>
      <c r="H2779" t="str">
        <f>VLOOKUP(B2779,[2]Kreise!$A$2:$C$53,3,FALSE)</f>
        <v>K03351</v>
      </c>
      <c r="I2779" s="266">
        <f>'2020_5-2-2_Download'!AY31</f>
        <v>23.640256959314776</v>
      </c>
    </row>
    <row r="2780" spans="2:9">
      <c r="B2780">
        <f>'2020_5-2-2_Download'!B32</f>
        <v>352</v>
      </c>
      <c r="C2780">
        <f>'2020_5-2-2_Download'!$AT$5</f>
        <v>2014</v>
      </c>
      <c r="D2780" t="str">
        <f>VLOOKUP(B2780,[1]Tabelle1!$A$1:$B$68,2,FALSE)</f>
        <v>Cuxhaven</v>
      </c>
      <c r="F2780" t="str">
        <f>'2020_5-2-2_Download'!$AY$7</f>
        <v>niedrig</v>
      </c>
      <c r="G2780" t="s">
        <v>362</v>
      </c>
      <c r="H2780" t="str">
        <f>VLOOKUP(B2780,[2]Kreise!$A$2:$C$53,3,FALSE)</f>
        <v>K03352</v>
      </c>
      <c r="I2780" s="266">
        <f>'2020_5-2-2_Download'!AY32</f>
        <v>21.103896103896101</v>
      </c>
    </row>
    <row r="2781" spans="2:9">
      <c r="B2781">
        <f>'2020_5-2-2_Download'!B33</f>
        <v>353</v>
      </c>
      <c r="C2781">
        <f>'2020_5-2-2_Download'!$AT$5</f>
        <v>2014</v>
      </c>
      <c r="D2781" t="str">
        <f>VLOOKUP(B2781,[1]Tabelle1!$A$1:$B$68,2,FALSE)</f>
        <v>Harburg</v>
      </c>
      <c r="F2781" t="str">
        <f>'2020_5-2-2_Download'!$AY$7</f>
        <v>niedrig</v>
      </c>
      <c r="G2781" t="s">
        <v>362</v>
      </c>
      <c r="H2781" t="str">
        <f>VLOOKUP(B2781,[2]Kreise!$A$2:$C$53,3,FALSE)</f>
        <v>K03353</v>
      </c>
      <c r="I2781" s="266">
        <f>'2020_5-2-2_Download'!AY33</f>
        <v>18.215319821005526</v>
      </c>
    </row>
    <row r="2782" spans="2:9">
      <c r="B2782">
        <f>'2020_5-2-2_Download'!B34</f>
        <v>354</v>
      </c>
      <c r="C2782">
        <f>'2020_5-2-2_Download'!$AT$5</f>
        <v>2014</v>
      </c>
      <c r="D2782" t="str">
        <f>VLOOKUP(B2782,[1]Tabelle1!$A$1:$B$68,2,FALSE)</f>
        <v>Lüchow-Dannenberg</v>
      </c>
      <c r="F2782" t="str">
        <f>'2020_5-2-2_Download'!$AY$7</f>
        <v>niedrig</v>
      </c>
      <c r="G2782" t="s">
        <v>362</v>
      </c>
      <c r="H2782" t="str">
        <f>VLOOKUP(B2782,[2]Kreise!$A$2:$C$53,3,FALSE)</f>
        <v>K03354</v>
      </c>
      <c r="I2782" s="266">
        <f>'2020_5-2-2_Download'!AY34</f>
        <v>13.259668508287293</v>
      </c>
    </row>
    <row r="2783" spans="2:9">
      <c r="B2783">
        <f>'2020_5-2-2_Download'!B35</f>
        <v>355</v>
      </c>
      <c r="C2783">
        <f>'2020_5-2-2_Download'!$AT$5</f>
        <v>2014</v>
      </c>
      <c r="D2783" t="str">
        <f>VLOOKUP(B2783,[1]Tabelle1!$A$1:$B$68,2,FALSE)</f>
        <v>Lüneburg</v>
      </c>
      <c r="F2783" t="str">
        <f>'2020_5-2-2_Download'!$AY$7</f>
        <v>niedrig</v>
      </c>
      <c r="G2783" t="s">
        <v>362</v>
      </c>
      <c r="H2783" t="str">
        <f>VLOOKUP(B2783,[2]Kreise!$A$2:$C$53,3,FALSE)</f>
        <v>K03355</v>
      </c>
      <c r="I2783" s="266">
        <f>'2020_5-2-2_Download'!AY35</f>
        <v>21.562050790608527</v>
      </c>
    </row>
    <row r="2784" spans="2:9">
      <c r="B2784">
        <f>'2020_5-2-2_Download'!B36</f>
        <v>356</v>
      </c>
      <c r="C2784">
        <f>'2020_5-2-2_Download'!$AT$5</f>
        <v>2014</v>
      </c>
      <c r="D2784" t="str">
        <f>VLOOKUP(B2784,[1]Tabelle1!$A$1:$B$68,2,FALSE)</f>
        <v>Osterholz</v>
      </c>
      <c r="F2784" t="str">
        <f>'2020_5-2-2_Download'!$AY$7</f>
        <v>niedrig</v>
      </c>
      <c r="G2784" t="s">
        <v>362</v>
      </c>
      <c r="H2784" t="str">
        <f>VLOOKUP(B2784,[2]Kreise!$A$2:$C$53,3,FALSE)</f>
        <v>K03356</v>
      </c>
      <c r="I2784" s="266">
        <f>'2020_5-2-2_Download'!AY36</f>
        <v>24.165824064711831</v>
      </c>
    </row>
    <row r="2785" spans="2:9">
      <c r="B2785">
        <f>'2020_5-2-2_Download'!B37</f>
        <v>357</v>
      </c>
      <c r="C2785">
        <f>'2020_5-2-2_Download'!$AT$5</f>
        <v>2014</v>
      </c>
      <c r="D2785" t="str">
        <f>VLOOKUP(B2785,[1]Tabelle1!$A$1:$B$68,2,FALSE)</f>
        <v>Rotenburg (Wümme)</v>
      </c>
      <c r="F2785" t="str">
        <f>'2020_5-2-2_Download'!$AY$7</f>
        <v>niedrig</v>
      </c>
      <c r="G2785" t="s">
        <v>362</v>
      </c>
      <c r="H2785" t="str">
        <f>VLOOKUP(B2785,[2]Kreise!$A$2:$C$53,3,FALSE)</f>
        <v>K03357</v>
      </c>
      <c r="I2785" s="266">
        <f>'2020_5-2-2_Download'!AY37</f>
        <v>18.334985133795836</v>
      </c>
    </row>
    <row r="2786" spans="2:9">
      <c r="B2786">
        <f>'2020_5-2-2_Download'!B38</f>
        <v>358</v>
      </c>
      <c r="C2786">
        <f>'2020_5-2-2_Download'!$AT$5</f>
        <v>2014</v>
      </c>
      <c r="D2786" t="str">
        <f>VLOOKUP(B2786,[1]Tabelle1!$A$1:$B$68,2,FALSE)</f>
        <v>Heidekreis</v>
      </c>
      <c r="F2786" t="str">
        <f>'2020_5-2-2_Download'!$AY$7</f>
        <v>niedrig</v>
      </c>
      <c r="G2786" t="s">
        <v>362</v>
      </c>
      <c r="H2786" t="str">
        <f>VLOOKUP(B2786,[2]Kreise!$A$2:$C$53,3,FALSE)</f>
        <v>K03358</v>
      </c>
      <c r="I2786" s="266">
        <f>'2020_5-2-2_Download'!AY38</f>
        <v>18.562610229276896</v>
      </c>
    </row>
    <row r="2787" spans="2:9">
      <c r="B2787">
        <f>'2020_5-2-2_Download'!B39</f>
        <v>359</v>
      </c>
      <c r="C2787">
        <f>'2020_5-2-2_Download'!$AT$5</f>
        <v>2014</v>
      </c>
      <c r="D2787" t="str">
        <f>VLOOKUP(B2787,[1]Tabelle1!$A$1:$B$68,2,FALSE)</f>
        <v>Stade</v>
      </c>
      <c r="F2787" t="str">
        <f>'2020_5-2-2_Download'!$AY$7</f>
        <v>niedrig</v>
      </c>
      <c r="G2787" t="s">
        <v>362</v>
      </c>
      <c r="H2787" t="str">
        <f>VLOOKUP(B2787,[2]Kreise!$A$2:$C$53,3,FALSE)</f>
        <v>K03359</v>
      </c>
      <c r="I2787" s="266">
        <f>'2020_5-2-2_Download'!AY39</f>
        <v>11.422413793103448</v>
      </c>
    </row>
    <row r="2788" spans="2:9">
      <c r="B2788">
        <f>'2020_5-2-2_Download'!B40</f>
        <v>360</v>
      </c>
      <c r="C2788">
        <f>'2020_5-2-2_Download'!$AT$5</f>
        <v>2014</v>
      </c>
      <c r="D2788" t="str">
        <f>VLOOKUP(B2788,[1]Tabelle1!$A$1:$B$68,2,FALSE)</f>
        <v>Uelzen</v>
      </c>
      <c r="F2788" t="str">
        <f>'2020_5-2-2_Download'!$AY$7</f>
        <v>niedrig</v>
      </c>
      <c r="G2788" t="s">
        <v>362</v>
      </c>
      <c r="H2788" t="str">
        <f>VLOOKUP(B2788,[2]Kreise!$A$2:$C$53,3,FALSE)</f>
        <v>K03360</v>
      </c>
      <c r="I2788" s="266">
        <f>'2020_5-2-2_Download'!AY40</f>
        <v>15.402567094515755</v>
      </c>
    </row>
    <row r="2789" spans="2:9">
      <c r="B2789">
        <f>'2020_5-2-2_Download'!B41</f>
        <v>361</v>
      </c>
      <c r="C2789">
        <f>'2020_5-2-2_Download'!$AT$5</f>
        <v>2014</v>
      </c>
      <c r="D2789" t="str">
        <f>VLOOKUP(B2789,[1]Tabelle1!$A$1:$B$68,2,FALSE)</f>
        <v>Verden</v>
      </c>
      <c r="F2789" t="str">
        <f>'2020_5-2-2_Download'!$AY$7</f>
        <v>niedrig</v>
      </c>
      <c r="G2789" t="s">
        <v>362</v>
      </c>
      <c r="H2789" t="str">
        <f>VLOOKUP(B2789,[2]Kreise!$A$2:$C$53,3,FALSE)</f>
        <v>K03361</v>
      </c>
      <c r="I2789" s="266">
        <f>'2020_5-2-2_Download'!AY41</f>
        <v>25.751957148743305</v>
      </c>
    </row>
    <row r="2790" spans="2:9">
      <c r="B2790">
        <f>'2020_5-2-2_Download'!B42</f>
        <v>3</v>
      </c>
      <c r="C2790">
        <f>'2020_5-2-2_Download'!$AT$5</f>
        <v>2014</v>
      </c>
      <c r="D2790" t="str">
        <f>VLOOKUP(B2790,[1]Tabelle1!$A$1:$B$68,2,FALSE)</f>
        <v>Stat. Region Lüneburg</v>
      </c>
      <c r="F2790" t="str">
        <f>'2020_5-2-2_Download'!$AY$7</f>
        <v>niedrig</v>
      </c>
      <c r="G2790" t="s">
        <v>362</v>
      </c>
      <c r="H2790" t="str">
        <f>VLOOKUP(B2790,[2]Kreise!$A$2:$C$53,3,FALSE)</f>
        <v>K033</v>
      </c>
      <c r="I2790" s="266">
        <f>'2020_5-2-2_Download'!AY42</f>
        <v>19.057700290577003</v>
      </c>
    </row>
    <row r="2791" spans="2:9">
      <c r="B2791">
        <f>'2020_5-2-2_Download'!B43</f>
        <v>401</v>
      </c>
      <c r="C2791">
        <f>'2020_5-2-2_Download'!$AT$5</f>
        <v>2014</v>
      </c>
      <c r="D2791" t="str">
        <f>VLOOKUP(B2791,[1]Tabelle1!$A$1:$B$68,2,FALSE)</f>
        <v>Delmenhorst  Stadt</v>
      </c>
      <c r="F2791" t="str">
        <f>'2020_5-2-2_Download'!$AY$7</f>
        <v>niedrig</v>
      </c>
      <c r="G2791" t="s">
        <v>362</v>
      </c>
      <c r="H2791" t="str">
        <f>VLOOKUP(B2791,[2]Kreise!$A$2:$C$53,3,FALSE)</f>
        <v>K03401</v>
      </c>
      <c r="I2791" s="266">
        <f>'2020_5-2-2_Download'!AY43</f>
        <v>26.286764705882355</v>
      </c>
    </row>
    <row r="2792" spans="2:9">
      <c r="B2792">
        <f>'2020_5-2-2_Download'!B44</f>
        <v>402</v>
      </c>
      <c r="C2792">
        <f>'2020_5-2-2_Download'!$AT$5</f>
        <v>2014</v>
      </c>
      <c r="D2792" t="str">
        <f>VLOOKUP(B2792,[1]Tabelle1!$A$1:$B$68,2,FALSE)</f>
        <v>Emden  Stadt</v>
      </c>
      <c r="F2792" t="str">
        <f>'2020_5-2-2_Download'!$AY$7</f>
        <v>niedrig</v>
      </c>
      <c r="G2792" t="s">
        <v>362</v>
      </c>
      <c r="H2792" t="str">
        <f>VLOOKUP(B2792,[2]Kreise!$A$2:$C$53,3,FALSE)</f>
        <v>K03402</v>
      </c>
      <c r="I2792" s="266">
        <f>'2020_5-2-2_Download'!AY44</f>
        <v>16.747967479674799</v>
      </c>
    </row>
    <row r="2793" spans="2:9">
      <c r="B2793">
        <f>'2020_5-2-2_Download'!B45</f>
        <v>403</v>
      </c>
      <c r="C2793">
        <f>'2020_5-2-2_Download'!$AT$5</f>
        <v>2014</v>
      </c>
      <c r="D2793" t="str">
        <f>VLOOKUP(B2793,[1]Tabelle1!$A$1:$B$68,2,FALSE)</f>
        <v>Oldenburg(Oldb)  Stadt</v>
      </c>
      <c r="F2793" t="str">
        <f>'2020_5-2-2_Download'!$AY$7</f>
        <v>niedrig</v>
      </c>
      <c r="G2793" t="s">
        <v>362</v>
      </c>
      <c r="H2793" t="str">
        <f>VLOOKUP(B2793,[2]Kreise!$A$2:$C$53,3,FALSE)</f>
        <v>K03403</v>
      </c>
      <c r="I2793" s="266">
        <f>'2020_5-2-2_Download'!AY45</f>
        <v>22.931685547545484</v>
      </c>
    </row>
    <row r="2794" spans="2:9">
      <c r="B2794">
        <f>'2020_5-2-2_Download'!B46</f>
        <v>404</v>
      </c>
      <c r="C2794">
        <f>'2020_5-2-2_Download'!$AT$5</f>
        <v>2014</v>
      </c>
      <c r="D2794" t="str">
        <f>VLOOKUP(B2794,[1]Tabelle1!$A$1:$B$68,2,FALSE)</f>
        <v>Osnabrück  Stadt</v>
      </c>
      <c r="F2794" t="str">
        <f>'2020_5-2-2_Download'!$AY$7</f>
        <v>niedrig</v>
      </c>
      <c r="G2794" t="s">
        <v>362</v>
      </c>
      <c r="H2794" t="str">
        <f>VLOOKUP(B2794,[2]Kreise!$A$2:$C$53,3,FALSE)</f>
        <v>K03404</v>
      </c>
      <c r="I2794" s="266">
        <f>'2020_5-2-2_Download'!AY46</f>
        <v>26.174895895300416</v>
      </c>
    </row>
    <row r="2795" spans="2:9">
      <c r="B2795">
        <f>'2020_5-2-2_Download'!B47</f>
        <v>405</v>
      </c>
      <c r="C2795">
        <f>'2020_5-2-2_Download'!$AT$5</f>
        <v>2014</v>
      </c>
      <c r="D2795" t="str">
        <f>VLOOKUP(B2795,[1]Tabelle1!$A$1:$B$68,2,FALSE)</f>
        <v>Wilhelmshaven  Stadt</v>
      </c>
      <c r="F2795" t="str">
        <f>'2020_5-2-2_Download'!$AY$7</f>
        <v>niedrig</v>
      </c>
      <c r="G2795" t="s">
        <v>362</v>
      </c>
      <c r="H2795" t="str">
        <f>VLOOKUP(B2795,[2]Kreise!$A$2:$C$53,3,FALSE)</f>
        <v>K03405</v>
      </c>
      <c r="I2795" s="266">
        <f>'2020_5-2-2_Download'!AY47</f>
        <v>18.652849740932641</v>
      </c>
    </row>
    <row r="2796" spans="2:9">
      <c r="B2796">
        <f>'2020_5-2-2_Download'!B48</f>
        <v>451</v>
      </c>
      <c r="C2796">
        <f>'2020_5-2-2_Download'!$AT$5</f>
        <v>2014</v>
      </c>
      <c r="D2796" t="str">
        <f>VLOOKUP(B2796,[1]Tabelle1!$A$1:$B$68,2,FALSE)</f>
        <v>Ammerland</v>
      </c>
      <c r="F2796" t="str">
        <f>'2020_5-2-2_Download'!$AY$7</f>
        <v>niedrig</v>
      </c>
      <c r="G2796" t="s">
        <v>362</v>
      </c>
      <c r="H2796" t="str">
        <f>VLOOKUP(B2796,[2]Kreise!$A$2:$C$53,3,FALSE)</f>
        <v>K03451</v>
      </c>
      <c r="I2796" s="266">
        <f>'2020_5-2-2_Download'!AY48</f>
        <v>18.714821763602252</v>
      </c>
    </row>
    <row r="2797" spans="2:9">
      <c r="B2797">
        <f>'2020_5-2-2_Download'!B49</f>
        <v>452</v>
      </c>
      <c r="C2797">
        <f>'2020_5-2-2_Download'!$AT$5</f>
        <v>2014</v>
      </c>
      <c r="D2797" t="str">
        <f>VLOOKUP(B2797,[1]Tabelle1!$A$1:$B$68,2,FALSE)</f>
        <v>Aurich</v>
      </c>
      <c r="F2797" t="str">
        <f>'2020_5-2-2_Download'!$AY$7</f>
        <v>niedrig</v>
      </c>
      <c r="G2797" t="s">
        <v>362</v>
      </c>
      <c r="H2797" t="str">
        <f>VLOOKUP(B2797,[2]Kreise!$A$2:$C$53,3,FALSE)</f>
        <v>K03452</v>
      </c>
      <c r="I2797" s="266">
        <f>'2020_5-2-2_Download'!AY49</f>
        <v>18.878299120234605</v>
      </c>
    </row>
    <row r="2798" spans="2:9">
      <c r="B2798">
        <f>'2020_5-2-2_Download'!B50</f>
        <v>453</v>
      </c>
      <c r="C2798">
        <f>'2020_5-2-2_Download'!$AT$5</f>
        <v>2014</v>
      </c>
      <c r="D2798" t="str">
        <f>VLOOKUP(B2798,[1]Tabelle1!$A$1:$B$68,2,FALSE)</f>
        <v>Cloppenburg</v>
      </c>
      <c r="F2798" t="str">
        <f>'2020_5-2-2_Download'!$AY$7</f>
        <v>niedrig</v>
      </c>
      <c r="G2798" t="s">
        <v>362</v>
      </c>
      <c r="H2798" t="str">
        <f>VLOOKUP(B2798,[2]Kreise!$A$2:$C$53,3,FALSE)</f>
        <v>K03453</v>
      </c>
      <c r="I2798" s="266">
        <f>'2020_5-2-2_Download'!AY50</f>
        <v>22.493994321904346</v>
      </c>
    </row>
    <row r="2799" spans="2:9">
      <c r="B2799">
        <f>'2020_5-2-2_Download'!B51</f>
        <v>454</v>
      </c>
      <c r="C2799">
        <f>'2020_5-2-2_Download'!$AT$5</f>
        <v>2014</v>
      </c>
      <c r="D2799" t="str">
        <f>VLOOKUP(B2799,[1]Tabelle1!$A$1:$B$68,2,FALSE)</f>
        <v>Emsland</v>
      </c>
      <c r="F2799" t="str">
        <f>'2020_5-2-2_Download'!$AY$7</f>
        <v>niedrig</v>
      </c>
      <c r="G2799" t="s">
        <v>362</v>
      </c>
      <c r="H2799" t="str">
        <f>VLOOKUP(B2799,[2]Kreise!$A$2:$C$53,3,FALSE)</f>
        <v>K03454</v>
      </c>
      <c r="I2799" s="266">
        <f>'2020_5-2-2_Download'!AY51</f>
        <v>17.330960854092528</v>
      </c>
    </row>
    <row r="2800" spans="2:9">
      <c r="B2800">
        <f>'2020_5-2-2_Download'!B52</f>
        <v>455</v>
      </c>
      <c r="C2800">
        <f>'2020_5-2-2_Download'!$AT$5</f>
        <v>2014</v>
      </c>
      <c r="D2800" t="str">
        <f>VLOOKUP(B2800,[1]Tabelle1!$A$1:$B$68,2,FALSE)</f>
        <v>Friesland</v>
      </c>
      <c r="F2800" t="str">
        <f>'2020_5-2-2_Download'!$AY$7</f>
        <v>niedrig</v>
      </c>
      <c r="G2800" t="s">
        <v>362</v>
      </c>
      <c r="H2800" t="str">
        <f>VLOOKUP(B2800,[2]Kreise!$A$2:$C$53,3,FALSE)</f>
        <v>K03455</v>
      </c>
      <c r="I2800" s="266">
        <f>'2020_5-2-2_Download'!AY52</f>
        <v>19.859813084112147</v>
      </c>
    </row>
    <row r="2801" spans="2:9">
      <c r="B2801">
        <f>'2020_5-2-2_Download'!B53</f>
        <v>456</v>
      </c>
      <c r="C2801">
        <f>'2020_5-2-2_Download'!$AT$5</f>
        <v>2014</v>
      </c>
      <c r="D2801" t="str">
        <f>VLOOKUP(B2801,[1]Tabelle1!$A$1:$B$68,2,FALSE)</f>
        <v>Grafschaft Bentheim</v>
      </c>
      <c r="F2801" t="str">
        <f>'2020_5-2-2_Download'!$AY$7</f>
        <v>niedrig</v>
      </c>
      <c r="G2801" t="s">
        <v>362</v>
      </c>
      <c r="H2801" t="str">
        <f>VLOOKUP(B2801,[2]Kreise!$A$2:$C$53,3,FALSE)</f>
        <v>K03456</v>
      </c>
      <c r="I2801" s="266">
        <f>'2020_5-2-2_Download'!AY53</f>
        <v>16.00970285021225</v>
      </c>
    </row>
    <row r="2802" spans="2:9">
      <c r="B2802">
        <f>'2020_5-2-2_Download'!B54</f>
        <v>457</v>
      </c>
      <c r="C2802">
        <f>'2020_5-2-2_Download'!$AT$5</f>
        <v>2014</v>
      </c>
      <c r="D2802" t="str">
        <f>VLOOKUP(B2802,[1]Tabelle1!$A$1:$B$68,2,FALSE)</f>
        <v>Leer</v>
      </c>
      <c r="F2802" t="str">
        <f>'2020_5-2-2_Download'!$AY$7</f>
        <v>niedrig</v>
      </c>
      <c r="G2802" t="s">
        <v>362</v>
      </c>
      <c r="H2802" t="str">
        <f>VLOOKUP(B2802,[2]Kreise!$A$2:$C$53,3,FALSE)</f>
        <v>K03457</v>
      </c>
      <c r="I2802" s="266">
        <f>'2020_5-2-2_Download'!AY54</f>
        <v>13.48012889366273</v>
      </c>
    </row>
    <row r="2803" spans="2:9">
      <c r="B2803">
        <f>'2020_5-2-2_Download'!B55</f>
        <v>458</v>
      </c>
      <c r="C2803">
        <f>'2020_5-2-2_Download'!$AT$5</f>
        <v>2014</v>
      </c>
      <c r="D2803" t="str">
        <f>VLOOKUP(B2803,[1]Tabelle1!$A$1:$B$68,2,FALSE)</f>
        <v>Oldenburg</v>
      </c>
      <c r="F2803" t="str">
        <f>'2020_5-2-2_Download'!$AY$7</f>
        <v>niedrig</v>
      </c>
      <c r="G2803" t="s">
        <v>362</v>
      </c>
      <c r="H2803" t="str">
        <f>VLOOKUP(B2803,[2]Kreise!$A$2:$C$53,3,FALSE)</f>
        <v>K03458</v>
      </c>
      <c r="I2803" s="266">
        <f>'2020_5-2-2_Download'!AY55</f>
        <v>31.124807395993837</v>
      </c>
    </row>
    <row r="2804" spans="2:9">
      <c r="B2804">
        <f>'2020_5-2-2_Download'!B56</f>
        <v>459</v>
      </c>
      <c r="C2804">
        <f>'2020_5-2-2_Download'!$AT$5</f>
        <v>2014</v>
      </c>
      <c r="D2804" t="str">
        <f>VLOOKUP(B2804,[1]Tabelle1!$A$1:$B$68,2,FALSE)</f>
        <v>Osnabrück</v>
      </c>
      <c r="F2804" t="str">
        <f>'2020_5-2-2_Download'!$AY$7</f>
        <v>niedrig</v>
      </c>
      <c r="G2804" t="s">
        <v>362</v>
      </c>
      <c r="H2804" t="str">
        <f>VLOOKUP(B2804,[2]Kreise!$A$2:$C$53,3,FALSE)</f>
        <v>K03459</v>
      </c>
      <c r="I2804" s="266">
        <f>'2020_5-2-2_Download'!AY56</f>
        <v>26.896315729439944</v>
      </c>
    </row>
    <row r="2805" spans="2:9">
      <c r="B2805">
        <f>'2020_5-2-2_Download'!B57</f>
        <v>460</v>
      </c>
      <c r="C2805">
        <f>'2020_5-2-2_Download'!$AT$5</f>
        <v>2014</v>
      </c>
      <c r="D2805" t="str">
        <f>VLOOKUP(B2805,[1]Tabelle1!$A$1:$B$68,2,FALSE)</f>
        <v>Vechta</v>
      </c>
      <c r="F2805" t="str">
        <f>'2020_5-2-2_Download'!$AY$7</f>
        <v>niedrig</v>
      </c>
      <c r="G2805" t="s">
        <v>362</v>
      </c>
      <c r="H2805" t="str">
        <f>VLOOKUP(B2805,[2]Kreise!$A$2:$C$53,3,FALSE)</f>
        <v>K03460</v>
      </c>
      <c r="I2805" s="266">
        <f>'2020_5-2-2_Download'!AY57</f>
        <v>25.863141524105753</v>
      </c>
    </row>
    <row r="2806" spans="2:9">
      <c r="B2806">
        <f>'2020_5-2-2_Download'!B58</f>
        <v>461</v>
      </c>
      <c r="C2806">
        <f>'2020_5-2-2_Download'!$AT$5</f>
        <v>2014</v>
      </c>
      <c r="D2806" t="str">
        <f>VLOOKUP(B2806,[1]Tabelle1!$A$1:$B$68,2,FALSE)</f>
        <v>Wesermarsch</v>
      </c>
      <c r="F2806" t="str">
        <f>'2020_5-2-2_Download'!$AY$7</f>
        <v>niedrig</v>
      </c>
      <c r="G2806" t="s">
        <v>362</v>
      </c>
      <c r="H2806" t="str">
        <f>VLOOKUP(B2806,[2]Kreise!$A$2:$C$53,3,FALSE)</f>
        <v>K03461</v>
      </c>
      <c r="I2806" s="266">
        <f>'2020_5-2-2_Download'!AY58</f>
        <v>20.375939849624061</v>
      </c>
    </row>
    <row r="2807" spans="2:9">
      <c r="B2807">
        <f>'2020_5-2-2_Download'!B59</f>
        <v>462</v>
      </c>
      <c r="C2807">
        <f>'2020_5-2-2_Download'!$AT$5</f>
        <v>2014</v>
      </c>
      <c r="D2807" t="str">
        <f>VLOOKUP(B2807,[1]Tabelle1!$A$1:$B$68,2,FALSE)</f>
        <v>Wittmund</v>
      </c>
      <c r="F2807" t="str">
        <f>'2020_5-2-2_Download'!$AY$7</f>
        <v>niedrig</v>
      </c>
      <c r="G2807" t="s">
        <v>362</v>
      </c>
      <c r="H2807" t="str">
        <f>VLOOKUP(B2807,[2]Kreise!$A$2:$C$53,3,FALSE)</f>
        <v>K03462</v>
      </c>
      <c r="I2807" s="266">
        <f>'2020_5-2-2_Download'!AY59</f>
        <v>11.262798634812286</v>
      </c>
    </row>
    <row r="2808" spans="2:9">
      <c r="B2808">
        <f>'2020_5-2-2_Download'!B60</f>
        <v>4</v>
      </c>
      <c r="C2808">
        <f>'2020_5-2-2_Download'!$AT$5</f>
        <v>2014</v>
      </c>
      <c r="D2808" t="str">
        <f>VLOOKUP(B2808,[1]Tabelle1!$A$1:$B$68,2,FALSE)</f>
        <v>Stat. Region Weser-Ems</v>
      </c>
      <c r="F2808" t="str">
        <f>'2020_5-2-2_Download'!$AY$7</f>
        <v>niedrig</v>
      </c>
      <c r="G2808" t="s">
        <v>362</v>
      </c>
      <c r="H2808" t="str">
        <f>VLOOKUP(B2808,[2]Kreise!$A$2:$C$53,3,FALSE)</f>
        <v>K034</v>
      </c>
      <c r="I2808" s="266">
        <f>'2020_5-2-2_Download'!AY60</f>
        <v>22.3813524550126</v>
      </c>
    </row>
    <row r="2809" spans="2:9">
      <c r="B2809">
        <f>'2020_5-2-2_Download'!B61</f>
        <v>0</v>
      </c>
      <c r="C2809">
        <f>'2020_5-2-2_Download'!$AT$5</f>
        <v>2014</v>
      </c>
      <c r="D2809" t="str">
        <f>VLOOKUP(B2809,[1]Tabelle1!$A$1:$B$68,2,FALSE)</f>
        <v>Niedersachsen</v>
      </c>
      <c r="F2809" t="str">
        <f>'2020_5-2-2_Download'!$AY$7</f>
        <v>niedrig</v>
      </c>
      <c r="G2809" t="s">
        <v>362</v>
      </c>
      <c r="H2809" t="str">
        <f>VLOOKUP(B2809,[2]Kreise!$A$2:$C$53,3,FALSE)</f>
        <v>K030</v>
      </c>
      <c r="I2809" s="266">
        <f>'2020_5-2-2_Download'!AY61</f>
        <v>21.699368558480522</v>
      </c>
    </row>
    <row r="2810" spans="2:9">
      <c r="B2810">
        <f>'2020_5-2-2_Download'!B10</f>
        <v>101</v>
      </c>
      <c r="C2810">
        <f>'2020_5-2-2_Download'!$AT$5</f>
        <v>2014</v>
      </c>
      <c r="D2810" t="str">
        <f>VLOOKUP(B2810,[1]Tabelle1!$A$1:$B$68,2,FALSE)</f>
        <v>Braunschweig  Stadt</v>
      </c>
      <c r="F2810" t="str">
        <f>'2020_5-2-2_Download'!$AZ$7</f>
        <v>unbekannt</v>
      </c>
      <c r="G2810" t="s">
        <v>362</v>
      </c>
      <c r="H2810" t="str">
        <f>VLOOKUP(B2810,[2]Kreise!$A$2:$C$53,3,FALSE)</f>
        <v>K03101</v>
      </c>
      <c r="I2810" s="266">
        <f>'2020_5-2-2_Download'!AZ10</f>
        <v>28.208679593721154</v>
      </c>
    </row>
    <row r="2811" spans="2:9">
      <c r="B2811">
        <f>'2020_5-2-2_Download'!B11</f>
        <v>102</v>
      </c>
      <c r="C2811">
        <f>'2020_5-2-2_Download'!$AT$5</f>
        <v>2014</v>
      </c>
      <c r="D2811" t="str">
        <f>VLOOKUP(B2811,[1]Tabelle1!$A$1:$B$68,2,FALSE)</f>
        <v>Salzgitter  Stadt</v>
      </c>
      <c r="F2811" t="str">
        <f>'2020_5-2-2_Download'!$AZ$7</f>
        <v>unbekannt</v>
      </c>
      <c r="G2811" t="s">
        <v>362</v>
      </c>
      <c r="H2811" t="str">
        <f>VLOOKUP(B2811,[2]Kreise!$A$2:$C$53,3,FALSE)</f>
        <v>K03102</v>
      </c>
      <c r="I2811" s="266">
        <f>'2020_5-2-2_Download'!AZ11</f>
        <v>29.527682202064433</v>
      </c>
    </row>
    <row r="2812" spans="2:9">
      <c r="B2812">
        <f>'2020_5-2-2_Download'!B12</f>
        <v>103</v>
      </c>
      <c r="C2812">
        <f>'2020_5-2-2_Download'!$AT$5</f>
        <v>2014</v>
      </c>
      <c r="D2812" t="str">
        <f>VLOOKUP(B2812,[1]Tabelle1!$A$1:$B$68,2,FALSE)</f>
        <v>Wolfsburg  Stadt</v>
      </c>
      <c r="F2812" t="str">
        <f>'2020_5-2-2_Download'!$AZ$7</f>
        <v>unbekannt</v>
      </c>
      <c r="G2812" t="s">
        <v>362</v>
      </c>
      <c r="H2812" t="str">
        <f>VLOOKUP(B2812,[2]Kreise!$A$2:$C$53,3,FALSE)</f>
        <v>K03103</v>
      </c>
      <c r="I2812" s="266">
        <f>'2020_5-2-2_Download'!AZ12</f>
        <v>34.174311926605498</v>
      </c>
    </row>
    <row r="2813" spans="2:9">
      <c r="B2813">
        <f>'2020_5-2-2_Download'!B13</f>
        <v>151</v>
      </c>
      <c r="C2813">
        <f>'2020_5-2-2_Download'!$AT$5</f>
        <v>2014</v>
      </c>
      <c r="D2813" t="str">
        <f>VLOOKUP(B2813,[1]Tabelle1!$A$1:$B$68,2,FALSE)</f>
        <v>Gifhorn</v>
      </c>
      <c r="F2813" t="str">
        <f>'2020_5-2-2_Download'!$AZ$7</f>
        <v>unbekannt</v>
      </c>
      <c r="G2813" t="s">
        <v>362</v>
      </c>
      <c r="H2813" t="str">
        <f>VLOOKUP(B2813,[2]Kreise!$A$2:$C$53,3,FALSE)</f>
        <v>K03151</v>
      </c>
      <c r="I2813" s="266">
        <f>'2020_5-2-2_Download'!AZ13</f>
        <v>31.81583031557166</v>
      </c>
    </row>
    <row r="2814" spans="2:9">
      <c r="B2814">
        <f>'2020_5-2-2_Download'!B14</f>
        <v>153</v>
      </c>
      <c r="C2814">
        <f>'2020_5-2-2_Download'!$AT$5</f>
        <v>2014</v>
      </c>
      <c r="D2814" t="str">
        <f>VLOOKUP(B2814,[1]Tabelle1!$A$1:$B$68,2,FALSE)</f>
        <v>Goslar</v>
      </c>
      <c r="F2814" t="str">
        <f>'2020_5-2-2_Download'!$AZ$7</f>
        <v>unbekannt</v>
      </c>
      <c r="G2814" t="s">
        <v>362</v>
      </c>
      <c r="H2814" t="str">
        <f>VLOOKUP(B2814,[2]Kreise!$A$2:$C$53,3,FALSE)</f>
        <v>K03153</v>
      </c>
      <c r="I2814" s="266">
        <f>'2020_5-2-2_Download'!AZ14</f>
        <v>29.437952142459647</v>
      </c>
    </row>
    <row r="2815" spans="2:9">
      <c r="B2815">
        <f>'2020_5-2-2_Download'!B15</f>
        <v>154</v>
      </c>
      <c r="C2815">
        <f>'2020_5-2-2_Download'!$AT$5</f>
        <v>2014</v>
      </c>
      <c r="D2815" t="str">
        <f>VLOOKUP(B2815,[1]Tabelle1!$A$1:$B$68,2,FALSE)</f>
        <v>Helmstedt</v>
      </c>
      <c r="F2815" t="str">
        <f>'2020_5-2-2_Download'!$AZ$7</f>
        <v>unbekannt</v>
      </c>
      <c r="G2815" t="s">
        <v>362</v>
      </c>
      <c r="H2815" t="str">
        <f>VLOOKUP(B2815,[2]Kreise!$A$2:$C$53,3,FALSE)</f>
        <v>K03154</v>
      </c>
      <c r="I2815" s="266">
        <f>'2020_5-2-2_Download'!AZ15</f>
        <v>28.846153846153854</v>
      </c>
    </row>
    <row r="2816" spans="2:9">
      <c r="B2816">
        <f>'2020_5-2-2_Download'!B16</f>
        <v>155</v>
      </c>
      <c r="C2816">
        <f>'2020_5-2-2_Download'!$AT$5</f>
        <v>2014</v>
      </c>
      <c r="D2816" t="str">
        <f>VLOOKUP(B2816,[1]Tabelle1!$A$1:$B$68,2,FALSE)</f>
        <v>Northeim</v>
      </c>
      <c r="F2816" t="str">
        <f>'2020_5-2-2_Download'!$AZ$7</f>
        <v>unbekannt</v>
      </c>
      <c r="G2816" t="s">
        <v>362</v>
      </c>
      <c r="H2816" t="str">
        <f>VLOOKUP(B2816,[2]Kreise!$A$2:$C$53,3,FALSE)</f>
        <v>K03155</v>
      </c>
      <c r="I2816" s="266">
        <f>'2020_5-2-2_Download'!AZ16</f>
        <v>23.438334223171388</v>
      </c>
    </row>
    <row r="2817" spans="2:9">
      <c r="B2817">
        <f>'2020_5-2-2_Download'!B17</f>
        <v>157</v>
      </c>
      <c r="C2817">
        <f>'2020_5-2-2_Download'!$AT$5</f>
        <v>2014</v>
      </c>
      <c r="D2817" t="str">
        <f>VLOOKUP(B2817,[1]Tabelle1!$A$1:$B$68,2,FALSE)</f>
        <v>Peine</v>
      </c>
      <c r="F2817" t="str">
        <f>'2020_5-2-2_Download'!$AZ$7</f>
        <v>unbekannt</v>
      </c>
      <c r="G2817" t="s">
        <v>362</v>
      </c>
      <c r="H2817" t="str">
        <f>VLOOKUP(B2817,[2]Kreise!$A$2:$C$53,3,FALSE)</f>
        <v>K03157</v>
      </c>
      <c r="I2817" s="266">
        <f>'2020_5-2-2_Download'!AZ17</f>
        <v>30.453257790368273</v>
      </c>
    </row>
    <row r="2818" spans="2:9">
      <c r="B2818">
        <f>'2020_5-2-2_Download'!B18</f>
        <v>158</v>
      </c>
      <c r="C2818">
        <f>'2020_5-2-2_Download'!$AT$5</f>
        <v>2014</v>
      </c>
      <c r="D2818" t="str">
        <f>VLOOKUP(B2818,[1]Tabelle1!$A$1:$B$68,2,FALSE)</f>
        <v>Wolfenbüttel</v>
      </c>
      <c r="F2818" t="str">
        <f>'2020_5-2-2_Download'!$AZ$7</f>
        <v>unbekannt</v>
      </c>
      <c r="G2818" t="s">
        <v>362</v>
      </c>
      <c r="H2818" t="str">
        <f>VLOOKUP(B2818,[2]Kreise!$A$2:$C$53,3,FALSE)</f>
        <v>K03158</v>
      </c>
      <c r="I2818" s="266">
        <f>'2020_5-2-2_Download'!AZ18</f>
        <v>31.122448979591837</v>
      </c>
    </row>
    <row r="2819" spans="2:9">
      <c r="B2819">
        <f>'2020_5-2-2_Download'!B19</f>
        <v>159</v>
      </c>
      <c r="C2819">
        <f>'2020_5-2-2_Download'!$AT$5</f>
        <v>2014</v>
      </c>
      <c r="D2819" t="str">
        <f>VLOOKUP(B2819,[1]Tabelle1!$A$1:$B$68,2,FALSE)</f>
        <v>Göttingen</v>
      </c>
      <c r="F2819" t="str">
        <f>'2020_5-2-2_Download'!$AZ$7</f>
        <v>unbekannt</v>
      </c>
      <c r="G2819" t="s">
        <v>362</v>
      </c>
      <c r="H2819" t="str">
        <f>VLOOKUP(B2819,[2]Kreise!$A$2:$C$53,3,FALSE)</f>
        <v>K03159</v>
      </c>
      <c r="I2819" s="266">
        <f>'2020_5-2-2_Download'!AZ19</f>
        <v>19.540636042402827</v>
      </c>
    </row>
    <row r="2820" spans="2:9">
      <c r="B2820">
        <f>'2020_5-2-2_Download'!B20</f>
        <v>1</v>
      </c>
      <c r="C2820">
        <f>'2020_5-2-2_Download'!$AT$5</f>
        <v>2014</v>
      </c>
      <c r="D2820" t="str">
        <f>VLOOKUP(B2820,[1]Tabelle1!$A$1:$B$68,2,FALSE)</f>
        <v>Stat. Region Braunschweig</v>
      </c>
      <c r="F2820" t="str">
        <f>'2020_5-2-2_Download'!$AZ$7</f>
        <v>unbekannt</v>
      </c>
      <c r="G2820" t="s">
        <v>362</v>
      </c>
      <c r="H2820" t="str">
        <f>VLOOKUP(B2820,[2]Kreise!$A$2:$C$53,3,FALSE)</f>
        <v>K031</v>
      </c>
      <c r="I2820" s="266">
        <f>'2020_5-2-2_Download'!AZ20</f>
        <v>28.457774269928965</v>
      </c>
    </row>
    <row r="2821" spans="2:9">
      <c r="B2821">
        <f>'2020_5-2-2_Download'!B21</f>
        <v>241</v>
      </c>
      <c r="C2821">
        <f>'2020_5-2-2_Download'!$AT$5</f>
        <v>2014</v>
      </c>
      <c r="D2821" t="str">
        <f>VLOOKUP(B2821,[1]Tabelle1!$A$1:$B$68,2,FALSE)</f>
        <v>Hannover  Region</v>
      </c>
      <c r="F2821" t="str">
        <f>'2020_5-2-2_Download'!$AZ$7</f>
        <v>unbekannt</v>
      </c>
      <c r="G2821" t="s">
        <v>362</v>
      </c>
      <c r="H2821" t="str">
        <f>VLOOKUP(B2821,[2]Kreise!$A$2:$C$53,3,FALSE)</f>
        <v>K03241</v>
      </c>
      <c r="I2821" s="266">
        <f>'2020_5-2-2_Download'!AZ21</f>
        <v>30.89418316831684</v>
      </c>
    </row>
    <row r="2822" spans="2:9">
      <c r="B2822">
        <f>'2020_5-2-2_Download'!B22</f>
        <v>241001</v>
      </c>
      <c r="C2822">
        <f>'2020_5-2-2_Download'!$AT$5</f>
        <v>2014</v>
      </c>
      <c r="D2822" t="str">
        <f>VLOOKUP(B2822,[1]Tabelle1!$A$1:$B$68,2,FALSE)</f>
        <v>dav. Hannover  Lhst.</v>
      </c>
      <c r="F2822" t="str">
        <f>'2020_5-2-2_Download'!$AZ$7</f>
        <v>unbekannt</v>
      </c>
      <c r="G2822" t="s">
        <v>362</v>
      </c>
      <c r="H2822" t="str">
        <f>VLOOKUP(B2822,[2]Kreise!$A$2:$C$53,3,FALSE)</f>
        <v>K03241001</v>
      </c>
      <c r="I2822" s="266">
        <f>'2020_5-2-2_Download'!AZ22</f>
        <v>28.823899866173349</v>
      </c>
    </row>
    <row r="2823" spans="2:9">
      <c r="B2823">
        <f>'2020_5-2-2_Download'!B23</f>
        <v>241999</v>
      </c>
      <c r="C2823">
        <f>'2020_5-2-2_Download'!$AT$5</f>
        <v>2014</v>
      </c>
      <c r="D2823" t="str">
        <f>VLOOKUP(B2823,[1]Tabelle1!$A$1:$B$68,2,FALSE)</f>
        <v>dav. Hannover  Umland</v>
      </c>
      <c r="F2823" t="str">
        <f>'2020_5-2-2_Download'!$AZ$7</f>
        <v>unbekannt</v>
      </c>
      <c r="G2823" t="s">
        <v>362</v>
      </c>
      <c r="H2823" t="str">
        <f>VLOOKUP(B2823,[2]Kreise!$A$2:$C$53,3,FALSE)</f>
        <v>K03241999</v>
      </c>
      <c r="I2823" s="266">
        <f>'2020_5-2-2_Download'!AZ23</f>
        <v>34.825833457915984</v>
      </c>
    </row>
    <row r="2824" spans="2:9">
      <c r="B2824">
        <f>'2020_5-2-2_Download'!B24</f>
        <v>251</v>
      </c>
      <c r="C2824">
        <f>'2020_5-2-2_Download'!$AT$5</f>
        <v>2014</v>
      </c>
      <c r="D2824" t="str">
        <f>VLOOKUP(B2824,[1]Tabelle1!$A$1:$B$68,2,FALSE)</f>
        <v>Diepholz</v>
      </c>
      <c r="F2824" t="str">
        <f>'2020_5-2-2_Download'!$AZ$7</f>
        <v>unbekannt</v>
      </c>
      <c r="G2824" t="s">
        <v>362</v>
      </c>
      <c r="H2824" t="str">
        <f>VLOOKUP(B2824,[2]Kreise!$A$2:$C$53,3,FALSE)</f>
        <v>K03251</v>
      </c>
      <c r="I2824" s="266">
        <f>'2020_5-2-2_Download'!AZ24</f>
        <v>39.177991382167718</v>
      </c>
    </row>
    <row r="2825" spans="2:9">
      <c r="B2825">
        <f>'2020_5-2-2_Download'!B25</f>
        <v>252</v>
      </c>
      <c r="C2825">
        <f>'2020_5-2-2_Download'!$AT$5</f>
        <v>2014</v>
      </c>
      <c r="D2825" t="str">
        <f>VLOOKUP(B2825,[1]Tabelle1!$A$1:$B$68,2,FALSE)</f>
        <v>Hameln-Pyrmont</v>
      </c>
      <c r="F2825" t="str">
        <f>'2020_5-2-2_Download'!$AZ$7</f>
        <v>unbekannt</v>
      </c>
      <c r="G2825" t="s">
        <v>362</v>
      </c>
      <c r="H2825" t="str">
        <f>VLOOKUP(B2825,[2]Kreise!$A$2:$C$53,3,FALSE)</f>
        <v>K03252</v>
      </c>
      <c r="I2825" s="266">
        <f>'2020_5-2-2_Download'!AZ25</f>
        <v>28.857715430861724</v>
      </c>
    </row>
    <row r="2826" spans="2:9">
      <c r="B2826">
        <f>'2020_5-2-2_Download'!B26</f>
        <v>254</v>
      </c>
      <c r="C2826">
        <f>'2020_5-2-2_Download'!$AT$5</f>
        <v>2014</v>
      </c>
      <c r="D2826" t="str">
        <f>VLOOKUP(B2826,[1]Tabelle1!$A$1:$B$68,2,FALSE)</f>
        <v>Hildesheim</v>
      </c>
      <c r="F2826" t="str">
        <f>'2020_5-2-2_Download'!$AZ$7</f>
        <v>unbekannt</v>
      </c>
      <c r="G2826" t="s">
        <v>362</v>
      </c>
      <c r="H2826" t="str">
        <f>VLOOKUP(B2826,[2]Kreise!$A$2:$C$53,3,FALSE)</f>
        <v>K03254</v>
      </c>
      <c r="I2826" s="266">
        <f>'2020_5-2-2_Download'!AZ26</f>
        <v>23.805484874187165</v>
      </c>
    </row>
    <row r="2827" spans="2:9">
      <c r="B2827">
        <f>'2020_5-2-2_Download'!B27</f>
        <v>255</v>
      </c>
      <c r="C2827">
        <f>'2020_5-2-2_Download'!$AT$5</f>
        <v>2014</v>
      </c>
      <c r="D2827" t="str">
        <f>VLOOKUP(B2827,[1]Tabelle1!$A$1:$B$68,2,FALSE)</f>
        <v>Holzminden</v>
      </c>
      <c r="F2827" t="str">
        <f>'2020_5-2-2_Download'!$AZ$7</f>
        <v>unbekannt</v>
      </c>
      <c r="G2827" t="s">
        <v>362</v>
      </c>
      <c r="H2827" t="str">
        <f>VLOOKUP(B2827,[2]Kreise!$A$2:$C$53,3,FALSE)</f>
        <v>K03255</v>
      </c>
      <c r="I2827" s="266">
        <f>'2020_5-2-2_Download'!AZ27</f>
        <v>21.855921855921849</v>
      </c>
    </row>
    <row r="2828" spans="2:9">
      <c r="B2828">
        <f>'2020_5-2-2_Download'!B28</f>
        <v>256</v>
      </c>
      <c r="C2828">
        <f>'2020_5-2-2_Download'!$AT$5</f>
        <v>2014</v>
      </c>
      <c r="D2828" t="str">
        <f>VLOOKUP(B2828,[1]Tabelle1!$A$1:$B$68,2,FALSE)</f>
        <v>Nienburg (Weser)</v>
      </c>
      <c r="F2828" t="str">
        <f>'2020_5-2-2_Download'!$AZ$7</f>
        <v>unbekannt</v>
      </c>
      <c r="G2828" t="s">
        <v>362</v>
      </c>
      <c r="H2828" t="str">
        <f>VLOOKUP(B2828,[2]Kreise!$A$2:$C$53,3,FALSE)</f>
        <v>K03256</v>
      </c>
      <c r="I2828" s="266">
        <f>'2020_5-2-2_Download'!AZ28</f>
        <v>38.5</v>
      </c>
    </row>
    <row r="2829" spans="2:9">
      <c r="B2829">
        <f>'2020_5-2-2_Download'!B29</f>
        <v>257</v>
      </c>
      <c r="C2829">
        <f>'2020_5-2-2_Download'!$AT$5</f>
        <v>2014</v>
      </c>
      <c r="D2829" t="str">
        <f>VLOOKUP(B2829,[1]Tabelle1!$A$1:$B$68,2,FALSE)</f>
        <v>Schaumburg</v>
      </c>
      <c r="F2829" t="str">
        <f>'2020_5-2-2_Download'!$AZ$7</f>
        <v>unbekannt</v>
      </c>
      <c r="G2829" t="s">
        <v>362</v>
      </c>
      <c r="H2829" t="str">
        <f>VLOOKUP(B2829,[2]Kreise!$A$2:$C$53,3,FALSE)</f>
        <v>K03257</v>
      </c>
      <c r="I2829" s="266">
        <f>'2020_5-2-2_Download'!AZ29</f>
        <v>27.760416666666657</v>
      </c>
    </row>
    <row r="2830" spans="2:9">
      <c r="B2830">
        <f>'2020_5-2-2_Download'!B30</f>
        <v>2</v>
      </c>
      <c r="C2830">
        <f>'2020_5-2-2_Download'!$AT$5</f>
        <v>2014</v>
      </c>
      <c r="D2830" t="str">
        <f>VLOOKUP(B2830,[1]Tabelle1!$A$1:$B$68,2,FALSE)</f>
        <v>Stat. Region Hannover</v>
      </c>
      <c r="F2830" t="str">
        <f>'2020_5-2-2_Download'!$AZ$7</f>
        <v>unbekannt</v>
      </c>
      <c r="G2830" t="s">
        <v>362</v>
      </c>
      <c r="H2830" t="str">
        <f>VLOOKUP(B2830,[2]Kreise!$A$2:$C$53,3,FALSE)</f>
        <v>K032</v>
      </c>
      <c r="I2830" s="266">
        <f>'2020_5-2-2_Download'!AZ30</f>
        <v>30.800809592912252</v>
      </c>
    </row>
    <row r="2831" spans="2:9">
      <c r="B2831">
        <f>'2020_5-2-2_Download'!B31</f>
        <v>351</v>
      </c>
      <c r="C2831">
        <f>'2020_5-2-2_Download'!$AT$5</f>
        <v>2014</v>
      </c>
      <c r="D2831" t="str">
        <f>VLOOKUP(B2831,[1]Tabelle1!$A$1:$B$68,2,FALSE)</f>
        <v>Celle</v>
      </c>
      <c r="F2831" t="str">
        <f>'2020_5-2-2_Download'!$AZ$7</f>
        <v>unbekannt</v>
      </c>
      <c r="G2831" t="s">
        <v>362</v>
      </c>
      <c r="H2831" t="str">
        <f>VLOOKUP(B2831,[2]Kreise!$A$2:$C$53,3,FALSE)</f>
        <v>K03351</v>
      </c>
      <c r="I2831" s="266">
        <f>'2020_5-2-2_Download'!AZ31</f>
        <v>27.15203426124198</v>
      </c>
    </row>
    <row r="2832" spans="2:9">
      <c r="B2832">
        <f>'2020_5-2-2_Download'!B32</f>
        <v>352</v>
      </c>
      <c r="C2832">
        <f>'2020_5-2-2_Download'!$AT$5</f>
        <v>2014</v>
      </c>
      <c r="D2832" t="str">
        <f>VLOOKUP(B2832,[1]Tabelle1!$A$1:$B$68,2,FALSE)</f>
        <v>Cuxhaven</v>
      </c>
      <c r="F2832" t="str">
        <f>'2020_5-2-2_Download'!$AZ$7</f>
        <v>unbekannt</v>
      </c>
      <c r="G2832" t="s">
        <v>362</v>
      </c>
      <c r="H2832" t="str">
        <f>VLOOKUP(B2832,[2]Kreise!$A$2:$C$53,3,FALSE)</f>
        <v>K03352</v>
      </c>
      <c r="I2832" s="266">
        <f>'2020_5-2-2_Download'!AZ32</f>
        <v>42.604617604617609</v>
      </c>
    </row>
    <row r="2833" spans="2:9">
      <c r="B2833">
        <f>'2020_5-2-2_Download'!B33</f>
        <v>353</v>
      </c>
      <c r="C2833">
        <f>'2020_5-2-2_Download'!$AT$5</f>
        <v>2014</v>
      </c>
      <c r="D2833" t="str">
        <f>VLOOKUP(B2833,[1]Tabelle1!$A$1:$B$68,2,FALSE)</f>
        <v>Harburg</v>
      </c>
      <c r="F2833" t="str">
        <f>'2020_5-2-2_Download'!$AZ$7</f>
        <v>unbekannt</v>
      </c>
      <c r="G2833" t="s">
        <v>362</v>
      </c>
      <c r="H2833" t="str">
        <f>VLOOKUP(B2833,[2]Kreise!$A$2:$C$53,3,FALSE)</f>
        <v>K03353</v>
      </c>
      <c r="I2833" s="266">
        <f>'2020_5-2-2_Download'!AZ33</f>
        <v>46.749144511713617</v>
      </c>
    </row>
    <row r="2834" spans="2:9">
      <c r="B2834">
        <f>'2020_5-2-2_Download'!B34</f>
        <v>354</v>
      </c>
      <c r="C2834">
        <f>'2020_5-2-2_Download'!$AT$5</f>
        <v>2014</v>
      </c>
      <c r="D2834" t="str">
        <f>VLOOKUP(B2834,[1]Tabelle1!$A$1:$B$68,2,FALSE)</f>
        <v>Lüchow-Dannenberg</v>
      </c>
      <c r="F2834" t="str">
        <f>'2020_5-2-2_Download'!$AZ$7</f>
        <v>unbekannt</v>
      </c>
      <c r="G2834" t="s">
        <v>362</v>
      </c>
      <c r="H2834" t="str">
        <f>VLOOKUP(B2834,[2]Kreise!$A$2:$C$53,3,FALSE)</f>
        <v>K03354</v>
      </c>
      <c r="I2834" s="266">
        <f>'2020_5-2-2_Download'!AZ34</f>
        <v>45.58011049723757</v>
      </c>
    </row>
    <row r="2835" spans="2:9">
      <c r="B2835">
        <f>'2020_5-2-2_Download'!B35</f>
        <v>355</v>
      </c>
      <c r="C2835">
        <f>'2020_5-2-2_Download'!$AT$5</f>
        <v>2014</v>
      </c>
      <c r="D2835" t="str">
        <f>VLOOKUP(B2835,[1]Tabelle1!$A$1:$B$68,2,FALSE)</f>
        <v>Lüneburg</v>
      </c>
      <c r="F2835" t="str">
        <f>'2020_5-2-2_Download'!$AZ$7</f>
        <v>unbekannt</v>
      </c>
      <c r="G2835" t="s">
        <v>362</v>
      </c>
      <c r="H2835" t="str">
        <f>VLOOKUP(B2835,[2]Kreise!$A$2:$C$53,3,FALSE)</f>
        <v>K03355</v>
      </c>
      <c r="I2835" s="266">
        <f>'2020_5-2-2_Download'!AZ35</f>
        <v>30.761859127934841</v>
      </c>
    </row>
    <row r="2836" spans="2:9">
      <c r="B2836">
        <f>'2020_5-2-2_Download'!B36</f>
        <v>356</v>
      </c>
      <c r="C2836">
        <f>'2020_5-2-2_Download'!$AT$5</f>
        <v>2014</v>
      </c>
      <c r="D2836" t="str">
        <f>VLOOKUP(B2836,[1]Tabelle1!$A$1:$B$68,2,FALSE)</f>
        <v>Osterholz</v>
      </c>
      <c r="F2836" t="str">
        <f>'2020_5-2-2_Download'!$AZ$7</f>
        <v>unbekannt</v>
      </c>
      <c r="G2836" t="s">
        <v>362</v>
      </c>
      <c r="H2836" t="str">
        <f>VLOOKUP(B2836,[2]Kreise!$A$2:$C$53,3,FALSE)</f>
        <v>K03356</v>
      </c>
      <c r="I2836" s="266">
        <f>'2020_5-2-2_Download'!AZ36</f>
        <v>34.47927199191102</v>
      </c>
    </row>
    <row r="2837" spans="2:9">
      <c r="B2837">
        <f>'2020_5-2-2_Download'!B37</f>
        <v>357</v>
      </c>
      <c r="C2837">
        <f>'2020_5-2-2_Download'!$AT$5</f>
        <v>2014</v>
      </c>
      <c r="D2837" t="str">
        <f>VLOOKUP(B2837,[1]Tabelle1!$A$1:$B$68,2,FALSE)</f>
        <v>Rotenburg (Wümme)</v>
      </c>
      <c r="F2837" t="str">
        <f>'2020_5-2-2_Download'!$AZ$7</f>
        <v>unbekannt</v>
      </c>
      <c r="G2837" t="s">
        <v>362</v>
      </c>
      <c r="H2837" t="str">
        <f>VLOOKUP(B2837,[2]Kreise!$A$2:$C$53,3,FALSE)</f>
        <v>K03357</v>
      </c>
      <c r="I2837" s="266">
        <f>'2020_5-2-2_Download'!AZ37</f>
        <v>40.882061446977204</v>
      </c>
    </row>
    <row r="2838" spans="2:9">
      <c r="B2838">
        <f>'2020_5-2-2_Download'!B38</f>
        <v>358</v>
      </c>
      <c r="C2838">
        <f>'2020_5-2-2_Download'!$AT$5</f>
        <v>2014</v>
      </c>
      <c r="D2838" t="str">
        <f>VLOOKUP(B2838,[1]Tabelle1!$A$1:$B$68,2,FALSE)</f>
        <v>Heidekreis</v>
      </c>
      <c r="F2838" t="str">
        <f>'2020_5-2-2_Download'!$AZ$7</f>
        <v>unbekannt</v>
      </c>
      <c r="G2838" t="s">
        <v>362</v>
      </c>
      <c r="H2838" t="str">
        <f>VLOOKUP(B2838,[2]Kreise!$A$2:$C$53,3,FALSE)</f>
        <v>K03358</v>
      </c>
      <c r="I2838" s="266">
        <f>'2020_5-2-2_Download'!AZ38</f>
        <v>36.728395061728392</v>
      </c>
    </row>
    <row r="2839" spans="2:9">
      <c r="B2839">
        <f>'2020_5-2-2_Download'!B39</f>
        <v>359</v>
      </c>
      <c r="C2839">
        <f>'2020_5-2-2_Download'!$AT$5</f>
        <v>2014</v>
      </c>
      <c r="D2839" t="str">
        <f>VLOOKUP(B2839,[1]Tabelle1!$A$1:$B$68,2,FALSE)</f>
        <v>Stade</v>
      </c>
      <c r="F2839" t="str">
        <f>'2020_5-2-2_Download'!$AZ$7</f>
        <v>unbekannt</v>
      </c>
      <c r="G2839" t="s">
        <v>362</v>
      </c>
      <c r="H2839" t="str">
        <f>VLOOKUP(B2839,[2]Kreise!$A$2:$C$53,3,FALSE)</f>
        <v>K03359</v>
      </c>
      <c r="I2839" s="266">
        <f>'2020_5-2-2_Download'!AZ39</f>
        <v>58.093869731800766</v>
      </c>
    </row>
    <row r="2840" spans="2:9">
      <c r="B2840">
        <f>'2020_5-2-2_Download'!B40</f>
        <v>360</v>
      </c>
      <c r="C2840">
        <f>'2020_5-2-2_Download'!$AT$5</f>
        <v>2014</v>
      </c>
      <c r="D2840" t="str">
        <f>VLOOKUP(B2840,[1]Tabelle1!$A$1:$B$68,2,FALSE)</f>
        <v>Uelzen</v>
      </c>
      <c r="F2840" t="str">
        <f>'2020_5-2-2_Download'!$AZ$7</f>
        <v>unbekannt</v>
      </c>
      <c r="G2840" t="s">
        <v>362</v>
      </c>
      <c r="H2840" t="str">
        <f>VLOOKUP(B2840,[2]Kreise!$A$2:$C$53,3,FALSE)</f>
        <v>K03360</v>
      </c>
      <c r="I2840" s="266">
        <f>'2020_5-2-2_Download'!AZ40</f>
        <v>35.472578763127174</v>
      </c>
    </row>
    <row r="2841" spans="2:9">
      <c r="B2841">
        <f>'2020_5-2-2_Download'!B41</f>
        <v>361</v>
      </c>
      <c r="C2841">
        <f>'2020_5-2-2_Download'!$AT$5</f>
        <v>2014</v>
      </c>
      <c r="D2841" t="str">
        <f>VLOOKUP(B2841,[1]Tabelle1!$A$1:$B$68,2,FALSE)</f>
        <v>Verden</v>
      </c>
      <c r="F2841" t="str">
        <f>'2020_5-2-2_Download'!$AZ$7</f>
        <v>unbekannt</v>
      </c>
      <c r="G2841" t="s">
        <v>362</v>
      </c>
      <c r="H2841" t="str">
        <f>VLOOKUP(B2841,[2]Kreise!$A$2:$C$53,3,FALSE)</f>
        <v>K03361</v>
      </c>
      <c r="I2841" s="266">
        <f>'2020_5-2-2_Download'!AZ41</f>
        <v>31.025957972805934</v>
      </c>
    </row>
    <row r="2842" spans="2:9">
      <c r="B2842">
        <f>'2020_5-2-2_Download'!B42</f>
        <v>3</v>
      </c>
      <c r="C2842">
        <f>'2020_5-2-2_Download'!$AT$5</f>
        <v>2014</v>
      </c>
      <c r="D2842" t="str">
        <f>VLOOKUP(B2842,[1]Tabelle1!$A$1:$B$68,2,FALSE)</f>
        <v>Stat. Region Lüneburg</v>
      </c>
      <c r="F2842" t="str">
        <f>'2020_5-2-2_Download'!$AZ$7</f>
        <v>unbekannt</v>
      </c>
      <c r="G2842" t="s">
        <v>362</v>
      </c>
      <c r="H2842" t="str">
        <f>VLOOKUP(B2842,[2]Kreise!$A$2:$C$53,3,FALSE)</f>
        <v>K033</v>
      </c>
      <c r="I2842" s="266">
        <f>'2020_5-2-2_Download'!AZ42</f>
        <v>41.012868410128682</v>
      </c>
    </row>
    <row r="2843" spans="2:9">
      <c r="B2843">
        <f>'2020_5-2-2_Download'!B43</f>
        <v>401</v>
      </c>
      <c r="C2843">
        <f>'2020_5-2-2_Download'!$AT$5</f>
        <v>2014</v>
      </c>
      <c r="D2843" t="str">
        <f>VLOOKUP(B2843,[1]Tabelle1!$A$1:$B$68,2,FALSE)</f>
        <v>Delmenhorst  Stadt</v>
      </c>
      <c r="F2843" t="str">
        <f>'2020_5-2-2_Download'!$AZ$7</f>
        <v>unbekannt</v>
      </c>
      <c r="G2843" t="s">
        <v>362</v>
      </c>
      <c r="H2843" t="str">
        <f>VLOOKUP(B2843,[2]Kreise!$A$2:$C$53,3,FALSE)</f>
        <v>K03401</v>
      </c>
      <c r="I2843" s="266">
        <f>'2020_5-2-2_Download'!AZ43</f>
        <v>40.073529411764717</v>
      </c>
    </row>
    <row r="2844" spans="2:9">
      <c r="B2844">
        <f>'2020_5-2-2_Download'!B44</f>
        <v>402</v>
      </c>
      <c r="C2844">
        <f>'2020_5-2-2_Download'!$AT$5</f>
        <v>2014</v>
      </c>
      <c r="D2844" t="str">
        <f>VLOOKUP(B2844,[1]Tabelle1!$A$1:$B$68,2,FALSE)</f>
        <v>Emden  Stadt</v>
      </c>
      <c r="F2844" t="str">
        <f>'2020_5-2-2_Download'!$AZ$7</f>
        <v>unbekannt</v>
      </c>
      <c r="G2844" t="s">
        <v>362</v>
      </c>
      <c r="H2844" t="str">
        <f>VLOOKUP(B2844,[2]Kreise!$A$2:$C$53,3,FALSE)</f>
        <v>K03402</v>
      </c>
      <c r="I2844" s="266">
        <f>'2020_5-2-2_Download'!AZ44</f>
        <v>34.390243902439018</v>
      </c>
    </row>
    <row r="2845" spans="2:9">
      <c r="B2845">
        <f>'2020_5-2-2_Download'!B45</f>
        <v>403</v>
      </c>
      <c r="C2845">
        <f>'2020_5-2-2_Download'!$AT$5</f>
        <v>2014</v>
      </c>
      <c r="D2845" t="str">
        <f>VLOOKUP(B2845,[1]Tabelle1!$A$1:$B$68,2,FALSE)</f>
        <v>Oldenburg(Oldb)  Stadt</v>
      </c>
      <c r="F2845" t="str">
        <f>'2020_5-2-2_Download'!$AZ$7</f>
        <v>unbekannt</v>
      </c>
      <c r="G2845" t="s">
        <v>362</v>
      </c>
      <c r="H2845" t="str">
        <f>VLOOKUP(B2845,[2]Kreise!$A$2:$C$53,3,FALSE)</f>
        <v>K03403</v>
      </c>
      <c r="I2845" s="266">
        <f>'2020_5-2-2_Download'!AZ45</f>
        <v>30.552694816340541</v>
      </c>
    </row>
    <row r="2846" spans="2:9">
      <c r="B2846">
        <f>'2020_5-2-2_Download'!B46</f>
        <v>404</v>
      </c>
      <c r="C2846">
        <f>'2020_5-2-2_Download'!$AT$5</f>
        <v>2014</v>
      </c>
      <c r="D2846" t="str">
        <f>VLOOKUP(B2846,[1]Tabelle1!$A$1:$B$68,2,FALSE)</f>
        <v>Osnabrück  Stadt</v>
      </c>
      <c r="F2846" t="str">
        <f>'2020_5-2-2_Download'!$AZ$7</f>
        <v>unbekannt</v>
      </c>
      <c r="G2846" t="s">
        <v>362</v>
      </c>
      <c r="H2846" t="str">
        <f>VLOOKUP(B2846,[2]Kreise!$A$2:$C$53,3,FALSE)</f>
        <v>K03404</v>
      </c>
      <c r="I2846" s="266">
        <f>'2020_5-2-2_Download'!AZ46</f>
        <v>30.160618679357533</v>
      </c>
    </row>
    <row r="2847" spans="2:9">
      <c r="B2847">
        <f>'2020_5-2-2_Download'!B47</f>
        <v>405</v>
      </c>
      <c r="C2847">
        <f>'2020_5-2-2_Download'!$AT$5</f>
        <v>2014</v>
      </c>
      <c r="D2847" t="str">
        <f>VLOOKUP(B2847,[1]Tabelle1!$A$1:$B$68,2,FALSE)</f>
        <v>Wilhelmshaven  Stadt</v>
      </c>
      <c r="F2847" t="str">
        <f>'2020_5-2-2_Download'!$AZ$7</f>
        <v>unbekannt</v>
      </c>
      <c r="G2847" t="s">
        <v>362</v>
      </c>
      <c r="H2847" t="str">
        <f>VLOOKUP(B2847,[2]Kreise!$A$2:$C$53,3,FALSE)</f>
        <v>K03405</v>
      </c>
      <c r="I2847" s="266">
        <f>'2020_5-2-2_Download'!AZ47</f>
        <v>28.756476683937827</v>
      </c>
    </row>
    <row r="2848" spans="2:9">
      <c r="B2848">
        <f>'2020_5-2-2_Download'!B48</f>
        <v>451</v>
      </c>
      <c r="C2848">
        <f>'2020_5-2-2_Download'!$AT$5</f>
        <v>2014</v>
      </c>
      <c r="D2848" t="str">
        <f>VLOOKUP(B2848,[1]Tabelle1!$A$1:$B$68,2,FALSE)</f>
        <v>Ammerland</v>
      </c>
      <c r="F2848" t="str">
        <f>'2020_5-2-2_Download'!$AZ$7</f>
        <v>unbekannt</v>
      </c>
      <c r="G2848" t="s">
        <v>362</v>
      </c>
      <c r="H2848" t="str">
        <f>VLOOKUP(B2848,[2]Kreise!$A$2:$C$53,3,FALSE)</f>
        <v>K03451</v>
      </c>
      <c r="I2848" s="266">
        <f>'2020_5-2-2_Download'!AZ48</f>
        <v>48.170731707317067</v>
      </c>
    </row>
    <row r="2849" spans="2:9">
      <c r="B2849">
        <f>'2020_5-2-2_Download'!B49</f>
        <v>452</v>
      </c>
      <c r="C2849">
        <f>'2020_5-2-2_Download'!$AT$5</f>
        <v>2014</v>
      </c>
      <c r="D2849" t="str">
        <f>VLOOKUP(B2849,[1]Tabelle1!$A$1:$B$68,2,FALSE)</f>
        <v>Aurich</v>
      </c>
      <c r="F2849" t="str">
        <f>'2020_5-2-2_Download'!$AZ$7</f>
        <v>unbekannt</v>
      </c>
      <c r="G2849" t="s">
        <v>362</v>
      </c>
      <c r="H2849" t="str">
        <f>VLOOKUP(B2849,[2]Kreise!$A$2:$C$53,3,FALSE)</f>
        <v>K03452</v>
      </c>
      <c r="I2849" s="266">
        <f>'2020_5-2-2_Download'!AZ49</f>
        <v>46.884164222873906</v>
      </c>
    </row>
    <row r="2850" spans="2:9">
      <c r="B2850">
        <f>'2020_5-2-2_Download'!B50</f>
        <v>453</v>
      </c>
      <c r="C2850">
        <f>'2020_5-2-2_Download'!$AT$5</f>
        <v>2014</v>
      </c>
      <c r="D2850" t="str">
        <f>VLOOKUP(B2850,[1]Tabelle1!$A$1:$B$68,2,FALSE)</f>
        <v>Cloppenburg</v>
      </c>
      <c r="F2850" t="str">
        <f>'2020_5-2-2_Download'!$AZ$7</f>
        <v>unbekannt</v>
      </c>
      <c r="G2850" t="s">
        <v>362</v>
      </c>
      <c r="H2850" t="str">
        <f>VLOOKUP(B2850,[2]Kreise!$A$2:$C$53,3,FALSE)</f>
        <v>K03453</v>
      </c>
      <c r="I2850" s="266">
        <f>'2020_5-2-2_Download'!AZ50</f>
        <v>54.029264031447909</v>
      </c>
    </row>
    <row r="2851" spans="2:9">
      <c r="B2851">
        <f>'2020_5-2-2_Download'!B51</f>
        <v>454</v>
      </c>
      <c r="C2851">
        <f>'2020_5-2-2_Download'!$AT$5</f>
        <v>2014</v>
      </c>
      <c r="D2851" t="str">
        <f>VLOOKUP(B2851,[1]Tabelle1!$A$1:$B$68,2,FALSE)</f>
        <v>Emsland</v>
      </c>
      <c r="F2851" t="str">
        <f>'2020_5-2-2_Download'!$AZ$7</f>
        <v>unbekannt</v>
      </c>
      <c r="G2851" t="s">
        <v>362</v>
      </c>
      <c r="H2851" t="str">
        <f>VLOOKUP(B2851,[2]Kreise!$A$2:$C$53,3,FALSE)</f>
        <v>K03454</v>
      </c>
      <c r="I2851" s="266">
        <f>'2020_5-2-2_Download'!AZ51</f>
        <v>39.110320284697508</v>
      </c>
    </row>
    <row r="2852" spans="2:9">
      <c r="B2852">
        <f>'2020_5-2-2_Download'!B52</f>
        <v>455</v>
      </c>
      <c r="C2852">
        <f>'2020_5-2-2_Download'!$AT$5</f>
        <v>2014</v>
      </c>
      <c r="D2852" t="str">
        <f>VLOOKUP(B2852,[1]Tabelle1!$A$1:$B$68,2,FALSE)</f>
        <v>Friesland</v>
      </c>
      <c r="F2852" t="str">
        <f>'2020_5-2-2_Download'!$AZ$7</f>
        <v>unbekannt</v>
      </c>
      <c r="G2852" t="s">
        <v>362</v>
      </c>
      <c r="H2852" t="str">
        <f>VLOOKUP(B2852,[2]Kreise!$A$2:$C$53,3,FALSE)</f>
        <v>K03455</v>
      </c>
      <c r="I2852" s="266">
        <f>'2020_5-2-2_Download'!AZ52</f>
        <v>37.850467289719631</v>
      </c>
    </row>
    <row r="2853" spans="2:9">
      <c r="B2853">
        <f>'2020_5-2-2_Download'!B53</f>
        <v>456</v>
      </c>
      <c r="C2853">
        <f>'2020_5-2-2_Download'!$AT$5</f>
        <v>2014</v>
      </c>
      <c r="D2853" t="str">
        <f>VLOOKUP(B2853,[1]Tabelle1!$A$1:$B$68,2,FALSE)</f>
        <v>Grafschaft Bentheim</v>
      </c>
      <c r="F2853" t="str">
        <f>'2020_5-2-2_Download'!$AZ$7</f>
        <v>unbekannt</v>
      </c>
      <c r="G2853" t="s">
        <v>362</v>
      </c>
      <c r="H2853" t="str">
        <f>VLOOKUP(B2853,[2]Kreise!$A$2:$C$53,3,FALSE)</f>
        <v>K03456</v>
      </c>
      <c r="I2853" s="266">
        <f>'2020_5-2-2_Download'!AZ53</f>
        <v>34.960582171012739</v>
      </c>
    </row>
    <row r="2854" spans="2:9">
      <c r="B2854">
        <f>'2020_5-2-2_Download'!B54</f>
        <v>457</v>
      </c>
      <c r="C2854">
        <f>'2020_5-2-2_Download'!$AT$5</f>
        <v>2014</v>
      </c>
      <c r="D2854" t="str">
        <f>VLOOKUP(B2854,[1]Tabelle1!$A$1:$B$68,2,FALSE)</f>
        <v>Leer</v>
      </c>
      <c r="F2854" t="str">
        <f>'2020_5-2-2_Download'!$AZ$7</f>
        <v>unbekannt</v>
      </c>
      <c r="G2854" t="s">
        <v>362</v>
      </c>
      <c r="H2854" t="str">
        <f>VLOOKUP(B2854,[2]Kreise!$A$2:$C$53,3,FALSE)</f>
        <v>K03457</v>
      </c>
      <c r="I2854" s="266">
        <f>'2020_5-2-2_Download'!AZ54</f>
        <v>42.803437164339414</v>
      </c>
    </row>
    <row r="2855" spans="2:9">
      <c r="B2855">
        <f>'2020_5-2-2_Download'!B55</f>
        <v>458</v>
      </c>
      <c r="C2855">
        <f>'2020_5-2-2_Download'!$AT$5</f>
        <v>2014</v>
      </c>
      <c r="D2855" t="str">
        <f>VLOOKUP(B2855,[1]Tabelle1!$A$1:$B$68,2,FALSE)</f>
        <v>Oldenburg</v>
      </c>
      <c r="F2855" t="str">
        <f>'2020_5-2-2_Download'!$AZ$7</f>
        <v>unbekannt</v>
      </c>
      <c r="G2855" t="s">
        <v>362</v>
      </c>
      <c r="H2855" t="str">
        <f>VLOOKUP(B2855,[2]Kreise!$A$2:$C$53,3,FALSE)</f>
        <v>K03458</v>
      </c>
      <c r="I2855" s="266">
        <f>'2020_5-2-2_Download'!AZ55</f>
        <v>41.551104262968664</v>
      </c>
    </row>
    <row r="2856" spans="2:9">
      <c r="B2856">
        <f>'2020_5-2-2_Download'!B56</f>
        <v>459</v>
      </c>
      <c r="C2856">
        <f>'2020_5-2-2_Download'!$AT$5</f>
        <v>2014</v>
      </c>
      <c r="D2856" t="str">
        <f>VLOOKUP(B2856,[1]Tabelle1!$A$1:$B$68,2,FALSE)</f>
        <v>Osnabrück</v>
      </c>
      <c r="F2856" t="str">
        <f>'2020_5-2-2_Download'!$AZ$7</f>
        <v>unbekannt</v>
      </c>
      <c r="G2856" t="s">
        <v>362</v>
      </c>
      <c r="H2856" t="str">
        <f>VLOOKUP(B2856,[2]Kreise!$A$2:$C$53,3,FALSE)</f>
        <v>K03459</v>
      </c>
      <c r="I2856" s="266">
        <f>'2020_5-2-2_Download'!AZ56</f>
        <v>43.994524923006729</v>
      </c>
    </row>
    <row r="2857" spans="2:9">
      <c r="B2857">
        <f>'2020_5-2-2_Download'!B57</f>
        <v>460</v>
      </c>
      <c r="C2857">
        <f>'2020_5-2-2_Download'!$AT$5</f>
        <v>2014</v>
      </c>
      <c r="D2857" t="str">
        <f>VLOOKUP(B2857,[1]Tabelle1!$A$1:$B$68,2,FALSE)</f>
        <v>Vechta</v>
      </c>
      <c r="F2857" t="str">
        <f>'2020_5-2-2_Download'!$AZ$7</f>
        <v>unbekannt</v>
      </c>
      <c r="G2857" t="s">
        <v>362</v>
      </c>
      <c r="H2857" t="str">
        <f>VLOOKUP(B2857,[2]Kreise!$A$2:$C$53,3,FALSE)</f>
        <v>K03460</v>
      </c>
      <c r="I2857" s="266">
        <f>'2020_5-2-2_Download'!AZ57</f>
        <v>52.892690513219286</v>
      </c>
    </row>
    <row r="2858" spans="2:9">
      <c r="B2858">
        <f>'2020_5-2-2_Download'!B58</f>
        <v>461</v>
      </c>
      <c r="C2858">
        <f>'2020_5-2-2_Download'!$AT$5</f>
        <v>2014</v>
      </c>
      <c r="D2858" t="str">
        <f>VLOOKUP(B2858,[1]Tabelle1!$A$1:$B$68,2,FALSE)</f>
        <v>Wesermarsch</v>
      </c>
      <c r="F2858" t="str">
        <f>'2020_5-2-2_Download'!$AZ$7</f>
        <v>unbekannt</v>
      </c>
      <c r="G2858" t="s">
        <v>362</v>
      </c>
      <c r="H2858" t="str">
        <f>VLOOKUP(B2858,[2]Kreise!$A$2:$C$53,3,FALSE)</f>
        <v>K03461</v>
      </c>
      <c r="I2858" s="266">
        <f>'2020_5-2-2_Download'!AZ58</f>
        <v>33.684210526315788</v>
      </c>
    </row>
    <row r="2859" spans="2:9">
      <c r="B2859">
        <f>'2020_5-2-2_Download'!B59</f>
        <v>462</v>
      </c>
      <c r="C2859">
        <f>'2020_5-2-2_Download'!$AT$5</f>
        <v>2014</v>
      </c>
      <c r="D2859" t="str">
        <f>VLOOKUP(B2859,[1]Tabelle1!$A$1:$B$68,2,FALSE)</f>
        <v>Wittmund</v>
      </c>
      <c r="F2859" t="str">
        <f>'2020_5-2-2_Download'!$AZ$7</f>
        <v>unbekannt</v>
      </c>
      <c r="G2859" t="s">
        <v>362</v>
      </c>
      <c r="H2859" t="str">
        <f>VLOOKUP(B2859,[2]Kreise!$A$2:$C$53,3,FALSE)</f>
        <v>K03462</v>
      </c>
      <c r="I2859" s="266">
        <f>'2020_5-2-2_Download'!AZ59</f>
        <v>64.50511945392492</v>
      </c>
    </row>
    <row r="2860" spans="2:9">
      <c r="B2860">
        <f>'2020_5-2-2_Download'!B60</f>
        <v>4</v>
      </c>
      <c r="C2860">
        <f>'2020_5-2-2_Download'!$AT$5</f>
        <v>2014</v>
      </c>
      <c r="D2860" t="str">
        <f>VLOOKUP(B2860,[1]Tabelle1!$A$1:$B$68,2,FALSE)</f>
        <v>Stat. Region Weser-Ems</v>
      </c>
      <c r="F2860" t="str">
        <f>'2020_5-2-2_Download'!$AZ$7</f>
        <v>unbekannt</v>
      </c>
      <c r="G2860" t="s">
        <v>362</v>
      </c>
      <c r="H2860" t="str">
        <f>VLOOKUP(B2860,[2]Kreise!$A$2:$C$53,3,FALSE)</f>
        <v>K034</v>
      </c>
      <c r="I2860" s="266">
        <f>'2020_5-2-2_Download'!AZ60</f>
        <v>42.275453781676802</v>
      </c>
    </row>
    <row r="2861" spans="2:9">
      <c r="B2861">
        <f>'2020_5-2-2_Download'!B61</f>
        <v>0</v>
      </c>
      <c r="C2861">
        <f>'2020_5-2-2_Download'!$AT$5</f>
        <v>2014</v>
      </c>
      <c r="D2861" t="str">
        <f>VLOOKUP(B2861,[1]Tabelle1!$A$1:$B$68,2,FALSE)</f>
        <v>Niedersachsen</v>
      </c>
      <c r="F2861" t="str">
        <f>'2020_5-2-2_Download'!$AZ$7</f>
        <v>unbekannt</v>
      </c>
      <c r="G2861" t="s">
        <v>362</v>
      </c>
      <c r="H2861" t="str">
        <f>VLOOKUP(B2861,[2]Kreise!$A$2:$C$53,3,FALSE)</f>
        <v>K030</v>
      </c>
      <c r="I2861" s="266">
        <f>'2020_5-2-2_Download'!AZ61</f>
        <v>35.56534729283571</v>
      </c>
    </row>
    <row r="2862" spans="2:9">
      <c r="B2862">
        <f>'2020_5-2-2_Download'!B10</f>
        <v>101</v>
      </c>
      <c r="C2862">
        <f>'2020_5-2-2_Download'!$BA$5</f>
        <v>2013</v>
      </c>
      <c r="D2862" t="str">
        <f>VLOOKUP(B2862,[1]Tabelle1!$A$1:$B$68,2,FALSE)</f>
        <v>Braunschweig  Stadt</v>
      </c>
      <c r="F2862" t="str">
        <f>'2020_5-2-2_Download'!$BD$7</f>
        <v>hoch</v>
      </c>
      <c r="G2862" t="s">
        <v>362</v>
      </c>
      <c r="H2862" t="str">
        <f>VLOOKUP(B2862,[2]Kreise!$A$2:$C$53,3,FALSE)</f>
        <v>K03101</v>
      </c>
      <c r="I2862" s="266">
        <f>'2020_5-2-2_Download'!BD10</f>
        <v>19.897959183673468</v>
      </c>
    </row>
    <row r="2863" spans="2:9">
      <c r="B2863">
        <f>'2020_5-2-2_Download'!B11</f>
        <v>102</v>
      </c>
      <c r="C2863">
        <f>'2020_5-2-2_Download'!$BA$5</f>
        <v>2013</v>
      </c>
      <c r="D2863" t="str">
        <f>VLOOKUP(B2863,[1]Tabelle1!$A$1:$B$68,2,FALSE)</f>
        <v>Salzgitter  Stadt</v>
      </c>
      <c r="F2863" t="str">
        <f>'2020_5-2-2_Download'!$BD$7</f>
        <v>hoch</v>
      </c>
      <c r="G2863" t="s">
        <v>362</v>
      </c>
      <c r="H2863" t="str">
        <f>VLOOKUP(B2863,[2]Kreise!$A$2:$C$53,3,FALSE)</f>
        <v>K03102</v>
      </c>
      <c r="I2863" s="266">
        <f>'2020_5-2-2_Download'!BD11</f>
        <v>5.4226475279106863</v>
      </c>
    </row>
    <row r="2864" spans="2:9">
      <c r="B2864">
        <f>'2020_5-2-2_Download'!B12</f>
        <v>103</v>
      </c>
      <c r="C2864">
        <f>'2020_5-2-2_Download'!$BA$5</f>
        <v>2013</v>
      </c>
      <c r="D2864" t="str">
        <f>VLOOKUP(B2864,[1]Tabelle1!$A$1:$B$68,2,FALSE)</f>
        <v>Wolfsburg  Stadt</v>
      </c>
      <c r="F2864" t="str">
        <f>'2020_5-2-2_Download'!$BD$7</f>
        <v>hoch</v>
      </c>
      <c r="G2864" t="s">
        <v>362</v>
      </c>
      <c r="H2864" t="str">
        <f>VLOOKUP(B2864,[2]Kreise!$A$2:$C$53,3,FALSE)</f>
        <v>K03103</v>
      </c>
      <c r="I2864" s="266">
        <f>'2020_5-2-2_Download'!BD12</f>
        <v>17.124457878827705</v>
      </c>
    </row>
    <row r="2865" spans="2:9">
      <c r="B2865">
        <f>'2020_5-2-2_Download'!B13</f>
        <v>151</v>
      </c>
      <c r="C2865">
        <f>'2020_5-2-2_Download'!$BA$5</f>
        <v>2013</v>
      </c>
      <c r="D2865" t="str">
        <f>VLOOKUP(B2865,[1]Tabelle1!$A$1:$B$68,2,FALSE)</f>
        <v>Gifhorn</v>
      </c>
      <c r="F2865" t="str">
        <f>'2020_5-2-2_Download'!$BD$7</f>
        <v>hoch</v>
      </c>
      <c r="G2865" t="s">
        <v>362</v>
      </c>
      <c r="H2865" t="str">
        <f>VLOOKUP(B2865,[2]Kreise!$A$2:$C$53,3,FALSE)</f>
        <v>K03151</v>
      </c>
      <c r="I2865" s="266">
        <f>'2020_5-2-2_Download'!BD13</f>
        <v>12.763532763532764</v>
      </c>
    </row>
    <row r="2866" spans="2:9">
      <c r="B2866">
        <f>'2020_5-2-2_Download'!B14</f>
        <v>153</v>
      </c>
      <c r="C2866">
        <f>'2020_5-2-2_Download'!$BA$5</f>
        <v>2013</v>
      </c>
      <c r="D2866" t="str">
        <f>VLOOKUP(B2866,[1]Tabelle1!$A$1:$B$68,2,FALSE)</f>
        <v>Goslar</v>
      </c>
      <c r="F2866" t="str">
        <f>'2020_5-2-2_Download'!$BD$7</f>
        <v>hoch</v>
      </c>
      <c r="G2866" t="s">
        <v>362</v>
      </c>
      <c r="H2866" t="str">
        <f>VLOOKUP(B2866,[2]Kreise!$A$2:$C$53,3,FALSE)</f>
        <v>K03153</v>
      </c>
      <c r="I2866" s="266">
        <f>'2020_5-2-2_Download'!BD14</f>
        <v>20.609318996415769</v>
      </c>
    </row>
    <row r="2867" spans="2:9">
      <c r="B2867">
        <f>'2020_5-2-2_Download'!B15</f>
        <v>154</v>
      </c>
      <c r="C2867">
        <f>'2020_5-2-2_Download'!$BA$5</f>
        <v>2013</v>
      </c>
      <c r="D2867" t="str">
        <f>VLOOKUP(B2867,[1]Tabelle1!$A$1:$B$68,2,FALSE)</f>
        <v>Helmstedt</v>
      </c>
      <c r="F2867" t="str">
        <f>'2020_5-2-2_Download'!$BD$7</f>
        <v>hoch</v>
      </c>
      <c r="G2867" t="s">
        <v>362</v>
      </c>
      <c r="H2867" t="str">
        <f>VLOOKUP(B2867,[2]Kreise!$A$2:$C$53,3,FALSE)</f>
        <v>K03154</v>
      </c>
      <c r="I2867" s="266">
        <f>'2020_5-2-2_Download'!BD15</f>
        <v>11.41396933560477</v>
      </c>
    </row>
    <row r="2868" spans="2:9">
      <c r="B2868">
        <f>'2020_5-2-2_Download'!B16</f>
        <v>155</v>
      </c>
      <c r="C2868">
        <f>'2020_5-2-2_Download'!$BA$5</f>
        <v>2013</v>
      </c>
      <c r="D2868" t="str">
        <f>VLOOKUP(B2868,[1]Tabelle1!$A$1:$B$68,2,FALSE)</f>
        <v>Northeim</v>
      </c>
      <c r="F2868" t="str">
        <f>'2020_5-2-2_Download'!$BD$7</f>
        <v>hoch</v>
      </c>
      <c r="G2868" t="s">
        <v>362</v>
      </c>
      <c r="H2868" t="str">
        <f>VLOOKUP(B2868,[2]Kreise!$A$2:$C$53,3,FALSE)</f>
        <v>K03155</v>
      </c>
      <c r="I2868" s="266">
        <f>'2020_5-2-2_Download'!BD16</f>
        <v>10.453172205438065</v>
      </c>
    </row>
    <row r="2869" spans="2:9">
      <c r="B2869">
        <f>'2020_5-2-2_Download'!B17</f>
        <v>157</v>
      </c>
      <c r="C2869">
        <f>'2020_5-2-2_Download'!$BA$5</f>
        <v>2013</v>
      </c>
      <c r="D2869" t="str">
        <f>VLOOKUP(B2869,[1]Tabelle1!$A$1:$B$68,2,FALSE)</f>
        <v>Peine</v>
      </c>
      <c r="F2869" t="str">
        <f>'2020_5-2-2_Download'!$BD$7</f>
        <v>hoch</v>
      </c>
      <c r="G2869" t="s">
        <v>362</v>
      </c>
      <c r="H2869" t="str">
        <f>VLOOKUP(B2869,[2]Kreise!$A$2:$C$53,3,FALSE)</f>
        <v>K03157</v>
      </c>
      <c r="I2869" s="266">
        <f>'2020_5-2-2_Download'!BD17</f>
        <v>5.5261165783497352</v>
      </c>
    </row>
    <row r="2870" spans="2:9">
      <c r="B2870">
        <f>'2020_5-2-2_Download'!B18</f>
        <v>158</v>
      </c>
      <c r="C2870">
        <f>'2020_5-2-2_Download'!$BA$5</f>
        <v>2013</v>
      </c>
      <c r="D2870" t="str">
        <f>VLOOKUP(B2870,[1]Tabelle1!$A$1:$B$68,2,FALSE)</f>
        <v>Wolfenbüttel</v>
      </c>
      <c r="F2870" t="str">
        <f>'2020_5-2-2_Download'!$BD$7</f>
        <v>hoch</v>
      </c>
      <c r="G2870" t="s">
        <v>362</v>
      </c>
      <c r="H2870" t="str">
        <f>VLOOKUP(B2870,[2]Kreise!$A$2:$C$53,3,FALSE)</f>
        <v>K03158</v>
      </c>
      <c r="I2870" s="266">
        <f>'2020_5-2-2_Download'!BD18</f>
        <v>10.899182561307901</v>
      </c>
    </row>
    <row r="2871" spans="2:9">
      <c r="B2871">
        <f>'2020_5-2-2_Download'!B19</f>
        <v>159</v>
      </c>
      <c r="C2871">
        <f>'2020_5-2-2_Download'!$BA$5</f>
        <v>2013</v>
      </c>
      <c r="D2871" t="str">
        <f>VLOOKUP(B2871,[1]Tabelle1!$A$1:$B$68,2,FALSE)</f>
        <v>Göttingen</v>
      </c>
      <c r="F2871" t="str">
        <f>'2020_5-2-2_Download'!$BD$7</f>
        <v>hoch</v>
      </c>
      <c r="G2871" t="s">
        <v>362</v>
      </c>
      <c r="H2871" t="str">
        <f>VLOOKUP(B2871,[2]Kreise!$A$2:$C$53,3,FALSE)</f>
        <v>K03159</v>
      </c>
      <c r="I2871" s="266">
        <f>'2020_5-2-2_Download'!BD19</f>
        <v>27.098505174396319</v>
      </c>
    </row>
    <row r="2872" spans="2:9">
      <c r="B2872">
        <f>'2020_5-2-2_Download'!B20</f>
        <v>1</v>
      </c>
      <c r="C2872">
        <f>'2020_5-2-2_Download'!$BA$5</f>
        <v>2013</v>
      </c>
      <c r="D2872" t="str">
        <f>VLOOKUP(B2872,[1]Tabelle1!$A$1:$B$68,2,FALSE)</f>
        <v>Stat. Region Braunschweig</v>
      </c>
      <c r="F2872" t="str">
        <f>'2020_5-2-2_Download'!$BD$7</f>
        <v>hoch</v>
      </c>
      <c r="G2872" t="s">
        <v>362</v>
      </c>
      <c r="H2872" t="str">
        <f>VLOOKUP(B2872,[2]Kreise!$A$2:$C$53,3,FALSE)</f>
        <v>K031</v>
      </c>
      <c r="I2872" s="266">
        <f>'2020_5-2-2_Download'!BD20</f>
        <v>16.743734083902961</v>
      </c>
    </row>
    <row r="2873" spans="2:9">
      <c r="B2873">
        <f>'2020_5-2-2_Download'!B21</f>
        <v>241</v>
      </c>
      <c r="C2873">
        <f>'2020_5-2-2_Download'!$BA$5</f>
        <v>2013</v>
      </c>
      <c r="D2873" t="str">
        <f>VLOOKUP(B2873,[1]Tabelle1!$A$1:$B$68,2,FALSE)</f>
        <v>Hannover  Region</v>
      </c>
      <c r="F2873" t="str">
        <f>'2020_5-2-2_Download'!$BD$7</f>
        <v>hoch</v>
      </c>
      <c r="G2873" t="s">
        <v>362</v>
      </c>
      <c r="H2873" t="str">
        <f>VLOOKUP(B2873,[2]Kreise!$A$2:$C$53,3,FALSE)</f>
        <v>K03241</v>
      </c>
      <c r="I2873" s="266">
        <f>'2020_5-2-2_Download'!BD21</f>
        <v>9.6961006011802997</v>
      </c>
    </row>
    <row r="2874" spans="2:9">
      <c r="B2874">
        <f>'2020_5-2-2_Download'!B22</f>
        <v>241001</v>
      </c>
      <c r="C2874">
        <f>'2020_5-2-2_Download'!$BA$5</f>
        <v>2013</v>
      </c>
      <c r="D2874" t="str">
        <f>VLOOKUP(B2874,[1]Tabelle1!$A$1:$B$68,2,FALSE)</f>
        <v>dav. Hannover  Lhst.</v>
      </c>
      <c r="F2874" t="str">
        <f>'2020_5-2-2_Download'!$BD$7</f>
        <v>hoch</v>
      </c>
      <c r="G2874" t="s">
        <v>362</v>
      </c>
      <c r="H2874" t="str">
        <f>VLOOKUP(B2874,[2]Kreise!$A$2:$C$53,3,FALSE)</f>
        <v>K03241001</v>
      </c>
      <c r="I2874" s="266">
        <f>'2020_5-2-2_Download'!BD22</f>
        <v>12.282977032171694</v>
      </c>
    </row>
    <row r="2875" spans="2:9">
      <c r="B2875">
        <f>'2020_5-2-2_Download'!B23</f>
        <v>241999</v>
      </c>
      <c r="C2875">
        <f>'2020_5-2-2_Download'!$BA$5</f>
        <v>2013</v>
      </c>
      <c r="D2875" t="str">
        <f>VLOOKUP(B2875,[1]Tabelle1!$A$1:$B$68,2,FALSE)</f>
        <v>dav. Hannover  Umland</v>
      </c>
      <c r="F2875" t="str">
        <f>'2020_5-2-2_Download'!$BD$7</f>
        <v>hoch</v>
      </c>
      <c r="G2875" t="s">
        <v>362</v>
      </c>
      <c r="H2875" t="str">
        <f>VLOOKUP(B2875,[2]Kreise!$A$2:$C$53,3,FALSE)</f>
        <v>K03241999</v>
      </c>
      <c r="I2875" s="266">
        <f>'2020_5-2-2_Download'!BD23</f>
        <v>4.692936321708876</v>
      </c>
    </row>
    <row r="2876" spans="2:9">
      <c r="B2876">
        <f>'2020_5-2-2_Download'!B24</f>
        <v>251</v>
      </c>
      <c r="C2876">
        <f>'2020_5-2-2_Download'!$BA$5</f>
        <v>2013</v>
      </c>
      <c r="D2876" t="str">
        <f>VLOOKUP(B2876,[1]Tabelle1!$A$1:$B$68,2,FALSE)</f>
        <v>Diepholz</v>
      </c>
      <c r="F2876" t="str">
        <f>'2020_5-2-2_Download'!$BD$7</f>
        <v>hoch</v>
      </c>
      <c r="G2876" t="s">
        <v>362</v>
      </c>
      <c r="H2876" t="str">
        <f>VLOOKUP(B2876,[2]Kreise!$A$2:$C$53,3,FALSE)</f>
        <v>K03251</v>
      </c>
      <c r="I2876" s="266">
        <f>'2020_5-2-2_Download'!BD24</f>
        <v>8.1922016541945641</v>
      </c>
    </row>
    <row r="2877" spans="2:9">
      <c r="B2877">
        <f>'2020_5-2-2_Download'!B25</f>
        <v>252</v>
      </c>
      <c r="C2877">
        <f>'2020_5-2-2_Download'!$BA$5</f>
        <v>2013</v>
      </c>
      <c r="D2877" t="str">
        <f>VLOOKUP(B2877,[1]Tabelle1!$A$1:$B$68,2,FALSE)</f>
        <v>Hameln-Pyrmont</v>
      </c>
      <c r="F2877" t="str">
        <f>'2020_5-2-2_Download'!$BD$7</f>
        <v>hoch</v>
      </c>
      <c r="G2877" t="s">
        <v>362</v>
      </c>
      <c r="H2877" t="str">
        <f>VLOOKUP(B2877,[2]Kreise!$A$2:$C$53,3,FALSE)</f>
        <v>K03252</v>
      </c>
      <c r="I2877" s="266">
        <f>'2020_5-2-2_Download'!BD25</f>
        <v>8.0165289256198342</v>
      </c>
    </row>
    <row r="2878" spans="2:9">
      <c r="B2878">
        <f>'2020_5-2-2_Download'!B26</f>
        <v>254</v>
      </c>
      <c r="C2878">
        <f>'2020_5-2-2_Download'!$BA$5</f>
        <v>2013</v>
      </c>
      <c r="D2878" t="str">
        <f>VLOOKUP(B2878,[1]Tabelle1!$A$1:$B$68,2,FALSE)</f>
        <v>Hildesheim</v>
      </c>
      <c r="F2878" t="str">
        <f>'2020_5-2-2_Download'!$BD$7</f>
        <v>hoch</v>
      </c>
      <c r="G2878" t="s">
        <v>362</v>
      </c>
      <c r="H2878" t="str">
        <f>VLOOKUP(B2878,[2]Kreise!$A$2:$C$53,3,FALSE)</f>
        <v>K03254</v>
      </c>
      <c r="I2878" s="266">
        <f>'2020_5-2-2_Download'!BD26</f>
        <v>11.8282797958571</v>
      </c>
    </row>
    <row r="2879" spans="2:9">
      <c r="B2879">
        <f>'2020_5-2-2_Download'!B27</f>
        <v>255</v>
      </c>
      <c r="C2879">
        <f>'2020_5-2-2_Download'!$BA$5</f>
        <v>2013</v>
      </c>
      <c r="D2879" t="str">
        <f>VLOOKUP(B2879,[1]Tabelle1!$A$1:$B$68,2,FALSE)</f>
        <v>Holzminden</v>
      </c>
      <c r="F2879" t="str">
        <f>'2020_5-2-2_Download'!$BD$7</f>
        <v>hoch</v>
      </c>
      <c r="G2879" t="s">
        <v>362</v>
      </c>
      <c r="H2879" t="str">
        <f>VLOOKUP(B2879,[2]Kreise!$A$2:$C$53,3,FALSE)</f>
        <v>K03255</v>
      </c>
      <c r="I2879" s="266">
        <f>'2020_5-2-2_Download'!BD27</f>
        <v>9.1275167785234892</v>
      </c>
    </row>
    <row r="2880" spans="2:9">
      <c r="B2880">
        <f>'2020_5-2-2_Download'!B28</f>
        <v>256</v>
      </c>
      <c r="C2880">
        <f>'2020_5-2-2_Download'!$BA$5</f>
        <v>2013</v>
      </c>
      <c r="D2880" t="str">
        <f>VLOOKUP(B2880,[1]Tabelle1!$A$1:$B$68,2,FALSE)</f>
        <v>Nienburg (Weser)</v>
      </c>
      <c r="F2880" t="str">
        <f>'2020_5-2-2_Download'!$BD$7</f>
        <v>hoch</v>
      </c>
      <c r="G2880" t="s">
        <v>362</v>
      </c>
      <c r="H2880" t="str">
        <f>VLOOKUP(B2880,[2]Kreise!$A$2:$C$53,3,FALSE)</f>
        <v>K03256</v>
      </c>
      <c r="I2880" s="266">
        <f>'2020_5-2-2_Download'!BD28</f>
        <v>4.8869883934025662</v>
      </c>
    </row>
    <row r="2881" spans="2:9">
      <c r="B2881">
        <f>'2020_5-2-2_Download'!B29</f>
        <v>257</v>
      </c>
      <c r="C2881">
        <f>'2020_5-2-2_Download'!$BA$5</f>
        <v>2013</v>
      </c>
      <c r="D2881" t="str">
        <f>VLOOKUP(B2881,[1]Tabelle1!$A$1:$B$68,2,FALSE)</f>
        <v>Schaumburg</v>
      </c>
      <c r="F2881" t="str">
        <f>'2020_5-2-2_Download'!$BD$7</f>
        <v>hoch</v>
      </c>
      <c r="G2881" t="s">
        <v>362</v>
      </c>
      <c r="H2881" t="str">
        <f>VLOOKUP(B2881,[2]Kreise!$A$2:$C$53,3,FALSE)</f>
        <v>K03257</v>
      </c>
      <c r="I2881" s="266">
        <f>'2020_5-2-2_Download'!BD29</f>
        <v>6.6404051772650536</v>
      </c>
    </row>
    <row r="2882" spans="2:9">
      <c r="B2882">
        <f>'2020_5-2-2_Download'!B30</f>
        <v>2</v>
      </c>
      <c r="C2882">
        <f>'2020_5-2-2_Download'!$BA$5</f>
        <v>2013</v>
      </c>
      <c r="D2882" t="str">
        <f>VLOOKUP(B2882,[1]Tabelle1!$A$1:$B$68,2,FALSE)</f>
        <v>Stat. Region Hannover</v>
      </c>
      <c r="F2882" t="str">
        <f>'2020_5-2-2_Download'!$BD$7</f>
        <v>hoch</v>
      </c>
      <c r="G2882" t="s">
        <v>362</v>
      </c>
      <c r="H2882" t="str">
        <f>VLOOKUP(B2882,[2]Kreise!$A$2:$C$53,3,FALSE)</f>
        <v>K032</v>
      </c>
      <c r="I2882" s="266">
        <f>'2020_5-2-2_Download'!BD30</f>
        <v>9.398287861058078</v>
      </c>
    </row>
    <row r="2883" spans="2:9">
      <c r="B2883">
        <f>'2020_5-2-2_Download'!B31</f>
        <v>351</v>
      </c>
      <c r="C2883">
        <f>'2020_5-2-2_Download'!$BA$5</f>
        <v>2013</v>
      </c>
      <c r="D2883" t="str">
        <f>VLOOKUP(B2883,[1]Tabelle1!$A$1:$B$68,2,FALSE)</f>
        <v>Celle</v>
      </c>
      <c r="F2883" t="str">
        <f>'2020_5-2-2_Download'!$BD$7</f>
        <v>hoch</v>
      </c>
      <c r="G2883" t="s">
        <v>362</v>
      </c>
      <c r="H2883" t="str">
        <f>VLOOKUP(B2883,[2]Kreise!$A$2:$C$53,3,FALSE)</f>
        <v>K03351</v>
      </c>
      <c r="I2883" s="266">
        <f>'2020_5-2-2_Download'!BD31</f>
        <v>13.005911778080945</v>
      </c>
    </row>
    <row r="2884" spans="2:9">
      <c r="B2884">
        <f>'2020_5-2-2_Download'!B32</f>
        <v>352</v>
      </c>
      <c r="C2884">
        <f>'2020_5-2-2_Download'!$BA$5</f>
        <v>2013</v>
      </c>
      <c r="D2884" t="str">
        <f>VLOOKUP(B2884,[1]Tabelle1!$A$1:$B$68,2,FALSE)</f>
        <v>Cuxhaven</v>
      </c>
      <c r="F2884" t="str">
        <f>'2020_5-2-2_Download'!$BD$7</f>
        <v>hoch</v>
      </c>
      <c r="G2884" t="s">
        <v>362</v>
      </c>
      <c r="H2884" t="str">
        <f>VLOOKUP(B2884,[2]Kreise!$A$2:$C$53,3,FALSE)</f>
        <v>K03352</v>
      </c>
      <c r="I2884" s="266">
        <f>'2020_5-2-2_Download'!BD32</f>
        <v>5.1550543697140556</v>
      </c>
    </row>
    <row r="2885" spans="2:9">
      <c r="B2885">
        <f>'2020_5-2-2_Download'!B33</f>
        <v>353</v>
      </c>
      <c r="C2885">
        <f>'2020_5-2-2_Download'!$BA$5</f>
        <v>2013</v>
      </c>
      <c r="D2885" t="str">
        <f>VLOOKUP(B2885,[1]Tabelle1!$A$1:$B$68,2,FALSE)</f>
        <v>Harburg</v>
      </c>
      <c r="F2885" t="str">
        <f>'2020_5-2-2_Download'!$BD$7</f>
        <v>hoch</v>
      </c>
      <c r="G2885" t="s">
        <v>362</v>
      </c>
      <c r="H2885" t="str">
        <f>VLOOKUP(B2885,[2]Kreise!$A$2:$C$53,3,FALSE)</f>
        <v>K03353</v>
      </c>
      <c r="I2885" s="266">
        <f>'2020_5-2-2_Download'!BD33</f>
        <v>3.9869086581374593</v>
      </c>
    </row>
    <row r="2886" spans="2:9">
      <c r="B2886">
        <f>'2020_5-2-2_Download'!B34</f>
        <v>354</v>
      </c>
      <c r="C2886">
        <f>'2020_5-2-2_Download'!$BA$5</f>
        <v>2013</v>
      </c>
      <c r="D2886" t="str">
        <f>VLOOKUP(B2886,[1]Tabelle1!$A$1:$B$68,2,FALSE)</f>
        <v>Lüchow-Dannenberg</v>
      </c>
      <c r="F2886" t="str">
        <f>'2020_5-2-2_Download'!$BD$7</f>
        <v>hoch</v>
      </c>
      <c r="G2886" t="s">
        <v>362</v>
      </c>
      <c r="H2886" t="str">
        <f>VLOOKUP(B2886,[2]Kreise!$A$2:$C$53,3,FALSE)</f>
        <v>K03354</v>
      </c>
      <c r="I2886" s="266">
        <f>'2020_5-2-2_Download'!BD34</f>
        <v>6.2706270627062706</v>
      </c>
    </row>
    <row r="2887" spans="2:9">
      <c r="B2887">
        <f>'2020_5-2-2_Download'!B35</f>
        <v>355</v>
      </c>
      <c r="C2887">
        <f>'2020_5-2-2_Download'!$BA$5</f>
        <v>2013</v>
      </c>
      <c r="D2887" t="str">
        <f>VLOOKUP(B2887,[1]Tabelle1!$A$1:$B$68,2,FALSE)</f>
        <v>Lüneburg</v>
      </c>
      <c r="F2887" t="str">
        <f>'2020_5-2-2_Download'!$BD$7</f>
        <v>hoch</v>
      </c>
      <c r="G2887" t="s">
        <v>362</v>
      </c>
      <c r="H2887" t="str">
        <f>VLOOKUP(B2887,[2]Kreise!$A$2:$C$53,3,FALSE)</f>
        <v>K03355</v>
      </c>
      <c r="I2887" s="266">
        <f>'2020_5-2-2_Download'!BD35</f>
        <v>13.004719454640798</v>
      </c>
    </row>
    <row r="2888" spans="2:9">
      <c r="B2888">
        <f>'2020_5-2-2_Download'!B36</f>
        <v>356</v>
      </c>
      <c r="C2888">
        <f>'2020_5-2-2_Download'!$BA$5</f>
        <v>2013</v>
      </c>
      <c r="D2888" t="str">
        <f>VLOOKUP(B2888,[1]Tabelle1!$A$1:$B$68,2,FALSE)</f>
        <v>Osterholz</v>
      </c>
      <c r="F2888" t="str">
        <f>'2020_5-2-2_Download'!$BD$7</f>
        <v>hoch</v>
      </c>
      <c r="G2888" t="s">
        <v>362</v>
      </c>
      <c r="H2888" t="str">
        <f>VLOOKUP(B2888,[2]Kreise!$A$2:$C$53,3,FALSE)</f>
        <v>K03356</v>
      </c>
      <c r="I2888" s="266">
        <f>'2020_5-2-2_Download'!BD36</f>
        <v>4.5104510451045101</v>
      </c>
    </row>
    <row r="2889" spans="2:9">
      <c r="B2889">
        <f>'2020_5-2-2_Download'!B37</f>
        <v>357</v>
      </c>
      <c r="C2889">
        <f>'2020_5-2-2_Download'!$BA$5</f>
        <v>2013</v>
      </c>
      <c r="D2889" t="str">
        <f>VLOOKUP(B2889,[1]Tabelle1!$A$1:$B$68,2,FALSE)</f>
        <v>Rotenburg (Wümme)</v>
      </c>
      <c r="F2889" t="str">
        <f>'2020_5-2-2_Download'!$BD$7</f>
        <v>hoch</v>
      </c>
      <c r="G2889" t="s">
        <v>362</v>
      </c>
      <c r="H2889" t="str">
        <f>VLOOKUP(B2889,[2]Kreise!$A$2:$C$53,3,FALSE)</f>
        <v>K03357</v>
      </c>
      <c r="I2889" s="266">
        <f>'2020_5-2-2_Download'!BD37</f>
        <v>9.1894977168949765</v>
      </c>
    </row>
    <row r="2890" spans="2:9">
      <c r="B2890">
        <f>'2020_5-2-2_Download'!B38</f>
        <v>358</v>
      </c>
      <c r="C2890">
        <f>'2020_5-2-2_Download'!$BA$5</f>
        <v>2013</v>
      </c>
      <c r="D2890" t="str">
        <f>VLOOKUP(B2890,[1]Tabelle1!$A$1:$B$68,2,FALSE)</f>
        <v>Heidekreis</v>
      </c>
      <c r="F2890" t="str">
        <f>'2020_5-2-2_Download'!$BD$7</f>
        <v>hoch</v>
      </c>
      <c r="G2890" t="s">
        <v>362</v>
      </c>
      <c r="H2890" t="str">
        <f>VLOOKUP(B2890,[2]Kreise!$A$2:$C$53,3,FALSE)</f>
        <v>K03358</v>
      </c>
      <c r="I2890" s="266">
        <f>'2020_5-2-2_Download'!BD38</f>
        <v>5.3681710213776723</v>
      </c>
    </row>
    <row r="2891" spans="2:9">
      <c r="B2891">
        <f>'2020_5-2-2_Download'!B39</f>
        <v>359</v>
      </c>
      <c r="C2891">
        <f>'2020_5-2-2_Download'!$BA$5</f>
        <v>2013</v>
      </c>
      <c r="D2891" t="str">
        <f>VLOOKUP(B2891,[1]Tabelle1!$A$1:$B$68,2,FALSE)</f>
        <v>Stade</v>
      </c>
      <c r="F2891" t="str">
        <f>'2020_5-2-2_Download'!$BD$7</f>
        <v>hoch</v>
      </c>
      <c r="G2891" t="s">
        <v>362</v>
      </c>
      <c r="H2891" t="str">
        <f>VLOOKUP(B2891,[2]Kreise!$A$2:$C$53,3,FALSE)</f>
        <v>K03359</v>
      </c>
      <c r="I2891" s="266">
        <f>'2020_5-2-2_Download'!BD39</f>
        <v>6.1311311311311307</v>
      </c>
    </row>
    <row r="2892" spans="2:9">
      <c r="B2892">
        <f>'2020_5-2-2_Download'!B40</f>
        <v>360</v>
      </c>
      <c r="C2892">
        <f>'2020_5-2-2_Download'!$BA$5</f>
        <v>2013</v>
      </c>
      <c r="D2892" t="str">
        <f>VLOOKUP(B2892,[1]Tabelle1!$A$1:$B$68,2,FALSE)</f>
        <v>Uelzen</v>
      </c>
      <c r="F2892" t="str">
        <f>'2020_5-2-2_Download'!$BD$7</f>
        <v>hoch</v>
      </c>
      <c r="G2892" t="s">
        <v>362</v>
      </c>
      <c r="H2892" t="str">
        <f>VLOOKUP(B2892,[2]Kreise!$A$2:$C$53,3,FALSE)</f>
        <v>K03360</v>
      </c>
      <c r="I2892" s="266">
        <f>'2020_5-2-2_Download'!BD40</f>
        <v>12.5</v>
      </c>
    </row>
    <row r="2893" spans="2:9">
      <c r="B2893">
        <f>'2020_5-2-2_Download'!B41</f>
        <v>361</v>
      </c>
      <c r="C2893">
        <f>'2020_5-2-2_Download'!$BA$5</f>
        <v>2013</v>
      </c>
      <c r="D2893" t="str">
        <f>VLOOKUP(B2893,[1]Tabelle1!$A$1:$B$68,2,FALSE)</f>
        <v>Verden</v>
      </c>
      <c r="F2893" t="str">
        <f>'2020_5-2-2_Download'!$BD$7</f>
        <v>hoch</v>
      </c>
      <c r="G2893" t="s">
        <v>362</v>
      </c>
      <c r="H2893" t="str">
        <f>VLOOKUP(B2893,[2]Kreise!$A$2:$C$53,3,FALSE)</f>
        <v>K03361</v>
      </c>
      <c r="I2893" s="266">
        <f>'2020_5-2-2_Download'!BD41</f>
        <v>10.45109423849933</v>
      </c>
    </row>
    <row r="2894" spans="2:9">
      <c r="B2894">
        <f>'2020_5-2-2_Download'!B42</f>
        <v>3</v>
      </c>
      <c r="C2894">
        <f>'2020_5-2-2_Download'!$BA$5</f>
        <v>2013</v>
      </c>
      <c r="D2894" t="str">
        <f>VLOOKUP(B2894,[1]Tabelle1!$A$1:$B$68,2,FALSE)</f>
        <v>Stat. Region Lüneburg</v>
      </c>
      <c r="F2894" t="str">
        <f>'2020_5-2-2_Download'!$BD$7</f>
        <v>hoch</v>
      </c>
      <c r="G2894" t="s">
        <v>362</v>
      </c>
      <c r="H2894" t="str">
        <f>VLOOKUP(B2894,[2]Kreise!$A$2:$C$53,3,FALSE)</f>
        <v>K033</v>
      </c>
      <c r="I2894" s="266">
        <f>'2020_5-2-2_Download'!BD42</f>
        <v>7.7387985094974105</v>
      </c>
    </row>
    <row r="2895" spans="2:9">
      <c r="B2895">
        <f>'2020_5-2-2_Download'!B43</f>
        <v>401</v>
      </c>
      <c r="C2895">
        <f>'2020_5-2-2_Download'!$BA$5</f>
        <v>2013</v>
      </c>
      <c r="D2895" t="str">
        <f>VLOOKUP(B2895,[1]Tabelle1!$A$1:$B$68,2,FALSE)</f>
        <v>Delmenhorst  Stadt</v>
      </c>
      <c r="F2895" t="str">
        <f>'2020_5-2-2_Download'!$BD$7</f>
        <v>hoch</v>
      </c>
      <c r="G2895" t="s">
        <v>362</v>
      </c>
      <c r="H2895" t="str">
        <f>VLOOKUP(B2895,[2]Kreise!$A$2:$C$53,3,FALSE)</f>
        <v>K03401</v>
      </c>
      <c r="I2895" s="266">
        <f>'2020_5-2-2_Download'!BD43</f>
        <v>4.1545893719806761</v>
      </c>
    </row>
    <row r="2896" spans="2:9">
      <c r="B2896">
        <f>'2020_5-2-2_Download'!B44</f>
        <v>402</v>
      </c>
      <c r="C2896">
        <f>'2020_5-2-2_Download'!$BA$5</f>
        <v>2013</v>
      </c>
      <c r="D2896" t="str">
        <f>VLOOKUP(B2896,[1]Tabelle1!$A$1:$B$68,2,FALSE)</f>
        <v>Emden  Stadt</v>
      </c>
      <c r="F2896" t="str">
        <f>'2020_5-2-2_Download'!$BD$7</f>
        <v>hoch</v>
      </c>
      <c r="G2896" t="s">
        <v>362</v>
      </c>
      <c r="H2896" t="str">
        <f>VLOOKUP(B2896,[2]Kreise!$A$2:$C$53,3,FALSE)</f>
        <v>K03402</v>
      </c>
      <c r="I2896" s="266">
        <f>'2020_5-2-2_Download'!BD44</f>
        <v>8.1521739130434785</v>
      </c>
    </row>
    <row r="2897" spans="2:9">
      <c r="B2897">
        <f>'2020_5-2-2_Download'!B45</f>
        <v>403</v>
      </c>
      <c r="C2897">
        <f>'2020_5-2-2_Download'!$BA$5</f>
        <v>2013</v>
      </c>
      <c r="D2897" t="str">
        <f>VLOOKUP(B2897,[1]Tabelle1!$A$1:$B$68,2,FALSE)</f>
        <v>Oldenburg(Oldb)  Stadt</v>
      </c>
      <c r="F2897" t="str">
        <f>'2020_5-2-2_Download'!$BD$7</f>
        <v>hoch</v>
      </c>
      <c r="G2897" t="s">
        <v>362</v>
      </c>
      <c r="H2897" t="str">
        <f>VLOOKUP(B2897,[2]Kreise!$A$2:$C$53,3,FALSE)</f>
        <v>K03403</v>
      </c>
      <c r="I2897" s="266">
        <f>'2020_5-2-2_Download'!BD45</f>
        <v>15.543859649122806</v>
      </c>
    </row>
    <row r="2898" spans="2:9">
      <c r="B2898">
        <f>'2020_5-2-2_Download'!B46</f>
        <v>404</v>
      </c>
      <c r="C2898">
        <f>'2020_5-2-2_Download'!$BA$5</f>
        <v>2013</v>
      </c>
      <c r="D2898" t="str">
        <f>VLOOKUP(B2898,[1]Tabelle1!$A$1:$B$68,2,FALSE)</f>
        <v>Osnabrück  Stadt</v>
      </c>
      <c r="F2898" t="str">
        <f>'2020_5-2-2_Download'!$BD$7</f>
        <v>hoch</v>
      </c>
      <c r="G2898" t="s">
        <v>362</v>
      </c>
      <c r="H2898" t="str">
        <f>VLOOKUP(B2898,[2]Kreise!$A$2:$C$53,3,FALSE)</f>
        <v>K03404</v>
      </c>
      <c r="I2898" s="266">
        <f>'2020_5-2-2_Download'!BD46</f>
        <v>9.0728213290887378</v>
      </c>
    </row>
    <row r="2899" spans="2:9">
      <c r="B2899">
        <f>'2020_5-2-2_Download'!B47</f>
        <v>405</v>
      </c>
      <c r="C2899">
        <f>'2020_5-2-2_Download'!$BA$5</f>
        <v>2013</v>
      </c>
      <c r="D2899" t="str">
        <f>VLOOKUP(B2899,[1]Tabelle1!$A$1:$B$68,2,FALSE)</f>
        <v>Wilhelmshaven  Stadt</v>
      </c>
      <c r="F2899" t="str">
        <f>'2020_5-2-2_Download'!$BD$7</f>
        <v>hoch</v>
      </c>
      <c r="G2899" t="s">
        <v>362</v>
      </c>
      <c r="H2899" t="str">
        <f>VLOOKUP(B2899,[2]Kreise!$A$2:$C$53,3,FALSE)</f>
        <v>K03405</v>
      </c>
      <c r="I2899" s="266">
        <f>'2020_5-2-2_Download'!BD47</f>
        <v>11.495844875346259</v>
      </c>
    </row>
    <row r="2900" spans="2:9">
      <c r="B2900">
        <f>'2020_5-2-2_Download'!B48</f>
        <v>451</v>
      </c>
      <c r="C2900">
        <f>'2020_5-2-2_Download'!$BA$5</f>
        <v>2013</v>
      </c>
      <c r="D2900" t="str">
        <f>VLOOKUP(B2900,[1]Tabelle1!$A$1:$B$68,2,FALSE)</f>
        <v>Ammerland</v>
      </c>
      <c r="F2900" t="str">
        <f>'2020_5-2-2_Download'!$BD$7</f>
        <v>hoch</v>
      </c>
      <c r="G2900" t="s">
        <v>362</v>
      </c>
      <c r="H2900" t="str">
        <f>VLOOKUP(B2900,[2]Kreise!$A$2:$C$53,3,FALSE)</f>
        <v>K03451</v>
      </c>
      <c r="I2900" s="266">
        <f>'2020_5-2-2_Download'!BD48</f>
        <v>4.9556598852373499</v>
      </c>
    </row>
    <row r="2901" spans="2:9">
      <c r="B2901">
        <f>'2020_5-2-2_Download'!B49</f>
        <v>452</v>
      </c>
      <c r="C2901">
        <f>'2020_5-2-2_Download'!$BA$5</f>
        <v>2013</v>
      </c>
      <c r="D2901" t="str">
        <f>VLOOKUP(B2901,[1]Tabelle1!$A$1:$B$68,2,FALSE)</f>
        <v>Aurich</v>
      </c>
      <c r="F2901" t="str">
        <f>'2020_5-2-2_Download'!$BD$7</f>
        <v>hoch</v>
      </c>
      <c r="G2901" t="s">
        <v>362</v>
      </c>
      <c r="H2901" t="str">
        <f>VLOOKUP(B2901,[2]Kreise!$A$2:$C$53,3,FALSE)</f>
        <v>K03452</v>
      </c>
      <c r="I2901" s="266">
        <f>'2020_5-2-2_Download'!BD49</f>
        <v>6.8677494199535962</v>
      </c>
    </row>
    <row r="2902" spans="2:9">
      <c r="B2902">
        <f>'2020_5-2-2_Download'!B50</f>
        <v>453</v>
      </c>
      <c r="C2902">
        <f>'2020_5-2-2_Download'!$BA$5</f>
        <v>2013</v>
      </c>
      <c r="D2902" t="str">
        <f>VLOOKUP(B2902,[1]Tabelle1!$A$1:$B$68,2,FALSE)</f>
        <v>Cloppenburg</v>
      </c>
      <c r="F2902" t="str">
        <f>'2020_5-2-2_Download'!$BD$7</f>
        <v>hoch</v>
      </c>
      <c r="G2902" t="s">
        <v>362</v>
      </c>
      <c r="H2902" t="str">
        <f>VLOOKUP(B2902,[2]Kreise!$A$2:$C$53,3,FALSE)</f>
        <v>K03453</v>
      </c>
      <c r="I2902" s="266">
        <f>'2020_5-2-2_Download'!BD50</f>
        <v>2.2796352583586628</v>
      </c>
    </row>
    <row r="2903" spans="2:9">
      <c r="B2903">
        <f>'2020_5-2-2_Download'!B51</f>
        <v>454</v>
      </c>
      <c r="C2903">
        <f>'2020_5-2-2_Download'!$BA$5</f>
        <v>2013</v>
      </c>
      <c r="D2903" t="str">
        <f>VLOOKUP(B2903,[1]Tabelle1!$A$1:$B$68,2,FALSE)</f>
        <v>Emsland</v>
      </c>
      <c r="F2903" t="str">
        <f>'2020_5-2-2_Download'!$BD$7</f>
        <v>hoch</v>
      </c>
      <c r="G2903" t="s">
        <v>362</v>
      </c>
      <c r="H2903" t="str">
        <f>VLOOKUP(B2903,[2]Kreise!$A$2:$C$53,3,FALSE)</f>
        <v>K03454</v>
      </c>
      <c r="I2903" s="266">
        <f>'2020_5-2-2_Download'!BD51</f>
        <v>7.9510068507369729</v>
      </c>
    </row>
    <row r="2904" spans="2:9">
      <c r="B2904">
        <f>'2020_5-2-2_Download'!B52</f>
        <v>455</v>
      </c>
      <c r="C2904">
        <f>'2020_5-2-2_Download'!$BA$5</f>
        <v>2013</v>
      </c>
      <c r="D2904" t="str">
        <f>VLOOKUP(B2904,[1]Tabelle1!$A$1:$B$68,2,FALSE)</f>
        <v>Friesland</v>
      </c>
      <c r="F2904" t="str">
        <f>'2020_5-2-2_Download'!$BD$7</f>
        <v>hoch</v>
      </c>
      <c r="G2904" t="s">
        <v>362</v>
      </c>
      <c r="H2904" t="str">
        <f>VLOOKUP(B2904,[2]Kreise!$A$2:$C$53,3,FALSE)</f>
        <v>K03455</v>
      </c>
      <c r="I2904" s="266">
        <f>'2020_5-2-2_Download'!BD52</f>
        <v>8.0054274084124835</v>
      </c>
    </row>
    <row r="2905" spans="2:9">
      <c r="B2905">
        <f>'2020_5-2-2_Download'!B53</f>
        <v>456</v>
      </c>
      <c r="C2905">
        <f>'2020_5-2-2_Download'!$BA$5</f>
        <v>2013</v>
      </c>
      <c r="D2905" t="str">
        <f>VLOOKUP(B2905,[1]Tabelle1!$A$1:$B$68,2,FALSE)</f>
        <v>Grafschaft Bentheim</v>
      </c>
      <c r="F2905" t="str">
        <f>'2020_5-2-2_Download'!$BD$7</f>
        <v>hoch</v>
      </c>
      <c r="G2905" t="s">
        <v>362</v>
      </c>
      <c r="H2905" t="str">
        <f>VLOOKUP(B2905,[2]Kreise!$A$2:$C$53,3,FALSE)</f>
        <v>K03456</v>
      </c>
      <c r="I2905" s="266">
        <f>'2020_5-2-2_Download'!BD53</f>
        <v>5.353728489483748</v>
      </c>
    </row>
    <row r="2906" spans="2:9">
      <c r="B2906">
        <f>'2020_5-2-2_Download'!B54</f>
        <v>457</v>
      </c>
      <c r="C2906">
        <f>'2020_5-2-2_Download'!$BA$5</f>
        <v>2013</v>
      </c>
      <c r="D2906" t="str">
        <f>VLOOKUP(B2906,[1]Tabelle1!$A$1:$B$68,2,FALSE)</f>
        <v>Leer</v>
      </c>
      <c r="F2906" t="str">
        <f>'2020_5-2-2_Download'!$BD$7</f>
        <v>hoch</v>
      </c>
      <c r="G2906" t="s">
        <v>362</v>
      </c>
      <c r="H2906" t="str">
        <f>VLOOKUP(B2906,[2]Kreise!$A$2:$C$53,3,FALSE)</f>
        <v>K03457</v>
      </c>
      <c r="I2906" s="266">
        <f>'2020_5-2-2_Download'!BD54</f>
        <v>7.815964523281596</v>
      </c>
    </row>
    <row r="2907" spans="2:9">
      <c r="B2907">
        <f>'2020_5-2-2_Download'!B55</f>
        <v>458</v>
      </c>
      <c r="C2907">
        <f>'2020_5-2-2_Download'!$BA$5</f>
        <v>2013</v>
      </c>
      <c r="D2907" t="str">
        <f>VLOOKUP(B2907,[1]Tabelle1!$A$1:$B$68,2,FALSE)</f>
        <v>Oldenburg</v>
      </c>
      <c r="F2907" t="str">
        <f>'2020_5-2-2_Download'!$BD$7</f>
        <v>hoch</v>
      </c>
      <c r="G2907" t="s">
        <v>362</v>
      </c>
      <c r="H2907" t="str">
        <f>VLOOKUP(B2907,[2]Kreise!$A$2:$C$53,3,FALSE)</f>
        <v>K03458</v>
      </c>
      <c r="I2907" s="266">
        <f>'2020_5-2-2_Download'!BD55</f>
        <v>3.7059538274605104</v>
      </c>
    </row>
    <row r="2908" spans="2:9">
      <c r="B2908">
        <f>'2020_5-2-2_Download'!B56</f>
        <v>459</v>
      </c>
      <c r="C2908">
        <f>'2020_5-2-2_Download'!$BA$5</f>
        <v>2013</v>
      </c>
      <c r="D2908" t="str">
        <f>VLOOKUP(B2908,[1]Tabelle1!$A$1:$B$68,2,FALSE)</f>
        <v>Osnabrück</v>
      </c>
      <c r="F2908" t="str">
        <f>'2020_5-2-2_Download'!$BD$7</f>
        <v>hoch</v>
      </c>
      <c r="G2908" t="s">
        <v>362</v>
      </c>
      <c r="H2908" t="str">
        <f>VLOOKUP(B2908,[2]Kreise!$A$2:$C$53,3,FALSE)</f>
        <v>K03459</v>
      </c>
      <c r="I2908" s="266">
        <f>'2020_5-2-2_Download'!BD56</f>
        <v>3.7066560382622558</v>
      </c>
    </row>
    <row r="2909" spans="2:9">
      <c r="B2909">
        <f>'2020_5-2-2_Download'!B57</f>
        <v>460</v>
      </c>
      <c r="C2909">
        <f>'2020_5-2-2_Download'!$BA$5</f>
        <v>2013</v>
      </c>
      <c r="D2909" t="str">
        <f>VLOOKUP(B2909,[1]Tabelle1!$A$1:$B$68,2,FALSE)</f>
        <v>Vechta</v>
      </c>
      <c r="F2909" t="str">
        <f>'2020_5-2-2_Download'!$BD$7</f>
        <v>hoch</v>
      </c>
      <c r="G2909" t="s">
        <v>362</v>
      </c>
      <c r="H2909" t="str">
        <f>VLOOKUP(B2909,[2]Kreise!$A$2:$C$53,3,FALSE)</f>
        <v>K03460</v>
      </c>
      <c r="I2909" s="266">
        <f>'2020_5-2-2_Download'!BD57</f>
        <v>3.4937376400791038</v>
      </c>
    </row>
    <row r="2910" spans="2:9">
      <c r="B2910">
        <f>'2020_5-2-2_Download'!B58</f>
        <v>461</v>
      </c>
      <c r="C2910">
        <f>'2020_5-2-2_Download'!$BA$5</f>
        <v>2013</v>
      </c>
      <c r="D2910" t="str">
        <f>VLOOKUP(B2910,[1]Tabelle1!$A$1:$B$68,2,FALSE)</f>
        <v>Wesermarsch</v>
      </c>
      <c r="F2910" t="str">
        <f>'2020_5-2-2_Download'!$BD$7</f>
        <v>hoch</v>
      </c>
      <c r="G2910" t="s">
        <v>362</v>
      </c>
      <c r="H2910" t="str">
        <f>VLOOKUP(B2910,[2]Kreise!$A$2:$C$53,3,FALSE)</f>
        <v>K03461</v>
      </c>
      <c r="I2910" s="266">
        <f>'2020_5-2-2_Download'!BD58</f>
        <v>4.435483870967742</v>
      </c>
    </row>
    <row r="2911" spans="2:9">
      <c r="B2911">
        <f>'2020_5-2-2_Download'!B59</f>
        <v>462</v>
      </c>
      <c r="C2911">
        <f>'2020_5-2-2_Download'!$BA$5</f>
        <v>2013</v>
      </c>
      <c r="D2911" t="str">
        <f>VLOOKUP(B2911,[1]Tabelle1!$A$1:$B$68,2,FALSE)</f>
        <v>Wittmund</v>
      </c>
      <c r="F2911" t="str">
        <f>'2020_5-2-2_Download'!$BD$7</f>
        <v>hoch</v>
      </c>
      <c r="G2911" t="s">
        <v>362</v>
      </c>
      <c r="H2911" t="str">
        <f>VLOOKUP(B2911,[2]Kreise!$A$2:$C$53,3,FALSE)</f>
        <v>K03462</v>
      </c>
      <c r="I2911" s="266">
        <f>'2020_5-2-2_Download'!BD59</f>
        <v>4.435483870967742</v>
      </c>
    </row>
    <row r="2912" spans="2:9">
      <c r="B2912">
        <f>'2020_5-2-2_Download'!B60</f>
        <v>4</v>
      </c>
      <c r="C2912">
        <f>'2020_5-2-2_Download'!$BA$5</f>
        <v>2013</v>
      </c>
      <c r="D2912" t="str">
        <f>VLOOKUP(B2912,[1]Tabelle1!$A$1:$B$68,2,FALSE)</f>
        <v>Stat. Region Weser-Ems</v>
      </c>
      <c r="F2912" t="str">
        <f>'2020_5-2-2_Download'!$BD$7</f>
        <v>hoch</v>
      </c>
      <c r="G2912" t="s">
        <v>362</v>
      </c>
      <c r="H2912" t="str">
        <f>VLOOKUP(B2912,[2]Kreise!$A$2:$C$53,3,FALSE)</f>
        <v>K034</v>
      </c>
      <c r="I2912" s="266">
        <f>'2020_5-2-2_Download'!BD60</f>
        <v>6.1172398875189273</v>
      </c>
    </row>
    <row r="2913" spans="2:9">
      <c r="B2913">
        <f>'2020_5-2-2_Download'!B61</f>
        <v>0</v>
      </c>
      <c r="C2913">
        <f>'2020_5-2-2_Download'!$BA$5</f>
        <v>2013</v>
      </c>
      <c r="D2913" t="str">
        <f>VLOOKUP(B2913,[1]Tabelle1!$A$1:$B$68,2,FALSE)</f>
        <v>Niedersachsen</v>
      </c>
      <c r="F2913" t="str">
        <f>'2020_5-2-2_Download'!$BD$7</f>
        <v>hoch</v>
      </c>
      <c r="G2913" t="s">
        <v>362</v>
      </c>
      <c r="H2913" t="str">
        <f>VLOOKUP(B2913,[2]Kreise!$A$2:$C$53,3,FALSE)</f>
        <v>K030</v>
      </c>
      <c r="I2913" s="266">
        <f>'2020_5-2-2_Download'!BD61</f>
        <v>9.6095809688604881</v>
      </c>
    </row>
    <row r="2914" spans="2:9">
      <c r="B2914">
        <f>'2020_5-2-2_Download'!B10</f>
        <v>101</v>
      </c>
      <c r="C2914">
        <f>'2020_5-2-2_Download'!$BA$5</f>
        <v>2013</v>
      </c>
      <c r="D2914" t="str">
        <f>VLOOKUP(B2914,[1]Tabelle1!$A$1:$B$68,2,FALSE)</f>
        <v>Braunschweig  Stadt</v>
      </c>
      <c r="F2914" t="str">
        <f>'2020_5-2-2_Download'!$BE$7</f>
        <v>mittel</v>
      </c>
      <c r="G2914" t="s">
        <v>362</v>
      </c>
      <c r="H2914" t="str">
        <f>VLOOKUP(B2914,[2]Kreise!$A$2:$C$53,3,FALSE)</f>
        <v>K03101</v>
      </c>
      <c r="I2914" s="266">
        <f>'2020_5-2-2_Download'!BE10</f>
        <v>26.645819618169845</v>
      </c>
    </row>
    <row r="2915" spans="2:9">
      <c r="B2915">
        <f>'2020_5-2-2_Download'!B11</f>
        <v>102</v>
      </c>
      <c r="C2915">
        <f>'2020_5-2-2_Download'!$BA$5</f>
        <v>2013</v>
      </c>
      <c r="D2915" t="str">
        <f>VLOOKUP(B2915,[1]Tabelle1!$A$1:$B$68,2,FALSE)</f>
        <v>Salzgitter  Stadt</v>
      </c>
      <c r="F2915" t="str">
        <f>'2020_5-2-2_Download'!$BE$7</f>
        <v>mittel</v>
      </c>
      <c r="G2915" t="s">
        <v>362</v>
      </c>
      <c r="H2915" t="str">
        <f>VLOOKUP(B2915,[2]Kreise!$A$2:$C$53,3,FALSE)</f>
        <v>K03102</v>
      </c>
      <c r="I2915" s="266">
        <f>'2020_5-2-2_Download'!BE11</f>
        <v>38.819776714513551</v>
      </c>
    </row>
    <row r="2916" spans="2:9">
      <c r="B2916">
        <f>'2020_5-2-2_Download'!B12</f>
        <v>103</v>
      </c>
      <c r="C2916">
        <f>'2020_5-2-2_Download'!$BA$5</f>
        <v>2013</v>
      </c>
      <c r="D2916" t="str">
        <f>VLOOKUP(B2916,[1]Tabelle1!$A$1:$B$68,2,FALSE)</f>
        <v>Wolfsburg  Stadt</v>
      </c>
      <c r="F2916" t="str">
        <f>'2020_5-2-2_Download'!$BE$7</f>
        <v>mittel</v>
      </c>
      <c r="G2916" t="s">
        <v>362</v>
      </c>
      <c r="H2916" t="str">
        <f>VLOOKUP(B2916,[2]Kreise!$A$2:$C$53,3,FALSE)</f>
        <v>K03103</v>
      </c>
      <c r="I2916" s="266">
        <f>'2020_5-2-2_Download'!BE12</f>
        <v>32.8164016296491</v>
      </c>
    </row>
    <row r="2917" spans="2:9">
      <c r="B2917">
        <f>'2020_5-2-2_Download'!B13</f>
        <v>151</v>
      </c>
      <c r="C2917">
        <f>'2020_5-2-2_Download'!$BA$5</f>
        <v>2013</v>
      </c>
      <c r="D2917" t="str">
        <f>VLOOKUP(B2917,[1]Tabelle1!$A$1:$B$68,2,FALSE)</f>
        <v>Gifhorn</v>
      </c>
      <c r="F2917" t="str">
        <f>'2020_5-2-2_Download'!$BE$7</f>
        <v>mittel</v>
      </c>
      <c r="G2917" t="s">
        <v>362</v>
      </c>
      <c r="H2917" t="str">
        <f>VLOOKUP(B2917,[2]Kreise!$A$2:$C$53,3,FALSE)</f>
        <v>K03151</v>
      </c>
      <c r="I2917" s="266">
        <f>'2020_5-2-2_Download'!BE13</f>
        <v>23.646723646723647</v>
      </c>
    </row>
    <row r="2918" spans="2:9">
      <c r="B2918">
        <f>'2020_5-2-2_Download'!B14</f>
        <v>153</v>
      </c>
      <c r="C2918">
        <f>'2020_5-2-2_Download'!$BA$5</f>
        <v>2013</v>
      </c>
      <c r="D2918" t="str">
        <f>VLOOKUP(B2918,[1]Tabelle1!$A$1:$B$68,2,FALSE)</f>
        <v>Goslar</v>
      </c>
      <c r="F2918" t="str">
        <f>'2020_5-2-2_Download'!$BE$7</f>
        <v>mittel</v>
      </c>
      <c r="G2918" t="s">
        <v>362</v>
      </c>
      <c r="H2918" t="str">
        <f>VLOOKUP(B2918,[2]Kreise!$A$2:$C$53,3,FALSE)</f>
        <v>K03153</v>
      </c>
      <c r="I2918" s="266">
        <f>'2020_5-2-2_Download'!BE14</f>
        <v>26.642771804062125</v>
      </c>
    </row>
    <row r="2919" spans="2:9">
      <c r="B2919">
        <f>'2020_5-2-2_Download'!B15</f>
        <v>154</v>
      </c>
      <c r="C2919">
        <f>'2020_5-2-2_Download'!$BA$5</f>
        <v>2013</v>
      </c>
      <c r="D2919" t="str">
        <f>VLOOKUP(B2919,[1]Tabelle1!$A$1:$B$68,2,FALSE)</f>
        <v>Helmstedt</v>
      </c>
      <c r="F2919" t="str">
        <f>'2020_5-2-2_Download'!$BE$7</f>
        <v>mittel</v>
      </c>
      <c r="G2919" t="s">
        <v>362</v>
      </c>
      <c r="H2919" t="str">
        <f>VLOOKUP(B2919,[2]Kreise!$A$2:$C$53,3,FALSE)</f>
        <v>K03154</v>
      </c>
      <c r="I2919" s="266">
        <f>'2020_5-2-2_Download'!BE15</f>
        <v>29.982964224872234</v>
      </c>
    </row>
    <row r="2920" spans="2:9">
      <c r="B2920">
        <f>'2020_5-2-2_Download'!B16</f>
        <v>155</v>
      </c>
      <c r="C2920">
        <f>'2020_5-2-2_Download'!$BA$5</f>
        <v>2013</v>
      </c>
      <c r="D2920" t="str">
        <f>VLOOKUP(B2920,[1]Tabelle1!$A$1:$B$68,2,FALSE)</f>
        <v>Northeim</v>
      </c>
      <c r="F2920" t="str">
        <f>'2020_5-2-2_Download'!$BE$7</f>
        <v>mittel</v>
      </c>
      <c r="G2920" t="s">
        <v>362</v>
      </c>
      <c r="H2920" t="str">
        <f>VLOOKUP(B2920,[2]Kreise!$A$2:$C$53,3,FALSE)</f>
        <v>K03155</v>
      </c>
      <c r="I2920" s="266">
        <f>'2020_5-2-2_Download'!BE16</f>
        <v>44.350453172205441</v>
      </c>
    </row>
    <row r="2921" spans="2:9">
      <c r="B2921">
        <f>'2020_5-2-2_Download'!B17</f>
        <v>157</v>
      </c>
      <c r="C2921">
        <f>'2020_5-2-2_Download'!$BA$5</f>
        <v>2013</v>
      </c>
      <c r="D2921" t="str">
        <f>VLOOKUP(B2921,[1]Tabelle1!$A$1:$B$68,2,FALSE)</f>
        <v>Peine</v>
      </c>
      <c r="F2921" t="str">
        <f>'2020_5-2-2_Download'!$BE$7</f>
        <v>mittel</v>
      </c>
      <c r="G2921" t="s">
        <v>362</v>
      </c>
      <c r="H2921" t="str">
        <f>VLOOKUP(B2921,[2]Kreise!$A$2:$C$53,3,FALSE)</f>
        <v>K03157</v>
      </c>
      <c r="I2921" s="266">
        <f>'2020_5-2-2_Download'!BE17</f>
        <v>31.94549583648751</v>
      </c>
    </row>
    <row r="2922" spans="2:9">
      <c r="B2922">
        <f>'2020_5-2-2_Download'!B18</f>
        <v>158</v>
      </c>
      <c r="C2922">
        <f>'2020_5-2-2_Download'!$BA$5</f>
        <v>2013</v>
      </c>
      <c r="D2922" t="str">
        <f>VLOOKUP(B2922,[1]Tabelle1!$A$1:$B$68,2,FALSE)</f>
        <v>Wolfenbüttel</v>
      </c>
      <c r="F2922" t="str">
        <f>'2020_5-2-2_Download'!$BE$7</f>
        <v>mittel</v>
      </c>
      <c r="G2922" t="s">
        <v>362</v>
      </c>
      <c r="H2922" t="str">
        <f>VLOOKUP(B2922,[2]Kreise!$A$2:$C$53,3,FALSE)</f>
        <v>K03158</v>
      </c>
      <c r="I2922" s="266">
        <f>'2020_5-2-2_Download'!BE18</f>
        <v>35.422343324250683</v>
      </c>
    </row>
    <row r="2923" spans="2:9">
      <c r="B2923">
        <f>'2020_5-2-2_Download'!B19</f>
        <v>159</v>
      </c>
      <c r="C2923">
        <f>'2020_5-2-2_Download'!$BA$5</f>
        <v>2013</v>
      </c>
      <c r="D2923" t="str">
        <f>VLOOKUP(B2923,[1]Tabelle1!$A$1:$B$68,2,FALSE)</f>
        <v>Göttingen</v>
      </c>
      <c r="F2923" t="str">
        <f>'2020_5-2-2_Download'!$BE$7</f>
        <v>mittel</v>
      </c>
      <c r="G2923" t="s">
        <v>362</v>
      </c>
      <c r="H2923" t="str">
        <f>VLOOKUP(B2923,[2]Kreise!$A$2:$C$53,3,FALSE)</f>
        <v>K03159</v>
      </c>
      <c r="I2923" s="266">
        <f>'2020_5-2-2_Download'!BE19</f>
        <v>29.781525488692985</v>
      </c>
    </row>
    <row r="2924" spans="2:9">
      <c r="B2924">
        <f>'2020_5-2-2_Download'!B20</f>
        <v>1</v>
      </c>
      <c r="C2924">
        <f>'2020_5-2-2_Download'!$BA$5</f>
        <v>2013</v>
      </c>
      <c r="D2924" t="str">
        <f>VLOOKUP(B2924,[1]Tabelle1!$A$1:$B$68,2,FALSE)</f>
        <v>Stat. Region Braunschweig</v>
      </c>
      <c r="F2924" t="str">
        <f>'2020_5-2-2_Download'!$BE$7</f>
        <v>mittel</v>
      </c>
      <c r="G2924" t="s">
        <v>362</v>
      </c>
      <c r="H2924" t="str">
        <f>VLOOKUP(B2924,[2]Kreise!$A$2:$C$53,3,FALSE)</f>
        <v>K031</v>
      </c>
      <c r="I2924" s="266">
        <f>'2020_5-2-2_Download'!BE20</f>
        <v>30.907385069025601</v>
      </c>
    </row>
    <row r="2925" spans="2:9">
      <c r="B2925">
        <f>'2020_5-2-2_Download'!B21</f>
        <v>241</v>
      </c>
      <c r="C2925">
        <f>'2020_5-2-2_Download'!$BA$5</f>
        <v>2013</v>
      </c>
      <c r="D2925" t="str">
        <f>VLOOKUP(B2925,[1]Tabelle1!$A$1:$B$68,2,FALSE)</f>
        <v>Hannover  Region</v>
      </c>
      <c r="F2925" t="str">
        <f>'2020_5-2-2_Download'!$BE$7</f>
        <v>mittel</v>
      </c>
      <c r="G2925" t="s">
        <v>362</v>
      </c>
      <c r="H2925" t="str">
        <f>VLOOKUP(B2925,[2]Kreise!$A$2:$C$53,3,FALSE)</f>
        <v>K03241</v>
      </c>
      <c r="I2925" s="266">
        <f>'2020_5-2-2_Download'!BE21</f>
        <v>29.253764271137829</v>
      </c>
    </row>
    <row r="2926" spans="2:9">
      <c r="B2926">
        <f>'2020_5-2-2_Download'!B22</f>
        <v>241001</v>
      </c>
      <c r="C2926">
        <f>'2020_5-2-2_Download'!$BA$5</f>
        <v>2013</v>
      </c>
      <c r="D2926" t="str">
        <f>VLOOKUP(B2926,[1]Tabelle1!$A$1:$B$68,2,FALSE)</f>
        <v>dav. Hannover  Lhst.</v>
      </c>
      <c r="F2926" t="str">
        <f>'2020_5-2-2_Download'!$BE$7</f>
        <v>mittel</v>
      </c>
      <c r="G2926" t="s">
        <v>362</v>
      </c>
      <c r="H2926" t="str">
        <f>VLOOKUP(B2926,[2]Kreise!$A$2:$C$53,3,FALSE)</f>
        <v>K03241001</v>
      </c>
      <c r="I2926" s="266">
        <f>'2020_5-2-2_Download'!BE22</f>
        <v>29.017278165920597</v>
      </c>
    </row>
    <row r="2927" spans="2:9">
      <c r="B2927">
        <f>'2020_5-2-2_Download'!B23</f>
        <v>241999</v>
      </c>
      <c r="C2927">
        <f>'2020_5-2-2_Download'!$BA$5</f>
        <v>2013</v>
      </c>
      <c r="D2927" t="str">
        <f>VLOOKUP(B2927,[1]Tabelle1!$A$1:$B$68,2,FALSE)</f>
        <v>dav. Hannover  Umland</v>
      </c>
      <c r="F2927" t="str">
        <f>'2020_5-2-2_Download'!$BE$7</f>
        <v>mittel</v>
      </c>
      <c r="G2927" t="s">
        <v>362</v>
      </c>
      <c r="H2927" t="str">
        <f>VLOOKUP(B2927,[2]Kreise!$A$2:$C$53,3,FALSE)</f>
        <v>K03241999</v>
      </c>
      <c r="I2927" s="266">
        <f>'2020_5-2-2_Download'!BE23</f>
        <v>29.711141678129298</v>
      </c>
    </row>
    <row r="2928" spans="2:9">
      <c r="B2928">
        <f>'2020_5-2-2_Download'!B24</f>
        <v>251</v>
      </c>
      <c r="C2928">
        <f>'2020_5-2-2_Download'!$BA$5</f>
        <v>2013</v>
      </c>
      <c r="D2928" t="str">
        <f>VLOOKUP(B2928,[1]Tabelle1!$A$1:$B$68,2,FALSE)</f>
        <v>Diepholz</v>
      </c>
      <c r="F2928" t="str">
        <f>'2020_5-2-2_Download'!$BE$7</f>
        <v>mittel</v>
      </c>
      <c r="G2928" t="s">
        <v>362</v>
      </c>
      <c r="H2928" t="str">
        <f>VLOOKUP(B2928,[2]Kreise!$A$2:$C$53,3,FALSE)</f>
        <v>K03251</v>
      </c>
      <c r="I2928" s="266">
        <f>'2020_5-2-2_Download'!BE24</f>
        <v>27.097282394643564</v>
      </c>
    </row>
    <row r="2929" spans="2:9">
      <c r="B2929">
        <f>'2020_5-2-2_Download'!B25</f>
        <v>252</v>
      </c>
      <c r="C2929">
        <f>'2020_5-2-2_Download'!$BA$5</f>
        <v>2013</v>
      </c>
      <c r="D2929" t="str">
        <f>VLOOKUP(B2929,[1]Tabelle1!$A$1:$B$68,2,FALSE)</f>
        <v>Hameln-Pyrmont</v>
      </c>
      <c r="F2929" t="str">
        <f>'2020_5-2-2_Download'!$BE$7</f>
        <v>mittel</v>
      </c>
      <c r="G2929" t="s">
        <v>362</v>
      </c>
      <c r="H2929" t="str">
        <f>VLOOKUP(B2929,[2]Kreise!$A$2:$C$53,3,FALSE)</f>
        <v>K03252</v>
      </c>
      <c r="I2929" s="266">
        <f>'2020_5-2-2_Download'!BE25</f>
        <v>35.495867768595041</v>
      </c>
    </row>
    <row r="2930" spans="2:9">
      <c r="B2930">
        <f>'2020_5-2-2_Download'!B26</f>
        <v>254</v>
      </c>
      <c r="C2930">
        <f>'2020_5-2-2_Download'!$BA$5</f>
        <v>2013</v>
      </c>
      <c r="D2930" t="str">
        <f>VLOOKUP(B2930,[1]Tabelle1!$A$1:$B$68,2,FALSE)</f>
        <v>Hildesheim</v>
      </c>
      <c r="F2930" t="str">
        <f>'2020_5-2-2_Download'!$BE$7</f>
        <v>mittel</v>
      </c>
      <c r="G2930" t="s">
        <v>362</v>
      </c>
      <c r="H2930" t="str">
        <f>VLOOKUP(B2930,[2]Kreise!$A$2:$C$53,3,FALSE)</f>
        <v>K03254</v>
      </c>
      <c r="I2930" s="266">
        <f>'2020_5-2-2_Download'!BE26</f>
        <v>34.614229960972679</v>
      </c>
    </row>
    <row r="2931" spans="2:9">
      <c r="B2931">
        <f>'2020_5-2-2_Download'!B27</f>
        <v>255</v>
      </c>
      <c r="C2931">
        <f>'2020_5-2-2_Download'!$BA$5</f>
        <v>2013</v>
      </c>
      <c r="D2931" t="str">
        <f>VLOOKUP(B2931,[1]Tabelle1!$A$1:$B$68,2,FALSE)</f>
        <v>Holzminden</v>
      </c>
      <c r="F2931" t="str">
        <f>'2020_5-2-2_Download'!$BE$7</f>
        <v>mittel</v>
      </c>
      <c r="G2931" t="s">
        <v>362</v>
      </c>
      <c r="H2931" t="str">
        <f>VLOOKUP(B2931,[2]Kreise!$A$2:$C$53,3,FALSE)</f>
        <v>K03255</v>
      </c>
      <c r="I2931" s="266">
        <f>'2020_5-2-2_Download'!BE27</f>
        <v>35.167785234899327</v>
      </c>
    </row>
    <row r="2932" spans="2:9">
      <c r="B2932">
        <f>'2020_5-2-2_Download'!B28</f>
        <v>256</v>
      </c>
      <c r="C2932">
        <f>'2020_5-2-2_Download'!$BA$5</f>
        <v>2013</v>
      </c>
      <c r="D2932" t="str">
        <f>VLOOKUP(B2932,[1]Tabelle1!$A$1:$B$68,2,FALSE)</f>
        <v>Nienburg (Weser)</v>
      </c>
      <c r="F2932" t="str">
        <f>'2020_5-2-2_Download'!$BE$7</f>
        <v>mittel</v>
      </c>
      <c r="G2932" t="s">
        <v>362</v>
      </c>
      <c r="H2932" t="str">
        <f>VLOOKUP(B2932,[2]Kreise!$A$2:$C$53,3,FALSE)</f>
        <v>K03256</v>
      </c>
      <c r="I2932" s="266">
        <f>'2020_5-2-2_Download'!BE28</f>
        <v>27.306047648136833</v>
      </c>
    </row>
    <row r="2933" spans="2:9">
      <c r="B2933">
        <f>'2020_5-2-2_Download'!B29</f>
        <v>257</v>
      </c>
      <c r="C2933">
        <f>'2020_5-2-2_Download'!$BA$5</f>
        <v>2013</v>
      </c>
      <c r="D2933" t="str">
        <f>VLOOKUP(B2933,[1]Tabelle1!$A$1:$B$68,2,FALSE)</f>
        <v>Schaumburg</v>
      </c>
      <c r="F2933" t="str">
        <f>'2020_5-2-2_Download'!$BE$7</f>
        <v>mittel</v>
      </c>
      <c r="G2933" t="s">
        <v>362</v>
      </c>
      <c r="H2933" t="str">
        <f>VLOOKUP(B2933,[2]Kreise!$A$2:$C$53,3,FALSE)</f>
        <v>K03257</v>
      </c>
      <c r="I2933" s="266">
        <f>'2020_5-2-2_Download'!BE29</f>
        <v>36.015756893640969</v>
      </c>
    </row>
    <row r="2934" spans="2:9">
      <c r="B2934">
        <f>'2020_5-2-2_Download'!B30</f>
        <v>2</v>
      </c>
      <c r="C2934">
        <f>'2020_5-2-2_Download'!$BA$5</f>
        <v>2013</v>
      </c>
      <c r="D2934" t="str">
        <f>VLOOKUP(B2934,[1]Tabelle1!$A$1:$B$68,2,FALSE)</f>
        <v>Stat. Region Hannover</v>
      </c>
      <c r="F2934" t="str">
        <f>'2020_5-2-2_Download'!$BE$7</f>
        <v>mittel</v>
      </c>
      <c r="G2934" t="s">
        <v>362</v>
      </c>
      <c r="H2934" t="str">
        <f>VLOOKUP(B2934,[2]Kreise!$A$2:$C$53,3,FALSE)</f>
        <v>K032</v>
      </c>
      <c r="I2934" s="266">
        <f>'2020_5-2-2_Download'!BE30</f>
        <v>30.089712795877727</v>
      </c>
    </row>
    <row r="2935" spans="2:9">
      <c r="B2935">
        <f>'2020_5-2-2_Download'!B31</f>
        <v>351</v>
      </c>
      <c r="C2935">
        <f>'2020_5-2-2_Download'!$BA$5</f>
        <v>2013</v>
      </c>
      <c r="D2935" t="str">
        <f>VLOOKUP(B2935,[1]Tabelle1!$A$1:$B$68,2,FALSE)</f>
        <v>Celle</v>
      </c>
      <c r="F2935" t="str">
        <f>'2020_5-2-2_Download'!$BE$7</f>
        <v>mittel</v>
      </c>
      <c r="G2935" t="s">
        <v>362</v>
      </c>
      <c r="H2935" t="str">
        <f>VLOOKUP(B2935,[2]Kreise!$A$2:$C$53,3,FALSE)</f>
        <v>K03351</v>
      </c>
      <c r="I2935" s="266">
        <f>'2020_5-2-2_Download'!BE31</f>
        <v>31.832651205093228</v>
      </c>
    </row>
    <row r="2936" spans="2:9">
      <c r="B2936">
        <f>'2020_5-2-2_Download'!B32</f>
        <v>352</v>
      </c>
      <c r="C2936">
        <f>'2020_5-2-2_Download'!$BA$5</f>
        <v>2013</v>
      </c>
      <c r="D2936" t="str">
        <f>VLOOKUP(B2936,[1]Tabelle1!$A$1:$B$68,2,FALSE)</f>
        <v>Cuxhaven</v>
      </c>
      <c r="F2936" t="str">
        <f>'2020_5-2-2_Download'!$BE$7</f>
        <v>mittel</v>
      </c>
      <c r="G2936" t="s">
        <v>362</v>
      </c>
      <c r="H2936" t="str">
        <f>VLOOKUP(B2936,[2]Kreise!$A$2:$C$53,3,FALSE)</f>
        <v>K03352</v>
      </c>
      <c r="I2936" s="266">
        <f>'2020_5-2-2_Download'!BE32</f>
        <v>26.29883205799436</v>
      </c>
    </row>
    <row r="2937" spans="2:9">
      <c r="B2937">
        <f>'2020_5-2-2_Download'!B33</f>
        <v>353</v>
      </c>
      <c r="C2937">
        <f>'2020_5-2-2_Download'!$BA$5</f>
        <v>2013</v>
      </c>
      <c r="D2937" t="str">
        <f>VLOOKUP(B2937,[1]Tabelle1!$A$1:$B$68,2,FALSE)</f>
        <v>Harburg</v>
      </c>
      <c r="F2937" t="str">
        <f>'2020_5-2-2_Download'!$BE$7</f>
        <v>mittel</v>
      </c>
      <c r="G2937" t="s">
        <v>362</v>
      </c>
      <c r="H2937" t="str">
        <f>VLOOKUP(B2937,[2]Kreise!$A$2:$C$53,3,FALSE)</f>
        <v>K03353</v>
      </c>
      <c r="I2937" s="266">
        <f>'2020_5-2-2_Download'!BE33</f>
        <v>24.843796489140139</v>
      </c>
    </row>
    <row r="2938" spans="2:9">
      <c r="B2938">
        <f>'2020_5-2-2_Download'!B34</f>
        <v>354</v>
      </c>
      <c r="C2938">
        <f>'2020_5-2-2_Download'!$BA$5</f>
        <v>2013</v>
      </c>
      <c r="D2938" t="str">
        <f>VLOOKUP(B2938,[1]Tabelle1!$A$1:$B$68,2,FALSE)</f>
        <v>Lüchow-Dannenberg</v>
      </c>
      <c r="F2938" t="str">
        <f>'2020_5-2-2_Download'!$BE$7</f>
        <v>mittel</v>
      </c>
      <c r="G2938" t="s">
        <v>362</v>
      </c>
      <c r="H2938" t="str">
        <f>VLOOKUP(B2938,[2]Kreise!$A$2:$C$53,3,FALSE)</f>
        <v>K03354</v>
      </c>
      <c r="I2938" s="266">
        <f>'2020_5-2-2_Download'!BE34</f>
        <v>34.323432343234323</v>
      </c>
    </row>
    <row r="2939" spans="2:9">
      <c r="B2939">
        <f>'2020_5-2-2_Download'!B35</f>
        <v>355</v>
      </c>
      <c r="C2939">
        <f>'2020_5-2-2_Download'!$BA$5</f>
        <v>2013</v>
      </c>
      <c r="D2939" t="str">
        <f>VLOOKUP(B2939,[1]Tabelle1!$A$1:$B$68,2,FALSE)</f>
        <v>Lüneburg</v>
      </c>
      <c r="F2939" t="str">
        <f>'2020_5-2-2_Download'!$BE$7</f>
        <v>mittel</v>
      </c>
      <c r="G2939" t="s">
        <v>362</v>
      </c>
      <c r="H2939" t="str">
        <f>VLOOKUP(B2939,[2]Kreise!$A$2:$C$53,3,FALSE)</f>
        <v>K03355</v>
      </c>
      <c r="I2939" s="266">
        <f>'2020_5-2-2_Download'!BE35</f>
        <v>28.211851074986889</v>
      </c>
    </row>
    <row r="2940" spans="2:9">
      <c r="B2940">
        <f>'2020_5-2-2_Download'!B36</f>
        <v>356</v>
      </c>
      <c r="C2940">
        <f>'2020_5-2-2_Download'!$BA$5</f>
        <v>2013</v>
      </c>
      <c r="D2940" t="str">
        <f>VLOOKUP(B2940,[1]Tabelle1!$A$1:$B$68,2,FALSE)</f>
        <v>Osterholz</v>
      </c>
      <c r="F2940" t="str">
        <f>'2020_5-2-2_Download'!$BE$7</f>
        <v>mittel</v>
      </c>
      <c r="G2940" t="s">
        <v>362</v>
      </c>
      <c r="H2940" t="str">
        <f>VLOOKUP(B2940,[2]Kreise!$A$2:$C$53,3,FALSE)</f>
        <v>K03356</v>
      </c>
      <c r="I2940" s="266">
        <f>'2020_5-2-2_Download'!BE36</f>
        <v>31.573157315731574</v>
      </c>
    </row>
    <row r="2941" spans="2:9">
      <c r="B2941">
        <f>'2020_5-2-2_Download'!B37</f>
        <v>357</v>
      </c>
      <c r="C2941">
        <f>'2020_5-2-2_Download'!$BA$5</f>
        <v>2013</v>
      </c>
      <c r="D2941" t="str">
        <f>VLOOKUP(B2941,[1]Tabelle1!$A$1:$B$68,2,FALSE)</f>
        <v>Rotenburg (Wümme)</v>
      </c>
      <c r="F2941" t="str">
        <f>'2020_5-2-2_Download'!$BE$7</f>
        <v>mittel</v>
      </c>
      <c r="G2941" t="s">
        <v>362</v>
      </c>
      <c r="H2941" t="str">
        <f>VLOOKUP(B2941,[2]Kreise!$A$2:$C$53,3,FALSE)</f>
        <v>K03357</v>
      </c>
      <c r="I2941" s="266">
        <f>'2020_5-2-2_Download'!BE37</f>
        <v>27.853881278538811</v>
      </c>
    </row>
    <row r="2942" spans="2:9">
      <c r="B2942">
        <f>'2020_5-2-2_Download'!B38</f>
        <v>358</v>
      </c>
      <c r="C2942">
        <f>'2020_5-2-2_Download'!$BA$5</f>
        <v>2013</v>
      </c>
      <c r="D2942" t="str">
        <f>VLOOKUP(B2942,[1]Tabelle1!$A$1:$B$68,2,FALSE)</f>
        <v>Heidekreis</v>
      </c>
      <c r="F2942" t="str">
        <f>'2020_5-2-2_Download'!$BE$7</f>
        <v>mittel</v>
      </c>
      <c r="G2942" t="s">
        <v>362</v>
      </c>
      <c r="H2942" t="str">
        <f>VLOOKUP(B2942,[2]Kreise!$A$2:$C$53,3,FALSE)</f>
        <v>K03358</v>
      </c>
      <c r="I2942" s="266">
        <f>'2020_5-2-2_Download'!BE38</f>
        <v>30.023752969121141</v>
      </c>
    </row>
    <row r="2943" spans="2:9">
      <c r="B2943">
        <f>'2020_5-2-2_Download'!B39</f>
        <v>359</v>
      </c>
      <c r="C2943">
        <f>'2020_5-2-2_Download'!$BA$5</f>
        <v>2013</v>
      </c>
      <c r="D2943" t="str">
        <f>VLOOKUP(B2943,[1]Tabelle1!$A$1:$B$68,2,FALSE)</f>
        <v>Stade</v>
      </c>
      <c r="F2943" t="str">
        <f>'2020_5-2-2_Download'!$BE$7</f>
        <v>mittel</v>
      </c>
      <c r="G2943" t="s">
        <v>362</v>
      </c>
      <c r="H2943" t="str">
        <f>VLOOKUP(B2943,[2]Kreise!$A$2:$C$53,3,FALSE)</f>
        <v>K03359</v>
      </c>
      <c r="I2943" s="266">
        <f>'2020_5-2-2_Download'!BE39</f>
        <v>22.797797797797799</v>
      </c>
    </row>
    <row r="2944" spans="2:9">
      <c r="B2944">
        <f>'2020_5-2-2_Download'!B40</f>
        <v>360</v>
      </c>
      <c r="C2944">
        <f>'2020_5-2-2_Download'!$BA$5</f>
        <v>2013</v>
      </c>
      <c r="D2944" t="str">
        <f>VLOOKUP(B2944,[1]Tabelle1!$A$1:$B$68,2,FALSE)</f>
        <v>Uelzen</v>
      </c>
      <c r="F2944" t="str">
        <f>'2020_5-2-2_Download'!$BE$7</f>
        <v>mittel</v>
      </c>
      <c r="G2944" t="s">
        <v>362</v>
      </c>
      <c r="H2944" t="str">
        <f>VLOOKUP(B2944,[2]Kreise!$A$2:$C$53,3,FALSE)</f>
        <v>K03360</v>
      </c>
      <c r="I2944" s="266">
        <f>'2020_5-2-2_Download'!BE40</f>
        <v>29.920212765957448</v>
      </c>
    </row>
    <row r="2945" spans="2:9">
      <c r="B2945">
        <f>'2020_5-2-2_Download'!B41</f>
        <v>361</v>
      </c>
      <c r="C2945">
        <f>'2020_5-2-2_Download'!$BA$5</f>
        <v>2013</v>
      </c>
      <c r="D2945" t="str">
        <f>VLOOKUP(B2945,[1]Tabelle1!$A$1:$B$68,2,FALSE)</f>
        <v>Verden</v>
      </c>
      <c r="F2945" t="str">
        <f>'2020_5-2-2_Download'!$BE$7</f>
        <v>mittel</v>
      </c>
      <c r="G2945" t="s">
        <v>362</v>
      </c>
      <c r="H2945" t="str">
        <f>VLOOKUP(B2945,[2]Kreise!$A$2:$C$53,3,FALSE)</f>
        <v>K03361</v>
      </c>
      <c r="I2945" s="266">
        <f>'2020_5-2-2_Download'!BE41</f>
        <v>28.271549799017421</v>
      </c>
    </row>
    <row r="2946" spans="2:9">
      <c r="B2946">
        <f>'2020_5-2-2_Download'!B42</f>
        <v>3</v>
      </c>
      <c r="C2946">
        <f>'2020_5-2-2_Download'!$BA$5</f>
        <v>2013</v>
      </c>
      <c r="D2946" t="str">
        <f>VLOOKUP(B2946,[1]Tabelle1!$A$1:$B$68,2,FALSE)</f>
        <v>Stat. Region Lüneburg</v>
      </c>
      <c r="F2946" t="str">
        <f>'2020_5-2-2_Download'!$BE$7</f>
        <v>mittel</v>
      </c>
      <c r="G2946" t="s">
        <v>362</v>
      </c>
      <c r="H2946" t="str">
        <f>VLOOKUP(B2946,[2]Kreise!$A$2:$C$53,3,FALSE)</f>
        <v>K033</v>
      </c>
      <c r="I2946" s="266">
        <f>'2020_5-2-2_Download'!BE42</f>
        <v>27.292556575479416</v>
      </c>
    </row>
    <row r="2947" spans="2:9">
      <c r="B2947">
        <f>'2020_5-2-2_Download'!B43</f>
        <v>401</v>
      </c>
      <c r="C2947">
        <f>'2020_5-2-2_Download'!$BA$5</f>
        <v>2013</v>
      </c>
      <c r="D2947" t="str">
        <f>VLOOKUP(B2947,[1]Tabelle1!$A$1:$B$68,2,FALSE)</f>
        <v>Delmenhorst  Stadt</v>
      </c>
      <c r="F2947" t="str">
        <f>'2020_5-2-2_Download'!$BE$7</f>
        <v>mittel</v>
      </c>
      <c r="G2947" t="s">
        <v>362</v>
      </c>
      <c r="H2947" t="str">
        <f>VLOOKUP(B2947,[2]Kreise!$A$2:$C$53,3,FALSE)</f>
        <v>K03401</v>
      </c>
      <c r="I2947" s="266">
        <f>'2020_5-2-2_Download'!BE43</f>
        <v>23.188405797101449</v>
      </c>
    </row>
    <row r="2948" spans="2:9">
      <c r="B2948">
        <f>'2020_5-2-2_Download'!B44</f>
        <v>402</v>
      </c>
      <c r="C2948">
        <f>'2020_5-2-2_Download'!$BA$5</f>
        <v>2013</v>
      </c>
      <c r="D2948" t="str">
        <f>VLOOKUP(B2948,[1]Tabelle1!$A$1:$B$68,2,FALSE)</f>
        <v>Emden  Stadt</v>
      </c>
      <c r="F2948" t="str">
        <f>'2020_5-2-2_Download'!$BE$7</f>
        <v>mittel</v>
      </c>
      <c r="G2948" t="s">
        <v>362</v>
      </c>
      <c r="H2948" t="str">
        <f>VLOOKUP(B2948,[2]Kreise!$A$2:$C$53,3,FALSE)</f>
        <v>K03402</v>
      </c>
      <c r="I2948" s="266">
        <f>'2020_5-2-2_Download'!BE44</f>
        <v>35.054347826086953</v>
      </c>
    </row>
    <row r="2949" spans="2:9">
      <c r="B2949">
        <f>'2020_5-2-2_Download'!B45</f>
        <v>403</v>
      </c>
      <c r="C2949">
        <f>'2020_5-2-2_Download'!$BA$5</f>
        <v>2013</v>
      </c>
      <c r="D2949" t="str">
        <f>VLOOKUP(B2949,[1]Tabelle1!$A$1:$B$68,2,FALSE)</f>
        <v>Oldenburg(Oldb)  Stadt</v>
      </c>
      <c r="F2949" t="str">
        <f>'2020_5-2-2_Download'!$BE$7</f>
        <v>mittel</v>
      </c>
      <c r="G2949" t="s">
        <v>362</v>
      </c>
      <c r="H2949" t="str">
        <f>VLOOKUP(B2949,[2]Kreise!$A$2:$C$53,3,FALSE)</f>
        <v>K03403</v>
      </c>
      <c r="I2949" s="266">
        <f>'2020_5-2-2_Download'!BE45</f>
        <v>22.280701754385966</v>
      </c>
    </row>
    <row r="2950" spans="2:9">
      <c r="B2950">
        <f>'2020_5-2-2_Download'!B46</f>
        <v>404</v>
      </c>
      <c r="C2950">
        <f>'2020_5-2-2_Download'!$BA$5</f>
        <v>2013</v>
      </c>
      <c r="D2950" t="str">
        <f>VLOOKUP(B2950,[1]Tabelle1!$A$1:$B$68,2,FALSE)</f>
        <v>Osnabrück  Stadt</v>
      </c>
      <c r="F2950" t="str">
        <f>'2020_5-2-2_Download'!$BE$7</f>
        <v>mittel</v>
      </c>
      <c r="G2950" t="s">
        <v>362</v>
      </c>
      <c r="H2950" t="str">
        <f>VLOOKUP(B2950,[2]Kreise!$A$2:$C$53,3,FALSE)</f>
        <v>K03404</v>
      </c>
      <c r="I2950" s="266">
        <f>'2020_5-2-2_Download'!BE46</f>
        <v>26.064464783127733</v>
      </c>
    </row>
    <row r="2951" spans="2:9">
      <c r="B2951">
        <f>'2020_5-2-2_Download'!B47</f>
        <v>405</v>
      </c>
      <c r="C2951">
        <f>'2020_5-2-2_Download'!$BA$5</f>
        <v>2013</v>
      </c>
      <c r="D2951" t="str">
        <f>VLOOKUP(B2951,[1]Tabelle1!$A$1:$B$68,2,FALSE)</f>
        <v>Wilhelmshaven  Stadt</v>
      </c>
      <c r="F2951" t="str">
        <f>'2020_5-2-2_Download'!$BE$7</f>
        <v>mittel</v>
      </c>
      <c r="G2951" t="s">
        <v>362</v>
      </c>
      <c r="H2951" t="str">
        <f>VLOOKUP(B2951,[2]Kreise!$A$2:$C$53,3,FALSE)</f>
        <v>K03405</v>
      </c>
      <c r="I2951" s="266">
        <f>'2020_5-2-2_Download'!BE47</f>
        <v>30.886426592797783</v>
      </c>
    </row>
    <row r="2952" spans="2:9">
      <c r="B2952">
        <f>'2020_5-2-2_Download'!B48</f>
        <v>451</v>
      </c>
      <c r="C2952">
        <f>'2020_5-2-2_Download'!$BA$5</f>
        <v>2013</v>
      </c>
      <c r="D2952" t="str">
        <f>VLOOKUP(B2952,[1]Tabelle1!$A$1:$B$68,2,FALSE)</f>
        <v>Ammerland</v>
      </c>
      <c r="F2952" t="str">
        <f>'2020_5-2-2_Download'!$BE$7</f>
        <v>mittel</v>
      </c>
      <c r="G2952" t="s">
        <v>362</v>
      </c>
      <c r="H2952" t="str">
        <f>VLOOKUP(B2952,[2]Kreise!$A$2:$C$53,3,FALSE)</f>
        <v>K03451</v>
      </c>
      <c r="I2952" s="266">
        <f>'2020_5-2-2_Download'!BE48</f>
        <v>23.526343244653102</v>
      </c>
    </row>
    <row r="2953" spans="2:9">
      <c r="B2953">
        <f>'2020_5-2-2_Download'!B49</f>
        <v>452</v>
      </c>
      <c r="C2953">
        <f>'2020_5-2-2_Download'!$BA$5</f>
        <v>2013</v>
      </c>
      <c r="D2953" t="str">
        <f>VLOOKUP(B2953,[1]Tabelle1!$A$1:$B$68,2,FALSE)</f>
        <v>Aurich</v>
      </c>
      <c r="F2953" t="str">
        <f>'2020_5-2-2_Download'!$BE$7</f>
        <v>mittel</v>
      </c>
      <c r="G2953" t="s">
        <v>362</v>
      </c>
      <c r="H2953" t="str">
        <f>VLOOKUP(B2953,[2]Kreise!$A$2:$C$53,3,FALSE)</f>
        <v>K03452</v>
      </c>
      <c r="I2953" s="266">
        <f>'2020_5-2-2_Download'!BE49</f>
        <v>24.222737819025522</v>
      </c>
    </row>
    <row r="2954" spans="2:9">
      <c r="B2954">
        <f>'2020_5-2-2_Download'!B50</f>
        <v>453</v>
      </c>
      <c r="C2954">
        <f>'2020_5-2-2_Download'!$BA$5</f>
        <v>2013</v>
      </c>
      <c r="D2954" t="str">
        <f>VLOOKUP(B2954,[1]Tabelle1!$A$1:$B$68,2,FALSE)</f>
        <v>Cloppenburg</v>
      </c>
      <c r="F2954" t="str">
        <f>'2020_5-2-2_Download'!$BE$7</f>
        <v>mittel</v>
      </c>
      <c r="G2954" t="s">
        <v>362</v>
      </c>
      <c r="H2954" t="str">
        <f>VLOOKUP(B2954,[2]Kreise!$A$2:$C$53,3,FALSE)</f>
        <v>K03453</v>
      </c>
      <c r="I2954" s="266">
        <f>'2020_5-2-2_Download'!BE50</f>
        <v>16.742654508611956</v>
      </c>
    </row>
    <row r="2955" spans="2:9">
      <c r="B2955">
        <f>'2020_5-2-2_Download'!B51</f>
        <v>454</v>
      </c>
      <c r="C2955">
        <f>'2020_5-2-2_Download'!$BA$5</f>
        <v>2013</v>
      </c>
      <c r="D2955" t="str">
        <f>VLOOKUP(B2955,[1]Tabelle1!$A$1:$B$68,2,FALSE)</f>
        <v>Emsland</v>
      </c>
      <c r="F2955" t="str">
        <f>'2020_5-2-2_Download'!$BE$7</f>
        <v>mittel</v>
      </c>
      <c r="G2955" t="s">
        <v>362</v>
      </c>
      <c r="H2955" t="str">
        <f>VLOOKUP(B2955,[2]Kreise!$A$2:$C$53,3,FALSE)</f>
        <v>K03454</v>
      </c>
      <c r="I2955" s="266">
        <f>'2020_5-2-2_Download'!BE51</f>
        <v>32.592900145318666</v>
      </c>
    </row>
    <row r="2956" spans="2:9">
      <c r="B2956">
        <f>'2020_5-2-2_Download'!B52</f>
        <v>455</v>
      </c>
      <c r="C2956">
        <f>'2020_5-2-2_Download'!$BA$5</f>
        <v>2013</v>
      </c>
      <c r="D2956" t="str">
        <f>VLOOKUP(B2956,[1]Tabelle1!$A$1:$B$68,2,FALSE)</f>
        <v>Friesland</v>
      </c>
      <c r="F2956" t="str">
        <f>'2020_5-2-2_Download'!$BE$7</f>
        <v>mittel</v>
      </c>
      <c r="G2956" t="s">
        <v>362</v>
      </c>
      <c r="H2956" t="str">
        <f>VLOOKUP(B2956,[2]Kreise!$A$2:$C$53,3,FALSE)</f>
        <v>K03455</v>
      </c>
      <c r="I2956" s="266">
        <f>'2020_5-2-2_Download'!BE52</f>
        <v>25.915875169606512</v>
      </c>
    </row>
    <row r="2957" spans="2:9">
      <c r="B2957">
        <f>'2020_5-2-2_Download'!B53</f>
        <v>456</v>
      </c>
      <c r="C2957">
        <f>'2020_5-2-2_Download'!$BA$5</f>
        <v>2013</v>
      </c>
      <c r="D2957" t="str">
        <f>VLOOKUP(B2957,[1]Tabelle1!$A$1:$B$68,2,FALSE)</f>
        <v>Grafschaft Bentheim</v>
      </c>
      <c r="F2957" t="str">
        <f>'2020_5-2-2_Download'!$BE$7</f>
        <v>mittel</v>
      </c>
      <c r="G2957" t="s">
        <v>362</v>
      </c>
      <c r="H2957" t="str">
        <f>VLOOKUP(B2957,[2]Kreise!$A$2:$C$53,3,FALSE)</f>
        <v>K03456</v>
      </c>
      <c r="I2957" s="266">
        <f>'2020_5-2-2_Download'!BE53</f>
        <v>37.667304015296367</v>
      </c>
    </row>
    <row r="2958" spans="2:9">
      <c r="B2958">
        <f>'2020_5-2-2_Download'!B54</f>
        <v>457</v>
      </c>
      <c r="C2958">
        <f>'2020_5-2-2_Download'!$BA$5</f>
        <v>2013</v>
      </c>
      <c r="D2958" t="str">
        <f>VLOOKUP(B2958,[1]Tabelle1!$A$1:$B$68,2,FALSE)</f>
        <v>Leer</v>
      </c>
      <c r="F2958" t="str">
        <f>'2020_5-2-2_Download'!$BE$7</f>
        <v>mittel</v>
      </c>
      <c r="G2958" t="s">
        <v>362</v>
      </c>
      <c r="H2958" t="str">
        <f>VLOOKUP(B2958,[2]Kreise!$A$2:$C$53,3,FALSE)</f>
        <v>K03457</v>
      </c>
      <c r="I2958" s="266">
        <f>'2020_5-2-2_Download'!BE54</f>
        <v>24.778270509977826</v>
      </c>
    </row>
    <row r="2959" spans="2:9">
      <c r="B2959">
        <f>'2020_5-2-2_Download'!B55</f>
        <v>458</v>
      </c>
      <c r="C2959">
        <f>'2020_5-2-2_Download'!$BA$5</f>
        <v>2013</v>
      </c>
      <c r="D2959" t="str">
        <f>VLOOKUP(B2959,[1]Tabelle1!$A$1:$B$68,2,FALSE)</f>
        <v>Oldenburg</v>
      </c>
      <c r="F2959" t="str">
        <f>'2020_5-2-2_Download'!$BE$7</f>
        <v>mittel</v>
      </c>
      <c r="G2959" t="s">
        <v>362</v>
      </c>
      <c r="H2959" t="str">
        <f>VLOOKUP(B2959,[2]Kreise!$A$2:$C$53,3,FALSE)</f>
        <v>K03458</v>
      </c>
      <c r="I2959" s="266">
        <f>'2020_5-2-2_Download'!BE55</f>
        <v>20.473876063183475</v>
      </c>
    </row>
    <row r="2960" spans="2:9">
      <c r="B2960">
        <f>'2020_5-2-2_Download'!B56</f>
        <v>459</v>
      </c>
      <c r="C2960">
        <f>'2020_5-2-2_Download'!$BA$5</f>
        <v>2013</v>
      </c>
      <c r="D2960" t="str">
        <f>VLOOKUP(B2960,[1]Tabelle1!$A$1:$B$68,2,FALSE)</f>
        <v>Osnabrück</v>
      </c>
      <c r="F2960" t="str">
        <f>'2020_5-2-2_Download'!$BE$7</f>
        <v>mittel</v>
      </c>
      <c r="G2960" t="s">
        <v>362</v>
      </c>
      <c r="H2960" t="str">
        <f>VLOOKUP(B2960,[2]Kreise!$A$2:$C$53,3,FALSE)</f>
        <v>K03459</v>
      </c>
      <c r="I2960" s="266">
        <f>'2020_5-2-2_Download'!BE56</f>
        <v>22.492360834329748</v>
      </c>
    </row>
    <row r="2961" spans="2:9">
      <c r="B2961">
        <f>'2020_5-2-2_Download'!B57</f>
        <v>460</v>
      </c>
      <c r="C2961">
        <f>'2020_5-2-2_Download'!$BA$5</f>
        <v>2013</v>
      </c>
      <c r="D2961" t="str">
        <f>VLOOKUP(B2961,[1]Tabelle1!$A$1:$B$68,2,FALSE)</f>
        <v>Vechta</v>
      </c>
      <c r="F2961" t="str">
        <f>'2020_5-2-2_Download'!$BE$7</f>
        <v>mittel</v>
      </c>
      <c r="G2961" t="s">
        <v>362</v>
      </c>
      <c r="H2961" t="str">
        <f>VLOOKUP(B2961,[2]Kreise!$A$2:$C$53,3,FALSE)</f>
        <v>K03460</v>
      </c>
      <c r="I2961" s="266">
        <f>'2020_5-2-2_Download'!BE57</f>
        <v>12.673038892551089</v>
      </c>
    </row>
    <row r="2962" spans="2:9">
      <c r="B2962">
        <f>'2020_5-2-2_Download'!B58</f>
        <v>461</v>
      </c>
      <c r="C2962">
        <f>'2020_5-2-2_Download'!$BA$5</f>
        <v>2013</v>
      </c>
      <c r="D2962" t="str">
        <f>VLOOKUP(B2962,[1]Tabelle1!$A$1:$B$68,2,FALSE)</f>
        <v>Wesermarsch</v>
      </c>
      <c r="F2962" t="str">
        <f>'2020_5-2-2_Download'!$BE$7</f>
        <v>mittel</v>
      </c>
      <c r="G2962" t="s">
        <v>362</v>
      </c>
      <c r="H2962" t="str">
        <f>VLOOKUP(B2962,[2]Kreise!$A$2:$C$53,3,FALSE)</f>
        <v>K03461</v>
      </c>
      <c r="I2962" s="266">
        <f>'2020_5-2-2_Download'!BE58</f>
        <v>40.887096774193552</v>
      </c>
    </row>
    <row r="2963" spans="2:9">
      <c r="B2963">
        <f>'2020_5-2-2_Download'!B59</f>
        <v>462</v>
      </c>
      <c r="C2963">
        <f>'2020_5-2-2_Download'!$BA$5</f>
        <v>2013</v>
      </c>
      <c r="D2963" t="str">
        <f>VLOOKUP(B2963,[1]Tabelle1!$A$1:$B$68,2,FALSE)</f>
        <v>Wittmund</v>
      </c>
      <c r="F2963" t="str">
        <f>'2020_5-2-2_Download'!$BE$7</f>
        <v>mittel</v>
      </c>
      <c r="G2963" t="s">
        <v>362</v>
      </c>
      <c r="H2963" t="str">
        <f>VLOOKUP(B2963,[2]Kreise!$A$2:$C$53,3,FALSE)</f>
        <v>K03462</v>
      </c>
      <c r="I2963" s="266">
        <f>'2020_5-2-2_Download'!BE59</f>
        <v>16.33064516129032</v>
      </c>
    </row>
    <row r="2964" spans="2:9">
      <c r="B2964">
        <f>'2020_5-2-2_Download'!B60</f>
        <v>4</v>
      </c>
      <c r="C2964">
        <f>'2020_5-2-2_Download'!$BA$5</f>
        <v>2013</v>
      </c>
      <c r="D2964" t="str">
        <f>VLOOKUP(B2964,[1]Tabelle1!$A$1:$B$68,2,FALSE)</f>
        <v>Stat. Region Weser-Ems</v>
      </c>
      <c r="F2964" t="str">
        <f>'2020_5-2-2_Download'!$BE$7</f>
        <v>mittel</v>
      </c>
      <c r="G2964" t="s">
        <v>362</v>
      </c>
      <c r="H2964" t="str">
        <f>VLOOKUP(B2964,[2]Kreise!$A$2:$C$53,3,FALSE)</f>
        <v>K034</v>
      </c>
      <c r="I2964" s="266">
        <f>'2020_5-2-2_Download'!BE60</f>
        <v>24.239671209171533</v>
      </c>
    </row>
    <row r="2965" spans="2:9">
      <c r="B2965">
        <f>'2020_5-2-2_Download'!B61</f>
        <v>0</v>
      </c>
      <c r="C2965">
        <f>'2020_5-2-2_Download'!$BA$5</f>
        <v>2013</v>
      </c>
      <c r="D2965" t="str">
        <f>VLOOKUP(B2965,[1]Tabelle1!$A$1:$B$68,2,FALSE)</f>
        <v>Niedersachsen</v>
      </c>
      <c r="F2965" t="str">
        <f>'2020_5-2-2_Download'!$BE$7</f>
        <v>mittel</v>
      </c>
      <c r="G2965" t="s">
        <v>362</v>
      </c>
      <c r="H2965" t="str">
        <f>VLOOKUP(B2965,[2]Kreise!$A$2:$C$53,3,FALSE)</f>
        <v>K030</v>
      </c>
      <c r="I2965" s="266">
        <f>'2020_5-2-2_Download'!BE61</f>
        <v>27.994223079071606</v>
      </c>
    </row>
    <row r="2966" spans="2:9">
      <c r="B2966">
        <f>'2020_5-2-2_Download'!B10</f>
        <v>101</v>
      </c>
      <c r="C2966">
        <f>'2020_5-2-2_Download'!$BA$5</f>
        <v>2013</v>
      </c>
      <c r="D2966" t="str">
        <f>VLOOKUP(B2966,[1]Tabelle1!$A$1:$B$68,2,FALSE)</f>
        <v>Braunschweig  Stadt</v>
      </c>
      <c r="F2966" t="str">
        <f>'2020_5-2-2_Download'!$BF$7</f>
        <v>niedrig</v>
      </c>
      <c r="G2966" t="s">
        <v>362</v>
      </c>
      <c r="H2966" t="str">
        <f>VLOOKUP(B2966,[2]Kreise!$A$2:$C$53,3,FALSE)</f>
        <v>K03101</v>
      </c>
      <c r="I2966" s="266">
        <f>'2020_5-2-2_Download'!BF10</f>
        <v>16.919025674786042</v>
      </c>
    </row>
    <row r="2967" spans="2:9">
      <c r="B2967">
        <f>'2020_5-2-2_Download'!B11</f>
        <v>102</v>
      </c>
      <c r="C2967">
        <f>'2020_5-2-2_Download'!$BA$5</f>
        <v>2013</v>
      </c>
      <c r="D2967" t="str">
        <f>VLOOKUP(B2967,[1]Tabelle1!$A$1:$B$68,2,FALSE)</f>
        <v>Salzgitter  Stadt</v>
      </c>
      <c r="F2967" t="str">
        <f>'2020_5-2-2_Download'!$BF$7</f>
        <v>niedrig</v>
      </c>
      <c r="G2967" t="s">
        <v>362</v>
      </c>
      <c r="H2967" t="str">
        <f>VLOOKUP(B2967,[2]Kreise!$A$2:$C$53,3,FALSE)</f>
        <v>K03102</v>
      </c>
      <c r="I2967" s="266">
        <f>'2020_5-2-2_Download'!BF11</f>
        <v>20.797448165869216</v>
      </c>
    </row>
    <row r="2968" spans="2:9">
      <c r="B2968">
        <f>'2020_5-2-2_Download'!B12</f>
        <v>103</v>
      </c>
      <c r="C2968">
        <f>'2020_5-2-2_Download'!$BA$5</f>
        <v>2013</v>
      </c>
      <c r="D2968" t="str">
        <f>VLOOKUP(B2968,[1]Tabelle1!$A$1:$B$68,2,FALSE)</f>
        <v>Wolfsburg  Stadt</v>
      </c>
      <c r="F2968" t="str">
        <f>'2020_5-2-2_Download'!$BF$7</f>
        <v>niedrig</v>
      </c>
      <c r="G2968" t="s">
        <v>362</v>
      </c>
      <c r="H2968" t="str">
        <f>VLOOKUP(B2968,[2]Kreise!$A$2:$C$53,3,FALSE)</f>
        <v>K03103</v>
      </c>
      <c r="I2968" s="266">
        <f>'2020_5-2-2_Download'!BF12</f>
        <v>6.4266000788539888</v>
      </c>
    </row>
    <row r="2969" spans="2:9">
      <c r="B2969">
        <f>'2020_5-2-2_Download'!B13</f>
        <v>151</v>
      </c>
      <c r="C2969">
        <f>'2020_5-2-2_Download'!$BA$5</f>
        <v>2013</v>
      </c>
      <c r="D2969" t="str">
        <f>VLOOKUP(B2969,[1]Tabelle1!$A$1:$B$68,2,FALSE)</f>
        <v>Gifhorn</v>
      </c>
      <c r="F2969" t="str">
        <f>'2020_5-2-2_Download'!$BF$7</f>
        <v>niedrig</v>
      </c>
      <c r="G2969" t="s">
        <v>362</v>
      </c>
      <c r="H2969" t="str">
        <f>VLOOKUP(B2969,[2]Kreise!$A$2:$C$53,3,FALSE)</f>
        <v>K03151</v>
      </c>
      <c r="I2969" s="266">
        <f>'2020_5-2-2_Download'!BF13</f>
        <v>26.837606837606838</v>
      </c>
    </row>
    <row r="2970" spans="2:9">
      <c r="B2970">
        <f>'2020_5-2-2_Download'!B14</f>
        <v>153</v>
      </c>
      <c r="C2970">
        <f>'2020_5-2-2_Download'!$BA$5</f>
        <v>2013</v>
      </c>
      <c r="D2970" t="str">
        <f>VLOOKUP(B2970,[1]Tabelle1!$A$1:$B$68,2,FALSE)</f>
        <v>Goslar</v>
      </c>
      <c r="F2970" t="str">
        <f>'2020_5-2-2_Download'!$BF$7</f>
        <v>niedrig</v>
      </c>
      <c r="G2970" t="s">
        <v>362</v>
      </c>
      <c r="H2970" t="str">
        <f>VLOOKUP(B2970,[2]Kreise!$A$2:$C$53,3,FALSE)</f>
        <v>K03153</v>
      </c>
      <c r="I2970" s="266">
        <f>'2020_5-2-2_Download'!BF14</f>
        <v>20.43010752688172</v>
      </c>
    </row>
    <row r="2971" spans="2:9">
      <c r="B2971">
        <f>'2020_5-2-2_Download'!B15</f>
        <v>154</v>
      </c>
      <c r="C2971">
        <f>'2020_5-2-2_Download'!$BA$5</f>
        <v>2013</v>
      </c>
      <c r="D2971" t="str">
        <f>VLOOKUP(B2971,[1]Tabelle1!$A$1:$B$68,2,FALSE)</f>
        <v>Helmstedt</v>
      </c>
      <c r="F2971" t="str">
        <f>'2020_5-2-2_Download'!$BF$7</f>
        <v>niedrig</v>
      </c>
      <c r="G2971" t="s">
        <v>362</v>
      </c>
      <c r="H2971" t="str">
        <f>VLOOKUP(B2971,[2]Kreise!$A$2:$C$53,3,FALSE)</f>
        <v>K03154</v>
      </c>
      <c r="I2971" s="266">
        <f>'2020_5-2-2_Download'!BF15</f>
        <v>26.575809199318567</v>
      </c>
    </row>
    <row r="2972" spans="2:9">
      <c r="B2972">
        <f>'2020_5-2-2_Download'!B16</f>
        <v>155</v>
      </c>
      <c r="C2972">
        <f>'2020_5-2-2_Download'!$BA$5</f>
        <v>2013</v>
      </c>
      <c r="D2972" t="str">
        <f>VLOOKUP(B2972,[1]Tabelle1!$A$1:$B$68,2,FALSE)</f>
        <v>Northeim</v>
      </c>
      <c r="F2972" t="str">
        <f>'2020_5-2-2_Download'!$BF$7</f>
        <v>niedrig</v>
      </c>
      <c r="G2972" t="s">
        <v>362</v>
      </c>
      <c r="H2972" t="str">
        <f>VLOOKUP(B2972,[2]Kreise!$A$2:$C$53,3,FALSE)</f>
        <v>K03155</v>
      </c>
      <c r="I2972" s="266">
        <f>'2020_5-2-2_Download'!BF16</f>
        <v>17.039274924471297</v>
      </c>
    </row>
    <row r="2973" spans="2:9">
      <c r="B2973">
        <f>'2020_5-2-2_Download'!B17</f>
        <v>157</v>
      </c>
      <c r="C2973">
        <f>'2020_5-2-2_Download'!$BA$5</f>
        <v>2013</v>
      </c>
      <c r="D2973" t="str">
        <f>VLOOKUP(B2973,[1]Tabelle1!$A$1:$B$68,2,FALSE)</f>
        <v>Peine</v>
      </c>
      <c r="F2973" t="str">
        <f>'2020_5-2-2_Download'!$BF$7</f>
        <v>niedrig</v>
      </c>
      <c r="G2973" t="s">
        <v>362</v>
      </c>
      <c r="H2973" t="str">
        <f>VLOOKUP(B2973,[2]Kreise!$A$2:$C$53,3,FALSE)</f>
        <v>K03157</v>
      </c>
      <c r="I2973" s="266">
        <f>'2020_5-2-2_Download'!BF17</f>
        <v>29.144587433762304</v>
      </c>
    </row>
    <row r="2974" spans="2:9">
      <c r="B2974">
        <f>'2020_5-2-2_Download'!B18</f>
        <v>158</v>
      </c>
      <c r="C2974">
        <f>'2020_5-2-2_Download'!$BA$5</f>
        <v>2013</v>
      </c>
      <c r="D2974" t="str">
        <f>VLOOKUP(B2974,[1]Tabelle1!$A$1:$B$68,2,FALSE)</f>
        <v>Wolfenbüttel</v>
      </c>
      <c r="F2974" t="str">
        <f>'2020_5-2-2_Download'!$BF$7</f>
        <v>niedrig</v>
      </c>
      <c r="G2974" t="s">
        <v>362</v>
      </c>
      <c r="H2974" t="str">
        <f>VLOOKUP(B2974,[2]Kreise!$A$2:$C$53,3,FALSE)</f>
        <v>K03158</v>
      </c>
      <c r="I2974" s="266">
        <f>'2020_5-2-2_Download'!BF18</f>
        <v>16.757493188010901</v>
      </c>
    </row>
    <row r="2975" spans="2:9">
      <c r="B2975">
        <f>'2020_5-2-2_Download'!B19</f>
        <v>159</v>
      </c>
      <c r="C2975">
        <f>'2020_5-2-2_Download'!$BA$5</f>
        <v>2013</v>
      </c>
      <c r="D2975" t="str">
        <f>VLOOKUP(B2975,[1]Tabelle1!$A$1:$B$68,2,FALSE)</f>
        <v>Göttingen</v>
      </c>
      <c r="F2975" t="str">
        <f>'2020_5-2-2_Download'!$BF$7</f>
        <v>niedrig</v>
      </c>
      <c r="G2975" t="s">
        <v>362</v>
      </c>
      <c r="H2975" t="str">
        <f>VLOOKUP(B2975,[2]Kreise!$A$2:$C$53,3,FALSE)</f>
        <v>K03159</v>
      </c>
      <c r="I2975" s="266">
        <f>'2020_5-2-2_Download'!BF19</f>
        <v>22.575699501724799</v>
      </c>
    </row>
    <row r="2976" spans="2:9">
      <c r="B2976">
        <f>'2020_5-2-2_Download'!B20</f>
        <v>1</v>
      </c>
      <c r="C2976">
        <f>'2020_5-2-2_Download'!$BA$5</f>
        <v>2013</v>
      </c>
      <c r="D2976" t="str">
        <f>VLOOKUP(B2976,[1]Tabelle1!$A$1:$B$68,2,FALSE)</f>
        <v>Stat. Region Braunschweig</v>
      </c>
      <c r="F2976" t="str">
        <f>'2020_5-2-2_Download'!$BF$7</f>
        <v>niedrig</v>
      </c>
      <c r="G2976" t="s">
        <v>362</v>
      </c>
      <c r="H2976" t="str">
        <f>VLOOKUP(B2976,[2]Kreise!$A$2:$C$53,3,FALSE)</f>
        <v>K031</v>
      </c>
      <c r="I2976" s="266">
        <f>'2020_5-2-2_Download'!BF20</f>
        <v>16.968234821069561</v>
      </c>
    </row>
    <row r="2977" spans="2:9">
      <c r="B2977">
        <f>'2020_5-2-2_Download'!B21</f>
        <v>241</v>
      </c>
      <c r="C2977">
        <f>'2020_5-2-2_Download'!$BA$5</f>
        <v>2013</v>
      </c>
      <c r="D2977" t="str">
        <f>VLOOKUP(B2977,[1]Tabelle1!$A$1:$B$68,2,FALSE)</f>
        <v>Hannover  Region</v>
      </c>
      <c r="F2977" t="str">
        <f>'2020_5-2-2_Download'!$BF$7</f>
        <v>niedrig</v>
      </c>
      <c r="G2977" t="s">
        <v>362</v>
      </c>
      <c r="H2977" t="str">
        <f>VLOOKUP(B2977,[2]Kreise!$A$2:$C$53,3,FALSE)</f>
        <v>K03241</v>
      </c>
      <c r="I2977" s="266">
        <f>'2020_5-2-2_Download'!BF21</f>
        <v>21.071645248469473</v>
      </c>
    </row>
    <row r="2978" spans="2:9">
      <c r="B2978">
        <f>'2020_5-2-2_Download'!B22</f>
        <v>241001</v>
      </c>
      <c r="C2978">
        <f>'2020_5-2-2_Download'!$BA$5</f>
        <v>2013</v>
      </c>
      <c r="D2978" t="str">
        <f>VLOOKUP(B2978,[1]Tabelle1!$A$1:$B$68,2,FALSE)</f>
        <v>dav. Hannover  Lhst.</v>
      </c>
      <c r="F2978" t="str">
        <f>'2020_5-2-2_Download'!$BF$7</f>
        <v>niedrig</v>
      </c>
      <c r="G2978" t="s">
        <v>362</v>
      </c>
      <c r="H2978" t="str">
        <f>VLOOKUP(B2978,[2]Kreise!$A$2:$C$53,3,FALSE)</f>
        <v>K03241001</v>
      </c>
      <c r="I2978" s="266">
        <f>'2020_5-2-2_Download'!BF22</f>
        <v>21.147973057775175</v>
      </c>
    </row>
    <row r="2979" spans="2:9">
      <c r="B2979">
        <f>'2020_5-2-2_Download'!B23</f>
        <v>241999</v>
      </c>
      <c r="C2979">
        <f>'2020_5-2-2_Download'!$BA$5</f>
        <v>2013</v>
      </c>
      <c r="D2979" t="str">
        <f>VLOOKUP(B2979,[1]Tabelle1!$A$1:$B$68,2,FALSE)</f>
        <v>dav. Hannover  Umland</v>
      </c>
      <c r="F2979" t="str">
        <f>'2020_5-2-2_Download'!$BF$7</f>
        <v>niedrig</v>
      </c>
      <c r="G2979" t="s">
        <v>362</v>
      </c>
      <c r="H2979" t="str">
        <f>VLOOKUP(B2979,[2]Kreise!$A$2:$C$53,3,FALSE)</f>
        <v>K03241999</v>
      </c>
      <c r="I2979" s="266">
        <f>'2020_5-2-2_Download'!BF23</f>
        <v>20.924022979205436</v>
      </c>
    </row>
    <row r="2980" spans="2:9">
      <c r="B2980">
        <f>'2020_5-2-2_Download'!B24</f>
        <v>251</v>
      </c>
      <c r="C2980">
        <f>'2020_5-2-2_Download'!$BA$5</f>
        <v>2013</v>
      </c>
      <c r="D2980" t="str">
        <f>VLOOKUP(B2980,[1]Tabelle1!$A$1:$B$68,2,FALSE)</f>
        <v>Diepholz</v>
      </c>
      <c r="F2980" t="str">
        <f>'2020_5-2-2_Download'!$BF$7</f>
        <v>niedrig</v>
      </c>
      <c r="G2980" t="s">
        <v>362</v>
      </c>
      <c r="H2980" t="str">
        <f>VLOOKUP(B2980,[2]Kreise!$A$2:$C$53,3,FALSE)</f>
        <v>K03251</v>
      </c>
      <c r="I2980" s="266">
        <f>'2020_5-2-2_Download'!BF24</f>
        <v>18.314296967309964</v>
      </c>
    </row>
    <row r="2981" spans="2:9">
      <c r="B2981">
        <f>'2020_5-2-2_Download'!B25</f>
        <v>252</v>
      </c>
      <c r="C2981">
        <f>'2020_5-2-2_Download'!$BA$5</f>
        <v>2013</v>
      </c>
      <c r="D2981" t="str">
        <f>VLOOKUP(B2981,[1]Tabelle1!$A$1:$B$68,2,FALSE)</f>
        <v>Hameln-Pyrmont</v>
      </c>
      <c r="F2981" t="str">
        <f>'2020_5-2-2_Download'!$BF$7</f>
        <v>niedrig</v>
      </c>
      <c r="G2981" t="s">
        <v>362</v>
      </c>
      <c r="H2981" t="str">
        <f>VLOOKUP(B2981,[2]Kreise!$A$2:$C$53,3,FALSE)</f>
        <v>K03252</v>
      </c>
      <c r="I2981" s="266">
        <f>'2020_5-2-2_Download'!BF25</f>
        <v>20.702479338842974</v>
      </c>
    </row>
    <row r="2982" spans="2:9">
      <c r="B2982">
        <f>'2020_5-2-2_Download'!B26</f>
        <v>254</v>
      </c>
      <c r="C2982">
        <f>'2020_5-2-2_Download'!$BA$5</f>
        <v>2013</v>
      </c>
      <c r="D2982" t="str">
        <f>VLOOKUP(B2982,[1]Tabelle1!$A$1:$B$68,2,FALSE)</f>
        <v>Hildesheim</v>
      </c>
      <c r="F2982" t="str">
        <f>'2020_5-2-2_Download'!$BF$7</f>
        <v>niedrig</v>
      </c>
      <c r="G2982" t="s">
        <v>362</v>
      </c>
      <c r="H2982" t="str">
        <f>VLOOKUP(B2982,[2]Kreise!$A$2:$C$53,3,FALSE)</f>
        <v>K03254</v>
      </c>
      <c r="I2982" s="266">
        <f>'2020_5-2-2_Download'!BF26</f>
        <v>23.146202341639146</v>
      </c>
    </row>
    <row r="2983" spans="2:9">
      <c r="B2983">
        <f>'2020_5-2-2_Download'!B27</f>
        <v>255</v>
      </c>
      <c r="C2983">
        <f>'2020_5-2-2_Download'!$BA$5</f>
        <v>2013</v>
      </c>
      <c r="D2983" t="str">
        <f>VLOOKUP(B2983,[1]Tabelle1!$A$1:$B$68,2,FALSE)</f>
        <v>Holzminden</v>
      </c>
      <c r="F2983" t="str">
        <f>'2020_5-2-2_Download'!$BF$7</f>
        <v>niedrig</v>
      </c>
      <c r="G2983" t="s">
        <v>362</v>
      </c>
      <c r="H2983" t="str">
        <f>VLOOKUP(B2983,[2]Kreise!$A$2:$C$53,3,FALSE)</f>
        <v>K03255</v>
      </c>
      <c r="I2983" s="266">
        <f>'2020_5-2-2_Download'!BF27</f>
        <v>31.275167785234899</v>
      </c>
    </row>
    <row r="2984" spans="2:9">
      <c r="B2984">
        <f>'2020_5-2-2_Download'!B28</f>
        <v>256</v>
      </c>
      <c r="C2984">
        <f>'2020_5-2-2_Download'!$BA$5</f>
        <v>2013</v>
      </c>
      <c r="D2984" t="str">
        <f>VLOOKUP(B2984,[1]Tabelle1!$A$1:$B$68,2,FALSE)</f>
        <v>Nienburg (Weser)</v>
      </c>
      <c r="F2984" t="str">
        <f>'2020_5-2-2_Download'!$BF$7</f>
        <v>niedrig</v>
      </c>
      <c r="G2984" t="s">
        <v>362</v>
      </c>
      <c r="H2984" t="str">
        <f>VLOOKUP(B2984,[2]Kreise!$A$2:$C$53,3,FALSE)</f>
        <v>K03256</v>
      </c>
      <c r="I2984" s="266">
        <f>'2020_5-2-2_Download'!BF28</f>
        <v>25.045815516188146</v>
      </c>
    </row>
    <row r="2985" spans="2:9">
      <c r="B2985">
        <f>'2020_5-2-2_Download'!B29</f>
        <v>257</v>
      </c>
      <c r="C2985">
        <f>'2020_5-2-2_Download'!$BA$5</f>
        <v>2013</v>
      </c>
      <c r="D2985" t="str">
        <f>VLOOKUP(B2985,[1]Tabelle1!$A$1:$B$68,2,FALSE)</f>
        <v>Schaumburg</v>
      </c>
      <c r="F2985" t="str">
        <f>'2020_5-2-2_Download'!$BF$7</f>
        <v>niedrig</v>
      </c>
      <c r="G2985" t="s">
        <v>362</v>
      </c>
      <c r="H2985" t="str">
        <f>VLOOKUP(B2985,[2]Kreise!$A$2:$C$53,3,FALSE)</f>
        <v>K03257</v>
      </c>
      <c r="I2985" s="266">
        <f>'2020_5-2-2_Download'!BF29</f>
        <v>28.418683173888574</v>
      </c>
    </row>
    <row r="2986" spans="2:9">
      <c r="B2986">
        <f>'2020_5-2-2_Download'!B30</f>
        <v>2</v>
      </c>
      <c r="C2986">
        <f>'2020_5-2-2_Download'!$BA$5</f>
        <v>2013</v>
      </c>
      <c r="D2986" t="str">
        <f>VLOOKUP(B2986,[1]Tabelle1!$A$1:$B$68,2,FALSE)</f>
        <v>Stat. Region Hannover</v>
      </c>
      <c r="F2986" t="str">
        <f>'2020_5-2-2_Download'!$BF$7</f>
        <v>niedrig</v>
      </c>
      <c r="G2986" t="s">
        <v>362</v>
      </c>
      <c r="H2986" t="str">
        <f>VLOOKUP(B2986,[2]Kreise!$A$2:$C$53,3,FALSE)</f>
        <v>K032</v>
      </c>
      <c r="I2986" s="266">
        <f>'2020_5-2-2_Download'!BF30</f>
        <v>21.609082137504878</v>
      </c>
    </row>
    <row r="2987" spans="2:9">
      <c r="B2987">
        <f>'2020_5-2-2_Download'!B31</f>
        <v>351</v>
      </c>
      <c r="C2987">
        <f>'2020_5-2-2_Download'!$BA$5</f>
        <v>2013</v>
      </c>
      <c r="D2987" t="str">
        <f>VLOOKUP(B2987,[1]Tabelle1!$A$1:$B$68,2,FALSE)</f>
        <v>Celle</v>
      </c>
      <c r="F2987" t="str">
        <f>'2020_5-2-2_Download'!$BF$7</f>
        <v>niedrig</v>
      </c>
      <c r="G2987" t="s">
        <v>362</v>
      </c>
      <c r="H2987" t="str">
        <f>VLOOKUP(B2987,[2]Kreise!$A$2:$C$53,3,FALSE)</f>
        <v>K03351</v>
      </c>
      <c r="I2987" s="266">
        <f>'2020_5-2-2_Download'!BF31</f>
        <v>22.737608003638019</v>
      </c>
    </row>
    <row r="2988" spans="2:9">
      <c r="B2988">
        <f>'2020_5-2-2_Download'!B32</f>
        <v>352</v>
      </c>
      <c r="C2988">
        <f>'2020_5-2-2_Download'!$BA$5</f>
        <v>2013</v>
      </c>
      <c r="D2988" t="str">
        <f>VLOOKUP(B2988,[1]Tabelle1!$A$1:$B$68,2,FALSE)</f>
        <v>Cuxhaven</v>
      </c>
      <c r="F2988" t="str">
        <f>'2020_5-2-2_Download'!$BF$7</f>
        <v>niedrig</v>
      </c>
      <c r="G2988" t="s">
        <v>362</v>
      </c>
      <c r="H2988" t="str">
        <f>VLOOKUP(B2988,[2]Kreise!$A$2:$C$53,3,FALSE)</f>
        <v>K03352</v>
      </c>
      <c r="I2988" s="266">
        <f>'2020_5-2-2_Download'!BF32</f>
        <v>19.009262988320579</v>
      </c>
    </row>
    <row r="2989" spans="2:9">
      <c r="B2989">
        <f>'2020_5-2-2_Download'!B33</f>
        <v>353</v>
      </c>
      <c r="C2989">
        <f>'2020_5-2-2_Download'!$BA$5</f>
        <v>2013</v>
      </c>
      <c r="D2989" t="str">
        <f>VLOOKUP(B2989,[1]Tabelle1!$A$1:$B$68,2,FALSE)</f>
        <v>Harburg</v>
      </c>
      <c r="F2989" t="str">
        <f>'2020_5-2-2_Download'!$BF$7</f>
        <v>niedrig</v>
      </c>
      <c r="G2989" t="s">
        <v>362</v>
      </c>
      <c r="H2989" t="str">
        <f>VLOOKUP(B2989,[2]Kreise!$A$2:$C$53,3,FALSE)</f>
        <v>K03353</v>
      </c>
      <c r="I2989" s="266">
        <f>'2020_5-2-2_Download'!BF33</f>
        <v>16.096399880987803</v>
      </c>
    </row>
    <row r="2990" spans="2:9">
      <c r="B2990">
        <f>'2020_5-2-2_Download'!B34</f>
        <v>354</v>
      </c>
      <c r="C2990">
        <f>'2020_5-2-2_Download'!$BA$5</f>
        <v>2013</v>
      </c>
      <c r="D2990" t="str">
        <f>VLOOKUP(B2990,[1]Tabelle1!$A$1:$B$68,2,FALSE)</f>
        <v>Lüchow-Dannenberg</v>
      </c>
      <c r="F2990" t="str">
        <f>'2020_5-2-2_Download'!$BF$7</f>
        <v>niedrig</v>
      </c>
      <c r="G2990" t="s">
        <v>362</v>
      </c>
      <c r="H2990" t="str">
        <f>VLOOKUP(B2990,[2]Kreise!$A$2:$C$53,3,FALSE)</f>
        <v>K03354</v>
      </c>
      <c r="I2990" s="266">
        <f>'2020_5-2-2_Download'!BF34</f>
        <v>10.891089108910892</v>
      </c>
    </row>
    <row r="2991" spans="2:9">
      <c r="B2991">
        <f>'2020_5-2-2_Download'!B35</f>
        <v>355</v>
      </c>
      <c r="C2991">
        <f>'2020_5-2-2_Download'!$BA$5</f>
        <v>2013</v>
      </c>
      <c r="D2991" t="str">
        <f>VLOOKUP(B2991,[1]Tabelle1!$A$1:$B$68,2,FALSE)</f>
        <v>Lüneburg</v>
      </c>
      <c r="F2991" t="str">
        <f>'2020_5-2-2_Download'!$BF$7</f>
        <v>niedrig</v>
      </c>
      <c r="G2991" t="s">
        <v>362</v>
      </c>
      <c r="H2991" t="str">
        <f>VLOOKUP(B2991,[2]Kreise!$A$2:$C$53,3,FALSE)</f>
        <v>K03355</v>
      </c>
      <c r="I2991" s="266">
        <f>'2020_5-2-2_Download'!BF35</f>
        <v>19.611955951756684</v>
      </c>
    </row>
    <row r="2992" spans="2:9">
      <c r="B2992">
        <f>'2020_5-2-2_Download'!B36</f>
        <v>356</v>
      </c>
      <c r="C2992">
        <f>'2020_5-2-2_Download'!$BA$5</f>
        <v>2013</v>
      </c>
      <c r="D2992" t="str">
        <f>VLOOKUP(B2992,[1]Tabelle1!$A$1:$B$68,2,FALSE)</f>
        <v>Osterholz</v>
      </c>
      <c r="F2992" t="str">
        <f>'2020_5-2-2_Download'!$BF$7</f>
        <v>niedrig</v>
      </c>
      <c r="G2992" t="s">
        <v>362</v>
      </c>
      <c r="H2992" t="str">
        <f>VLOOKUP(B2992,[2]Kreise!$A$2:$C$53,3,FALSE)</f>
        <v>K03356</v>
      </c>
      <c r="I2992" s="266">
        <f>'2020_5-2-2_Download'!BF36</f>
        <v>22.442244224422442</v>
      </c>
    </row>
    <row r="2993" spans="2:9">
      <c r="B2993">
        <f>'2020_5-2-2_Download'!B37</f>
        <v>357</v>
      </c>
      <c r="C2993">
        <f>'2020_5-2-2_Download'!$BA$5</f>
        <v>2013</v>
      </c>
      <c r="D2993" t="str">
        <f>VLOOKUP(B2993,[1]Tabelle1!$A$1:$B$68,2,FALSE)</f>
        <v>Rotenburg (Wümme)</v>
      </c>
      <c r="F2993" t="str">
        <f>'2020_5-2-2_Download'!$BF$7</f>
        <v>niedrig</v>
      </c>
      <c r="G2993" t="s">
        <v>362</v>
      </c>
      <c r="H2993" t="str">
        <f>VLOOKUP(B2993,[2]Kreise!$A$2:$C$53,3,FALSE)</f>
        <v>K03357</v>
      </c>
      <c r="I2993" s="266">
        <f>'2020_5-2-2_Download'!BF37</f>
        <v>17.751141552511417</v>
      </c>
    </row>
    <row r="2994" spans="2:9">
      <c r="B2994">
        <f>'2020_5-2-2_Download'!B38</f>
        <v>358</v>
      </c>
      <c r="C2994">
        <f>'2020_5-2-2_Download'!$BA$5</f>
        <v>2013</v>
      </c>
      <c r="D2994" t="str">
        <f>VLOOKUP(B2994,[1]Tabelle1!$A$1:$B$68,2,FALSE)</f>
        <v>Heidekreis</v>
      </c>
      <c r="F2994" t="str">
        <f>'2020_5-2-2_Download'!$BF$7</f>
        <v>niedrig</v>
      </c>
      <c r="G2994" t="s">
        <v>362</v>
      </c>
      <c r="H2994" t="str">
        <f>VLOOKUP(B2994,[2]Kreise!$A$2:$C$53,3,FALSE)</f>
        <v>K03358</v>
      </c>
      <c r="I2994" s="266">
        <f>'2020_5-2-2_Download'!BF38</f>
        <v>16.959619952494062</v>
      </c>
    </row>
    <row r="2995" spans="2:9">
      <c r="B2995">
        <f>'2020_5-2-2_Download'!B39</f>
        <v>359</v>
      </c>
      <c r="C2995">
        <f>'2020_5-2-2_Download'!$BA$5</f>
        <v>2013</v>
      </c>
      <c r="D2995" t="str">
        <f>VLOOKUP(B2995,[1]Tabelle1!$A$1:$B$68,2,FALSE)</f>
        <v>Stade</v>
      </c>
      <c r="F2995" t="str">
        <f>'2020_5-2-2_Download'!$BF$7</f>
        <v>niedrig</v>
      </c>
      <c r="G2995" t="s">
        <v>362</v>
      </c>
      <c r="H2995" t="str">
        <f>VLOOKUP(B2995,[2]Kreise!$A$2:$C$53,3,FALSE)</f>
        <v>K03359</v>
      </c>
      <c r="I2995" s="266">
        <f>'2020_5-2-2_Download'!BF39</f>
        <v>9.5095095095095097</v>
      </c>
    </row>
    <row r="2996" spans="2:9">
      <c r="B2996">
        <f>'2020_5-2-2_Download'!B40</f>
        <v>360</v>
      </c>
      <c r="C2996">
        <f>'2020_5-2-2_Download'!$BA$5</f>
        <v>2013</v>
      </c>
      <c r="D2996" t="str">
        <f>VLOOKUP(B2996,[1]Tabelle1!$A$1:$B$68,2,FALSE)</f>
        <v>Uelzen</v>
      </c>
      <c r="F2996" t="str">
        <f>'2020_5-2-2_Download'!$BF$7</f>
        <v>niedrig</v>
      </c>
      <c r="G2996" t="s">
        <v>362</v>
      </c>
      <c r="H2996" t="str">
        <f>VLOOKUP(B2996,[2]Kreise!$A$2:$C$53,3,FALSE)</f>
        <v>K03360</v>
      </c>
      <c r="I2996" s="266">
        <f>'2020_5-2-2_Download'!BF40</f>
        <v>11.569148936170212</v>
      </c>
    </row>
    <row r="2997" spans="2:9">
      <c r="B2997">
        <f>'2020_5-2-2_Download'!B41</f>
        <v>361</v>
      </c>
      <c r="C2997">
        <f>'2020_5-2-2_Download'!$BA$5</f>
        <v>2013</v>
      </c>
      <c r="D2997" t="str">
        <f>VLOOKUP(B2997,[1]Tabelle1!$A$1:$B$68,2,FALSE)</f>
        <v>Verden</v>
      </c>
      <c r="F2997" t="str">
        <f>'2020_5-2-2_Download'!$BF$7</f>
        <v>niedrig</v>
      </c>
      <c r="G2997" t="s">
        <v>362</v>
      </c>
      <c r="H2997" t="str">
        <f>VLOOKUP(B2997,[2]Kreise!$A$2:$C$53,3,FALSE)</f>
        <v>K03361</v>
      </c>
      <c r="I2997" s="266">
        <f>'2020_5-2-2_Download'!BF41</f>
        <v>24.47521214828048</v>
      </c>
    </row>
    <row r="2998" spans="2:9">
      <c r="B2998">
        <f>'2020_5-2-2_Download'!B42</f>
        <v>3</v>
      </c>
      <c r="C2998">
        <f>'2020_5-2-2_Download'!$BA$5</f>
        <v>2013</v>
      </c>
      <c r="D2998" t="str">
        <f>VLOOKUP(B2998,[1]Tabelle1!$A$1:$B$68,2,FALSE)</f>
        <v>Stat. Region Lüneburg</v>
      </c>
      <c r="F2998" t="str">
        <f>'2020_5-2-2_Download'!$BF$7</f>
        <v>niedrig</v>
      </c>
      <c r="G2998" t="s">
        <v>362</v>
      </c>
      <c r="H2998" t="str">
        <f>VLOOKUP(B2998,[2]Kreise!$A$2:$C$53,3,FALSE)</f>
        <v>K033</v>
      </c>
      <c r="I2998" s="266">
        <f>'2020_5-2-2_Download'!BF42</f>
        <v>17.299827319821866</v>
      </c>
    </row>
    <row r="2999" spans="2:9">
      <c r="B2999">
        <f>'2020_5-2-2_Download'!B43</f>
        <v>401</v>
      </c>
      <c r="C2999">
        <f>'2020_5-2-2_Download'!$BA$5</f>
        <v>2013</v>
      </c>
      <c r="D2999" t="str">
        <f>VLOOKUP(B2999,[1]Tabelle1!$A$1:$B$68,2,FALSE)</f>
        <v>Delmenhorst  Stadt</v>
      </c>
      <c r="F2999" t="str">
        <f>'2020_5-2-2_Download'!$BF$7</f>
        <v>niedrig</v>
      </c>
      <c r="G2999" t="s">
        <v>362</v>
      </c>
      <c r="H2999" t="str">
        <f>VLOOKUP(B2999,[2]Kreise!$A$2:$C$53,3,FALSE)</f>
        <v>K03401</v>
      </c>
      <c r="I2999" s="266">
        <f>'2020_5-2-2_Download'!BF43</f>
        <v>18.55072463768116</v>
      </c>
    </row>
    <row r="3000" spans="2:9">
      <c r="B3000">
        <f>'2020_5-2-2_Download'!B44</f>
        <v>402</v>
      </c>
      <c r="C3000">
        <f>'2020_5-2-2_Download'!$BA$5</f>
        <v>2013</v>
      </c>
      <c r="D3000" t="str">
        <f>VLOOKUP(B3000,[1]Tabelle1!$A$1:$B$68,2,FALSE)</f>
        <v>Emden  Stadt</v>
      </c>
      <c r="F3000" t="str">
        <f>'2020_5-2-2_Download'!$BF$7</f>
        <v>niedrig</v>
      </c>
      <c r="G3000" t="s">
        <v>362</v>
      </c>
      <c r="H3000" t="str">
        <f>VLOOKUP(B3000,[2]Kreise!$A$2:$C$53,3,FALSE)</f>
        <v>K03402</v>
      </c>
      <c r="I3000" s="266">
        <f>'2020_5-2-2_Download'!BF44</f>
        <v>18.659420289855071</v>
      </c>
    </row>
    <row r="3001" spans="2:9">
      <c r="B3001">
        <f>'2020_5-2-2_Download'!B45</f>
        <v>403</v>
      </c>
      <c r="C3001">
        <f>'2020_5-2-2_Download'!$BA$5</f>
        <v>2013</v>
      </c>
      <c r="D3001" t="str">
        <f>VLOOKUP(B3001,[1]Tabelle1!$A$1:$B$68,2,FALSE)</f>
        <v>Oldenburg(Oldb)  Stadt</v>
      </c>
      <c r="F3001" t="str">
        <f>'2020_5-2-2_Download'!$BF$7</f>
        <v>niedrig</v>
      </c>
      <c r="G3001" t="s">
        <v>362</v>
      </c>
      <c r="H3001" t="str">
        <f>VLOOKUP(B3001,[2]Kreise!$A$2:$C$53,3,FALSE)</f>
        <v>K03403</v>
      </c>
      <c r="I3001" s="266">
        <f>'2020_5-2-2_Download'!BF45</f>
        <v>21.438596491228072</v>
      </c>
    </row>
    <row r="3002" spans="2:9">
      <c r="B3002">
        <f>'2020_5-2-2_Download'!B46</f>
        <v>404</v>
      </c>
      <c r="C3002">
        <f>'2020_5-2-2_Download'!$BA$5</f>
        <v>2013</v>
      </c>
      <c r="D3002" t="str">
        <f>VLOOKUP(B3002,[1]Tabelle1!$A$1:$B$68,2,FALSE)</f>
        <v>Osnabrück  Stadt</v>
      </c>
      <c r="F3002" t="str">
        <f>'2020_5-2-2_Download'!$BF$7</f>
        <v>niedrig</v>
      </c>
      <c r="G3002" t="s">
        <v>362</v>
      </c>
      <c r="H3002" t="str">
        <f>VLOOKUP(B3002,[2]Kreise!$A$2:$C$53,3,FALSE)</f>
        <v>K03404</v>
      </c>
      <c r="I3002" s="266">
        <f>'2020_5-2-2_Download'!BF46</f>
        <v>22.22443294866693</v>
      </c>
    </row>
    <row r="3003" spans="2:9">
      <c r="B3003">
        <f>'2020_5-2-2_Download'!B47</f>
        <v>405</v>
      </c>
      <c r="C3003">
        <f>'2020_5-2-2_Download'!$BA$5</f>
        <v>2013</v>
      </c>
      <c r="D3003" t="str">
        <f>VLOOKUP(B3003,[1]Tabelle1!$A$1:$B$68,2,FALSE)</f>
        <v>Wilhelmshaven  Stadt</v>
      </c>
      <c r="F3003" t="str">
        <f>'2020_5-2-2_Download'!$BF$7</f>
        <v>niedrig</v>
      </c>
      <c r="G3003" t="s">
        <v>362</v>
      </c>
      <c r="H3003" t="str">
        <f>VLOOKUP(B3003,[2]Kreise!$A$2:$C$53,3,FALSE)</f>
        <v>K03405</v>
      </c>
      <c r="I3003" s="266">
        <f>'2020_5-2-2_Download'!BF47</f>
        <v>19.94459833795014</v>
      </c>
    </row>
    <row r="3004" spans="2:9">
      <c r="B3004">
        <f>'2020_5-2-2_Download'!B48</f>
        <v>451</v>
      </c>
      <c r="C3004">
        <f>'2020_5-2-2_Download'!$BA$5</f>
        <v>2013</v>
      </c>
      <c r="D3004" t="str">
        <f>VLOOKUP(B3004,[1]Tabelle1!$A$1:$B$68,2,FALSE)</f>
        <v>Ammerland</v>
      </c>
      <c r="F3004" t="str">
        <f>'2020_5-2-2_Download'!$BF$7</f>
        <v>niedrig</v>
      </c>
      <c r="G3004" t="s">
        <v>362</v>
      </c>
      <c r="H3004" t="str">
        <f>VLOOKUP(B3004,[2]Kreise!$A$2:$C$53,3,FALSE)</f>
        <v>K03451</v>
      </c>
      <c r="I3004" s="266">
        <f>'2020_5-2-2_Download'!BF48</f>
        <v>15.805946791862285</v>
      </c>
    </row>
    <row r="3005" spans="2:9">
      <c r="B3005">
        <f>'2020_5-2-2_Download'!B49</f>
        <v>452</v>
      </c>
      <c r="C3005">
        <f>'2020_5-2-2_Download'!$BA$5</f>
        <v>2013</v>
      </c>
      <c r="D3005" t="str">
        <f>VLOOKUP(B3005,[1]Tabelle1!$A$1:$B$68,2,FALSE)</f>
        <v>Aurich</v>
      </c>
      <c r="F3005" t="str">
        <f>'2020_5-2-2_Download'!$BF$7</f>
        <v>niedrig</v>
      </c>
      <c r="G3005" t="s">
        <v>362</v>
      </c>
      <c r="H3005" t="str">
        <f>VLOOKUP(B3005,[2]Kreise!$A$2:$C$53,3,FALSE)</f>
        <v>K03452</v>
      </c>
      <c r="I3005" s="266">
        <f>'2020_5-2-2_Download'!BF49</f>
        <v>18.561484918793504</v>
      </c>
    </row>
    <row r="3006" spans="2:9">
      <c r="B3006">
        <f>'2020_5-2-2_Download'!B50</f>
        <v>453</v>
      </c>
      <c r="C3006">
        <f>'2020_5-2-2_Download'!$BA$5</f>
        <v>2013</v>
      </c>
      <c r="D3006" t="str">
        <f>VLOOKUP(B3006,[1]Tabelle1!$A$1:$B$68,2,FALSE)</f>
        <v>Cloppenburg</v>
      </c>
      <c r="F3006" t="str">
        <f>'2020_5-2-2_Download'!$BF$7</f>
        <v>niedrig</v>
      </c>
      <c r="G3006" t="s">
        <v>362</v>
      </c>
      <c r="H3006" t="str">
        <f>VLOOKUP(B3006,[2]Kreise!$A$2:$C$53,3,FALSE)</f>
        <v>K03453</v>
      </c>
      <c r="I3006" s="266">
        <f>'2020_5-2-2_Download'!BF50</f>
        <v>18.009118541033434</v>
      </c>
    </row>
    <row r="3007" spans="2:9">
      <c r="B3007">
        <f>'2020_5-2-2_Download'!B51</f>
        <v>454</v>
      </c>
      <c r="C3007">
        <f>'2020_5-2-2_Download'!$BA$5</f>
        <v>2013</v>
      </c>
      <c r="D3007" t="str">
        <f>VLOOKUP(B3007,[1]Tabelle1!$A$1:$B$68,2,FALSE)</f>
        <v>Emsland</v>
      </c>
      <c r="F3007" t="str">
        <f>'2020_5-2-2_Download'!$BF$7</f>
        <v>niedrig</v>
      </c>
      <c r="G3007" t="s">
        <v>362</v>
      </c>
      <c r="H3007" t="str">
        <f>VLOOKUP(B3007,[2]Kreise!$A$2:$C$53,3,FALSE)</f>
        <v>K03454</v>
      </c>
      <c r="I3007" s="266">
        <f>'2020_5-2-2_Download'!BF51</f>
        <v>14.780984014947062</v>
      </c>
    </row>
    <row r="3008" spans="2:9">
      <c r="B3008">
        <f>'2020_5-2-2_Download'!B52</f>
        <v>455</v>
      </c>
      <c r="C3008">
        <f>'2020_5-2-2_Download'!$BA$5</f>
        <v>2013</v>
      </c>
      <c r="D3008" t="str">
        <f>VLOOKUP(B3008,[1]Tabelle1!$A$1:$B$68,2,FALSE)</f>
        <v>Friesland</v>
      </c>
      <c r="F3008" t="str">
        <f>'2020_5-2-2_Download'!$BF$7</f>
        <v>niedrig</v>
      </c>
      <c r="G3008" t="s">
        <v>362</v>
      </c>
      <c r="H3008" t="str">
        <f>VLOOKUP(B3008,[2]Kreise!$A$2:$C$53,3,FALSE)</f>
        <v>K03455</v>
      </c>
      <c r="I3008" s="266">
        <f>'2020_5-2-2_Download'!BF52</f>
        <v>17.503392130257804</v>
      </c>
    </row>
    <row r="3009" spans="2:9">
      <c r="B3009">
        <f>'2020_5-2-2_Download'!B53</f>
        <v>456</v>
      </c>
      <c r="C3009">
        <f>'2020_5-2-2_Download'!$BA$5</f>
        <v>2013</v>
      </c>
      <c r="D3009" t="str">
        <f>VLOOKUP(B3009,[1]Tabelle1!$A$1:$B$68,2,FALSE)</f>
        <v>Grafschaft Bentheim</v>
      </c>
      <c r="F3009" t="str">
        <f>'2020_5-2-2_Download'!$BF$7</f>
        <v>niedrig</v>
      </c>
      <c r="G3009" t="s">
        <v>362</v>
      </c>
      <c r="H3009" t="str">
        <f>VLOOKUP(B3009,[2]Kreise!$A$2:$C$53,3,FALSE)</f>
        <v>K03456</v>
      </c>
      <c r="I3009" s="266">
        <f>'2020_5-2-2_Download'!BF53</f>
        <v>15.423836838750796</v>
      </c>
    </row>
    <row r="3010" spans="2:9">
      <c r="B3010">
        <f>'2020_5-2-2_Download'!B54</f>
        <v>457</v>
      </c>
      <c r="C3010">
        <f>'2020_5-2-2_Download'!$BA$5</f>
        <v>2013</v>
      </c>
      <c r="D3010" t="str">
        <f>VLOOKUP(B3010,[1]Tabelle1!$A$1:$B$68,2,FALSE)</f>
        <v>Leer</v>
      </c>
      <c r="F3010" t="str">
        <f>'2020_5-2-2_Download'!$BF$7</f>
        <v>niedrig</v>
      </c>
      <c r="G3010" t="s">
        <v>362</v>
      </c>
      <c r="H3010" t="str">
        <f>VLOOKUP(B3010,[2]Kreise!$A$2:$C$53,3,FALSE)</f>
        <v>K03457</v>
      </c>
      <c r="I3010" s="266">
        <f>'2020_5-2-2_Download'!BF54</f>
        <v>12.472283813747229</v>
      </c>
    </row>
    <row r="3011" spans="2:9">
      <c r="B3011">
        <f>'2020_5-2-2_Download'!B55</f>
        <v>458</v>
      </c>
      <c r="C3011">
        <f>'2020_5-2-2_Download'!$BA$5</f>
        <v>2013</v>
      </c>
      <c r="D3011" t="str">
        <f>VLOOKUP(B3011,[1]Tabelle1!$A$1:$B$68,2,FALSE)</f>
        <v>Oldenburg</v>
      </c>
      <c r="F3011" t="str">
        <f>'2020_5-2-2_Download'!$BF$7</f>
        <v>niedrig</v>
      </c>
      <c r="G3011" t="s">
        <v>362</v>
      </c>
      <c r="H3011" t="str">
        <f>VLOOKUP(B3011,[2]Kreise!$A$2:$C$53,3,FALSE)</f>
        <v>K03458</v>
      </c>
      <c r="I3011" s="266">
        <f>'2020_5-2-2_Download'!BF55</f>
        <v>27.52126366950182</v>
      </c>
    </row>
    <row r="3012" spans="2:9">
      <c r="B3012">
        <f>'2020_5-2-2_Download'!B56</f>
        <v>459</v>
      </c>
      <c r="C3012">
        <f>'2020_5-2-2_Download'!$BA$5</f>
        <v>2013</v>
      </c>
      <c r="D3012" t="str">
        <f>VLOOKUP(B3012,[1]Tabelle1!$A$1:$B$68,2,FALSE)</f>
        <v>Osnabrück</v>
      </c>
      <c r="F3012" t="str">
        <f>'2020_5-2-2_Download'!$BF$7</f>
        <v>niedrig</v>
      </c>
      <c r="G3012" t="s">
        <v>362</v>
      </c>
      <c r="H3012" t="str">
        <f>VLOOKUP(B3012,[2]Kreise!$A$2:$C$53,3,FALSE)</f>
        <v>K03459</v>
      </c>
      <c r="I3012" s="266">
        <f>'2020_5-2-2_Download'!BF56</f>
        <v>25.680882157566092</v>
      </c>
    </row>
    <row r="3013" spans="2:9">
      <c r="B3013">
        <f>'2020_5-2-2_Download'!B57</f>
        <v>460</v>
      </c>
      <c r="C3013">
        <f>'2020_5-2-2_Download'!$BA$5</f>
        <v>2013</v>
      </c>
      <c r="D3013" t="str">
        <f>VLOOKUP(B3013,[1]Tabelle1!$A$1:$B$68,2,FALSE)</f>
        <v>Vechta</v>
      </c>
      <c r="F3013" t="str">
        <f>'2020_5-2-2_Download'!$BF$7</f>
        <v>niedrig</v>
      </c>
      <c r="G3013" t="s">
        <v>362</v>
      </c>
      <c r="H3013" t="str">
        <f>VLOOKUP(B3013,[2]Kreise!$A$2:$C$53,3,FALSE)</f>
        <v>K03460</v>
      </c>
      <c r="I3013" s="266">
        <f>'2020_5-2-2_Download'!BF57</f>
        <v>21.704021094264998</v>
      </c>
    </row>
    <row r="3014" spans="2:9">
      <c r="B3014">
        <f>'2020_5-2-2_Download'!B58</f>
        <v>461</v>
      </c>
      <c r="C3014">
        <f>'2020_5-2-2_Download'!$BA$5</f>
        <v>2013</v>
      </c>
      <c r="D3014" t="str">
        <f>VLOOKUP(B3014,[1]Tabelle1!$A$1:$B$68,2,FALSE)</f>
        <v>Wesermarsch</v>
      </c>
      <c r="F3014" t="str">
        <f>'2020_5-2-2_Download'!$BF$7</f>
        <v>niedrig</v>
      </c>
      <c r="G3014" t="s">
        <v>362</v>
      </c>
      <c r="H3014" t="str">
        <f>VLOOKUP(B3014,[2]Kreise!$A$2:$C$53,3,FALSE)</f>
        <v>K03461</v>
      </c>
      <c r="I3014" s="266">
        <f>'2020_5-2-2_Download'!BF58</f>
        <v>22.016129032258064</v>
      </c>
    </row>
    <row r="3015" spans="2:9">
      <c r="B3015">
        <f>'2020_5-2-2_Download'!B59</f>
        <v>462</v>
      </c>
      <c r="C3015">
        <f>'2020_5-2-2_Download'!$BA$5</f>
        <v>2013</v>
      </c>
      <c r="D3015" t="str">
        <f>VLOOKUP(B3015,[1]Tabelle1!$A$1:$B$68,2,FALSE)</f>
        <v>Wittmund</v>
      </c>
      <c r="F3015" t="str">
        <f>'2020_5-2-2_Download'!$BF$7</f>
        <v>niedrig</v>
      </c>
      <c r="G3015" t="s">
        <v>362</v>
      </c>
      <c r="H3015" t="str">
        <f>VLOOKUP(B3015,[2]Kreise!$A$2:$C$53,3,FALSE)</f>
        <v>K03462</v>
      </c>
      <c r="I3015" s="266">
        <f>'2020_5-2-2_Download'!BF59</f>
        <v>9.879032258064516</v>
      </c>
    </row>
    <row r="3016" spans="2:9">
      <c r="B3016">
        <f>'2020_5-2-2_Download'!B60</f>
        <v>4</v>
      </c>
      <c r="C3016">
        <f>'2020_5-2-2_Download'!$BA$5</f>
        <v>2013</v>
      </c>
      <c r="D3016" t="str">
        <f>VLOOKUP(B3016,[1]Tabelle1!$A$1:$B$68,2,FALSE)</f>
        <v>Stat. Region Weser-Ems</v>
      </c>
      <c r="F3016" t="str">
        <f>'2020_5-2-2_Download'!$BF$7</f>
        <v>niedrig</v>
      </c>
      <c r="G3016" t="s">
        <v>362</v>
      </c>
      <c r="H3016" t="str">
        <f>VLOOKUP(B3016,[2]Kreise!$A$2:$C$53,3,FALSE)</f>
        <v>K034</v>
      </c>
      <c r="I3016" s="266">
        <f>'2020_5-2-2_Download'!BF60</f>
        <v>20.028120268224097</v>
      </c>
    </row>
    <row r="3017" spans="2:9">
      <c r="B3017">
        <f>'2020_5-2-2_Download'!B61</f>
        <v>0</v>
      </c>
      <c r="C3017">
        <f>'2020_5-2-2_Download'!$BA$5</f>
        <v>2013</v>
      </c>
      <c r="D3017" t="str">
        <f>VLOOKUP(B3017,[1]Tabelle1!$A$1:$B$68,2,FALSE)</f>
        <v>Niedersachsen</v>
      </c>
      <c r="F3017" t="str">
        <f>'2020_5-2-2_Download'!$BF$7</f>
        <v>niedrig</v>
      </c>
      <c r="G3017" t="s">
        <v>362</v>
      </c>
      <c r="H3017" t="str">
        <f>VLOOKUP(B3017,[2]Kreise!$A$2:$C$53,3,FALSE)</f>
        <v>K030</v>
      </c>
      <c r="I3017" s="266">
        <f>'2020_5-2-2_Download'!BF61</f>
        <v>19.52163279765108</v>
      </c>
    </row>
    <row r="3018" spans="2:9">
      <c r="B3018">
        <f>'2020_5-2-2_Download'!B10</f>
        <v>101</v>
      </c>
      <c r="C3018">
        <f>'2020_5-2-2_Download'!$BA$5</f>
        <v>2013</v>
      </c>
      <c r="D3018" t="str">
        <f>VLOOKUP(B3018,[1]Tabelle1!$A$1:$B$68,2,FALSE)</f>
        <v>Braunschweig  Stadt</v>
      </c>
      <c r="F3018" t="str">
        <f>'2020_5-2-2_Download'!$BG$7</f>
        <v>unbekannt</v>
      </c>
      <c r="G3018" t="s">
        <v>362</v>
      </c>
      <c r="H3018" t="str">
        <f>VLOOKUP(B3018,[2]Kreise!$A$2:$C$53,3,FALSE)</f>
        <v>K03101</v>
      </c>
      <c r="I3018" s="266">
        <f>'2020_5-2-2_Download'!BG10</f>
        <v>36.537195523370642</v>
      </c>
    </row>
    <row r="3019" spans="2:9">
      <c r="B3019">
        <f>'2020_5-2-2_Download'!B11</f>
        <v>102</v>
      </c>
      <c r="C3019">
        <f>'2020_5-2-2_Download'!$BA$5</f>
        <v>2013</v>
      </c>
      <c r="D3019" t="str">
        <f>VLOOKUP(B3019,[1]Tabelle1!$A$1:$B$68,2,FALSE)</f>
        <v>Salzgitter  Stadt</v>
      </c>
      <c r="F3019" t="str">
        <f>'2020_5-2-2_Download'!$BG$7</f>
        <v>unbekannt</v>
      </c>
      <c r="G3019" t="s">
        <v>362</v>
      </c>
      <c r="H3019" t="str">
        <f>VLOOKUP(B3019,[2]Kreise!$A$2:$C$53,3,FALSE)</f>
        <v>K03102</v>
      </c>
      <c r="I3019" s="266">
        <f>'2020_5-2-2_Download'!BG11</f>
        <v>34.960127591706552</v>
      </c>
    </row>
    <row r="3020" spans="2:9">
      <c r="B3020">
        <f>'2020_5-2-2_Download'!B12</f>
        <v>103</v>
      </c>
      <c r="C3020">
        <f>'2020_5-2-2_Download'!$BA$5</f>
        <v>2013</v>
      </c>
      <c r="D3020" t="str">
        <f>VLOOKUP(B3020,[1]Tabelle1!$A$1:$B$68,2,FALSE)</f>
        <v>Wolfsburg  Stadt</v>
      </c>
      <c r="F3020" t="str">
        <f>'2020_5-2-2_Download'!$BG$7</f>
        <v>unbekannt</v>
      </c>
      <c r="G3020" t="s">
        <v>362</v>
      </c>
      <c r="H3020" t="str">
        <f>VLOOKUP(B3020,[2]Kreise!$A$2:$C$53,3,FALSE)</f>
        <v>K03103</v>
      </c>
      <c r="I3020" s="266">
        <f>'2020_5-2-2_Download'!BG12</f>
        <v>43.632540412669201</v>
      </c>
    </row>
    <row r="3021" spans="2:9">
      <c r="B3021">
        <f>'2020_5-2-2_Download'!B13</f>
        <v>151</v>
      </c>
      <c r="C3021">
        <f>'2020_5-2-2_Download'!$BA$5</f>
        <v>2013</v>
      </c>
      <c r="D3021" t="str">
        <f>VLOOKUP(B3021,[1]Tabelle1!$A$1:$B$68,2,FALSE)</f>
        <v>Gifhorn</v>
      </c>
      <c r="F3021" t="str">
        <f>'2020_5-2-2_Download'!$BG$7</f>
        <v>unbekannt</v>
      </c>
      <c r="G3021" t="s">
        <v>362</v>
      </c>
      <c r="H3021" t="str">
        <f>VLOOKUP(B3021,[2]Kreise!$A$2:$C$53,3,FALSE)</f>
        <v>K03151</v>
      </c>
      <c r="I3021" s="266">
        <f>'2020_5-2-2_Download'!BG13</f>
        <v>36.752136752136749</v>
      </c>
    </row>
    <row r="3022" spans="2:9">
      <c r="B3022">
        <f>'2020_5-2-2_Download'!B14</f>
        <v>153</v>
      </c>
      <c r="C3022">
        <f>'2020_5-2-2_Download'!$BA$5</f>
        <v>2013</v>
      </c>
      <c r="D3022" t="str">
        <f>VLOOKUP(B3022,[1]Tabelle1!$A$1:$B$68,2,FALSE)</f>
        <v>Goslar</v>
      </c>
      <c r="F3022" t="str">
        <f>'2020_5-2-2_Download'!$BG$7</f>
        <v>unbekannt</v>
      </c>
      <c r="G3022" t="s">
        <v>362</v>
      </c>
      <c r="H3022" t="str">
        <f>VLOOKUP(B3022,[2]Kreise!$A$2:$C$53,3,FALSE)</f>
        <v>K03153</v>
      </c>
      <c r="I3022" s="266">
        <f>'2020_5-2-2_Download'!BG14</f>
        <v>32.317801672640385</v>
      </c>
    </row>
    <row r="3023" spans="2:9">
      <c r="B3023">
        <f>'2020_5-2-2_Download'!B15</f>
        <v>154</v>
      </c>
      <c r="C3023">
        <f>'2020_5-2-2_Download'!$BA$5</f>
        <v>2013</v>
      </c>
      <c r="D3023" t="str">
        <f>VLOOKUP(B3023,[1]Tabelle1!$A$1:$B$68,2,FALSE)</f>
        <v>Helmstedt</v>
      </c>
      <c r="F3023" t="str">
        <f>'2020_5-2-2_Download'!$BG$7</f>
        <v>unbekannt</v>
      </c>
      <c r="G3023" t="s">
        <v>362</v>
      </c>
      <c r="H3023" t="str">
        <f>VLOOKUP(B3023,[2]Kreise!$A$2:$C$53,3,FALSE)</f>
        <v>K03154</v>
      </c>
      <c r="I3023" s="266">
        <f>'2020_5-2-2_Download'!BG15</f>
        <v>32.027257240204428</v>
      </c>
    </row>
    <row r="3024" spans="2:9">
      <c r="B3024">
        <f>'2020_5-2-2_Download'!B16</f>
        <v>155</v>
      </c>
      <c r="C3024">
        <f>'2020_5-2-2_Download'!$BA$5</f>
        <v>2013</v>
      </c>
      <c r="D3024" t="str">
        <f>VLOOKUP(B3024,[1]Tabelle1!$A$1:$B$68,2,FALSE)</f>
        <v>Northeim</v>
      </c>
      <c r="F3024" t="str">
        <f>'2020_5-2-2_Download'!$BG$7</f>
        <v>unbekannt</v>
      </c>
      <c r="G3024" t="s">
        <v>362</v>
      </c>
      <c r="H3024" t="str">
        <f>VLOOKUP(B3024,[2]Kreise!$A$2:$C$53,3,FALSE)</f>
        <v>K03155</v>
      </c>
      <c r="I3024" s="266">
        <f>'2020_5-2-2_Download'!BG16</f>
        <v>28.157099697885194</v>
      </c>
    </row>
    <row r="3025" spans="2:9">
      <c r="B3025">
        <f>'2020_5-2-2_Download'!B17</f>
        <v>157</v>
      </c>
      <c r="C3025">
        <f>'2020_5-2-2_Download'!$BA$5</f>
        <v>2013</v>
      </c>
      <c r="D3025" t="str">
        <f>VLOOKUP(B3025,[1]Tabelle1!$A$1:$B$68,2,FALSE)</f>
        <v>Peine</v>
      </c>
      <c r="F3025" t="str">
        <f>'2020_5-2-2_Download'!$BG$7</f>
        <v>unbekannt</v>
      </c>
      <c r="G3025" t="s">
        <v>362</v>
      </c>
      <c r="H3025" t="str">
        <f>VLOOKUP(B3025,[2]Kreise!$A$2:$C$53,3,FALSE)</f>
        <v>K03157</v>
      </c>
      <c r="I3025" s="266">
        <f>'2020_5-2-2_Download'!BG17</f>
        <v>33.383800151400457</v>
      </c>
    </row>
    <row r="3026" spans="2:9">
      <c r="B3026">
        <f>'2020_5-2-2_Download'!B18</f>
        <v>158</v>
      </c>
      <c r="C3026">
        <f>'2020_5-2-2_Download'!$BA$5</f>
        <v>2013</v>
      </c>
      <c r="D3026" t="str">
        <f>VLOOKUP(B3026,[1]Tabelle1!$A$1:$B$68,2,FALSE)</f>
        <v>Wolfenbüttel</v>
      </c>
      <c r="F3026" t="str">
        <f>'2020_5-2-2_Download'!$BG$7</f>
        <v>unbekannt</v>
      </c>
      <c r="G3026" t="s">
        <v>362</v>
      </c>
      <c r="H3026" t="str">
        <f>VLOOKUP(B3026,[2]Kreise!$A$2:$C$53,3,FALSE)</f>
        <v>K03158</v>
      </c>
      <c r="I3026" s="266">
        <f>'2020_5-2-2_Download'!BG18</f>
        <v>36.920980926430516</v>
      </c>
    </row>
    <row r="3027" spans="2:9">
      <c r="B3027">
        <f>'2020_5-2-2_Download'!B19</f>
        <v>159</v>
      </c>
      <c r="C3027">
        <f>'2020_5-2-2_Download'!$BA$5</f>
        <v>2013</v>
      </c>
      <c r="D3027" t="str">
        <f>VLOOKUP(B3027,[1]Tabelle1!$A$1:$B$68,2,FALSE)</f>
        <v>Göttingen</v>
      </c>
      <c r="F3027" t="str">
        <f>'2020_5-2-2_Download'!$BG$7</f>
        <v>unbekannt</v>
      </c>
      <c r="G3027" t="s">
        <v>362</v>
      </c>
      <c r="H3027" t="str">
        <f>VLOOKUP(B3027,[2]Kreise!$A$2:$C$53,3,FALSE)</f>
        <v>K03159</v>
      </c>
      <c r="I3027" s="266">
        <f>'2020_5-2-2_Download'!BG19</f>
        <v>20.544269835185894</v>
      </c>
    </row>
    <row r="3028" spans="2:9">
      <c r="B3028">
        <f>'2020_5-2-2_Download'!B20</f>
        <v>1</v>
      </c>
      <c r="C3028">
        <f>'2020_5-2-2_Download'!$BA$5</f>
        <v>2013</v>
      </c>
      <c r="D3028" t="str">
        <f>VLOOKUP(B3028,[1]Tabelle1!$A$1:$B$68,2,FALSE)</f>
        <v>Stat. Region Braunschweig</v>
      </c>
      <c r="F3028" t="str">
        <f>'2020_5-2-2_Download'!$BG$7</f>
        <v>unbekannt</v>
      </c>
      <c r="G3028" t="s">
        <v>362</v>
      </c>
      <c r="H3028" t="str">
        <f>VLOOKUP(B3028,[2]Kreise!$A$2:$C$53,3,FALSE)</f>
        <v>K031</v>
      </c>
      <c r="I3028" s="266">
        <f>'2020_5-2-2_Download'!BG20</f>
        <v>35.380646026001884</v>
      </c>
    </row>
    <row r="3029" spans="2:9">
      <c r="B3029">
        <f>'2020_5-2-2_Download'!B21</f>
        <v>241</v>
      </c>
      <c r="C3029">
        <f>'2020_5-2-2_Download'!$BA$5</f>
        <v>2013</v>
      </c>
      <c r="D3029" t="str">
        <f>VLOOKUP(B3029,[1]Tabelle1!$A$1:$B$68,2,FALSE)</f>
        <v>Hannover  Region</v>
      </c>
      <c r="F3029" t="str">
        <f>'2020_5-2-2_Download'!$BG$7</f>
        <v>unbekannt</v>
      </c>
      <c r="G3029" t="s">
        <v>362</v>
      </c>
      <c r="H3029" t="str">
        <f>VLOOKUP(B3029,[2]Kreise!$A$2:$C$53,3,FALSE)</f>
        <v>K03241</v>
      </c>
      <c r="I3029" s="266">
        <f>'2020_5-2-2_Download'!BG21</f>
        <v>39.978489879212397</v>
      </c>
    </row>
    <row r="3030" spans="2:9">
      <c r="B3030">
        <f>'2020_5-2-2_Download'!B22</f>
        <v>241001</v>
      </c>
      <c r="C3030">
        <f>'2020_5-2-2_Download'!$BA$5</f>
        <v>2013</v>
      </c>
      <c r="D3030" t="str">
        <f>VLOOKUP(B3030,[1]Tabelle1!$A$1:$B$68,2,FALSE)</f>
        <v>dav. Hannover  Lhst.</v>
      </c>
      <c r="F3030" t="str">
        <f>'2020_5-2-2_Download'!$BG$7</f>
        <v>unbekannt</v>
      </c>
      <c r="G3030" t="s">
        <v>362</v>
      </c>
      <c r="H3030" t="str">
        <f>VLOOKUP(B3030,[2]Kreise!$A$2:$C$53,3,FALSE)</f>
        <v>K03241001</v>
      </c>
      <c r="I3030" s="266">
        <f>'2020_5-2-2_Download'!BG22</f>
        <v>37.55177174413253</v>
      </c>
    </row>
    <row r="3031" spans="2:9">
      <c r="B3031">
        <f>'2020_5-2-2_Download'!B23</f>
        <v>241999</v>
      </c>
      <c r="C3031">
        <f>'2020_5-2-2_Download'!$BA$5</f>
        <v>2013</v>
      </c>
      <c r="D3031" t="str">
        <f>VLOOKUP(B3031,[1]Tabelle1!$A$1:$B$68,2,FALSE)</f>
        <v>dav. Hannover  Umland</v>
      </c>
      <c r="F3031" t="str">
        <f>'2020_5-2-2_Download'!$BG$7</f>
        <v>unbekannt</v>
      </c>
      <c r="G3031" t="s">
        <v>362</v>
      </c>
      <c r="H3031" t="str">
        <f>VLOOKUP(B3031,[2]Kreise!$A$2:$C$53,3,FALSE)</f>
        <v>K03241999</v>
      </c>
      <c r="I3031" s="266">
        <f>'2020_5-2-2_Download'!BG23</f>
        <v>44.671899020956396</v>
      </c>
    </row>
    <row r="3032" spans="2:9">
      <c r="B3032">
        <f>'2020_5-2-2_Download'!B24</f>
        <v>251</v>
      </c>
      <c r="C3032">
        <f>'2020_5-2-2_Download'!$BA$5</f>
        <v>2013</v>
      </c>
      <c r="D3032" t="str">
        <f>VLOOKUP(B3032,[1]Tabelle1!$A$1:$B$68,2,FALSE)</f>
        <v>Diepholz</v>
      </c>
      <c r="F3032" t="str">
        <f>'2020_5-2-2_Download'!$BG$7</f>
        <v>unbekannt</v>
      </c>
      <c r="G3032" t="s">
        <v>362</v>
      </c>
      <c r="H3032" t="str">
        <f>VLOOKUP(B3032,[2]Kreise!$A$2:$C$53,3,FALSE)</f>
        <v>K03251</v>
      </c>
      <c r="I3032" s="266">
        <f>'2020_5-2-2_Download'!BG24</f>
        <v>46.396218983851917</v>
      </c>
    </row>
    <row r="3033" spans="2:9">
      <c r="B3033">
        <f>'2020_5-2-2_Download'!B25</f>
        <v>252</v>
      </c>
      <c r="C3033">
        <f>'2020_5-2-2_Download'!$BA$5</f>
        <v>2013</v>
      </c>
      <c r="D3033" t="str">
        <f>VLOOKUP(B3033,[1]Tabelle1!$A$1:$B$68,2,FALSE)</f>
        <v>Hameln-Pyrmont</v>
      </c>
      <c r="F3033" t="str">
        <f>'2020_5-2-2_Download'!$BG$7</f>
        <v>unbekannt</v>
      </c>
      <c r="G3033" t="s">
        <v>362</v>
      </c>
      <c r="H3033" t="str">
        <f>VLOOKUP(B3033,[2]Kreise!$A$2:$C$53,3,FALSE)</f>
        <v>K03252</v>
      </c>
      <c r="I3033" s="266">
        <f>'2020_5-2-2_Download'!BG25</f>
        <v>35.785123966942152</v>
      </c>
    </row>
    <row r="3034" spans="2:9">
      <c r="B3034">
        <f>'2020_5-2-2_Download'!B26</f>
        <v>254</v>
      </c>
      <c r="C3034">
        <f>'2020_5-2-2_Download'!$BA$5</f>
        <v>2013</v>
      </c>
      <c r="D3034" t="str">
        <f>VLOOKUP(B3034,[1]Tabelle1!$A$1:$B$68,2,FALSE)</f>
        <v>Hildesheim</v>
      </c>
      <c r="F3034" t="str">
        <f>'2020_5-2-2_Download'!$BG$7</f>
        <v>unbekannt</v>
      </c>
      <c r="G3034" t="s">
        <v>362</v>
      </c>
      <c r="H3034" t="str">
        <f>VLOOKUP(B3034,[2]Kreise!$A$2:$C$53,3,FALSE)</f>
        <v>K03254</v>
      </c>
      <c r="I3034" s="266">
        <f>'2020_5-2-2_Download'!BG26</f>
        <v>30.411287901531082</v>
      </c>
    </row>
    <row r="3035" spans="2:9">
      <c r="B3035">
        <f>'2020_5-2-2_Download'!B27</f>
        <v>255</v>
      </c>
      <c r="C3035">
        <f>'2020_5-2-2_Download'!$BA$5</f>
        <v>2013</v>
      </c>
      <c r="D3035" t="str">
        <f>VLOOKUP(B3035,[1]Tabelle1!$A$1:$B$68,2,FALSE)</f>
        <v>Holzminden</v>
      </c>
      <c r="F3035" t="str">
        <f>'2020_5-2-2_Download'!$BG$7</f>
        <v>unbekannt</v>
      </c>
      <c r="G3035" t="s">
        <v>362</v>
      </c>
      <c r="H3035" t="str">
        <f>VLOOKUP(B3035,[2]Kreise!$A$2:$C$53,3,FALSE)</f>
        <v>K03255</v>
      </c>
      <c r="I3035" s="266">
        <f>'2020_5-2-2_Download'!BG27</f>
        <v>24.429530201342285</v>
      </c>
    </row>
    <row r="3036" spans="2:9">
      <c r="B3036">
        <f>'2020_5-2-2_Download'!B28</f>
        <v>256</v>
      </c>
      <c r="C3036">
        <f>'2020_5-2-2_Download'!$BA$5</f>
        <v>2013</v>
      </c>
      <c r="D3036" t="str">
        <f>VLOOKUP(B3036,[1]Tabelle1!$A$1:$B$68,2,FALSE)</f>
        <v>Nienburg (Weser)</v>
      </c>
      <c r="F3036" t="str">
        <f>'2020_5-2-2_Download'!$BG$7</f>
        <v>unbekannt</v>
      </c>
      <c r="G3036" t="s">
        <v>362</v>
      </c>
      <c r="H3036" t="str">
        <f>VLOOKUP(B3036,[2]Kreise!$A$2:$C$53,3,FALSE)</f>
        <v>K03256</v>
      </c>
      <c r="I3036" s="266">
        <f>'2020_5-2-2_Download'!BG28</f>
        <v>42.761148442272457</v>
      </c>
    </row>
    <row r="3037" spans="2:9">
      <c r="B3037">
        <f>'2020_5-2-2_Download'!B29</f>
        <v>257</v>
      </c>
      <c r="C3037">
        <f>'2020_5-2-2_Download'!$BA$5</f>
        <v>2013</v>
      </c>
      <c r="D3037" t="str">
        <f>VLOOKUP(B3037,[1]Tabelle1!$A$1:$B$68,2,FALSE)</f>
        <v>Schaumburg</v>
      </c>
      <c r="F3037" t="str">
        <f>'2020_5-2-2_Download'!$BG$7</f>
        <v>unbekannt</v>
      </c>
      <c r="G3037" t="s">
        <v>362</v>
      </c>
      <c r="H3037" t="str">
        <f>VLOOKUP(B3037,[2]Kreise!$A$2:$C$53,3,FALSE)</f>
        <v>K03257</v>
      </c>
      <c r="I3037" s="266">
        <f>'2020_5-2-2_Download'!BG29</f>
        <v>28.925154755205398</v>
      </c>
    </row>
    <row r="3038" spans="2:9">
      <c r="B3038">
        <f>'2020_5-2-2_Download'!B30</f>
        <v>2</v>
      </c>
      <c r="C3038">
        <f>'2020_5-2-2_Download'!$BA$5</f>
        <v>2013</v>
      </c>
      <c r="D3038" t="str">
        <f>VLOOKUP(B3038,[1]Tabelle1!$A$1:$B$68,2,FALSE)</f>
        <v>Stat. Region Hannover</v>
      </c>
      <c r="F3038" t="str">
        <f>'2020_5-2-2_Download'!$BG$7</f>
        <v>unbekannt</v>
      </c>
      <c r="G3038" t="s">
        <v>362</v>
      </c>
      <c r="H3038" t="str">
        <f>VLOOKUP(B3038,[2]Kreise!$A$2:$C$53,3,FALSE)</f>
        <v>K032</v>
      </c>
      <c r="I3038" s="266">
        <f>'2020_5-2-2_Download'!BG30</f>
        <v>38.902917205559305</v>
      </c>
    </row>
    <row r="3039" spans="2:9">
      <c r="B3039">
        <f>'2020_5-2-2_Download'!B31</f>
        <v>351</v>
      </c>
      <c r="C3039">
        <f>'2020_5-2-2_Download'!$BA$5</f>
        <v>2013</v>
      </c>
      <c r="D3039" t="str">
        <f>VLOOKUP(B3039,[1]Tabelle1!$A$1:$B$68,2,FALSE)</f>
        <v>Celle</v>
      </c>
      <c r="F3039" t="str">
        <f>'2020_5-2-2_Download'!$BG$7</f>
        <v>unbekannt</v>
      </c>
      <c r="G3039" t="s">
        <v>362</v>
      </c>
      <c r="H3039" t="str">
        <f>VLOOKUP(B3039,[2]Kreise!$A$2:$C$53,3,FALSE)</f>
        <v>K03351</v>
      </c>
      <c r="I3039" s="266">
        <f>'2020_5-2-2_Download'!BG31</f>
        <v>32.423829013187813</v>
      </c>
    </row>
    <row r="3040" spans="2:9">
      <c r="B3040">
        <f>'2020_5-2-2_Download'!B32</f>
        <v>352</v>
      </c>
      <c r="C3040">
        <f>'2020_5-2-2_Download'!$BA$5</f>
        <v>2013</v>
      </c>
      <c r="D3040" t="str">
        <f>VLOOKUP(B3040,[1]Tabelle1!$A$1:$B$68,2,FALSE)</f>
        <v>Cuxhaven</v>
      </c>
      <c r="F3040" t="str">
        <f>'2020_5-2-2_Download'!$BG$7</f>
        <v>unbekannt</v>
      </c>
      <c r="G3040" t="s">
        <v>362</v>
      </c>
      <c r="H3040" t="str">
        <f>VLOOKUP(B3040,[2]Kreise!$A$2:$C$53,3,FALSE)</f>
        <v>K03352</v>
      </c>
      <c r="I3040" s="266">
        <f>'2020_5-2-2_Download'!BG32</f>
        <v>49.536850583970995</v>
      </c>
    </row>
    <row r="3041" spans="2:9">
      <c r="B3041">
        <f>'2020_5-2-2_Download'!B33</f>
        <v>353</v>
      </c>
      <c r="C3041">
        <f>'2020_5-2-2_Download'!$BA$5</f>
        <v>2013</v>
      </c>
      <c r="D3041" t="str">
        <f>VLOOKUP(B3041,[1]Tabelle1!$A$1:$B$68,2,FALSE)</f>
        <v>Harburg</v>
      </c>
      <c r="F3041" t="str">
        <f>'2020_5-2-2_Download'!$BG$7</f>
        <v>unbekannt</v>
      </c>
      <c r="G3041" t="s">
        <v>362</v>
      </c>
      <c r="H3041" t="str">
        <f>VLOOKUP(B3041,[2]Kreise!$A$2:$C$53,3,FALSE)</f>
        <v>K03353</v>
      </c>
      <c r="I3041" s="266">
        <f>'2020_5-2-2_Download'!BG33</f>
        <v>55.072894971734598</v>
      </c>
    </row>
    <row r="3042" spans="2:9">
      <c r="B3042">
        <f>'2020_5-2-2_Download'!B34</f>
        <v>354</v>
      </c>
      <c r="C3042">
        <f>'2020_5-2-2_Download'!$BA$5</f>
        <v>2013</v>
      </c>
      <c r="D3042" t="str">
        <f>VLOOKUP(B3042,[1]Tabelle1!$A$1:$B$68,2,FALSE)</f>
        <v>Lüchow-Dannenberg</v>
      </c>
      <c r="F3042" t="str">
        <f>'2020_5-2-2_Download'!$BG$7</f>
        <v>unbekannt</v>
      </c>
      <c r="G3042" t="s">
        <v>362</v>
      </c>
      <c r="H3042" t="str">
        <f>VLOOKUP(B3042,[2]Kreise!$A$2:$C$53,3,FALSE)</f>
        <v>K03354</v>
      </c>
      <c r="I3042" s="266">
        <f>'2020_5-2-2_Download'!BG34</f>
        <v>48.514851485148519</v>
      </c>
    </row>
    <row r="3043" spans="2:9">
      <c r="B3043">
        <f>'2020_5-2-2_Download'!B35</f>
        <v>355</v>
      </c>
      <c r="C3043">
        <f>'2020_5-2-2_Download'!$BA$5</f>
        <v>2013</v>
      </c>
      <c r="D3043" t="str">
        <f>VLOOKUP(B3043,[1]Tabelle1!$A$1:$B$68,2,FALSE)</f>
        <v>Lüneburg</v>
      </c>
      <c r="F3043" t="str">
        <f>'2020_5-2-2_Download'!$BG$7</f>
        <v>unbekannt</v>
      </c>
      <c r="G3043" t="s">
        <v>362</v>
      </c>
      <c r="H3043" t="str">
        <f>VLOOKUP(B3043,[2]Kreise!$A$2:$C$53,3,FALSE)</f>
        <v>K03355</v>
      </c>
      <c r="I3043" s="266">
        <f>'2020_5-2-2_Download'!BG35</f>
        <v>39.171473518615628</v>
      </c>
    </row>
    <row r="3044" spans="2:9">
      <c r="B3044">
        <f>'2020_5-2-2_Download'!B36</f>
        <v>356</v>
      </c>
      <c r="C3044">
        <f>'2020_5-2-2_Download'!$BA$5</f>
        <v>2013</v>
      </c>
      <c r="D3044" t="str">
        <f>VLOOKUP(B3044,[1]Tabelle1!$A$1:$B$68,2,FALSE)</f>
        <v>Osterholz</v>
      </c>
      <c r="F3044" t="str">
        <f>'2020_5-2-2_Download'!$BG$7</f>
        <v>unbekannt</v>
      </c>
      <c r="G3044" t="s">
        <v>362</v>
      </c>
      <c r="H3044" t="str">
        <f>VLOOKUP(B3044,[2]Kreise!$A$2:$C$53,3,FALSE)</f>
        <v>K03356</v>
      </c>
      <c r="I3044" s="266">
        <f>'2020_5-2-2_Download'!BG36</f>
        <v>41.474147414741473</v>
      </c>
    </row>
    <row r="3045" spans="2:9">
      <c r="B3045">
        <f>'2020_5-2-2_Download'!B37</f>
        <v>357</v>
      </c>
      <c r="C3045">
        <f>'2020_5-2-2_Download'!$BA$5</f>
        <v>2013</v>
      </c>
      <c r="D3045" t="str">
        <f>VLOOKUP(B3045,[1]Tabelle1!$A$1:$B$68,2,FALSE)</f>
        <v>Rotenburg (Wümme)</v>
      </c>
      <c r="F3045" t="str">
        <f>'2020_5-2-2_Download'!$BG$7</f>
        <v>unbekannt</v>
      </c>
      <c r="G3045" t="s">
        <v>362</v>
      </c>
      <c r="H3045" t="str">
        <f>VLOOKUP(B3045,[2]Kreise!$A$2:$C$53,3,FALSE)</f>
        <v>K03357</v>
      </c>
      <c r="I3045" s="266">
        <f>'2020_5-2-2_Download'!BG37</f>
        <v>45.205479452054803</v>
      </c>
    </row>
    <row r="3046" spans="2:9">
      <c r="B3046">
        <f>'2020_5-2-2_Download'!B38</f>
        <v>358</v>
      </c>
      <c r="C3046">
        <f>'2020_5-2-2_Download'!$BA$5</f>
        <v>2013</v>
      </c>
      <c r="D3046" t="str">
        <f>VLOOKUP(B3046,[1]Tabelle1!$A$1:$B$68,2,FALSE)</f>
        <v>Heidekreis</v>
      </c>
      <c r="F3046" t="str">
        <f>'2020_5-2-2_Download'!$BG$7</f>
        <v>unbekannt</v>
      </c>
      <c r="G3046" t="s">
        <v>362</v>
      </c>
      <c r="H3046" t="str">
        <f>VLOOKUP(B3046,[2]Kreise!$A$2:$C$53,3,FALSE)</f>
        <v>K03358</v>
      </c>
      <c r="I3046" s="266">
        <f>'2020_5-2-2_Download'!BG38</f>
        <v>47.648456057007124</v>
      </c>
    </row>
    <row r="3047" spans="2:9">
      <c r="B3047">
        <f>'2020_5-2-2_Download'!B39</f>
        <v>359</v>
      </c>
      <c r="C3047">
        <f>'2020_5-2-2_Download'!$BA$5</f>
        <v>2013</v>
      </c>
      <c r="D3047" t="str">
        <f>VLOOKUP(B3047,[1]Tabelle1!$A$1:$B$68,2,FALSE)</f>
        <v>Stade</v>
      </c>
      <c r="F3047" t="str">
        <f>'2020_5-2-2_Download'!$BG$7</f>
        <v>unbekannt</v>
      </c>
      <c r="G3047" t="s">
        <v>362</v>
      </c>
      <c r="H3047" t="str">
        <f>VLOOKUP(B3047,[2]Kreise!$A$2:$C$53,3,FALSE)</f>
        <v>K03359</v>
      </c>
      <c r="I3047" s="266">
        <f>'2020_5-2-2_Download'!BG39</f>
        <v>61.561561561561561</v>
      </c>
    </row>
    <row r="3048" spans="2:9">
      <c r="B3048">
        <f>'2020_5-2-2_Download'!B40</f>
        <v>360</v>
      </c>
      <c r="C3048">
        <f>'2020_5-2-2_Download'!$BA$5</f>
        <v>2013</v>
      </c>
      <c r="D3048" t="str">
        <f>VLOOKUP(B3048,[1]Tabelle1!$A$1:$B$68,2,FALSE)</f>
        <v>Uelzen</v>
      </c>
      <c r="F3048" t="str">
        <f>'2020_5-2-2_Download'!$BG$7</f>
        <v>unbekannt</v>
      </c>
      <c r="G3048" t="s">
        <v>362</v>
      </c>
      <c r="H3048" t="str">
        <f>VLOOKUP(B3048,[2]Kreise!$A$2:$C$53,3,FALSE)</f>
        <v>K03360</v>
      </c>
      <c r="I3048" s="266">
        <f>'2020_5-2-2_Download'!BG40</f>
        <v>46.010638297872347</v>
      </c>
    </row>
    <row r="3049" spans="2:9">
      <c r="B3049">
        <f>'2020_5-2-2_Download'!B41</f>
        <v>361</v>
      </c>
      <c r="C3049">
        <f>'2020_5-2-2_Download'!$BA$5</f>
        <v>2013</v>
      </c>
      <c r="D3049" t="str">
        <f>VLOOKUP(B3049,[1]Tabelle1!$A$1:$B$68,2,FALSE)</f>
        <v>Verden</v>
      </c>
      <c r="F3049" t="str">
        <f>'2020_5-2-2_Download'!$BG$7</f>
        <v>unbekannt</v>
      </c>
      <c r="G3049" t="s">
        <v>362</v>
      </c>
      <c r="H3049" t="str">
        <f>VLOOKUP(B3049,[2]Kreise!$A$2:$C$53,3,FALSE)</f>
        <v>K03361</v>
      </c>
      <c r="I3049" s="266">
        <f>'2020_5-2-2_Download'!BG41</f>
        <v>36.802143814202772</v>
      </c>
    </row>
    <row r="3050" spans="2:9">
      <c r="B3050">
        <f>'2020_5-2-2_Download'!B42</f>
        <v>3</v>
      </c>
      <c r="C3050">
        <f>'2020_5-2-2_Download'!$BA$5</f>
        <v>2013</v>
      </c>
      <c r="D3050" t="str">
        <f>VLOOKUP(B3050,[1]Tabelle1!$A$1:$B$68,2,FALSE)</f>
        <v>Stat. Region Lüneburg</v>
      </c>
      <c r="F3050" t="str">
        <f>'2020_5-2-2_Download'!$BG$7</f>
        <v>unbekannt</v>
      </c>
      <c r="G3050" t="s">
        <v>362</v>
      </c>
      <c r="H3050" t="str">
        <f>VLOOKUP(B3050,[2]Kreise!$A$2:$C$53,3,FALSE)</f>
        <v>K033</v>
      </c>
      <c r="I3050" s="266">
        <f>'2020_5-2-2_Download'!BG42</f>
        <v>47.668817595201304</v>
      </c>
    </row>
    <row r="3051" spans="2:9">
      <c r="B3051">
        <f>'2020_5-2-2_Download'!B43</f>
        <v>401</v>
      </c>
      <c r="C3051">
        <f>'2020_5-2-2_Download'!$BA$5</f>
        <v>2013</v>
      </c>
      <c r="D3051" t="str">
        <f>VLOOKUP(B3051,[1]Tabelle1!$A$1:$B$68,2,FALSE)</f>
        <v>Delmenhorst  Stadt</v>
      </c>
      <c r="F3051" t="str">
        <f>'2020_5-2-2_Download'!$BG$7</f>
        <v>unbekannt</v>
      </c>
      <c r="G3051" t="s">
        <v>362</v>
      </c>
      <c r="H3051" t="str">
        <f>VLOOKUP(B3051,[2]Kreise!$A$2:$C$53,3,FALSE)</f>
        <v>K03401</v>
      </c>
      <c r="I3051" s="266">
        <f>'2020_5-2-2_Download'!BG43</f>
        <v>54.106280193236714</v>
      </c>
    </row>
    <row r="3052" spans="2:9">
      <c r="B3052">
        <f>'2020_5-2-2_Download'!B44</f>
        <v>402</v>
      </c>
      <c r="C3052">
        <f>'2020_5-2-2_Download'!$BA$5</f>
        <v>2013</v>
      </c>
      <c r="D3052" t="str">
        <f>VLOOKUP(B3052,[1]Tabelle1!$A$1:$B$68,2,FALSE)</f>
        <v>Emden  Stadt</v>
      </c>
      <c r="F3052" t="str">
        <f>'2020_5-2-2_Download'!$BG$7</f>
        <v>unbekannt</v>
      </c>
      <c r="G3052" t="s">
        <v>362</v>
      </c>
      <c r="H3052" t="str">
        <f>VLOOKUP(B3052,[2]Kreise!$A$2:$C$53,3,FALSE)</f>
        <v>K03402</v>
      </c>
      <c r="I3052" s="266">
        <f>'2020_5-2-2_Download'!BG44</f>
        <v>38.134057971014506</v>
      </c>
    </row>
    <row r="3053" spans="2:9">
      <c r="B3053">
        <f>'2020_5-2-2_Download'!B45</f>
        <v>403</v>
      </c>
      <c r="C3053">
        <f>'2020_5-2-2_Download'!$BA$5</f>
        <v>2013</v>
      </c>
      <c r="D3053" t="str">
        <f>VLOOKUP(B3053,[1]Tabelle1!$A$1:$B$68,2,FALSE)</f>
        <v>Oldenburg(Oldb)  Stadt</v>
      </c>
      <c r="F3053" t="str">
        <f>'2020_5-2-2_Download'!$BG$7</f>
        <v>unbekannt</v>
      </c>
      <c r="G3053" t="s">
        <v>362</v>
      </c>
      <c r="H3053" t="str">
        <f>VLOOKUP(B3053,[2]Kreise!$A$2:$C$53,3,FALSE)</f>
        <v>K03403</v>
      </c>
      <c r="I3053" s="266">
        <f>'2020_5-2-2_Download'!BG45</f>
        <v>40.736842105263158</v>
      </c>
    </row>
    <row r="3054" spans="2:9">
      <c r="B3054">
        <f>'2020_5-2-2_Download'!B46</f>
        <v>404</v>
      </c>
      <c r="C3054">
        <f>'2020_5-2-2_Download'!$BA$5</f>
        <v>2013</v>
      </c>
      <c r="D3054" t="str">
        <f>VLOOKUP(B3054,[1]Tabelle1!$A$1:$B$68,2,FALSE)</f>
        <v>Osnabrück  Stadt</v>
      </c>
      <c r="F3054" t="str">
        <f>'2020_5-2-2_Download'!$BG$7</f>
        <v>unbekannt</v>
      </c>
      <c r="G3054" t="s">
        <v>362</v>
      </c>
      <c r="H3054" t="str">
        <f>VLOOKUP(B3054,[2]Kreise!$A$2:$C$53,3,FALSE)</f>
        <v>K03404</v>
      </c>
      <c r="I3054" s="266">
        <f>'2020_5-2-2_Download'!BG46</f>
        <v>42.638280939116598</v>
      </c>
    </row>
    <row r="3055" spans="2:9">
      <c r="B3055">
        <f>'2020_5-2-2_Download'!B47</f>
        <v>405</v>
      </c>
      <c r="C3055">
        <f>'2020_5-2-2_Download'!$BA$5</f>
        <v>2013</v>
      </c>
      <c r="D3055" t="str">
        <f>VLOOKUP(B3055,[1]Tabelle1!$A$1:$B$68,2,FALSE)</f>
        <v>Wilhelmshaven  Stadt</v>
      </c>
      <c r="F3055" t="str">
        <f>'2020_5-2-2_Download'!$BG$7</f>
        <v>unbekannt</v>
      </c>
      <c r="G3055" t="s">
        <v>362</v>
      </c>
      <c r="H3055" t="str">
        <f>VLOOKUP(B3055,[2]Kreise!$A$2:$C$53,3,FALSE)</f>
        <v>K03405</v>
      </c>
      <c r="I3055" s="266">
        <f>'2020_5-2-2_Download'!BG47</f>
        <v>37.67313019390582</v>
      </c>
    </row>
    <row r="3056" spans="2:9">
      <c r="B3056">
        <f>'2020_5-2-2_Download'!B48</f>
        <v>451</v>
      </c>
      <c r="C3056">
        <f>'2020_5-2-2_Download'!$BA$5</f>
        <v>2013</v>
      </c>
      <c r="D3056" t="str">
        <f>VLOOKUP(B3056,[1]Tabelle1!$A$1:$B$68,2,FALSE)</f>
        <v>Ammerland</v>
      </c>
      <c r="F3056" t="str">
        <f>'2020_5-2-2_Download'!$BG$7</f>
        <v>unbekannt</v>
      </c>
      <c r="G3056" t="s">
        <v>362</v>
      </c>
      <c r="H3056" t="str">
        <f>VLOOKUP(B3056,[2]Kreise!$A$2:$C$53,3,FALSE)</f>
        <v>K03451</v>
      </c>
      <c r="I3056" s="266">
        <f>'2020_5-2-2_Download'!BG48</f>
        <v>55.712050078247259</v>
      </c>
    </row>
    <row r="3057" spans="2:9">
      <c r="B3057">
        <f>'2020_5-2-2_Download'!B49</f>
        <v>452</v>
      </c>
      <c r="C3057">
        <f>'2020_5-2-2_Download'!$BA$5</f>
        <v>2013</v>
      </c>
      <c r="D3057" t="str">
        <f>VLOOKUP(B3057,[1]Tabelle1!$A$1:$B$68,2,FALSE)</f>
        <v>Aurich</v>
      </c>
      <c r="F3057" t="str">
        <f>'2020_5-2-2_Download'!$BG$7</f>
        <v>unbekannt</v>
      </c>
      <c r="G3057" t="s">
        <v>362</v>
      </c>
      <c r="H3057" t="str">
        <f>VLOOKUP(B3057,[2]Kreise!$A$2:$C$53,3,FALSE)</f>
        <v>K03452</v>
      </c>
      <c r="I3057" s="266">
        <f>'2020_5-2-2_Download'!BG49</f>
        <v>50.348027842227381</v>
      </c>
    </row>
    <row r="3058" spans="2:9">
      <c r="B3058">
        <f>'2020_5-2-2_Download'!B50</f>
        <v>453</v>
      </c>
      <c r="C3058">
        <f>'2020_5-2-2_Download'!$BA$5</f>
        <v>2013</v>
      </c>
      <c r="D3058" t="str">
        <f>VLOOKUP(B3058,[1]Tabelle1!$A$1:$B$68,2,FALSE)</f>
        <v>Cloppenburg</v>
      </c>
      <c r="F3058" t="str">
        <f>'2020_5-2-2_Download'!$BG$7</f>
        <v>unbekannt</v>
      </c>
      <c r="G3058" t="s">
        <v>362</v>
      </c>
      <c r="H3058" t="str">
        <f>VLOOKUP(B3058,[2]Kreise!$A$2:$C$53,3,FALSE)</f>
        <v>K03453</v>
      </c>
      <c r="I3058" s="266">
        <f>'2020_5-2-2_Download'!BG50</f>
        <v>62.968591691995961</v>
      </c>
    </row>
    <row r="3059" spans="2:9">
      <c r="B3059">
        <f>'2020_5-2-2_Download'!B51</f>
        <v>454</v>
      </c>
      <c r="C3059">
        <f>'2020_5-2-2_Download'!$BA$5</f>
        <v>2013</v>
      </c>
      <c r="D3059" t="str">
        <f>VLOOKUP(B3059,[1]Tabelle1!$A$1:$B$68,2,FALSE)</f>
        <v>Emsland</v>
      </c>
      <c r="F3059" t="str">
        <f>'2020_5-2-2_Download'!$BG$7</f>
        <v>unbekannt</v>
      </c>
      <c r="G3059" t="s">
        <v>362</v>
      </c>
      <c r="H3059" t="str">
        <f>VLOOKUP(B3059,[2]Kreise!$A$2:$C$53,3,FALSE)</f>
        <v>K03454</v>
      </c>
      <c r="I3059" s="266">
        <f>'2020_5-2-2_Download'!BG51</f>
        <v>44.675108988997295</v>
      </c>
    </row>
    <row r="3060" spans="2:9">
      <c r="B3060">
        <f>'2020_5-2-2_Download'!B52</f>
        <v>455</v>
      </c>
      <c r="C3060">
        <f>'2020_5-2-2_Download'!$BA$5</f>
        <v>2013</v>
      </c>
      <c r="D3060" t="str">
        <f>VLOOKUP(B3060,[1]Tabelle1!$A$1:$B$68,2,FALSE)</f>
        <v>Friesland</v>
      </c>
      <c r="F3060" t="str">
        <f>'2020_5-2-2_Download'!$BG$7</f>
        <v>unbekannt</v>
      </c>
      <c r="G3060" t="s">
        <v>362</v>
      </c>
      <c r="H3060" t="str">
        <f>VLOOKUP(B3060,[2]Kreise!$A$2:$C$53,3,FALSE)</f>
        <v>K03455</v>
      </c>
      <c r="I3060" s="266">
        <f>'2020_5-2-2_Download'!BG52</f>
        <v>48.575305291723197</v>
      </c>
    </row>
    <row r="3061" spans="2:9">
      <c r="B3061">
        <f>'2020_5-2-2_Download'!B53</f>
        <v>456</v>
      </c>
      <c r="C3061">
        <f>'2020_5-2-2_Download'!$BA$5</f>
        <v>2013</v>
      </c>
      <c r="D3061" t="str">
        <f>VLOOKUP(B3061,[1]Tabelle1!$A$1:$B$68,2,FALSE)</f>
        <v>Grafschaft Bentheim</v>
      </c>
      <c r="F3061" t="str">
        <f>'2020_5-2-2_Download'!$BG$7</f>
        <v>unbekannt</v>
      </c>
      <c r="G3061" t="s">
        <v>362</v>
      </c>
      <c r="H3061" t="str">
        <f>VLOOKUP(B3061,[2]Kreise!$A$2:$C$53,3,FALSE)</f>
        <v>K03456</v>
      </c>
      <c r="I3061" s="266">
        <f>'2020_5-2-2_Download'!BG53</f>
        <v>41.555130656469082</v>
      </c>
    </row>
    <row r="3062" spans="2:9">
      <c r="B3062">
        <f>'2020_5-2-2_Download'!B54</f>
        <v>457</v>
      </c>
      <c r="C3062">
        <f>'2020_5-2-2_Download'!$BA$5</f>
        <v>2013</v>
      </c>
      <c r="D3062" t="str">
        <f>VLOOKUP(B3062,[1]Tabelle1!$A$1:$B$68,2,FALSE)</f>
        <v>Leer</v>
      </c>
      <c r="F3062" t="str">
        <f>'2020_5-2-2_Download'!$BG$7</f>
        <v>unbekannt</v>
      </c>
      <c r="G3062" t="s">
        <v>362</v>
      </c>
      <c r="H3062" t="str">
        <f>VLOOKUP(B3062,[2]Kreise!$A$2:$C$53,3,FALSE)</f>
        <v>K03457</v>
      </c>
      <c r="I3062" s="266">
        <f>'2020_5-2-2_Download'!BG54</f>
        <v>54.933481152993352</v>
      </c>
    </row>
    <row r="3063" spans="2:9">
      <c r="B3063">
        <f>'2020_5-2-2_Download'!B55</f>
        <v>458</v>
      </c>
      <c r="C3063">
        <f>'2020_5-2-2_Download'!$BA$5</f>
        <v>2013</v>
      </c>
      <c r="D3063" t="str">
        <f>VLOOKUP(B3063,[1]Tabelle1!$A$1:$B$68,2,FALSE)</f>
        <v>Oldenburg</v>
      </c>
      <c r="F3063" t="str">
        <f>'2020_5-2-2_Download'!$BG$7</f>
        <v>unbekannt</v>
      </c>
      <c r="G3063" t="s">
        <v>362</v>
      </c>
      <c r="H3063" t="str">
        <f>VLOOKUP(B3063,[2]Kreise!$A$2:$C$53,3,FALSE)</f>
        <v>K03458</v>
      </c>
      <c r="I3063" s="266">
        <f>'2020_5-2-2_Download'!BG55</f>
        <v>48.298906439854193</v>
      </c>
    </row>
    <row r="3064" spans="2:9">
      <c r="B3064">
        <f>'2020_5-2-2_Download'!B56</f>
        <v>459</v>
      </c>
      <c r="C3064">
        <f>'2020_5-2-2_Download'!$BA$5</f>
        <v>2013</v>
      </c>
      <c r="D3064" t="str">
        <f>VLOOKUP(B3064,[1]Tabelle1!$A$1:$B$68,2,FALSE)</f>
        <v>Osnabrück</v>
      </c>
      <c r="F3064" t="str">
        <f>'2020_5-2-2_Download'!$BG$7</f>
        <v>unbekannt</v>
      </c>
      <c r="G3064" t="s">
        <v>362</v>
      </c>
      <c r="H3064" t="str">
        <f>VLOOKUP(B3064,[2]Kreise!$A$2:$C$53,3,FALSE)</f>
        <v>K03459</v>
      </c>
      <c r="I3064" s="266">
        <f>'2020_5-2-2_Download'!BG56</f>
        <v>48.120100969841914</v>
      </c>
    </row>
    <row r="3065" spans="2:9">
      <c r="B3065">
        <f>'2020_5-2-2_Download'!B57</f>
        <v>460</v>
      </c>
      <c r="C3065">
        <f>'2020_5-2-2_Download'!$BA$5</f>
        <v>2013</v>
      </c>
      <c r="D3065" t="str">
        <f>VLOOKUP(B3065,[1]Tabelle1!$A$1:$B$68,2,FALSE)</f>
        <v>Vechta</v>
      </c>
      <c r="F3065" t="str">
        <f>'2020_5-2-2_Download'!$BG$7</f>
        <v>unbekannt</v>
      </c>
      <c r="G3065" t="s">
        <v>362</v>
      </c>
      <c r="H3065" t="str">
        <f>VLOOKUP(B3065,[2]Kreise!$A$2:$C$53,3,FALSE)</f>
        <v>K03460</v>
      </c>
      <c r="I3065" s="266">
        <f>'2020_5-2-2_Download'!BG57</f>
        <v>62.129202373104803</v>
      </c>
    </row>
    <row r="3066" spans="2:9">
      <c r="B3066">
        <f>'2020_5-2-2_Download'!B58</f>
        <v>461</v>
      </c>
      <c r="C3066">
        <f>'2020_5-2-2_Download'!$BA$5</f>
        <v>2013</v>
      </c>
      <c r="D3066" t="str">
        <f>VLOOKUP(B3066,[1]Tabelle1!$A$1:$B$68,2,FALSE)</f>
        <v>Wesermarsch</v>
      </c>
      <c r="F3066" t="str">
        <f>'2020_5-2-2_Download'!$BG$7</f>
        <v>unbekannt</v>
      </c>
      <c r="G3066" t="s">
        <v>362</v>
      </c>
      <c r="H3066" t="str">
        <f>VLOOKUP(B3066,[2]Kreise!$A$2:$C$53,3,FALSE)</f>
        <v>K03461</v>
      </c>
      <c r="I3066" s="266">
        <f>'2020_5-2-2_Download'!BG58</f>
        <v>32.661290322580641</v>
      </c>
    </row>
    <row r="3067" spans="2:9">
      <c r="B3067">
        <f>'2020_5-2-2_Download'!B59</f>
        <v>462</v>
      </c>
      <c r="C3067">
        <f>'2020_5-2-2_Download'!$BA$5</f>
        <v>2013</v>
      </c>
      <c r="D3067" t="str">
        <f>VLOOKUP(B3067,[1]Tabelle1!$A$1:$B$68,2,FALSE)</f>
        <v>Wittmund</v>
      </c>
      <c r="F3067" t="str">
        <f>'2020_5-2-2_Download'!$BG$7</f>
        <v>unbekannt</v>
      </c>
      <c r="G3067" t="s">
        <v>362</v>
      </c>
      <c r="H3067" t="str">
        <f>VLOOKUP(B3067,[2]Kreise!$A$2:$C$53,3,FALSE)</f>
        <v>K03462</v>
      </c>
      <c r="I3067" s="266">
        <f>'2020_5-2-2_Download'!BG59</f>
        <v>69.354838709677423</v>
      </c>
    </row>
    <row r="3068" spans="2:9">
      <c r="B3068">
        <f>'2020_5-2-2_Download'!B60</f>
        <v>4</v>
      </c>
      <c r="C3068">
        <f>'2020_5-2-2_Download'!$BA$5</f>
        <v>2013</v>
      </c>
      <c r="D3068" t="str">
        <f>VLOOKUP(B3068,[1]Tabelle1!$A$1:$B$68,2,FALSE)</f>
        <v>Stat. Region Weser-Ems</v>
      </c>
      <c r="F3068" t="str">
        <f>'2020_5-2-2_Download'!$BG$7</f>
        <v>unbekannt</v>
      </c>
      <c r="G3068" t="s">
        <v>362</v>
      </c>
      <c r="H3068" t="str">
        <f>VLOOKUP(B3068,[2]Kreise!$A$2:$C$53,3,FALSE)</f>
        <v>K034</v>
      </c>
      <c r="I3068" s="266">
        <f>'2020_5-2-2_Download'!BG60</f>
        <v>49.61496863508544</v>
      </c>
    </row>
    <row r="3069" spans="2:9">
      <c r="B3069">
        <f>'2020_5-2-2_Download'!B61</f>
        <v>0</v>
      </c>
      <c r="C3069">
        <f>'2020_5-2-2_Download'!$BA$5</f>
        <v>2013</v>
      </c>
      <c r="D3069" t="str">
        <f>VLOOKUP(B3069,[1]Tabelle1!$A$1:$B$68,2,FALSE)</f>
        <v>Niedersachsen</v>
      </c>
      <c r="F3069" t="str">
        <f>'2020_5-2-2_Download'!$BG$7</f>
        <v>unbekannt</v>
      </c>
      <c r="G3069" t="s">
        <v>362</v>
      </c>
      <c r="H3069" t="str">
        <f>VLOOKUP(B3069,[2]Kreise!$A$2:$C$53,3,FALSE)</f>
        <v>K030</v>
      </c>
      <c r="I3069" s="266">
        <f>'2020_5-2-2_Download'!BG61</f>
        <v>42.874563154416833</v>
      </c>
    </row>
    <row r="3070" spans="2:9">
      <c r="B3070">
        <f>'2020_5-2-2_Download'!B10</f>
        <v>101</v>
      </c>
      <c r="C3070">
        <f>'2020_5-2-2_Download'!$BH$5</f>
        <v>2011</v>
      </c>
      <c r="D3070" t="str">
        <f>VLOOKUP(B3070,[1]Tabelle1!$A$1:$B$68,2,FALSE)</f>
        <v>Braunschweig  Stadt</v>
      </c>
      <c r="F3070" t="str">
        <f>'2020_5-2-2_Download'!$BK$7</f>
        <v>hoch</v>
      </c>
      <c r="G3070" t="s">
        <v>362</v>
      </c>
      <c r="H3070" t="str">
        <f>VLOOKUP(B3070,[2]Kreise!$A$2:$C$53,3,FALSE)</f>
        <v>K03101</v>
      </c>
      <c r="I3070" s="266">
        <f>'2020_5-2-2_Download'!BK10</f>
        <v>16.522082018927446</v>
      </c>
    </row>
    <row r="3071" spans="2:9">
      <c r="B3071">
        <f>'2020_5-2-2_Download'!B11</f>
        <v>102</v>
      </c>
      <c r="C3071">
        <f>'2020_5-2-2_Download'!$BH$5</f>
        <v>2011</v>
      </c>
      <c r="D3071" t="str">
        <f>VLOOKUP(B3071,[1]Tabelle1!$A$1:$B$68,2,FALSE)</f>
        <v>Salzgitter  Stadt</v>
      </c>
      <c r="F3071" t="str">
        <f>'2020_5-2-2_Download'!$BK$7</f>
        <v>hoch</v>
      </c>
      <c r="G3071" t="s">
        <v>362</v>
      </c>
      <c r="H3071" t="str">
        <f>VLOOKUP(B3071,[2]Kreise!$A$2:$C$53,3,FALSE)</f>
        <v>K03102</v>
      </c>
      <c r="I3071" s="266">
        <f>'2020_5-2-2_Download'!BK11</f>
        <v>3.9525691699604746</v>
      </c>
    </row>
    <row r="3072" spans="2:9">
      <c r="B3072">
        <f>'2020_5-2-2_Download'!B12</f>
        <v>103</v>
      </c>
      <c r="C3072">
        <f>'2020_5-2-2_Download'!$BH$5</f>
        <v>2011</v>
      </c>
      <c r="D3072" t="str">
        <f>VLOOKUP(B3072,[1]Tabelle1!$A$1:$B$68,2,FALSE)</f>
        <v>Wolfsburg  Stadt</v>
      </c>
      <c r="F3072" t="str">
        <f>'2020_5-2-2_Download'!$BK$7</f>
        <v>hoch</v>
      </c>
      <c r="G3072" t="s">
        <v>362</v>
      </c>
      <c r="H3072" t="str">
        <f>VLOOKUP(B3072,[2]Kreise!$A$2:$C$53,3,FALSE)</f>
        <v>K03103</v>
      </c>
      <c r="I3072" s="266">
        <f>'2020_5-2-2_Download'!BK12</f>
        <v>12.630431396978665</v>
      </c>
    </row>
    <row r="3073" spans="2:9">
      <c r="B3073">
        <f>'2020_5-2-2_Download'!B13</f>
        <v>151</v>
      </c>
      <c r="C3073">
        <f>'2020_5-2-2_Download'!$BH$5</f>
        <v>2011</v>
      </c>
      <c r="D3073" t="str">
        <f>VLOOKUP(B3073,[1]Tabelle1!$A$1:$B$68,2,FALSE)</f>
        <v>Gifhorn</v>
      </c>
      <c r="F3073" t="str">
        <f>'2020_5-2-2_Download'!$BK$7</f>
        <v>hoch</v>
      </c>
      <c r="G3073" t="s">
        <v>362</v>
      </c>
      <c r="H3073" t="str">
        <f>VLOOKUP(B3073,[2]Kreise!$A$2:$C$53,3,FALSE)</f>
        <v>K03151</v>
      </c>
      <c r="I3073" s="266">
        <f>'2020_5-2-2_Download'!BK13</f>
        <v>9.9487929773226043</v>
      </c>
    </row>
    <row r="3074" spans="2:9">
      <c r="B3074">
        <f>'2020_5-2-2_Download'!B14</f>
        <v>153</v>
      </c>
      <c r="C3074">
        <f>'2020_5-2-2_Download'!$BH$5</f>
        <v>2011</v>
      </c>
      <c r="D3074" t="str">
        <f>VLOOKUP(B3074,[1]Tabelle1!$A$1:$B$68,2,FALSE)</f>
        <v>Goslar</v>
      </c>
      <c r="F3074" t="str">
        <f>'2020_5-2-2_Download'!$BK$7</f>
        <v>hoch</v>
      </c>
      <c r="G3074" t="s">
        <v>362</v>
      </c>
      <c r="H3074" t="str">
        <f>VLOOKUP(B3074,[2]Kreise!$A$2:$C$53,3,FALSE)</f>
        <v>K03153</v>
      </c>
      <c r="I3074" s="266">
        <f>'2020_5-2-2_Download'!BK14</f>
        <v>18.492176386913229</v>
      </c>
    </row>
    <row r="3075" spans="2:9">
      <c r="B3075">
        <f>'2020_5-2-2_Download'!B15</f>
        <v>154</v>
      </c>
      <c r="C3075">
        <f>'2020_5-2-2_Download'!$BH$5</f>
        <v>2011</v>
      </c>
      <c r="D3075" t="str">
        <f>VLOOKUP(B3075,[1]Tabelle1!$A$1:$B$68,2,FALSE)</f>
        <v>Helmstedt</v>
      </c>
      <c r="F3075" t="str">
        <f>'2020_5-2-2_Download'!$BK$7</f>
        <v>hoch</v>
      </c>
      <c r="G3075" t="s">
        <v>362</v>
      </c>
      <c r="H3075" t="str">
        <f>VLOOKUP(B3075,[2]Kreise!$A$2:$C$53,3,FALSE)</f>
        <v>K03154</v>
      </c>
      <c r="I3075" s="266">
        <f>'2020_5-2-2_Download'!BK15</f>
        <v>9.7457627118644066</v>
      </c>
    </row>
    <row r="3076" spans="2:9">
      <c r="B3076">
        <f>'2020_5-2-2_Download'!B16</f>
        <v>155</v>
      </c>
      <c r="C3076">
        <f>'2020_5-2-2_Download'!$BH$5</f>
        <v>2011</v>
      </c>
      <c r="D3076" t="str">
        <f>VLOOKUP(B3076,[1]Tabelle1!$A$1:$B$68,2,FALSE)</f>
        <v>Northeim</v>
      </c>
      <c r="F3076" t="str">
        <f>'2020_5-2-2_Download'!$BK$7</f>
        <v>hoch</v>
      </c>
      <c r="G3076" t="s">
        <v>362</v>
      </c>
      <c r="H3076" t="str">
        <f>VLOOKUP(B3076,[2]Kreise!$A$2:$C$53,3,FALSE)</f>
        <v>K03155</v>
      </c>
      <c r="I3076" s="266">
        <f>'2020_5-2-2_Download'!BK16</f>
        <v>10.798548094373865</v>
      </c>
    </row>
    <row r="3077" spans="2:9">
      <c r="B3077">
        <f>'2020_5-2-2_Download'!B17</f>
        <v>157</v>
      </c>
      <c r="C3077">
        <f>'2020_5-2-2_Download'!$BH$5</f>
        <v>2011</v>
      </c>
      <c r="D3077" t="str">
        <f>VLOOKUP(B3077,[1]Tabelle1!$A$1:$B$68,2,FALSE)</f>
        <v>Peine</v>
      </c>
      <c r="F3077" t="str">
        <f>'2020_5-2-2_Download'!$BK$7</f>
        <v>hoch</v>
      </c>
      <c r="G3077" t="s">
        <v>362</v>
      </c>
      <c r="H3077" t="str">
        <f>VLOOKUP(B3077,[2]Kreise!$A$2:$C$53,3,FALSE)</f>
        <v>K03157</v>
      </c>
      <c r="I3077" s="266">
        <f>'2020_5-2-2_Download'!BK17</f>
        <v>4.0239726027397262</v>
      </c>
    </row>
    <row r="3078" spans="2:9">
      <c r="B3078">
        <f>'2020_5-2-2_Download'!B18</f>
        <v>158</v>
      </c>
      <c r="C3078">
        <f>'2020_5-2-2_Download'!$BH$5</f>
        <v>2011</v>
      </c>
      <c r="D3078" t="str">
        <f>VLOOKUP(B3078,[1]Tabelle1!$A$1:$B$68,2,FALSE)</f>
        <v>Wolfenbüttel</v>
      </c>
      <c r="F3078" t="str">
        <f>'2020_5-2-2_Download'!$BK$7</f>
        <v>hoch</v>
      </c>
      <c r="G3078" t="s">
        <v>362</v>
      </c>
      <c r="H3078" t="str">
        <f>VLOOKUP(B3078,[2]Kreise!$A$2:$C$53,3,FALSE)</f>
        <v>K03158</v>
      </c>
      <c r="I3078" s="266">
        <f>'2020_5-2-2_Download'!BK18</f>
        <v>7.7338129496402885</v>
      </c>
    </row>
    <row r="3079" spans="2:9">
      <c r="B3079">
        <f>'2020_5-2-2_Download'!B19</f>
        <v>159</v>
      </c>
      <c r="C3079">
        <f>'2020_5-2-2_Download'!$BH$5</f>
        <v>2011</v>
      </c>
      <c r="D3079" t="str">
        <f>VLOOKUP(B3079,[1]Tabelle1!$A$1:$B$68,2,FALSE)</f>
        <v>Göttingen</v>
      </c>
      <c r="F3079" t="str">
        <f>'2020_5-2-2_Download'!$BK$7</f>
        <v>hoch</v>
      </c>
      <c r="G3079" t="s">
        <v>362</v>
      </c>
      <c r="H3079" t="str">
        <f>VLOOKUP(B3079,[2]Kreise!$A$2:$C$53,3,FALSE)</f>
        <v>K03159</v>
      </c>
      <c r="I3079" s="266">
        <f>'2020_5-2-2_Download'!BK19</f>
        <v>20.36082474226804</v>
      </c>
    </row>
    <row r="3080" spans="2:9">
      <c r="B3080">
        <f>'2020_5-2-2_Download'!B20</f>
        <v>1</v>
      </c>
      <c r="C3080">
        <f>'2020_5-2-2_Download'!$BH$5</f>
        <v>2011</v>
      </c>
      <c r="D3080" t="str">
        <f>VLOOKUP(B3080,[1]Tabelle1!$A$1:$B$68,2,FALSE)</f>
        <v>Stat. Region Braunschweig</v>
      </c>
      <c r="F3080" t="str">
        <f>'2020_5-2-2_Download'!$BK$7</f>
        <v>hoch</v>
      </c>
      <c r="G3080" t="s">
        <v>362</v>
      </c>
      <c r="H3080" t="str">
        <f>VLOOKUP(B3080,[2]Kreise!$A$2:$C$53,3,FALSE)</f>
        <v>K031</v>
      </c>
      <c r="I3080" s="266">
        <f>'2020_5-2-2_Download'!BK20</f>
        <v>13.725958666825946</v>
      </c>
    </row>
    <row r="3081" spans="2:9">
      <c r="B3081">
        <f>'2020_5-2-2_Download'!B21</f>
        <v>241</v>
      </c>
      <c r="C3081">
        <f>'2020_5-2-2_Download'!$BH$5</f>
        <v>2011</v>
      </c>
      <c r="D3081" t="str">
        <f>VLOOKUP(B3081,[1]Tabelle1!$A$1:$B$68,2,FALSE)</f>
        <v>Hannover  Region</v>
      </c>
      <c r="F3081" t="str">
        <f>'2020_5-2-2_Download'!$BK$7</f>
        <v>hoch</v>
      </c>
      <c r="G3081" t="s">
        <v>362</v>
      </c>
      <c r="H3081" t="str">
        <f>VLOOKUP(B3081,[2]Kreise!$A$2:$C$53,3,FALSE)</f>
        <v>K03241</v>
      </c>
      <c r="I3081" s="266">
        <f>'2020_5-2-2_Download'!BK21</f>
        <v>8.139722231173268</v>
      </c>
    </row>
    <row r="3082" spans="2:9">
      <c r="B3082">
        <f>'2020_5-2-2_Download'!B22</f>
        <v>241001</v>
      </c>
      <c r="C3082">
        <f>'2020_5-2-2_Download'!$BH$5</f>
        <v>2011</v>
      </c>
      <c r="D3082" t="str">
        <f>VLOOKUP(B3082,[1]Tabelle1!$A$1:$B$68,2,FALSE)</f>
        <v>dav. Hannover  Lhst.</v>
      </c>
      <c r="F3082" t="str">
        <f>'2020_5-2-2_Download'!$BK$7</f>
        <v>hoch</v>
      </c>
      <c r="G3082" t="s">
        <v>362</v>
      </c>
      <c r="H3082" t="str">
        <f>VLOOKUP(B3082,[2]Kreise!$A$2:$C$53,3,FALSE)</f>
        <v>K03241001</v>
      </c>
      <c r="I3082" s="266">
        <f>'2020_5-2-2_Download'!BK22</f>
        <v>10.284757118927972</v>
      </c>
    </row>
    <row r="3083" spans="2:9">
      <c r="B3083">
        <f>'2020_5-2-2_Download'!B23</f>
        <v>241999</v>
      </c>
      <c r="C3083">
        <f>'2020_5-2-2_Download'!$BH$5</f>
        <v>2011</v>
      </c>
      <c r="D3083" t="str">
        <f>VLOOKUP(B3083,[1]Tabelle1!$A$1:$B$68,2,FALSE)</f>
        <v>dav. Hannover  Umland</v>
      </c>
      <c r="F3083" t="str">
        <f>'2020_5-2-2_Download'!$BK$7</f>
        <v>hoch</v>
      </c>
      <c r="G3083" t="s">
        <v>362</v>
      </c>
      <c r="H3083" t="str">
        <f>VLOOKUP(B3083,[2]Kreise!$A$2:$C$53,3,FALSE)</f>
        <v>K03241999</v>
      </c>
      <c r="I3083" s="266">
        <f>'2020_5-2-2_Download'!BK23</f>
        <v>3.7186821858354699</v>
      </c>
    </row>
    <row r="3084" spans="2:9">
      <c r="B3084">
        <f>'2020_5-2-2_Download'!B24</f>
        <v>251</v>
      </c>
      <c r="C3084">
        <f>'2020_5-2-2_Download'!$BH$5</f>
        <v>2011</v>
      </c>
      <c r="D3084" t="str">
        <f>VLOOKUP(B3084,[1]Tabelle1!$A$1:$B$68,2,FALSE)</f>
        <v>Diepholz</v>
      </c>
      <c r="F3084" t="str">
        <f>'2020_5-2-2_Download'!$BK$7</f>
        <v>hoch</v>
      </c>
      <c r="G3084" t="s">
        <v>362</v>
      </c>
      <c r="H3084" t="str">
        <f>VLOOKUP(B3084,[2]Kreise!$A$2:$C$53,3,FALSE)</f>
        <v>K03251</v>
      </c>
      <c r="I3084" s="266">
        <f>'2020_5-2-2_Download'!BK24</f>
        <v>7.0831283817019184</v>
      </c>
    </row>
    <row r="3085" spans="2:9">
      <c r="B3085">
        <f>'2020_5-2-2_Download'!B25</f>
        <v>252</v>
      </c>
      <c r="C3085">
        <f>'2020_5-2-2_Download'!$BH$5</f>
        <v>2011</v>
      </c>
      <c r="D3085" t="str">
        <f>VLOOKUP(B3085,[1]Tabelle1!$A$1:$B$68,2,FALSE)</f>
        <v>Hameln-Pyrmont</v>
      </c>
      <c r="F3085" t="str">
        <f>'2020_5-2-2_Download'!$BK$7</f>
        <v>hoch</v>
      </c>
      <c r="G3085" t="s">
        <v>362</v>
      </c>
      <c r="H3085" t="str">
        <f>VLOOKUP(B3085,[2]Kreise!$A$2:$C$53,3,FALSE)</f>
        <v>K03252</v>
      </c>
      <c r="I3085" s="266">
        <f>'2020_5-2-2_Download'!BK25</f>
        <v>5.9225512528473807</v>
      </c>
    </row>
    <row r="3086" spans="2:9">
      <c r="B3086">
        <f>'2020_5-2-2_Download'!B26</f>
        <v>254</v>
      </c>
      <c r="C3086">
        <f>'2020_5-2-2_Download'!$BH$5</f>
        <v>2011</v>
      </c>
      <c r="D3086" t="str">
        <f>VLOOKUP(B3086,[1]Tabelle1!$A$1:$B$68,2,FALSE)</f>
        <v>Hildesheim</v>
      </c>
      <c r="F3086" t="str">
        <f>'2020_5-2-2_Download'!$BK$7</f>
        <v>hoch</v>
      </c>
      <c r="G3086" t="s">
        <v>362</v>
      </c>
      <c r="H3086" t="str">
        <f>VLOOKUP(B3086,[2]Kreise!$A$2:$C$53,3,FALSE)</f>
        <v>K03254</v>
      </c>
      <c r="I3086" s="266">
        <f>'2020_5-2-2_Download'!BK26</f>
        <v>8.3846680355920604</v>
      </c>
    </row>
    <row r="3087" spans="2:9">
      <c r="B3087">
        <f>'2020_5-2-2_Download'!B27</f>
        <v>255</v>
      </c>
      <c r="C3087">
        <f>'2020_5-2-2_Download'!$BH$5</f>
        <v>2011</v>
      </c>
      <c r="D3087" t="str">
        <f>VLOOKUP(B3087,[1]Tabelle1!$A$1:$B$68,2,FALSE)</f>
        <v>Holzminden</v>
      </c>
      <c r="F3087" t="str">
        <f>'2020_5-2-2_Download'!$BK$7</f>
        <v>hoch</v>
      </c>
      <c r="G3087" t="s">
        <v>362</v>
      </c>
      <c r="H3087" t="str">
        <f>VLOOKUP(B3087,[2]Kreise!$A$2:$C$53,3,FALSE)</f>
        <v>K03255</v>
      </c>
      <c r="I3087" s="266">
        <f>'2020_5-2-2_Download'!BK27</f>
        <v>6.6469719350073859</v>
      </c>
    </row>
    <row r="3088" spans="2:9">
      <c r="B3088">
        <f>'2020_5-2-2_Download'!B28</f>
        <v>256</v>
      </c>
      <c r="C3088">
        <f>'2020_5-2-2_Download'!$BH$5</f>
        <v>2011</v>
      </c>
      <c r="D3088" t="str">
        <f>VLOOKUP(B3088,[1]Tabelle1!$A$1:$B$68,2,FALSE)</f>
        <v>Nienburg (Weser)</v>
      </c>
      <c r="F3088" t="str">
        <f>'2020_5-2-2_Download'!$BK$7</f>
        <v>hoch</v>
      </c>
      <c r="G3088" t="s">
        <v>362</v>
      </c>
      <c r="H3088" t="str">
        <f>VLOOKUP(B3088,[2]Kreise!$A$2:$C$53,3,FALSE)</f>
        <v>K03256</v>
      </c>
      <c r="I3088" s="266">
        <f>'2020_5-2-2_Download'!BK28</f>
        <v>3.2128514056224895</v>
      </c>
    </row>
    <row r="3089" spans="2:9">
      <c r="B3089">
        <f>'2020_5-2-2_Download'!B29</f>
        <v>257</v>
      </c>
      <c r="C3089">
        <f>'2020_5-2-2_Download'!$BH$5</f>
        <v>2011</v>
      </c>
      <c r="D3089" t="str">
        <f>VLOOKUP(B3089,[1]Tabelle1!$A$1:$B$68,2,FALSE)</f>
        <v>Schaumburg</v>
      </c>
      <c r="F3089" t="str">
        <f>'2020_5-2-2_Download'!$BK$7</f>
        <v>hoch</v>
      </c>
      <c r="G3089" t="s">
        <v>362</v>
      </c>
      <c r="H3089" t="str">
        <f>VLOOKUP(B3089,[2]Kreise!$A$2:$C$53,3,FALSE)</f>
        <v>K03257</v>
      </c>
      <c r="I3089" s="266">
        <f>'2020_5-2-2_Download'!BK29</f>
        <v>5.2665799739921981</v>
      </c>
    </row>
    <row r="3090" spans="2:9">
      <c r="B3090">
        <f>'2020_5-2-2_Download'!B30</f>
        <v>2</v>
      </c>
      <c r="C3090">
        <f>'2020_5-2-2_Download'!$BH$5</f>
        <v>2011</v>
      </c>
      <c r="D3090" t="str">
        <f>VLOOKUP(B3090,[1]Tabelle1!$A$1:$B$68,2,FALSE)</f>
        <v>Stat. Region Hannover</v>
      </c>
      <c r="F3090" t="str">
        <f>'2020_5-2-2_Download'!$BK$7</f>
        <v>hoch</v>
      </c>
      <c r="G3090" t="s">
        <v>362</v>
      </c>
      <c r="H3090" t="str">
        <f>VLOOKUP(B3090,[2]Kreise!$A$2:$C$53,3,FALSE)</f>
        <v>K032</v>
      </c>
      <c r="I3090" s="266">
        <f>'2020_5-2-2_Download'!BK30</f>
        <v>7.7107797228825978</v>
      </c>
    </row>
    <row r="3091" spans="2:9">
      <c r="B3091">
        <f>'2020_5-2-2_Download'!B31</f>
        <v>351</v>
      </c>
      <c r="C3091">
        <f>'2020_5-2-2_Download'!$BH$5</f>
        <v>2011</v>
      </c>
      <c r="D3091" t="str">
        <f>VLOOKUP(B3091,[1]Tabelle1!$A$1:$B$68,2,FALSE)</f>
        <v>Celle</v>
      </c>
      <c r="F3091" t="str">
        <f>'2020_5-2-2_Download'!$BK$7</f>
        <v>hoch</v>
      </c>
      <c r="G3091" t="s">
        <v>362</v>
      </c>
      <c r="H3091" t="str">
        <f>VLOOKUP(B3091,[2]Kreise!$A$2:$C$53,3,FALSE)</f>
        <v>K03351</v>
      </c>
      <c r="I3091" s="266">
        <f>'2020_5-2-2_Download'!BK31</f>
        <v>12.678571428571427</v>
      </c>
    </row>
    <row r="3092" spans="2:9">
      <c r="B3092">
        <f>'2020_5-2-2_Download'!B32</f>
        <v>352</v>
      </c>
      <c r="C3092">
        <f>'2020_5-2-2_Download'!$BH$5</f>
        <v>2011</v>
      </c>
      <c r="D3092" t="str">
        <f>VLOOKUP(B3092,[1]Tabelle1!$A$1:$B$68,2,FALSE)</f>
        <v>Cuxhaven</v>
      </c>
      <c r="F3092" t="str">
        <f>'2020_5-2-2_Download'!$BK$7</f>
        <v>hoch</v>
      </c>
      <c r="G3092" t="s">
        <v>362</v>
      </c>
      <c r="H3092" t="str">
        <f>VLOOKUP(B3092,[2]Kreise!$A$2:$C$53,3,FALSE)</f>
        <v>K03352</v>
      </c>
      <c r="I3092" s="266">
        <f>'2020_5-2-2_Download'!BK32</f>
        <v>4.0174249757986447</v>
      </c>
    </row>
    <row r="3093" spans="2:9">
      <c r="B3093">
        <f>'2020_5-2-2_Download'!B33</f>
        <v>353</v>
      </c>
      <c r="C3093">
        <f>'2020_5-2-2_Download'!$BH$5</f>
        <v>2011</v>
      </c>
      <c r="D3093" t="str">
        <f>VLOOKUP(B3093,[1]Tabelle1!$A$1:$B$68,2,FALSE)</f>
        <v>Harburg</v>
      </c>
      <c r="F3093" t="str">
        <f>'2020_5-2-2_Download'!$BK$7</f>
        <v>hoch</v>
      </c>
      <c r="G3093" t="s">
        <v>362</v>
      </c>
      <c r="H3093" t="str">
        <f>VLOOKUP(B3093,[2]Kreise!$A$2:$C$53,3,FALSE)</f>
        <v>K03353</v>
      </c>
      <c r="I3093" s="266">
        <f>'2020_5-2-2_Download'!BK33</f>
        <v>3.352601156069364</v>
      </c>
    </row>
    <row r="3094" spans="2:9">
      <c r="B3094">
        <f>'2020_5-2-2_Download'!B34</f>
        <v>354</v>
      </c>
      <c r="C3094">
        <f>'2020_5-2-2_Download'!$BH$5</f>
        <v>2011</v>
      </c>
      <c r="D3094" t="str">
        <f>VLOOKUP(B3094,[1]Tabelle1!$A$1:$B$68,2,FALSE)</f>
        <v>Lüchow-Dannenberg</v>
      </c>
      <c r="F3094" t="str">
        <f>'2020_5-2-2_Download'!$BK$7</f>
        <v>hoch</v>
      </c>
      <c r="G3094" t="s">
        <v>362</v>
      </c>
      <c r="H3094" t="str">
        <f>VLOOKUP(B3094,[2]Kreise!$A$2:$C$53,3,FALSE)</f>
        <v>K03354</v>
      </c>
      <c r="I3094" s="266">
        <f>'2020_5-2-2_Download'!BK34</f>
        <v>7.1038251366120218</v>
      </c>
    </row>
    <row r="3095" spans="2:9">
      <c r="B3095">
        <f>'2020_5-2-2_Download'!B35</f>
        <v>355</v>
      </c>
      <c r="C3095">
        <f>'2020_5-2-2_Download'!$BH$5</f>
        <v>2011</v>
      </c>
      <c r="D3095" t="str">
        <f>VLOOKUP(B3095,[1]Tabelle1!$A$1:$B$68,2,FALSE)</f>
        <v>Lüneburg</v>
      </c>
      <c r="F3095" t="str">
        <f>'2020_5-2-2_Download'!$BK$7</f>
        <v>hoch</v>
      </c>
      <c r="G3095" t="s">
        <v>362</v>
      </c>
      <c r="H3095" t="str">
        <f>VLOOKUP(B3095,[2]Kreise!$A$2:$C$53,3,FALSE)</f>
        <v>K03355</v>
      </c>
      <c r="I3095" s="266">
        <f>'2020_5-2-2_Download'!BK35</f>
        <v>10.119760479041915</v>
      </c>
    </row>
    <row r="3096" spans="2:9">
      <c r="B3096">
        <f>'2020_5-2-2_Download'!B36</f>
        <v>356</v>
      </c>
      <c r="C3096">
        <f>'2020_5-2-2_Download'!$BH$5</f>
        <v>2011</v>
      </c>
      <c r="D3096" t="str">
        <f>VLOOKUP(B3096,[1]Tabelle1!$A$1:$B$68,2,FALSE)</f>
        <v>Osterholz</v>
      </c>
      <c r="F3096" t="str">
        <f>'2020_5-2-2_Download'!$BK$7</f>
        <v>hoch</v>
      </c>
      <c r="G3096" t="s">
        <v>362</v>
      </c>
      <c r="H3096" t="str">
        <f>VLOOKUP(B3096,[2]Kreise!$A$2:$C$53,3,FALSE)</f>
        <v>K03356</v>
      </c>
      <c r="I3096" s="266">
        <f>'2020_5-2-2_Download'!BK36</f>
        <v>3.225806451612903</v>
      </c>
    </row>
    <row r="3097" spans="2:9">
      <c r="B3097">
        <f>'2020_5-2-2_Download'!B37</f>
        <v>357</v>
      </c>
      <c r="C3097">
        <f>'2020_5-2-2_Download'!$BH$5</f>
        <v>2011</v>
      </c>
      <c r="D3097" t="str">
        <f>VLOOKUP(B3097,[1]Tabelle1!$A$1:$B$68,2,FALSE)</f>
        <v>Rotenburg (Wümme)</v>
      </c>
      <c r="F3097" t="str">
        <f>'2020_5-2-2_Download'!$BK$7</f>
        <v>hoch</v>
      </c>
      <c r="G3097" t="s">
        <v>362</v>
      </c>
      <c r="H3097" t="str">
        <f>VLOOKUP(B3097,[2]Kreise!$A$2:$C$53,3,FALSE)</f>
        <v>K03357</v>
      </c>
      <c r="I3097" s="266">
        <f>'2020_5-2-2_Download'!BK37</f>
        <v>6.8197633959638138</v>
      </c>
    </row>
    <row r="3098" spans="2:9">
      <c r="B3098">
        <f>'2020_5-2-2_Download'!B38</f>
        <v>358</v>
      </c>
      <c r="C3098">
        <f>'2020_5-2-2_Download'!$BH$5</f>
        <v>2011</v>
      </c>
      <c r="D3098" t="str">
        <f>VLOOKUP(B3098,[1]Tabelle1!$A$1:$B$68,2,FALSE)</f>
        <v>Heidekreis</v>
      </c>
      <c r="F3098" t="str">
        <f>'2020_5-2-2_Download'!$BK$7</f>
        <v>hoch</v>
      </c>
      <c r="G3098" t="s">
        <v>362</v>
      </c>
      <c r="H3098" t="str">
        <f>VLOOKUP(B3098,[2]Kreise!$A$2:$C$53,3,FALSE)</f>
        <v>K03358</v>
      </c>
      <c r="I3098" s="266">
        <f>'2020_5-2-2_Download'!BK38</f>
        <v>4.6349942062572422</v>
      </c>
    </row>
    <row r="3099" spans="2:9">
      <c r="B3099">
        <f>'2020_5-2-2_Download'!B39</f>
        <v>359</v>
      </c>
      <c r="C3099">
        <f>'2020_5-2-2_Download'!$BH$5</f>
        <v>2011</v>
      </c>
      <c r="D3099" t="str">
        <f>VLOOKUP(B3099,[1]Tabelle1!$A$1:$B$68,2,FALSE)</f>
        <v>Stade</v>
      </c>
      <c r="F3099" t="str">
        <f>'2020_5-2-2_Download'!$BK$7</f>
        <v>hoch</v>
      </c>
      <c r="G3099" t="s">
        <v>362</v>
      </c>
      <c r="H3099" t="str">
        <f>VLOOKUP(B3099,[2]Kreise!$A$2:$C$53,3,FALSE)</f>
        <v>K03359</v>
      </c>
      <c r="I3099" s="266">
        <f>'2020_5-2-2_Download'!BK39</f>
        <v>10.710526315789473</v>
      </c>
    </row>
    <row r="3100" spans="2:9">
      <c r="B3100">
        <f>'2020_5-2-2_Download'!B40</f>
        <v>360</v>
      </c>
      <c r="C3100">
        <f>'2020_5-2-2_Download'!$BH$5</f>
        <v>2011</v>
      </c>
      <c r="D3100" t="str">
        <f>VLOOKUP(B3100,[1]Tabelle1!$A$1:$B$68,2,FALSE)</f>
        <v>Uelzen</v>
      </c>
      <c r="F3100" t="str">
        <f>'2020_5-2-2_Download'!$BK$7</f>
        <v>hoch</v>
      </c>
      <c r="G3100" t="s">
        <v>362</v>
      </c>
      <c r="H3100" t="str">
        <f>VLOOKUP(B3100,[2]Kreise!$A$2:$C$53,3,FALSE)</f>
        <v>K03360</v>
      </c>
      <c r="I3100" s="266">
        <f>'2020_5-2-2_Download'!BK40</f>
        <v>9.2281879194630871</v>
      </c>
    </row>
    <row r="3101" spans="2:9">
      <c r="B3101">
        <f>'2020_5-2-2_Download'!B41</f>
        <v>361</v>
      </c>
      <c r="C3101">
        <f>'2020_5-2-2_Download'!$BH$5</f>
        <v>2011</v>
      </c>
      <c r="D3101" t="str">
        <f>VLOOKUP(B3101,[1]Tabelle1!$A$1:$B$68,2,FALSE)</f>
        <v>Verden</v>
      </c>
      <c r="F3101" t="str">
        <f>'2020_5-2-2_Download'!$BK$7</f>
        <v>hoch</v>
      </c>
      <c r="G3101" t="s">
        <v>362</v>
      </c>
      <c r="H3101" t="str">
        <f>VLOOKUP(B3101,[2]Kreise!$A$2:$C$53,3,FALSE)</f>
        <v>K03361</v>
      </c>
      <c r="I3101" s="266">
        <f>'2020_5-2-2_Download'!BK41</f>
        <v>7.8229541945445193</v>
      </c>
    </row>
    <row r="3102" spans="2:9">
      <c r="B3102">
        <f>'2020_5-2-2_Download'!B42</f>
        <v>3</v>
      </c>
      <c r="C3102">
        <f>'2020_5-2-2_Download'!$BH$5</f>
        <v>2011</v>
      </c>
      <c r="D3102" t="str">
        <f>VLOOKUP(B3102,[1]Tabelle1!$A$1:$B$68,2,FALSE)</f>
        <v>Stat. Region Lüneburg</v>
      </c>
      <c r="F3102" t="str">
        <f>'2020_5-2-2_Download'!$BK$7</f>
        <v>hoch</v>
      </c>
      <c r="G3102" t="s">
        <v>362</v>
      </c>
      <c r="H3102" t="str">
        <f>VLOOKUP(B3102,[2]Kreise!$A$2:$C$53,3,FALSE)</f>
        <v>K033</v>
      </c>
      <c r="I3102" s="266">
        <f>'2020_5-2-2_Download'!BK42</f>
        <v>7.4819988089437501</v>
      </c>
    </row>
    <row r="3103" spans="2:9">
      <c r="B3103">
        <f>'2020_5-2-2_Download'!B43</f>
        <v>401</v>
      </c>
      <c r="C3103">
        <f>'2020_5-2-2_Download'!$BH$5</f>
        <v>2011</v>
      </c>
      <c r="D3103" t="str">
        <f>VLOOKUP(B3103,[1]Tabelle1!$A$1:$B$68,2,FALSE)</f>
        <v>Delmenhorst  Stadt</v>
      </c>
      <c r="F3103" t="str">
        <f>'2020_5-2-2_Download'!$BK$7</f>
        <v>hoch</v>
      </c>
      <c r="G3103" t="s">
        <v>362</v>
      </c>
      <c r="H3103" t="str">
        <f>VLOOKUP(B3103,[2]Kreise!$A$2:$C$53,3,FALSE)</f>
        <v>K03401</v>
      </c>
      <c r="I3103" s="266">
        <f>'2020_5-2-2_Download'!BK43</f>
        <v>3.6065573770491808</v>
      </c>
    </row>
    <row r="3104" spans="2:9">
      <c r="B3104">
        <f>'2020_5-2-2_Download'!B44</f>
        <v>402</v>
      </c>
      <c r="C3104">
        <f>'2020_5-2-2_Download'!$BH$5</f>
        <v>2011</v>
      </c>
      <c r="D3104" t="str">
        <f>VLOOKUP(B3104,[1]Tabelle1!$A$1:$B$68,2,FALSE)</f>
        <v>Emden  Stadt</v>
      </c>
      <c r="F3104" t="str">
        <f>'2020_5-2-2_Download'!$BK$7</f>
        <v>hoch</v>
      </c>
      <c r="G3104" t="s">
        <v>362</v>
      </c>
      <c r="H3104" t="str">
        <f>VLOOKUP(B3104,[2]Kreise!$A$2:$C$53,3,FALSE)</f>
        <v>K03402</v>
      </c>
      <c r="I3104" s="266">
        <f>'2020_5-2-2_Download'!BK44</f>
        <v>6.6006600660065997</v>
      </c>
    </row>
    <row r="3105" spans="2:9">
      <c r="B3105">
        <f>'2020_5-2-2_Download'!B45</f>
        <v>403</v>
      </c>
      <c r="C3105">
        <f>'2020_5-2-2_Download'!$BH$5</f>
        <v>2011</v>
      </c>
      <c r="D3105" t="str">
        <f>VLOOKUP(B3105,[1]Tabelle1!$A$1:$B$68,2,FALSE)</f>
        <v>Oldenburg(Oldb)  Stadt</v>
      </c>
      <c r="F3105" t="str">
        <f>'2020_5-2-2_Download'!$BK$7</f>
        <v>hoch</v>
      </c>
      <c r="G3105" t="s">
        <v>362</v>
      </c>
      <c r="H3105" t="str">
        <f>VLOOKUP(B3105,[2]Kreise!$A$2:$C$53,3,FALSE)</f>
        <v>K03403</v>
      </c>
      <c r="I3105" s="266">
        <f>'2020_5-2-2_Download'!BK45</f>
        <v>13.407572383073497</v>
      </c>
    </row>
    <row r="3106" spans="2:9">
      <c r="B3106">
        <f>'2020_5-2-2_Download'!B46</f>
        <v>404</v>
      </c>
      <c r="C3106">
        <f>'2020_5-2-2_Download'!$BH$5</f>
        <v>2011</v>
      </c>
      <c r="D3106" t="str">
        <f>VLOOKUP(B3106,[1]Tabelle1!$A$1:$B$68,2,FALSE)</f>
        <v>Osnabrück  Stadt</v>
      </c>
      <c r="F3106" t="str">
        <f>'2020_5-2-2_Download'!$BK$7</f>
        <v>hoch</v>
      </c>
      <c r="G3106" t="s">
        <v>362</v>
      </c>
      <c r="H3106" t="str">
        <f>VLOOKUP(B3106,[2]Kreise!$A$2:$C$53,3,FALSE)</f>
        <v>K03404</v>
      </c>
      <c r="I3106" s="266">
        <f>'2020_5-2-2_Download'!BK46</f>
        <v>7.8467574428802216</v>
      </c>
    </row>
    <row r="3107" spans="2:9">
      <c r="B3107">
        <f>'2020_5-2-2_Download'!B47</f>
        <v>405</v>
      </c>
      <c r="C3107">
        <f>'2020_5-2-2_Download'!$BH$5</f>
        <v>2011</v>
      </c>
      <c r="D3107" t="str">
        <f>VLOOKUP(B3107,[1]Tabelle1!$A$1:$B$68,2,FALSE)</f>
        <v>Wilhelmshaven  Stadt</v>
      </c>
      <c r="F3107" t="str">
        <f>'2020_5-2-2_Download'!$BK$7</f>
        <v>hoch</v>
      </c>
      <c r="G3107" t="s">
        <v>362</v>
      </c>
      <c r="H3107" t="str">
        <f>VLOOKUP(B3107,[2]Kreise!$A$2:$C$53,3,FALSE)</f>
        <v>K03405</v>
      </c>
      <c r="I3107" s="266">
        <f>'2020_5-2-2_Download'!BK47</f>
        <v>13.915857605177994</v>
      </c>
    </row>
    <row r="3108" spans="2:9">
      <c r="B3108">
        <f>'2020_5-2-2_Download'!B48</f>
        <v>451</v>
      </c>
      <c r="C3108">
        <f>'2020_5-2-2_Download'!$BH$5</f>
        <v>2011</v>
      </c>
      <c r="D3108" t="str">
        <f>VLOOKUP(B3108,[1]Tabelle1!$A$1:$B$68,2,FALSE)</f>
        <v>Ammerland</v>
      </c>
      <c r="F3108" t="str">
        <f>'2020_5-2-2_Download'!$BK$7</f>
        <v>hoch</v>
      </c>
      <c r="G3108" t="s">
        <v>362</v>
      </c>
      <c r="H3108" t="str">
        <f>VLOOKUP(B3108,[2]Kreise!$A$2:$C$53,3,FALSE)</f>
        <v>K03451</v>
      </c>
      <c r="I3108" s="266">
        <f>'2020_5-2-2_Download'!BK48</f>
        <v>3.6809815950920246</v>
      </c>
    </row>
    <row r="3109" spans="2:9">
      <c r="B3109">
        <f>'2020_5-2-2_Download'!B49</f>
        <v>452</v>
      </c>
      <c r="C3109">
        <f>'2020_5-2-2_Download'!$BH$5</f>
        <v>2011</v>
      </c>
      <c r="D3109" t="str">
        <f>VLOOKUP(B3109,[1]Tabelle1!$A$1:$B$68,2,FALSE)</f>
        <v>Aurich</v>
      </c>
      <c r="F3109" t="str">
        <f>'2020_5-2-2_Download'!$BK$7</f>
        <v>hoch</v>
      </c>
      <c r="G3109" t="s">
        <v>362</v>
      </c>
      <c r="H3109" t="str">
        <f>VLOOKUP(B3109,[2]Kreise!$A$2:$C$53,3,FALSE)</f>
        <v>K03452</v>
      </c>
      <c r="I3109" s="266">
        <f>'2020_5-2-2_Download'!BK49</f>
        <v>5.636604774535809</v>
      </c>
    </row>
    <row r="3110" spans="2:9">
      <c r="B3110">
        <f>'2020_5-2-2_Download'!B50</f>
        <v>453</v>
      </c>
      <c r="C3110">
        <f>'2020_5-2-2_Download'!$BH$5</f>
        <v>2011</v>
      </c>
      <c r="D3110" t="str">
        <f>VLOOKUP(B3110,[1]Tabelle1!$A$1:$B$68,2,FALSE)</f>
        <v>Cloppenburg</v>
      </c>
      <c r="F3110" t="str">
        <f>'2020_5-2-2_Download'!$BK$7</f>
        <v>hoch</v>
      </c>
      <c r="G3110" t="s">
        <v>362</v>
      </c>
      <c r="H3110" t="str">
        <f>VLOOKUP(B3110,[2]Kreise!$A$2:$C$53,3,FALSE)</f>
        <v>K03453</v>
      </c>
      <c r="I3110" s="266">
        <f>'2020_5-2-2_Download'!BK50</f>
        <v>2.0762551906379767</v>
      </c>
    </row>
    <row r="3111" spans="2:9">
      <c r="B3111">
        <f>'2020_5-2-2_Download'!B51</f>
        <v>454</v>
      </c>
      <c r="C3111">
        <f>'2020_5-2-2_Download'!$BH$5</f>
        <v>2011</v>
      </c>
      <c r="D3111" t="str">
        <f>VLOOKUP(B3111,[1]Tabelle1!$A$1:$B$68,2,FALSE)</f>
        <v>Emsland</v>
      </c>
      <c r="F3111" t="str">
        <f>'2020_5-2-2_Download'!$BK$7</f>
        <v>hoch</v>
      </c>
      <c r="G3111" t="s">
        <v>362</v>
      </c>
      <c r="H3111" t="str">
        <f>VLOOKUP(B3111,[2]Kreise!$A$2:$C$53,3,FALSE)</f>
        <v>K03454</v>
      </c>
      <c r="I3111" s="266">
        <f>'2020_5-2-2_Download'!BK51</f>
        <v>7.4254215304798965</v>
      </c>
    </row>
    <row r="3112" spans="2:9">
      <c r="B3112">
        <f>'2020_5-2-2_Download'!B52</f>
        <v>455</v>
      </c>
      <c r="C3112">
        <f>'2020_5-2-2_Download'!$BH$5</f>
        <v>2011</v>
      </c>
      <c r="D3112" t="str">
        <f>VLOOKUP(B3112,[1]Tabelle1!$A$1:$B$68,2,FALSE)</f>
        <v>Friesland</v>
      </c>
      <c r="F3112" t="str">
        <f>'2020_5-2-2_Download'!$BK$7</f>
        <v>hoch</v>
      </c>
      <c r="G3112" t="s">
        <v>362</v>
      </c>
      <c r="H3112" t="str">
        <f>VLOOKUP(B3112,[2]Kreise!$A$2:$C$53,3,FALSE)</f>
        <v>K03455</v>
      </c>
      <c r="I3112" s="266">
        <f>'2020_5-2-2_Download'!BK52</f>
        <v>6.6176470588235299</v>
      </c>
    </row>
    <row r="3113" spans="2:9">
      <c r="B3113">
        <f>'2020_5-2-2_Download'!B53</f>
        <v>456</v>
      </c>
      <c r="C3113">
        <f>'2020_5-2-2_Download'!$BH$5</f>
        <v>2011</v>
      </c>
      <c r="D3113" t="str">
        <f>VLOOKUP(B3113,[1]Tabelle1!$A$1:$B$68,2,FALSE)</f>
        <v>Grafschaft Bentheim</v>
      </c>
      <c r="F3113" t="str">
        <f>'2020_5-2-2_Download'!$BK$7</f>
        <v>hoch</v>
      </c>
      <c r="G3113" t="s">
        <v>362</v>
      </c>
      <c r="H3113" t="str">
        <f>VLOOKUP(B3113,[2]Kreise!$A$2:$C$53,3,FALSE)</f>
        <v>K03456</v>
      </c>
      <c r="I3113" s="266">
        <f>'2020_5-2-2_Download'!BK53</f>
        <v>4.5294413688978361</v>
      </c>
    </row>
    <row r="3114" spans="2:9">
      <c r="B3114">
        <f>'2020_5-2-2_Download'!B54</f>
        <v>457</v>
      </c>
      <c r="C3114">
        <f>'2020_5-2-2_Download'!$BH$5</f>
        <v>2011</v>
      </c>
      <c r="D3114" t="str">
        <f>VLOOKUP(B3114,[1]Tabelle1!$A$1:$B$68,2,FALSE)</f>
        <v>Leer</v>
      </c>
      <c r="F3114" t="str">
        <f>'2020_5-2-2_Download'!$BK$7</f>
        <v>hoch</v>
      </c>
      <c r="G3114" t="s">
        <v>362</v>
      </c>
      <c r="H3114" t="str">
        <f>VLOOKUP(B3114,[2]Kreise!$A$2:$C$53,3,FALSE)</f>
        <v>K03457</v>
      </c>
      <c r="I3114" s="266">
        <f>'2020_5-2-2_Download'!BK54</f>
        <v>4.9446974625894597</v>
      </c>
    </row>
    <row r="3115" spans="2:9">
      <c r="B3115">
        <f>'2020_5-2-2_Download'!B55</f>
        <v>458</v>
      </c>
      <c r="C3115">
        <f>'2020_5-2-2_Download'!$BH$5</f>
        <v>2011</v>
      </c>
      <c r="D3115" t="str">
        <f>VLOOKUP(B3115,[1]Tabelle1!$A$1:$B$68,2,FALSE)</f>
        <v>Oldenburg</v>
      </c>
      <c r="F3115" t="str">
        <f>'2020_5-2-2_Download'!$BK$7</f>
        <v>hoch</v>
      </c>
      <c r="G3115" t="s">
        <v>362</v>
      </c>
      <c r="H3115" t="str">
        <f>VLOOKUP(B3115,[2]Kreise!$A$2:$C$53,3,FALSE)</f>
        <v>K03458</v>
      </c>
      <c r="I3115" s="266">
        <f>'2020_5-2-2_Download'!BK55</f>
        <v>2.0408163265306123</v>
      </c>
    </row>
    <row r="3116" spans="2:9">
      <c r="B3116">
        <f>'2020_5-2-2_Download'!B56</f>
        <v>459</v>
      </c>
      <c r="C3116">
        <f>'2020_5-2-2_Download'!$BH$5</f>
        <v>2011</v>
      </c>
      <c r="D3116" t="str">
        <f>VLOOKUP(B3116,[1]Tabelle1!$A$1:$B$68,2,FALSE)</f>
        <v>Osnabrück</v>
      </c>
      <c r="F3116" t="str">
        <f>'2020_5-2-2_Download'!$BK$7</f>
        <v>hoch</v>
      </c>
      <c r="G3116" t="s">
        <v>362</v>
      </c>
      <c r="H3116" t="str">
        <f>VLOOKUP(B3116,[2]Kreise!$A$2:$C$53,3,FALSE)</f>
        <v>K03459</v>
      </c>
      <c r="I3116" s="266">
        <f>'2020_5-2-2_Download'!BK56</f>
        <v>3.0211958241062953</v>
      </c>
    </row>
    <row r="3117" spans="2:9">
      <c r="B3117">
        <f>'2020_5-2-2_Download'!B57</f>
        <v>460</v>
      </c>
      <c r="C3117">
        <f>'2020_5-2-2_Download'!$BH$5</f>
        <v>2011</v>
      </c>
      <c r="D3117" t="str">
        <f>VLOOKUP(B3117,[1]Tabelle1!$A$1:$B$68,2,FALSE)</f>
        <v>Vechta</v>
      </c>
      <c r="F3117" t="str">
        <f>'2020_5-2-2_Download'!$BK$7</f>
        <v>hoch</v>
      </c>
      <c r="G3117" t="s">
        <v>362</v>
      </c>
      <c r="H3117" t="str">
        <f>VLOOKUP(B3117,[2]Kreise!$A$2:$C$53,3,FALSE)</f>
        <v>K03460</v>
      </c>
      <c r="I3117" s="266">
        <f>'2020_5-2-2_Download'!BK57</f>
        <v>3.2626766417290107</v>
      </c>
    </row>
    <row r="3118" spans="2:9">
      <c r="B3118">
        <f>'2020_5-2-2_Download'!B58</f>
        <v>461</v>
      </c>
      <c r="C3118">
        <f>'2020_5-2-2_Download'!$BH$5</f>
        <v>2011</v>
      </c>
      <c r="D3118" t="str">
        <f>VLOOKUP(B3118,[1]Tabelle1!$A$1:$B$68,2,FALSE)</f>
        <v>Wesermarsch</v>
      </c>
      <c r="F3118" t="str">
        <f>'2020_5-2-2_Download'!$BK$7</f>
        <v>hoch</v>
      </c>
      <c r="G3118" t="s">
        <v>362</v>
      </c>
      <c r="H3118" t="str">
        <f>VLOOKUP(B3118,[2]Kreise!$A$2:$C$53,3,FALSE)</f>
        <v>K03461</v>
      </c>
      <c r="I3118" s="266">
        <f>'2020_5-2-2_Download'!BK58</f>
        <v>5.1557465091299681</v>
      </c>
    </row>
    <row r="3119" spans="2:9">
      <c r="B3119">
        <f>'2020_5-2-2_Download'!B59</f>
        <v>462</v>
      </c>
      <c r="C3119">
        <f>'2020_5-2-2_Download'!$BH$5</f>
        <v>2011</v>
      </c>
      <c r="D3119" t="str">
        <f>VLOOKUP(B3119,[1]Tabelle1!$A$1:$B$68,2,FALSE)</f>
        <v>Wittmund</v>
      </c>
      <c r="F3119" t="str">
        <f>'2020_5-2-2_Download'!$BK$7</f>
        <v>hoch</v>
      </c>
      <c r="G3119" t="s">
        <v>362</v>
      </c>
      <c r="H3119" t="str">
        <f>VLOOKUP(B3119,[2]Kreise!$A$2:$C$53,3,FALSE)</f>
        <v>K03462</v>
      </c>
      <c r="I3119" s="266">
        <f>'2020_5-2-2_Download'!BK59</f>
        <v>5.6555269922879177</v>
      </c>
    </row>
    <row r="3120" spans="2:9">
      <c r="B3120">
        <f>'2020_5-2-2_Download'!B60</f>
        <v>4</v>
      </c>
      <c r="C3120">
        <f>'2020_5-2-2_Download'!$BH$5</f>
        <v>2011</v>
      </c>
      <c r="D3120" t="str">
        <f>VLOOKUP(B3120,[1]Tabelle1!$A$1:$B$68,2,FALSE)</f>
        <v>Stat. Region Weser-Ems</v>
      </c>
      <c r="F3120" t="str">
        <f>'2020_5-2-2_Download'!$BK$7</f>
        <v>hoch</v>
      </c>
      <c r="G3120" t="s">
        <v>362</v>
      </c>
      <c r="H3120" t="str">
        <f>VLOOKUP(B3120,[2]Kreise!$A$2:$C$53,3,FALSE)</f>
        <v>K034</v>
      </c>
      <c r="I3120" s="266">
        <f>'2020_5-2-2_Download'!BK60</f>
        <v>5.3085172084666779</v>
      </c>
    </row>
    <row r="3121" spans="2:9">
      <c r="B3121">
        <f>'2020_5-2-2_Download'!B61</f>
        <v>0</v>
      </c>
      <c r="C3121">
        <f>'2020_5-2-2_Download'!$BH$5</f>
        <v>2011</v>
      </c>
      <c r="D3121" t="str">
        <f>VLOOKUP(B3121,[1]Tabelle1!$A$1:$B$68,2,FALSE)</f>
        <v>Niedersachsen</v>
      </c>
      <c r="F3121" t="str">
        <f>'2020_5-2-2_Download'!$BK$7</f>
        <v>hoch</v>
      </c>
      <c r="G3121" t="s">
        <v>362</v>
      </c>
      <c r="H3121" t="str">
        <f>VLOOKUP(B3121,[2]Kreise!$A$2:$C$53,3,FALSE)</f>
        <v>K030</v>
      </c>
      <c r="I3121" s="266">
        <f>'2020_5-2-2_Download'!BK61</f>
        <v>8.217693154266895</v>
      </c>
    </row>
    <row r="3122" spans="2:9">
      <c r="B3122">
        <f>'2020_5-2-2_Download'!B10</f>
        <v>101</v>
      </c>
      <c r="C3122">
        <f>'2020_5-2-2_Download'!$BH$5</f>
        <v>2011</v>
      </c>
      <c r="D3122" t="str">
        <f>VLOOKUP(B3122,[1]Tabelle1!$A$1:$B$68,2,FALSE)</f>
        <v>Braunschweig  Stadt</v>
      </c>
      <c r="F3122" t="str">
        <f>'2020_5-2-2_Download'!$BL$7</f>
        <v>mittel</v>
      </c>
      <c r="G3122" t="s">
        <v>362</v>
      </c>
      <c r="H3122" t="str">
        <f>VLOOKUP(B3122,[2]Kreise!$A$2:$C$53,3,FALSE)</f>
        <v>K03101</v>
      </c>
      <c r="I3122" s="266">
        <f>'2020_5-2-2_Download'!BL10</f>
        <v>26.419558359621455</v>
      </c>
    </row>
    <row r="3123" spans="2:9">
      <c r="B3123">
        <f>'2020_5-2-2_Download'!B11</f>
        <v>102</v>
      </c>
      <c r="C3123">
        <f>'2020_5-2-2_Download'!$BH$5</f>
        <v>2011</v>
      </c>
      <c r="D3123" t="str">
        <f>VLOOKUP(B3123,[1]Tabelle1!$A$1:$B$68,2,FALSE)</f>
        <v>Salzgitter  Stadt</v>
      </c>
      <c r="F3123" t="str">
        <f>'2020_5-2-2_Download'!$BL$7</f>
        <v>mittel</v>
      </c>
      <c r="G3123" t="s">
        <v>362</v>
      </c>
      <c r="H3123" t="str">
        <f>VLOOKUP(B3123,[2]Kreise!$A$2:$C$53,3,FALSE)</f>
        <v>K03102</v>
      </c>
      <c r="I3123" s="266">
        <f>'2020_5-2-2_Download'!BL11</f>
        <v>43.370463528566297</v>
      </c>
    </row>
    <row r="3124" spans="2:9">
      <c r="B3124">
        <f>'2020_5-2-2_Download'!B12</f>
        <v>103</v>
      </c>
      <c r="C3124">
        <f>'2020_5-2-2_Download'!$BH$5</f>
        <v>2011</v>
      </c>
      <c r="D3124" t="str">
        <f>VLOOKUP(B3124,[1]Tabelle1!$A$1:$B$68,2,FALSE)</f>
        <v>Wolfsburg  Stadt</v>
      </c>
      <c r="F3124" t="str">
        <f>'2020_5-2-2_Download'!$BL$7</f>
        <v>mittel</v>
      </c>
      <c r="G3124" t="s">
        <v>362</v>
      </c>
      <c r="H3124" t="str">
        <f>VLOOKUP(B3124,[2]Kreise!$A$2:$C$53,3,FALSE)</f>
        <v>K03103</v>
      </c>
      <c r="I3124" s="266">
        <f>'2020_5-2-2_Download'!BL12</f>
        <v>43.933966671857966</v>
      </c>
    </row>
    <row r="3125" spans="2:9">
      <c r="B3125">
        <f>'2020_5-2-2_Download'!B13</f>
        <v>151</v>
      </c>
      <c r="C3125">
        <f>'2020_5-2-2_Download'!$BH$5</f>
        <v>2011</v>
      </c>
      <c r="D3125" t="str">
        <f>VLOOKUP(B3125,[1]Tabelle1!$A$1:$B$68,2,FALSE)</f>
        <v>Gifhorn</v>
      </c>
      <c r="F3125" t="str">
        <f>'2020_5-2-2_Download'!$BL$7</f>
        <v>mittel</v>
      </c>
      <c r="G3125" t="s">
        <v>362</v>
      </c>
      <c r="H3125" t="str">
        <f>VLOOKUP(B3125,[2]Kreise!$A$2:$C$53,3,FALSE)</f>
        <v>K03151</v>
      </c>
      <c r="I3125" s="266">
        <f>'2020_5-2-2_Download'!BL13</f>
        <v>23.116313094367229</v>
      </c>
    </row>
    <row r="3126" spans="2:9">
      <c r="B3126">
        <f>'2020_5-2-2_Download'!B14</f>
        <v>153</v>
      </c>
      <c r="C3126">
        <f>'2020_5-2-2_Download'!$BH$5</f>
        <v>2011</v>
      </c>
      <c r="D3126" t="str">
        <f>VLOOKUP(B3126,[1]Tabelle1!$A$1:$B$68,2,FALSE)</f>
        <v>Goslar</v>
      </c>
      <c r="F3126" t="str">
        <f>'2020_5-2-2_Download'!$BL$7</f>
        <v>mittel</v>
      </c>
      <c r="G3126" t="s">
        <v>362</v>
      </c>
      <c r="H3126" t="str">
        <f>VLOOKUP(B3126,[2]Kreise!$A$2:$C$53,3,FALSE)</f>
        <v>K03153</v>
      </c>
      <c r="I3126" s="266">
        <f>'2020_5-2-2_Download'!BL14</f>
        <v>26.600284495021338</v>
      </c>
    </row>
    <row r="3127" spans="2:9">
      <c r="B3127">
        <f>'2020_5-2-2_Download'!B15</f>
        <v>154</v>
      </c>
      <c r="C3127">
        <f>'2020_5-2-2_Download'!$BH$5</f>
        <v>2011</v>
      </c>
      <c r="D3127" t="str">
        <f>VLOOKUP(B3127,[1]Tabelle1!$A$1:$B$68,2,FALSE)</f>
        <v>Helmstedt</v>
      </c>
      <c r="F3127" t="str">
        <f>'2020_5-2-2_Download'!$BL$7</f>
        <v>mittel</v>
      </c>
      <c r="G3127" t="s">
        <v>362</v>
      </c>
      <c r="H3127" t="str">
        <f>VLOOKUP(B3127,[2]Kreise!$A$2:$C$53,3,FALSE)</f>
        <v>K03154</v>
      </c>
      <c r="I3127" s="266">
        <f>'2020_5-2-2_Download'!BL15</f>
        <v>30.932203389830509</v>
      </c>
    </row>
    <row r="3128" spans="2:9">
      <c r="B3128">
        <f>'2020_5-2-2_Download'!B16</f>
        <v>155</v>
      </c>
      <c r="C3128">
        <f>'2020_5-2-2_Download'!$BH$5</f>
        <v>2011</v>
      </c>
      <c r="D3128" t="str">
        <f>VLOOKUP(B3128,[1]Tabelle1!$A$1:$B$68,2,FALSE)</f>
        <v>Northeim</v>
      </c>
      <c r="F3128" t="str">
        <f>'2020_5-2-2_Download'!$BL$7</f>
        <v>mittel</v>
      </c>
      <c r="G3128" t="s">
        <v>362</v>
      </c>
      <c r="H3128" t="str">
        <f>VLOOKUP(B3128,[2]Kreise!$A$2:$C$53,3,FALSE)</f>
        <v>K03155</v>
      </c>
      <c r="I3128" s="266">
        <f>'2020_5-2-2_Download'!BL16</f>
        <v>31.760435571687839</v>
      </c>
    </row>
    <row r="3129" spans="2:9">
      <c r="B3129">
        <f>'2020_5-2-2_Download'!B17</f>
        <v>157</v>
      </c>
      <c r="C3129">
        <f>'2020_5-2-2_Download'!$BH$5</f>
        <v>2011</v>
      </c>
      <c r="D3129" t="str">
        <f>VLOOKUP(B3129,[1]Tabelle1!$A$1:$B$68,2,FALSE)</f>
        <v>Peine</v>
      </c>
      <c r="F3129" t="str">
        <f>'2020_5-2-2_Download'!$BL$7</f>
        <v>mittel</v>
      </c>
      <c r="G3129" t="s">
        <v>362</v>
      </c>
      <c r="H3129" t="str">
        <f>VLOOKUP(B3129,[2]Kreise!$A$2:$C$53,3,FALSE)</f>
        <v>K03157</v>
      </c>
      <c r="I3129" s="266">
        <f>'2020_5-2-2_Download'!BL17</f>
        <v>27.739726027397261</v>
      </c>
    </row>
    <row r="3130" spans="2:9">
      <c r="B3130">
        <f>'2020_5-2-2_Download'!B18</f>
        <v>158</v>
      </c>
      <c r="C3130">
        <f>'2020_5-2-2_Download'!$BH$5</f>
        <v>2011</v>
      </c>
      <c r="D3130" t="str">
        <f>VLOOKUP(B3130,[1]Tabelle1!$A$1:$B$68,2,FALSE)</f>
        <v>Wolfenbüttel</v>
      </c>
      <c r="F3130" t="str">
        <f>'2020_5-2-2_Download'!$BL$7</f>
        <v>mittel</v>
      </c>
      <c r="G3130" t="s">
        <v>362</v>
      </c>
      <c r="H3130" t="str">
        <f>VLOOKUP(B3130,[2]Kreise!$A$2:$C$53,3,FALSE)</f>
        <v>K03158</v>
      </c>
      <c r="I3130" s="266">
        <f>'2020_5-2-2_Download'!BL18</f>
        <v>30.39568345323741</v>
      </c>
    </row>
    <row r="3131" spans="2:9">
      <c r="B3131">
        <f>'2020_5-2-2_Download'!B19</f>
        <v>159</v>
      </c>
      <c r="C3131">
        <f>'2020_5-2-2_Download'!$BH$5</f>
        <v>2011</v>
      </c>
      <c r="D3131" t="str">
        <f>VLOOKUP(B3131,[1]Tabelle1!$A$1:$B$68,2,FALSE)</f>
        <v>Göttingen</v>
      </c>
      <c r="F3131" t="str">
        <f>'2020_5-2-2_Download'!$BL$7</f>
        <v>mittel</v>
      </c>
      <c r="G3131" t="s">
        <v>362</v>
      </c>
      <c r="H3131" t="str">
        <f>VLOOKUP(B3131,[2]Kreise!$A$2:$C$53,3,FALSE)</f>
        <v>K03159</v>
      </c>
      <c r="I3131" s="266">
        <f>'2020_5-2-2_Download'!BL19</f>
        <v>26.396048109965637</v>
      </c>
    </row>
    <row r="3132" spans="2:9">
      <c r="B3132">
        <f>'2020_5-2-2_Download'!B20</f>
        <v>1</v>
      </c>
      <c r="C3132">
        <f>'2020_5-2-2_Download'!$BH$5</f>
        <v>2011</v>
      </c>
      <c r="D3132" t="str">
        <f>VLOOKUP(B3132,[1]Tabelle1!$A$1:$B$68,2,FALSE)</f>
        <v>Stat. Region Braunschweig</v>
      </c>
      <c r="F3132" t="str">
        <f>'2020_5-2-2_Download'!$BL$7</f>
        <v>mittel</v>
      </c>
      <c r="G3132" t="s">
        <v>362</v>
      </c>
      <c r="H3132" t="str">
        <f>VLOOKUP(B3132,[2]Kreise!$A$2:$C$53,3,FALSE)</f>
        <v>K031</v>
      </c>
      <c r="I3132" s="266">
        <f>'2020_5-2-2_Download'!BL20</f>
        <v>33.030701230438417</v>
      </c>
    </row>
    <row r="3133" spans="2:9">
      <c r="B3133">
        <f>'2020_5-2-2_Download'!B21</f>
        <v>241</v>
      </c>
      <c r="C3133">
        <f>'2020_5-2-2_Download'!$BH$5</f>
        <v>2011</v>
      </c>
      <c r="D3133" t="str">
        <f>VLOOKUP(B3133,[1]Tabelle1!$A$1:$B$68,2,FALSE)</f>
        <v>Hannover  Region</v>
      </c>
      <c r="F3133" t="str">
        <f>'2020_5-2-2_Download'!$BL$7</f>
        <v>mittel</v>
      </c>
      <c r="G3133" t="s">
        <v>362</v>
      </c>
      <c r="H3133" t="str">
        <f>VLOOKUP(B3133,[2]Kreise!$A$2:$C$53,3,FALSE)</f>
        <v>K03241</v>
      </c>
      <c r="I3133" s="266">
        <f>'2020_5-2-2_Download'!BL21</f>
        <v>28.949827602874361</v>
      </c>
    </row>
    <row r="3134" spans="2:9">
      <c r="B3134">
        <f>'2020_5-2-2_Download'!B22</f>
        <v>241001</v>
      </c>
      <c r="C3134">
        <f>'2020_5-2-2_Download'!$BH$5</f>
        <v>2011</v>
      </c>
      <c r="D3134" t="str">
        <f>VLOOKUP(B3134,[1]Tabelle1!$A$1:$B$68,2,FALSE)</f>
        <v>dav. Hannover  Lhst.</v>
      </c>
      <c r="F3134" t="str">
        <f>'2020_5-2-2_Download'!$BL$7</f>
        <v>mittel</v>
      </c>
      <c r="G3134" t="s">
        <v>362</v>
      </c>
      <c r="H3134" t="str">
        <f>VLOOKUP(B3134,[2]Kreise!$A$2:$C$53,3,FALSE)</f>
        <v>K03241001</v>
      </c>
      <c r="I3134" s="266">
        <f>'2020_5-2-2_Download'!BL22</f>
        <v>30.437903804737974</v>
      </c>
    </row>
    <row r="3135" spans="2:9">
      <c r="B3135">
        <f>'2020_5-2-2_Download'!B23</f>
        <v>241999</v>
      </c>
      <c r="C3135">
        <f>'2020_5-2-2_Download'!$BH$5</f>
        <v>2011</v>
      </c>
      <c r="D3135" t="str">
        <f>VLOOKUP(B3135,[1]Tabelle1!$A$1:$B$68,2,FALSE)</f>
        <v>dav. Hannover  Umland</v>
      </c>
      <c r="F3135" t="str">
        <f>'2020_5-2-2_Download'!$BL$7</f>
        <v>mittel</v>
      </c>
      <c r="G3135" t="s">
        <v>362</v>
      </c>
      <c r="H3135" t="str">
        <f>VLOOKUP(B3135,[2]Kreise!$A$2:$C$53,3,FALSE)</f>
        <v>K03241999</v>
      </c>
      <c r="I3135" s="266">
        <f>'2020_5-2-2_Download'!BL23</f>
        <v>25.882817123693037</v>
      </c>
    </row>
    <row r="3136" spans="2:9">
      <c r="B3136">
        <f>'2020_5-2-2_Download'!B24</f>
        <v>251</v>
      </c>
      <c r="C3136">
        <f>'2020_5-2-2_Download'!$BH$5</f>
        <v>2011</v>
      </c>
      <c r="D3136" t="str">
        <f>VLOOKUP(B3136,[1]Tabelle1!$A$1:$B$68,2,FALSE)</f>
        <v>Diepholz</v>
      </c>
      <c r="F3136" t="str">
        <f>'2020_5-2-2_Download'!$BL$7</f>
        <v>mittel</v>
      </c>
      <c r="G3136" t="s">
        <v>362</v>
      </c>
      <c r="H3136" t="str">
        <f>VLOOKUP(B3136,[2]Kreise!$A$2:$C$53,3,FALSE)</f>
        <v>K03251</v>
      </c>
      <c r="I3136" s="266">
        <f>'2020_5-2-2_Download'!BL24</f>
        <v>23.167732415150024</v>
      </c>
    </row>
    <row r="3137" spans="2:9">
      <c r="B3137">
        <f>'2020_5-2-2_Download'!B25</f>
        <v>252</v>
      </c>
      <c r="C3137">
        <f>'2020_5-2-2_Download'!$BH$5</f>
        <v>2011</v>
      </c>
      <c r="D3137" t="str">
        <f>VLOOKUP(B3137,[1]Tabelle1!$A$1:$B$68,2,FALSE)</f>
        <v>Hameln-Pyrmont</v>
      </c>
      <c r="F3137" t="str">
        <f>'2020_5-2-2_Download'!$BL$7</f>
        <v>mittel</v>
      </c>
      <c r="G3137" t="s">
        <v>362</v>
      </c>
      <c r="H3137" t="str">
        <f>VLOOKUP(B3137,[2]Kreise!$A$2:$C$53,3,FALSE)</f>
        <v>K03252</v>
      </c>
      <c r="I3137" s="266">
        <f>'2020_5-2-2_Download'!BL25</f>
        <v>31.75398633257403</v>
      </c>
    </row>
    <row r="3138" spans="2:9">
      <c r="B3138">
        <f>'2020_5-2-2_Download'!B26</f>
        <v>254</v>
      </c>
      <c r="C3138">
        <f>'2020_5-2-2_Download'!$BH$5</f>
        <v>2011</v>
      </c>
      <c r="D3138" t="str">
        <f>VLOOKUP(B3138,[1]Tabelle1!$A$1:$B$68,2,FALSE)</f>
        <v>Hildesheim</v>
      </c>
      <c r="F3138" t="str">
        <f>'2020_5-2-2_Download'!$BL$7</f>
        <v>mittel</v>
      </c>
      <c r="G3138" t="s">
        <v>362</v>
      </c>
      <c r="H3138" t="str">
        <f>VLOOKUP(B3138,[2]Kreise!$A$2:$C$53,3,FALSE)</f>
        <v>K03254</v>
      </c>
      <c r="I3138" s="266">
        <f>'2020_5-2-2_Download'!BL26</f>
        <v>32.477754962354553</v>
      </c>
    </row>
    <row r="3139" spans="2:9">
      <c r="B3139">
        <f>'2020_5-2-2_Download'!B27</f>
        <v>255</v>
      </c>
      <c r="C3139">
        <f>'2020_5-2-2_Download'!$BH$5</f>
        <v>2011</v>
      </c>
      <c r="D3139" t="str">
        <f>VLOOKUP(B3139,[1]Tabelle1!$A$1:$B$68,2,FALSE)</f>
        <v>Holzminden</v>
      </c>
      <c r="F3139" t="str">
        <f>'2020_5-2-2_Download'!$BL$7</f>
        <v>mittel</v>
      </c>
      <c r="G3139" t="s">
        <v>362</v>
      </c>
      <c r="H3139" t="str">
        <f>VLOOKUP(B3139,[2]Kreise!$A$2:$C$53,3,FALSE)</f>
        <v>K03255</v>
      </c>
      <c r="I3139" s="266">
        <f>'2020_5-2-2_Download'!BL27</f>
        <v>31.905465288035451</v>
      </c>
    </row>
    <row r="3140" spans="2:9">
      <c r="B3140">
        <f>'2020_5-2-2_Download'!B28</f>
        <v>256</v>
      </c>
      <c r="C3140">
        <f>'2020_5-2-2_Download'!$BH$5</f>
        <v>2011</v>
      </c>
      <c r="D3140" t="str">
        <f>VLOOKUP(B3140,[1]Tabelle1!$A$1:$B$68,2,FALSE)</f>
        <v>Nienburg (Weser)</v>
      </c>
      <c r="F3140" t="str">
        <f>'2020_5-2-2_Download'!$BL$7</f>
        <v>mittel</v>
      </c>
      <c r="G3140" t="s">
        <v>362</v>
      </c>
      <c r="H3140" t="str">
        <f>VLOOKUP(B3140,[2]Kreise!$A$2:$C$53,3,FALSE)</f>
        <v>K03256</v>
      </c>
      <c r="I3140" s="266">
        <f>'2020_5-2-2_Download'!BL28</f>
        <v>24.016064257028113</v>
      </c>
    </row>
    <row r="3141" spans="2:9">
      <c r="B3141">
        <f>'2020_5-2-2_Download'!B29</f>
        <v>257</v>
      </c>
      <c r="C3141">
        <f>'2020_5-2-2_Download'!$BH$5</f>
        <v>2011</v>
      </c>
      <c r="D3141" t="str">
        <f>VLOOKUP(B3141,[1]Tabelle1!$A$1:$B$68,2,FALSE)</f>
        <v>Schaumburg</v>
      </c>
      <c r="F3141" t="str">
        <f>'2020_5-2-2_Download'!$BL$7</f>
        <v>mittel</v>
      </c>
      <c r="G3141" t="s">
        <v>362</v>
      </c>
      <c r="H3141" t="str">
        <f>VLOOKUP(B3141,[2]Kreise!$A$2:$C$53,3,FALSE)</f>
        <v>K03257</v>
      </c>
      <c r="I3141" s="266">
        <f>'2020_5-2-2_Download'!BL29</f>
        <v>31.144343302990897</v>
      </c>
    </row>
    <row r="3142" spans="2:9">
      <c r="B3142">
        <f>'2020_5-2-2_Download'!B30</f>
        <v>2</v>
      </c>
      <c r="C3142">
        <f>'2020_5-2-2_Download'!$BH$5</f>
        <v>2011</v>
      </c>
      <c r="D3142" t="str">
        <f>VLOOKUP(B3142,[1]Tabelle1!$A$1:$B$68,2,FALSE)</f>
        <v>Stat. Region Hannover</v>
      </c>
      <c r="F3142" t="str">
        <f>'2020_5-2-2_Download'!$BL$7</f>
        <v>mittel</v>
      </c>
      <c r="G3142" t="s">
        <v>362</v>
      </c>
      <c r="H3142" t="str">
        <f>VLOOKUP(B3142,[2]Kreise!$A$2:$C$53,3,FALSE)</f>
        <v>K032</v>
      </c>
      <c r="I3142" s="266">
        <f>'2020_5-2-2_Download'!BL30</f>
        <v>29.044497274451892</v>
      </c>
    </row>
    <row r="3143" spans="2:9">
      <c r="B3143">
        <f>'2020_5-2-2_Download'!B31</f>
        <v>351</v>
      </c>
      <c r="C3143">
        <f>'2020_5-2-2_Download'!$BH$5</f>
        <v>2011</v>
      </c>
      <c r="D3143" t="str">
        <f>VLOOKUP(B3143,[1]Tabelle1!$A$1:$B$68,2,FALSE)</f>
        <v>Celle</v>
      </c>
      <c r="F3143" t="str">
        <f>'2020_5-2-2_Download'!$BL$7</f>
        <v>mittel</v>
      </c>
      <c r="G3143" t="s">
        <v>362</v>
      </c>
      <c r="H3143" t="str">
        <f>VLOOKUP(B3143,[2]Kreise!$A$2:$C$53,3,FALSE)</f>
        <v>K03351</v>
      </c>
      <c r="I3143" s="266">
        <f>'2020_5-2-2_Download'!BL31</f>
        <v>31.36904761904762</v>
      </c>
    </row>
    <row r="3144" spans="2:9">
      <c r="B3144">
        <f>'2020_5-2-2_Download'!B32</f>
        <v>352</v>
      </c>
      <c r="C3144">
        <f>'2020_5-2-2_Download'!$BH$5</f>
        <v>2011</v>
      </c>
      <c r="D3144" t="str">
        <f>VLOOKUP(B3144,[1]Tabelle1!$A$1:$B$68,2,FALSE)</f>
        <v>Cuxhaven</v>
      </c>
      <c r="F3144" t="str">
        <f>'2020_5-2-2_Download'!$BL$7</f>
        <v>mittel</v>
      </c>
      <c r="G3144" t="s">
        <v>362</v>
      </c>
      <c r="H3144" t="str">
        <f>VLOOKUP(B3144,[2]Kreise!$A$2:$C$53,3,FALSE)</f>
        <v>K03352</v>
      </c>
      <c r="I3144" s="266">
        <f>'2020_5-2-2_Download'!BL32</f>
        <v>22.749273959341725</v>
      </c>
    </row>
    <row r="3145" spans="2:9">
      <c r="B3145">
        <f>'2020_5-2-2_Download'!B33</f>
        <v>353</v>
      </c>
      <c r="C3145">
        <f>'2020_5-2-2_Download'!$BH$5</f>
        <v>2011</v>
      </c>
      <c r="D3145" t="str">
        <f>VLOOKUP(B3145,[1]Tabelle1!$A$1:$B$68,2,FALSE)</f>
        <v>Harburg</v>
      </c>
      <c r="F3145" t="str">
        <f>'2020_5-2-2_Download'!$BL$7</f>
        <v>mittel</v>
      </c>
      <c r="G3145" t="s">
        <v>362</v>
      </c>
      <c r="H3145" t="str">
        <f>VLOOKUP(B3145,[2]Kreise!$A$2:$C$53,3,FALSE)</f>
        <v>K03353</v>
      </c>
      <c r="I3145" s="266">
        <f>'2020_5-2-2_Download'!BL33</f>
        <v>20.616570327552985</v>
      </c>
    </row>
    <row r="3146" spans="2:9">
      <c r="B3146">
        <f>'2020_5-2-2_Download'!B34</f>
        <v>354</v>
      </c>
      <c r="C3146">
        <f>'2020_5-2-2_Download'!$BH$5</f>
        <v>2011</v>
      </c>
      <c r="D3146" t="str">
        <f>VLOOKUP(B3146,[1]Tabelle1!$A$1:$B$68,2,FALSE)</f>
        <v>Lüchow-Dannenberg</v>
      </c>
      <c r="F3146" t="str">
        <f>'2020_5-2-2_Download'!$BL$7</f>
        <v>mittel</v>
      </c>
      <c r="G3146" t="s">
        <v>362</v>
      </c>
      <c r="H3146" t="str">
        <f>VLOOKUP(B3146,[2]Kreise!$A$2:$C$53,3,FALSE)</f>
        <v>K03354</v>
      </c>
      <c r="I3146" s="266">
        <f>'2020_5-2-2_Download'!BL34</f>
        <v>28.415300546448087</v>
      </c>
    </row>
    <row r="3147" spans="2:9">
      <c r="B3147">
        <f>'2020_5-2-2_Download'!B35</f>
        <v>355</v>
      </c>
      <c r="C3147">
        <f>'2020_5-2-2_Download'!$BH$5</f>
        <v>2011</v>
      </c>
      <c r="D3147" t="str">
        <f>VLOOKUP(B3147,[1]Tabelle1!$A$1:$B$68,2,FALSE)</f>
        <v>Lüneburg</v>
      </c>
      <c r="F3147" t="str">
        <f>'2020_5-2-2_Download'!$BL$7</f>
        <v>mittel</v>
      </c>
      <c r="G3147" t="s">
        <v>362</v>
      </c>
      <c r="H3147" t="str">
        <f>VLOOKUP(B3147,[2]Kreise!$A$2:$C$53,3,FALSE)</f>
        <v>K03355</v>
      </c>
      <c r="I3147" s="266">
        <f>'2020_5-2-2_Download'!BL35</f>
        <v>24.491017964071858</v>
      </c>
    </row>
    <row r="3148" spans="2:9">
      <c r="B3148">
        <f>'2020_5-2-2_Download'!B36</f>
        <v>356</v>
      </c>
      <c r="C3148">
        <f>'2020_5-2-2_Download'!$BH$5</f>
        <v>2011</v>
      </c>
      <c r="D3148" t="str">
        <f>VLOOKUP(B3148,[1]Tabelle1!$A$1:$B$68,2,FALSE)</f>
        <v>Osterholz</v>
      </c>
      <c r="F3148" t="str">
        <f>'2020_5-2-2_Download'!$BL$7</f>
        <v>mittel</v>
      </c>
      <c r="G3148" t="s">
        <v>362</v>
      </c>
      <c r="H3148" t="str">
        <f>VLOOKUP(B3148,[2]Kreise!$A$2:$C$53,3,FALSE)</f>
        <v>K03356</v>
      </c>
      <c r="I3148" s="266">
        <f>'2020_5-2-2_Download'!BL36</f>
        <v>28.258064516129032</v>
      </c>
    </row>
    <row r="3149" spans="2:9">
      <c r="B3149">
        <f>'2020_5-2-2_Download'!B37</f>
        <v>357</v>
      </c>
      <c r="C3149">
        <f>'2020_5-2-2_Download'!$BH$5</f>
        <v>2011</v>
      </c>
      <c r="D3149" t="str">
        <f>VLOOKUP(B3149,[1]Tabelle1!$A$1:$B$68,2,FALSE)</f>
        <v>Rotenburg (Wümme)</v>
      </c>
      <c r="F3149" t="str">
        <f>'2020_5-2-2_Download'!$BL$7</f>
        <v>mittel</v>
      </c>
      <c r="G3149" t="s">
        <v>362</v>
      </c>
      <c r="H3149" t="str">
        <f>VLOOKUP(B3149,[2]Kreise!$A$2:$C$53,3,FALSE)</f>
        <v>K03357</v>
      </c>
      <c r="I3149" s="266">
        <f>'2020_5-2-2_Download'!BL37</f>
        <v>27.20946416144746</v>
      </c>
    </row>
    <row r="3150" spans="2:9">
      <c r="B3150">
        <f>'2020_5-2-2_Download'!B38</f>
        <v>358</v>
      </c>
      <c r="C3150">
        <f>'2020_5-2-2_Download'!$BH$5</f>
        <v>2011</v>
      </c>
      <c r="D3150" t="str">
        <f>VLOOKUP(B3150,[1]Tabelle1!$A$1:$B$68,2,FALSE)</f>
        <v>Heidekreis</v>
      </c>
      <c r="F3150" t="str">
        <f>'2020_5-2-2_Download'!$BL$7</f>
        <v>mittel</v>
      </c>
      <c r="G3150" t="s">
        <v>362</v>
      </c>
      <c r="H3150" t="str">
        <f>VLOOKUP(B3150,[2]Kreise!$A$2:$C$53,3,FALSE)</f>
        <v>K03358</v>
      </c>
      <c r="I3150" s="266">
        <f>'2020_5-2-2_Download'!BL38</f>
        <v>26.709154113557361</v>
      </c>
    </row>
    <row r="3151" spans="2:9">
      <c r="B3151">
        <f>'2020_5-2-2_Download'!B39</f>
        <v>359</v>
      </c>
      <c r="C3151">
        <f>'2020_5-2-2_Download'!$BH$5</f>
        <v>2011</v>
      </c>
      <c r="D3151" t="str">
        <f>VLOOKUP(B3151,[1]Tabelle1!$A$1:$B$68,2,FALSE)</f>
        <v>Stade</v>
      </c>
      <c r="F3151" t="str">
        <f>'2020_5-2-2_Download'!$BL$7</f>
        <v>mittel</v>
      </c>
      <c r="G3151" t="s">
        <v>362</v>
      </c>
      <c r="H3151" t="str">
        <f>VLOOKUP(B3151,[2]Kreise!$A$2:$C$53,3,FALSE)</f>
        <v>K03359</v>
      </c>
      <c r="I3151" s="266">
        <f>'2020_5-2-2_Download'!BL39</f>
        <v>22.973684210526315</v>
      </c>
    </row>
    <row r="3152" spans="2:9">
      <c r="B3152">
        <f>'2020_5-2-2_Download'!B40</f>
        <v>360</v>
      </c>
      <c r="C3152">
        <f>'2020_5-2-2_Download'!$BH$5</f>
        <v>2011</v>
      </c>
      <c r="D3152" t="str">
        <f>VLOOKUP(B3152,[1]Tabelle1!$A$1:$B$68,2,FALSE)</f>
        <v>Uelzen</v>
      </c>
      <c r="F3152" t="str">
        <f>'2020_5-2-2_Download'!$BL$7</f>
        <v>mittel</v>
      </c>
      <c r="G3152" t="s">
        <v>362</v>
      </c>
      <c r="H3152" t="str">
        <f>VLOOKUP(B3152,[2]Kreise!$A$2:$C$53,3,FALSE)</f>
        <v>K03360</v>
      </c>
      <c r="I3152" s="266">
        <f>'2020_5-2-2_Download'!BL40</f>
        <v>29.194630872483224</v>
      </c>
    </row>
    <row r="3153" spans="2:9">
      <c r="B3153">
        <f>'2020_5-2-2_Download'!B41</f>
        <v>361</v>
      </c>
      <c r="C3153">
        <f>'2020_5-2-2_Download'!$BH$5</f>
        <v>2011</v>
      </c>
      <c r="D3153" t="str">
        <f>VLOOKUP(B3153,[1]Tabelle1!$A$1:$B$68,2,FALSE)</f>
        <v>Verden</v>
      </c>
      <c r="F3153" t="str">
        <f>'2020_5-2-2_Download'!$BL$7</f>
        <v>mittel</v>
      </c>
      <c r="G3153" t="s">
        <v>362</v>
      </c>
      <c r="H3153" t="str">
        <f>VLOOKUP(B3153,[2]Kreise!$A$2:$C$53,3,FALSE)</f>
        <v>K03361</v>
      </c>
      <c r="I3153" s="266">
        <f>'2020_5-2-2_Download'!BL41</f>
        <v>24.395265054040145</v>
      </c>
    </row>
    <row r="3154" spans="2:9">
      <c r="B3154">
        <f>'2020_5-2-2_Download'!B42</f>
        <v>3</v>
      </c>
      <c r="C3154">
        <f>'2020_5-2-2_Download'!$BH$5</f>
        <v>2011</v>
      </c>
      <c r="D3154" t="str">
        <f>VLOOKUP(B3154,[1]Tabelle1!$A$1:$B$68,2,FALSE)</f>
        <v>Stat. Region Lüneburg</v>
      </c>
      <c r="F3154" t="str">
        <f>'2020_5-2-2_Download'!$BL$7</f>
        <v>mittel</v>
      </c>
      <c r="G3154" t="s">
        <v>362</v>
      </c>
      <c r="H3154" t="str">
        <f>VLOOKUP(B3154,[2]Kreise!$A$2:$C$53,3,FALSE)</f>
        <v>K033</v>
      </c>
      <c r="I3154" s="266">
        <f>'2020_5-2-2_Download'!BL42</f>
        <v>24.822695035460992</v>
      </c>
    </row>
    <row r="3155" spans="2:9">
      <c r="B3155">
        <f>'2020_5-2-2_Download'!B43</f>
        <v>401</v>
      </c>
      <c r="C3155">
        <f>'2020_5-2-2_Download'!$BH$5</f>
        <v>2011</v>
      </c>
      <c r="D3155" t="str">
        <f>VLOOKUP(B3155,[1]Tabelle1!$A$1:$B$68,2,FALSE)</f>
        <v>Delmenhorst  Stadt</v>
      </c>
      <c r="F3155" t="str">
        <f>'2020_5-2-2_Download'!$BL$7</f>
        <v>mittel</v>
      </c>
      <c r="G3155" t="s">
        <v>362</v>
      </c>
      <c r="H3155" t="str">
        <f>VLOOKUP(B3155,[2]Kreise!$A$2:$C$53,3,FALSE)</f>
        <v>K03401</v>
      </c>
      <c r="I3155" s="266">
        <f>'2020_5-2-2_Download'!BL43</f>
        <v>23.169398907103826</v>
      </c>
    </row>
    <row r="3156" spans="2:9">
      <c r="B3156">
        <f>'2020_5-2-2_Download'!B44</f>
        <v>402</v>
      </c>
      <c r="C3156">
        <f>'2020_5-2-2_Download'!$BH$5</f>
        <v>2011</v>
      </c>
      <c r="D3156" t="str">
        <f>VLOOKUP(B3156,[1]Tabelle1!$A$1:$B$68,2,FALSE)</f>
        <v>Emden  Stadt</v>
      </c>
      <c r="F3156" t="str">
        <f>'2020_5-2-2_Download'!$BL$7</f>
        <v>mittel</v>
      </c>
      <c r="G3156" t="s">
        <v>362</v>
      </c>
      <c r="H3156" t="str">
        <f>VLOOKUP(B3156,[2]Kreise!$A$2:$C$53,3,FALSE)</f>
        <v>K03402</v>
      </c>
      <c r="I3156" s="266">
        <f>'2020_5-2-2_Download'!BL44</f>
        <v>35.093509350935093</v>
      </c>
    </row>
    <row r="3157" spans="2:9">
      <c r="B3157">
        <f>'2020_5-2-2_Download'!B45</f>
        <v>403</v>
      </c>
      <c r="C3157">
        <f>'2020_5-2-2_Download'!$BH$5</f>
        <v>2011</v>
      </c>
      <c r="D3157" t="str">
        <f>VLOOKUP(B3157,[1]Tabelle1!$A$1:$B$68,2,FALSE)</f>
        <v>Oldenburg(Oldb)  Stadt</v>
      </c>
      <c r="F3157" t="str">
        <f>'2020_5-2-2_Download'!$BL$7</f>
        <v>mittel</v>
      </c>
      <c r="G3157" t="s">
        <v>362</v>
      </c>
      <c r="H3157" t="str">
        <f>VLOOKUP(B3157,[2]Kreise!$A$2:$C$53,3,FALSE)</f>
        <v>K03403</v>
      </c>
      <c r="I3157" s="266">
        <f>'2020_5-2-2_Download'!BL45</f>
        <v>23.518930957683743</v>
      </c>
    </row>
    <row r="3158" spans="2:9">
      <c r="B3158">
        <f>'2020_5-2-2_Download'!B46</f>
        <v>404</v>
      </c>
      <c r="C3158">
        <f>'2020_5-2-2_Download'!$BH$5</f>
        <v>2011</v>
      </c>
      <c r="D3158" t="str">
        <f>VLOOKUP(B3158,[1]Tabelle1!$A$1:$B$68,2,FALSE)</f>
        <v>Osnabrück  Stadt</v>
      </c>
      <c r="F3158" t="str">
        <f>'2020_5-2-2_Download'!$BL$7</f>
        <v>mittel</v>
      </c>
      <c r="G3158" t="s">
        <v>362</v>
      </c>
      <c r="H3158" t="str">
        <f>VLOOKUP(B3158,[2]Kreise!$A$2:$C$53,3,FALSE)</f>
        <v>K03404</v>
      </c>
      <c r="I3158" s="266">
        <f>'2020_5-2-2_Download'!BL46</f>
        <v>25.571197784444959</v>
      </c>
    </row>
    <row r="3159" spans="2:9">
      <c r="B3159">
        <f>'2020_5-2-2_Download'!B47</f>
        <v>405</v>
      </c>
      <c r="C3159">
        <f>'2020_5-2-2_Download'!$BH$5</f>
        <v>2011</v>
      </c>
      <c r="D3159" t="str">
        <f>VLOOKUP(B3159,[1]Tabelle1!$A$1:$B$68,2,FALSE)</f>
        <v>Wilhelmshaven  Stadt</v>
      </c>
      <c r="F3159" t="str">
        <f>'2020_5-2-2_Download'!$BL$7</f>
        <v>mittel</v>
      </c>
      <c r="G3159" t="s">
        <v>362</v>
      </c>
      <c r="H3159" t="str">
        <f>VLOOKUP(B3159,[2]Kreise!$A$2:$C$53,3,FALSE)</f>
        <v>K03405</v>
      </c>
      <c r="I3159" s="266">
        <f>'2020_5-2-2_Download'!BL47</f>
        <v>27.831715210355988</v>
      </c>
    </row>
    <row r="3160" spans="2:9">
      <c r="B3160">
        <f>'2020_5-2-2_Download'!B48</f>
        <v>451</v>
      </c>
      <c r="C3160">
        <f>'2020_5-2-2_Download'!$BH$5</f>
        <v>2011</v>
      </c>
      <c r="D3160" t="str">
        <f>VLOOKUP(B3160,[1]Tabelle1!$A$1:$B$68,2,FALSE)</f>
        <v>Ammerland</v>
      </c>
      <c r="F3160" t="str">
        <f>'2020_5-2-2_Download'!$BL$7</f>
        <v>mittel</v>
      </c>
      <c r="G3160" t="s">
        <v>362</v>
      </c>
      <c r="H3160" t="str">
        <f>VLOOKUP(B3160,[2]Kreise!$A$2:$C$53,3,FALSE)</f>
        <v>K03451</v>
      </c>
      <c r="I3160" s="266">
        <f>'2020_5-2-2_Download'!BL48</f>
        <v>21.199727334696661</v>
      </c>
    </row>
    <row r="3161" spans="2:9">
      <c r="B3161">
        <f>'2020_5-2-2_Download'!B49</f>
        <v>452</v>
      </c>
      <c r="C3161">
        <f>'2020_5-2-2_Download'!$BH$5</f>
        <v>2011</v>
      </c>
      <c r="D3161" t="str">
        <f>VLOOKUP(B3161,[1]Tabelle1!$A$1:$B$68,2,FALSE)</f>
        <v>Aurich</v>
      </c>
      <c r="F3161" t="str">
        <f>'2020_5-2-2_Download'!$BL$7</f>
        <v>mittel</v>
      </c>
      <c r="G3161" t="s">
        <v>362</v>
      </c>
      <c r="H3161" t="str">
        <f>VLOOKUP(B3161,[2]Kreise!$A$2:$C$53,3,FALSE)</f>
        <v>K03452</v>
      </c>
      <c r="I3161" s="266">
        <f>'2020_5-2-2_Download'!BL49</f>
        <v>23.209549071618039</v>
      </c>
    </row>
    <row r="3162" spans="2:9">
      <c r="B3162">
        <f>'2020_5-2-2_Download'!B50</f>
        <v>453</v>
      </c>
      <c r="C3162">
        <f>'2020_5-2-2_Download'!$BH$5</f>
        <v>2011</v>
      </c>
      <c r="D3162" t="str">
        <f>VLOOKUP(B3162,[1]Tabelle1!$A$1:$B$68,2,FALSE)</f>
        <v>Cloppenburg</v>
      </c>
      <c r="F3162" t="str">
        <f>'2020_5-2-2_Download'!$BL$7</f>
        <v>mittel</v>
      </c>
      <c r="G3162" t="s">
        <v>362</v>
      </c>
      <c r="H3162" t="str">
        <f>VLOOKUP(B3162,[2]Kreise!$A$2:$C$53,3,FALSE)</f>
        <v>K03453</v>
      </c>
      <c r="I3162" s="266">
        <f>'2020_5-2-2_Download'!BL50</f>
        <v>16.572291430728576</v>
      </c>
    </row>
    <row r="3163" spans="2:9">
      <c r="B3163">
        <f>'2020_5-2-2_Download'!B51</f>
        <v>454</v>
      </c>
      <c r="C3163">
        <f>'2020_5-2-2_Download'!$BH$5</f>
        <v>2011</v>
      </c>
      <c r="D3163" t="str">
        <f>VLOOKUP(B3163,[1]Tabelle1!$A$1:$B$68,2,FALSE)</f>
        <v>Emsland</v>
      </c>
      <c r="F3163" t="str">
        <f>'2020_5-2-2_Download'!$BL$7</f>
        <v>mittel</v>
      </c>
      <c r="G3163" t="s">
        <v>362</v>
      </c>
      <c r="H3163" t="str">
        <f>VLOOKUP(B3163,[2]Kreise!$A$2:$C$53,3,FALSE)</f>
        <v>K03454</v>
      </c>
      <c r="I3163" s="266">
        <f>'2020_5-2-2_Download'!BL51</f>
        <v>35.376134889753565</v>
      </c>
    </row>
    <row r="3164" spans="2:9">
      <c r="B3164">
        <f>'2020_5-2-2_Download'!B52</f>
        <v>455</v>
      </c>
      <c r="C3164">
        <f>'2020_5-2-2_Download'!$BH$5</f>
        <v>2011</v>
      </c>
      <c r="D3164" t="str">
        <f>VLOOKUP(B3164,[1]Tabelle1!$A$1:$B$68,2,FALSE)</f>
        <v>Friesland</v>
      </c>
      <c r="F3164" t="str">
        <f>'2020_5-2-2_Download'!$BL$7</f>
        <v>mittel</v>
      </c>
      <c r="G3164" t="s">
        <v>362</v>
      </c>
      <c r="H3164" t="str">
        <f>VLOOKUP(B3164,[2]Kreise!$A$2:$C$53,3,FALSE)</f>
        <v>K03455</v>
      </c>
      <c r="I3164" s="266">
        <f>'2020_5-2-2_Download'!BL52</f>
        <v>29.963235294117645</v>
      </c>
    </row>
    <row r="3165" spans="2:9">
      <c r="B3165">
        <f>'2020_5-2-2_Download'!B53</f>
        <v>456</v>
      </c>
      <c r="C3165">
        <f>'2020_5-2-2_Download'!$BH$5</f>
        <v>2011</v>
      </c>
      <c r="D3165" t="str">
        <f>VLOOKUP(B3165,[1]Tabelle1!$A$1:$B$68,2,FALSE)</f>
        <v>Grafschaft Bentheim</v>
      </c>
      <c r="F3165" t="str">
        <f>'2020_5-2-2_Download'!$BL$7</f>
        <v>mittel</v>
      </c>
      <c r="G3165" t="s">
        <v>362</v>
      </c>
      <c r="H3165" t="str">
        <f>VLOOKUP(B3165,[2]Kreise!$A$2:$C$53,3,FALSE)</f>
        <v>K03456</v>
      </c>
      <c r="I3165" s="266">
        <f>'2020_5-2-2_Download'!BL53</f>
        <v>36.48716658278812</v>
      </c>
    </row>
    <row r="3166" spans="2:9">
      <c r="B3166">
        <f>'2020_5-2-2_Download'!B54</f>
        <v>457</v>
      </c>
      <c r="C3166">
        <f>'2020_5-2-2_Download'!$BH$5</f>
        <v>2011</v>
      </c>
      <c r="D3166" t="str">
        <f>VLOOKUP(B3166,[1]Tabelle1!$A$1:$B$68,2,FALSE)</f>
        <v>Leer</v>
      </c>
      <c r="F3166" t="str">
        <f>'2020_5-2-2_Download'!$BL$7</f>
        <v>mittel</v>
      </c>
      <c r="G3166" t="s">
        <v>362</v>
      </c>
      <c r="H3166" t="str">
        <f>VLOOKUP(B3166,[2]Kreise!$A$2:$C$53,3,FALSE)</f>
        <v>K03457</v>
      </c>
      <c r="I3166" s="266">
        <f>'2020_5-2-2_Download'!BL54</f>
        <v>22.381262199089136</v>
      </c>
    </row>
    <row r="3167" spans="2:9">
      <c r="B3167">
        <f>'2020_5-2-2_Download'!B55</f>
        <v>458</v>
      </c>
      <c r="C3167">
        <f>'2020_5-2-2_Download'!$BH$5</f>
        <v>2011</v>
      </c>
      <c r="D3167" t="str">
        <f>VLOOKUP(B3167,[1]Tabelle1!$A$1:$B$68,2,FALSE)</f>
        <v>Oldenburg</v>
      </c>
      <c r="F3167" t="str">
        <f>'2020_5-2-2_Download'!$BL$7</f>
        <v>mittel</v>
      </c>
      <c r="G3167" t="s">
        <v>362</v>
      </c>
      <c r="H3167" t="str">
        <f>VLOOKUP(B3167,[2]Kreise!$A$2:$C$53,3,FALSE)</f>
        <v>K03458</v>
      </c>
      <c r="I3167" s="266">
        <f>'2020_5-2-2_Download'!BL55</f>
        <v>18.367346938775512</v>
      </c>
    </row>
    <row r="3168" spans="2:9">
      <c r="B3168">
        <f>'2020_5-2-2_Download'!B56</f>
        <v>459</v>
      </c>
      <c r="C3168">
        <f>'2020_5-2-2_Download'!$BH$5</f>
        <v>2011</v>
      </c>
      <c r="D3168" t="str">
        <f>VLOOKUP(B3168,[1]Tabelle1!$A$1:$B$68,2,FALSE)</f>
        <v>Osnabrück</v>
      </c>
      <c r="F3168" t="str">
        <f>'2020_5-2-2_Download'!$BL$7</f>
        <v>mittel</v>
      </c>
      <c r="G3168" t="s">
        <v>362</v>
      </c>
      <c r="H3168" t="str">
        <f>VLOOKUP(B3168,[2]Kreise!$A$2:$C$53,3,FALSE)</f>
        <v>K03459</v>
      </c>
      <c r="I3168" s="266">
        <f>'2020_5-2-2_Download'!BL56</f>
        <v>18.664979436887062</v>
      </c>
    </row>
    <row r="3169" spans="2:9">
      <c r="B3169">
        <f>'2020_5-2-2_Download'!B57</f>
        <v>460</v>
      </c>
      <c r="C3169">
        <f>'2020_5-2-2_Download'!$BH$5</f>
        <v>2011</v>
      </c>
      <c r="D3169" t="str">
        <f>VLOOKUP(B3169,[1]Tabelle1!$A$1:$B$68,2,FALSE)</f>
        <v>Vechta</v>
      </c>
      <c r="F3169" t="str">
        <f>'2020_5-2-2_Download'!$BL$7</f>
        <v>mittel</v>
      </c>
      <c r="G3169" t="s">
        <v>362</v>
      </c>
      <c r="H3169" t="str">
        <f>VLOOKUP(B3169,[2]Kreise!$A$2:$C$53,3,FALSE)</f>
        <v>K03460</v>
      </c>
      <c r="I3169" s="266">
        <f>'2020_5-2-2_Download'!BL57</f>
        <v>10.203657522859517</v>
      </c>
    </row>
    <row r="3170" spans="2:9">
      <c r="B3170">
        <f>'2020_5-2-2_Download'!B58</f>
        <v>461</v>
      </c>
      <c r="C3170">
        <f>'2020_5-2-2_Download'!$BH$5</f>
        <v>2011</v>
      </c>
      <c r="D3170" t="str">
        <f>VLOOKUP(B3170,[1]Tabelle1!$A$1:$B$68,2,FALSE)</f>
        <v>Wesermarsch</v>
      </c>
      <c r="F3170" t="str">
        <f>'2020_5-2-2_Download'!$BL$7</f>
        <v>mittel</v>
      </c>
      <c r="G3170" t="s">
        <v>362</v>
      </c>
      <c r="H3170" t="str">
        <f>VLOOKUP(B3170,[2]Kreise!$A$2:$C$53,3,FALSE)</f>
        <v>K03461</v>
      </c>
      <c r="I3170" s="266">
        <f>'2020_5-2-2_Download'!BL58</f>
        <v>40.064446831364123</v>
      </c>
    </row>
    <row r="3171" spans="2:9">
      <c r="B3171">
        <f>'2020_5-2-2_Download'!B59</f>
        <v>462</v>
      </c>
      <c r="C3171">
        <f>'2020_5-2-2_Download'!$BH$5</f>
        <v>2011</v>
      </c>
      <c r="D3171" t="str">
        <f>VLOOKUP(B3171,[1]Tabelle1!$A$1:$B$68,2,FALSE)</f>
        <v>Wittmund</v>
      </c>
      <c r="F3171" t="str">
        <f>'2020_5-2-2_Download'!$BL$7</f>
        <v>mittel</v>
      </c>
      <c r="G3171" t="s">
        <v>362</v>
      </c>
      <c r="H3171" t="str">
        <f>VLOOKUP(B3171,[2]Kreise!$A$2:$C$53,3,FALSE)</f>
        <v>K03462</v>
      </c>
      <c r="I3171" s="266">
        <f>'2020_5-2-2_Download'!BL59</f>
        <v>17.480719794344473</v>
      </c>
    </row>
    <row r="3172" spans="2:9">
      <c r="B3172">
        <f>'2020_5-2-2_Download'!B60</f>
        <v>4</v>
      </c>
      <c r="C3172">
        <f>'2020_5-2-2_Download'!$BH$5</f>
        <v>2011</v>
      </c>
      <c r="D3172" t="str">
        <f>VLOOKUP(B3172,[1]Tabelle1!$A$1:$B$68,2,FALSE)</f>
        <v>Stat. Region Weser-Ems</v>
      </c>
      <c r="F3172" t="str">
        <f>'2020_5-2-2_Download'!$BL$7</f>
        <v>mittel</v>
      </c>
      <c r="G3172" t="s">
        <v>362</v>
      </c>
      <c r="H3172" t="str">
        <f>VLOOKUP(B3172,[2]Kreise!$A$2:$C$53,3,FALSE)</f>
        <v>K034</v>
      </c>
      <c r="I3172" s="266">
        <f>'2020_5-2-2_Download'!BL60</f>
        <v>22.811745550502501</v>
      </c>
    </row>
    <row r="3173" spans="2:9">
      <c r="B3173">
        <f>'2020_5-2-2_Download'!B61</f>
        <v>0</v>
      </c>
      <c r="C3173">
        <f>'2020_5-2-2_Download'!$BH$5</f>
        <v>2011</v>
      </c>
      <c r="D3173" t="str">
        <f>VLOOKUP(B3173,[1]Tabelle1!$A$1:$B$68,2,FALSE)</f>
        <v>Niedersachsen</v>
      </c>
      <c r="F3173" t="str">
        <f>'2020_5-2-2_Download'!$BL$7</f>
        <v>mittel</v>
      </c>
      <c r="G3173" t="s">
        <v>362</v>
      </c>
      <c r="H3173" t="str">
        <f>VLOOKUP(B3173,[2]Kreise!$A$2:$C$53,3,FALSE)</f>
        <v>K030</v>
      </c>
      <c r="I3173" s="266">
        <f>'2020_5-2-2_Download'!BL61</f>
        <v>27.390379730076376</v>
      </c>
    </row>
    <row r="3174" spans="2:9">
      <c r="B3174">
        <f>'2020_5-2-2_Download'!B10</f>
        <v>101</v>
      </c>
      <c r="C3174">
        <f>'2020_5-2-2_Download'!$BH$5</f>
        <v>2011</v>
      </c>
      <c r="D3174" t="str">
        <f>VLOOKUP(B3174,[1]Tabelle1!$A$1:$B$68,2,FALSE)</f>
        <v>Braunschweig  Stadt</v>
      </c>
      <c r="F3174" t="str">
        <f>'2020_5-2-2_Download'!$BM$7</f>
        <v>niedrig</v>
      </c>
      <c r="G3174" t="s">
        <v>362</v>
      </c>
      <c r="H3174" t="str">
        <f>VLOOKUP(B3174,[2]Kreise!$A$2:$C$53,3,FALSE)</f>
        <v>K03101</v>
      </c>
      <c r="I3174" s="266">
        <f>'2020_5-2-2_Download'!BM10</f>
        <v>20.465299684542586</v>
      </c>
    </row>
    <row r="3175" spans="2:9">
      <c r="B3175">
        <f>'2020_5-2-2_Download'!B11</f>
        <v>102</v>
      </c>
      <c r="C3175">
        <f>'2020_5-2-2_Download'!$BH$5</f>
        <v>2011</v>
      </c>
      <c r="D3175" t="str">
        <f>VLOOKUP(B3175,[1]Tabelle1!$A$1:$B$68,2,FALSE)</f>
        <v>Salzgitter  Stadt</v>
      </c>
      <c r="F3175" t="str">
        <f>'2020_5-2-2_Download'!$BM$7</f>
        <v>niedrig</v>
      </c>
      <c r="G3175" t="s">
        <v>362</v>
      </c>
      <c r="H3175" t="str">
        <f>VLOOKUP(B3175,[2]Kreise!$A$2:$C$53,3,FALSE)</f>
        <v>K03102</v>
      </c>
      <c r="I3175" s="266">
        <f>'2020_5-2-2_Download'!BM11</f>
        <v>33.668702838663314</v>
      </c>
    </row>
    <row r="3176" spans="2:9">
      <c r="B3176">
        <f>'2020_5-2-2_Download'!B12</f>
        <v>103</v>
      </c>
      <c r="C3176">
        <f>'2020_5-2-2_Download'!$BH$5</f>
        <v>2011</v>
      </c>
      <c r="D3176" t="str">
        <f>VLOOKUP(B3176,[1]Tabelle1!$A$1:$B$68,2,FALSE)</f>
        <v>Wolfsburg  Stadt</v>
      </c>
      <c r="F3176" t="str">
        <f>'2020_5-2-2_Download'!$BM$7</f>
        <v>niedrig</v>
      </c>
      <c r="G3176" t="s">
        <v>362</v>
      </c>
      <c r="H3176" t="str">
        <f>VLOOKUP(B3176,[2]Kreise!$A$2:$C$53,3,FALSE)</f>
        <v>K03103</v>
      </c>
      <c r="I3176" s="266">
        <f>'2020_5-2-2_Download'!BM12</f>
        <v>12.973057156206199</v>
      </c>
    </row>
    <row r="3177" spans="2:9">
      <c r="B3177">
        <f>'2020_5-2-2_Download'!B13</f>
        <v>151</v>
      </c>
      <c r="C3177">
        <f>'2020_5-2-2_Download'!$BH$5</f>
        <v>2011</v>
      </c>
      <c r="D3177" t="str">
        <f>VLOOKUP(B3177,[1]Tabelle1!$A$1:$B$68,2,FALSE)</f>
        <v>Gifhorn</v>
      </c>
      <c r="F3177" t="str">
        <f>'2020_5-2-2_Download'!$BM$7</f>
        <v>niedrig</v>
      </c>
      <c r="G3177" t="s">
        <v>362</v>
      </c>
      <c r="H3177" t="str">
        <f>VLOOKUP(B3177,[2]Kreise!$A$2:$C$53,3,FALSE)</f>
        <v>K03151</v>
      </c>
      <c r="I3177" s="266">
        <f>'2020_5-2-2_Download'!BM13</f>
        <v>32.845647403072419</v>
      </c>
    </row>
    <row r="3178" spans="2:9">
      <c r="B3178">
        <f>'2020_5-2-2_Download'!B14</f>
        <v>153</v>
      </c>
      <c r="C3178">
        <f>'2020_5-2-2_Download'!$BH$5</f>
        <v>2011</v>
      </c>
      <c r="D3178" t="str">
        <f>VLOOKUP(B3178,[1]Tabelle1!$A$1:$B$68,2,FALSE)</f>
        <v>Goslar</v>
      </c>
      <c r="F3178" t="str">
        <f>'2020_5-2-2_Download'!$BM$7</f>
        <v>niedrig</v>
      </c>
      <c r="G3178" t="s">
        <v>362</v>
      </c>
      <c r="H3178" t="str">
        <f>VLOOKUP(B3178,[2]Kreise!$A$2:$C$53,3,FALSE)</f>
        <v>K03153</v>
      </c>
      <c r="I3178" s="266">
        <f>'2020_5-2-2_Download'!BM14</f>
        <v>19.274537695590325</v>
      </c>
    </row>
    <row r="3179" spans="2:9">
      <c r="B3179">
        <f>'2020_5-2-2_Download'!B15</f>
        <v>154</v>
      </c>
      <c r="C3179">
        <f>'2020_5-2-2_Download'!$BH$5</f>
        <v>2011</v>
      </c>
      <c r="D3179" t="str">
        <f>VLOOKUP(B3179,[1]Tabelle1!$A$1:$B$68,2,FALSE)</f>
        <v>Helmstedt</v>
      </c>
      <c r="F3179" t="str">
        <f>'2020_5-2-2_Download'!$BM$7</f>
        <v>niedrig</v>
      </c>
      <c r="G3179" t="s">
        <v>362</v>
      </c>
      <c r="H3179" t="str">
        <f>VLOOKUP(B3179,[2]Kreise!$A$2:$C$53,3,FALSE)</f>
        <v>K03154</v>
      </c>
      <c r="I3179" s="266">
        <f>'2020_5-2-2_Download'!BM15</f>
        <v>33.299999999999997</v>
      </c>
    </row>
    <row r="3180" spans="2:9">
      <c r="B3180">
        <f>'2020_5-2-2_Download'!B16</f>
        <v>155</v>
      </c>
      <c r="C3180">
        <f>'2020_5-2-2_Download'!$BH$5</f>
        <v>2011</v>
      </c>
      <c r="D3180" t="str">
        <f>VLOOKUP(B3180,[1]Tabelle1!$A$1:$B$68,2,FALSE)</f>
        <v>Northeim</v>
      </c>
      <c r="F3180" t="str">
        <f>'2020_5-2-2_Download'!$BM$7</f>
        <v>niedrig</v>
      </c>
      <c r="G3180" t="s">
        <v>362</v>
      </c>
      <c r="H3180" t="str">
        <f>VLOOKUP(B3180,[2]Kreise!$A$2:$C$53,3,FALSE)</f>
        <v>K03155</v>
      </c>
      <c r="I3180" s="266">
        <f>'2020_5-2-2_Download'!BM16</f>
        <v>24.954627949183301</v>
      </c>
    </row>
    <row r="3181" spans="2:9">
      <c r="B3181">
        <f>'2020_5-2-2_Download'!B17</f>
        <v>157</v>
      </c>
      <c r="C3181">
        <f>'2020_5-2-2_Download'!$BH$5</f>
        <v>2011</v>
      </c>
      <c r="D3181" t="str">
        <f>VLOOKUP(B3181,[1]Tabelle1!$A$1:$B$68,2,FALSE)</f>
        <v>Peine</v>
      </c>
      <c r="F3181" t="str">
        <f>'2020_5-2-2_Download'!$BM$7</f>
        <v>niedrig</v>
      </c>
      <c r="G3181" t="s">
        <v>362</v>
      </c>
      <c r="H3181" t="str">
        <f>VLOOKUP(B3181,[2]Kreise!$A$2:$C$53,3,FALSE)</f>
        <v>K03157</v>
      </c>
      <c r="I3181" s="266">
        <f>'2020_5-2-2_Download'!BM17</f>
        <v>29.280821917808218</v>
      </c>
    </row>
    <row r="3182" spans="2:9">
      <c r="B3182">
        <f>'2020_5-2-2_Download'!B18</f>
        <v>158</v>
      </c>
      <c r="C3182">
        <f>'2020_5-2-2_Download'!$BH$5</f>
        <v>2011</v>
      </c>
      <c r="D3182" t="str">
        <f>VLOOKUP(B3182,[1]Tabelle1!$A$1:$B$68,2,FALSE)</f>
        <v>Wolfenbüttel</v>
      </c>
      <c r="F3182" t="str">
        <f>'2020_5-2-2_Download'!$BM$7</f>
        <v>niedrig</v>
      </c>
      <c r="G3182" t="s">
        <v>362</v>
      </c>
      <c r="H3182" t="str">
        <f>VLOOKUP(B3182,[2]Kreise!$A$2:$C$53,3,FALSE)</f>
        <v>K03158</v>
      </c>
      <c r="I3182" s="266">
        <f>'2020_5-2-2_Download'!BM18</f>
        <v>20.68345323741007</v>
      </c>
    </row>
    <row r="3183" spans="2:9">
      <c r="B3183">
        <f>'2020_5-2-2_Download'!B19</f>
        <v>159</v>
      </c>
      <c r="C3183">
        <f>'2020_5-2-2_Download'!$BH$5</f>
        <v>2011</v>
      </c>
      <c r="D3183" t="str">
        <f>VLOOKUP(B3183,[1]Tabelle1!$A$1:$B$68,2,FALSE)</f>
        <v>Göttingen</v>
      </c>
      <c r="F3183" t="str">
        <f>'2020_5-2-2_Download'!$BM$7</f>
        <v>niedrig</v>
      </c>
      <c r="G3183" t="s">
        <v>362</v>
      </c>
      <c r="H3183" t="str">
        <f>VLOOKUP(B3183,[2]Kreise!$A$2:$C$53,3,FALSE)</f>
        <v>K03159</v>
      </c>
      <c r="I3183" s="266">
        <f>'2020_5-2-2_Download'!BM19</f>
        <v>10.352233676975946</v>
      </c>
    </row>
    <row r="3184" spans="2:9">
      <c r="B3184">
        <f>'2020_5-2-2_Download'!B20</f>
        <v>1</v>
      </c>
      <c r="C3184">
        <f>'2020_5-2-2_Download'!$BH$5</f>
        <v>2011</v>
      </c>
      <c r="D3184" t="str">
        <f>VLOOKUP(B3184,[1]Tabelle1!$A$1:$B$68,2,FALSE)</f>
        <v>Stat. Region Braunschweig</v>
      </c>
      <c r="F3184" t="str">
        <f>'2020_5-2-2_Download'!$BM$7</f>
        <v>niedrig</v>
      </c>
      <c r="G3184" t="s">
        <v>362</v>
      </c>
      <c r="H3184" t="str">
        <f>VLOOKUP(B3184,[2]Kreise!$A$2:$C$53,3,FALSE)</f>
        <v>K031</v>
      </c>
      <c r="I3184" s="266">
        <f>'2020_5-2-2_Download'!BM20</f>
        <v>21.932863457173575</v>
      </c>
    </row>
    <row r="3185" spans="2:9">
      <c r="B3185">
        <f>'2020_5-2-2_Download'!B21</f>
        <v>241</v>
      </c>
      <c r="C3185">
        <f>'2020_5-2-2_Download'!$BH$5</f>
        <v>2011</v>
      </c>
      <c r="D3185" t="str">
        <f>VLOOKUP(B3185,[1]Tabelle1!$A$1:$B$68,2,FALSE)</f>
        <v>Hannover  Region</v>
      </c>
      <c r="F3185" t="str">
        <f>'2020_5-2-2_Download'!$BM$7</f>
        <v>niedrig</v>
      </c>
      <c r="G3185" t="s">
        <v>362</v>
      </c>
      <c r="H3185" t="str">
        <f>VLOOKUP(B3185,[2]Kreise!$A$2:$C$53,3,FALSE)</f>
        <v>K03241</v>
      </c>
      <c r="I3185" s="266">
        <f>'2020_5-2-2_Download'!BM21</f>
        <v>22.356845938194823</v>
      </c>
    </row>
    <row r="3186" spans="2:9">
      <c r="B3186">
        <f>'2020_5-2-2_Download'!B22</f>
        <v>241001</v>
      </c>
      <c r="C3186">
        <f>'2020_5-2-2_Download'!$BH$5</f>
        <v>2011</v>
      </c>
      <c r="D3186" t="str">
        <f>VLOOKUP(B3186,[1]Tabelle1!$A$1:$B$68,2,FALSE)</f>
        <v>dav. Hannover  Lhst.</v>
      </c>
      <c r="F3186" t="str">
        <f>'2020_5-2-2_Download'!$BM$7</f>
        <v>niedrig</v>
      </c>
      <c r="G3186" t="s">
        <v>362</v>
      </c>
      <c r="H3186" t="str">
        <f>VLOOKUP(B3186,[2]Kreise!$A$2:$C$53,3,FALSE)</f>
        <v>K03241001</v>
      </c>
      <c r="I3186" s="266">
        <f>'2020_5-2-2_Download'!BM22</f>
        <v>23.129935391241922</v>
      </c>
    </row>
    <row r="3187" spans="2:9">
      <c r="B3187">
        <f>'2020_5-2-2_Download'!B23</f>
        <v>241999</v>
      </c>
      <c r="C3187">
        <f>'2020_5-2-2_Download'!$BH$5</f>
        <v>2011</v>
      </c>
      <c r="D3187" t="str">
        <f>VLOOKUP(B3187,[1]Tabelle1!$A$1:$B$68,2,FALSE)</f>
        <v>dav. Hannover  Umland</v>
      </c>
      <c r="F3187" t="str">
        <f>'2020_5-2-2_Download'!$BM$7</f>
        <v>niedrig</v>
      </c>
      <c r="G3187" t="s">
        <v>362</v>
      </c>
      <c r="H3187" t="str">
        <f>VLOOKUP(B3187,[2]Kreise!$A$2:$C$53,3,FALSE)</f>
        <v>K03241999</v>
      </c>
      <c r="I3187" s="266">
        <f>'2020_5-2-2_Download'!BM23</f>
        <v>20.763464194121127</v>
      </c>
    </row>
    <row r="3188" spans="2:9">
      <c r="B3188">
        <f>'2020_5-2-2_Download'!B24</f>
        <v>251</v>
      </c>
      <c r="C3188">
        <f>'2020_5-2-2_Download'!$BH$5</f>
        <v>2011</v>
      </c>
      <c r="D3188" t="str">
        <f>VLOOKUP(B3188,[1]Tabelle1!$A$1:$B$68,2,FALSE)</f>
        <v>Diepholz</v>
      </c>
      <c r="F3188" t="str">
        <f>'2020_5-2-2_Download'!$BM$7</f>
        <v>niedrig</v>
      </c>
      <c r="G3188" t="s">
        <v>362</v>
      </c>
      <c r="H3188" t="str">
        <f>VLOOKUP(B3188,[2]Kreise!$A$2:$C$53,3,FALSE)</f>
        <v>K03251</v>
      </c>
      <c r="I3188" s="266">
        <f>'2020_5-2-2_Download'!BM24</f>
        <v>19.183472700442692</v>
      </c>
    </row>
    <row r="3189" spans="2:9">
      <c r="B3189">
        <f>'2020_5-2-2_Download'!B25</f>
        <v>252</v>
      </c>
      <c r="C3189">
        <f>'2020_5-2-2_Download'!$BH$5</f>
        <v>2011</v>
      </c>
      <c r="D3189" t="str">
        <f>VLOOKUP(B3189,[1]Tabelle1!$A$1:$B$68,2,FALSE)</f>
        <v>Hameln-Pyrmont</v>
      </c>
      <c r="F3189" t="str">
        <f>'2020_5-2-2_Download'!$BM$7</f>
        <v>niedrig</v>
      </c>
      <c r="G3189" t="s">
        <v>362</v>
      </c>
      <c r="H3189" t="str">
        <f>VLOOKUP(B3189,[2]Kreise!$A$2:$C$53,3,FALSE)</f>
        <v>K03252</v>
      </c>
      <c r="I3189" s="266">
        <f>'2020_5-2-2_Download'!BM25</f>
        <v>30.113895216400909</v>
      </c>
    </row>
    <row r="3190" spans="2:9">
      <c r="B3190">
        <f>'2020_5-2-2_Download'!B26</f>
        <v>254</v>
      </c>
      <c r="C3190">
        <f>'2020_5-2-2_Download'!$BH$5</f>
        <v>2011</v>
      </c>
      <c r="D3190" t="str">
        <f>VLOOKUP(B3190,[1]Tabelle1!$A$1:$B$68,2,FALSE)</f>
        <v>Hildesheim</v>
      </c>
      <c r="F3190" t="str">
        <f>'2020_5-2-2_Download'!$BM$7</f>
        <v>niedrig</v>
      </c>
      <c r="G3190" t="s">
        <v>362</v>
      </c>
      <c r="H3190" t="str">
        <f>VLOOKUP(B3190,[2]Kreise!$A$2:$C$53,3,FALSE)</f>
        <v>K03254</v>
      </c>
      <c r="I3190" s="266">
        <f>'2020_5-2-2_Download'!BM26</f>
        <v>24.503764544832308</v>
      </c>
    </row>
    <row r="3191" spans="2:9">
      <c r="B3191">
        <f>'2020_5-2-2_Download'!B27</f>
        <v>255</v>
      </c>
      <c r="C3191">
        <f>'2020_5-2-2_Download'!$BH$5</f>
        <v>2011</v>
      </c>
      <c r="D3191" t="str">
        <f>VLOOKUP(B3191,[1]Tabelle1!$A$1:$B$68,2,FALSE)</f>
        <v>Holzminden</v>
      </c>
      <c r="F3191" t="str">
        <f>'2020_5-2-2_Download'!$BM$7</f>
        <v>niedrig</v>
      </c>
      <c r="G3191" t="s">
        <v>362</v>
      </c>
      <c r="H3191" t="str">
        <f>VLOOKUP(B3191,[2]Kreise!$A$2:$C$53,3,FALSE)</f>
        <v>K03255</v>
      </c>
      <c r="I3191" s="266">
        <f>'2020_5-2-2_Download'!BM27</f>
        <v>36.779911373707534</v>
      </c>
    </row>
    <row r="3192" spans="2:9">
      <c r="B3192">
        <f>'2020_5-2-2_Download'!B28</f>
        <v>256</v>
      </c>
      <c r="C3192">
        <f>'2020_5-2-2_Download'!$BH$5</f>
        <v>2011</v>
      </c>
      <c r="D3192" t="str">
        <f>VLOOKUP(B3192,[1]Tabelle1!$A$1:$B$68,2,FALSE)</f>
        <v>Nienburg (Weser)</v>
      </c>
      <c r="F3192" t="str">
        <f>'2020_5-2-2_Download'!$BM$7</f>
        <v>niedrig</v>
      </c>
      <c r="G3192" t="s">
        <v>362</v>
      </c>
      <c r="H3192" t="str">
        <f>VLOOKUP(B3192,[2]Kreise!$A$2:$C$53,3,FALSE)</f>
        <v>K03256</v>
      </c>
      <c r="I3192" s="266">
        <f>'2020_5-2-2_Download'!BM28</f>
        <v>30.200803212851408</v>
      </c>
    </row>
    <row r="3193" spans="2:9">
      <c r="B3193">
        <f>'2020_5-2-2_Download'!B29</f>
        <v>257</v>
      </c>
      <c r="C3193">
        <f>'2020_5-2-2_Download'!$BH$5</f>
        <v>2011</v>
      </c>
      <c r="D3193" t="str">
        <f>VLOOKUP(B3193,[1]Tabelle1!$A$1:$B$68,2,FALSE)</f>
        <v>Schaumburg</v>
      </c>
      <c r="F3193" t="str">
        <f>'2020_5-2-2_Download'!$BM$7</f>
        <v>niedrig</v>
      </c>
      <c r="G3193" t="s">
        <v>362</v>
      </c>
      <c r="H3193" t="str">
        <f>VLOOKUP(B3193,[2]Kreise!$A$2:$C$53,3,FALSE)</f>
        <v>K03257</v>
      </c>
      <c r="I3193" s="266">
        <f>'2020_5-2-2_Download'!BM29</f>
        <v>30.754226267880362</v>
      </c>
    </row>
    <row r="3194" spans="2:9">
      <c r="B3194">
        <f>'2020_5-2-2_Download'!B30</f>
        <v>2</v>
      </c>
      <c r="C3194">
        <f>'2020_5-2-2_Download'!$BH$5</f>
        <v>2011</v>
      </c>
      <c r="D3194" t="str">
        <f>VLOOKUP(B3194,[1]Tabelle1!$A$1:$B$68,2,FALSE)</f>
        <v>Stat. Region Hannover</v>
      </c>
      <c r="F3194" t="str">
        <f>'2020_5-2-2_Download'!$BM$7</f>
        <v>niedrig</v>
      </c>
      <c r="G3194" t="s">
        <v>362</v>
      </c>
      <c r="H3194" t="str">
        <f>VLOOKUP(B3194,[2]Kreise!$A$2:$C$53,3,FALSE)</f>
        <v>K032</v>
      </c>
      <c r="I3194" s="266">
        <f>'2020_5-2-2_Download'!BM30</f>
        <v>23.540571044353193</v>
      </c>
    </row>
    <row r="3195" spans="2:9">
      <c r="B3195">
        <f>'2020_5-2-2_Download'!B31</f>
        <v>351</v>
      </c>
      <c r="C3195">
        <f>'2020_5-2-2_Download'!$BH$5</f>
        <v>2011</v>
      </c>
      <c r="D3195" t="str">
        <f>VLOOKUP(B3195,[1]Tabelle1!$A$1:$B$68,2,FALSE)</f>
        <v>Celle</v>
      </c>
      <c r="F3195" t="str">
        <f>'2020_5-2-2_Download'!$BM$7</f>
        <v>niedrig</v>
      </c>
      <c r="G3195" t="s">
        <v>362</v>
      </c>
      <c r="H3195" t="str">
        <f>VLOOKUP(B3195,[2]Kreise!$A$2:$C$53,3,FALSE)</f>
        <v>K03351</v>
      </c>
      <c r="I3195" s="266">
        <f>'2020_5-2-2_Download'!BM31</f>
        <v>21.964285714285715</v>
      </c>
    </row>
    <row r="3196" spans="2:9">
      <c r="B3196">
        <f>'2020_5-2-2_Download'!B32</f>
        <v>352</v>
      </c>
      <c r="C3196">
        <f>'2020_5-2-2_Download'!$BH$5</f>
        <v>2011</v>
      </c>
      <c r="D3196" t="str">
        <f>VLOOKUP(B3196,[1]Tabelle1!$A$1:$B$68,2,FALSE)</f>
        <v>Cuxhaven</v>
      </c>
      <c r="F3196" t="str">
        <f>'2020_5-2-2_Download'!$BM$7</f>
        <v>niedrig</v>
      </c>
      <c r="G3196" t="s">
        <v>362</v>
      </c>
      <c r="H3196" t="str">
        <f>VLOOKUP(B3196,[2]Kreise!$A$2:$C$53,3,FALSE)</f>
        <v>K03352</v>
      </c>
      <c r="I3196" s="266">
        <f>'2020_5-2-2_Download'!BM32</f>
        <v>26.621490803484992</v>
      </c>
    </row>
    <row r="3197" spans="2:9">
      <c r="B3197">
        <f>'2020_5-2-2_Download'!B33</f>
        <v>353</v>
      </c>
      <c r="C3197">
        <f>'2020_5-2-2_Download'!$BH$5</f>
        <v>2011</v>
      </c>
      <c r="D3197" t="str">
        <f>VLOOKUP(B3197,[1]Tabelle1!$A$1:$B$68,2,FALSE)</f>
        <v>Harburg</v>
      </c>
      <c r="F3197" t="str">
        <f>'2020_5-2-2_Download'!$BM$7</f>
        <v>niedrig</v>
      </c>
      <c r="G3197" t="s">
        <v>362</v>
      </c>
      <c r="H3197" t="str">
        <f>VLOOKUP(B3197,[2]Kreise!$A$2:$C$53,3,FALSE)</f>
        <v>K03353</v>
      </c>
      <c r="I3197" s="266">
        <f>'2020_5-2-2_Download'!BM33</f>
        <v>20.809248554913296</v>
      </c>
    </row>
    <row r="3198" spans="2:9">
      <c r="B3198">
        <f>'2020_5-2-2_Download'!B34</f>
        <v>354</v>
      </c>
      <c r="C3198">
        <f>'2020_5-2-2_Download'!$BH$5</f>
        <v>2011</v>
      </c>
      <c r="D3198" t="str">
        <f>VLOOKUP(B3198,[1]Tabelle1!$A$1:$B$68,2,FALSE)</f>
        <v>Lüchow-Dannenberg</v>
      </c>
      <c r="F3198" t="str">
        <f>'2020_5-2-2_Download'!$BM$7</f>
        <v>niedrig</v>
      </c>
      <c r="G3198" t="s">
        <v>362</v>
      </c>
      <c r="H3198" t="str">
        <f>VLOOKUP(B3198,[2]Kreise!$A$2:$C$53,3,FALSE)</f>
        <v>K03354</v>
      </c>
      <c r="I3198" s="266">
        <f>'2020_5-2-2_Download'!BM34</f>
        <v>11.475409836065573</v>
      </c>
    </row>
    <row r="3199" spans="2:9">
      <c r="B3199">
        <f>'2020_5-2-2_Download'!B35</f>
        <v>355</v>
      </c>
      <c r="C3199">
        <f>'2020_5-2-2_Download'!$BH$5</f>
        <v>2011</v>
      </c>
      <c r="D3199" t="str">
        <f>VLOOKUP(B3199,[1]Tabelle1!$A$1:$B$68,2,FALSE)</f>
        <v>Lüneburg</v>
      </c>
      <c r="F3199" t="str">
        <f>'2020_5-2-2_Download'!$BM$7</f>
        <v>niedrig</v>
      </c>
      <c r="G3199" t="s">
        <v>362</v>
      </c>
      <c r="H3199" t="str">
        <f>VLOOKUP(B3199,[2]Kreise!$A$2:$C$53,3,FALSE)</f>
        <v>K03355</v>
      </c>
      <c r="I3199" s="266">
        <f>'2020_5-2-2_Download'!BM35</f>
        <v>20.838323353293415</v>
      </c>
    </row>
    <row r="3200" spans="2:9">
      <c r="B3200">
        <f>'2020_5-2-2_Download'!B36</f>
        <v>356</v>
      </c>
      <c r="C3200">
        <f>'2020_5-2-2_Download'!$BH$5</f>
        <v>2011</v>
      </c>
      <c r="D3200" t="str">
        <f>VLOOKUP(B3200,[1]Tabelle1!$A$1:$B$68,2,FALSE)</f>
        <v>Osterholz</v>
      </c>
      <c r="F3200" t="str">
        <f>'2020_5-2-2_Download'!$BM$7</f>
        <v>niedrig</v>
      </c>
      <c r="G3200" t="s">
        <v>362</v>
      </c>
      <c r="H3200" t="str">
        <f>VLOOKUP(B3200,[2]Kreise!$A$2:$C$53,3,FALSE)</f>
        <v>K03356</v>
      </c>
      <c r="I3200" s="266">
        <f>'2020_5-2-2_Download'!BM36</f>
        <v>18.70967741935484</v>
      </c>
    </row>
    <row r="3201" spans="2:9">
      <c r="B3201">
        <f>'2020_5-2-2_Download'!B37</f>
        <v>357</v>
      </c>
      <c r="C3201">
        <f>'2020_5-2-2_Download'!$BH$5</f>
        <v>2011</v>
      </c>
      <c r="D3201" t="str">
        <f>VLOOKUP(B3201,[1]Tabelle1!$A$1:$B$68,2,FALSE)</f>
        <v>Rotenburg (Wümme)</v>
      </c>
      <c r="F3201" t="str">
        <f>'2020_5-2-2_Download'!$BM$7</f>
        <v>niedrig</v>
      </c>
      <c r="G3201" t="s">
        <v>362</v>
      </c>
      <c r="H3201" t="str">
        <f>VLOOKUP(B3201,[2]Kreise!$A$2:$C$53,3,FALSE)</f>
        <v>K03357</v>
      </c>
      <c r="I3201" s="266">
        <f>'2020_5-2-2_Download'!BM37</f>
        <v>27.905358385525403</v>
      </c>
    </row>
    <row r="3202" spans="2:9">
      <c r="B3202">
        <f>'2020_5-2-2_Download'!B38</f>
        <v>358</v>
      </c>
      <c r="C3202">
        <f>'2020_5-2-2_Download'!$BH$5</f>
        <v>2011</v>
      </c>
      <c r="D3202" t="str">
        <f>VLOOKUP(B3202,[1]Tabelle1!$A$1:$B$68,2,FALSE)</f>
        <v>Heidekreis</v>
      </c>
      <c r="F3202" t="str">
        <f>'2020_5-2-2_Download'!$BM$7</f>
        <v>niedrig</v>
      </c>
      <c r="G3202" t="s">
        <v>362</v>
      </c>
      <c r="H3202" t="str">
        <f>VLOOKUP(B3202,[2]Kreise!$A$2:$C$53,3,FALSE)</f>
        <v>K03358</v>
      </c>
      <c r="I3202" s="266">
        <f>'2020_5-2-2_Download'!BM38</f>
        <v>24.449594438006951</v>
      </c>
    </row>
    <row r="3203" spans="2:9">
      <c r="B3203">
        <f>'2020_5-2-2_Download'!B39</f>
        <v>359</v>
      </c>
      <c r="C3203">
        <f>'2020_5-2-2_Download'!$BH$5</f>
        <v>2011</v>
      </c>
      <c r="D3203" t="str">
        <f>VLOOKUP(B3203,[1]Tabelle1!$A$1:$B$68,2,FALSE)</f>
        <v>Stade</v>
      </c>
      <c r="F3203" t="str">
        <f>'2020_5-2-2_Download'!$BM$7</f>
        <v>niedrig</v>
      </c>
      <c r="G3203" t="s">
        <v>362</v>
      </c>
      <c r="H3203" t="str">
        <f>VLOOKUP(B3203,[2]Kreise!$A$2:$C$53,3,FALSE)</f>
        <v>K03359</v>
      </c>
      <c r="I3203" s="266">
        <f>'2020_5-2-2_Download'!BM39</f>
        <v>7.8157894736842106</v>
      </c>
    </row>
    <row r="3204" spans="2:9">
      <c r="B3204">
        <f>'2020_5-2-2_Download'!B40</f>
        <v>360</v>
      </c>
      <c r="C3204">
        <f>'2020_5-2-2_Download'!$BH$5</f>
        <v>2011</v>
      </c>
      <c r="D3204" t="str">
        <f>VLOOKUP(B3204,[1]Tabelle1!$A$1:$B$68,2,FALSE)</f>
        <v>Uelzen</v>
      </c>
      <c r="F3204" t="str">
        <f>'2020_5-2-2_Download'!$BM$7</f>
        <v>niedrig</v>
      </c>
      <c r="G3204" t="s">
        <v>362</v>
      </c>
      <c r="H3204" t="str">
        <f>VLOOKUP(B3204,[2]Kreise!$A$2:$C$53,3,FALSE)</f>
        <v>K03360</v>
      </c>
      <c r="I3204" s="266">
        <f>'2020_5-2-2_Download'!BM40</f>
        <v>11.409395973154362</v>
      </c>
    </row>
    <row r="3205" spans="2:9">
      <c r="B3205">
        <f>'2020_5-2-2_Download'!B41</f>
        <v>361</v>
      </c>
      <c r="C3205">
        <f>'2020_5-2-2_Download'!$BH$5</f>
        <v>2011</v>
      </c>
      <c r="D3205" t="str">
        <f>VLOOKUP(B3205,[1]Tabelle1!$A$1:$B$68,2,FALSE)</f>
        <v>Verden</v>
      </c>
      <c r="F3205" t="str">
        <f>'2020_5-2-2_Download'!$BM$7</f>
        <v>niedrig</v>
      </c>
      <c r="G3205" t="s">
        <v>362</v>
      </c>
      <c r="H3205" t="str">
        <f>VLOOKUP(B3205,[2]Kreise!$A$2:$C$53,3,FALSE)</f>
        <v>K03361</v>
      </c>
      <c r="I3205" s="266">
        <f>'2020_5-2-2_Download'!BM41</f>
        <v>33.093154915079772</v>
      </c>
    </row>
    <row r="3206" spans="2:9">
      <c r="B3206">
        <f>'2020_5-2-2_Download'!B42</f>
        <v>3</v>
      </c>
      <c r="C3206">
        <f>'2020_5-2-2_Download'!$BH$5</f>
        <v>2011</v>
      </c>
      <c r="D3206" t="str">
        <f>VLOOKUP(B3206,[1]Tabelle1!$A$1:$B$68,2,FALSE)</f>
        <v>Stat. Region Lüneburg</v>
      </c>
      <c r="F3206" t="str">
        <f>'2020_5-2-2_Download'!$BM$7</f>
        <v>niedrig</v>
      </c>
      <c r="G3206" t="s">
        <v>362</v>
      </c>
      <c r="H3206" t="str">
        <f>VLOOKUP(B3206,[2]Kreise!$A$2:$C$53,3,FALSE)</f>
        <v>K033</v>
      </c>
      <c r="I3206" s="266">
        <f>'2020_5-2-2_Download'!BM42</f>
        <v>20.594445346759784</v>
      </c>
    </row>
    <row r="3207" spans="2:9">
      <c r="B3207">
        <f>'2020_5-2-2_Download'!B43</f>
        <v>401</v>
      </c>
      <c r="C3207">
        <f>'2020_5-2-2_Download'!$BH$5</f>
        <v>2011</v>
      </c>
      <c r="D3207" t="str">
        <f>VLOOKUP(B3207,[1]Tabelle1!$A$1:$B$68,2,FALSE)</f>
        <v>Delmenhorst  Stadt</v>
      </c>
      <c r="F3207" t="str">
        <f>'2020_5-2-2_Download'!$BM$7</f>
        <v>niedrig</v>
      </c>
      <c r="G3207" t="s">
        <v>362</v>
      </c>
      <c r="H3207" t="str">
        <f>VLOOKUP(B3207,[2]Kreise!$A$2:$C$53,3,FALSE)</f>
        <v>K03401</v>
      </c>
      <c r="I3207" s="266">
        <f>'2020_5-2-2_Download'!BM43</f>
        <v>18.797814207650273</v>
      </c>
    </row>
    <row r="3208" spans="2:9">
      <c r="B3208">
        <f>'2020_5-2-2_Download'!B44</f>
        <v>402</v>
      </c>
      <c r="C3208">
        <f>'2020_5-2-2_Download'!$BH$5</f>
        <v>2011</v>
      </c>
      <c r="D3208" t="str">
        <f>VLOOKUP(B3208,[1]Tabelle1!$A$1:$B$68,2,FALSE)</f>
        <v>Emden  Stadt</v>
      </c>
      <c r="F3208" t="str">
        <f>'2020_5-2-2_Download'!$BM$7</f>
        <v>niedrig</v>
      </c>
      <c r="G3208" t="s">
        <v>362</v>
      </c>
      <c r="H3208" t="str">
        <f>VLOOKUP(B3208,[2]Kreise!$A$2:$C$53,3,FALSE)</f>
        <v>K03402</v>
      </c>
      <c r="I3208" s="266">
        <f>'2020_5-2-2_Download'!BM44</f>
        <v>16.061606160616062</v>
      </c>
    </row>
    <row r="3209" spans="2:9">
      <c r="B3209">
        <f>'2020_5-2-2_Download'!B45</f>
        <v>403</v>
      </c>
      <c r="C3209">
        <f>'2020_5-2-2_Download'!$BH$5</f>
        <v>2011</v>
      </c>
      <c r="D3209" t="str">
        <f>VLOOKUP(B3209,[1]Tabelle1!$A$1:$B$68,2,FALSE)</f>
        <v>Oldenburg(Oldb)  Stadt</v>
      </c>
      <c r="F3209" t="str">
        <f>'2020_5-2-2_Download'!$BM$7</f>
        <v>niedrig</v>
      </c>
      <c r="G3209" t="s">
        <v>362</v>
      </c>
      <c r="H3209" t="str">
        <f>VLOOKUP(B3209,[2]Kreise!$A$2:$C$53,3,FALSE)</f>
        <v>K03403</v>
      </c>
      <c r="I3209" s="266">
        <f>'2020_5-2-2_Download'!BM45</f>
        <v>21.202672605790646</v>
      </c>
    </row>
    <row r="3210" spans="2:9">
      <c r="B3210">
        <f>'2020_5-2-2_Download'!B46</f>
        <v>404</v>
      </c>
      <c r="C3210">
        <f>'2020_5-2-2_Download'!$BH$5</f>
        <v>2011</v>
      </c>
      <c r="D3210" t="str">
        <f>VLOOKUP(B3210,[1]Tabelle1!$A$1:$B$68,2,FALSE)</f>
        <v>Osnabrück  Stadt</v>
      </c>
      <c r="F3210" t="str">
        <f>'2020_5-2-2_Download'!$BM$7</f>
        <v>niedrig</v>
      </c>
      <c r="G3210" t="s">
        <v>362</v>
      </c>
      <c r="H3210" t="str">
        <f>VLOOKUP(B3210,[2]Kreise!$A$2:$C$53,3,FALSE)</f>
        <v>K03404</v>
      </c>
      <c r="I3210" s="266">
        <f>'2020_5-2-2_Download'!BM46</f>
        <v>31.940918532194786</v>
      </c>
    </row>
    <row r="3211" spans="2:9">
      <c r="B3211">
        <f>'2020_5-2-2_Download'!B47</f>
        <v>405</v>
      </c>
      <c r="C3211">
        <f>'2020_5-2-2_Download'!$BH$5</f>
        <v>2011</v>
      </c>
      <c r="D3211" t="str">
        <f>VLOOKUP(B3211,[1]Tabelle1!$A$1:$B$68,2,FALSE)</f>
        <v>Wilhelmshaven  Stadt</v>
      </c>
      <c r="F3211" t="str">
        <f>'2020_5-2-2_Download'!$BM$7</f>
        <v>niedrig</v>
      </c>
      <c r="G3211" t="s">
        <v>362</v>
      </c>
      <c r="H3211" t="str">
        <f>VLOOKUP(B3211,[2]Kreise!$A$2:$C$53,3,FALSE)</f>
        <v>K03405</v>
      </c>
      <c r="I3211" s="266">
        <f>'2020_5-2-2_Download'!BM47</f>
        <v>20.550161812297734</v>
      </c>
    </row>
    <row r="3212" spans="2:9">
      <c r="B3212">
        <f>'2020_5-2-2_Download'!B48</f>
        <v>451</v>
      </c>
      <c r="C3212">
        <f>'2020_5-2-2_Download'!$BH$5</f>
        <v>2011</v>
      </c>
      <c r="D3212" t="str">
        <f>VLOOKUP(B3212,[1]Tabelle1!$A$1:$B$68,2,FALSE)</f>
        <v>Ammerland</v>
      </c>
      <c r="F3212" t="str">
        <f>'2020_5-2-2_Download'!$BM$7</f>
        <v>niedrig</v>
      </c>
      <c r="G3212" t="s">
        <v>362</v>
      </c>
      <c r="H3212" t="str">
        <f>VLOOKUP(B3212,[2]Kreise!$A$2:$C$53,3,FALSE)</f>
        <v>K03451</v>
      </c>
      <c r="I3212" s="266">
        <f>'2020_5-2-2_Download'!BM48</f>
        <v>23.790047716428084</v>
      </c>
    </row>
    <row r="3213" spans="2:9">
      <c r="B3213">
        <f>'2020_5-2-2_Download'!B49</f>
        <v>452</v>
      </c>
      <c r="C3213">
        <f>'2020_5-2-2_Download'!$BH$5</f>
        <v>2011</v>
      </c>
      <c r="D3213" t="str">
        <f>VLOOKUP(B3213,[1]Tabelle1!$A$1:$B$68,2,FALSE)</f>
        <v>Aurich</v>
      </c>
      <c r="F3213" t="str">
        <f>'2020_5-2-2_Download'!$BM$7</f>
        <v>niedrig</v>
      </c>
      <c r="G3213" t="s">
        <v>362</v>
      </c>
      <c r="H3213" t="str">
        <f>VLOOKUP(B3213,[2]Kreise!$A$2:$C$53,3,FALSE)</f>
        <v>K03452</v>
      </c>
      <c r="I3213" s="266">
        <f>'2020_5-2-2_Download'!BM49</f>
        <v>20.755968169761275</v>
      </c>
    </row>
    <row r="3214" spans="2:9">
      <c r="B3214">
        <f>'2020_5-2-2_Download'!B50</f>
        <v>453</v>
      </c>
      <c r="C3214">
        <f>'2020_5-2-2_Download'!$BH$5</f>
        <v>2011</v>
      </c>
      <c r="D3214" t="str">
        <f>VLOOKUP(B3214,[1]Tabelle1!$A$1:$B$68,2,FALSE)</f>
        <v>Cloppenburg</v>
      </c>
      <c r="F3214" t="str">
        <f>'2020_5-2-2_Download'!$BM$7</f>
        <v>niedrig</v>
      </c>
      <c r="G3214" t="s">
        <v>362</v>
      </c>
      <c r="H3214" t="str">
        <f>VLOOKUP(B3214,[2]Kreise!$A$2:$C$53,3,FALSE)</f>
        <v>K03453</v>
      </c>
      <c r="I3214" s="266">
        <f>'2020_5-2-2_Download'!BM50</f>
        <v>25.519063797659491</v>
      </c>
    </row>
    <row r="3215" spans="2:9">
      <c r="B3215">
        <f>'2020_5-2-2_Download'!B51</f>
        <v>454</v>
      </c>
      <c r="C3215">
        <f>'2020_5-2-2_Download'!$BH$5</f>
        <v>2011</v>
      </c>
      <c r="D3215" t="str">
        <f>VLOOKUP(B3215,[1]Tabelle1!$A$1:$B$68,2,FALSE)</f>
        <v>Emsland</v>
      </c>
      <c r="F3215" t="str">
        <f>'2020_5-2-2_Download'!$BM$7</f>
        <v>niedrig</v>
      </c>
      <c r="G3215" t="s">
        <v>362</v>
      </c>
      <c r="H3215" t="str">
        <f>VLOOKUP(B3215,[2]Kreise!$A$2:$C$53,3,FALSE)</f>
        <v>K03454</v>
      </c>
      <c r="I3215" s="266">
        <f>'2020_5-2-2_Download'!BM51</f>
        <v>17.866407263294423</v>
      </c>
    </row>
    <row r="3216" spans="2:9">
      <c r="B3216">
        <f>'2020_5-2-2_Download'!B52</f>
        <v>455</v>
      </c>
      <c r="C3216">
        <f>'2020_5-2-2_Download'!$BH$5</f>
        <v>2011</v>
      </c>
      <c r="D3216" t="str">
        <f>VLOOKUP(B3216,[1]Tabelle1!$A$1:$B$68,2,FALSE)</f>
        <v>Friesland</v>
      </c>
      <c r="F3216" t="str">
        <f>'2020_5-2-2_Download'!$BM$7</f>
        <v>niedrig</v>
      </c>
      <c r="G3216" t="s">
        <v>362</v>
      </c>
      <c r="H3216" t="str">
        <f>VLOOKUP(B3216,[2]Kreise!$A$2:$C$53,3,FALSE)</f>
        <v>K03455</v>
      </c>
      <c r="I3216" s="266">
        <f>'2020_5-2-2_Download'!BM52</f>
        <v>18.382352941176471</v>
      </c>
    </row>
    <row r="3217" spans="2:9">
      <c r="B3217">
        <f>'2020_5-2-2_Download'!B53</f>
        <v>456</v>
      </c>
      <c r="C3217">
        <f>'2020_5-2-2_Download'!$BH$5</f>
        <v>2011</v>
      </c>
      <c r="D3217" t="str">
        <f>VLOOKUP(B3217,[1]Tabelle1!$A$1:$B$68,2,FALSE)</f>
        <v>Grafschaft Bentheim</v>
      </c>
      <c r="F3217" t="str">
        <f>'2020_5-2-2_Download'!$BM$7</f>
        <v>niedrig</v>
      </c>
      <c r="G3217" t="s">
        <v>362</v>
      </c>
      <c r="H3217" t="str">
        <f>VLOOKUP(B3217,[2]Kreise!$A$2:$C$53,3,FALSE)</f>
        <v>K03456</v>
      </c>
      <c r="I3217" s="266">
        <f>'2020_5-2-2_Download'!BM53</f>
        <v>20.684448917966783</v>
      </c>
    </row>
    <row r="3218" spans="2:9">
      <c r="B3218">
        <f>'2020_5-2-2_Download'!B54</f>
        <v>457</v>
      </c>
      <c r="C3218">
        <f>'2020_5-2-2_Download'!$BH$5</f>
        <v>2011</v>
      </c>
      <c r="D3218" t="str">
        <f>VLOOKUP(B3218,[1]Tabelle1!$A$1:$B$68,2,FALSE)</f>
        <v>Leer</v>
      </c>
      <c r="F3218" t="str">
        <f>'2020_5-2-2_Download'!$BM$7</f>
        <v>niedrig</v>
      </c>
      <c r="G3218" t="s">
        <v>362</v>
      </c>
      <c r="H3218" t="str">
        <f>VLOOKUP(B3218,[2]Kreise!$A$2:$C$53,3,FALSE)</f>
        <v>K03457</v>
      </c>
      <c r="I3218" s="266">
        <f>'2020_5-2-2_Download'!BM54</f>
        <v>13.467794404684449</v>
      </c>
    </row>
    <row r="3219" spans="2:9">
      <c r="B3219">
        <f>'2020_5-2-2_Download'!B55</f>
        <v>458</v>
      </c>
      <c r="C3219">
        <f>'2020_5-2-2_Download'!$BH$5</f>
        <v>2011</v>
      </c>
      <c r="D3219" t="str">
        <f>VLOOKUP(B3219,[1]Tabelle1!$A$1:$B$68,2,FALSE)</f>
        <v>Oldenburg</v>
      </c>
      <c r="F3219" t="str">
        <f>'2020_5-2-2_Download'!$BM$7</f>
        <v>niedrig</v>
      </c>
      <c r="G3219" t="s">
        <v>362</v>
      </c>
      <c r="H3219" t="str">
        <f>VLOOKUP(B3219,[2]Kreise!$A$2:$C$53,3,FALSE)</f>
        <v>K03458</v>
      </c>
      <c r="I3219" s="266">
        <f>'2020_5-2-2_Download'!BM55</f>
        <v>16.326530612244898</v>
      </c>
    </row>
    <row r="3220" spans="2:9">
      <c r="B3220">
        <f>'2020_5-2-2_Download'!B56</f>
        <v>459</v>
      </c>
      <c r="C3220">
        <f>'2020_5-2-2_Download'!$BH$5</f>
        <v>2011</v>
      </c>
      <c r="D3220" t="str">
        <f>VLOOKUP(B3220,[1]Tabelle1!$A$1:$B$68,2,FALSE)</f>
        <v>Osnabrück</v>
      </c>
      <c r="F3220" t="str">
        <f>'2020_5-2-2_Download'!$BM$7</f>
        <v>niedrig</v>
      </c>
      <c r="G3220" t="s">
        <v>362</v>
      </c>
      <c r="H3220" t="str">
        <f>VLOOKUP(B3220,[2]Kreise!$A$2:$C$53,3,FALSE)</f>
        <v>K03459</v>
      </c>
      <c r="I3220" s="266">
        <f>'2020_5-2-2_Download'!BM56</f>
        <v>36.048718759886114</v>
      </c>
    </row>
    <row r="3221" spans="2:9">
      <c r="B3221">
        <f>'2020_5-2-2_Download'!B57</f>
        <v>460</v>
      </c>
      <c r="C3221">
        <f>'2020_5-2-2_Download'!$BH$5</f>
        <v>2011</v>
      </c>
      <c r="D3221" t="str">
        <f>VLOOKUP(B3221,[1]Tabelle1!$A$1:$B$68,2,FALSE)</f>
        <v>Vechta</v>
      </c>
      <c r="F3221" t="str">
        <f>'2020_5-2-2_Download'!$BM$7</f>
        <v>niedrig</v>
      </c>
      <c r="G3221" t="s">
        <v>362</v>
      </c>
      <c r="H3221" t="str">
        <f>VLOOKUP(B3221,[2]Kreise!$A$2:$C$53,3,FALSE)</f>
        <v>K03460</v>
      </c>
      <c r="I3221" s="266">
        <f>'2020_5-2-2_Download'!BM57</f>
        <v>20.802161263507895</v>
      </c>
    </row>
    <row r="3222" spans="2:9">
      <c r="B3222">
        <f>'2020_5-2-2_Download'!B58</f>
        <v>461</v>
      </c>
      <c r="C3222">
        <f>'2020_5-2-2_Download'!$BH$5</f>
        <v>2011</v>
      </c>
      <c r="D3222" t="str">
        <f>VLOOKUP(B3222,[1]Tabelle1!$A$1:$B$68,2,FALSE)</f>
        <v>Wesermarsch</v>
      </c>
      <c r="F3222" t="str">
        <f>'2020_5-2-2_Download'!$BM$7</f>
        <v>niedrig</v>
      </c>
      <c r="G3222" t="s">
        <v>362</v>
      </c>
      <c r="H3222" t="str">
        <f>VLOOKUP(B3222,[2]Kreise!$A$2:$C$53,3,FALSE)</f>
        <v>K03461</v>
      </c>
      <c r="I3222" s="266">
        <f>'2020_5-2-2_Download'!BM58</f>
        <v>21.267454350161117</v>
      </c>
    </row>
    <row r="3223" spans="2:9">
      <c r="B3223">
        <f>'2020_5-2-2_Download'!B59</f>
        <v>462</v>
      </c>
      <c r="C3223">
        <f>'2020_5-2-2_Download'!$BH$5</f>
        <v>2011</v>
      </c>
      <c r="D3223" t="str">
        <f>VLOOKUP(B3223,[1]Tabelle1!$A$1:$B$68,2,FALSE)</f>
        <v>Wittmund</v>
      </c>
      <c r="F3223" t="str">
        <f>'2020_5-2-2_Download'!$BM$7</f>
        <v>niedrig</v>
      </c>
      <c r="G3223" t="s">
        <v>362</v>
      </c>
      <c r="H3223" t="str">
        <f>VLOOKUP(B3223,[2]Kreise!$A$2:$C$53,3,FALSE)</f>
        <v>K03462</v>
      </c>
      <c r="I3223" s="266" t="str">
        <f>'2020_5-2-2_Download'!BM59</f>
        <v>.</v>
      </c>
    </row>
    <row r="3224" spans="2:9">
      <c r="B3224">
        <f>'2020_5-2-2_Download'!B60</f>
        <v>4</v>
      </c>
      <c r="C3224">
        <f>'2020_5-2-2_Download'!$BH$5</f>
        <v>2011</v>
      </c>
      <c r="D3224" t="str">
        <f>VLOOKUP(B3224,[1]Tabelle1!$A$1:$B$68,2,FALSE)</f>
        <v>Stat. Region Weser-Ems</v>
      </c>
      <c r="F3224" t="str">
        <f>'2020_5-2-2_Download'!$BM$7</f>
        <v>niedrig</v>
      </c>
      <c r="G3224" t="s">
        <v>362</v>
      </c>
      <c r="H3224" t="str">
        <f>VLOOKUP(B3224,[2]Kreise!$A$2:$C$53,3,FALSE)</f>
        <v>K034</v>
      </c>
      <c r="I3224" s="266">
        <f>'2020_5-2-2_Download'!BM60</f>
        <v>24.308011902756725</v>
      </c>
    </row>
    <row r="3225" spans="2:9">
      <c r="B3225">
        <f>'2020_5-2-2_Download'!B61</f>
        <v>0</v>
      </c>
      <c r="C3225">
        <f>'2020_5-2-2_Download'!$BH$5</f>
        <v>2011</v>
      </c>
      <c r="D3225" t="str">
        <f>VLOOKUP(B3225,[1]Tabelle1!$A$1:$B$68,2,FALSE)</f>
        <v>Niedersachsen</v>
      </c>
      <c r="F3225" t="str">
        <f>'2020_5-2-2_Download'!$BM$7</f>
        <v>niedrig</v>
      </c>
      <c r="G3225" t="s">
        <v>362</v>
      </c>
      <c r="H3225" t="str">
        <f>VLOOKUP(B3225,[2]Kreise!$A$2:$C$53,3,FALSE)</f>
        <v>K030</v>
      </c>
      <c r="I3225" s="266">
        <f>'2020_5-2-2_Download'!BM61</f>
        <v>22.982399523372145</v>
      </c>
    </row>
    <row r="3226" spans="2:9">
      <c r="B3226">
        <f>'2020_5-2-2_Download'!B10</f>
        <v>101</v>
      </c>
      <c r="C3226">
        <f>'2020_5-2-2_Download'!$BH$5</f>
        <v>2011</v>
      </c>
      <c r="D3226" t="str">
        <f>VLOOKUP(B3226,[1]Tabelle1!$A$1:$B$68,2,FALSE)</f>
        <v>Braunschweig  Stadt</v>
      </c>
      <c r="F3226" t="str">
        <f>'2020_5-2-2_Download'!$BN$7</f>
        <v>unbekannt</v>
      </c>
      <c r="G3226" t="s">
        <v>362</v>
      </c>
      <c r="H3226" t="str">
        <f>VLOOKUP(B3226,[2]Kreise!$A$2:$C$53,3,FALSE)</f>
        <v>K03101</v>
      </c>
      <c r="I3226" s="266">
        <f>'2020_5-2-2_Download'!BN10</f>
        <v>36.593059936908517</v>
      </c>
    </row>
    <row r="3227" spans="2:9">
      <c r="B3227">
        <f>'2020_5-2-2_Download'!B11</f>
        <v>102</v>
      </c>
      <c r="C3227">
        <f>'2020_5-2-2_Download'!$BH$5</f>
        <v>2011</v>
      </c>
      <c r="D3227" t="str">
        <f>VLOOKUP(B3227,[1]Tabelle1!$A$1:$B$68,2,FALSE)</f>
        <v>Salzgitter  Stadt</v>
      </c>
      <c r="F3227" t="str">
        <f>'2020_5-2-2_Download'!$BN$7</f>
        <v>unbekannt</v>
      </c>
      <c r="G3227" t="s">
        <v>362</v>
      </c>
      <c r="H3227" t="str">
        <f>VLOOKUP(B3227,[2]Kreise!$A$2:$C$53,3,FALSE)</f>
        <v>K03102</v>
      </c>
      <c r="I3227" s="266">
        <f>'2020_5-2-2_Download'!BN11</f>
        <v>19.008264462809919</v>
      </c>
    </row>
    <row r="3228" spans="2:9">
      <c r="B3228">
        <f>'2020_5-2-2_Download'!B12</f>
        <v>103</v>
      </c>
      <c r="C3228">
        <f>'2020_5-2-2_Download'!$BH$5</f>
        <v>2011</v>
      </c>
      <c r="D3228" t="str">
        <f>VLOOKUP(B3228,[1]Tabelle1!$A$1:$B$68,2,FALSE)</f>
        <v>Wolfsburg  Stadt</v>
      </c>
      <c r="F3228" t="str">
        <f>'2020_5-2-2_Download'!$BN$7</f>
        <v>unbekannt</v>
      </c>
      <c r="G3228" t="s">
        <v>362</v>
      </c>
      <c r="H3228" t="str">
        <f>VLOOKUP(B3228,[2]Kreise!$A$2:$C$53,3,FALSE)</f>
        <v>K03103</v>
      </c>
      <c r="I3228" s="266">
        <f>'2020_5-2-2_Download'!BN12</f>
        <v>30.462544774957173</v>
      </c>
    </row>
    <row r="3229" spans="2:9">
      <c r="B3229">
        <f>'2020_5-2-2_Download'!B13</f>
        <v>151</v>
      </c>
      <c r="C3229">
        <f>'2020_5-2-2_Download'!$BH$5</f>
        <v>2011</v>
      </c>
      <c r="D3229" t="str">
        <f>VLOOKUP(B3229,[1]Tabelle1!$A$1:$B$68,2,FALSE)</f>
        <v>Gifhorn</v>
      </c>
      <c r="F3229" t="str">
        <f>'2020_5-2-2_Download'!$BN$7</f>
        <v>unbekannt</v>
      </c>
      <c r="G3229" t="s">
        <v>362</v>
      </c>
      <c r="H3229" t="str">
        <f>VLOOKUP(B3229,[2]Kreise!$A$2:$C$53,3,FALSE)</f>
        <v>K03151</v>
      </c>
      <c r="I3229" s="266">
        <f>'2020_5-2-2_Download'!BN13</f>
        <v>34.089246525237748</v>
      </c>
    </row>
    <row r="3230" spans="2:9">
      <c r="B3230">
        <f>'2020_5-2-2_Download'!B14</f>
        <v>153</v>
      </c>
      <c r="C3230">
        <f>'2020_5-2-2_Download'!$BH$5</f>
        <v>2011</v>
      </c>
      <c r="D3230" t="str">
        <f>VLOOKUP(B3230,[1]Tabelle1!$A$1:$B$68,2,FALSE)</f>
        <v>Goslar</v>
      </c>
      <c r="F3230" t="str">
        <f>'2020_5-2-2_Download'!$BN$7</f>
        <v>unbekannt</v>
      </c>
      <c r="G3230" t="s">
        <v>362</v>
      </c>
      <c r="H3230" t="str">
        <f>VLOOKUP(B3230,[2]Kreise!$A$2:$C$53,3,FALSE)</f>
        <v>K03153</v>
      </c>
      <c r="I3230" s="266">
        <f>'2020_5-2-2_Download'!BN14</f>
        <v>35.633001422475104</v>
      </c>
    </row>
    <row r="3231" spans="2:9">
      <c r="B3231">
        <f>'2020_5-2-2_Download'!B15</f>
        <v>154</v>
      </c>
      <c r="C3231">
        <f>'2020_5-2-2_Download'!$BH$5</f>
        <v>2011</v>
      </c>
      <c r="D3231" t="str">
        <f>VLOOKUP(B3231,[1]Tabelle1!$A$1:$B$68,2,FALSE)</f>
        <v>Helmstedt</v>
      </c>
      <c r="F3231" t="str">
        <f>'2020_5-2-2_Download'!$BN$7</f>
        <v>unbekannt</v>
      </c>
      <c r="G3231" t="s">
        <v>362</v>
      </c>
      <c r="H3231" t="str">
        <f>VLOOKUP(B3231,[2]Kreise!$A$2:$C$53,3,FALSE)</f>
        <v>K03154</v>
      </c>
      <c r="I3231" s="266">
        <f>'2020_5-2-2_Download'!BN15</f>
        <v>26.022033898305089</v>
      </c>
    </row>
    <row r="3232" spans="2:9">
      <c r="B3232">
        <f>'2020_5-2-2_Download'!B16</f>
        <v>155</v>
      </c>
      <c r="C3232">
        <f>'2020_5-2-2_Download'!$BH$5</f>
        <v>2011</v>
      </c>
      <c r="D3232" t="str">
        <f>VLOOKUP(B3232,[1]Tabelle1!$A$1:$B$68,2,FALSE)</f>
        <v>Northeim</v>
      </c>
      <c r="F3232" t="str">
        <f>'2020_5-2-2_Download'!$BN$7</f>
        <v>unbekannt</v>
      </c>
      <c r="G3232" t="s">
        <v>362</v>
      </c>
      <c r="H3232" t="str">
        <f>VLOOKUP(B3232,[2]Kreise!$A$2:$C$53,3,FALSE)</f>
        <v>K03155</v>
      </c>
      <c r="I3232" s="266">
        <f>'2020_5-2-2_Download'!BN16</f>
        <v>32.486388384754996</v>
      </c>
    </row>
    <row r="3233" spans="2:9">
      <c r="B3233">
        <f>'2020_5-2-2_Download'!B17</f>
        <v>157</v>
      </c>
      <c r="C3233">
        <f>'2020_5-2-2_Download'!$BH$5</f>
        <v>2011</v>
      </c>
      <c r="D3233" t="str">
        <f>VLOOKUP(B3233,[1]Tabelle1!$A$1:$B$68,2,FALSE)</f>
        <v>Peine</v>
      </c>
      <c r="F3233" t="str">
        <f>'2020_5-2-2_Download'!$BN$7</f>
        <v>unbekannt</v>
      </c>
      <c r="G3233" t="s">
        <v>362</v>
      </c>
      <c r="H3233" t="str">
        <f>VLOOKUP(B3233,[2]Kreise!$A$2:$C$53,3,FALSE)</f>
        <v>K03157</v>
      </c>
      <c r="I3233" s="266">
        <f>'2020_5-2-2_Download'!BN17</f>
        <v>38.955479452054789</v>
      </c>
    </row>
    <row r="3234" spans="2:9">
      <c r="B3234">
        <f>'2020_5-2-2_Download'!B18</f>
        <v>158</v>
      </c>
      <c r="C3234">
        <f>'2020_5-2-2_Download'!$BH$5</f>
        <v>2011</v>
      </c>
      <c r="D3234" t="str">
        <f>VLOOKUP(B3234,[1]Tabelle1!$A$1:$B$68,2,FALSE)</f>
        <v>Wolfenbüttel</v>
      </c>
      <c r="F3234" t="str">
        <f>'2020_5-2-2_Download'!$BN$7</f>
        <v>unbekannt</v>
      </c>
      <c r="G3234" t="s">
        <v>362</v>
      </c>
      <c r="H3234" t="str">
        <f>VLOOKUP(B3234,[2]Kreise!$A$2:$C$53,3,FALSE)</f>
        <v>K03158</v>
      </c>
      <c r="I3234" s="266">
        <f>'2020_5-2-2_Download'!BN18</f>
        <v>41.187050359712224</v>
      </c>
    </row>
    <row r="3235" spans="2:9">
      <c r="B3235">
        <f>'2020_5-2-2_Download'!B19</f>
        <v>159</v>
      </c>
      <c r="C3235">
        <f>'2020_5-2-2_Download'!$BH$5</f>
        <v>2011</v>
      </c>
      <c r="D3235" t="str">
        <f>VLOOKUP(B3235,[1]Tabelle1!$A$1:$B$68,2,FALSE)</f>
        <v>Göttingen</v>
      </c>
      <c r="F3235" t="str">
        <f>'2020_5-2-2_Download'!$BN$7</f>
        <v>unbekannt</v>
      </c>
      <c r="G3235" t="s">
        <v>362</v>
      </c>
      <c r="H3235" t="str">
        <f>VLOOKUP(B3235,[2]Kreise!$A$2:$C$53,3,FALSE)</f>
        <v>K03159</v>
      </c>
      <c r="I3235" s="266">
        <f>'2020_5-2-2_Download'!BN19</f>
        <v>36.404639175257728</v>
      </c>
    </row>
    <row r="3236" spans="2:9">
      <c r="B3236">
        <f>'2020_5-2-2_Download'!B20</f>
        <v>1</v>
      </c>
      <c r="C3236">
        <f>'2020_5-2-2_Download'!$BH$5</f>
        <v>2011</v>
      </c>
      <c r="D3236" t="str">
        <f>VLOOKUP(B3236,[1]Tabelle1!$A$1:$B$68,2,FALSE)</f>
        <v>Stat. Region Braunschweig</v>
      </c>
      <c r="F3236" t="str">
        <f>'2020_5-2-2_Download'!$BN$7</f>
        <v>unbekannt</v>
      </c>
      <c r="G3236" t="s">
        <v>362</v>
      </c>
      <c r="H3236" t="str">
        <f>VLOOKUP(B3236,[2]Kreise!$A$2:$C$53,3,FALSE)</f>
        <v>K031</v>
      </c>
      <c r="I3236" s="266">
        <f>'2020_5-2-2_Download'!BN20</f>
        <v>31.310476645562069</v>
      </c>
    </row>
    <row r="3237" spans="2:9">
      <c r="B3237">
        <f>'2020_5-2-2_Download'!B21</f>
        <v>241</v>
      </c>
      <c r="C3237">
        <f>'2020_5-2-2_Download'!$BH$5</f>
        <v>2011</v>
      </c>
      <c r="D3237" t="str">
        <f>VLOOKUP(B3237,[1]Tabelle1!$A$1:$B$68,2,FALSE)</f>
        <v>Hannover  Region</v>
      </c>
      <c r="F3237" t="str">
        <f>'2020_5-2-2_Download'!$BN$7</f>
        <v>unbekannt</v>
      </c>
      <c r="G3237" t="s">
        <v>362</v>
      </c>
      <c r="H3237" t="str">
        <f>VLOOKUP(B3237,[2]Kreise!$A$2:$C$53,3,FALSE)</f>
        <v>K03241</v>
      </c>
      <c r="I3237" s="266">
        <f>'2020_5-2-2_Download'!BN21</f>
        <v>40.553604227757546</v>
      </c>
    </row>
    <row r="3238" spans="2:9">
      <c r="B3238">
        <f>'2020_5-2-2_Download'!B22</f>
        <v>241001</v>
      </c>
      <c r="C3238">
        <f>'2020_5-2-2_Download'!$BH$5</f>
        <v>2011</v>
      </c>
      <c r="D3238" t="str">
        <f>VLOOKUP(B3238,[1]Tabelle1!$A$1:$B$68,2,FALSE)</f>
        <v>dav. Hannover  Lhst.</v>
      </c>
      <c r="F3238" t="str">
        <f>'2020_5-2-2_Download'!$BN$7</f>
        <v>unbekannt</v>
      </c>
      <c r="G3238" t="s">
        <v>362</v>
      </c>
      <c r="H3238" t="str">
        <f>VLOOKUP(B3238,[2]Kreise!$A$2:$C$53,3,FALSE)</f>
        <v>K03241001</v>
      </c>
      <c r="I3238" s="266">
        <f>'2020_5-2-2_Download'!BN22</f>
        <v>36.147403685092129</v>
      </c>
    </row>
    <row r="3239" spans="2:9">
      <c r="B3239">
        <f>'2020_5-2-2_Download'!B23</f>
        <v>241999</v>
      </c>
      <c r="C3239">
        <f>'2020_5-2-2_Download'!$BH$5</f>
        <v>2011</v>
      </c>
      <c r="D3239" t="str">
        <f>VLOOKUP(B3239,[1]Tabelle1!$A$1:$B$68,2,FALSE)</f>
        <v>dav. Hannover  Umland</v>
      </c>
      <c r="F3239" t="str">
        <f>'2020_5-2-2_Download'!$BN$7</f>
        <v>unbekannt</v>
      </c>
      <c r="G3239" t="s">
        <v>362</v>
      </c>
      <c r="H3239" t="str">
        <f>VLOOKUP(B3239,[2]Kreise!$A$2:$C$53,3,FALSE)</f>
        <v>K03241999</v>
      </c>
      <c r="I3239" s="266">
        <f>'2020_5-2-2_Download'!BN23</f>
        <v>49.635036496350367</v>
      </c>
    </row>
    <row r="3240" spans="2:9">
      <c r="B3240">
        <f>'2020_5-2-2_Download'!B24</f>
        <v>251</v>
      </c>
      <c r="C3240">
        <f>'2020_5-2-2_Download'!$BH$5</f>
        <v>2011</v>
      </c>
      <c r="D3240" t="str">
        <f>VLOOKUP(B3240,[1]Tabelle1!$A$1:$B$68,2,FALSE)</f>
        <v>Diepholz</v>
      </c>
      <c r="F3240" t="str">
        <f>'2020_5-2-2_Download'!$BN$7</f>
        <v>unbekannt</v>
      </c>
      <c r="G3240" t="s">
        <v>362</v>
      </c>
      <c r="H3240" t="str">
        <f>VLOOKUP(B3240,[2]Kreise!$A$2:$C$53,3,FALSE)</f>
        <v>K03251</v>
      </c>
      <c r="I3240" s="266">
        <f>'2020_5-2-2_Download'!BN24</f>
        <v>50.565666502705362</v>
      </c>
    </row>
    <row r="3241" spans="2:9">
      <c r="B3241">
        <f>'2020_5-2-2_Download'!B25</f>
        <v>252</v>
      </c>
      <c r="C3241">
        <f>'2020_5-2-2_Download'!$BH$5</f>
        <v>2011</v>
      </c>
      <c r="D3241" t="str">
        <f>VLOOKUP(B3241,[1]Tabelle1!$A$1:$B$68,2,FALSE)</f>
        <v>Hameln-Pyrmont</v>
      </c>
      <c r="F3241" t="str">
        <f>'2020_5-2-2_Download'!$BN$7</f>
        <v>unbekannt</v>
      </c>
      <c r="G3241" t="s">
        <v>362</v>
      </c>
      <c r="H3241" t="str">
        <f>VLOOKUP(B3241,[2]Kreise!$A$2:$C$53,3,FALSE)</f>
        <v>K03252</v>
      </c>
      <c r="I3241" s="266">
        <f>'2020_5-2-2_Download'!BN25</f>
        <v>32.20956719817768</v>
      </c>
    </row>
    <row r="3242" spans="2:9">
      <c r="B3242">
        <f>'2020_5-2-2_Download'!B26</f>
        <v>254</v>
      </c>
      <c r="C3242">
        <f>'2020_5-2-2_Download'!$BH$5</f>
        <v>2011</v>
      </c>
      <c r="D3242" t="str">
        <f>VLOOKUP(B3242,[1]Tabelle1!$A$1:$B$68,2,FALSE)</f>
        <v>Hildesheim</v>
      </c>
      <c r="F3242" t="str">
        <f>'2020_5-2-2_Download'!$BN$7</f>
        <v>unbekannt</v>
      </c>
      <c r="G3242" t="s">
        <v>362</v>
      </c>
      <c r="H3242" t="str">
        <f>VLOOKUP(B3242,[2]Kreise!$A$2:$C$53,3,FALSE)</f>
        <v>K03254</v>
      </c>
      <c r="I3242" s="266">
        <f>'2020_5-2-2_Download'!BN26</f>
        <v>34.633812457221083</v>
      </c>
    </row>
    <row r="3243" spans="2:9">
      <c r="B3243">
        <f>'2020_5-2-2_Download'!B27</f>
        <v>255</v>
      </c>
      <c r="C3243">
        <f>'2020_5-2-2_Download'!$BH$5</f>
        <v>2011</v>
      </c>
      <c r="D3243" t="str">
        <f>VLOOKUP(B3243,[1]Tabelle1!$A$1:$B$68,2,FALSE)</f>
        <v>Holzminden</v>
      </c>
      <c r="F3243" t="str">
        <f>'2020_5-2-2_Download'!$BN$7</f>
        <v>unbekannt</v>
      </c>
      <c r="G3243" t="s">
        <v>362</v>
      </c>
      <c r="H3243" t="str">
        <f>VLOOKUP(B3243,[2]Kreise!$A$2:$C$53,3,FALSE)</f>
        <v>K03255</v>
      </c>
      <c r="I3243" s="266">
        <f>'2020_5-2-2_Download'!BN27</f>
        <v>24.667651403249629</v>
      </c>
    </row>
    <row r="3244" spans="2:9">
      <c r="B3244">
        <f>'2020_5-2-2_Download'!B28</f>
        <v>256</v>
      </c>
      <c r="C3244">
        <f>'2020_5-2-2_Download'!$BH$5</f>
        <v>2011</v>
      </c>
      <c r="D3244" t="str">
        <f>VLOOKUP(B3244,[1]Tabelle1!$A$1:$B$68,2,FALSE)</f>
        <v>Nienburg (Weser)</v>
      </c>
      <c r="F3244" t="str">
        <f>'2020_5-2-2_Download'!$BN$7</f>
        <v>unbekannt</v>
      </c>
      <c r="G3244" t="s">
        <v>362</v>
      </c>
      <c r="H3244" t="str">
        <f>VLOOKUP(B3244,[2]Kreise!$A$2:$C$53,3,FALSE)</f>
        <v>K03256</v>
      </c>
      <c r="I3244" s="266">
        <f>'2020_5-2-2_Download'!BN28</f>
        <v>42.570281124497988</v>
      </c>
    </row>
    <row r="3245" spans="2:9">
      <c r="B3245">
        <f>'2020_5-2-2_Download'!B29</f>
        <v>257</v>
      </c>
      <c r="C3245">
        <f>'2020_5-2-2_Download'!$BH$5</f>
        <v>2011</v>
      </c>
      <c r="D3245" t="str">
        <f>VLOOKUP(B3245,[1]Tabelle1!$A$1:$B$68,2,FALSE)</f>
        <v>Schaumburg</v>
      </c>
      <c r="F3245" t="str">
        <f>'2020_5-2-2_Download'!$BN$7</f>
        <v>unbekannt</v>
      </c>
      <c r="G3245" t="s">
        <v>362</v>
      </c>
      <c r="H3245" t="str">
        <f>VLOOKUP(B3245,[2]Kreise!$A$2:$C$53,3,FALSE)</f>
        <v>K03257</v>
      </c>
      <c r="I3245" s="266">
        <f>'2020_5-2-2_Download'!BN29</f>
        <v>32.834850455136532</v>
      </c>
    </row>
    <row r="3246" spans="2:9">
      <c r="B3246">
        <f>'2020_5-2-2_Download'!B30</f>
        <v>2</v>
      </c>
      <c r="C3246">
        <f>'2020_5-2-2_Download'!$BH$5</f>
        <v>2011</v>
      </c>
      <c r="D3246" t="str">
        <f>VLOOKUP(B3246,[1]Tabelle1!$A$1:$B$68,2,FALSE)</f>
        <v>Stat. Region Hannover</v>
      </c>
      <c r="F3246" t="str">
        <f>'2020_5-2-2_Download'!$BN$7</f>
        <v>unbekannt</v>
      </c>
      <c r="G3246" t="s">
        <v>362</v>
      </c>
      <c r="H3246" t="str">
        <f>VLOOKUP(B3246,[2]Kreise!$A$2:$C$53,3,FALSE)</f>
        <v>K032</v>
      </c>
      <c r="I3246" s="266">
        <f>'2020_5-2-2_Download'!BN30</f>
        <v>39.704151958312323</v>
      </c>
    </row>
    <row r="3247" spans="2:9">
      <c r="B3247">
        <f>'2020_5-2-2_Download'!B31</f>
        <v>351</v>
      </c>
      <c r="C3247">
        <f>'2020_5-2-2_Download'!$BH$5</f>
        <v>2011</v>
      </c>
      <c r="D3247" t="str">
        <f>VLOOKUP(B3247,[1]Tabelle1!$A$1:$B$68,2,FALSE)</f>
        <v>Celle</v>
      </c>
      <c r="F3247" t="str">
        <f>'2020_5-2-2_Download'!$BN$7</f>
        <v>unbekannt</v>
      </c>
      <c r="G3247" t="s">
        <v>362</v>
      </c>
      <c r="H3247" t="str">
        <f>VLOOKUP(B3247,[2]Kreise!$A$2:$C$53,3,FALSE)</f>
        <v>K03351</v>
      </c>
      <c r="I3247" s="266">
        <f>'2020_5-2-2_Download'!BN31</f>
        <v>33.988095238095227</v>
      </c>
    </row>
    <row r="3248" spans="2:9">
      <c r="B3248">
        <f>'2020_5-2-2_Download'!B32</f>
        <v>352</v>
      </c>
      <c r="C3248">
        <f>'2020_5-2-2_Download'!$BH$5</f>
        <v>2011</v>
      </c>
      <c r="D3248" t="str">
        <f>VLOOKUP(B3248,[1]Tabelle1!$A$1:$B$68,2,FALSE)</f>
        <v>Cuxhaven</v>
      </c>
      <c r="F3248" t="str">
        <f>'2020_5-2-2_Download'!$BN$7</f>
        <v>unbekannt</v>
      </c>
      <c r="G3248" t="s">
        <v>362</v>
      </c>
      <c r="H3248" t="str">
        <f>VLOOKUP(B3248,[2]Kreise!$A$2:$C$53,3,FALSE)</f>
        <v>K03352</v>
      </c>
      <c r="I3248" s="266">
        <f>'2020_5-2-2_Download'!BN32</f>
        <v>46.611810261374643</v>
      </c>
    </row>
    <row r="3249" spans="2:9">
      <c r="B3249">
        <f>'2020_5-2-2_Download'!B33</f>
        <v>353</v>
      </c>
      <c r="C3249">
        <f>'2020_5-2-2_Download'!$BH$5</f>
        <v>2011</v>
      </c>
      <c r="D3249" t="str">
        <f>VLOOKUP(B3249,[1]Tabelle1!$A$1:$B$68,2,FALSE)</f>
        <v>Harburg</v>
      </c>
      <c r="F3249" t="str">
        <f>'2020_5-2-2_Download'!$BN$7</f>
        <v>unbekannt</v>
      </c>
      <c r="G3249" t="s">
        <v>362</v>
      </c>
      <c r="H3249" t="str">
        <f>VLOOKUP(B3249,[2]Kreise!$A$2:$C$53,3,FALSE)</f>
        <v>K03353</v>
      </c>
      <c r="I3249" s="266">
        <f>'2020_5-2-2_Download'!BN33</f>
        <v>55.221579961464357</v>
      </c>
    </row>
    <row r="3250" spans="2:9">
      <c r="B3250">
        <f>'2020_5-2-2_Download'!B34</f>
        <v>354</v>
      </c>
      <c r="C3250">
        <f>'2020_5-2-2_Download'!$BH$5</f>
        <v>2011</v>
      </c>
      <c r="D3250" t="str">
        <f>VLOOKUP(B3250,[1]Tabelle1!$A$1:$B$68,2,FALSE)</f>
        <v>Lüchow-Dannenberg</v>
      </c>
      <c r="F3250" t="str">
        <f>'2020_5-2-2_Download'!$BN$7</f>
        <v>unbekannt</v>
      </c>
      <c r="G3250" t="s">
        <v>362</v>
      </c>
      <c r="H3250" t="str">
        <f>VLOOKUP(B3250,[2]Kreise!$A$2:$C$53,3,FALSE)</f>
        <v>K03354</v>
      </c>
      <c r="I3250" s="266">
        <f>'2020_5-2-2_Download'!BN34</f>
        <v>53.005464480874309</v>
      </c>
    </row>
    <row r="3251" spans="2:9">
      <c r="B3251">
        <f>'2020_5-2-2_Download'!B35</f>
        <v>355</v>
      </c>
      <c r="C3251">
        <f>'2020_5-2-2_Download'!$BH$5</f>
        <v>2011</v>
      </c>
      <c r="D3251" t="str">
        <f>VLOOKUP(B3251,[1]Tabelle1!$A$1:$B$68,2,FALSE)</f>
        <v>Lüneburg</v>
      </c>
      <c r="F3251" t="str">
        <f>'2020_5-2-2_Download'!$BN$7</f>
        <v>unbekannt</v>
      </c>
      <c r="G3251" t="s">
        <v>362</v>
      </c>
      <c r="H3251" t="str">
        <f>VLOOKUP(B3251,[2]Kreise!$A$2:$C$53,3,FALSE)</f>
        <v>K03355</v>
      </c>
      <c r="I3251" s="266">
        <f>'2020_5-2-2_Download'!BN35</f>
        <v>44.550898203592808</v>
      </c>
    </row>
    <row r="3252" spans="2:9">
      <c r="B3252">
        <f>'2020_5-2-2_Download'!B36</f>
        <v>356</v>
      </c>
      <c r="C3252">
        <f>'2020_5-2-2_Download'!$BH$5</f>
        <v>2011</v>
      </c>
      <c r="D3252" t="str">
        <f>VLOOKUP(B3252,[1]Tabelle1!$A$1:$B$68,2,FALSE)</f>
        <v>Osterholz</v>
      </c>
      <c r="F3252" t="str">
        <f>'2020_5-2-2_Download'!$BN$7</f>
        <v>unbekannt</v>
      </c>
      <c r="G3252" t="s">
        <v>362</v>
      </c>
      <c r="H3252" t="str">
        <f>VLOOKUP(B3252,[2]Kreise!$A$2:$C$53,3,FALSE)</f>
        <v>K03356</v>
      </c>
      <c r="I3252" s="266">
        <f>'2020_5-2-2_Download'!BN36</f>
        <v>49.806451612903217</v>
      </c>
    </row>
    <row r="3253" spans="2:9">
      <c r="B3253">
        <f>'2020_5-2-2_Download'!B37</f>
        <v>357</v>
      </c>
      <c r="C3253">
        <f>'2020_5-2-2_Download'!$BH$5</f>
        <v>2011</v>
      </c>
      <c r="D3253" t="str">
        <f>VLOOKUP(B3253,[1]Tabelle1!$A$1:$B$68,2,FALSE)</f>
        <v>Rotenburg (Wümme)</v>
      </c>
      <c r="F3253" t="str">
        <f>'2020_5-2-2_Download'!$BN$7</f>
        <v>unbekannt</v>
      </c>
      <c r="G3253" t="s">
        <v>362</v>
      </c>
      <c r="H3253" t="str">
        <f>VLOOKUP(B3253,[2]Kreise!$A$2:$C$53,3,FALSE)</f>
        <v>K03357</v>
      </c>
      <c r="I3253" s="266">
        <f>'2020_5-2-2_Download'!BN37</f>
        <v>38.065414057063329</v>
      </c>
    </row>
    <row r="3254" spans="2:9">
      <c r="B3254">
        <f>'2020_5-2-2_Download'!B38</f>
        <v>358</v>
      </c>
      <c r="C3254">
        <f>'2020_5-2-2_Download'!$BH$5</f>
        <v>2011</v>
      </c>
      <c r="D3254" t="str">
        <f>VLOOKUP(B3254,[1]Tabelle1!$A$1:$B$68,2,FALSE)</f>
        <v>Heidekreis</v>
      </c>
      <c r="F3254" t="str">
        <f>'2020_5-2-2_Download'!$BN$7</f>
        <v>unbekannt</v>
      </c>
      <c r="G3254" t="s">
        <v>362</v>
      </c>
      <c r="H3254" t="str">
        <f>VLOOKUP(B3254,[2]Kreise!$A$2:$C$53,3,FALSE)</f>
        <v>K03358</v>
      </c>
      <c r="I3254" s="266">
        <f>'2020_5-2-2_Download'!BN38</f>
        <v>44.206257242178445</v>
      </c>
    </row>
    <row r="3255" spans="2:9">
      <c r="B3255">
        <f>'2020_5-2-2_Download'!B39</f>
        <v>359</v>
      </c>
      <c r="C3255">
        <f>'2020_5-2-2_Download'!$BH$5</f>
        <v>2011</v>
      </c>
      <c r="D3255" t="str">
        <f>VLOOKUP(B3255,[1]Tabelle1!$A$1:$B$68,2,FALSE)</f>
        <v>Stade</v>
      </c>
      <c r="F3255" t="str">
        <f>'2020_5-2-2_Download'!$BN$7</f>
        <v>unbekannt</v>
      </c>
      <c r="G3255" t="s">
        <v>362</v>
      </c>
      <c r="H3255" t="str">
        <f>VLOOKUP(B3255,[2]Kreise!$A$2:$C$53,3,FALSE)</f>
        <v>K03359</v>
      </c>
      <c r="I3255" s="266">
        <f>'2020_5-2-2_Download'!BN39</f>
        <v>58.500000000000007</v>
      </c>
    </row>
    <row r="3256" spans="2:9">
      <c r="B3256">
        <f>'2020_5-2-2_Download'!B40</f>
        <v>360</v>
      </c>
      <c r="C3256">
        <f>'2020_5-2-2_Download'!$BH$5</f>
        <v>2011</v>
      </c>
      <c r="D3256" t="str">
        <f>VLOOKUP(B3256,[1]Tabelle1!$A$1:$B$68,2,FALSE)</f>
        <v>Uelzen</v>
      </c>
      <c r="F3256" t="str">
        <f>'2020_5-2-2_Download'!$BN$7</f>
        <v>unbekannt</v>
      </c>
      <c r="G3256" t="s">
        <v>362</v>
      </c>
      <c r="H3256" t="str">
        <f>VLOOKUP(B3256,[2]Kreise!$A$2:$C$53,3,FALSE)</f>
        <v>K03360</v>
      </c>
      <c r="I3256" s="266">
        <f>'2020_5-2-2_Download'!BN40</f>
        <v>50.167785234899327</v>
      </c>
    </row>
    <row r="3257" spans="2:9">
      <c r="B3257">
        <f>'2020_5-2-2_Download'!B41</f>
        <v>361</v>
      </c>
      <c r="C3257">
        <f>'2020_5-2-2_Download'!$BH$5</f>
        <v>2011</v>
      </c>
      <c r="D3257" t="str">
        <f>VLOOKUP(B3257,[1]Tabelle1!$A$1:$B$68,2,FALSE)</f>
        <v>Verden</v>
      </c>
      <c r="F3257" t="str">
        <f>'2020_5-2-2_Download'!$BN$7</f>
        <v>unbekannt</v>
      </c>
      <c r="G3257" t="s">
        <v>362</v>
      </c>
      <c r="H3257" t="str">
        <f>VLOOKUP(B3257,[2]Kreise!$A$2:$C$53,3,FALSE)</f>
        <v>K03361</v>
      </c>
      <c r="I3257" s="266">
        <f>'2020_5-2-2_Download'!BN41</f>
        <v>34.688625836335568</v>
      </c>
    </row>
    <row r="3258" spans="2:9">
      <c r="B3258">
        <f>'2020_5-2-2_Download'!B42</f>
        <v>3</v>
      </c>
      <c r="C3258">
        <f>'2020_5-2-2_Download'!$BH$5</f>
        <v>2011</v>
      </c>
      <c r="D3258" t="str">
        <f>VLOOKUP(B3258,[1]Tabelle1!$A$1:$B$68,2,FALSE)</f>
        <v>Stat. Region Lüneburg</v>
      </c>
      <c r="F3258" t="str">
        <f>'2020_5-2-2_Download'!$BN$7</f>
        <v>unbekannt</v>
      </c>
      <c r="G3258" t="s">
        <v>362</v>
      </c>
      <c r="H3258" t="str">
        <f>VLOOKUP(B3258,[2]Kreise!$A$2:$C$53,3,FALSE)</f>
        <v>K033</v>
      </c>
      <c r="I3258" s="266">
        <f>'2020_5-2-2_Download'!BN42</f>
        <v>47.100860808835471</v>
      </c>
    </row>
    <row r="3259" spans="2:9">
      <c r="B3259">
        <f>'2020_5-2-2_Download'!B43</f>
        <v>401</v>
      </c>
      <c r="C3259">
        <f>'2020_5-2-2_Download'!$BH$5</f>
        <v>2011</v>
      </c>
      <c r="D3259" t="str">
        <f>VLOOKUP(B3259,[1]Tabelle1!$A$1:$B$68,2,FALSE)</f>
        <v>Delmenhorst  Stadt</v>
      </c>
      <c r="F3259" t="str">
        <f>'2020_5-2-2_Download'!$BN$7</f>
        <v>unbekannt</v>
      </c>
      <c r="G3259" t="s">
        <v>362</v>
      </c>
      <c r="H3259" t="str">
        <f>VLOOKUP(B3259,[2]Kreise!$A$2:$C$53,3,FALSE)</f>
        <v>K03401</v>
      </c>
      <c r="I3259" s="266">
        <f>'2020_5-2-2_Download'!BN43</f>
        <v>54.42622950819672</v>
      </c>
    </row>
    <row r="3260" spans="2:9">
      <c r="B3260">
        <f>'2020_5-2-2_Download'!B44</f>
        <v>402</v>
      </c>
      <c r="C3260">
        <f>'2020_5-2-2_Download'!$BH$5</f>
        <v>2011</v>
      </c>
      <c r="D3260" t="str">
        <f>VLOOKUP(B3260,[1]Tabelle1!$A$1:$B$68,2,FALSE)</f>
        <v>Emden  Stadt</v>
      </c>
      <c r="F3260" t="str">
        <f>'2020_5-2-2_Download'!$BN$7</f>
        <v>unbekannt</v>
      </c>
      <c r="G3260" t="s">
        <v>362</v>
      </c>
      <c r="H3260" t="str">
        <f>VLOOKUP(B3260,[2]Kreise!$A$2:$C$53,3,FALSE)</f>
        <v>K03402</v>
      </c>
      <c r="I3260" s="266">
        <f>'2020_5-2-2_Download'!BN44</f>
        <v>42.244224422442244</v>
      </c>
    </row>
    <row r="3261" spans="2:9">
      <c r="B3261">
        <f>'2020_5-2-2_Download'!B45</f>
        <v>403</v>
      </c>
      <c r="C3261">
        <f>'2020_5-2-2_Download'!$BH$5</f>
        <v>2011</v>
      </c>
      <c r="D3261" t="str">
        <f>VLOOKUP(B3261,[1]Tabelle1!$A$1:$B$68,2,FALSE)</f>
        <v>Oldenburg(Oldb)  Stadt</v>
      </c>
      <c r="F3261" t="str">
        <f>'2020_5-2-2_Download'!$BN$7</f>
        <v>unbekannt</v>
      </c>
      <c r="G3261" t="s">
        <v>362</v>
      </c>
      <c r="H3261" t="str">
        <f>VLOOKUP(B3261,[2]Kreise!$A$2:$C$53,3,FALSE)</f>
        <v>K03403</v>
      </c>
      <c r="I3261" s="266">
        <f>'2020_5-2-2_Download'!BN45</f>
        <v>41.870824053452125</v>
      </c>
    </row>
    <row r="3262" spans="2:9">
      <c r="B3262">
        <f>'2020_5-2-2_Download'!B46</f>
        <v>404</v>
      </c>
      <c r="C3262">
        <f>'2020_5-2-2_Download'!$BH$5</f>
        <v>2011</v>
      </c>
      <c r="D3262" t="str">
        <f>VLOOKUP(B3262,[1]Tabelle1!$A$1:$B$68,2,FALSE)</f>
        <v>Osnabrück  Stadt</v>
      </c>
      <c r="F3262" t="str">
        <f>'2020_5-2-2_Download'!$BN$7</f>
        <v>unbekannt</v>
      </c>
      <c r="G3262" t="s">
        <v>362</v>
      </c>
      <c r="H3262" t="str">
        <f>VLOOKUP(B3262,[2]Kreise!$A$2:$C$53,3,FALSE)</f>
        <v>K03404</v>
      </c>
      <c r="I3262" s="266">
        <f>'2020_5-2-2_Download'!BN46</f>
        <v>34.641126240480034</v>
      </c>
    </row>
    <row r="3263" spans="2:9">
      <c r="B3263">
        <f>'2020_5-2-2_Download'!B47</f>
        <v>405</v>
      </c>
      <c r="C3263">
        <f>'2020_5-2-2_Download'!$BH$5</f>
        <v>2011</v>
      </c>
      <c r="D3263" t="str">
        <f>VLOOKUP(B3263,[1]Tabelle1!$A$1:$B$68,2,FALSE)</f>
        <v>Wilhelmshaven  Stadt</v>
      </c>
      <c r="F3263" t="str">
        <f>'2020_5-2-2_Download'!$BN$7</f>
        <v>unbekannt</v>
      </c>
      <c r="G3263" t="s">
        <v>362</v>
      </c>
      <c r="H3263" t="str">
        <f>VLOOKUP(B3263,[2]Kreise!$A$2:$C$53,3,FALSE)</f>
        <v>K03405</v>
      </c>
      <c r="I3263" s="266">
        <f>'2020_5-2-2_Download'!BN47</f>
        <v>37.702265372168284</v>
      </c>
    </row>
    <row r="3264" spans="2:9">
      <c r="B3264">
        <f>'2020_5-2-2_Download'!B48</f>
        <v>451</v>
      </c>
      <c r="C3264">
        <f>'2020_5-2-2_Download'!$BH$5</f>
        <v>2011</v>
      </c>
      <c r="D3264" t="str">
        <f>VLOOKUP(B3264,[1]Tabelle1!$A$1:$B$68,2,FALSE)</f>
        <v>Ammerland</v>
      </c>
      <c r="F3264" t="str">
        <f>'2020_5-2-2_Download'!$BN$7</f>
        <v>unbekannt</v>
      </c>
      <c r="G3264" t="s">
        <v>362</v>
      </c>
      <c r="H3264" t="str">
        <f>VLOOKUP(B3264,[2]Kreise!$A$2:$C$53,3,FALSE)</f>
        <v>K03451</v>
      </c>
      <c r="I3264" s="266">
        <f>'2020_5-2-2_Download'!BN48</f>
        <v>51.329243353783227</v>
      </c>
    </row>
    <row r="3265" spans="2:9">
      <c r="B3265">
        <f>'2020_5-2-2_Download'!B49</f>
        <v>452</v>
      </c>
      <c r="C3265">
        <f>'2020_5-2-2_Download'!$BH$5</f>
        <v>2011</v>
      </c>
      <c r="D3265" t="str">
        <f>VLOOKUP(B3265,[1]Tabelle1!$A$1:$B$68,2,FALSE)</f>
        <v>Aurich</v>
      </c>
      <c r="F3265" t="str">
        <f>'2020_5-2-2_Download'!$BN$7</f>
        <v>unbekannt</v>
      </c>
      <c r="G3265" t="s">
        <v>362</v>
      </c>
      <c r="H3265" t="str">
        <f>VLOOKUP(B3265,[2]Kreise!$A$2:$C$53,3,FALSE)</f>
        <v>K03452</v>
      </c>
      <c r="I3265" s="266">
        <f>'2020_5-2-2_Download'!BN49</f>
        <v>50.397877984084872</v>
      </c>
    </row>
    <row r="3266" spans="2:9">
      <c r="B3266">
        <f>'2020_5-2-2_Download'!B50</f>
        <v>453</v>
      </c>
      <c r="C3266">
        <f>'2020_5-2-2_Download'!$BH$5</f>
        <v>2011</v>
      </c>
      <c r="D3266" t="str">
        <f>VLOOKUP(B3266,[1]Tabelle1!$A$1:$B$68,2,FALSE)</f>
        <v>Cloppenburg</v>
      </c>
      <c r="F3266" t="str">
        <f>'2020_5-2-2_Download'!$BN$7</f>
        <v>unbekannt</v>
      </c>
      <c r="G3266" t="s">
        <v>362</v>
      </c>
      <c r="H3266" t="str">
        <f>VLOOKUP(B3266,[2]Kreise!$A$2:$C$53,3,FALSE)</f>
        <v>K03453</v>
      </c>
      <c r="I3266" s="266">
        <f>'2020_5-2-2_Download'!BN50</f>
        <v>55.832389580973945</v>
      </c>
    </row>
    <row r="3267" spans="2:9">
      <c r="B3267">
        <f>'2020_5-2-2_Download'!B51</f>
        <v>454</v>
      </c>
      <c r="C3267">
        <f>'2020_5-2-2_Download'!$BH$5</f>
        <v>2011</v>
      </c>
      <c r="D3267" t="str">
        <f>VLOOKUP(B3267,[1]Tabelle1!$A$1:$B$68,2,FALSE)</f>
        <v>Emsland</v>
      </c>
      <c r="F3267" t="str">
        <f>'2020_5-2-2_Download'!$BN$7</f>
        <v>unbekannt</v>
      </c>
      <c r="G3267" t="s">
        <v>362</v>
      </c>
      <c r="H3267" t="str">
        <f>VLOOKUP(B3267,[2]Kreise!$A$2:$C$53,3,FALSE)</f>
        <v>K03454</v>
      </c>
      <c r="I3267" s="266">
        <f>'2020_5-2-2_Download'!BN51</f>
        <v>39.33203631647212</v>
      </c>
    </row>
    <row r="3268" spans="2:9">
      <c r="B3268">
        <f>'2020_5-2-2_Download'!B52</f>
        <v>455</v>
      </c>
      <c r="C3268">
        <f>'2020_5-2-2_Download'!$BH$5</f>
        <v>2011</v>
      </c>
      <c r="D3268" t="str">
        <f>VLOOKUP(B3268,[1]Tabelle1!$A$1:$B$68,2,FALSE)</f>
        <v>Friesland</v>
      </c>
      <c r="F3268" t="str">
        <f>'2020_5-2-2_Download'!$BN$7</f>
        <v>unbekannt</v>
      </c>
      <c r="G3268" t="s">
        <v>362</v>
      </c>
      <c r="H3268" t="str">
        <f>VLOOKUP(B3268,[2]Kreise!$A$2:$C$53,3,FALSE)</f>
        <v>K03455</v>
      </c>
      <c r="I3268" s="266">
        <f>'2020_5-2-2_Download'!BN52</f>
        <v>45.036764705882362</v>
      </c>
    </row>
    <row r="3269" spans="2:9">
      <c r="B3269">
        <f>'2020_5-2-2_Download'!B53</f>
        <v>456</v>
      </c>
      <c r="C3269">
        <f>'2020_5-2-2_Download'!$BH$5</f>
        <v>2011</v>
      </c>
      <c r="D3269" t="str">
        <f>VLOOKUP(B3269,[1]Tabelle1!$A$1:$B$68,2,FALSE)</f>
        <v>Grafschaft Bentheim</v>
      </c>
      <c r="F3269" t="str">
        <f>'2020_5-2-2_Download'!$BN$7</f>
        <v>unbekannt</v>
      </c>
      <c r="G3269" t="s">
        <v>362</v>
      </c>
      <c r="H3269" t="str">
        <f>VLOOKUP(B3269,[2]Kreise!$A$2:$C$53,3,FALSE)</f>
        <v>K03456</v>
      </c>
      <c r="I3269" s="266">
        <f>'2020_5-2-2_Download'!BN53</f>
        <v>38.298943130347254</v>
      </c>
    </row>
    <row r="3270" spans="2:9">
      <c r="B3270">
        <f>'2020_5-2-2_Download'!B54</f>
        <v>457</v>
      </c>
      <c r="C3270">
        <f>'2020_5-2-2_Download'!$BH$5</f>
        <v>2011</v>
      </c>
      <c r="D3270" t="str">
        <f>VLOOKUP(B3270,[1]Tabelle1!$A$1:$B$68,2,FALSE)</f>
        <v>Leer</v>
      </c>
      <c r="F3270" t="str">
        <f>'2020_5-2-2_Download'!$BN$7</f>
        <v>unbekannt</v>
      </c>
      <c r="G3270" t="s">
        <v>362</v>
      </c>
      <c r="H3270" t="str">
        <f>VLOOKUP(B3270,[2]Kreise!$A$2:$C$53,3,FALSE)</f>
        <v>K03457</v>
      </c>
      <c r="I3270" s="266">
        <f>'2020_5-2-2_Download'!BN54</f>
        <v>59.20624593363695</v>
      </c>
    </row>
    <row r="3271" spans="2:9">
      <c r="B3271">
        <f>'2020_5-2-2_Download'!B55</f>
        <v>458</v>
      </c>
      <c r="C3271">
        <f>'2020_5-2-2_Download'!$BH$5</f>
        <v>2011</v>
      </c>
      <c r="D3271" t="str">
        <f>VLOOKUP(B3271,[1]Tabelle1!$A$1:$B$68,2,FALSE)</f>
        <v>Oldenburg</v>
      </c>
      <c r="F3271" t="str">
        <f>'2020_5-2-2_Download'!$BN$7</f>
        <v>unbekannt</v>
      </c>
      <c r="G3271" t="s">
        <v>362</v>
      </c>
      <c r="H3271" t="str">
        <f>VLOOKUP(B3271,[2]Kreise!$A$2:$C$53,3,FALSE)</f>
        <v>K03458</v>
      </c>
      <c r="I3271" s="266">
        <f>'2020_5-2-2_Download'!BN55</f>
        <v>63.265306122448983</v>
      </c>
    </row>
    <row r="3272" spans="2:9">
      <c r="B3272">
        <f>'2020_5-2-2_Download'!B56</f>
        <v>459</v>
      </c>
      <c r="C3272">
        <f>'2020_5-2-2_Download'!$BH$5</f>
        <v>2011</v>
      </c>
      <c r="D3272" t="str">
        <f>VLOOKUP(B3272,[1]Tabelle1!$A$1:$B$68,2,FALSE)</f>
        <v>Osnabrück</v>
      </c>
      <c r="F3272" t="str">
        <f>'2020_5-2-2_Download'!$BN$7</f>
        <v>unbekannt</v>
      </c>
      <c r="G3272" t="s">
        <v>362</v>
      </c>
      <c r="H3272" t="str">
        <f>VLOOKUP(B3272,[2]Kreise!$A$2:$C$53,3,FALSE)</f>
        <v>K03459</v>
      </c>
      <c r="I3272" s="266">
        <f>'2020_5-2-2_Download'!BN56</f>
        <v>42.265105979120527</v>
      </c>
    </row>
    <row r="3273" spans="2:9">
      <c r="B3273">
        <f>'2020_5-2-2_Download'!B57</f>
        <v>460</v>
      </c>
      <c r="C3273">
        <f>'2020_5-2-2_Download'!$BH$5</f>
        <v>2011</v>
      </c>
      <c r="D3273" t="str">
        <f>VLOOKUP(B3273,[1]Tabelle1!$A$1:$B$68,2,FALSE)</f>
        <v>Vechta</v>
      </c>
      <c r="F3273" t="str">
        <f>'2020_5-2-2_Download'!$BN$7</f>
        <v>unbekannt</v>
      </c>
      <c r="G3273" t="s">
        <v>362</v>
      </c>
      <c r="H3273" t="str">
        <f>VLOOKUP(B3273,[2]Kreise!$A$2:$C$53,3,FALSE)</f>
        <v>K03460</v>
      </c>
      <c r="I3273" s="266">
        <f>'2020_5-2-2_Download'!BN57</f>
        <v>65.731504571903571</v>
      </c>
    </row>
    <row r="3274" spans="2:9">
      <c r="B3274">
        <f>'2020_5-2-2_Download'!B58</f>
        <v>461</v>
      </c>
      <c r="C3274">
        <f>'2020_5-2-2_Download'!$BH$5</f>
        <v>2011</v>
      </c>
      <c r="D3274" t="str">
        <f>VLOOKUP(B3274,[1]Tabelle1!$A$1:$B$68,2,FALSE)</f>
        <v>Wesermarsch</v>
      </c>
      <c r="F3274" t="str">
        <f>'2020_5-2-2_Download'!$BN$7</f>
        <v>unbekannt</v>
      </c>
      <c r="G3274" t="s">
        <v>362</v>
      </c>
      <c r="H3274" t="str">
        <f>VLOOKUP(B3274,[2]Kreise!$A$2:$C$53,3,FALSE)</f>
        <v>K03461</v>
      </c>
      <c r="I3274" s="266">
        <f>'2020_5-2-2_Download'!BN58</f>
        <v>33.512352309344791</v>
      </c>
    </row>
    <row r="3275" spans="2:9">
      <c r="B3275">
        <f>'2020_5-2-2_Download'!B59</f>
        <v>462</v>
      </c>
      <c r="C3275">
        <f>'2020_5-2-2_Download'!$BH$5</f>
        <v>2011</v>
      </c>
      <c r="D3275" t="str">
        <f>VLOOKUP(B3275,[1]Tabelle1!$A$1:$B$68,2,FALSE)</f>
        <v>Wittmund</v>
      </c>
      <c r="F3275" t="str">
        <f>'2020_5-2-2_Download'!$BN$7</f>
        <v>unbekannt</v>
      </c>
      <c r="G3275" t="s">
        <v>362</v>
      </c>
      <c r="H3275" t="str">
        <f>VLOOKUP(B3275,[2]Kreise!$A$2:$C$53,3,FALSE)</f>
        <v>K03462</v>
      </c>
      <c r="I3275" s="266" t="str">
        <f>'2020_5-2-2_Download'!BN59</f>
        <v>.</v>
      </c>
    </row>
    <row r="3276" spans="2:9">
      <c r="B3276">
        <f>'2020_5-2-2_Download'!B60</f>
        <v>4</v>
      </c>
      <c r="C3276">
        <f>'2020_5-2-2_Download'!$BH$5</f>
        <v>2011</v>
      </c>
      <c r="D3276" t="str">
        <f>VLOOKUP(B3276,[1]Tabelle1!$A$1:$B$68,2,FALSE)</f>
        <v>Stat. Region Weser-Ems</v>
      </c>
      <c r="F3276" t="str">
        <f>'2020_5-2-2_Download'!$BN$7</f>
        <v>unbekannt</v>
      </c>
      <c r="G3276" t="s">
        <v>362</v>
      </c>
      <c r="H3276" t="str">
        <f>VLOOKUP(B3276,[2]Kreise!$A$2:$C$53,3,FALSE)</f>
        <v>K034</v>
      </c>
      <c r="I3276" s="266">
        <f>'2020_5-2-2_Download'!BN60</f>
        <v>47.571725338274092</v>
      </c>
    </row>
    <row r="3277" spans="2:9">
      <c r="B3277">
        <f>'2020_5-2-2_Download'!B61</f>
        <v>0</v>
      </c>
      <c r="C3277">
        <f>'2020_5-2-2_Download'!$BH$5</f>
        <v>2011</v>
      </c>
      <c r="D3277" t="str">
        <f>VLOOKUP(B3277,[1]Tabelle1!$A$1:$B$68,2,FALSE)</f>
        <v>Niedersachsen</v>
      </c>
      <c r="F3277" t="str">
        <f>'2020_5-2-2_Download'!$BN$7</f>
        <v>unbekannt</v>
      </c>
      <c r="G3277" t="s">
        <v>362</v>
      </c>
      <c r="H3277" t="str">
        <f>VLOOKUP(B3277,[2]Kreise!$A$2:$C$53,3,FALSE)</f>
        <v>K030</v>
      </c>
      <c r="I3277" s="266">
        <f>'2020_5-2-2_Download'!BN61</f>
        <v>41.409527592284576</v>
      </c>
    </row>
    <row r="3278" spans="2:9">
      <c r="I3278" s="266"/>
    </row>
    <row r="3279" spans="2:9">
      <c r="I3279" s="266"/>
    </row>
    <row r="3280" spans="2:9">
      <c r="I3280" s="266"/>
    </row>
    <row r="3281" spans="9:9">
      <c r="I3281" s="266"/>
    </row>
    <row r="3282" spans="9:9">
      <c r="I3282" s="266"/>
    </row>
    <row r="3283" spans="9:9">
      <c r="I3283" s="266"/>
    </row>
    <row r="3284" spans="9:9">
      <c r="I3284" s="266"/>
    </row>
    <row r="3285" spans="9:9">
      <c r="I3285" s="266"/>
    </row>
    <row r="3286" spans="9:9">
      <c r="I3286" s="266"/>
    </row>
    <row r="3287" spans="9:9">
      <c r="I3287" s="266"/>
    </row>
    <row r="3288" spans="9:9">
      <c r="I3288" s="266"/>
    </row>
    <row r="3289" spans="9:9">
      <c r="I3289" s="266"/>
    </row>
    <row r="3290" spans="9:9">
      <c r="I3290" s="266"/>
    </row>
    <row r="3291" spans="9:9">
      <c r="I3291" s="266"/>
    </row>
    <row r="3292" spans="9:9">
      <c r="I3292" s="266"/>
    </row>
    <row r="3293" spans="9:9">
      <c r="I3293" s="266"/>
    </row>
    <row r="3294" spans="9:9">
      <c r="I3294" s="266"/>
    </row>
  </sheetData>
  <autoFilter ref="A1:J3277" xr:uid="{F321A46B-7AB9-41AD-9E38-E77FF29BF728}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58668-FEC6-4FFB-BE37-48DE73898F15}">
  <sheetPr codeName="Tabelle17"/>
  <dimension ref="A1:G3279"/>
  <sheetViews>
    <sheetView workbookViewId="0">
      <selection activeCell="B1" sqref="B1:H3277"/>
    </sheetView>
  </sheetViews>
  <sheetFormatPr baseColWidth="10" defaultRowHeight="13.5"/>
  <sheetData>
    <row r="1" spans="1:7">
      <c r="A1" t="s">
        <v>220</v>
      </c>
      <c r="B1" t="s">
        <v>355</v>
      </c>
      <c r="C1" t="s">
        <v>356</v>
      </c>
      <c r="D1" t="s">
        <v>357</v>
      </c>
      <c r="E1" t="s">
        <v>361</v>
      </c>
      <c r="F1" t="s">
        <v>3587</v>
      </c>
      <c r="G1" t="s">
        <v>360</v>
      </c>
    </row>
    <row r="2" spans="1:7">
      <c r="A2">
        <v>101</v>
      </c>
      <c r="B2">
        <v>2020</v>
      </c>
      <c r="C2" t="s">
        <v>363</v>
      </c>
      <c r="D2" t="s">
        <v>28</v>
      </c>
      <c r="E2" t="s">
        <v>84</v>
      </c>
      <c r="F2" s="267" t="s">
        <v>364</v>
      </c>
      <c r="G2" s="267" t="s">
        <v>426</v>
      </c>
    </row>
    <row r="3" spans="1:7">
      <c r="A3">
        <v>102</v>
      </c>
      <c r="B3">
        <v>2020</v>
      </c>
      <c r="C3" t="s">
        <v>365</v>
      </c>
      <c r="D3" t="s">
        <v>28</v>
      </c>
      <c r="E3" t="s">
        <v>84</v>
      </c>
      <c r="F3" s="267" t="s">
        <v>366</v>
      </c>
      <c r="G3" s="267" t="s">
        <v>427</v>
      </c>
    </row>
    <row r="4" spans="1:7">
      <c r="A4">
        <v>103</v>
      </c>
      <c r="B4">
        <v>2020</v>
      </c>
      <c r="C4" t="s">
        <v>367</v>
      </c>
      <c r="D4" t="s">
        <v>28</v>
      </c>
      <c r="E4" t="s">
        <v>84</v>
      </c>
      <c r="F4" s="267" t="s">
        <v>368</v>
      </c>
      <c r="G4" s="267" t="s">
        <v>428</v>
      </c>
    </row>
    <row r="5" spans="1:7">
      <c r="A5">
        <v>151</v>
      </c>
      <c r="B5">
        <v>2020</v>
      </c>
      <c r="C5" t="s">
        <v>94</v>
      </c>
      <c r="D5" t="s">
        <v>28</v>
      </c>
      <c r="E5" t="s">
        <v>84</v>
      </c>
      <c r="F5" s="267" t="s">
        <v>369</v>
      </c>
      <c r="G5" s="267" t="s">
        <v>429</v>
      </c>
    </row>
    <row r="6" spans="1:7">
      <c r="A6">
        <v>153</v>
      </c>
      <c r="B6">
        <v>2020</v>
      </c>
      <c r="C6" t="s">
        <v>96</v>
      </c>
      <c r="D6" t="s">
        <v>28</v>
      </c>
      <c r="E6" t="s">
        <v>84</v>
      </c>
      <c r="F6" s="267" t="s">
        <v>370</v>
      </c>
      <c r="G6" s="267" t="s">
        <v>430</v>
      </c>
    </row>
    <row r="7" spans="1:7">
      <c r="A7">
        <v>154</v>
      </c>
      <c r="B7">
        <v>2020</v>
      </c>
      <c r="C7" t="s">
        <v>97</v>
      </c>
      <c r="D7" t="s">
        <v>28</v>
      </c>
      <c r="E7" t="s">
        <v>84</v>
      </c>
      <c r="F7" s="267" t="s">
        <v>371</v>
      </c>
      <c r="G7" s="267" t="s">
        <v>431</v>
      </c>
    </row>
    <row r="8" spans="1:7">
      <c r="A8">
        <v>155</v>
      </c>
      <c r="B8">
        <v>2020</v>
      </c>
      <c r="C8" t="s">
        <v>98</v>
      </c>
      <c r="D8" t="s">
        <v>28</v>
      </c>
      <c r="E8" t="s">
        <v>84</v>
      </c>
      <c r="F8" s="267" t="s">
        <v>372</v>
      </c>
      <c r="G8" s="267" t="s">
        <v>432</v>
      </c>
    </row>
    <row r="9" spans="1:7">
      <c r="A9">
        <v>157</v>
      </c>
      <c r="B9">
        <v>2020</v>
      </c>
      <c r="C9" t="s">
        <v>99</v>
      </c>
      <c r="D9" t="s">
        <v>28</v>
      </c>
      <c r="E9" t="s">
        <v>84</v>
      </c>
      <c r="F9" s="267" t="s">
        <v>373</v>
      </c>
      <c r="G9" s="267" t="s">
        <v>433</v>
      </c>
    </row>
    <row r="10" spans="1:7">
      <c r="A10">
        <v>158</v>
      </c>
      <c r="B10">
        <v>2020</v>
      </c>
      <c r="C10" t="s">
        <v>100</v>
      </c>
      <c r="D10" t="s">
        <v>28</v>
      </c>
      <c r="E10" t="s">
        <v>84</v>
      </c>
      <c r="F10" s="267" t="s">
        <v>374</v>
      </c>
      <c r="G10" s="267" t="s">
        <v>434</v>
      </c>
    </row>
    <row r="11" spans="1:7">
      <c r="A11">
        <v>159</v>
      </c>
      <c r="B11">
        <v>2020</v>
      </c>
      <c r="C11" t="s">
        <v>95</v>
      </c>
      <c r="D11" t="s">
        <v>28</v>
      </c>
      <c r="E11" t="s">
        <v>84</v>
      </c>
      <c r="F11" s="267" t="s">
        <v>375</v>
      </c>
      <c r="G11" s="267" t="s">
        <v>435</v>
      </c>
    </row>
    <row r="12" spans="1:7">
      <c r="A12">
        <v>1</v>
      </c>
      <c r="B12">
        <v>2020</v>
      </c>
      <c r="C12" t="s">
        <v>154</v>
      </c>
      <c r="D12" t="s">
        <v>28</v>
      </c>
      <c r="E12" t="s">
        <v>84</v>
      </c>
      <c r="F12" s="267" t="s">
        <v>376</v>
      </c>
      <c r="G12" s="267" t="s">
        <v>436</v>
      </c>
    </row>
    <row r="13" spans="1:7">
      <c r="A13">
        <v>241</v>
      </c>
      <c r="B13">
        <v>2020</v>
      </c>
      <c r="C13" t="s">
        <v>377</v>
      </c>
      <c r="D13" t="s">
        <v>28</v>
      </c>
      <c r="E13" t="s">
        <v>84</v>
      </c>
      <c r="F13" s="267" t="s">
        <v>378</v>
      </c>
      <c r="G13" s="267" t="s">
        <v>437</v>
      </c>
    </row>
    <row r="14" spans="1:7">
      <c r="A14">
        <v>241001</v>
      </c>
      <c r="B14">
        <v>2020</v>
      </c>
      <c r="C14" t="s">
        <v>379</v>
      </c>
      <c r="D14" t="s">
        <v>28</v>
      </c>
      <c r="E14" t="s">
        <v>84</v>
      </c>
      <c r="F14" s="267" t="s">
        <v>380</v>
      </c>
      <c r="G14" s="267" t="s">
        <v>438</v>
      </c>
    </row>
    <row r="15" spans="1:7">
      <c r="A15">
        <v>241999</v>
      </c>
      <c r="B15">
        <v>2020</v>
      </c>
      <c r="C15" t="s">
        <v>381</v>
      </c>
      <c r="D15" t="s">
        <v>28</v>
      </c>
      <c r="E15" t="s">
        <v>84</v>
      </c>
      <c r="F15" s="267" t="s">
        <v>382</v>
      </c>
      <c r="G15" s="267" t="s">
        <v>439</v>
      </c>
    </row>
    <row r="16" spans="1:7">
      <c r="A16">
        <v>251</v>
      </c>
      <c r="B16">
        <v>2020</v>
      </c>
      <c r="C16" t="s">
        <v>101</v>
      </c>
      <c r="D16" t="s">
        <v>28</v>
      </c>
      <c r="E16" t="s">
        <v>84</v>
      </c>
      <c r="F16" s="267" t="s">
        <v>383</v>
      </c>
      <c r="G16" s="267" t="s">
        <v>440</v>
      </c>
    </row>
    <row r="17" spans="1:7">
      <c r="A17">
        <v>252</v>
      </c>
      <c r="B17">
        <v>2020</v>
      </c>
      <c r="C17" t="s">
        <v>102</v>
      </c>
      <c r="D17" t="s">
        <v>28</v>
      </c>
      <c r="E17" t="s">
        <v>84</v>
      </c>
      <c r="F17" s="267" t="s">
        <v>384</v>
      </c>
      <c r="G17" s="267" t="s">
        <v>441</v>
      </c>
    </row>
    <row r="18" spans="1:7">
      <c r="A18">
        <v>254</v>
      </c>
      <c r="B18">
        <v>2020</v>
      </c>
      <c r="C18" t="s">
        <v>103</v>
      </c>
      <c r="D18" t="s">
        <v>28</v>
      </c>
      <c r="E18" t="s">
        <v>84</v>
      </c>
      <c r="F18" s="267" t="s">
        <v>385</v>
      </c>
      <c r="G18" s="267" t="s">
        <v>442</v>
      </c>
    </row>
    <row r="19" spans="1:7">
      <c r="A19">
        <v>255</v>
      </c>
      <c r="B19">
        <v>2020</v>
      </c>
      <c r="C19" t="s">
        <v>104</v>
      </c>
      <c r="D19" t="s">
        <v>28</v>
      </c>
      <c r="E19" t="s">
        <v>84</v>
      </c>
      <c r="F19" s="267" t="s">
        <v>386</v>
      </c>
      <c r="G19" s="267" t="s">
        <v>443</v>
      </c>
    </row>
    <row r="20" spans="1:7">
      <c r="A20">
        <v>256</v>
      </c>
      <c r="B20">
        <v>2020</v>
      </c>
      <c r="C20" t="s">
        <v>105</v>
      </c>
      <c r="D20" t="s">
        <v>28</v>
      </c>
      <c r="E20" t="s">
        <v>84</v>
      </c>
      <c r="F20" s="267" t="s">
        <v>387</v>
      </c>
      <c r="G20" s="267" t="s">
        <v>444</v>
      </c>
    </row>
    <row r="21" spans="1:7">
      <c r="A21">
        <v>257</v>
      </c>
      <c r="B21">
        <v>2020</v>
      </c>
      <c r="C21" t="s">
        <v>106</v>
      </c>
      <c r="D21" t="s">
        <v>28</v>
      </c>
      <c r="E21" t="s">
        <v>84</v>
      </c>
      <c r="F21" s="267" t="s">
        <v>388</v>
      </c>
      <c r="G21" s="267" t="s">
        <v>445</v>
      </c>
    </row>
    <row r="22" spans="1:7">
      <c r="A22">
        <v>2</v>
      </c>
      <c r="B22">
        <v>2020</v>
      </c>
      <c r="C22" t="s">
        <v>155</v>
      </c>
      <c r="D22" t="s">
        <v>28</v>
      </c>
      <c r="E22" t="s">
        <v>84</v>
      </c>
      <c r="F22" s="267" t="s">
        <v>389</v>
      </c>
      <c r="G22" s="267" t="s">
        <v>446</v>
      </c>
    </row>
    <row r="23" spans="1:7">
      <c r="A23">
        <v>351</v>
      </c>
      <c r="B23">
        <v>2020</v>
      </c>
      <c r="C23" t="s">
        <v>107</v>
      </c>
      <c r="D23" t="s">
        <v>28</v>
      </c>
      <c r="E23" t="s">
        <v>84</v>
      </c>
      <c r="F23" s="267" t="s">
        <v>390</v>
      </c>
      <c r="G23" s="267" t="s">
        <v>447</v>
      </c>
    </row>
    <row r="24" spans="1:7">
      <c r="A24">
        <v>352</v>
      </c>
      <c r="B24">
        <v>2020</v>
      </c>
      <c r="C24" t="s">
        <v>108</v>
      </c>
      <c r="D24" t="s">
        <v>28</v>
      </c>
      <c r="E24" t="s">
        <v>84</v>
      </c>
      <c r="F24" s="267" t="s">
        <v>391</v>
      </c>
      <c r="G24" s="267" t="s">
        <v>448</v>
      </c>
    </row>
    <row r="25" spans="1:7">
      <c r="A25">
        <v>353</v>
      </c>
      <c r="B25">
        <v>2020</v>
      </c>
      <c r="C25" t="s">
        <v>109</v>
      </c>
      <c r="D25" t="s">
        <v>28</v>
      </c>
      <c r="E25" t="s">
        <v>84</v>
      </c>
      <c r="F25" s="267" t="s">
        <v>392</v>
      </c>
      <c r="G25" s="267" t="s">
        <v>449</v>
      </c>
    </row>
    <row r="26" spans="1:7">
      <c r="A26">
        <v>354</v>
      </c>
      <c r="B26">
        <v>2020</v>
      </c>
      <c r="C26" t="s">
        <v>110</v>
      </c>
      <c r="D26" t="s">
        <v>28</v>
      </c>
      <c r="E26" t="s">
        <v>84</v>
      </c>
      <c r="F26" s="267" t="s">
        <v>393</v>
      </c>
      <c r="G26" s="267" t="s">
        <v>450</v>
      </c>
    </row>
    <row r="27" spans="1:7">
      <c r="A27">
        <v>355</v>
      </c>
      <c r="B27">
        <v>2020</v>
      </c>
      <c r="C27" t="s">
        <v>111</v>
      </c>
      <c r="D27" t="s">
        <v>28</v>
      </c>
      <c r="E27" t="s">
        <v>84</v>
      </c>
      <c r="F27" s="267" t="s">
        <v>394</v>
      </c>
      <c r="G27" s="267" t="s">
        <v>451</v>
      </c>
    </row>
    <row r="28" spans="1:7">
      <c r="A28">
        <v>356</v>
      </c>
      <c r="B28">
        <v>2020</v>
      </c>
      <c r="C28" t="s">
        <v>112</v>
      </c>
      <c r="D28" t="s">
        <v>28</v>
      </c>
      <c r="E28" t="s">
        <v>84</v>
      </c>
      <c r="F28" s="267" t="s">
        <v>395</v>
      </c>
      <c r="G28" s="267" t="s">
        <v>452</v>
      </c>
    </row>
    <row r="29" spans="1:7">
      <c r="A29">
        <v>357</v>
      </c>
      <c r="B29">
        <v>2020</v>
      </c>
      <c r="C29" t="s">
        <v>113</v>
      </c>
      <c r="D29" t="s">
        <v>28</v>
      </c>
      <c r="E29" t="s">
        <v>84</v>
      </c>
      <c r="F29" s="267" t="s">
        <v>396</v>
      </c>
      <c r="G29" s="267" t="s">
        <v>453</v>
      </c>
    </row>
    <row r="30" spans="1:7">
      <c r="A30">
        <v>358</v>
      </c>
      <c r="B30">
        <v>2020</v>
      </c>
      <c r="C30" t="s">
        <v>114</v>
      </c>
      <c r="D30" t="s">
        <v>28</v>
      </c>
      <c r="E30" t="s">
        <v>84</v>
      </c>
      <c r="F30" s="267" t="s">
        <v>397</v>
      </c>
      <c r="G30" s="267" t="s">
        <v>454</v>
      </c>
    </row>
    <row r="31" spans="1:7">
      <c r="A31">
        <v>359</v>
      </c>
      <c r="B31">
        <v>2020</v>
      </c>
      <c r="C31" t="s">
        <v>115</v>
      </c>
      <c r="D31" t="s">
        <v>28</v>
      </c>
      <c r="E31" t="s">
        <v>84</v>
      </c>
      <c r="F31" s="267" t="s">
        <v>398</v>
      </c>
      <c r="G31" s="267" t="s">
        <v>455</v>
      </c>
    </row>
    <row r="32" spans="1:7">
      <c r="A32">
        <v>360</v>
      </c>
      <c r="B32">
        <v>2020</v>
      </c>
      <c r="C32" t="s">
        <v>116</v>
      </c>
      <c r="D32" t="s">
        <v>28</v>
      </c>
      <c r="E32" t="s">
        <v>84</v>
      </c>
      <c r="F32" s="267" t="s">
        <v>399</v>
      </c>
      <c r="G32" s="267" t="s">
        <v>456</v>
      </c>
    </row>
    <row r="33" spans="1:7">
      <c r="A33">
        <v>361</v>
      </c>
      <c r="B33">
        <v>2020</v>
      </c>
      <c r="C33" t="s">
        <v>117</v>
      </c>
      <c r="D33" t="s">
        <v>28</v>
      </c>
      <c r="E33" t="s">
        <v>84</v>
      </c>
      <c r="F33" s="267" t="s">
        <v>400</v>
      </c>
      <c r="G33" s="267" t="s">
        <v>457</v>
      </c>
    </row>
    <row r="34" spans="1:7">
      <c r="A34">
        <v>3</v>
      </c>
      <c r="B34">
        <v>2020</v>
      </c>
      <c r="C34" t="s">
        <v>156</v>
      </c>
      <c r="D34" t="s">
        <v>28</v>
      </c>
      <c r="E34" t="s">
        <v>84</v>
      </c>
      <c r="F34" s="267" t="s">
        <v>401</v>
      </c>
      <c r="G34" s="267" t="s">
        <v>458</v>
      </c>
    </row>
    <row r="35" spans="1:7">
      <c r="A35">
        <v>401</v>
      </c>
      <c r="B35">
        <v>2020</v>
      </c>
      <c r="C35" t="s">
        <v>402</v>
      </c>
      <c r="D35" t="s">
        <v>28</v>
      </c>
      <c r="E35" t="s">
        <v>84</v>
      </c>
      <c r="F35" s="267" t="s">
        <v>403</v>
      </c>
      <c r="G35" s="267" t="s">
        <v>459</v>
      </c>
    </row>
    <row r="36" spans="1:7">
      <c r="A36">
        <v>402</v>
      </c>
      <c r="B36">
        <v>2020</v>
      </c>
      <c r="C36" t="s">
        <v>404</v>
      </c>
      <c r="D36" t="s">
        <v>28</v>
      </c>
      <c r="E36" t="s">
        <v>84</v>
      </c>
      <c r="F36" s="267" t="s">
        <v>405</v>
      </c>
      <c r="G36" s="267" t="s">
        <v>460</v>
      </c>
    </row>
    <row r="37" spans="1:7">
      <c r="A37">
        <v>403</v>
      </c>
      <c r="B37">
        <v>2020</v>
      </c>
      <c r="C37" t="s">
        <v>406</v>
      </c>
      <c r="D37" t="s">
        <v>28</v>
      </c>
      <c r="E37" t="s">
        <v>84</v>
      </c>
      <c r="F37" s="267" t="s">
        <v>407</v>
      </c>
      <c r="G37" s="267" t="s">
        <v>461</v>
      </c>
    </row>
    <row r="38" spans="1:7">
      <c r="A38">
        <v>404</v>
      </c>
      <c r="B38">
        <v>2020</v>
      </c>
      <c r="C38" t="s">
        <v>408</v>
      </c>
      <c r="D38" t="s">
        <v>28</v>
      </c>
      <c r="E38" t="s">
        <v>84</v>
      </c>
      <c r="F38" s="267" t="s">
        <v>409</v>
      </c>
      <c r="G38" s="267" t="s">
        <v>462</v>
      </c>
    </row>
    <row r="39" spans="1:7">
      <c r="A39">
        <v>405</v>
      </c>
      <c r="B39">
        <v>2020</v>
      </c>
      <c r="C39" t="s">
        <v>410</v>
      </c>
      <c r="D39" t="s">
        <v>28</v>
      </c>
      <c r="E39" t="s">
        <v>84</v>
      </c>
      <c r="F39" s="267" t="s">
        <v>411</v>
      </c>
      <c r="G39" s="267" t="s">
        <v>463</v>
      </c>
    </row>
    <row r="40" spans="1:7">
      <c r="A40">
        <v>451</v>
      </c>
      <c r="B40">
        <v>2020</v>
      </c>
      <c r="C40" t="s">
        <v>118</v>
      </c>
      <c r="D40" t="s">
        <v>28</v>
      </c>
      <c r="E40" t="s">
        <v>84</v>
      </c>
      <c r="F40" s="267" t="s">
        <v>412</v>
      </c>
      <c r="G40" s="267" t="s">
        <v>464</v>
      </c>
    </row>
    <row r="41" spans="1:7">
      <c r="A41">
        <v>452</v>
      </c>
      <c r="B41">
        <v>2020</v>
      </c>
      <c r="C41" t="s">
        <v>119</v>
      </c>
      <c r="D41" t="s">
        <v>28</v>
      </c>
      <c r="E41" t="s">
        <v>84</v>
      </c>
      <c r="F41" s="267" t="s">
        <v>413</v>
      </c>
      <c r="G41" s="267" t="s">
        <v>465</v>
      </c>
    </row>
    <row r="42" spans="1:7">
      <c r="A42">
        <v>453</v>
      </c>
      <c r="B42">
        <v>2020</v>
      </c>
      <c r="C42" t="s">
        <v>120</v>
      </c>
      <c r="D42" t="s">
        <v>28</v>
      </c>
      <c r="E42" t="s">
        <v>84</v>
      </c>
      <c r="F42" s="267" t="s">
        <v>414</v>
      </c>
      <c r="G42" s="267" t="s">
        <v>466</v>
      </c>
    </row>
    <row r="43" spans="1:7">
      <c r="A43">
        <v>454</v>
      </c>
      <c r="B43">
        <v>2020</v>
      </c>
      <c r="C43" t="s">
        <v>121</v>
      </c>
      <c r="D43" t="s">
        <v>28</v>
      </c>
      <c r="E43" t="s">
        <v>84</v>
      </c>
      <c r="F43" s="267" t="s">
        <v>415</v>
      </c>
      <c r="G43" s="267" t="s">
        <v>467</v>
      </c>
    </row>
    <row r="44" spans="1:7">
      <c r="A44">
        <v>455</v>
      </c>
      <c r="B44">
        <v>2020</v>
      </c>
      <c r="C44" t="s">
        <v>122</v>
      </c>
      <c r="D44" t="s">
        <v>28</v>
      </c>
      <c r="E44" t="s">
        <v>84</v>
      </c>
      <c r="F44" s="267" t="s">
        <v>416</v>
      </c>
      <c r="G44" s="267" t="s">
        <v>468</v>
      </c>
    </row>
    <row r="45" spans="1:7">
      <c r="A45">
        <v>456</v>
      </c>
      <c r="B45">
        <v>2020</v>
      </c>
      <c r="C45" t="s">
        <v>123</v>
      </c>
      <c r="D45" t="s">
        <v>28</v>
      </c>
      <c r="E45" t="s">
        <v>84</v>
      </c>
      <c r="F45" s="267" t="s">
        <v>417</v>
      </c>
      <c r="G45" s="267" t="s">
        <v>469</v>
      </c>
    </row>
    <row r="46" spans="1:7">
      <c r="A46">
        <v>457</v>
      </c>
      <c r="B46">
        <v>2020</v>
      </c>
      <c r="C46" t="s">
        <v>124</v>
      </c>
      <c r="D46" t="s">
        <v>28</v>
      </c>
      <c r="E46" t="s">
        <v>84</v>
      </c>
      <c r="F46" s="267" t="s">
        <v>418</v>
      </c>
      <c r="G46" s="267" t="s">
        <v>470</v>
      </c>
    </row>
    <row r="47" spans="1:7">
      <c r="A47">
        <v>458</v>
      </c>
      <c r="B47">
        <v>2020</v>
      </c>
      <c r="C47" t="s">
        <v>125</v>
      </c>
      <c r="D47" t="s">
        <v>28</v>
      </c>
      <c r="E47" t="s">
        <v>84</v>
      </c>
      <c r="F47" s="267" t="s">
        <v>419</v>
      </c>
      <c r="G47" s="267" t="s">
        <v>471</v>
      </c>
    </row>
    <row r="48" spans="1:7">
      <c r="A48">
        <v>459</v>
      </c>
      <c r="B48">
        <v>2020</v>
      </c>
      <c r="C48" t="s">
        <v>126</v>
      </c>
      <c r="D48" t="s">
        <v>28</v>
      </c>
      <c r="E48" t="s">
        <v>84</v>
      </c>
      <c r="F48" s="267" t="s">
        <v>420</v>
      </c>
      <c r="G48" s="267" t="s">
        <v>472</v>
      </c>
    </row>
    <row r="49" spans="1:7">
      <c r="A49">
        <v>460</v>
      </c>
      <c r="B49">
        <v>2020</v>
      </c>
      <c r="C49" t="s">
        <v>127</v>
      </c>
      <c r="D49" t="s">
        <v>28</v>
      </c>
      <c r="E49" t="s">
        <v>84</v>
      </c>
      <c r="F49" s="267" t="s">
        <v>421</v>
      </c>
      <c r="G49" s="267" t="s">
        <v>473</v>
      </c>
    </row>
    <row r="50" spans="1:7">
      <c r="A50">
        <v>461</v>
      </c>
      <c r="B50">
        <v>2020</v>
      </c>
      <c r="C50" t="s">
        <v>128</v>
      </c>
      <c r="D50" t="s">
        <v>28</v>
      </c>
      <c r="E50" t="s">
        <v>84</v>
      </c>
      <c r="F50" s="267" t="s">
        <v>422</v>
      </c>
      <c r="G50" s="267" t="s">
        <v>474</v>
      </c>
    </row>
    <row r="51" spans="1:7">
      <c r="A51">
        <v>462</v>
      </c>
      <c r="B51">
        <v>2020</v>
      </c>
      <c r="C51" t="s">
        <v>129</v>
      </c>
      <c r="D51" t="s">
        <v>28</v>
      </c>
      <c r="E51" t="s">
        <v>84</v>
      </c>
      <c r="F51" s="267" t="s">
        <v>423</v>
      </c>
      <c r="G51" s="267" t="s">
        <v>475</v>
      </c>
    </row>
    <row r="52" spans="1:7">
      <c r="A52">
        <v>4</v>
      </c>
      <c r="B52">
        <v>2020</v>
      </c>
      <c r="C52" t="s">
        <v>157</v>
      </c>
      <c r="D52" t="s">
        <v>28</v>
      </c>
      <c r="E52" t="s">
        <v>84</v>
      </c>
      <c r="F52" s="267" t="s">
        <v>424</v>
      </c>
      <c r="G52" s="267" t="s">
        <v>476</v>
      </c>
    </row>
    <row r="53" spans="1:7">
      <c r="A53">
        <v>0</v>
      </c>
      <c r="B53">
        <v>2020</v>
      </c>
      <c r="C53" t="s">
        <v>130</v>
      </c>
      <c r="D53" t="s">
        <v>28</v>
      </c>
      <c r="E53" t="s">
        <v>84</v>
      </c>
      <c r="F53" s="267" t="s">
        <v>425</v>
      </c>
      <c r="G53" s="267" t="s">
        <v>477</v>
      </c>
    </row>
    <row r="54" spans="1:7">
      <c r="A54">
        <v>101</v>
      </c>
      <c r="B54">
        <v>2020</v>
      </c>
      <c r="C54" t="s">
        <v>363</v>
      </c>
      <c r="D54" t="s">
        <v>89</v>
      </c>
      <c r="E54" t="s">
        <v>84</v>
      </c>
      <c r="F54" s="267" t="s">
        <v>364</v>
      </c>
      <c r="G54" s="267" t="s">
        <v>478</v>
      </c>
    </row>
    <row r="55" spans="1:7">
      <c r="A55">
        <v>102</v>
      </c>
      <c r="B55">
        <v>2020</v>
      </c>
      <c r="C55" t="s">
        <v>365</v>
      </c>
      <c r="D55" t="s">
        <v>89</v>
      </c>
      <c r="E55" t="s">
        <v>84</v>
      </c>
      <c r="F55" s="267" t="s">
        <v>366</v>
      </c>
      <c r="G55" s="267" t="s">
        <v>479</v>
      </c>
    </row>
    <row r="56" spans="1:7">
      <c r="A56">
        <v>103</v>
      </c>
      <c r="B56">
        <v>2020</v>
      </c>
      <c r="C56" t="s">
        <v>367</v>
      </c>
      <c r="D56" t="s">
        <v>89</v>
      </c>
      <c r="E56" t="s">
        <v>84</v>
      </c>
      <c r="F56" s="267" t="s">
        <v>368</v>
      </c>
      <c r="G56" s="267" t="s">
        <v>480</v>
      </c>
    </row>
    <row r="57" spans="1:7">
      <c r="A57">
        <v>151</v>
      </c>
      <c r="B57">
        <v>2020</v>
      </c>
      <c r="C57" t="s">
        <v>94</v>
      </c>
      <c r="D57" t="s">
        <v>89</v>
      </c>
      <c r="E57" t="s">
        <v>84</v>
      </c>
      <c r="F57" s="267" t="s">
        <v>369</v>
      </c>
      <c r="G57" s="267" t="s">
        <v>481</v>
      </c>
    </row>
    <row r="58" spans="1:7">
      <c r="A58">
        <v>153</v>
      </c>
      <c r="B58">
        <v>2020</v>
      </c>
      <c r="C58" t="s">
        <v>96</v>
      </c>
      <c r="D58" t="s">
        <v>89</v>
      </c>
      <c r="E58" t="s">
        <v>84</v>
      </c>
      <c r="F58" s="267" t="s">
        <v>370</v>
      </c>
      <c r="G58" s="267" t="s">
        <v>482</v>
      </c>
    </row>
    <row r="59" spans="1:7">
      <c r="A59">
        <v>154</v>
      </c>
      <c r="B59">
        <v>2020</v>
      </c>
      <c r="C59" t="s">
        <v>97</v>
      </c>
      <c r="D59" t="s">
        <v>89</v>
      </c>
      <c r="E59" t="s">
        <v>84</v>
      </c>
      <c r="F59" s="267" t="s">
        <v>371</v>
      </c>
      <c r="G59" s="267" t="s">
        <v>483</v>
      </c>
    </row>
    <row r="60" spans="1:7">
      <c r="A60">
        <v>155</v>
      </c>
      <c r="B60">
        <v>2020</v>
      </c>
      <c r="C60" t="s">
        <v>98</v>
      </c>
      <c r="D60" t="s">
        <v>89</v>
      </c>
      <c r="E60" t="s">
        <v>84</v>
      </c>
      <c r="F60" s="267" t="s">
        <v>372</v>
      </c>
      <c r="G60" s="267" t="s">
        <v>484</v>
      </c>
    </row>
    <row r="61" spans="1:7">
      <c r="A61">
        <v>157</v>
      </c>
      <c r="B61">
        <v>2020</v>
      </c>
      <c r="C61" t="s">
        <v>99</v>
      </c>
      <c r="D61" t="s">
        <v>89</v>
      </c>
      <c r="E61" t="s">
        <v>84</v>
      </c>
      <c r="F61" s="267" t="s">
        <v>373</v>
      </c>
      <c r="G61" s="267" t="s">
        <v>485</v>
      </c>
    </row>
    <row r="62" spans="1:7">
      <c r="A62">
        <v>158</v>
      </c>
      <c r="B62">
        <v>2020</v>
      </c>
      <c r="C62" t="s">
        <v>100</v>
      </c>
      <c r="D62" t="s">
        <v>89</v>
      </c>
      <c r="E62" t="s">
        <v>84</v>
      </c>
      <c r="F62" s="267" t="s">
        <v>374</v>
      </c>
      <c r="G62" s="267" t="s">
        <v>486</v>
      </c>
    </row>
    <row r="63" spans="1:7">
      <c r="A63">
        <v>159</v>
      </c>
      <c r="B63">
        <v>2020</v>
      </c>
      <c r="C63" t="s">
        <v>95</v>
      </c>
      <c r="D63" t="s">
        <v>89</v>
      </c>
      <c r="E63" t="s">
        <v>84</v>
      </c>
      <c r="F63" s="267" t="s">
        <v>375</v>
      </c>
      <c r="G63" s="267" t="s">
        <v>487</v>
      </c>
    </row>
    <row r="64" spans="1:7">
      <c r="A64">
        <v>1</v>
      </c>
      <c r="B64">
        <v>2020</v>
      </c>
      <c r="C64" t="s">
        <v>154</v>
      </c>
      <c r="D64" t="s">
        <v>89</v>
      </c>
      <c r="E64" t="s">
        <v>84</v>
      </c>
      <c r="F64" s="267" t="s">
        <v>376</v>
      </c>
      <c r="G64" s="267" t="s">
        <v>488</v>
      </c>
    </row>
    <row r="65" spans="1:7">
      <c r="A65">
        <v>241</v>
      </c>
      <c r="B65">
        <v>2020</v>
      </c>
      <c r="C65" t="s">
        <v>377</v>
      </c>
      <c r="D65" t="s">
        <v>89</v>
      </c>
      <c r="E65" t="s">
        <v>84</v>
      </c>
      <c r="F65" s="267" t="s">
        <v>378</v>
      </c>
      <c r="G65" s="267" t="s">
        <v>489</v>
      </c>
    </row>
    <row r="66" spans="1:7">
      <c r="A66">
        <v>241001</v>
      </c>
      <c r="B66">
        <v>2020</v>
      </c>
      <c r="C66" t="s">
        <v>379</v>
      </c>
      <c r="D66" t="s">
        <v>89</v>
      </c>
      <c r="E66" t="s">
        <v>84</v>
      </c>
      <c r="F66" s="267" t="s">
        <v>380</v>
      </c>
      <c r="G66" s="267" t="s">
        <v>490</v>
      </c>
    </row>
    <row r="67" spans="1:7">
      <c r="A67">
        <v>241999</v>
      </c>
      <c r="B67">
        <v>2020</v>
      </c>
      <c r="C67" t="s">
        <v>381</v>
      </c>
      <c r="D67" t="s">
        <v>89</v>
      </c>
      <c r="E67" t="s">
        <v>84</v>
      </c>
      <c r="F67" s="267" t="s">
        <v>382</v>
      </c>
      <c r="G67" s="267" t="s">
        <v>491</v>
      </c>
    </row>
    <row r="68" spans="1:7">
      <c r="A68">
        <v>251</v>
      </c>
      <c r="B68">
        <v>2020</v>
      </c>
      <c r="C68" t="s">
        <v>101</v>
      </c>
      <c r="D68" t="s">
        <v>89</v>
      </c>
      <c r="E68" t="s">
        <v>84</v>
      </c>
      <c r="F68" s="267" t="s">
        <v>383</v>
      </c>
      <c r="G68" s="267" t="s">
        <v>492</v>
      </c>
    </row>
    <row r="69" spans="1:7">
      <c r="A69">
        <v>252</v>
      </c>
      <c r="B69">
        <v>2020</v>
      </c>
      <c r="C69" t="s">
        <v>102</v>
      </c>
      <c r="D69" t="s">
        <v>89</v>
      </c>
      <c r="E69" t="s">
        <v>84</v>
      </c>
      <c r="F69" s="267" t="s">
        <v>384</v>
      </c>
      <c r="G69" s="267" t="s">
        <v>493</v>
      </c>
    </row>
    <row r="70" spans="1:7">
      <c r="A70">
        <v>254</v>
      </c>
      <c r="B70">
        <v>2020</v>
      </c>
      <c r="C70" t="s">
        <v>103</v>
      </c>
      <c r="D70" t="s">
        <v>89</v>
      </c>
      <c r="E70" t="s">
        <v>84</v>
      </c>
      <c r="F70" s="267" t="s">
        <v>385</v>
      </c>
      <c r="G70" s="267" t="s">
        <v>494</v>
      </c>
    </row>
    <row r="71" spans="1:7">
      <c r="A71">
        <v>255</v>
      </c>
      <c r="B71">
        <v>2020</v>
      </c>
      <c r="C71" t="s">
        <v>104</v>
      </c>
      <c r="D71" t="s">
        <v>89</v>
      </c>
      <c r="E71" t="s">
        <v>84</v>
      </c>
      <c r="F71" s="267" t="s">
        <v>386</v>
      </c>
      <c r="G71" s="267" t="s">
        <v>495</v>
      </c>
    </row>
    <row r="72" spans="1:7">
      <c r="A72">
        <v>256</v>
      </c>
      <c r="B72">
        <v>2020</v>
      </c>
      <c r="C72" t="s">
        <v>105</v>
      </c>
      <c r="D72" t="s">
        <v>89</v>
      </c>
      <c r="E72" t="s">
        <v>84</v>
      </c>
      <c r="F72" s="267" t="s">
        <v>387</v>
      </c>
      <c r="G72" s="267" t="s">
        <v>496</v>
      </c>
    </row>
    <row r="73" spans="1:7">
      <c r="A73">
        <v>257</v>
      </c>
      <c r="B73">
        <v>2020</v>
      </c>
      <c r="C73" t="s">
        <v>106</v>
      </c>
      <c r="D73" t="s">
        <v>89</v>
      </c>
      <c r="E73" t="s">
        <v>84</v>
      </c>
      <c r="F73" s="267" t="s">
        <v>388</v>
      </c>
      <c r="G73" s="267" t="s">
        <v>497</v>
      </c>
    </row>
    <row r="74" spans="1:7">
      <c r="A74">
        <v>2</v>
      </c>
      <c r="B74">
        <v>2020</v>
      </c>
      <c r="C74" t="s">
        <v>155</v>
      </c>
      <c r="D74" t="s">
        <v>89</v>
      </c>
      <c r="E74" t="s">
        <v>84</v>
      </c>
      <c r="F74" s="267" t="s">
        <v>389</v>
      </c>
      <c r="G74" s="267" t="s">
        <v>498</v>
      </c>
    </row>
    <row r="75" spans="1:7">
      <c r="A75">
        <v>351</v>
      </c>
      <c r="B75">
        <v>2020</v>
      </c>
      <c r="C75" t="s">
        <v>107</v>
      </c>
      <c r="D75" t="s">
        <v>89</v>
      </c>
      <c r="E75" t="s">
        <v>84</v>
      </c>
      <c r="F75" s="267" t="s">
        <v>390</v>
      </c>
      <c r="G75" s="267" t="s">
        <v>499</v>
      </c>
    </row>
    <row r="76" spans="1:7">
      <c r="A76">
        <v>352</v>
      </c>
      <c r="B76">
        <v>2020</v>
      </c>
      <c r="C76" t="s">
        <v>108</v>
      </c>
      <c r="D76" t="s">
        <v>89</v>
      </c>
      <c r="E76" t="s">
        <v>84</v>
      </c>
      <c r="F76" s="267" t="s">
        <v>391</v>
      </c>
      <c r="G76" s="267" t="s">
        <v>500</v>
      </c>
    </row>
    <row r="77" spans="1:7">
      <c r="A77">
        <v>353</v>
      </c>
      <c r="B77">
        <v>2020</v>
      </c>
      <c r="C77" t="s">
        <v>109</v>
      </c>
      <c r="D77" t="s">
        <v>89</v>
      </c>
      <c r="E77" t="s">
        <v>84</v>
      </c>
      <c r="F77" s="267" t="s">
        <v>392</v>
      </c>
      <c r="G77" s="267" t="s">
        <v>501</v>
      </c>
    </row>
    <row r="78" spans="1:7">
      <c r="A78">
        <v>354</v>
      </c>
      <c r="B78">
        <v>2020</v>
      </c>
      <c r="C78" t="s">
        <v>110</v>
      </c>
      <c r="D78" t="s">
        <v>89</v>
      </c>
      <c r="E78" t="s">
        <v>84</v>
      </c>
      <c r="F78" s="267" t="s">
        <v>393</v>
      </c>
      <c r="G78" s="267" t="s">
        <v>502</v>
      </c>
    </row>
    <row r="79" spans="1:7">
      <c r="A79">
        <v>355</v>
      </c>
      <c r="B79">
        <v>2020</v>
      </c>
      <c r="C79" t="s">
        <v>111</v>
      </c>
      <c r="D79" t="s">
        <v>89</v>
      </c>
      <c r="E79" t="s">
        <v>84</v>
      </c>
      <c r="F79" s="267" t="s">
        <v>394</v>
      </c>
      <c r="G79" s="267" t="s">
        <v>503</v>
      </c>
    </row>
    <row r="80" spans="1:7">
      <c r="A80">
        <v>356</v>
      </c>
      <c r="B80">
        <v>2020</v>
      </c>
      <c r="C80" t="s">
        <v>112</v>
      </c>
      <c r="D80" t="s">
        <v>89</v>
      </c>
      <c r="E80" t="s">
        <v>84</v>
      </c>
      <c r="F80" s="267" t="s">
        <v>395</v>
      </c>
      <c r="G80" s="267" t="s">
        <v>504</v>
      </c>
    </row>
    <row r="81" spans="1:7">
      <c r="A81">
        <v>357</v>
      </c>
      <c r="B81">
        <v>2020</v>
      </c>
      <c r="C81" t="s">
        <v>113</v>
      </c>
      <c r="D81" t="s">
        <v>89</v>
      </c>
      <c r="E81" t="s">
        <v>84</v>
      </c>
      <c r="F81" s="267" t="s">
        <v>396</v>
      </c>
      <c r="G81" s="267" t="s">
        <v>505</v>
      </c>
    </row>
    <row r="82" spans="1:7">
      <c r="A82">
        <v>358</v>
      </c>
      <c r="B82">
        <v>2020</v>
      </c>
      <c r="C82" t="s">
        <v>114</v>
      </c>
      <c r="D82" t="s">
        <v>89</v>
      </c>
      <c r="E82" t="s">
        <v>84</v>
      </c>
      <c r="F82" s="267" t="s">
        <v>397</v>
      </c>
      <c r="G82" s="267" t="s">
        <v>506</v>
      </c>
    </row>
    <row r="83" spans="1:7">
      <c r="A83">
        <v>359</v>
      </c>
      <c r="B83">
        <v>2020</v>
      </c>
      <c r="C83" t="s">
        <v>115</v>
      </c>
      <c r="D83" t="s">
        <v>89</v>
      </c>
      <c r="E83" t="s">
        <v>84</v>
      </c>
      <c r="F83" s="267" t="s">
        <v>398</v>
      </c>
      <c r="G83" s="267" t="s">
        <v>507</v>
      </c>
    </row>
    <row r="84" spans="1:7">
      <c r="A84">
        <v>360</v>
      </c>
      <c r="B84">
        <v>2020</v>
      </c>
      <c r="C84" t="s">
        <v>116</v>
      </c>
      <c r="D84" t="s">
        <v>89</v>
      </c>
      <c r="E84" t="s">
        <v>84</v>
      </c>
      <c r="F84" s="267" t="s">
        <v>399</v>
      </c>
      <c r="G84" s="267" t="s">
        <v>508</v>
      </c>
    </row>
    <row r="85" spans="1:7">
      <c r="A85">
        <v>361</v>
      </c>
      <c r="B85">
        <v>2020</v>
      </c>
      <c r="C85" t="s">
        <v>117</v>
      </c>
      <c r="D85" t="s">
        <v>89</v>
      </c>
      <c r="E85" t="s">
        <v>84</v>
      </c>
      <c r="F85" s="267" t="s">
        <v>400</v>
      </c>
      <c r="G85" s="267" t="s">
        <v>509</v>
      </c>
    </row>
    <row r="86" spans="1:7">
      <c r="A86">
        <v>3</v>
      </c>
      <c r="B86">
        <v>2020</v>
      </c>
      <c r="C86" t="s">
        <v>156</v>
      </c>
      <c r="D86" t="s">
        <v>89</v>
      </c>
      <c r="E86" t="s">
        <v>84</v>
      </c>
      <c r="F86" s="267" t="s">
        <v>401</v>
      </c>
      <c r="G86" s="267" t="s">
        <v>510</v>
      </c>
    </row>
    <row r="87" spans="1:7">
      <c r="A87">
        <v>401</v>
      </c>
      <c r="B87">
        <v>2020</v>
      </c>
      <c r="C87" t="s">
        <v>402</v>
      </c>
      <c r="D87" t="s">
        <v>89</v>
      </c>
      <c r="E87" t="s">
        <v>84</v>
      </c>
      <c r="F87" s="267" t="s">
        <v>403</v>
      </c>
      <c r="G87" s="267" t="s">
        <v>511</v>
      </c>
    </row>
    <row r="88" spans="1:7">
      <c r="A88">
        <v>402</v>
      </c>
      <c r="B88">
        <v>2020</v>
      </c>
      <c r="C88" t="s">
        <v>404</v>
      </c>
      <c r="D88" t="s">
        <v>89</v>
      </c>
      <c r="E88" t="s">
        <v>84</v>
      </c>
      <c r="F88" s="267" t="s">
        <v>405</v>
      </c>
      <c r="G88" s="267" t="s">
        <v>512</v>
      </c>
    </row>
    <row r="89" spans="1:7">
      <c r="A89">
        <v>403</v>
      </c>
      <c r="B89">
        <v>2020</v>
      </c>
      <c r="C89" t="s">
        <v>406</v>
      </c>
      <c r="D89" t="s">
        <v>89</v>
      </c>
      <c r="E89" t="s">
        <v>84</v>
      </c>
      <c r="F89" s="267" t="s">
        <v>407</v>
      </c>
      <c r="G89" s="267" t="s">
        <v>513</v>
      </c>
    </row>
    <row r="90" spans="1:7">
      <c r="A90">
        <v>404</v>
      </c>
      <c r="B90">
        <v>2020</v>
      </c>
      <c r="C90" t="s">
        <v>408</v>
      </c>
      <c r="D90" t="s">
        <v>89</v>
      </c>
      <c r="E90" t="s">
        <v>84</v>
      </c>
      <c r="F90" s="267" t="s">
        <v>409</v>
      </c>
      <c r="G90" s="267" t="s">
        <v>514</v>
      </c>
    </row>
    <row r="91" spans="1:7">
      <c r="A91">
        <v>405</v>
      </c>
      <c r="B91">
        <v>2020</v>
      </c>
      <c r="C91" t="s">
        <v>410</v>
      </c>
      <c r="D91" t="s">
        <v>89</v>
      </c>
      <c r="E91" t="s">
        <v>84</v>
      </c>
      <c r="F91" s="267" t="s">
        <v>411</v>
      </c>
      <c r="G91" s="267" t="s">
        <v>515</v>
      </c>
    </row>
    <row r="92" spans="1:7">
      <c r="A92">
        <v>451</v>
      </c>
      <c r="B92">
        <v>2020</v>
      </c>
      <c r="C92" t="s">
        <v>118</v>
      </c>
      <c r="D92" t="s">
        <v>89</v>
      </c>
      <c r="E92" t="s">
        <v>84</v>
      </c>
      <c r="F92" s="267" t="s">
        <v>412</v>
      </c>
      <c r="G92" s="267" t="s">
        <v>516</v>
      </c>
    </row>
    <row r="93" spans="1:7">
      <c r="A93">
        <v>452</v>
      </c>
      <c r="B93">
        <v>2020</v>
      </c>
      <c r="C93" t="s">
        <v>119</v>
      </c>
      <c r="D93" t="s">
        <v>89</v>
      </c>
      <c r="E93" t="s">
        <v>84</v>
      </c>
      <c r="F93" s="267" t="s">
        <v>413</v>
      </c>
      <c r="G93" s="267" t="s">
        <v>517</v>
      </c>
    </row>
    <row r="94" spans="1:7">
      <c r="A94">
        <v>453</v>
      </c>
      <c r="B94">
        <v>2020</v>
      </c>
      <c r="C94" t="s">
        <v>120</v>
      </c>
      <c r="D94" t="s">
        <v>89</v>
      </c>
      <c r="E94" t="s">
        <v>84</v>
      </c>
      <c r="F94" s="267" t="s">
        <v>414</v>
      </c>
      <c r="G94" s="267" t="s">
        <v>518</v>
      </c>
    </row>
    <row r="95" spans="1:7">
      <c r="A95">
        <v>454</v>
      </c>
      <c r="B95">
        <v>2020</v>
      </c>
      <c r="C95" t="s">
        <v>121</v>
      </c>
      <c r="D95" t="s">
        <v>89</v>
      </c>
      <c r="E95" t="s">
        <v>84</v>
      </c>
      <c r="F95" s="267" t="s">
        <v>415</v>
      </c>
      <c r="G95" s="267" t="s">
        <v>519</v>
      </c>
    </row>
    <row r="96" spans="1:7">
      <c r="A96">
        <v>455</v>
      </c>
      <c r="B96">
        <v>2020</v>
      </c>
      <c r="C96" t="s">
        <v>122</v>
      </c>
      <c r="D96" t="s">
        <v>89</v>
      </c>
      <c r="E96" t="s">
        <v>84</v>
      </c>
      <c r="F96" s="267" t="s">
        <v>416</v>
      </c>
      <c r="G96" s="267" t="s">
        <v>520</v>
      </c>
    </row>
    <row r="97" spans="1:7">
      <c r="A97">
        <v>456</v>
      </c>
      <c r="B97">
        <v>2020</v>
      </c>
      <c r="C97" t="s">
        <v>123</v>
      </c>
      <c r="D97" t="s">
        <v>89</v>
      </c>
      <c r="E97" t="s">
        <v>84</v>
      </c>
      <c r="F97" s="267" t="s">
        <v>417</v>
      </c>
      <c r="G97" s="267" t="s">
        <v>521</v>
      </c>
    </row>
    <row r="98" spans="1:7">
      <c r="A98">
        <v>457</v>
      </c>
      <c r="B98">
        <v>2020</v>
      </c>
      <c r="C98" t="s">
        <v>124</v>
      </c>
      <c r="D98" t="s">
        <v>89</v>
      </c>
      <c r="E98" t="s">
        <v>84</v>
      </c>
      <c r="F98" s="267" t="s">
        <v>418</v>
      </c>
      <c r="G98" s="267" t="s">
        <v>522</v>
      </c>
    </row>
    <row r="99" spans="1:7">
      <c r="A99">
        <v>458</v>
      </c>
      <c r="B99">
        <v>2020</v>
      </c>
      <c r="C99" t="s">
        <v>125</v>
      </c>
      <c r="D99" t="s">
        <v>89</v>
      </c>
      <c r="E99" t="s">
        <v>84</v>
      </c>
      <c r="F99" s="267" t="s">
        <v>419</v>
      </c>
      <c r="G99" s="267" t="s">
        <v>523</v>
      </c>
    </row>
    <row r="100" spans="1:7">
      <c r="A100">
        <v>459</v>
      </c>
      <c r="B100">
        <v>2020</v>
      </c>
      <c r="C100" t="s">
        <v>126</v>
      </c>
      <c r="D100" t="s">
        <v>89</v>
      </c>
      <c r="E100" t="s">
        <v>84</v>
      </c>
      <c r="F100" s="267" t="s">
        <v>420</v>
      </c>
      <c r="G100" s="267" t="s">
        <v>524</v>
      </c>
    </row>
    <row r="101" spans="1:7">
      <c r="A101">
        <v>460</v>
      </c>
      <c r="B101">
        <v>2020</v>
      </c>
      <c r="C101" t="s">
        <v>127</v>
      </c>
      <c r="D101" t="s">
        <v>89</v>
      </c>
      <c r="E101" t="s">
        <v>84</v>
      </c>
      <c r="F101" s="267" t="s">
        <v>421</v>
      </c>
      <c r="G101" s="267" t="s">
        <v>525</v>
      </c>
    </row>
    <row r="102" spans="1:7">
      <c r="A102">
        <v>461</v>
      </c>
      <c r="B102">
        <v>2020</v>
      </c>
      <c r="C102" t="s">
        <v>128</v>
      </c>
      <c r="D102" t="s">
        <v>89</v>
      </c>
      <c r="E102" t="s">
        <v>84</v>
      </c>
      <c r="F102" s="267" t="s">
        <v>422</v>
      </c>
      <c r="G102" s="267" t="s">
        <v>526</v>
      </c>
    </row>
    <row r="103" spans="1:7">
      <c r="A103">
        <v>462</v>
      </c>
      <c r="B103">
        <v>2020</v>
      </c>
      <c r="C103" t="s">
        <v>129</v>
      </c>
      <c r="D103" t="s">
        <v>89</v>
      </c>
      <c r="E103" t="s">
        <v>84</v>
      </c>
      <c r="F103" s="267" t="s">
        <v>423</v>
      </c>
      <c r="G103" s="267" t="s">
        <v>527</v>
      </c>
    </row>
    <row r="104" spans="1:7">
      <c r="A104">
        <v>4</v>
      </c>
      <c r="B104">
        <v>2020</v>
      </c>
      <c r="C104" t="s">
        <v>157</v>
      </c>
      <c r="D104" t="s">
        <v>89</v>
      </c>
      <c r="E104" t="s">
        <v>84</v>
      </c>
      <c r="F104" s="267" t="s">
        <v>424</v>
      </c>
      <c r="G104" s="267" t="s">
        <v>528</v>
      </c>
    </row>
    <row r="105" spans="1:7">
      <c r="A105">
        <v>0</v>
      </c>
      <c r="B105">
        <v>2020</v>
      </c>
      <c r="C105" t="s">
        <v>130</v>
      </c>
      <c r="D105" t="s">
        <v>89</v>
      </c>
      <c r="E105" t="s">
        <v>84</v>
      </c>
      <c r="F105" s="267" t="s">
        <v>425</v>
      </c>
      <c r="G105" s="267" t="s">
        <v>529</v>
      </c>
    </row>
    <row r="106" spans="1:7">
      <c r="A106">
        <v>101</v>
      </c>
      <c r="B106">
        <v>2020</v>
      </c>
      <c r="C106" t="s">
        <v>363</v>
      </c>
      <c r="D106" t="s">
        <v>90</v>
      </c>
      <c r="E106" t="s">
        <v>84</v>
      </c>
      <c r="F106" s="267" t="s">
        <v>364</v>
      </c>
      <c r="G106" s="267" t="s">
        <v>492</v>
      </c>
    </row>
    <row r="107" spans="1:7">
      <c r="A107">
        <v>102</v>
      </c>
      <c r="B107">
        <v>2020</v>
      </c>
      <c r="C107" t="s">
        <v>365</v>
      </c>
      <c r="D107" t="s">
        <v>90</v>
      </c>
      <c r="E107" t="s">
        <v>84</v>
      </c>
      <c r="F107" s="267" t="s">
        <v>366</v>
      </c>
      <c r="G107" s="267" t="s">
        <v>530</v>
      </c>
    </row>
    <row r="108" spans="1:7">
      <c r="A108">
        <v>103</v>
      </c>
      <c r="B108">
        <v>2020</v>
      </c>
      <c r="C108" t="s">
        <v>367</v>
      </c>
      <c r="D108" t="s">
        <v>90</v>
      </c>
      <c r="E108" t="s">
        <v>84</v>
      </c>
      <c r="F108" s="267" t="s">
        <v>368</v>
      </c>
      <c r="G108" s="267" t="s">
        <v>531</v>
      </c>
    </row>
    <row r="109" spans="1:7">
      <c r="A109">
        <v>151</v>
      </c>
      <c r="B109">
        <v>2020</v>
      </c>
      <c r="C109" t="s">
        <v>94</v>
      </c>
      <c r="D109" t="s">
        <v>90</v>
      </c>
      <c r="E109" t="s">
        <v>84</v>
      </c>
      <c r="F109" s="267" t="s">
        <v>369</v>
      </c>
      <c r="G109" s="267" t="s">
        <v>532</v>
      </c>
    </row>
    <row r="110" spans="1:7">
      <c r="A110">
        <v>153</v>
      </c>
      <c r="B110">
        <v>2020</v>
      </c>
      <c r="C110" t="s">
        <v>96</v>
      </c>
      <c r="D110" t="s">
        <v>90</v>
      </c>
      <c r="E110" t="s">
        <v>84</v>
      </c>
      <c r="F110" s="267" t="s">
        <v>370</v>
      </c>
      <c r="G110" s="267" t="s">
        <v>533</v>
      </c>
    </row>
    <row r="111" spans="1:7">
      <c r="A111">
        <v>154</v>
      </c>
      <c r="B111">
        <v>2020</v>
      </c>
      <c r="C111" t="s">
        <v>97</v>
      </c>
      <c r="D111" t="s">
        <v>90</v>
      </c>
      <c r="E111" t="s">
        <v>84</v>
      </c>
      <c r="F111" s="267" t="s">
        <v>371</v>
      </c>
      <c r="G111" s="267" t="s">
        <v>534</v>
      </c>
    </row>
    <row r="112" spans="1:7">
      <c r="A112">
        <v>155</v>
      </c>
      <c r="B112">
        <v>2020</v>
      </c>
      <c r="C112" t="s">
        <v>98</v>
      </c>
      <c r="D112" t="s">
        <v>90</v>
      </c>
      <c r="E112" t="s">
        <v>84</v>
      </c>
      <c r="F112" s="267" t="s">
        <v>372</v>
      </c>
      <c r="G112" s="267" t="s">
        <v>535</v>
      </c>
    </row>
    <row r="113" spans="1:7">
      <c r="A113">
        <v>157</v>
      </c>
      <c r="B113">
        <v>2020</v>
      </c>
      <c r="C113" t="s">
        <v>99</v>
      </c>
      <c r="D113" t="s">
        <v>90</v>
      </c>
      <c r="E113" t="s">
        <v>84</v>
      </c>
      <c r="F113" s="267" t="s">
        <v>373</v>
      </c>
      <c r="G113" s="267" t="s">
        <v>536</v>
      </c>
    </row>
    <row r="114" spans="1:7">
      <c r="A114">
        <v>158</v>
      </c>
      <c r="B114">
        <v>2020</v>
      </c>
      <c r="C114" t="s">
        <v>100</v>
      </c>
      <c r="D114" t="s">
        <v>90</v>
      </c>
      <c r="E114" t="s">
        <v>84</v>
      </c>
      <c r="F114" s="267" t="s">
        <v>374</v>
      </c>
      <c r="G114" s="267" t="s">
        <v>537</v>
      </c>
    </row>
    <row r="115" spans="1:7">
      <c r="A115">
        <v>159</v>
      </c>
      <c r="B115">
        <v>2020</v>
      </c>
      <c r="C115" t="s">
        <v>95</v>
      </c>
      <c r="D115" t="s">
        <v>90</v>
      </c>
      <c r="E115" t="s">
        <v>84</v>
      </c>
      <c r="F115" s="267" t="s">
        <v>375</v>
      </c>
      <c r="G115" s="267" t="s">
        <v>538</v>
      </c>
    </row>
    <row r="116" spans="1:7">
      <c r="A116">
        <v>1</v>
      </c>
      <c r="B116">
        <v>2020</v>
      </c>
      <c r="C116" t="s">
        <v>154</v>
      </c>
      <c r="D116" t="s">
        <v>90</v>
      </c>
      <c r="E116" t="s">
        <v>84</v>
      </c>
      <c r="F116" s="267" t="s">
        <v>376</v>
      </c>
      <c r="G116" s="267" t="s">
        <v>539</v>
      </c>
    </row>
    <row r="117" spans="1:7">
      <c r="A117">
        <v>241</v>
      </c>
      <c r="B117">
        <v>2020</v>
      </c>
      <c r="C117" t="s">
        <v>377</v>
      </c>
      <c r="D117" t="s">
        <v>90</v>
      </c>
      <c r="E117" t="s">
        <v>84</v>
      </c>
      <c r="F117" s="267" t="s">
        <v>378</v>
      </c>
      <c r="G117" s="267" t="s">
        <v>540</v>
      </c>
    </row>
    <row r="118" spans="1:7">
      <c r="A118">
        <v>241001</v>
      </c>
      <c r="B118">
        <v>2020</v>
      </c>
      <c r="C118" t="s">
        <v>379</v>
      </c>
      <c r="D118" t="s">
        <v>90</v>
      </c>
      <c r="E118" t="s">
        <v>84</v>
      </c>
      <c r="F118" s="267" t="s">
        <v>380</v>
      </c>
      <c r="G118" s="267" t="s">
        <v>541</v>
      </c>
    </row>
    <row r="119" spans="1:7">
      <c r="A119">
        <v>241999</v>
      </c>
      <c r="B119">
        <v>2020</v>
      </c>
      <c r="C119" t="s">
        <v>381</v>
      </c>
      <c r="D119" t="s">
        <v>90</v>
      </c>
      <c r="E119" t="s">
        <v>84</v>
      </c>
      <c r="F119" s="267" t="s">
        <v>382</v>
      </c>
      <c r="G119" s="267" t="s">
        <v>542</v>
      </c>
    </row>
    <row r="120" spans="1:7">
      <c r="A120">
        <v>251</v>
      </c>
      <c r="B120">
        <v>2020</v>
      </c>
      <c r="C120" t="s">
        <v>101</v>
      </c>
      <c r="D120" t="s">
        <v>90</v>
      </c>
      <c r="E120" t="s">
        <v>84</v>
      </c>
      <c r="F120" s="267" t="s">
        <v>383</v>
      </c>
      <c r="G120" s="267" t="s">
        <v>543</v>
      </c>
    </row>
    <row r="121" spans="1:7">
      <c r="A121">
        <v>252</v>
      </c>
      <c r="B121">
        <v>2020</v>
      </c>
      <c r="C121" t="s">
        <v>102</v>
      </c>
      <c r="D121" t="s">
        <v>90</v>
      </c>
      <c r="E121" t="s">
        <v>84</v>
      </c>
      <c r="F121" s="267" t="s">
        <v>384</v>
      </c>
      <c r="G121" s="267" t="s">
        <v>544</v>
      </c>
    </row>
    <row r="122" spans="1:7">
      <c r="A122">
        <v>254</v>
      </c>
      <c r="B122">
        <v>2020</v>
      </c>
      <c r="C122" t="s">
        <v>103</v>
      </c>
      <c r="D122" t="s">
        <v>90</v>
      </c>
      <c r="E122" t="s">
        <v>84</v>
      </c>
      <c r="F122" s="267" t="s">
        <v>385</v>
      </c>
      <c r="G122" s="267" t="s">
        <v>545</v>
      </c>
    </row>
    <row r="123" spans="1:7">
      <c r="A123">
        <v>255</v>
      </c>
      <c r="B123">
        <v>2020</v>
      </c>
      <c r="C123" t="s">
        <v>104</v>
      </c>
      <c r="D123" t="s">
        <v>90</v>
      </c>
      <c r="E123" t="s">
        <v>84</v>
      </c>
      <c r="F123" s="267" t="s">
        <v>386</v>
      </c>
      <c r="G123" s="267" t="s">
        <v>546</v>
      </c>
    </row>
    <row r="124" spans="1:7">
      <c r="A124">
        <v>256</v>
      </c>
      <c r="B124">
        <v>2020</v>
      </c>
      <c r="C124" t="s">
        <v>105</v>
      </c>
      <c r="D124" t="s">
        <v>90</v>
      </c>
      <c r="E124" t="s">
        <v>84</v>
      </c>
      <c r="F124" s="267" t="s">
        <v>387</v>
      </c>
      <c r="G124" s="267" t="s">
        <v>547</v>
      </c>
    </row>
    <row r="125" spans="1:7">
      <c r="A125">
        <v>257</v>
      </c>
      <c r="B125">
        <v>2020</v>
      </c>
      <c r="C125" t="s">
        <v>106</v>
      </c>
      <c r="D125" t="s">
        <v>90</v>
      </c>
      <c r="E125" t="s">
        <v>84</v>
      </c>
      <c r="F125" s="267" t="s">
        <v>388</v>
      </c>
      <c r="G125" s="267" t="s">
        <v>548</v>
      </c>
    </row>
    <row r="126" spans="1:7">
      <c r="A126">
        <v>2</v>
      </c>
      <c r="B126">
        <v>2020</v>
      </c>
      <c r="C126" t="s">
        <v>155</v>
      </c>
      <c r="D126" t="s">
        <v>90</v>
      </c>
      <c r="E126" t="s">
        <v>84</v>
      </c>
      <c r="F126" s="267" t="s">
        <v>389</v>
      </c>
      <c r="G126" s="267" t="s">
        <v>549</v>
      </c>
    </row>
    <row r="127" spans="1:7">
      <c r="A127">
        <v>351</v>
      </c>
      <c r="B127">
        <v>2020</v>
      </c>
      <c r="C127" t="s">
        <v>107</v>
      </c>
      <c r="D127" t="s">
        <v>90</v>
      </c>
      <c r="E127" t="s">
        <v>84</v>
      </c>
      <c r="F127" s="267" t="s">
        <v>390</v>
      </c>
      <c r="G127" s="267" t="s">
        <v>550</v>
      </c>
    </row>
    <row r="128" spans="1:7">
      <c r="A128">
        <v>352</v>
      </c>
      <c r="B128">
        <v>2020</v>
      </c>
      <c r="C128" t="s">
        <v>108</v>
      </c>
      <c r="D128" t="s">
        <v>90</v>
      </c>
      <c r="E128" t="s">
        <v>84</v>
      </c>
      <c r="F128" s="267" t="s">
        <v>391</v>
      </c>
      <c r="G128" s="267" t="s">
        <v>551</v>
      </c>
    </row>
    <row r="129" spans="1:7">
      <c r="A129">
        <v>353</v>
      </c>
      <c r="B129">
        <v>2020</v>
      </c>
      <c r="C129" t="s">
        <v>109</v>
      </c>
      <c r="D129" t="s">
        <v>90</v>
      </c>
      <c r="E129" t="s">
        <v>84</v>
      </c>
      <c r="F129" s="267" t="s">
        <v>392</v>
      </c>
      <c r="G129" s="267" t="s">
        <v>552</v>
      </c>
    </row>
    <row r="130" spans="1:7">
      <c r="A130">
        <v>354</v>
      </c>
      <c r="B130">
        <v>2020</v>
      </c>
      <c r="C130" t="s">
        <v>110</v>
      </c>
      <c r="D130" t="s">
        <v>90</v>
      </c>
      <c r="E130" t="s">
        <v>84</v>
      </c>
      <c r="F130" s="267" t="s">
        <v>393</v>
      </c>
      <c r="G130" s="267" t="s">
        <v>553</v>
      </c>
    </row>
    <row r="131" spans="1:7">
      <c r="A131">
        <v>355</v>
      </c>
      <c r="B131">
        <v>2020</v>
      </c>
      <c r="C131" t="s">
        <v>111</v>
      </c>
      <c r="D131" t="s">
        <v>90</v>
      </c>
      <c r="E131" t="s">
        <v>84</v>
      </c>
      <c r="F131" s="267" t="s">
        <v>394</v>
      </c>
      <c r="G131" s="267" t="s">
        <v>554</v>
      </c>
    </row>
    <row r="132" spans="1:7">
      <c r="A132">
        <v>356</v>
      </c>
      <c r="B132">
        <v>2020</v>
      </c>
      <c r="C132" t="s">
        <v>112</v>
      </c>
      <c r="D132" t="s">
        <v>90</v>
      </c>
      <c r="E132" t="s">
        <v>84</v>
      </c>
      <c r="F132" s="267" t="s">
        <v>395</v>
      </c>
      <c r="G132" s="267" t="s">
        <v>555</v>
      </c>
    </row>
    <row r="133" spans="1:7">
      <c r="A133">
        <v>357</v>
      </c>
      <c r="B133">
        <v>2020</v>
      </c>
      <c r="C133" t="s">
        <v>113</v>
      </c>
      <c r="D133" t="s">
        <v>90</v>
      </c>
      <c r="E133" t="s">
        <v>84</v>
      </c>
      <c r="F133" s="267" t="s">
        <v>396</v>
      </c>
      <c r="G133" s="267" t="s">
        <v>556</v>
      </c>
    </row>
    <row r="134" spans="1:7">
      <c r="A134">
        <v>358</v>
      </c>
      <c r="B134">
        <v>2020</v>
      </c>
      <c r="C134" t="s">
        <v>114</v>
      </c>
      <c r="D134" t="s">
        <v>90</v>
      </c>
      <c r="E134" t="s">
        <v>84</v>
      </c>
      <c r="F134" s="267" t="s">
        <v>397</v>
      </c>
      <c r="G134" s="267" t="s">
        <v>557</v>
      </c>
    </row>
    <row r="135" spans="1:7">
      <c r="A135">
        <v>359</v>
      </c>
      <c r="B135">
        <v>2020</v>
      </c>
      <c r="C135" t="s">
        <v>115</v>
      </c>
      <c r="D135" t="s">
        <v>90</v>
      </c>
      <c r="E135" t="s">
        <v>84</v>
      </c>
      <c r="F135" s="267" t="s">
        <v>398</v>
      </c>
      <c r="G135" s="267" t="s">
        <v>431</v>
      </c>
    </row>
    <row r="136" spans="1:7">
      <c r="A136">
        <v>360</v>
      </c>
      <c r="B136">
        <v>2020</v>
      </c>
      <c r="C136" t="s">
        <v>116</v>
      </c>
      <c r="D136" t="s">
        <v>90</v>
      </c>
      <c r="E136" t="s">
        <v>84</v>
      </c>
      <c r="F136" s="267" t="s">
        <v>399</v>
      </c>
      <c r="G136" s="267" t="s">
        <v>558</v>
      </c>
    </row>
    <row r="137" spans="1:7">
      <c r="A137">
        <v>361</v>
      </c>
      <c r="B137">
        <v>2020</v>
      </c>
      <c r="C137" t="s">
        <v>117</v>
      </c>
      <c r="D137" t="s">
        <v>90</v>
      </c>
      <c r="E137" t="s">
        <v>84</v>
      </c>
      <c r="F137" s="267" t="s">
        <v>400</v>
      </c>
      <c r="G137" s="267" t="s">
        <v>559</v>
      </c>
    </row>
    <row r="138" spans="1:7">
      <c r="A138">
        <v>3</v>
      </c>
      <c r="B138">
        <v>2020</v>
      </c>
      <c r="C138" t="s">
        <v>156</v>
      </c>
      <c r="D138" t="s">
        <v>90</v>
      </c>
      <c r="E138" t="s">
        <v>84</v>
      </c>
      <c r="F138" s="267" t="s">
        <v>401</v>
      </c>
      <c r="G138" s="267" t="s">
        <v>560</v>
      </c>
    </row>
    <row r="139" spans="1:7">
      <c r="A139">
        <v>401</v>
      </c>
      <c r="B139">
        <v>2020</v>
      </c>
      <c r="C139" t="s">
        <v>402</v>
      </c>
      <c r="D139" t="s">
        <v>90</v>
      </c>
      <c r="E139" t="s">
        <v>84</v>
      </c>
      <c r="F139" s="267" t="s">
        <v>403</v>
      </c>
      <c r="G139" s="267" t="s">
        <v>561</v>
      </c>
    </row>
    <row r="140" spans="1:7">
      <c r="A140">
        <v>402</v>
      </c>
      <c r="B140">
        <v>2020</v>
      </c>
      <c r="C140" t="s">
        <v>404</v>
      </c>
      <c r="D140" t="s">
        <v>90</v>
      </c>
      <c r="E140" t="s">
        <v>84</v>
      </c>
      <c r="F140" s="267" t="s">
        <v>405</v>
      </c>
      <c r="G140" s="267" t="s">
        <v>562</v>
      </c>
    </row>
    <row r="141" spans="1:7">
      <c r="A141">
        <v>403</v>
      </c>
      <c r="B141">
        <v>2020</v>
      </c>
      <c r="C141" t="s">
        <v>406</v>
      </c>
      <c r="D141" t="s">
        <v>90</v>
      </c>
      <c r="E141" t="s">
        <v>84</v>
      </c>
      <c r="F141" s="267" t="s">
        <v>407</v>
      </c>
      <c r="G141" s="267" t="s">
        <v>563</v>
      </c>
    </row>
    <row r="142" spans="1:7">
      <c r="A142">
        <v>404</v>
      </c>
      <c r="B142">
        <v>2020</v>
      </c>
      <c r="C142" t="s">
        <v>408</v>
      </c>
      <c r="D142" t="s">
        <v>90</v>
      </c>
      <c r="E142" t="s">
        <v>84</v>
      </c>
      <c r="F142" s="267" t="s">
        <v>409</v>
      </c>
      <c r="G142" s="267" t="s">
        <v>564</v>
      </c>
    </row>
    <row r="143" spans="1:7">
      <c r="A143">
        <v>405</v>
      </c>
      <c r="B143">
        <v>2020</v>
      </c>
      <c r="C143" t="s">
        <v>410</v>
      </c>
      <c r="D143" t="s">
        <v>90</v>
      </c>
      <c r="E143" t="s">
        <v>84</v>
      </c>
      <c r="F143" s="267" t="s">
        <v>411</v>
      </c>
      <c r="G143" s="267" t="s">
        <v>565</v>
      </c>
    </row>
    <row r="144" spans="1:7">
      <c r="A144">
        <v>451</v>
      </c>
      <c r="B144">
        <v>2020</v>
      </c>
      <c r="C144" t="s">
        <v>118</v>
      </c>
      <c r="D144" t="s">
        <v>90</v>
      </c>
      <c r="E144" t="s">
        <v>84</v>
      </c>
      <c r="F144" s="267" t="s">
        <v>412</v>
      </c>
      <c r="G144" s="267" t="s">
        <v>566</v>
      </c>
    </row>
    <row r="145" spans="1:7">
      <c r="A145">
        <v>452</v>
      </c>
      <c r="B145">
        <v>2020</v>
      </c>
      <c r="C145" t="s">
        <v>119</v>
      </c>
      <c r="D145" t="s">
        <v>90</v>
      </c>
      <c r="E145" t="s">
        <v>84</v>
      </c>
      <c r="F145" s="267" t="s">
        <v>413</v>
      </c>
      <c r="G145" s="267" t="s">
        <v>567</v>
      </c>
    </row>
    <row r="146" spans="1:7">
      <c r="A146">
        <v>453</v>
      </c>
      <c r="B146">
        <v>2020</v>
      </c>
      <c r="C146" t="s">
        <v>120</v>
      </c>
      <c r="D146" t="s">
        <v>90</v>
      </c>
      <c r="E146" t="s">
        <v>84</v>
      </c>
      <c r="F146" s="267" t="s">
        <v>414</v>
      </c>
      <c r="G146" s="267" t="s">
        <v>568</v>
      </c>
    </row>
    <row r="147" spans="1:7">
      <c r="A147">
        <v>454</v>
      </c>
      <c r="B147">
        <v>2020</v>
      </c>
      <c r="C147" t="s">
        <v>121</v>
      </c>
      <c r="D147" t="s">
        <v>90</v>
      </c>
      <c r="E147" t="s">
        <v>84</v>
      </c>
      <c r="F147" s="267" t="s">
        <v>415</v>
      </c>
      <c r="G147" s="267" t="s">
        <v>569</v>
      </c>
    </row>
    <row r="148" spans="1:7">
      <c r="A148">
        <v>455</v>
      </c>
      <c r="B148">
        <v>2020</v>
      </c>
      <c r="C148" t="s">
        <v>122</v>
      </c>
      <c r="D148" t="s">
        <v>90</v>
      </c>
      <c r="E148" t="s">
        <v>84</v>
      </c>
      <c r="F148" s="267" t="s">
        <v>416</v>
      </c>
      <c r="G148" s="267" t="s">
        <v>570</v>
      </c>
    </row>
    <row r="149" spans="1:7">
      <c r="A149">
        <v>456</v>
      </c>
      <c r="B149">
        <v>2020</v>
      </c>
      <c r="C149" t="s">
        <v>123</v>
      </c>
      <c r="D149" t="s">
        <v>90</v>
      </c>
      <c r="E149" t="s">
        <v>84</v>
      </c>
      <c r="F149" s="267" t="s">
        <v>417</v>
      </c>
      <c r="G149" s="267" t="s">
        <v>571</v>
      </c>
    </row>
    <row r="150" spans="1:7">
      <c r="A150">
        <v>457</v>
      </c>
      <c r="B150">
        <v>2020</v>
      </c>
      <c r="C150" t="s">
        <v>124</v>
      </c>
      <c r="D150" t="s">
        <v>90</v>
      </c>
      <c r="E150" t="s">
        <v>84</v>
      </c>
      <c r="F150" s="267" t="s">
        <v>418</v>
      </c>
      <c r="G150" s="267" t="s">
        <v>572</v>
      </c>
    </row>
    <row r="151" spans="1:7">
      <c r="A151">
        <v>458</v>
      </c>
      <c r="B151">
        <v>2020</v>
      </c>
      <c r="C151" t="s">
        <v>125</v>
      </c>
      <c r="D151" t="s">
        <v>90</v>
      </c>
      <c r="E151" t="s">
        <v>84</v>
      </c>
      <c r="F151" s="267" t="s">
        <v>419</v>
      </c>
      <c r="G151" s="267" t="s">
        <v>573</v>
      </c>
    </row>
    <row r="152" spans="1:7">
      <c r="A152">
        <v>459</v>
      </c>
      <c r="B152">
        <v>2020</v>
      </c>
      <c r="C152" t="s">
        <v>126</v>
      </c>
      <c r="D152" t="s">
        <v>90</v>
      </c>
      <c r="E152" t="s">
        <v>84</v>
      </c>
      <c r="F152" s="267" t="s">
        <v>420</v>
      </c>
      <c r="G152" s="267" t="s">
        <v>574</v>
      </c>
    </row>
    <row r="153" spans="1:7">
      <c r="A153">
        <v>460</v>
      </c>
      <c r="B153">
        <v>2020</v>
      </c>
      <c r="C153" t="s">
        <v>127</v>
      </c>
      <c r="D153" t="s">
        <v>90</v>
      </c>
      <c r="E153" t="s">
        <v>84</v>
      </c>
      <c r="F153" s="267" t="s">
        <v>421</v>
      </c>
      <c r="G153" s="267" t="s">
        <v>575</v>
      </c>
    </row>
    <row r="154" spans="1:7">
      <c r="A154">
        <v>461</v>
      </c>
      <c r="B154">
        <v>2020</v>
      </c>
      <c r="C154" t="s">
        <v>128</v>
      </c>
      <c r="D154" t="s">
        <v>90</v>
      </c>
      <c r="E154" t="s">
        <v>84</v>
      </c>
      <c r="F154" s="267" t="s">
        <v>422</v>
      </c>
      <c r="G154" s="267" t="s">
        <v>576</v>
      </c>
    </row>
    <row r="155" spans="1:7">
      <c r="A155">
        <v>462</v>
      </c>
      <c r="B155">
        <v>2020</v>
      </c>
      <c r="C155" t="s">
        <v>129</v>
      </c>
      <c r="D155" t="s">
        <v>90</v>
      </c>
      <c r="E155" t="s">
        <v>84</v>
      </c>
      <c r="F155" s="267" t="s">
        <v>423</v>
      </c>
      <c r="G155" s="267" t="s">
        <v>577</v>
      </c>
    </row>
    <row r="156" spans="1:7">
      <c r="A156">
        <v>4</v>
      </c>
      <c r="B156">
        <v>2020</v>
      </c>
      <c r="C156" t="s">
        <v>157</v>
      </c>
      <c r="D156" t="s">
        <v>90</v>
      </c>
      <c r="E156" t="s">
        <v>84</v>
      </c>
      <c r="F156" s="267" t="s">
        <v>424</v>
      </c>
      <c r="G156" s="267" t="s">
        <v>578</v>
      </c>
    </row>
    <row r="157" spans="1:7">
      <c r="A157">
        <v>0</v>
      </c>
      <c r="B157">
        <v>2020</v>
      </c>
      <c r="C157" t="s">
        <v>130</v>
      </c>
      <c r="D157" t="s">
        <v>90</v>
      </c>
      <c r="E157" t="s">
        <v>84</v>
      </c>
      <c r="F157" s="267" t="s">
        <v>425</v>
      </c>
      <c r="G157" s="267" t="s">
        <v>579</v>
      </c>
    </row>
    <row r="158" spans="1:7">
      <c r="A158">
        <v>101</v>
      </c>
      <c r="B158">
        <v>2019</v>
      </c>
      <c r="C158" t="s">
        <v>363</v>
      </c>
      <c r="D158" t="s">
        <v>28</v>
      </c>
      <c r="E158" t="s">
        <v>84</v>
      </c>
      <c r="F158" s="267" t="s">
        <v>364</v>
      </c>
      <c r="G158" s="267" t="s">
        <v>580</v>
      </c>
    </row>
    <row r="159" spans="1:7">
      <c r="A159">
        <v>102</v>
      </c>
      <c r="B159">
        <v>2019</v>
      </c>
      <c r="C159" t="s">
        <v>365</v>
      </c>
      <c r="D159" t="s">
        <v>28</v>
      </c>
      <c r="E159" t="s">
        <v>84</v>
      </c>
      <c r="F159" s="267" t="s">
        <v>366</v>
      </c>
      <c r="G159" s="267" t="s">
        <v>581</v>
      </c>
    </row>
    <row r="160" spans="1:7">
      <c r="A160">
        <v>103</v>
      </c>
      <c r="B160">
        <v>2019</v>
      </c>
      <c r="C160" t="s">
        <v>367</v>
      </c>
      <c r="D160" t="s">
        <v>28</v>
      </c>
      <c r="E160" t="s">
        <v>84</v>
      </c>
      <c r="F160" s="267" t="s">
        <v>368</v>
      </c>
      <c r="G160" s="267" t="s">
        <v>582</v>
      </c>
    </row>
    <row r="161" spans="1:7">
      <c r="A161">
        <v>151</v>
      </c>
      <c r="B161">
        <v>2019</v>
      </c>
      <c r="C161" t="s">
        <v>94</v>
      </c>
      <c r="D161" t="s">
        <v>28</v>
      </c>
      <c r="E161" t="s">
        <v>84</v>
      </c>
      <c r="F161" s="267" t="s">
        <v>369</v>
      </c>
      <c r="G161" s="267" t="s">
        <v>583</v>
      </c>
    </row>
    <row r="162" spans="1:7">
      <c r="A162">
        <v>153</v>
      </c>
      <c r="B162">
        <v>2019</v>
      </c>
      <c r="C162" t="s">
        <v>96</v>
      </c>
      <c r="D162" t="s">
        <v>28</v>
      </c>
      <c r="E162" t="s">
        <v>84</v>
      </c>
      <c r="F162" s="267" t="s">
        <v>370</v>
      </c>
      <c r="G162" s="267" t="s">
        <v>584</v>
      </c>
    </row>
    <row r="163" spans="1:7">
      <c r="A163">
        <v>154</v>
      </c>
      <c r="B163">
        <v>2019</v>
      </c>
      <c r="C163" t="s">
        <v>97</v>
      </c>
      <c r="D163" t="s">
        <v>28</v>
      </c>
      <c r="E163" t="s">
        <v>84</v>
      </c>
      <c r="F163" s="267" t="s">
        <v>371</v>
      </c>
      <c r="G163" s="267" t="s">
        <v>585</v>
      </c>
    </row>
    <row r="164" spans="1:7">
      <c r="A164">
        <v>155</v>
      </c>
      <c r="B164">
        <v>2019</v>
      </c>
      <c r="C164" t="s">
        <v>98</v>
      </c>
      <c r="D164" t="s">
        <v>28</v>
      </c>
      <c r="E164" t="s">
        <v>84</v>
      </c>
      <c r="F164" s="267" t="s">
        <v>372</v>
      </c>
      <c r="G164" s="267" t="s">
        <v>586</v>
      </c>
    </row>
    <row r="165" spans="1:7">
      <c r="A165">
        <v>157</v>
      </c>
      <c r="B165">
        <v>2019</v>
      </c>
      <c r="C165" t="s">
        <v>99</v>
      </c>
      <c r="D165" t="s">
        <v>28</v>
      </c>
      <c r="E165" t="s">
        <v>84</v>
      </c>
      <c r="F165" s="267" t="s">
        <v>373</v>
      </c>
      <c r="G165" s="267" t="s">
        <v>587</v>
      </c>
    </row>
    <row r="166" spans="1:7">
      <c r="A166">
        <v>158</v>
      </c>
      <c r="B166">
        <v>2019</v>
      </c>
      <c r="C166" t="s">
        <v>100</v>
      </c>
      <c r="D166" t="s">
        <v>28</v>
      </c>
      <c r="E166" t="s">
        <v>84</v>
      </c>
      <c r="F166" s="267" t="s">
        <v>374</v>
      </c>
      <c r="G166" s="267" t="s">
        <v>588</v>
      </c>
    </row>
    <row r="167" spans="1:7">
      <c r="A167">
        <v>159</v>
      </c>
      <c r="B167">
        <v>2019</v>
      </c>
      <c r="C167" t="s">
        <v>95</v>
      </c>
      <c r="D167" t="s">
        <v>28</v>
      </c>
      <c r="E167" t="s">
        <v>84</v>
      </c>
      <c r="F167" s="267" t="s">
        <v>375</v>
      </c>
      <c r="G167" s="267" t="s">
        <v>589</v>
      </c>
    </row>
    <row r="168" spans="1:7">
      <c r="A168">
        <v>1</v>
      </c>
      <c r="B168">
        <v>2019</v>
      </c>
      <c r="C168" t="s">
        <v>154</v>
      </c>
      <c r="D168" t="s">
        <v>28</v>
      </c>
      <c r="E168" t="s">
        <v>84</v>
      </c>
      <c r="F168" s="267" t="s">
        <v>376</v>
      </c>
      <c r="G168" s="267" t="s">
        <v>590</v>
      </c>
    </row>
    <row r="169" spans="1:7">
      <c r="A169">
        <v>241</v>
      </c>
      <c r="B169">
        <v>2019</v>
      </c>
      <c r="C169" t="s">
        <v>377</v>
      </c>
      <c r="D169" t="s">
        <v>28</v>
      </c>
      <c r="E169" t="s">
        <v>84</v>
      </c>
      <c r="F169" s="267" t="s">
        <v>378</v>
      </c>
      <c r="G169" s="267" t="s">
        <v>591</v>
      </c>
    </row>
    <row r="170" spans="1:7">
      <c r="A170">
        <v>241001</v>
      </c>
      <c r="B170">
        <v>2019</v>
      </c>
      <c r="C170" t="s">
        <v>379</v>
      </c>
      <c r="D170" t="s">
        <v>28</v>
      </c>
      <c r="E170" t="s">
        <v>84</v>
      </c>
      <c r="F170" s="267" t="s">
        <v>380</v>
      </c>
      <c r="G170" s="267" t="s">
        <v>592</v>
      </c>
    </row>
    <row r="171" spans="1:7">
      <c r="A171">
        <v>241999</v>
      </c>
      <c r="B171">
        <v>2019</v>
      </c>
      <c r="C171" t="s">
        <v>381</v>
      </c>
      <c r="D171" t="s">
        <v>28</v>
      </c>
      <c r="E171" t="s">
        <v>84</v>
      </c>
      <c r="F171" s="267" t="s">
        <v>382</v>
      </c>
      <c r="G171" s="267" t="s">
        <v>593</v>
      </c>
    </row>
    <row r="172" spans="1:7">
      <c r="A172">
        <v>251</v>
      </c>
      <c r="B172">
        <v>2019</v>
      </c>
      <c r="C172" t="s">
        <v>101</v>
      </c>
      <c r="D172" t="s">
        <v>28</v>
      </c>
      <c r="E172" t="s">
        <v>84</v>
      </c>
      <c r="F172" s="267" t="s">
        <v>383</v>
      </c>
      <c r="G172" s="267" t="s">
        <v>594</v>
      </c>
    </row>
    <row r="173" spans="1:7">
      <c r="A173">
        <v>252</v>
      </c>
      <c r="B173">
        <v>2019</v>
      </c>
      <c r="C173" t="s">
        <v>102</v>
      </c>
      <c r="D173" t="s">
        <v>28</v>
      </c>
      <c r="E173" t="s">
        <v>84</v>
      </c>
      <c r="F173" s="267" t="s">
        <v>384</v>
      </c>
      <c r="G173" s="267" t="s">
        <v>595</v>
      </c>
    </row>
    <row r="174" spans="1:7">
      <c r="A174">
        <v>254</v>
      </c>
      <c r="B174">
        <v>2019</v>
      </c>
      <c r="C174" t="s">
        <v>103</v>
      </c>
      <c r="D174" t="s">
        <v>28</v>
      </c>
      <c r="E174" t="s">
        <v>84</v>
      </c>
      <c r="F174" s="267" t="s">
        <v>385</v>
      </c>
      <c r="G174" s="267" t="s">
        <v>596</v>
      </c>
    </row>
    <row r="175" spans="1:7">
      <c r="A175">
        <v>255</v>
      </c>
      <c r="B175">
        <v>2019</v>
      </c>
      <c r="C175" t="s">
        <v>104</v>
      </c>
      <c r="D175" t="s">
        <v>28</v>
      </c>
      <c r="E175" t="s">
        <v>84</v>
      </c>
      <c r="F175" s="267" t="s">
        <v>386</v>
      </c>
      <c r="G175" s="267" t="s">
        <v>597</v>
      </c>
    </row>
    <row r="176" spans="1:7">
      <c r="A176">
        <v>256</v>
      </c>
      <c r="B176">
        <v>2019</v>
      </c>
      <c r="C176" t="s">
        <v>105</v>
      </c>
      <c r="D176" t="s">
        <v>28</v>
      </c>
      <c r="E176" t="s">
        <v>84</v>
      </c>
      <c r="F176" s="267" t="s">
        <v>387</v>
      </c>
      <c r="G176" s="267" t="s">
        <v>598</v>
      </c>
    </row>
    <row r="177" spans="1:7">
      <c r="A177">
        <v>257</v>
      </c>
      <c r="B177">
        <v>2019</v>
      </c>
      <c r="C177" t="s">
        <v>106</v>
      </c>
      <c r="D177" t="s">
        <v>28</v>
      </c>
      <c r="E177" t="s">
        <v>84</v>
      </c>
      <c r="F177" s="267" t="s">
        <v>388</v>
      </c>
      <c r="G177" s="267" t="s">
        <v>599</v>
      </c>
    </row>
    <row r="178" spans="1:7">
      <c r="A178">
        <v>2</v>
      </c>
      <c r="B178">
        <v>2019</v>
      </c>
      <c r="C178" t="s">
        <v>155</v>
      </c>
      <c r="D178" t="s">
        <v>28</v>
      </c>
      <c r="E178" t="s">
        <v>84</v>
      </c>
      <c r="F178" s="267" t="s">
        <v>389</v>
      </c>
      <c r="G178" s="267" t="s">
        <v>600</v>
      </c>
    </row>
    <row r="179" spans="1:7">
      <c r="A179">
        <v>351</v>
      </c>
      <c r="B179">
        <v>2019</v>
      </c>
      <c r="C179" t="s">
        <v>107</v>
      </c>
      <c r="D179" t="s">
        <v>28</v>
      </c>
      <c r="E179" t="s">
        <v>84</v>
      </c>
      <c r="F179" s="267" t="s">
        <v>390</v>
      </c>
      <c r="G179" s="267" t="s">
        <v>601</v>
      </c>
    </row>
    <row r="180" spans="1:7">
      <c r="A180">
        <v>352</v>
      </c>
      <c r="B180">
        <v>2019</v>
      </c>
      <c r="C180" t="s">
        <v>108</v>
      </c>
      <c r="D180" t="s">
        <v>28</v>
      </c>
      <c r="E180" t="s">
        <v>84</v>
      </c>
      <c r="F180" s="267" t="s">
        <v>391</v>
      </c>
      <c r="G180" s="267" t="s">
        <v>602</v>
      </c>
    </row>
    <row r="181" spans="1:7">
      <c r="A181">
        <v>353</v>
      </c>
      <c r="B181">
        <v>2019</v>
      </c>
      <c r="C181" t="s">
        <v>109</v>
      </c>
      <c r="D181" t="s">
        <v>28</v>
      </c>
      <c r="E181" t="s">
        <v>84</v>
      </c>
      <c r="F181" s="267" t="s">
        <v>392</v>
      </c>
      <c r="G181" s="267" t="s">
        <v>603</v>
      </c>
    </row>
    <row r="182" spans="1:7">
      <c r="A182">
        <v>354</v>
      </c>
      <c r="B182">
        <v>2019</v>
      </c>
      <c r="C182" t="s">
        <v>110</v>
      </c>
      <c r="D182" t="s">
        <v>28</v>
      </c>
      <c r="E182" t="s">
        <v>84</v>
      </c>
      <c r="F182" s="267" t="s">
        <v>393</v>
      </c>
      <c r="G182" s="267" t="s">
        <v>604</v>
      </c>
    </row>
    <row r="183" spans="1:7">
      <c r="A183">
        <v>355</v>
      </c>
      <c r="B183">
        <v>2019</v>
      </c>
      <c r="C183" t="s">
        <v>111</v>
      </c>
      <c r="D183" t="s">
        <v>28</v>
      </c>
      <c r="E183" t="s">
        <v>84</v>
      </c>
      <c r="F183" s="267" t="s">
        <v>394</v>
      </c>
      <c r="G183" s="267" t="s">
        <v>605</v>
      </c>
    </row>
    <row r="184" spans="1:7">
      <c r="A184">
        <v>356</v>
      </c>
      <c r="B184">
        <v>2019</v>
      </c>
      <c r="C184" t="s">
        <v>112</v>
      </c>
      <c r="D184" t="s">
        <v>28</v>
      </c>
      <c r="E184" t="s">
        <v>84</v>
      </c>
      <c r="F184" s="267" t="s">
        <v>395</v>
      </c>
      <c r="G184" s="267" t="s">
        <v>606</v>
      </c>
    </row>
    <row r="185" spans="1:7">
      <c r="A185">
        <v>357</v>
      </c>
      <c r="B185">
        <v>2019</v>
      </c>
      <c r="C185" t="s">
        <v>113</v>
      </c>
      <c r="D185" t="s">
        <v>28</v>
      </c>
      <c r="E185" t="s">
        <v>84</v>
      </c>
      <c r="F185" s="267" t="s">
        <v>396</v>
      </c>
      <c r="G185" s="267" t="s">
        <v>607</v>
      </c>
    </row>
    <row r="186" spans="1:7">
      <c r="A186">
        <v>358</v>
      </c>
      <c r="B186">
        <v>2019</v>
      </c>
      <c r="C186" t="s">
        <v>114</v>
      </c>
      <c r="D186" t="s">
        <v>28</v>
      </c>
      <c r="E186" t="s">
        <v>84</v>
      </c>
      <c r="F186" s="267" t="s">
        <v>397</v>
      </c>
      <c r="G186" s="267" t="s">
        <v>608</v>
      </c>
    </row>
    <row r="187" spans="1:7">
      <c r="A187">
        <v>359</v>
      </c>
      <c r="B187">
        <v>2019</v>
      </c>
      <c r="C187" t="s">
        <v>115</v>
      </c>
      <c r="D187" t="s">
        <v>28</v>
      </c>
      <c r="E187" t="s">
        <v>84</v>
      </c>
      <c r="F187" s="267" t="s">
        <v>398</v>
      </c>
      <c r="G187" s="267" t="s">
        <v>609</v>
      </c>
    </row>
    <row r="188" spans="1:7">
      <c r="A188">
        <v>360</v>
      </c>
      <c r="B188">
        <v>2019</v>
      </c>
      <c r="C188" t="s">
        <v>116</v>
      </c>
      <c r="D188" t="s">
        <v>28</v>
      </c>
      <c r="E188" t="s">
        <v>84</v>
      </c>
      <c r="F188" s="267" t="s">
        <v>399</v>
      </c>
      <c r="G188" s="267" t="s">
        <v>610</v>
      </c>
    </row>
    <row r="189" spans="1:7">
      <c r="A189">
        <v>361</v>
      </c>
      <c r="B189">
        <v>2019</v>
      </c>
      <c r="C189" t="s">
        <v>117</v>
      </c>
      <c r="D189" t="s">
        <v>28</v>
      </c>
      <c r="E189" t="s">
        <v>84</v>
      </c>
      <c r="F189" s="267" t="s">
        <v>400</v>
      </c>
      <c r="G189" s="267" t="s">
        <v>611</v>
      </c>
    </row>
    <row r="190" spans="1:7">
      <c r="A190">
        <v>3</v>
      </c>
      <c r="B190">
        <v>2019</v>
      </c>
      <c r="C190" t="s">
        <v>156</v>
      </c>
      <c r="D190" t="s">
        <v>28</v>
      </c>
      <c r="E190" t="s">
        <v>84</v>
      </c>
      <c r="F190" s="267" t="s">
        <v>401</v>
      </c>
      <c r="G190" s="267" t="s">
        <v>612</v>
      </c>
    </row>
    <row r="191" spans="1:7">
      <c r="A191">
        <v>401</v>
      </c>
      <c r="B191">
        <v>2019</v>
      </c>
      <c r="C191" t="s">
        <v>402</v>
      </c>
      <c r="D191" t="s">
        <v>28</v>
      </c>
      <c r="E191" t="s">
        <v>84</v>
      </c>
      <c r="F191" s="267" t="s">
        <v>403</v>
      </c>
      <c r="G191" s="267" t="s">
        <v>613</v>
      </c>
    </row>
    <row r="192" spans="1:7">
      <c r="A192">
        <v>402</v>
      </c>
      <c r="B192">
        <v>2019</v>
      </c>
      <c r="C192" t="s">
        <v>404</v>
      </c>
      <c r="D192" t="s">
        <v>28</v>
      </c>
      <c r="E192" t="s">
        <v>84</v>
      </c>
      <c r="F192" s="267" t="s">
        <v>405</v>
      </c>
      <c r="G192" s="267" t="s">
        <v>614</v>
      </c>
    </row>
    <row r="193" spans="1:7">
      <c r="A193">
        <v>403</v>
      </c>
      <c r="B193">
        <v>2019</v>
      </c>
      <c r="C193" t="s">
        <v>406</v>
      </c>
      <c r="D193" t="s">
        <v>28</v>
      </c>
      <c r="E193" t="s">
        <v>84</v>
      </c>
      <c r="F193" s="267" t="s">
        <v>407</v>
      </c>
      <c r="G193" s="267" t="s">
        <v>615</v>
      </c>
    </row>
    <row r="194" spans="1:7">
      <c r="A194">
        <v>404</v>
      </c>
      <c r="B194">
        <v>2019</v>
      </c>
      <c r="C194" t="s">
        <v>408</v>
      </c>
      <c r="D194" t="s">
        <v>28</v>
      </c>
      <c r="E194" t="s">
        <v>84</v>
      </c>
      <c r="F194" s="267" t="s">
        <v>409</v>
      </c>
      <c r="G194" s="267" t="s">
        <v>616</v>
      </c>
    </row>
    <row r="195" spans="1:7">
      <c r="A195">
        <v>405</v>
      </c>
      <c r="B195">
        <v>2019</v>
      </c>
      <c r="C195" t="s">
        <v>410</v>
      </c>
      <c r="D195" t="s">
        <v>28</v>
      </c>
      <c r="E195" t="s">
        <v>84</v>
      </c>
      <c r="F195" s="267" t="s">
        <v>411</v>
      </c>
      <c r="G195" s="267" t="s">
        <v>617</v>
      </c>
    </row>
    <row r="196" spans="1:7">
      <c r="A196">
        <v>451</v>
      </c>
      <c r="B196">
        <v>2019</v>
      </c>
      <c r="C196" t="s">
        <v>118</v>
      </c>
      <c r="D196" t="s">
        <v>28</v>
      </c>
      <c r="E196" t="s">
        <v>84</v>
      </c>
      <c r="F196" s="267" t="s">
        <v>412</v>
      </c>
      <c r="G196" s="267" t="s">
        <v>618</v>
      </c>
    </row>
    <row r="197" spans="1:7">
      <c r="A197">
        <v>452</v>
      </c>
      <c r="B197">
        <v>2019</v>
      </c>
      <c r="C197" t="s">
        <v>119</v>
      </c>
      <c r="D197" t="s">
        <v>28</v>
      </c>
      <c r="E197" t="s">
        <v>84</v>
      </c>
      <c r="F197" s="267" t="s">
        <v>413</v>
      </c>
      <c r="G197" s="267" t="s">
        <v>619</v>
      </c>
    </row>
    <row r="198" spans="1:7">
      <c r="A198">
        <v>453</v>
      </c>
      <c r="B198">
        <v>2019</v>
      </c>
      <c r="C198" t="s">
        <v>120</v>
      </c>
      <c r="D198" t="s">
        <v>28</v>
      </c>
      <c r="E198" t="s">
        <v>84</v>
      </c>
      <c r="F198" s="267" t="s">
        <v>414</v>
      </c>
      <c r="G198" s="267" t="s">
        <v>620</v>
      </c>
    </row>
    <row r="199" spans="1:7">
      <c r="A199">
        <v>454</v>
      </c>
      <c r="B199">
        <v>2019</v>
      </c>
      <c r="C199" t="s">
        <v>121</v>
      </c>
      <c r="D199" t="s">
        <v>28</v>
      </c>
      <c r="E199" t="s">
        <v>84</v>
      </c>
      <c r="F199" s="267" t="s">
        <v>415</v>
      </c>
      <c r="G199" s="267" t="s">
        <v>621</v>
      </c>
    </row>
    <row r="200" spans="1:7">
      <c r="A200">
        <v>455</v>
      </c>
      <c r="B200">
        <v>2019</v>
      </c>
      <c r="C200" t="s">
        <v>122</v>
      </c>
      <c r="D200" t="s">
        <v>28</v>
      </c>
      <c r="E200" t="s">
        <v>84</v>
      </c>
      <c r="F200" s="267" t="s">
        <v>416</v>
      </c>
      <c r="G200" s="267" t="s">
        <v>622</v>
      </c>
    </row>
    <row r="201" spans="1:7">
      <c r="A201">
        <v>456</v>
      </c>
      <c r="B201">
        <v>2019</v>
      </c>
      <c r="C201" t="s">
        <v>123</v>
      </c>
      <c r="D201" t="s">
        <v>28</v>
      </c>
      <c r="E201" t="s">
        <v>84</v>
      </c>
      <c r="F201" s="267" t="s">
        <v>417</v>
      </c>
      <c r="G201" s="267" t="s">
        <v>623</v>
      </c>
    </row>
    <row r="202" spans="1:7">
      <c r="A202">
        <v>457</v>
      </c>
      <c r="B202">
        <v>2019</v>
      </c>
      <c r="C202" t="s">
        <v>124</v>
      </c>
      <c r="D202" t="s">
        <v>28</v>
      </c>
      <c r="E202" t="s">
        <v>84</v>
      </c>
      <c r="F202" s="267" t="s">
        <v>418</v>
      </c>
      <c r="G202" s="267" t="s">
        <v>624</v>
      </c>
    </row>
    <row r="203" spans="1:7">
      <c r="A203">
        <v>458</v>
      </c>
      <c r="B203">
        <v>2019</v>
      </c>
      <c r="C203" t="s">
        <v>125</v>
      </c>
      <c r="D203" t="s">
        <v>28</v>
      </c>
      <c r="E203" t="s">
        <v>84</v>
      </c>
      <c r="F203" s="267" t="s">
        <v>419</v>
      </c>
      <c r="G203" s="267" t="s">
        <v>625</v>
      </c>
    </row>
    <row r="204" spans="1:7">
      <c r="A204">
        <v>459</v>
      </c>
      <c r="B204">
        <v>2019</v>
      </c>
      <c r="C204" t="s">
        <v>126</v>
      </c>
      <c r="D204" t="s">
        <v>28</v>
      </c>
      <c r="E204" t="s">
        <v>84</v>
      </c>
      <c r="F204" s="267" t="s">
        <v>420</v>
      </c>
      <c r="G204" s="267" t="s">
        <v>626</v>
      </c>
    </row>
    <row r="205" spans="1:7">
      <c r="A205">
        <v>460</v>
      </c>
      <c r="B205">
        <v>2019</v>
      </c>
      <c r="C205" t="s">
        <v>127</v>
      </c>
      <c r="D205" t="s">
        <v>28</v>
      </c>
      <c r="E205" t="s">
        <v>84</v>
      </c>
      <c r="F205" s="267" t="s">
        <v>421</v>
      </c>
      <c r="G205" s="267" t="s">
        <v>627</v>
      </c>
    </row>
    <row r="206" spans="1:7">
      <c r="A206">
        <v>461</v>
      </c>
      <c r="B206">
        <v>2019</v>
      </c>
      <c r="C206" t="s">
        <v>128</v>
      </c>
      <c r="D206" t="s">
        <v>28</v>
      </c>
      <c r="E206" t="s">
        <v>84</v>
      </c>
      <c r="F206" s="267" t="s">
        <v>422</v>
      </c>
      <c r="G206" s="267" t="s">
        <v>628</v>
      </c>
    </row>
    <row r="207" spans="1:7">
      <c r="A207">
        <v>462</v>
      </c>
      <c r="B207">
        <v>2019</v>
      </c>
      <c r="C207" t="s">
        <v>129</v>
      </c>
      <c r="D207" t="s">
        <v>28</v>
      </c>
      <c r="E207" t="s">
        <v>84</v>
      </c>
      <c r="F207" s="267" t="s">
        <v>423</v>
      </c>
      <c r="G207" s="267" t="s">
        <v>629</v>
      </c>
    </row>
    <row r="208" spans="1:7">
      <c r="A208">
        <v>4</v>
      </c>
      <c r="B208">
        <v>2019</v>
      </c>
      <c r="C208" t="s">
        <v>157</v>
      </c>
      <c r="D208" t="s">
        <v>28</v>
      </c>
      <c r="E208" t="s">
        <v>84</v>
      </c>
      <c r="F208" s="267" t="s">
        <v>424</v>
      </c>
      <c r="G208" s="267" t="s">
        <v>630</v>
      </c>
    </row>
    <row r="209" spans="1:7">
      <c r="A209">
        <v>0</v>
      </c>
      <c r="B209">
        <v>2019</v>
      </c>
      <c r="C209" t="s">
        <v>130</v>
      </c>
      <c r="D209" t="s">
        <v>28</v>
      </c>
      <c r="E209" t="s">
        <v>84</v>
      </c>
      <c r="F209" s="267" t="s">
        <v>425</v>
      </c>
      <c r="G209" s="267" t="s">
        <v>631</v>
      </c>
    </row>
    <row r="210" spans="1:7">
      <c r="A210">
        <v>101</v>
      </c>
      <c r="B210">
        <v>2019</v>
      </c>
      <c r="C210" t="s">
        <v>363</v>
      </c>
      <c r="D210" t="s">
        <v>89</v>
      </c>
      <c r="E210" t="s">
        <v>84</v>
      </c>
      <c r="F210" s="267" t="s">
        <v>364</v>
      </c>
      <c r="G210" s="267" t="s">
        <v>632</v>
      </c>
    </row>
    <row r="211" spans="1:7">
      <c r="A211">
        <v>102</v>
      </c>
      <c r="B211">
        <v>2019</v>
      </c>
      <c r="C211" t="s">
        <v>365</v>
      </c>
      <c r="D211" t="s">
        <v>89</v>
      </c>
      <c r="E211" t="s">
        <v>84</v>
      </c>
      <c r="F211" s="267" t="s">
        <v>366</v>
      </c>
      <c r="G211" s="267" t="s">
        <v>633</v>
      </c>
    </row>
    <row r="212" spans="1:7">
      <c r="A212">
        <v>103</v>
      </c>
      <c r="B212">
        <v>2019</v>
      </c>
      <c r="C212" t="s">
        <v>367</v>
      </c>
      <c r="D212" t="s">
        <v>89</v>
      </c>
      <c r="E212" t="s">
        <v>84</v>
      </c>
      <c r="F212" s="267" t="s">
        <v>368</v>
      </c>
      <c r="G212" s="267" t="s">
        <v>634</v>
      </c>
    </row>
    <row r="213" spans="1:7">
      <c r="A213">
        <v>151</v>
      </c>
      <c r="B213">
        <v>2019</v>
      </c>
      <c r="C213" t="s">
        <v>94</v>
      </c>
      <c r="D213" t="s">
        <v>89</v>
      </c>
      <c r="E213" t="s">
        <v>84</v>
      </c>
      <c r="F213" s="267" t="s">
        <v>369</v>
      </c>
      <c r="G213" s="267" t="s">
        <v>635</v>
      </c>
    </row>
    <row r="214" spans="1:7">
      <c r="A214">
        <v>153</v>
      </c>
      <c r="B214">
        <v>2019</v>
      </c>
      <c r="C214" t="s">
        <v>96</v>
      </c>
      <c r="D214" t="s">
        <v>89</v>
      </c>
      <c r="E214" t="s">
        <v>84</v>
      </c>
      <c r="F214" s="267" t="s">
        <v>370</v>
      </c>
      <c r="G214" s="267" t="s">
        <v>636</v>
      </c>
    </row>
    <row r="215" spans="1:7">
      <c r="A215">
        <v>154</v>
      </c>
      <c r="B215">
        <v>2019</v>
      </c>
      <c r="C215" t="s">
        <v>97</v>
      </c>
      <c r="D215" t="s">
        <v>89</v>
      </c>
      <c r="E215" t="s">
        <v>84</v>
      </c>
      <c r="F215" s="267" t="s">
        <v>371</v>
      </c>
      <c r="G215" s="267" t="s">
        <v>637</v>
      </c>
    </row>
    <row r="216" spans="1:7">
      <c r="A216">
        <v>155</v>
      </c>
      <c r="B216">
        <v>2019</v>
      </c>
      <c r="C216" t="s">
        <v>98</v>
      </c>
      <c r="D216" t="s">
        <v>89</v>
      </c>
      <c r="E216" t="s">
        <v>84</v>
      </c>
      <c r="F216" s="267" t="s">
        <v>372</v>
      </c>
      <c r="G216" s="267" t="s">
        <v>638</v>
      </c>
    </row>
    <row r="217" spans="1:7">
      <c r="A217">
        <v>157</v>
      </c>
      <c r="B217">
        <v>2019</v>
      </c>
      <c r="C217" t="s">
        <v>99</v>
      </c>
      <c r="D217" t="s">
        <v>89</v>
      </c>
      <c r="E217" t="s">
        <v>84</v>
      </c>
      <c r="F217" s="267" t="s">
        <v>373</v>
      </c>
      <c r="G217" s="267" t="s">
        <v>639</v>
      </c>
    </row>
    <row r="218" spans="1:7">
      <c r="A218">
        <v>158</v>
      </c>
      <c r="B218">
        <v>2019</v>
      </c>
      <c r="C218" t="s">
        <v>100</v>
      </c>
      <c r="D218" t="s">
        <v>89</v>
      </c>
      <c r="E218" t="s">
        <v>84</v>
      </c>
      <c r="F218" s="267" t="s">
        <v>374</v>
      </c>
      <c r="G218" s="267" t="s">
        <v>640</v>
      </c>
    </row>
    <row r="219" spans="1:7">
      <c r="A219">
        <v>159</v>
      </c>
      <c r="B219">
        <v>2019</v>
      </c>
      <c r="C219" t="s">
        <v>95</v>
      </c>
      <c r="D219" t="s">
        <v>89</v>
      </c>
      <c r="E219" t="s">
        <v>84</v>
      </c>
      <c r="F219" s="267" t="s">
        <v>375</v>
      </c>
      <c r="G219" s="267" t="s">
        <v>641</v>
      </c>
    </row>
    <row r="220" spans="1:7">
      <c r="A220">
        <v>1</v>
      </c>
      <c r="B220">
        <v>2019</v>
      </c>
      <c r="C220" t="s">
        <v>154</v>
      </c>
      <c r="D220" t="s">
        <v>89</v>
      </c>
      <c r="E220" t="s">
        <v>84</v>
      </c>
      <c r="F220" s="267" t="s">
        <v>376</v>
      </c>
      <c r="G220" s="267" t="s">
        <v>642</v>
      </c>
    </row>
    <row r="221" spans="1:7">
      <c r="A221">
        <v>241</v>
      </c>
      <c r="B221">
        <v>2019</v>
      </c>
      <c r="C221" t="s">
        <v>377</v>
      </c>
      <c r="D221" t="s">
        <v>89</v>
      </c>
      <c r="E221" t="s">
        <v>84</v>
      </c>
      <c r="F221" s="267" t="s">
        <v>378</v>
      </c>
      <c r="G221" s="267" t="s">
        <v>643</v>
      </c>
    </row>
    <row r="222" spans="1:7">
      <c r="A222">
        <v>241001</v>
      </c>
      <c r="B222">
        <v>2019</v>
      </c>
      <c r="C222" t="s">
        <v>379</v>
      </c>
      <c r="D222" t="s">
        <v>89</v>
      </c>
      <c r="E222" t="s">
        <v>84</v>
      </c>
      <c r="F222" s="267" t="s">
        <v>380</v>
      </c>
      <c r="G222" s="267" t="s">
        <v>644</v>
      </c>
    </row>
    <row r="223" spans="1:7">
      <c r="A223">
        <v>241999</v>
      </c>
      <c r="B223">
        <v>2019</v>
      </c>
      <c r="C223" t="s">
        <v>381</v>
      </c>
      <c r="D223" t="s">
        <v>89</v>
      </c>
      <c r="E223" t="s">
        <v>84</v>
      </c>
      <c r="F223" s="267" t="s">
        <v>382</v>
      </c>
      <c r="G223" s="267" t="s">
        <v>645</v>
      </c>
    </row>
    <row r="224" spans="1:7">
      <c r="A224">
        <v>251</v>
      </c>
      <c r="B224">
        <v>2019</v>
      </c>
      <c r="C224" t="s">
        <v>101</v>
      </c>
      <c r="D224" t="s">
        <v>89</v>
      </c>
      <c r="E224" t="s">
        <v>84</v>
      </c>
      <c r="F224" s="267" t="s">
        <v>383</v>
      </c>
      <c r="G224" s="267" t="s">
        <v>646</v>
      </c>
    </row>
    <row r="225" spans="1:7">
      <c r="A225">
        <v>252</v>
      </c>
      <c r="B225">
        <v>2019</v>
      </c>
      <c r="C225" t="s">
        <v>102</v>
      </c>
      <c r="D225" t="s">
        <v>89</v>
      </c>
      <c r="E225" t="s">
        <v>84</v>
      </c>
      <c r="F225" s="267" t="s">
        <v>384</v>
      </c>
      <c r="G225" s="267" t="s">
        <v>647</v>
      </c>
    </row>
    <row r="226" spans="1:7">
      <c r="A226">
        <v>254</v>
      </c>
      <c r="B226">
        <v>2019</v>
      </c>
      <c r="C226" t="s">
        <v>103</v>
      </c>
      <c r="D226" t="s">
        <v>89</v>
      </c>
      <c r="E226" t="s">
        <v>84</v>
      </c>
      <c r="F226" s="267" t="s">
        <v>385</v>
      </c>
      <c r="G226" s="267" t="s">
        <v>648</v>
      </c>
    </row>
    <row r="227" spans="1:7">
      <c r="A227">
        <v>255</v>
      </c>
      <c r="B227">
        <v>2019</v>
      </c>
      <c r="C227" t="s">
        <v>104</v>
      </c>
      <c r="D227" t="s">
        <v>89</v>
      </c>
      <c r="E227" t="s">
        <v>84</v>
      </c>
      <c r="F227" s="267" t="s">
        <v>386</v>
      </c>
      <c r="G227" s="267" t="s">
        <v>649</v>
      </c>
    </row>
    <row r="228" spans="1:7">
      <c r="A228">
        <v>256</v>
      </c>
      <c r="B228">
        <v>2019</v>
      </c>
      <c r="C228" t="s">
        <v>105</v>
      </c>
      <c r="D228" t="s">
        <v>89</v>
      </c>
      <c r="E228" t="s">
        <v>84</v>
      </c>
      <c r="F228" s="267" t="s">
        <v>387</v>
      </c>
      <c r="G228" s="267" t="s">
        <v>650</v>
      </c>
    </row>
    <row r="229" spans="1:7">
      <c r="A229">
        <v>257</v>
      </c>
      <c r="B229">
        <v>2019</v>
      </c>
      <c r="C229" t="s">
        <v>106</v>
      </c>
      <c r="D229" t="s">
        <v>89</v>
      </c>
      <c r="E229" t="s">
        <v>84</v>
      </c>
      <c r="F229" s="267" t="s">
        <v>388</v>
      </c>
      <c r="G229" s="267" t="s">
        <v>651</v>
      </c>
    </row>
    <row r="230" spans="1:7">
      <c r="A230">
        <v>2</v>
      </c>
      <c r="B230">
        <v>2019</v>
      </c>
      <c r="C230" t="s">
        <v>155</v>
      </c>
      <c r="D230" t="s">
        <v>89</v>
      </c>
      <c r="E230" t="s">
        <v>84</v>
      </c>
      <c r="F230" s="267" t="s">
        <v>389</v>
      </c>
      <c r="G230" s="267" t="s">
        <v>652</v>
      </c>
    </row>
    <row r="231" spans="1:7">
      <c r="A231">
        <v>351</v>
      </c>
      <c r="B231">
        <v>2019</v>
      </c>
      <c r="C231" t="s">
        <v>107</v>
      </c>
      <c r="D231" t="s">
        <v>89</v>
      </c>
      <c r="E231" t="s">
        <v>84</v>
      </c>
      <c r="F231" s="267" t="s">
        <v>390</v>
      </c>
      <c r="G231" s="267" t="s">
        <v>653</v>
      </c>
    </row>
    <row r="232" spans="1:7">
      <c r="A232">
        <v>352</v>
      </c>
      <c r="B232">
        <v>2019</v>
      </c>
      <c r="C232" t="s">
        <v>108</v>
      </c>
      <c r="D232" t="s">
        <v>89</v>
      </c>
      <c r="E232" t="s">
        <v>84</v>
      </c>
      <c r="F232" s="267" t="s">
        <v>391</v>
      </c>
      <c r="G232" s="267" t="s">
        <v>654</v>
      </c>
    </row>
    <row r="233" spans="1:7">
      <c r="A233">
        <v>353</v>
      </c>
      <c r="B233">
        <v>2019</v>
      </c>
      <c r="C233" t="s">
        <v>109</v>
      </c>
      <c r="D233" t="s">
        <v>89</v>
      </c>
      <c r="E233" t="s">
        <v>84</v>
      </c>
      <c r="F233" s="267" t="s">
        <v>392</v>
      </c>
      <c r="G233" s="267" t="s">
        <v>655</v>
      </c>
    </row>
    <row r="234" spans="1:7">
      <c r="A234">
        <v>354</v>
      </c>
      <c r="B234">
        <v>2019</v>
      </c>
      <c r="C234" t="s">
        <v>110</v>
      </c>
      <c r="D234" t="s">
        <v>89</v>
      </c>
      <c r="E234" t="s">
        <v>84</v>
      </c>
      <c r="F234" s="267" t="s">
        <v>393</v>
      </c>
      <c r="G234" s="267" t="s">
        <v>656</v>
      </c>
    </row>
    <row r="235" spans="1:7">
      <c r="A235">
        <v>355</v>
      </c>
      <c r="B235">
        <v>2019</v>
      </c>
      <c r="C235" t="s">
        <v>111</v>
      </c>
      <c r="D235" t="s">
        <v>89</v>
      </c>
      <c r="E235" t="s">
        <v>84</v>
      </c>
      <c r="F235" s="267" t="s">
        <v>394</v>
      </c>
      <c r="G235" s="267" t="s">
        <v>638</v>
      </c>
    </row>
    <row r="236" spans="1:7">
      <c r="A236">
        <v>356</v>
      </c>
      <c r="B236">
        <v>2019</v>
      </c>
      <c r="C236" t="s">
        <v>112</v>
      </c>
      <c r="D236" t="s">
        <v>89</v>
      </c>
      <c r="E236" t="s">
        <v>84</v>
      </c>
      <c r="F236" s="267" t="s">
        <v>395</v>
      </c>
      <c r="G236" s="267" t="s">
        <v>657</v>
      </c>
    </row>
    <row r="237" spans="1:7">
      <c r="A237">
        <v>357</v>
      </c>
      <c r="B237">
        <v>2019</v>
      </c>
      <c r="C237" t="s">
        <v>113</v>
      </c>
      <c r="D237" t="s">
        <v>89</v>
      </c>
      <c r="E237" t="s">
        <v>84</v>
      </c>
      <c r="F237" s="267" t="s">
        <v>396</v>
      </c>
      <c r="G237" s="267" t="s">
        <v>658</v>
      </c>
    </row>
    <row r="238" spans="1:7">
      <c r="A238">
        <v>358</v>
      </c>
      <c r="B238">
        <v>2019</v>
      </c>
      <c r="C238" t="s">
        <v>114</v>
      </c>
      <c r="D238" t="s">
        <v>89</v>
      </c>
      <c r="E238" t="s">
        <v>84</v>
      </c>
      <c r="F238" s="267" t="s">
        <v>397</v>
      </c>
      <c r="G238" s="267" t="s">
        <v>659</v>
      </c>
    </row>
    <row r="239" spans="1:7">
      <c r="A239">
        <v>359</v>
      </c>
      <c r="B239">
        <v>2019</v>
      </c>
      <c r="C239" t="s">
        <v>115</v>
      </c>
      <c r="D239" t="s">
        <v>89</v>
      </c>
      <c r="E239" t="s">
        <v>84</v>
      </c>
      <c r="F239" s="267" t="s">
        <v>398</v>
      </c>
      <c r="G239" s="267" t="s">
        <v>660</v>
      </c>
    </row>
    <row r="240" spans="1:7">
      <c r="A240">
        <v>360</v>
      </c>
      <c r="B240">
        <v>2019</v>
      </c>
      <c r="C240" t="s">
        <v>116</v>
      </c>
      <c r="D240" t="s">
        <v>89</v>
      </c>
      <c r="E240" t="s">
        <v>84</v>
      </c>
      <c r="F240" s="267" t="s">
        <v>399</v>
      </c>
      <c r="G240" s="267" t="s">
        <v>661</v>
      </c>
    </row>
    <row r="241" spans="1:7">
      <c r="A241">
        <v>361</v>
      </c>
      <c r="B241">
        <v>2019</v>
      </c>
      <c r="C241" t="s">
        <v>117</v>
      </c>
      <c r="D241" t="s">
        <v>89</v>
      </c>
      <c r="E241" t="s">
        <v>84</v>
      </c>
      <c r="F241" s="267" t="s">
        <v>400</v>
      </c>
      <c r="G241" s="267" t="s">
        <v>662</v>
      </c>
    </row>
    <row r="242" spans="1:7">
      <c r="A242">
        <v>3</v>
      </c>
      <c r="B242">
        <v>2019</v>
      </c>
      <c r="C242" t="s">
        <v>156</v>
      </c>
      <c r="D242" t="s">
        <v>89</v>
      </c>
      <c r="E242" t="s">
        <v>84</v>
      </c>
      <c r="F242" s="267" t="s">
        <v>401</v>
      </c>
      <c r="G242" s="267" t="s">
        <v>663</v>
      </c>
    </row>
    <row r="243" spans="1:7">
      <c r="A243">
        <v>401</v>
      </c>
      <c r="B243">
        <v>2019</v>
      </c>
      <c r="C243" t="s">
        <v>402</v>
      </c>
      <c r="D243" t="s">
        <v>89</v>
      </c>
      <c r="E243" t="s">
        <v>84</v>
      </c>
      <c r="F243" s="267" t="s">
        <v>403</v>
      </c>
      <c r="G243" s="267" t="s">
        <v>664</v>
      </c>
    </row>
    <row r="244" spans="1:7">
      <c r="A244">
        <v>402</v>
      </c>
      <c r="B244">
        <v>2019</v>
      </c>
      <c r="C244" t="s">
        <v>404</v>
      </c>
      <c r="D244" t="s">
        <v>89</v>
      </c>
      <c r="E244" t="s">
        <v>84</v>
      </c>
      <c r="F244" s="267" t="s">
        <v>405</v>
      </c>
      <c r="G244" s="267" t="s">
        <v>665</v>
      </c>
    </row>
    <row r="245" spans="1:7">
      <c r="A245">
        <v>403</v>
      </c>
      <c r="B245">
        <v>2019</v>
      </c>
      <c r="C245" t="s">
        <v>406</v>
      </c>
      <c r="D245" t="s">
        <v>89</v>
      </c>
      <c r="E245" t="s">
        <v>84</v>
      </c>
      <c r="F245" s="267" t="s">
        <v>407</v>
      </c>
      <c r="G245" s="267" t="s">
        <v>666</v>
      </c>
    </row>
    <row r="246" spans="1:7">
      <c r="A246">
        <v>404</v>
      </c>
      <c r="B246">
        <v>2019</v>
      </c>
      <c r="C246" t="s">
        <v>408</v>
      </c>
      <c r="D246" t="s">
        <v>89</v>
      </c>
      <c r="E246" t="s">
        <v>84</v>
      </c>
      <c r="F246" s="267" t="s">
        <v>409</v>
      </c>
      <c r="G246" s="267" t="s">
        <v>667</v>
      </c>
    </row>
    <row r="247" spans="1:7">
      <c r="A247">
        <v>405</v>
      </c>
      <c r="B247">
        <v>2019</v>
      </c>
      <c r="C247" t="s">
        <v>410</v>
      </c>
      <c r="D247" t="s">
        <v>89</v>
      </c>
      <c r="E247" t="s">
        <v>84</v>
      </c>
      <c r="F247" s="267" t="s">
        <v>411</v>
      </c>
      <c r="G247" s="267" t="s">
        <v>668</v>
      </c>
    </row>
    <row r="248" spans="1:7">
      <c r="A248">
        <v>451</v>
      </c>
      <c r="B248">
        <v>2019</v>
      </c>
      <c r="C248" t="s">
        <v>118</v>
      </c>
      <c r="D248" t="s">
        <v>89</v>
      </c>
      <c r="E248" t="s">
        <v>84</v>
      </c>
      <c r="F248" s="267" t="s">
        <v>412</v>
      </c>
      <c r="G248" s="267" t="s">
        <v>669</v>
      </c>
    </row>
    <row r="249" spans="1:7">
      <c r="A249">
        <v>452</v>
      </c>
      <c r="B249">
        <v>2019</v>
      </c>
      <c r="C249" t="s">
        <v>119</v>
      </c>
      <c r="D249" t="s">
        <v>89</v>
      </c>
      <c r="E249" t="s">
        <v>84</v>
      </c>
      <c r="F249" s="267" t="s">
        <v>413</v>
      </c>
      <c r="G249" s="267" t="s">
        <v>670</v>
      </c>
    </row>
    <row r="250" spans="1:7">
      <c r="A250">
        <v>453</v>
      </c>
      <c r="B250">
        <v>2019</v>
      </c>
      <c r="C250" t="s">
        <v>120</v>
      </c>
      <c r="D250" t="s">
        <v>89</v>
      </c>
      <c r="E250" t="s">
        <v>84</v>
      </c>
      <c r="F250" s="267" t="s">
        <v>414</v>
      </c>
      <c r="G250" s="267" t="s">
        <v>671</v>
      </c>
    </row>
    <row r="251" spans="1:7">
      <c r="A251">
        <v>454</v>
      </c>
      <c r="B251">
        <v>2019</v>
      </c>
      <c r="C251" t="s">
        <v>121</v>
      </c>
      <c r="D251" t="s">
        <v>89</v>
      </c>
      <c r="E251" t="s">
        <v>84</v>
      </c>
      <c r="F251" s="267" t="s">
        <v>415</v>
      </c>
      <c r="G251" s="267" t="s">
        <v>672</v>
      </c>
    </row>
    <row r="252" spans="1:7">
      <c r="A252">
        <v>455</v>
      </c>
      <c r="B252">
        <v>2019</v>
      </c>
      <c r="C252" t="s">
        <v>122</v>
      </c>
      <c r="D252" t="s">
        <v>89</v>
      </c>
      <c r="E252" t="s">
        <v>84</v>
      </c>
      <c r="F252" s="267" t="s">
        <v>416</v>
      </c>
      <c r="G252" s="267" t="s">
        <v>673</v>
      </c>
    </row>
    <row r="253" spans="1:7">
      <c r="A253">
        <v>456</v>
      </c>
      <c r="B253">
        <v>2019</v>
      </c>
      <c r="C253" t="s">
        <v>123</v>
      </c>
      <c r="D253" t="s">
        <v>89</v>
      </c>
      <c r="E253" t="s">
        <v>84</v>
      </c>
      <c r="F253" s="267" t="s">
        <v>417</v>
      </c>
      <c r="G253" s="267" t="s">
        <v>674</v>
      </c>
    </row>
    <row r="254" spans="1:7">
      <c r="A254">
        <v>457</v>
      </c>
      <c r="B254">
        <v>2019</v>
      </c>
      <c r="C254" t="s">
        <v>124</v>
      </c>
      <c r="D254" t="s">
        <v>89</v>
      </c>
      <c r="E254" t="s">
        <v>84</v>
      </c>
      <c r="F254" s="267" t="s">
        <v>418</v>
      </c>
      <c r="G254" s="267" t="s">
        <v>675</v>
      </c>
    </row>
    <row r="255" spans="1:7">
      <c r="A255">
        <v>458</v>
      </c>
      <c r="B255">
        <v>2019</v>
      </c>
      <c r="C255" t="s">
        <v>125</v>
      </c>
      <c r="D255" t="s">
        <v>89</v>
      </c>
      <c r="E255" t="s">
        <v>84</v>
      </c>
      <c r="F255" s="267" t="s">
        <v>419</v>
      </c>
      <c r="G255" s="267" t="s">
        <v>676</v>
      </c>
    </row>
    <row r="256" spans="1:7">
      <c r="A256">
        <v>459</v>
      </c>
      <c r="B256">
        <v>2019</v>
      </c>
      <c r="C256" t="s">
        <v>126</v>
      </c>
      <c r="D256" t="s">
        <v>89</v>
      </c>
      <c r="E256" t="s">
        <v>84</v>
      </c>
      <c r="F256" s="267" t="s">
        <v>420</v>
      </c>
      <c r="G256" s="267" t="s">
        <v>677</v>
      </c>
    </row>
    <row r="257" spans="1:7">
      <c r="A257">
        <v>460</v>
      </c>
      <c r="B257">
        <v>2019</v>
      </c>
      <c r="C257" t="s">
        <v>127</v>
      </c>
      <c r="D257" t="s">
        <v>89</v>
      </c>
      <c r="E257" t="s">
        <v>84</v>
      </c>
      <c r="F257" s="267" t="s">
        <v>421</v>
      </c>
      <c r="G257" s="267" t="s">
        <v>678</v>
      </c>
    </row>
    <row r="258" spans="1:7">
      <c r="A258">
        <v>461</v>
      </c>
      <c r="B258">
        <v>2019</v>
      </c>
      <c r="C258" t="s">
        <v>128</v>
      </c>
      <c r="D258" t="s">
        <v>89</v>
      </c>
      <c r="E258" t="s">
        <v>84</v>
      </c>
      <c r="F258" s="267" t="s">
        <v>422</v>
      </c>
      <c r="G258" s="267" t="s">
        <v>679</v>
      </c>
    </row>
    <row r="259" spans="1:7">
      <c r="A259">
        <v>462</v>
      </c>
      <c r="B259">
        <v>2019</v>
      </c>
      <c r="C259" t="s">
        <v>129</v>
      </c>
      <c r="D259" t="s">
        <v>89</v>
      </c>
      <c r="E259" t="s">
        <v>84</v>
      </c>
      <c r="F259" s="267" t="s">
        <v>423</v>
      </c>
      <c r="G259" s="267" t="s">
        <v>680</v>
      </c>
    </row>
    <row r="260" spans="1:7">
      <c r="A260">
        <v>4</v>
      </c>
      <c r="B260">
        <v>2019</v>
      </c>
      <c r="C260" t="s">
        <v>157</v>
      </c>
      <c r="D260" t="s">
        <v>89</v>
      </c>
      <c r="E260" t="s">
        <v>84</v>
      </c>
      <c r="F260" s="267" t="s">
        <v>424</v>
      </c>
      <c r="G260" s="267" t="s">
        <v>681</v>
      </c>
    </row>
    <row r="261" spans="1:7">
      <c r="A261">
        <v>0</v>
      </c>
      <c r="B261">
        <v>2019</v>
      </c>
      <c r="C261" t="s">
        <v>130</v>
      </c>
      <c r="D261" t="s">
        <v>89</v>
      </c>
      <c r="E261" t="s">
        <v>84</v>
      </c>
      <c r="F261" s="267" t="s">
        <v>425</v>
      </c>
      <c r="G261" s="267" t="s">
        <v>682</v>
      </c>
    </row>
    <row r="262" spans="1:7">
      <c r="A262">
        <v>101</v>
      </c>
      <c r="B262">
        <v>2019</v>
      </c>
      <c r="C262" t="s">
        <v>363</v>
      </c>
      <c r="D262" t="s">
        <v>90</v>
      </c>
      <c r="E262" t="s">
        <v>84</v>
      </c>
      <c r="F262" s="267" t="s">
        <v>364</v>
      </c>
      <c r="G262" s="267" t="s">
        <v>683</v>
      </c>
    </row>
    <row r="263" spans="1:7">
      <c r="A263">
        <v>102</v>
      </c>
      <c r="B263">
        <v>2019</v>
      </c>
      <c r="C263" t="s">
        <v>365</v>
      </c>
      <c r="D263" t="s">
        <v>90</v>
      </c>
      <c r="E263" t="s">
        <v>84</v>
      </c>
      <c r="F263" s="267" t="s">
        <v>366</v>
      </c>
      <c r="G263" s="267" t="s">
        <v>684</v>
      </c>
    </row>
    <row r="264" spans="1:7">
      <c r="A264">
        <v>103</v>
      </c>
      <c r="B264">
        <v>2019</v>
      </c>
      <c r="C264" t="s">
        <v>367</v>
      </c>
      <c r="D264" t="s">
        <v>90</v>
      </c>
      <c r="E264" t="s">
        <v>84</v>
      </c>
      <c r="F264" s="267" t="s">
        <v>368</v>
      </c>
      <c r="G264" s="267" t="s">
        <v>430</v>
      </c>
    </row>
    <row r="265" spans="1:7">
      <c r="A265">
        <v>151</v>
      </c>
      <c r="B265">
        <v>2019</v>
      </c>
      <c r="C265" t="s">
        <v>94</v>
      </c>
      <c r="D265" t="s">
        <v>90</v>
      </c>
      <c r="E265" t="s">
        <v>84</v>
      </c>
      <c r="F265" s="267" t="s">
        <v>369</v>
      </c>
      <c r="G265" s="267" t="s">
        <v>685</v>
      </c>
    </row>
    <row r="266" spans="1:7">
      <c r="A266">
        <v>153</v>
      </c>
      <c r="B266">
        <v>2019</v>
      </c>
      <c r="C266" t="s">
        <v>96</v>
      </c>
      <c r="D266" t="s">
        <v>90</v>
      </c>
      <c r="E266" t="s">
        <v>84</v>
      </c>
      <c r="F266" s="267" t="s">
        <v>370</v>
      </c>
      <c r="G266" s="267" t="s">
        <v>686</v>
      </c>
    </row>
    <row r="267" spans="1:7">
      <c r="A267">
        <v>154</v>
      </c>
      <c r="B267">
        <v>2019</v>
      </c>
      <c r="C267" t="s">
        <v>97</v>
      </c>
      <c r="D267" t="s">
        <v>90</v>
      </c>
      <c r="E267" t="s">
        <v>84</v>
      </c>
      <c r="F267" s="267" t="s">
        <v>371</v>
      </c>
      <c r="G267" s="267" t="s">
        <v>687</v>
      </c>
    </row>
    <row r="268" spans="1:7">
      <c r="A268">
        <v>155</v>
      </c>
      <c r="B268">
        <v>2019</v>
      </c>
      <c r="C268" t="s">
        <v>98</v>
      </c>
      <c r="D268" t="s">
        <v>90</v>
      </c>
      <c r="E268" t="s">
        <v>84</v>
      </c>
      <c r="F268" s="267" t="s">
        <v>372</v>
      </c>
      <c r="G268" s="267" t="s">
        <v>688</v>
      </c>
    </row>
    <row r="269" spans="1:7">
      <c r="A269">
        <v>157</v>
      </c>
      <c r="B269">
        <v>2019</v>
      </c>
      <c r="C269" t="s">
        <v>99</v>
      </c>
      <c r="D269" t="s">
        <v>90</v>
      </c>
      <c r="E269" t="s">
        <v>84</v>
      </c>
      <c r="F269" s="267" t="s">
        <v>373</v>
      </c>
      <c r="G269" s="267" t="s">
        <v>689</v>
      </c>
    </row>
    <row r="270" spans="1:7">
      <c r="A270">
        <v>158</v>
      </c>
      <c r="B270">
        <v>2019</v>
      </c>
      <c r="C270" t="s">
        <v>100</v>
      </c>
      <c r="D270" t="s">
        <v>90</v>
      </c>
      <c r="E270" t="s">
        <v>84</v>
      </c>
      <c r="F270" s="267" t="s">
        <v>374</v>
      </c>
      <c r="G270" s="267" t="s">
        <v>690</v>
      </c>
    </row>
    <row r="271" spans="1:7">
      <c r="A271">
        <v>159</v>
      </c>
      <c r="B271">
        <v>2019</v>
      </c>
      <c r="C271" t="s">
        <v>95</v>
      </c>
      <c r="D271" t="s">
        <v>90</v>
      </c>
      <c r="E271" t="s">
        <v>84</v>
      </c>
      <c r="F271" s="267" t="s">
        <v>375</v>
      </c>
      <c r="G271" s="267" t="s">
        <v>691</v>
      </c>
    </row>
    <row r="272" spans="1:7">
      <c r="A272">
        <v>1</v>
      </c>
      <c r="B272">
        <v>2019</v>
      </c>
      <c r="C272" t="s">
        <v>154</v>
      </c>
      <c r="D272" t="s">
        <v>90</v>
      </c>
      <c r="E272" t="s">
        <v>84</v>
      </c>
      <c r="F272" s="267" t="s">
        <v>376</v>
      </c>
      <c r="G272" s="267" t="s">
        <v>692</v>
      </c>
    </row>
    <row r="273" spans="1:7">
      <c r="A273">
        <v>241</v>
      </c>
      <c r="B273">
        <v>2019</v>
      </c>
      <c r="C273" t="s">
        <v>377</v>
      </c>
      <c r="D273" t="s">
        <v>90</v>
      </c>
      <c r="E273" t="s">
        <v>84</v>
      </c>
      <c r="F273" s="267" t="s">
        <v>378</v>
      </c>
      <c r="G273" s="267" t="s">
        <v>693</v>
      </c>
    </row>
    <row r="274" spans="1:7">
      <c r="A274">
        <v>241001</v>
      </c>
      <c r="B274">
        <v>2019</v>
      </c>
      <c r="C274" t="s">
        <v>379</v>
      </c>
      <c r="D274" t="s">
        <v>90</v>
      </c>
      <c r="E274" t="s">
        <v>84</v>
      </c>
      <c r="F274" s="267" t="s">
        <v>380</v>
      </c>
      <c r="G274" s="267" t="s">
        <v>694</v>
      </c>
    </row>
    <row r="275" spans="1:7">
      <c r="A275">
        <v>241999</v>
      </c>
      <c r="B275">
        <v>2019</v>
      </c>
      <c r="C275" t="s">
        <v>381</v>
      </c>
      <c r="D275" t="s">
        <v>90</v>
      </c>
      <c r="E275" t="s">
        <v>84</v>
      </c>
      <c r="F275" s="267" t="s">
        <v>382</v>
      </c>
      <c r="G275" s="267" t="s">
        <v>695</v>
      </c>
    </row>
    <row r="276" spans="1:7">
      <c r="A276">
        <v>251</v>
      </c>
      <c r="B276">
        <v>2019</v>
      </c>
      <c r="C276" t="s">
        <v>101</v>
      </c>
      <c r="D276" t="s">
        <v>90</v>
      </c>
      <c r="E276" t="s">
        <v>84</v>
      </c>
      <c r="F276" s="267" t="s">
        <v>383</v>
      </c>
      <c r="G276" s="267" t="s">
        <v>696</v>
      </c>
    </row>
    <row r="277" spans="1:7">
      <c r="A277">
        <v>252</v>
      </c>
      <c r="B277">
        <v>2019</v>
      </c>
      <c r="C277" t="s">
        <v>102</v>
      </c>
      <c r="D277" t="s">
        <v>90</v>
      </c>
      <c r="E277" t="s">
        <v>84</v>
      </c>
      <c r="F277" s="267" t="s">
        <v>384</v>
      </c>
      <c r="G277" s="267" t="s">
        <v>588</v>
      </c>
    </row>
    <row r="278" spans="1:7">
      <c r="A278">
        <v>254</v>
      </c>
      <c r="B278">
        <v>2019</v>
      </c>
      <c r="C278" t="s">
        <v>103</v>
      </c>
      <c r="D278" t="s">
        <v>90</v>
      </c>
      <c r="E278" t="s">
        <v>84</v>
      </c>
      <c r="F278" s="267" t="s">
        <v>385</v>
      </c>
      <c r="G278" s="267" t="s">
        <v>697</v>
      </c>
    </row>
    <row r="279" spans="1:7">
      <c r="A279">
        <v>255</v>
      </c>
      <c r="B279">
        <v>2019</v>
      </c>
      <c r="C279" t="s">
        <v>104</v>
      </c>
      <c r="D279" t="s">
        <v>90</v>
      </c>
      <c r="E279" t="s">
        <v>84</v>
      </c>
      <c r="F279" s="267" t="s">
        <v>386</v>
      </c>
      <c r="G279" s="267" t="s">
        <v>698</v>
      </c>
    </row>
    <row r="280" spans="1:7">
      <c r="A280">
        <v>256</v>
      </c>
      <c r="B280">
        <v>2019</v>
      </c>
      <c r="C280" t="s">
        <v>105</v>
      </c>
      <c r="D280" t="s">
        <v>90</v>
      </c>
      <c r="E280" t="s">
        <v>84</v>
      </c>
      <c r="F280" s="267" t="s">
        <v>387</v>
      </c>
      <c r="G280" s="267" t="s">
        <v>511</v>
      </c>
    </row>
    <row r="281" spans="1:7">
      <c r="A281">
        <v>257</v>
      </c>
      <c r="B281">
        <v>2019</v>
      </c>
      <c r="C281" t="s">
        <v>106</v>
      </c>
      <c r="D281" t="s">
        <v>90</v>
      </c>
      <c r="E281" t="s">
        <v>84</v>
      </c>
      <c r="F281" s="267" t="s">
        <v>388</v>
      </c>
      <c r="G281" s="267" t="s">
        <v>699</v>
      </c>
    </row>
    <row r="282" spans="1:7">
      <c r="A282">
        <v>2</v>
      </c>
      <c r="B282">
        <v>2019</v>
      </c>
      <c r="C282" t="s">
        <v>155</v>
      </c>
      <c r="D282" t="s">
        <v>90</v>
      </c>
      <c r="E282" t="s">
        <v>84</v>
      </c>
      <c r="F282" s="267" t="s">
        <v>389</v>
      </c>
      <c r="G282" s="267" t="s">
        <v>700</v>
      </c>
    </row>
    <row r="283" spans="1:7">
      <c r="A283">
        <v>351</v>
      </c>
      <c r="B283">
        <v>2019</v>
      </c>
      <c r="C283" t="s">
        <v>107</v>
      </c>
      <c r="D283" t="s">
        <v>90</v>
      </c>
      <c r="E283" t="s">
        <v>84</v>
      </c>
      <c r="F283" s="267" t="s">
        <v>390</v>
      </c>
      <c r="G283" s="267" t="s">
        <v>701</v>
      </c>
    </row>
    <row r="284" spans="1:7">
      <c r="A284">
        <v>352</v>
      </c>
      <c r="B284">
        <v>2019</v>
      </c>
      <c r="C284" t="s">
        <v>108</v>
      </c>
      <c r="D284" t="s">
        <v>90</v>
      </c>
      <c r="E284" t="s">
        <v>84</v>
      </c>
      <c r="F284" s="267" t="s">
        <v>391</v>
      </c>
      <c r="G284" s="267" t="s">
        <v>702</v>
      </c>
    </row>
    <row r="285" spans="1:7">
      <c r="A285">
        <v>353</v>
      </c>
      <c r="B285">
        <v>2019</v>
      </c>
      <c r="C285" t="s">
        <v>109</v>
      </c>
      <c r="D285" t="s">
        <v>90</v>
      </c>
      <c r="E285" t="s">
        <v>84</v>
      </c>
      <c r="F285" s="267" t="s">
        <v>392</v>
      </c>
      <c r="G285" s="267" t="s">
        <v>703</v>
      </c>
    </row>
    <row r="286" spans="1:7">
      <c r="A286">
        <v>354</v>
      </c>
      <c r="B286">
        <v>2019</v>
      </c>
      <c r="C286" t="s">
        <v>110</v>
      </c>
      <c r="D286" t="s">
        <v>90</v>
      </c>
      <c r="E286" t="s">
        <v>84</v>
      </c>
      <c r="F286" s="267" t="s">
        <v>393</v>
      </c>
      <c r="G286" s="267" t="s">
        <v>704</v>
      </c>
    </row>
    <row r="287" spans="1:7">
      <c r="A287">
        <v>355</v>
      </c>
      <c r="B287">
        <v>2019</v>
      </c>
      <c r="C287" t="s">
        <v>111</v>
      </c>
      <c r="D287" t="s">
        <v>90</v>
      </c>
      <c r="E287" t="s">
        <v>84</v>
      </c>
      <c r="F287" s="267" t="s">
        <v>394</v>
      </c>
      <c r="G287" s="267" t="s">
        <v>705</v>
      </c>
    </row>
    <row r="288" spans="1:7">
      <c r="A288">
        <v>356</v>
      </c>
      <c r="B288">
        <v>2019</v>
      </c>
      <c r="C288" t="s">
        <v>112</v>
      </c>
      <c r="D288" t="s">
        <v>90</v>
      </c>
      <c r="E288" t="s">
        <v>84</v>
      </c>
      <c r="F288" s="267" t="s">
        <v>395</v>
      </c>
      <c r="G288" s="267" t="s">
        <v>706</v>
      </c>
    </row>
    <row r="289" spans="1:7">
      <c r="A289">
        <v>357</v>
      </c>
      <c r="B289">
        <v>2019</v>
      </c>
      <c r="C289" t="s">
        <v>113</v>
      </c>
      <c r="D289" t="s">
        <v>90</v>
      </c>
      <c r="E289" t="s">
        <v>84</v>
      </c>
      <c r="F289" s="267" t="s">
        <v>396</v>
      </c>
      <c r="G289" s="267" t="s">
        <v>707</v>
      </c>
    </row>
    <row r="290" spans="1:7">
      <c r="A290">
        <v>358</v>
      </c>
      <c r="B290">
        <v>2019</v>
      </c>
      <c r="C290" t="s">
        <v>114</v>
      </c>
      <c r="D290" t="s">
        <v>90</v>
      </c>
      <c r="E290" t="s">
        <v>84</v>
      </c>
      <c r="F290" s="267" t="s">
        <v>397</v>
      </c>
      <c r="G290" s="267" t="s">
        <v>708</v>
      </c>
    </row>
    <row r="291" spans="1:7">
      <c r="A291">
        <v>359</v>
      </c>
      <c r="B291">
        <v>2019</v>
      </c>
      <c r="C291" t="s">
        <v>115</v>
      </c>
      <c r="D291" t="s">
        <v>90</v>
      </c>
      <c r="E291" t="s">
        <v>84</v>
      </c>
      <c r="F291" s="267" t="s">
        <v>398</v>
      </c>
      <c r="G291" s="267" t="s">
        <v>709</v>
      </c>
    </row>
    <row r="292" spans="1:7">
      <c r="A292">
        <v>360</v>
      </c>
      <c r="B292">
        <v>2019</v>
      </c>
      <c r="C292" t="s">
        <v>116</v>
      </c>
      <c r="D292" t="s">
        <v>90</v>
      </c>
      <c r="E292" t="s">
        <v>84</v>
      </c>
      <c r="F292" s="267" t="s">
        <v>399</v>
      </c>
      <c r="G292" s="267" t="s">
        <v>710</v>
      </c>
    </row>
    <row r="293" spans="1:7">
      <c r="A293">
        <v>361</v>
      </c>
      <c r="B293">
        <v>2019</v>
      </c>
      <c r="C293" t="s">
        <v>117</v>
      </c>
      <c r="D293" t="s">
        <v>90</v>
      </c>
      <c r="E293" t="s">
        <v>84</v>
      </c>
      <c r="F293" s="267" t="s">
        <v>400</v>
      </c>
      <c r="G293" s="267" t="s">
        <v>711</v>
      </c>
    </row>
    <row r="294" spans="1:7">
      <c r="A294">
        <v>3</v>
      </c>
      <c r="B294">
        <v>2019</v>
      </c>
      <c r="C294" t="s">
        <v>156</v>
      </c>
      <c r="D294" t="s">
        <v>90</v>
      </c>
      <c r="E294" t="s">
        <v>84</v>
      </c>
      <c r="F294" s="267" t="s">
        <v>401</v>
      </c>
      <c r="G294" s="267" t="s">
        <v>712</v>
      </c>
    </row>
    <row r="295" spans="1:7">
      <c r="A295">
        <v>401</v>
      </c>
      <c r="B295">
        <v>2019</v>
      </c>
      <c r="C295" t="s">
        <v>402</v>
      </c>
      <c r="D295" t="s">
        <v>90</v>
      </c>
      <c r="E295" t="s">
        <v>84</v>
      </c>
      <c r="F295" s="267" t="s">
        <v>403</v>
      </c>
      <c r="G295" s="267" t="s">
        <v>713</v>
      </c>
    </row>
    <row r="296" spans="1:7">
      <c r="A296">
        <v>402</v>
      </c>
      <c r="B296">
        <v>2019</v>
      </c>
      <c r="C296" t="s">
        <v>404</v>
      </c>
      <c r="D296" t="s">
        <v>90</v>
      </c>
      <c r="E296" t="s">
        <v>84</v>
      </c>
      <c r="F296" s="267" t="s">
        <v>405</v>
      </c>
      <c r="G296" s="267" t="s">
        <v>714</v>
      </c>
    </row>
    <row r="297" spans="1:7">
      <c r="A297">
        <v>403</v>
      </c>
      <c r="B297">
        <v>2019</v>
      </c>
      <c r="C297" t="s">
        <v>406</v>
      </c>
      <c r="D297" t="s">
        <v>90</v>
      </c>
      <c r="E297" t="s">
        <v>84</v>
      </c>
      <c r="F297" s="267" t="s">
        <v>407</v>
      </c>
      <c r="G297" s="267" t="s">
        <v>715</v>
      </c>
    </row>
    <row r="298" spans="1:7">
      <c r="A298">
        <v>404</v>
      </c>
      <c r="B298">
        <v>2019</v>
      </c>
      <c r="C298" t="s">
        <v>408</v>
      </c>
      <c r="D298" t="s">
        <v>90</v>
      </c>
      <c r="E298" t="s">
        <v>84</v>
      </c>
      <c r="F298" s="267" t="s">
        <v>409</v>
      </c>
      <c r="G298" s="267" t="s">
        <v>716</v>
      </c>
    </row>
    <row r="299" spans="1:7">
      <c r="A299">
        <v>405</v>
      </c>
      <c r="B299">
        <v>2019</v>
      </c>
      <c r="C299" t="s">
        <v>410</v>
      </c>
      <c r="D299" t="s">
        <v>90</v>
      </c>
      <c r="E299" t="s">
        <v>84</v>
      </c>
      <c r="F299" s="267" t="s">
        <v>411</v>
      </c>
      <c r="G299" s="267" t="s">
        <v>717</v>
      </c>
    </row>
    <row r="300" spans="1:7">
      <c r="A300">
        <v>451</v>
      </c>
      <c r="B300">
        <v>2019</v>
      </c>
      <c r="C300" t="s">
        <v>118</v>
      </c>
      <c r="D300" t="s">
        <v>90</v>
      </c>
      <c r="E300" t="s">
        <v>84</v>
      </c>
      <c r="F300" s="267" t="s">
        <v>412</v>
      </c>
      <c r="G300" s="267" t="s">
        <v>718</v>
      </c>
    </row>
    <row r="301" spans="1:7">
      <c r="A301">
        <v>452</v>
      </c>
      <c r="B301">
        <v>2019</v>
      </c>
      <c r="C301" t="s">
        <v>119</v>
      </c>
      <c r="D301" t="s">
        <v>90</v>
      </c>
      <c r="E301" t="s">
        <v>84</v>
      </c>
      <c r="F301" s="267" t="s">
        <v>413</v>
      </c>
      <c r="G301" s="267" t="s">
        <v>719</v>
      </c>
    </row>
    <row r="302" spans="1:7">
      <c r="A302">
        <v>453</v>
      </c>
      <c r="B302">
        <v>2019</v>
      </c>
      <c r="C302" t="s">
        <v>120</v>
      </c>
      <c r="D302" t="s">
        <v>90</v>
      </c>
      <c r="E302" t="s">
        <v>84</v>
      </c>
      <c r="F302" s="267" t="s">
        <v>414</v>
      </c>
      <c r="G302" s="267" t="s">
        <v>720</v>
      </c>
    </row>
    <row r="303" spans="1:7">
      <c r="A303">
        <v>454</v>
      </c>
      <c r="B303">
        <v>2019</v>
      </c>
      <c r="C303" t="s">
        <v>121</v>
      </c>
      <c r="D303" t="s">
        <v>90</v>
      </c>
      <c r="E303" t="s">
        <v>84</v>
      </c>
      <c r="F303" s="267" t="s">
        <v>415</v>
      </c>
      <c r="G303" s="267" t="s">
        <v>721</v>
      </c>
    </row>
    <row r="304" spans="1:7">
      <c r="A304">
        <v>455</v>
      </c>
      <c r="B304">
        <v>2019</v>
      </c>
      <c r="C304" t="s">
        <v>122</v>
      </c>
      <c r="D304" t="s">
        <v>90</v>
      </c>
      <c r="E304" t="s">
        <v>84</v>
      </c>
      <c r="F304" s="267" t="s">
        <v>416</v>
      </c>
      <c r="G304" s="267" t="s">
        <v>722</v>
      </c>
    </row>
    <row r="305" spans="1:7">
      <c r="A305">
        <v>456</v>
      </c>
      <c r="B305">
        <v>2019</v>
      </c>
      <c r="C305" t="s">
        <v>123</v>
      </c>
      <c r="D305" t="s">
        <v>90</v>
      </c>
      <c r="E305" t="s">
        <v>84</v>
      </c>
      <c r="F305" s="267" t="s">
        <v>417</v>
      </c>
      <c r="G305" s="267" t="s">
        <v>723</v>
      </c>
    </row>
    <row r="306" spans="1:7">
      <c r="A306">
        <v>457</v>
      </c>
      <c r="B306">
        <v>2019</v>
      </c>
      <c r="C306" t="s">
        <v>124</v>
      </c>
      <c r="D306" t="s">
        <v>90</v>
      </c>
      <c r="E306" t="s">
        <v>84</v>
      </c>
      <c r="F306" s="267" t="s">
        <v>418</v>
      </c>
      <c r="G306" s="267" t="s">
        <v>724</v>
      </c>
    </row>
    <row r="307" spans="1:7">
      <c r="A307">
        <v>458</v>
      </c>
      <c r="B307">
        <v>2019</v>
      </c>
      <c r="C307" t="s">
        <v>125</v>
      </c>
      <c r="D307" t="s">
        <v>90</v>
      </c>
      <c r="E307" t="s">
        <v>84</v>
      </c>
      <c r="F307" s="267" t="s">
        <v>419</v>
      </c>
      <c r="G307" s="267" t="s">
        <v>725</v>
      </c>
    </row>
    <row r="308" spans="1:7">
      <c r="A308">
        <v>459</v>
      </c>
      <c r="B308">
        <v>2019</v>
      </c>
      <c r="C308" t="s">
        <v>126</v>
      </c>
      <c r="D308" t="s">
        <v>90</v>
      </c>
      <c r="E308" t="s">
        <v>84</v>
      </c>
      <c r="F308" s="267" t="s">
        <v>420</v>
      </c>
      <c r="G308" s="267" t="s">
        <v>726</v>
      </c>
    </row>
    <row r="309" spans="1:7">
      <c r="A309">
        <v>460</v>
      </c>
      <c r="B309">
        <v>2019</v>
      </c>
      <c r="C309" t="s">
        <v>127</v>
      </c>
      <c r="D309" t="s">
        <v>90</v>
      </c>
      <c r="E309" t="s">
        <v>84</v>
      </c>
      <c r="F309" s="267" t="s">
        <v>421</v>
      </c>
      <c r="G309" s="267" t="s">
        <v>727</v>
      </c>
    </row>
    <row r="310" spans="1:7">
      <c r="A310">
        <v>461</v>
      </c>
      <c r="B310">
        <v>2019</v>
      </c>
      <c r="C310" t="s">
        <v>128</v>
      </c>
      <c r="D310" t="s">
        <v>90</v>
      </c>
      <c r="E310" t="s">
        <v>84</v>
      </c>
      <c r="F310" s="267" t="s">
        <v>422</v>
      </c>
      <c r="G310" s="267" t="s">
        <v>728</v>
      </c>
    </row>
    <row r="311" spans="1:7">
      <c r="A311">
        <v>462</v>
      </c>
      <c r="B311">
        <v>2019</v>
      </c>
      <c r="C311" t="s">
        <v>129</v>
      </c>
      <c r="D311" t="s">
        <v>90</v>
      </c>
      <c r="E311" t="s">
        <v>84</v>
      </c>
      <c r="F311" s="267" t="s">
        <v>423</v>
      </c>
      <c r="G311" s="267" t="s">
        <v>729</v>
      </c>
    </row>
    <row r="312" spans="1:7">
      <c r="A312">
        <v>4</v>
      </c>
      <c r="B312">
        <v>2019</v>
      </c>
      <c r="C312" t="s">
        <v>157</v>
      </c>
      <c r="D312" t="s">
        <v>90</v>
      </c>
      <c r="E312" t="s">
        <v>84</v>
      </c>
      <c r="F312" s="267" t="s">
        <v>424</v>
      </c>
      <c r="G312" s="267" t="s">
        <v>730</v>
      </c>
    </row>
    <row r="313" spans="1:7">
      <c r="A313">
        <v>0</v>
      </c>
      <c r="B313">
        <v>2019</v>
      </c>
      <c r="C313" t="s">
        <v>130</v>
      </c>
      <c r="D313" t="s">
        <v>90</v>
      </c>
      <c r="E313" t="s">
        <v>84</v>
      </c>
      <c r="F313" s="267" t="s">
        <v>425</v>
      </c>
      <c r="G313" s="267" t="s">
        <v>579</v>
      </c>
    </row>
    <row r="314" spans="1:7">
      <c r="A314">
        <v>101</v>
      </c>
      <c r="B314">
        <v>2018</v>
      </c>
      <c r="C314" t="s">
        <v>363</v>
      </c>
      <c r="D314" t="s">
        <v>28</v>
      </c>
      <c r="E314" t="s">
        <v>84</v>
      </c>
      <c r="F314" s="267" t="s">
        <v>364</v>
      </c>
      <c r="G314" s="267" t="s">
        <v>731</v>
      </c>
    </row>
    <row r="315" spans="1:7">
      <c r="A315">
        <v>102</v>
      </c>
      <c r="B315">
        <v>2018</v>
      </c>
      <c r="C315" t="s">
        <v>365</v>
      </c>
      <c r="D315" t="s">
        <v>28</v>
      </c>
      <c r="E315" t="s">
        <v>84</v>
      </c>
      <c r="F315" s="267" t="s">
        <v>366</v>
      </c>
      <c r="G315" s="267" t="s">
        <v>732</v>
      </c>
    </row>
    <row r="316" spans="1:7">
      <c r="A316">
        <v>103</v>
      </c>
      <c r="B316">
        <v>2018</v>
      </c>
      <c r="C316" t="s">
        <v>367</v>
      </c>
      <c r="D316" t="s">
        <v>28</v>
      </c>
      <c r="E316" t="s">
        <v>84</v>
      </c>
      <c r="F316" s="267" t="s">
        <v>368</v>
      </c>
      <c r="G316" s="267" t="s">
        <v>733</v>
      </c>
    </row>
    <row r="317" spans="1:7">
      <c r="A317">
        <v>151</v>
      </c>
      <c r="B317">
        <v>2018</v>
      </c>
      <c r="C317" t="s">
        <v>94</v>
      </c>
      <c r="D317" t="s">
        <v>28</v>
      </c>
      <c r="E317" t="s">
        <v>84</v>
      </c>
      <c r="F317" s="267" t="s">
        <v>369</v>
      </c>
      <c r="G317" s="267" t="s">
        <v>734</v>
      </c>
    </row>
    <row r="318" spans="1:7">
      <c r="A318">
        <v>153</v>
      </c>
      <c r="B318">
        <v>2018</v>
      </c>
      <c r="C318" t="s">
        <v>96</v>
      </c>
      <c r="D318" t="s">
        <v>28</v>
      </c>
      <c r="E318" t="s">
        <v>84</v>
      </c>
      <c r="F318" s="267" t="s">
        <v>370</v>
      </c>
      <c r="G318" s="267" t="s">
        <v>735</v>
      </c>
    </row>
    <row r="319" spans="1:7">
      <c r="A319">
        <v>154</v>
      </c>
      <c r="B319">
        <v>2018</v>
      </c>
      <c r="C319" t="s">
        <v>97</v>
      </c>
      <c r="D319" t="s">
        <v>28</v>
      </c>
      <c r="E319" t="s">
        <v>84</v>
      </c>
      <c r="F319" s="267" t="s">
        <v>371</v>
      </c>
      <c r="G319" s="267" t="s">
        <v>736</v>
      </c>
    </row>
    <row r="320" spans="1:7">
      <c r="A320">
        <v>155</v>
      </c>
      <c r="B320">
        <v>2018</v>
      </c>
      <c r="C320" t="s">
        <v>98</v>
      </c>
      <c r="D320" t="s">
        <v>28</v>
      </c>
      <c r="E320" t="s">
        <v>84</v>
      </c>
      <c r="F320" s="267" t="s">
        <v>372</v>
      </c>
      <c r="G320" s="267" t="s">
        <v>737</v>
      </c>
    </row>
    <row r="321" spans="1:7">
      <c r="A321">
        <v>157</v>
      </c>
      <c r="B321">
        <v>2018</v>
      </c>
      <c r="C321" t="s">
        <v>99</v>
      </c>
      <c r="D321" t="s">
        <v>28</v>
      </c>
      <c r="E321" t="s">
        <v>84</v>
      </c>
      <c r="F321" s="267" t="s">
        <v>373</v>
      </c>
      <c r="G321" s="267" t="s">
        <v>738</v>
      </c>
    </row>
    <row r="322" spans="1:7">
      <c r="A322">
        <v>158</v>
      </c>
      <c r="B322">
        <v>2018</v>
      </c>
      <c r="C322" t="s">
        <v>100</v>
      </c>
      <c r="D322" t="s">
        <v>28</v>
      </c>
      <c r="E322" t="s">
        <v>84</v>
      </c>
      <c r="F322" s="267" t="s">
        <v>374</v>
      </c>
      <c r="G322" s="267" t="s">
        <v>739</v>
      </c>
    </row>
    <row r="323" spans="1:7">
      <c r="A323">
        <v>159</v>
      </c>
      <c r="B323">
        <v>2018</v>
      </c>
      <c r="C323" t="s">
        <v>95</v>
      </c>
      <c r="D323" t="s">
        <v>28</v>
      </c>
      <c r="E323" t="s">
        <v>84</v>
      </c>
      <c r="F323" s="267" t="s">
        <v>375</v>
      </c>
      <c r="G323" s="267" t="s">
        <v>740</v>
      </c>
    </row>
    <row r="324" spans="1:7">
      <c r="A324">
        <v>1</v>
      </c>
      <c r="B324">
        <v>2018</v>
      </c>
      <c r="C324" t="s">
        <v>154</v>
      </c>
      <c r="D324" t="s">
        <v>28</v>
      </c>
      <c r="E324" t="s">
        <v>84</v>
      </c>
      <c r="F324" s="267" t="s">
        <v>376</v>
      </c>
      <c r="G324" s="267" t="s">
        <v>741</v>
      </c>
    </row>
    <row r="325" spans="1:7">
      <c r="A325">
        <v>241</v>
      </c>
      <c r="B325">
        <v>2018</v>
      </c>
      <c r="C325" t="s">
        <v>377</v>
      </c>
      <c r="D325" t="s">
        <v>28</v>
      </c>
      <c r="E325" t="s">
        <v>84</v>
      </c>
      <c r="F325" s="267" t="s">
        <v>378</v>
      </c>
      <c r="G325" s="267" t="s">
        <v>742</v>
      </c>
    </row>
    <row r="326" spans="1:7">
      <c r="A326">
        <v>241001</v>
      </c>
      <c r="B326">
        <v>2018</v>
      </c>
      <c r="C326" t="s">
        <v>379</v>
      </c>
      <c r="D326" t="s">
        <v>28</v>
      </c>
      <c r="E326" t="s">
        <v>84</v>
      </c>
      <c r="F326" s="267" t="s">
        <v>380</v>
      </c>
      <c r="G326" s="267" t="s">
        <v>743</v>
      </c>
    </row>
    <row r="327" spans="1:7">
      <c r="A327">
        <v>241999</v>
      </c>
      <c r="B327">
        <v>2018</v>
      </c>
      <c r="C327" t="s">
        <v>381</v>
      </c>
      <c r="D327" t="s">
        <v>28</v>
      </c>
      <c r="E327" t="s">
        <v>84</v>
      </c>
      <c r="F327" s="267" t="s">
        <v>382</v>
      </c>
      <c r="G327" s="267" t="s">
        <v>744</v>
      </c>
    </row>
    <row r="328" spans="1:7">
      <c r="A328">
        <v>251</v>
      </c>
      <c r="B328">
        <v>2018</v>
      </c>
      <c r="C328" t="s">
        <v>101</v>
      </c>
      <c r="D328" t="s">
        <v>28</v>
      </c>
      <c r="E328" t="s">
        <v>84</v>
      </c>
      <c r="F328" s="267" t="s">
        <v>383</v>
      </c>
      <c r="G328" s="267" t="s">
        <v>745</v>
      </c>
    </row>
    <row r="329" spans="1:7">
      <c r="A329">
        <v>252</v>
      </c>
      <c r="B329">
        <v>2018</v>
      </c>
      <c r="C329" t="s">
        <v>102</v>
      </c>
      <c r="D329" t="s">
        <v>28</v>
      </c>
      <c r="E329" t="s">
        <v>84</v>
      </c>
      <c r="F329" s="267" t="s">
        <v>384</v>
      </c>
      <c r="G329" s="267" t="s">
        <v>746</v>
      </c>
    </row>
    <row r="330" spans="1:7">
      <c r="A330">
        <v>254</v>
      </c>
      <c r="B330">
        <v>2018</v>
      </c>
      <c r="C330" t="s">
        <v>103</v>
      </c>
      <c r="D330" t="s">
        <v>28</v>
      </c>
      <c r="E330" t="s">
        <v>84</v>
      </c>
      <c r="F330" s="267" t="s">
        <v>385</v>
      </c>
      <c r="G330" s="267" t="s">
        <v>747</v>
      </c>
    </row>
    <row r="331" spans="1:7">
      <c r="A331">
        <v>255</v>
      </c>
      <c r="B331">
        <v>2018</v>
      </c>
      <c r="C331" t="s">
        <v>104</v>
      </c>
      <c r="D331" t="s">
        <v>28</v>
      </c>
      <c r="E331" t="s">
        <v>84</v>
      </c>
      <c r="F331" s="267" t="s">
        <v>386</v>
      </c>
      <c r="G331" s="267" t="s">
        <v>748</v>
      </c>
    </row>
    <row r="332" spans="1:7">
      <c r="A332">
        <v>256</v>
      </c>
      <c r="B332">
        <v>2018</v>
      </c>
      <c r="C332" t="s">
        <v>105</v>
      </c>
      <c r="D332" t="s">
        <v>28</v>
      </c>
      <c r="E332" t="s">
        <v>84</v>
      </c>
      <c r="F332" s="267" t="s">
        <v>387</v>
      </c>
      <c r="G332" s="267" t="s">
        <v>749</v>
      </c>
    </row>
    <row r="333" spans="1:7">
      <c r="A333">
        <v>257</v>
      </c>
      <c r="B333">
        <v>2018</v>
      </c>
      <c r="C333" t="s">
        <v>106</v>
      </c>
      <c r="D333" t="s">
        <v>28</v>
      </c>
      <c r="E333" t="s">
        <v>84</v>
      </c>
      <c r="F333" s="267" t="s">
        <v>388</v>
      </c>
      <c r="G333" s="267" t="s">
        <v>750</v>
      </c>
    </row>
    <row r="334" spans="1:7">
      <c r="A334">
        <v>2</v>
      </c>
      <c r="B334">
        <v>2018</v>
      </c>
      <c r="C334" t="s">
        <v>155</v>
      </c>
      <c r="D334" t="s">
        <v>28</v>
      </c>
      <c r="E334" t="s">
        <v>84</v>
      </c>
      <c r="F334" s="267" t="s">
        <v>389</v>
      </c>
      <c r="G334" s="267" t="s">
        <v>751</v>
      </c>
    </row>
    <row r="335" spans="1:7">
      <c r="A335">
        <v>351</v>
      </c>
      <c r="B335">
        <v>2018</v>
      </c>
      <c r="C335" t="s">
        <v>107</v>
      </c>
      <c r="D335" t="s">
        <v>28</v>
      </c>
      <c r="E335" t="s">
        <v>84</v>
      </c>
      <c r="F335" s="267" t="s">
        <v>390</v>
      </c>
      <c r="G335" s="267" t="s">
        <v>752</v>
      </c>
    </row>
    <row r="336" spans="1:7">
      <c r="A336">
        <v>352</v>
      </c>
      <c r="B336">
        <v>2018</v>
      </c>
      <c r="C336" t="s">
        <v>108</v>
      </c>
      <c r="D336" t="s">
        <v>28</v>
      </c>
      <c r="E336" t="s">
        <v>84</v>
      </c>
      <c r="F336" s="267" t="s">
        <v>391</v>
      </c>
      <c r="G336" s="267" t="s">
        <v>753</v>
      </c>
    </row>
    <row r="337" spans="1:7">
      <c r="A337">
        <v>353</v>
      </c>
      <c r="B337">
        <v>2018</v>
      </c>
      <c r="C337" t="s">
        <v>109</v>
      </c>
      <c r="D337" t="s">
        <v>28</v>
      </c>
      <c r="E337" t="s">
        <v>84</v>
      </c>
      <c r="F337" s="267" t="s">
        <v>392</v>
      </c>
      <c r="G337" s="267" t="s">
        <v>754</v>
      </c>
    </row>
    <row r="338" spans="1:7">
      <c r="A338">
        <v>354</v>
      </c>
      <c r="B338">
        <v>2018</v>
      </c>
      <c r="C338" t="s">
        <v>110</v>
      </c>
      <c r="D338" t="s">
        <v>28</v>
      </c>
      <c r="E338" t="s">
        <v>84</v>
      </c>
      <c r="F338" s="267" t="s">
        <v>393</v>
      </c>
      <c r="G338" s="267" t="s">
        <v>755</v>
      </c>
    </row>
    <row r="339" spans="1:7">
      <c r="A339">
        <v>355</v>
      </c>
      <c r="B339">
        <v>2018</v>
      </c>
      <c r="C339" t="s">
        <v>111</v>
      </c>
      <c r="D339" t="s">
        <v>28</v>
      </c>
      <c r="E339" t="s">
        <v>84</v>
      </c>
      <c r="F339" s="267" t="s">
        <v>394</v>
      </c>
      <c r="G339" s="267" t="s">
        <v>756</v>
      </c>
    </row>
    <row r="340" spans="1:7">
      <c r="A340">
        <v>356</v>
      </c>
      <c r="B340">
        <v>2018</v>
      </c>
      <c r="C340" t="s">
        <v>112</v>
      </c>
      <c r="D340" t="s">
        <v>28</v>
      </c>
      <c r="E340" t="s">
        <v>84</v>
      </c>
      <c r="F340" s="267" t="s">
        <v>395</v>
      </c>
      <c r="G340" s="267" t="s">
        <v>757</v>
      </c>
    </row>
    <row r="341" spans="1:7">
      <c r="A341">
        <v>357</v>
      </c>
      <c r="B341">
        <v>2018</v>
      </c>
      <c r="C341" t="s">
        <v>113</v>
      </c>
      <c r="D341" t="s">
        <v>28</v>
      </c>
      <c r="E341" t="s">
        <v>84</v>
      </c>
      <c r="F341" s="267" t="s">
        <v>396</v>
      </c>
      <c r="G341" s="267" t="s">
        <v>758</v>
      </c>
    </row>
    <row r="342" spans="1:7">
      <c r="A342">
        <v>358</v>
      </c>
      <c r="B342">
        <v>2018</v>
      </c>
      <c r="C342" t="s">
        <v>114</v>
      </c>
      <c r="D342" t="s">
        <v>28</v>
      </c>
      <c r="E342" t="s">
        <v>84</v>
      </c>
      <c r="F342" s="267" t="s">
        <v>397</v>
      </c>
      <c r="G342" s="267" t="s">
        <v>759</v>
      </c>
    </row>
    <row r="343" spans="1:7">
      <c r="A343">
        <v>359</v>
      </c>
      <c r="B343">
        <v>2018</v>
      </c>
      <c r="C343" t="s">
        <v>115</v>
      </c>
      <c r="D343" t="s">
        <v>28</v>
      </c>
      <c r="E343" t="s">
        <v>84</v>
      </c>
      <c r="F343" s="267" t="s">
        <v>398</v>
      </c>
      <c r="G343" s="267" t="s">
        <v>760</v>
      </c>
    </row>
    <row r="344" spans="1:7">
      <c r="A344">
        <v>360</v>
      </c>
      <c r="B344">
        <v>2018</v>
      </c>
      <c r="C344" t="s">
        <v>116</v>
      </c>
      <c r="D344" t="s">
        <v>28</v>
      </c>
      <c r="E344" t="s">
        <v>84</v>
      </c>
      <c r="F344" s="267" t="s">
        <v>399</v>
      </c>
      <c r="G344" s="267" t="s">
        <v>761</v>
      </c>
    </row>
    <row r="345" spans="1:7">
      <c r="A345">
        <v>361</v>
      </c>
      <c r="B345">
        <v>2018</v>
      </c>
      <c r="C345" t="s">
        <v>117</v>
      </c>
      <c r="D345" t="s">
        <v>28</v>
      </c>
      <c r="E345" t="s">
        <v>84</v>
      </c>
      <c r="F345" s="267" t="s">
        <v>400</v>
      </c>
      <c r="G345" s="267" t="s">
        <v>762</v>
      </c>
    </row>
    <row r="346" spans="1:7">
      <c r="A346">
        <v>3</v>
      </c>
      <c r="B346">
        <v>2018</v>
      </c>
      <c r="C346" t="s">
        <v>156</v>
      </c>
      <c r="D346" t="s">
        <v>28</v>
      </c>
      <c r="E346" t="s">
        <v>84</v>
      </c>
      <c r="F346" s="267" t="s">
        <v>401</v>
      </c>
      <c r="G346" s="267" t="s">
        <v>763</v>
      </c>
    </row>
    <row r="347" spans="1:7">
      <c r="A347">
        <v>401</v>
      </c>
      <c r="B347">
        <v>2018</v>
      </c>
      <c r="C347" t="s">
        <v>402</v>
      </c>
      <c r="D347" t="s">
        <v>28</v>
      </c>
      <c r="E347" t="s">
        <v>84</v>
      </c>
      <c r="F347" s="267" t="s">
        <v>403</v>
      </c>
      <c r="G347" s="267" t="s">
        <v>764</v>
      </c>
    </row>
    <row r="348" spans="1:7">
      <c r="A348">
        <v>402</v>
      </c>
      <c r="B348">
        <v>2018</v>
      </c>
      <c r="C348" t="s">
        <v>404</v>
      </c>
      <c r="D348" t="s">
        <v>28</v>
      </c>
      <c r="E348" t="s">
        <v>84</v>
      </c>
      <c r="F348" s="267" t="s">
        <v>405</v>
      </c>
      <c r="G348" s="267" t="s">
        <v>765</v>
      </c>
    </row>
    <row r="349" spans="1:7">
      <c r="A349">
        <v>403</v>
      </c>
      <c r="B349">
        <v>2018</v>
      </c>
      <c r="C349" t="s">
        <v>406</v>
      </c>
      <c r="D349" t="s">
        <v>28</v>
      </c>
      <c r="E349" t="s">
        <v>84</v>
      </c>
      <c r="F349" s="267" t="s">
        <v>407</v>
      </c>
      <c r="G349" s="267" t="s">
        <v>766</v>
      </c>
    </row>
    <row r="350" spans="1:7">
      <c r="A350">
        <v>404</v>
      </c>
      <c r="B350">
        <v>2018</v>
      </c>
      <c r="C350" t="s">
        <v>408</v>
      </c>
      <c r="D350" t="s">
        <v>28</v>
      </c>
      <c r="E350" t="s">
        <v>84</v>
      </c>
      <c r="F350" s="267" t="s">
        <v>409</v>
      </c>
      <c r="G350" s="267" t="s">
        <v>767</v>
      </c>
    </row>
    <row r="351" spans="1:7">
      <c r="A351">
        <v>405</v>
      </c>
      <c r="B351">
        <v>2018</v>
      </c>
      <c r="C351" t="s">
        <v>410</v>
      </c>
      <c r="D351" t="s">
        <v>28</v>
      </c>
      <c r="E351" t="s">
        <v>84</v>
      </c>
      <c r="F351" s="267" t="s">
        <v>411</v>
      </c>
      <c r="G351" s="267" t="s">
        <v>768</v>
      </c>
    </row>
    <row r="352" spans="1:7">
      <c r="A352">
        <v>451</v>
      </c>
      <c r="B352">
        <v>2018</v>
      </c>
      <c r="C352" t="s">
        <v>118</v>
      </c>
      <c r="D352" t="s">
        <v>28</v>
      </c>
      <c r="E352" t="s">
        <v>84</v>
      </c>
      <c r="F352" s="267" t="s">
        <v>412</v>
      </c>
      <c r="G352" s="267" t="s">
        <v>769</v>
      </c>
    </row>
    <row r="353" spans="1:7">
      <c r="A353">
        <v>452</v>
      </c>
      <c r="B353">
        <v>2018</v>
      </c>
      <c r="C353" t="s">
        <v>119</v>
      </c>
      <c r="D353" t="s">
        <v>28</v>
      </c>
      <c r="E353" t="s">
        <v>84</v>
      </c>
      <c r="F353" s="267" t="s">
        <v>413</v>
      </c>
      <c r="G353" s="267" t="s">
        <v>770</v>
      </c>
    </row>
    <row r="354" spans="1:7">
      <c r="A354">
        <v>453</v>
      </c>
      <c r="B354">
        <v>2018</v>
      </c>
      <c r="C354" t="s">
        <v>120</v>
      </c>
      <c r="D354" t="s">
        <v>28</v>
      </c>
      <c r="E354" t="s">
        <v>84</v>
      </c>
      <c r="F354" s="267" t="s">
        <v>414</v>
      </c>
      <c r="G354" s="267" t="s">
        <v>771</v>
      </c>
    </row>
    <row r="355" spans="1:7">
      <c r="A355">
        <v>454</v>
      </c>
      <c r="B355">
        <v>2018</v>
      </c>
      <c r="C355" t="s">
        <v>121</v>
      </c>
      <c r="D355" t="s">
        <v>28</v>
      </c>
      <c r="E355" t="s">
        <v>84</v>
      </c>
      <c r="F355" s="267" t="s">
        <v>415</v>
      </c>
      <c r="G355" s="267" t="s">
        <v>772</v>
      </c>
    </row>
    <row r="356" spans="1:7">
      <c r="A356">
        <v>455</v>
      </c>
      <c r="B356">
        <v>2018</v>
      </c>
      <c r="C356" t="s">
        <v>122</v>
      </c>
      <c r="D356" t="s">
        <v>28</v>
      </c>
      <c r="E356" t="s">
        <v>84</v>
      </c>
      <c r="F356" s="267" t="s">
        <v>416</v>
      </c>
      <c r="G356" s="267" t="s">
        <v>566</v>
      </c>
    </row>
    <row r="357" spans="1:7">
      <c r="A357">
        <v>456</v>
      </c>
      <c r="B357">
        <v>2018</v>
      </c>
      <c r="C357" t="s">
        <v>123</v>
      </c>
      <c r="D357" t="s">
        <v>28</v>
      </c>
      <c r="E357" t="s">
        <v>84</v>
      </c>
      <c r="F357" s="267" t="s">
        <v>417</v>
      </c>
      <c r="G357" s="267" t="s">
        <v>773</v>
      </c>
    </row>
    <row r="358" spans="1:7">
      <c r="A358">
        <v>457</v>
      </c>
      <c r="B358">
        <v>2018</v>
      </c>
      <c r="C358" t="s">
        <v>124</v>
      </c>
      <c r="D358" t="s">
        <v>28</v>
      </c>
      <c r="E358" t="s">
        <v>84</v>
      </c>
      <c r="F358" s="267" t="s">
        <v>418</v>
      </c>
      <c r="G358" s="267" t="s">
        <v>774</v>
      </c>
    </row>
    <row r="359" spans="1:7">
      <c r="A359">
        <v>458</v>
      </c>
      <c r="B359">
        <v>2018</v>
      </c>
      <c r="C359" t="s">
        <v>125</v>
      </c>
      <c r="D359" t="s">
        <v>28</v>
      </c>
      <c r="E359" t="s">
        <v>84</v>
      </c>
      <c r="F359" s="267" t="s">
        <v>419</v>
      </c>
      <c r="G359" s="267" t="s">
        <v>775</v>
      </c>
    </row>
    <row r="360" spans="1:7">
      <c r="A360">
        <v>459</v>
      </c>
      <c r="B360">
        <v>2018</v>
      </c>
      <c r="C360" t="s">
        <v>126</v>
      </c>
      <c r="D360" t="s">
        <v>28</v>
      </c>
      <c r="E360" t="s">
        <v>84</v>
      </c>
      <c r="F360" s="267" t="s">
        <v>420</v>
      </c>
      <c r="G360" s="267" t="s">
        <v>776</v>
      </c>
    </row>
    <row r="361" spans="1:7">
      <c r="A361">
        <v>460</v>
      </c>
      <c r="B361">
        <v>2018</v>
      </c>
      <c r="C361" t="s">
        <v>127</v>
      </c>
      <c r="D361" t="s">
        <v>28</v>
      </c>
      <c r="E361" t="s">
        <v>84</v>
      </c>
      <c r="F361" s="267" t="s">
        <v>421</v>
      </c>
      <c r="G361" s="267" t="s">
        <v>777</v>
      </c>
    </row>
    <row r="362" spans="1:7">
      <c r="A362">
        <v>461</v>
      </c>
      <c r="B362">
        <v>2018</v>
      </c>
      <c r="C362" t="s">
        <v>128</v>
      </c>
      <c r="D362" t="s">
        <v>28</v>
      </c>
      <c r="E362" t="s">
        <v>84</v>
      </c>
      <c r="F362" s="267" t="s">
        <v>422</v>
      </c>
      <c r="G362" s="267" t="s">
        <v>778</v>
      </c>
    </row>
    <row r="363" spans="1:7">
      <c r="A363">
        <v>462</v>
      </c>
      <c r="B363">
        <v>2018</v>
      </c>
      <c r="C363" t="s">
        <v>129</v>
      </c>
      <c r="D363" t="s">
        <v>28</v>
      </c>
      <c r="E363" t="s">
        <v>84</v>
      </c>
      <c r="F363" s="267" t="s">
        <v>423</v>
      </c>
      <c r="G363" s="267" t="s">
        <v>779</v>
      </c>
    </row>
    <row r="364" spans="1:7">
      <c r="A364">
        <v>4</v>
      </c>
      <c r="B364">
        <v>2018</v>
      </c>
      <c r="C364" t="s">
        <v>157</v>
      </c>
      <c r="D364" t="s">
        <v>28</v>
      </c>
      <c r="E364" t="s">
        <v>84</v>
      </c>
      <c r="F364" s="267" t="s">
        <v>424</v>
      </c>
      <c r="G364" s="267" t="s">
        <v>780</v>
      </c>
    </row>
    <row r="365" spans="1:7">
      <c r="A365">
        <v>0</v>
      </c>
      <c r="B365">
        <v>2018</v>
      </c>
      <c r="C365" t="s">
        <v>130</v>
      </c>
      <c r="D365" t="s">
        <v>28</v>
      </c>
      <c r="E365" t="s">
        <v>84</v>
      </c>
      <c r="F365" s="267" t="s">
        <v>425</v>
      </c>
      <c r="G365" s="267" t="s">
        <v>781</v>
      </c>
    </row>
    <row r="366" spans="1:7">
      <c r="A366">
        <v>101</v>
      </c>
      <c r="B366">
        <v>2018</v>
      </c>
      <c r="C366" t="s">
        <v>363</v>
      </c>
      <c r="D366" t="s">
        <v>89</v>
      </c>
      <c r="E366" t="s">
        <v>84</v>
      </c>
      <c r="F366" s="267" t="s">
        <v>364</v>
      </c>
      <c r="G366" s="267" t="s">
        <v>782</v>
      </c>
    </row>
    <row r="367" spans="1:7">
      <c r="A367">
        <v>102</v>
      </c>
      <c r="B367">
        <v>2018</v>
      </c>
      <c r="C367" t="s">
        <v>365</v>
      </c>
      <c r="D367" t="s">
        <v>89</v>
      </c>
      <c r="E367" t="s">
        <v>84</v>
      </c>
      <c r="F367" s="267" t="s">
        <v>366</v>
      </c>
      <c r="G367" s="267" t="s">
        <v>783</v>
      </c>
    </row>
    <row r="368" spans="1:7">
      <c r="A368">
        <v>103</v>
      </c>
      <c r="B368">
        <v>2018</v>
      </c>
      <c r="C368" t="s">
        <v>367</v>
      </c>
      <c r="D368" t="s">
        <v>89</v>
      </c>
      <c r="E368" t="s">
        <v>84</v>
      </c>
      <c r="F368" s="267" t="s">
        <v>368</v>
      </c>
      <c r="G368" s="267" t="s">
        <v>784</v>
      </c>
    </row>
    <row r="369" spans="1:7">
      <c r="A369">
        <v>151</v>
      </c>
      <c r="B369">
        <v>2018</v>
      </c>
      <c r="C369" t="s">
        <v>94</v>
      </c>
      <c r="D369" t="s">
        <v>89</v>
      </c>
      <c r="E369" t="s">
        <v>84</v>
      </c>
      <c r="F369" s="267" t="s">
        <v>369</v>
      </c>
      <c r="G369" s="267" t="s">
        <v>785</v>
      </c>
    </row>
    <row r="370" spans="1:7">
      <c r="A370">
        <v>153</v>
      </c>
      <c r="B370">
        <v>2018</v>
      </c>
      <c r="C370" t="s">
        <v>96</v>
      </c>
      <c r="D370" t="s">
        <v>89</v>
      </c>
      <c r="E370" t="s">
        <v>84</v>
      </c>
      <c r="F370" s="267" t="s">
        <v>370</v>
      </c>
      <c r="G370" s="267" t="s">
        <v>786</v>
      </c>
    </row>
    <row r="371" spans="1:7">
      <c r="A371">
        <v>154</v>
      </c>
      <c r="B371">
        <v>2018</v>
      </c>
      <c r="C371" t="s">
        <v>97</v>
      </c>
      <c r="D371" t="s">
        <v>89</v>
      </c>
      <c r="E371" t="s">
        <v>84</v>
      </c>
      <c r="F371" s="267" t="s">
        <v>371</v>
      </c>
      <c r="G371" s="267" t="s">
        <v>787</v>
      </c>
    </row>
    <row r="372" spans="1:7">
      <c r="A372">
        <v>155</v>
      </c>
      <c r="B372">
        <v>2018</v>
      </c>
      <c r="C372" t="s">
        <v>98</v>
      </c>
      <c r="D372" t="s">
        <v>89</v>
      </c>
      <c r="E372" t="s">
        <v>84</v>
      </c>
      <c r="F372" s="267" t="s">
        <v>372</v>
      </c>
      <c r="G372" s="267" t="s">
        <v>788</v>
      </c>
    </row>
    <row r="373" spans="1:7">
      <c r="A373">
        <v>157</v>
      </c>
      <c r="B373">
        <v>2018</v>
      </c>
      <c r="C373" t="s">
        <v>99</v>
      </c>
      <c r="D373" t="s">
        <v>89</v>
      </c>
      <c r="E373" t="s">
        <v>84</v>
      </c>
      <c r="F373" s="267" t="s">
        <v>373</v>
      </c>
      <c r="G373" s="267" t="s">
        <v>789</v>
      </c>
    </row>
    <row r="374" spans="1:7">
      <c r="A374">
        <v>158</v>
      </c>
      <c r="B374">
        <v>2018</v>
      </c>
      <c r="C374" t="s">
        <v>100</v>
      </c>
      <c r="D374" t="s">
        <v>89</v>
      </c>
      <c r="E374" t="s">
        <v>84</v>
      </c>
      <c r="F374" s="267" t="s">
        <v>374</v>
      </c>
      <c r="G374" s="267" t="s">
        <v>790</v>
      </c>
    </row>
    <row r="375" spans="1:7">
      <c r="A375">
        <v>159</v>
      </c>
      <c r="B375">
        <v>2018</v>
      </c>
      <c r="C375" t="s">
        <v>95</v>
      </c>
      <c r="D375" t="s">
        <v>89</v>
      </c>
      <c r="E375" t="s">
        <v>84</v>
      </c>
      <c r="F375" s="267" t="s">
        <v>375</v>
      </c>
      <c r="G375" s="267" t="s">
        <v>791</v>
      </c>
    </row>
    <row r="376" spans="1:7">
      <c r="A376">
        <v>1</v>
      </c>
      <c r="B376">
        <v>2018</v>
      </c>
      <c r="C376" t="s">
        <v>154</v>
      </c>
      <c r="D376" t="s">
        <v>89</v>
      </c>
      <c r="E376" t="s">
        <v>84</v>
      </c>
      <c r="F376" s="267" t="s">
        <v>376</v>
      </c>
      <c r="G376" s="267" t="s">
        <v>792</v>
      </c>
    </row>
    <row r="377" spans="1:7">
      <c r="A377">
        <v>241</v>
      </c>
      <c r="B377">
        <v>2018</v>
      </c>
      <c r="C377" t="s">
        <v>377</v>
      </c>
      <c r="D377" t="s">
        <v>89</v>
      </c>
      <c r="E377" t="s">
        <v>84</v>
      </c>
      <c r="F377" s="267" t="s">
        <v>378</v>
      </c>
      <c r="G377" s="267" t="s">
        <v>793</v>
      </c>
    </row>
    <row r="378" spans="1:7">
      <c r="A378">
        <v>241001</v>
      </c>
      <c r="B378">
        <v>2018</v>
      </c>
      <c r="C378" t="s">
        <v>379</v>
      </c>
      <c r="D378" t="s">
        <v>89</v>
      </c>
      <c r="E378" t="s">
        <v>84</v>
      </c>
      <c r="F378" s="267" t="s">
        <v>380</v>
      </c>
      <c r="G378" s="267" t="s">
        <v>794</v>
      </c>
    </row>
    <row r="379" spans="1:7">
      <c r="A379">
        <v>241999</v>
      </c>
      <c r="B379">
        <v>2018</v>
      </c>
      <c r="C379" t="s">
        <v>381</v>
      </c>
      <c r="D379" t="s">
        <v>89</v>
      </c>
      <c r="E379" t="s">
        <v>84</v>
      </c>
      <c r="F379" s="267" t="s">
        <v>382</v>
      </c>
      <c r="G379" s="267" t="s">
        <v>795</v>
      </c>
    </row>
    <row r="380" spans="1:7">
      <c r="A380">
        <v>251</v>
      </c>
      <c r="B380">
        <v>2018</v>
      </c>
      <c r="C380" t="s">
        <v>101</v>
      </c>
      <c r="D380" t="s">
        <v>89</v>
      </c>
      <c r="E380" t="s">
        <v>84</v>
      </c>
      <c r="F380" s="267" t="s">
        <v>383</v>
      </c>
      <c r="G380" s="267" t="s">
        <v>796</v>
      </c>
    </row>
    <row r="381" spans="1:7">
      <c r="A381">
        <v>252</v>
      </c>
      <c r="B381">
        <v>2018</v>
      </c>
      <c r="C381" t="s">
        <v>102</v>
      </c>
      <c r="D381" t="s">
        <v>89</v>
      </c>
      <c r="E381" t="s">
        <v>84</v>
      </c>
      <c r="F381" s="267" t="s">
        <v>384</v>
      </c>
      <c r="G381" s="267" t="s">
        <v>797</v>
      </c>
    </row>
    <row r="382" spans="1:7">
      <c r="A382">
        <v>254</v>
      </c>
      <c r="B382">
        <v>2018</v>
      </c>
      <c r="C382" t="s">
        <v>103</v>
      </c>
      <c r="D382" t="s">
        <v>89</v>
      </c>
      <c r="E382" t="s">
        <v>84</v>
      </c>
      <c r="F382" s="267" t="s">
        <v>385</v>
      </c>
      <c r="G382" s="267" t="s">
        <v>798</v>
      </c>
    </row>
    <row r="383" spans="1:7">
      <c r="A383">
        <v>255</v>
      </c>
      <c r="B383">
        <v>2018</v>
      </c>
      <c r="C383" t="s">
        <v>104</v>
      </c>
      <c r="D383" t="s">
        <v>89</v>
      </c>
      <c r="E383" t="s">
        <v>84</v>
      </c>
      <c r="F383" s="267" t="s">
        <v>386</v>
      </c>
      <c r="G383" s="267" t="s">
        <v>799</v>
      </c>
    </row>
    <row r="384" spans="1:7">
      <c r="A384">
        <v>256</v>
      </c>
      <c r="B384">
        <v>2018</v>
      </c>
      <c r="C384" t="s">
        <v>105</v>
      </c>
      <c r="D384" t="s">
        <v>89</v>
      </c>
      <c r="E384" t="s">
        <v>84</v>
      </c>
      <c r="F384" s="267" t="s">
        <v>387</v>
      </c>
      <c r="G384" s="267" t="s">
        <v>800</v>
      </c>
    </row>
    <row r="385" spans="1:7">
      <c r="A385">
        <v>257</v>
      </c>
      <c r="B385">
        <v>2018</v>
      </c>
      <c r="C385" t="s">
        <v>106</v>
      </c>
      <c r="D385" t="s">
        <v>89</v>
      </c>
      <c r="E385" t="s">
        <v>84</v>
      </c>
      <c r="F385" s="267" t="s">
        <v>388</v>
      </c>
      <c r="G385" s="267" t="s">
        <v>801</v>
      </c>
    </row>
    <row r="386" spans="1:7">
      <c r="A386">
        <v>2</v>
      </c>
      <c r="B386">
        <v>2018</v>
      </c>
      <c r="C386" t="s">
        <v>155</v>
      </c>
      <c r="D386" t="s">
        <v>89</v>
      </c>
      <c r="E386" t="s">
        <v>84</v>
      </c>
      <c r="F386" s="267" t="s">
        <v>389</v>
      </c>
      <c r="G386" s="267" t="s">
        <v>802</v>
      </c>
    </row>
    <row r="387" spans="1:7">
      <c r="A387">
        <v>351</v>
      </c>
      <c r="B387">
        <v>2018</v>
      </c>
      <c r="C387" t="s">
        <v>107</v>
      </c>
      <c r="D387" t="s">
        <v>89</v>
      </c>
      <c r="E387" t="s">
        <v>84</v>
      </c>
      <c r="F387" s="267" t="s">
        <v>390</v>
      </c>
      <c r="G387" s="267" t="s">
        <v>803</v>
      </c>
    </row>
    <row r="388" spans="1:7">
      <c r="A388">
        <v>352</v>
      </c>
      <c r="B388">
        <v>2018</v>
      </c>
      <c r="C388" t="s">
        <v>108</v>
      </c>
      <c r="D388" t="s">
        <v>89</v>
      </c>
      <c r="E388" t="s">
        <v>84</v>
      </c>
      <c r="F388" s="267" t="s">
        <v>391</v>
      </c>
      <c r="G388" s="267" t="s">
        <v>804</v>
      </c>
    </row>
    <row r="389" spans="1:7">
      <c r="A389">
        <v>353</v>
      </c>
      <c r="B389">
        <v>2018</v>
      </c>
      <c r="C389" t="s">
        <v>109</v>
      </c>
      <c r="D389" t="s">
        <v>89</v>
      </c>
      <c r="E389" t="s">
        <v>84</v>
      </c>
      <c r="F389" s="267" t="s">
        <v>392</v>
      </c>
      <c r="G389" s="267" t="s">
        <v>805</v>
      </c>
    </row>
    <row r="390" spans="1:7">
      <c r="A390">
        <v>354</v>
      </c>
      <c r="B390">
        <v>2018</v>
      </c>
      <c r="C390" t="s">
        <v>110</v>
      </c>
      <c r="D390" t="s">
        <v>89</v>
      </c>
      <c r="E390" t="s">
        <v>84</v>
      </c>
      <c r="F390" s="267" t="s">
        <v>393</v>
      </c>
      <c r="G390" s="267" t="s">
        <v>806</v>
      </c>
    </row>
    <row r="391" spans="1:7">
      <c r="A391">
        <v>355</v>
      </c>
      <c r="B391">
        <v>2018</v>
      </c>
      <c r="C391" t="s">
        <v>111</v>
      </c>
      <c r="D391" t="s">
        <v>89</v>
      </c>
      <c r="E391" t="s">
        <v>84</v>
      </c>
      <c r="F391" s="267" t="s">
        <v>394</v>
      </c>
      <c r="G391" s="267" t="s">
        <v>807</v>
      </c>
    </row>
    <row r="392" spans="1:7">
      <c r="A392">
        <v>356</v>
      </c>
      <c r="B392">
        <v>2018</v>
      </c>
      <c r="C392" t="s">
        <v>112</v>
      </c>
      <c r="D392" t="s">
        <v>89</v>
      </c>
      <c r="E392" t="s">
        <v>84</v>
      </c>
      <c r="F392" s="267" t="s">
        <v>395</v>
      </c>
      <c r="G392" s="267" t="s">
        <v>808</v>
      </c>
    </row>
    <row r="393" spans="1:7">
      <c r="A393">
        <v>357</v>
      </c>
      <c r="B393">
        <v>2018</v>
      </c>
      <c r="C393" t="s">
        <v>113</v>
      </c>
      <c r="D393" t="s">
        <v>89</v>
      </c>
      <c r="E393" t="s">
        <v>84</v>
      </c>
      <c r="F393" s="267" t="s">
        <v>396</v>
      </c>
      <c r="G393" s="267" t="s">
        <v>809</v>
      </c>
    </row>
    <row r="394" spans="1:7">
      <c r="A394">
        <v>358</v>
      </c>
      <c r="B394">
        <v>2018</v>
      </c>
      <c r="C394" t="s">
        <v>114</v>
      </c>
      <c r="D394" t="s">
        <v>89</v>
      </c>
      <c r="E394" t="s">
        <v>84</v>
      </c>
      <c r="F394" s="267" t="s">
        <v>397</v>
      </c>
      <c r="G394" s="267" t="s">
        <v>810</v>
      </c>
    </row>
    <row r="395" spans="1:7">
      <c r="A395">
        <v>359</v>
      </c>
      <c r="B395">
        <v>2018</v>
      </c>
      <c r="C395" t="s">
        <v>115</v>
      </c>
      <c r="D395" t="s">
        <v>89</v>
      </c>
      <c r="E395" t="s">
        <v>84</v>
      </c>
      <c r="F395" s="267" t="s">
        <v>398</v>
      </c>
      <c r="G395" s="267" t="s">
        <v>811</v>
      </c>
    </row>
    <row r="396" spans="1:7">
      <c r="A396">
        <v>360</v>
      </c>
      <c r="B396">
        <v>2018</v>
      </c>
      <c r="C396" t="s">
        <v>116</v>
      </c>
      <c r="D396" t="s">
        <v>89</v>
      </c>
      <c r="E396" t="s">
        <v>84</v>
      </c>
      <c r="F396" s="267" t="s">
        <v>399</v>
      </c>
      <c r="G396" s="267" t="s">
        <v>812</v>
      </c>
    </row>
    <row r="397" spans="1:7">
      <c r="A397">
        <v>361</v>
      </c>
      <c r="B397">
        <v>2018</v>
      </c>
      <c r="C397" t="s">
        <v>117</v>
      </c>
      <c r="D397" t="s">
        <v>89</v>
      </c>
      <c r="E397" t="s">
        <v>84</v>
      </c>
      <c r="F397" s="267" t="s">
        <v>400</v>
      </c>
      <c r="G397" s="267" t="s">
        <v>813</v>
      </c>
    </row>
    <row r="398" spans="1:7">
      <c r="A398">
        <v>3</v>
      </c>
      <c r="B398">
        <v>2018</v>
      </c>
      <c r="C398" t="s">
        <v>156</v>
      </c>
      <c r="D398" t="s">
        <v>89</v>
      </c>
      <c r="E398" t="s">
        <v>84</v>
      </c>
      <c r="F398" s="267" t="s">
        <v>401</v>
      </c>
      <c r="G398" s="267" t="s">
        <v>814</v>
      </c>
    </row>
    <row r="399" spans="1:7">
      <c r="A399">
        <v>401</v>
      </c>
      <c r="B399">
        <v>2018</v>
      </c>
      <c r="C399" t="s">
        <v>402</v>
      </c>
      <c r="D399" t="s">
        <v>89</v>
      </c>
      <c r="E399" t="s">
        <v>84</v>
      </c>
      <c r="F399" s="267" t="s">
        <v>403</v>
      </c>
      <c r="G399" s="267" t="s">
        <v>815</v>
      </c>
    </row>
    <row r="400" spans="1:7">
      <c r="A400">
        <v>402</v>
      </c>
      <c r="B400">
        <v>2018</v>
      </c>
      <c r="C400" t="s">
        <v>404</v>
      </c>
      <c r="D400" t="s">
        <v>89</v>
      </c>
      <c r="E400" t="s">
        <v>84</v>
      </c>
      <c r="F400" s="267" t="s">
        <v>405</v>
      </c>
      <c r="G400" s="267" t="s">
        <v>816</v>
      </c>
    </row>
    <row r="401" spans="1:7">
      <c r="A401">
        <v>403</v>
      </c>
      <c r="B401">
        <v>2018</v>
      </c>
      <c r="C401" t="s">
        <v>406</v>
      </c>
      <c r="D401" t="s">
        <v>89</v>
      </c>
      <c r="E401" t="s">
        <v>84</v>
      </c>
      <c r="F401" s="267" t="s">
        <v>407</v>
      </c>
      <c r="G401" s="267" t="s">
        <v>817</v>
      </c>
    </row>
    <row r="402" spans="1:7">
      <c r="A402">
        <v>404</v>
      </c>
      <c r="B402">
        <v>2018</v>
      </c>
      <c r="C402" t="s">
        <v>408</v>
      </c>
      <c r="D402" t="s">
        <v>89</v>
      </c>
      <c r="E402" t="s">
        <v>84</v>
      </c>
      <c r="F402" s="267" t="s">
        <v>409</v>
      </c>
      <c r="G402" s="267" t="s">
        <v>818</v>
      </c>
    </row>
    <row r="403" spans="1:7">
      <c r="A403">
        <v>405</v>
      </c>
      <c r="B403">
        <v>2018</v>
      </c>
      <c r="C403" t="s">
        <v>410</v>
      </c>
      <c r="D403" t="s">
        <v>89</v>
      </c>
      <c r="E403" t="s">
        <v>84</v>
      </c>
      <c r="F403" s="267" t="s">
        <v>411</v>
      </c>
      <c r="G403" s="267" t="s">
        <v>819</v>
      </c>
    </row>
    <row r="404" spans="1:7">
      <c r="A404">
        <v>451</v>
      </c>
      <c r="B404">
        <v>2018</v>
      </c>
      <c r="C404" t="s">
        <v>118</v>
      </c>
      <c r="D404" t="s">
        <v>89</v>
      </c>
      <c r="E404" t="s">
        <v>84</v>
      </c>
      <c r="F404" s="267" t="s">
        <v>412</v>
      </c>
      <c r="G404" s="267" t="s">
        <v>820</v>
      </c>
    </row>
    <row r="405" spans="1:7">
      <c r="A405">
        <v>452</v>
      </c>
      <c r="B405">
        <v>2018</v>
      </c>
      <c r="C405" t="s">
        <v>119</v>
      </c>
      <c r="D405" t="s">
        <v>89</v>
      </c>
      <c r="E405" t="s">
        <v>84</v>
      </c>
      <c r="F405" s="267" t="s">
        <v>413</v>
      </c>
      <c r="G405" s="267" t="s">
        <v>821</v>
      </c>
    </row>
    <row r="406" spans="1:7">
      <c r="A406">
        <v>453</v>
      </c>
      <c r="B406">
        <v>2018</v>
      </c>
      <c r="C406" t="s">
        <v>120</v>
      </c>
      <c r="D406" t="s">
        <v>89</v>
      </c>
      <c r="E406" t="s">
        <v>84</v>
      </c>
      <c r="F406" s="267" t="s">
        <v>414</v>
      </c>
      <c r="G406" s="267" t="s">
        <v>822</v>
      </c>
    </row>
    <row r="407" spans="1:7">
      <c r="A407">
        <v>454</v>
      </c>
      <c r="B407">
        <v>2018</v>
      </c>
      <c r="C407" t="s">
        <v>121</v>
      </c>
      <c r="D407" t="s">
        <v>89</v>
      </c>
      <c r="E407" t="s">
        <v>84</v>
      </c>
      <c r="F407" s="267" t="s">
        <v>415</v>
      </c>
      <c r="G407" s="267" t="s">
        <v>823</v>
      </c>
    </row>
    <row r="408" spans="1:7">
      <c r="A408">
        <v>455</v>
      </c>
      <c r="B408">
        <v>2018</v>
      </c>
      <c r="C408" t="s">
        <v>122</v>
      </c>
      <c r="D408" t="s">
        <v>89</v>
      </c>
      <c r="E408" t="s">
        <v>84</v>
      </c>
      <c r="F408" s="267" t="s">
        <v>416</v>
      </c>
      <c r="G408" s="267" t="s">
        <v>824</v>
      </c>
    </row>
    <row r="409" spans="1:7">
      <c r="A409">
        <v>456</v>
      </c>
      <c r="B409">
        <v>2018</v>
      </c>
      <c r="C409" t="s">
        <v>123</v>
      </c>
      <c r="D409" t="s">
        <v>89</v>
      </c>
      <c r="E409" t="s">
        <v>84</v>
      </c>
      <c r="F409" s="267" t="s">
        <v>417</v>
      </c>
      <c r="G409" s="267" t="s">
        <v>825</v>
      </c>
    </row>
    <row r="410" spans="1:7">
      <c r="A410">
        <v>457</v>
      </c>
      <c r="B410">
        <v>2018</v>
      </c>
      <c r="C410" t="s">
        <v>124</v>
      </c>
      <c r="D410" t="s">
        <v>89</v>
      </c>
      <c r="E410" t="s">
        <v>84</v>
      </c>
      <c r="F410" s="267" t="s">
        <v>418</v>
      </c>
      <c r="G410" s="267" t="s">
        <v>826</v>
      </c>
    </row>
    <row r="411" spans="1:7">
      <c r="A411">
        <v>458</v>
      </c>
      <c r="B411">
        <v>2018</v>
      </c>
      <c r="C411" t="s">
        <v>125</v>
      </c>
      <c r="D411" t="s">
        <v>89</v>
      </c>
      <c r="E411" t="s">
        <v>84</v>
      </c>
      <c r="F411" s="267" t="s">
        <v>419</v>
      </c>
      <c r="G411" s="267" t="s">
        <v>827</v>
      </c>
    </row>
    <row r="412" spans="1:7">
      <c r="A412">
        <v>459</v>
      </c>
      <c r="B412">
        <v>2018</v>
      </c>
      <c r="C412" t="s">
        <v>126</v>
      </c>
      <c r="D412" t="s">
        <v>89</v>
      </c>
      <c r="E412" t="s">
        <v>84</v>
      </c>
      <c r="F412" s="267" t="s">
        <v>420</v>
      </c>
      <c r="G412" s="267" t="s">
        <v>828</v>
      </c>
    </row>
    <row r="413" spans="1:7">
      <c r="A413">
        <v>460</v>
      </c>
      <c r="B413">
        <v>2018</v>
      </c>
      <c r="C413" t="s">
        <v>127</v>
      </c>
      <c r="D413" t="s">
        <v>89</v>
      </c>
      <c r="E413" t="s">
        <v>84</v>
      </c>
      <c r="F413" s="267" t="s">
        <v>421</v>
      </c>
      <c r="G413" s="267" t="s">
        <v>829</v>
      </c>
    </row>
    <row r="414" spans="1:7">
      <c r="A414">
        <v>461</v>
      </c>
      <c r="B414">
        <v>2018</v>
      </c>
      <c r="C414" t="s">
        <v>128</v>
      </c>
      <c r="D414" t="s">
        <v>89</v>
      </c>
      <c r="E414" t="s">
        <v>84</v>
      </c>
      <c r="F414" s="267" t="s">
        <v>422</v>
      </c>
      <c r="G414" s="267" t="s">
        <v>830</v>
      </c>
    </row>
    <row r="415" spans="1:7">
      <c r="A415">
        <v>462</v>
      </c>
      <c r="B415">
        <v>2018</v>
      </c>
      <c r="C415" t="s">
        <v>129</v>
      </c>
      <c r="D415" t="s">
        <v>89</v>
      </c>
      <c r="E415" t="s">
        <v>84</v>
      </c>
      <c r="F415" s="267" t="s">
        <v>423</v>
      </c>
      <c r="G415" s="267" t="s">
        <v>831</v>
      </c>
    </row>
    <row r="416" spans="1:7">
      <c r="A416">
        <v>4</v>
      </c>
      <c r="B416">
        <v>2018</v>
      </c>
      <c r="C416" t="s">
        <v>157</v>
      </c>
      <c r="D416" t="s">
        <v>89</v>
      </c>
      <c r="E416" t="s">
        <v>84</v>
      </c>
      <c r="F416" s="267" t="s">
        <v>424</v>
      </c>
      <c r="G416" s="267" t="s">
        <v>832</v>
      </c>
    </row>
    <row r="417" spans="1:7">
      <c r="A417">
        <v>0</v>
      </c>
      <c r="B417">
        <v>2018</v>
      </c>
      <c r="C417" t="s">
        <v>130</v>
      </c>
      <c r="D417" t="s">
        <v>89</v>
      </c>
      <c r="E417" t="s">
        <v>84</v>
      </c>
      <c r="F417" s="267" t="s">
        <v>425</v>
      </c>
      <c r="G417" s="267" t="s">
        <v>833</v>
      </c>
    </row>
    <row r="418" spans="1:7">
      <c r="A418">
        <v>101</v>
      </c>
      <c r="B418">
        <v>2018</v>
      </c>
      <c r="C418" t="s">
        <v>363</v>
      </c>
      <c r="D418" t="s">
        <v>90</v>
      </c>
      <c r="E418" t="s">
        <v>84</v>
      </c>
      <c r="F418" s="267" t="s">
        <v>364</v>
      </c>
      <c r="G418" s="267" t="s">
        <v>782</v>
      </c>
    </row>
    <row r="419" spans="1:7">
      <c r="A419">
        <v>102</v>
      </c>
      <c r="B419">
        <v>2018</v>
      </c>
      <c r="C419" t="s">
        <v>365</v>
      </c>
      <c r="D419" t="s">
        <v>90</v>
      </c>
      <c r="E419" t="s">
        <v>84</v>
      </c>
      <c r="F419" s="267" t="s">
        <v>366</v>
      </c>
      <c r="G419" s="267" t="s">
        <v>3497</v>
      </c>
    </row>
    <row r="420" spans="1:7">
      <c r="A420">
        <v>103</v>
      </c>
      <c r="B420">
        <v>2018</v>
      </c>
      <c r="C420" t="s">
        <v>367</v>
      </c>
      <c r="D420" t="s">
        <v>90</v>
      </c>
      <c r="E420" t="s">
        <v>84</v>
      </c>
      <c r="F420" s="267" t="s">
        <v>368</v>
      </c>
      <c r="G420" s="267" t="s">
        <v>3498</v>
      </c>
    </row>
    <row r="421" spans="1:7">
      <c r="A421">
        <v>151</v>
      </c>
      <c r="B421">
        <v>2018</v>
      </c>
      <c r="C421" t="s">
        <v>94</v>
      </c>
      <c r="D421" t="s">
        <v>90</v>
      </c>
      <c r="E421" t="s">
        <v>84</v>
      </c>
      <c r="F421" s="267" t="s">
        <v>369</v>
      </c>
      <c r="G421" s="267" t="s">
        <v>3499</v>
      </c>
    </row>
    <row r="422" spans="1:7">
      <c r="A422">
        <v>153</v>
      </c>
      <c r="B422">
        <v>2018</v>
      </c>
      <c r="C422" t="s">
        <v>96</v>
      </c>
      <c r="D422" t="s">
        <v>90</v>
      </c>
      <c r="E422" t="s">
        <v>84</v>
      </c>
      <c r="F422" s="267" t="s">
        <v>370</v>
      </c>
      <c r="G422" s="267" t="s">
        <v>1146</v>
      </c>
    </row>
    <row r="423" spans="1:7">
      <c r="A423">
        <v>154</v>
      </c>
      <c r="B423">
        <v>2018</v>
      </c>
      <c r="C423" t="s">
        <v>97</v>
      </c>
      <c r="D423" t="s">
        <v>90</v>
      </c>
      <c r="E423" t="s">
        <v>84</v>
      </c>
      <c r="F423" s="267" t="s">
        <v>371</v>
      </c>
      <c r="G423" s="267" t="s">
        <v>1438</v>
      </c>
    </row>
    <row r="424" spans="1:7">
      <c r="A424">
        <v>155</v>
      </c>
      <c r="B424">
        <v>2018</v>
      </c>
      <c r="C424" t="s">
        <v>98</v>
      </c>
      <c r="D424" t="s">
        <v>90</v>
      </c>
      <c r="E424" t="s">
        <v>84</v>
      </c>
      <c r="F424" s="267" t="s">
        <v>372</v>
      </c>
      <c r="G424" s="267" t="s">
        <v>922</v>
      </c>
    </row>
    <row r="425" spans="1:7">
      <c r="A425">
        <v>157</v>
      </c>
      <c r="B425">
        <v>2018</v>
      </c>
      <c r="C425" t="s">
        <v>99</v>
      </c>
      <c r="D425" t="s">
        <v>90</v>
      </c>
      <c r="E425" t="s">
        <v>84</v>
      </c>
      <c r="F425" s="267" t="s">
        <v>373</v>
      </c>
      <c r="G425" s="267" t="s">
        <v>3500</v>
      </c>
    </row>
    <row r="426" spans="1:7">
      <c r="A426">
        <v>158</v>
      </c>
      <c r="B426">
        <v>2018</v>
      </c>
      <c r="C426" t="s">
        <v>100</v>
      </c>
      <c r="D426" t="s">
        <v>90</v>
      </c>
      <c r="E426" t="s">
        <v>84</v>
      </c>
      <c r="F426" s="267" t="s">
        <v>374</v>
      </c>
      <c r="G426" s="267" t="s">
        <v>3501</v>
      </c>
    </row>
    <row r="427" spans="1:7">
      <c r="A427">
        <v>159</v>
      </c>
      <c r="B427">
        <v>2018</v>
      </c>
      <c r="C427" t="s">
        <v>95</v>
      </c>
      <c r="D427" t="s">
        <v>90</v>
      </c>
      <c r="E427" t="s">
        <v>84</v>
      </c>
      <c r="F427" s="267" t="s">
        <v>375</v>
      </c>
      <c r="G427" s="267" t="s">
        <v>3502</v>
      </c>
    </row>
    <row r="428" spans="1:7">
      <c r="A428">
        <v>1</v>
      </c>
      <c r="B428">
        <v>2018</v>
      </c>
      <c r="C428" t="s">
        <v>154</v>
      </c>
      <c r="D428" t="s">
        <v>90</v>
      </c>
      <c r="E428" t="s">
        <v>84</v>
      </c>
      <c r="F428" s="267" t="s">
        <v>376</v>
      </c>
      <c r="G428" s="267" t="s">
        <v>3503</v>
      </c>
    </row>
    <row r="429" spans="1:7">
      <c r="A429">
        <v>241</v>
      </c>
      <c r="B429">
        <v>2018</v>
      </c>
      <c r="C429" t="s">
        <v>377</v>
      </c>
      <c r="D429" t="s">
        <v>90</v>
      </c>
      <c r="E429" t="s">
        <v>84</v>
      </c>
      <c r="F429" s="267" t="s">
        <v>378</v>
      </c>
      <c r="G429" s="267" t="s">
        <v>3504</v>
      </c>
    </row>
    <row r="430" spans="1:7">
      <c r="A430">
        <v>241001</v>
      </c>
      <c r="B430">
        <v>2018</v>
      </c>
      <c r="C430" t="s">
        <v>379</v>
      </c>
      <c r="D430" t="s">
        <v>90</v>
      </c>
      <c r="E430" t="s">
        <v>84</v>
      </c>
      <c r="F430" s="267" t="s">
        <v>380</v>
      </c>
      <c r="G430" s="267" t="s">
        <v>3505</v>
      </c>
    </row>
    <row r="431" spans="1:7">
      <c r="A431">
        <v>241999</v>
      </c>
      <c r="B431">
        <v>2018</v>
      </c>
      <c r="C431" t="s">
        <v>381</v>
      </c>
      <c r="D431" t="s">
        <v>90</v>
      </c>
      <c r="E431" t="s">
        <v>84</v>
      </c>
      <c r="F431" s="267" t="s">
        <v>382</v>
      </c>
      <c r="G431" s="267" t="s">
        <v>3506</v>
      </c>
    </row>
    <row r="432" spans="1:7">
      <c r="A432">
        <v>251</v>
      </c>
      <c r="B432">
        <v>2018</v>
      </c>
      <c r="C432" t="s">
        <v>101</v>
      </c>
      <c r="D432" t="s">
        <v>90</v>
      </c>
      <c r="E432" t="s">
        <v>84</v>
      </c>
      <c r="F432" s="267" t="s">
        <v>383</v>
      </c>
      <c r="G432" s="267" t="s">
        <v>3507</v>
      </c>
    </row>
    <row r="433" spans="1:7">
      <c r="A433">
        <v>252</v>
      </c>
      <c r="B433">
        <v>2018</v>
      </c>
      <c r="C433" t="s">
        <v>102</v>
      </c>
      <c r="D433" t="s">
        <v>90</v>
      </c>
      <c r="E433" t="s">
        <v>84</v>
      </c>
      <c r="F433" s="267" t="s">
        <v>384</v>
      </c>
      <c r="G433" s="267" t="s">
        <v>3508</v>
      </c>
    </row>
    <row r="434" spans="1:7">
      <c r="A434">
        <v>254</v>
      </c>
      <c r="B434">
        <v>2018</v>
      </c>
      <c r="C434" t="s">
        <v>103</v>
      </c>
      <c r="D434" t="s">
        <v>90</v>
      </c>
      <c r="E434" t="s">
        <v>84</v>
      </c>
      <c r="F434" s="267" t="s">
        <v>385</v>
      </c>
      <c r="G434" s="267" t="s">
        <v>3509</v>
      </c>
    </row>
    <row r="435" spans="1:7">
      <c r="A435">
        <v>255</v>
      </c>
      <c r="B435">
        <v>2018</v>
      </c>
      <c r="C435" t="s">
        <v>104</v>
      </c>
      <c r="D435" t="s">
        <v>90</v>
      </c>
      <c r="E435" t="s">
        <v>84</v>
      </c>
      <c r="F435" s="267" t="s">
        <v>386</v>
      </c>
      <c r="G435" s="267" t="s">
        <v>3510</v>
      </c>
    </row>
    <row r="436" spans="1:7">
      <c r="A436">
        <v>256</v>
      </c>
      <c r="B436">
        <v>2018</v>
      </c>
      <c r="C436" t="s">
        <v>105</v>
      </c>
      <c r="D436" t="s">
        <v>90</v>
      </c>
      <c r="E436" t="s">
        <v>84</v>
      </c>
      <c r="F436" s="267" t="s">
        <v>387</v>
      </c>
      <c r="G436" s="267" t="s">
        <v>3497</v>
      </c>
    </row>
    <row r="437" spans="1:7">
      <c r="A437">
        <v>257</v>
      </c>
      <c r="B437">
        <v>2018</v>
      </c>
      <c r="C437" t="s">
        <v>106</v>
      </c>
      <c r="D437" t="s">
        <v>90</v>
      </c>
      <c r="E437" t="s">
        <v>84</v>
      </c>
      <c r="F437" s="267" t="s">
        <v>388</v>
      </c>
      <c r="G437" s="267" t="s">
        <v>3511</v>
      </c>
    </row>
    <row r="438" spans="1:7">
      <c r="A438">
        <v>2</v>
      </c>
      <c r="B438">
        <v>2018</v>
      </c>
      <c r="C438" t="s">
        <v>155</v>
      </c>
      <c r="D438" t="s">
        <v>90</v>
      </c>
      <c r="E438" t="s">
        <v>84</v>
      </c>
      <c r="F438" s="267" t="s">
        <v>389</v>
      </c>
      <c r="G438" s="267" t="s">
        <v>3512</v>
      </c>
    </row>
    <row r="439" spans="1:7">
      <c r="A439">
        <v>351</v>
      </c>
      <c r="B439">
        <v>2018</v>
      </c>
      <c r="C439" t="s">
        <v>107</v>
      </c>
      <c r="D439" t="s">
        <v>90</v>
      </c>
      <c r="E439" t="s">
        <v>84</v>
      </c>
      <c r="F439" s="267" t="s">
        <v>390</v>
      </c>
      <c r="G439" s="267" t="s">
        <v>3513</v>
      </c>
    </row>
    <row r="440" spans="1:7">
      <c r="A440">
        <v>352</v>
      </c>
      <c r="B440">
        <v>2018</v>
      </c>
      <c r="C440" t="s">
        <v>108</v>
      </c>
      <c r="D440" t="s">
        <v>90</v>
      </c>
      <c r="E440" t="s">
        <v>84</v>
      </c>
      <c r="F440" s="267" t="s">
        <v>391</v>
      </c>
      <c r="G440" s="267" t="s">
        <v>1338</v>
      </c>
    </row>
    <row r="441" spans="1:7">
      <c r="A441">
        <v>353</v>
      </c>
      <c r="B441">
        <v>2018</v>
      </c>
      <c r="C441" t="s">
        <v>109</v>
      </c>
      <c r="D441" t="s">
        <v>90</v>
      </c>
      <c r="E441" t="s">
        <v>84</v>
      </c>
      <c r="F441" s="267" t="s">
        <v>392</v>
      </c>
      <c r="G441" s="267" t="s">
        <v>3514</v>
      </c>
    </row>
    <row r="442" spans="1:7">
      <c r="A442">
        <v>354</v>
      </c>
      <c r="B442">
        <v>2018</v>
      </c>
      <c r="C442" t="s">
        <v>110</v>
      </c>
      <c r="D442" t="s">
        <v>90</v>
      </c>
      <c r="E442" t="s">
        <v>84</v>
      </c>
      <c r="F442" s="267" t="s">
        <v>393</v>
      </c>
      <c r="G442" s="267" t="s">
        <v>3515</v>
      </c>
    </row>
    <row r="443" spans="1:7">
      <c r="A443">
        <v>355</v>
      </c>
      <c r="B443">
        <v>2018</v>
      </c>
      <c r="C443" t="s">
        <v>111</v>
      </c>
      <c r="D443" t="s">
        <v>90</v>
      </c>
      <c r="E443" t="s">
        <v>84</v>
      </c>
      <c r="F443" s="267" t="s">
        <v>394</v>
      </c>
      <c r="G443" s="267" t="s">
        <v>3516</v>
      </c>
    </row>
    <row r="444" spans="1:7">
      <c r="A444">
        <v>356</v>
      </c>
      <c r="B444">
        <v>2018</v>
      </c>
      <c r="C444" t="s">
        <v>112</v>
      </c>
      <c r="D444" t="s">
        <v>90</v>
      </c>
      <c r="E444" t="s">
        <v>84</v>
      </c>
      <c r="F444" s="267" t="s">
        <v>395</v>
      </c>
      <c r="G444" s="267" t="s">
        <v>3517</v>
      </c>
    </row>
    <row r="445" spans="1:7">
      <c r="A445">
        <v>357</v>
      </c>
      <c r="B445">
        <v>2018</v>
      </c>
      <c r="C445" t="s">
        <v>113</v>
      </c>
      <c r="D445" t="s">
        <v>90</v>
      </c>
      <c r="E445" t="s">
        <v>84</v>
      </c>
      <c r="F445" s="267" t="s">
        <v>396</v>
      </c>
      <c r="G445" s="267" t="s">
        <v>3518</v>
      </c>
    </row>
    <row r="446" spans="1:7">
      <c r="A446">
        <v>358</v>
      </c>
      <c r="B446">
        <v>2018</v>
      </c>
      <c r="C446" t="s">
        <v>114</v>
      </c>
      <c r="D446" t="s">
        <v>90</v>
      </c>
      <c r="E446" t="s">
        <v>84</v>
      </c>
      <c r="F446" s="267" t="s">
        <v>397</v>
      </c>
      <c r="G446" s="267" t="s">
        <v>3519</v>
      </c>
    </row>
    <row r="447" spans="1:7">
      <c r="A447">
        <v>359</v>
      </c>
      <c r="B447">
        <v>2018</v>
      </c>
      <c r="C447" t="s">
        <v>115</v>
      </c>
      <c r="D447" t="s">
        <v>90</v>
      </c>
      <c r="E447" t="s">
        <v>84</v>
      </c>
      <c r="F447" s="267" t="s">
        <v>398</v>
      </c>
      <c r="G447" s="267" t="s">
        <v>3520</v>
      </c>
    </row>
    <row r="448" spans="1:7">
      <c r="A448">
        <v>360</v>
      </c>
      <c r="B448">
        <v>2018</v>
      </c>
      <c r="C448" t="s">
        <v>116</v>
      </c>
      <c r="D448" t="s">
        <v>90</v>
      </c>
      <c r="E448" t="s">
        <v>84</v>
      </c>
      <c r="F448" s="267" t="s">
        <v>399</v>
      </c>
      <c r="G448" s="267" t="s">
        <v>3521</v>
      </c>
    </row>
    <row r="449" spans="1:7">
      <c r="A449">
        <v>361</v>
      </c>
      <c r="B449">
        <v>2018</v>
      </c>
      <c r="C449" t="s">
        <v>117</v>
      </c>
      <c r="D449" t="s">
        <v>90</v>
      </c>
      <c r="E449" t="s">
        <v>84</v>
      </c>
      <c r="F449" s="267" t="s">
        <v>400</v>
      </c>
      <c r="G449" s="267" t="s">
        <v>945</v>
      </c>
    </row>
    <row r="450" spans="1:7">
      <c r="A450">
        <v>3</v>
      </c>
      <c r="B450">
        <v>2018</v>
      </c>
      <c r="C450" t="s">
        <v>156</v>
      </c>
      <c r="D450" t="s">
        <v>90</v>
      </c>
      <c r="E450" t="s">
        <v>84</v>
      </c>
      <c r="F450" s="267" t="s">
        <v>401</v>
      </c>
      <c r="G450" s="267" t="s">
        <v>3522</v>
      </c>
    </row>
    <row r="451" spans="1:7">
      <c r="A451">
        <v>401</v>
      </c>
      <c r="B451">
        <v>2018</v>
      </c>
      <c r="C451" t="s">
        <v>402</v>
      </c>
      <c r="D451" t="s">
        <v>90</v>
      </c>
      <c r="E451" t="s">
        <v>84</v>
      </c>
      <c r="F451" s="267" t="s">
        <v>403</v>
      </c>
      <c r="G451" s="267" t="s">
        <v>1366</v>
      </c>
    </row>
    <row r="452" spans="1:7">
      <c r="A452">
        <v>402</v>
      </c>
      <c r="B452">
        <v>2018</v>
      </c>
      <c r="C452" t="s">
        <v>404</v>
      </c>
      <c r="D452" t="s">
        <v>90</v>
      </c>
      <c r="E452" t="s">
        <v>84</v>
      </c>
      <c r="F452" s="267" t="s">
        <v>405</v>
      </c>
      <c r="G452" s="267" t="s">
        <v>928</v>
      </c>
    </row>
    <row r="453" spans="1:7">
      <c r="A453">
        <v>403</v>
      </c>
      <c r="B453">
        <v>2018</v>
      </c>
      <c r="C453" t="s">
        <v>406</v>
      </c>
      <c r="D453" t="s">
        <v>90</v>
      </c>
      <c r="E453" t="s">
        <v>84</v>
      </c>
      <c r="F453" s="267" t="s">
        <v>407</v>
      </c>
      <c r="G453" s="267" t="s">
        <v>3523</v>
      </c>
    </row>
    <row r="454" spans="1:7">
      <c r="A454">
        <v>404</v>
      </c>
      <c r="B454">
        <v>2018</v>
      </c>
      <c r="C454" t="s">
        <v>408</v>
      </c>
      <c r="D454" t="s">
        <v>90</v>
      </c>
      <c r="E454" t="s">
        <v>84</v>
      </c>
      <c r="F454" s="267" t="s">
        <v>409</v>
      </c>
      <c r="G454" s="267" t="s">
        <v>3524</v>
      </c>
    </row>
    <row r="455" spans="1:7">
      <c r="A455">
        <v>405</v>
      </c>
      <c r="B455">
        <v>2018</v>
      </c>
      <c r="C455" t="s">
        <v>410</v>
      </c>
      <c r="D455" t="s">
        <v>90</v>
      </c>
      <c r="E455" t="s">
        <v>84</v>
      </c>
      <c r="F455" s="267" t="s">
        <v>411</v>
      </c>
      <c r="G455" s="267" t="s">
        <v>3525</v>
      </c>
    </row>
    <row r="456" spans="1:7">
      <c r="A456">
        <v>451</v>
      </c>
      <c r="B456">
        <v>2018</v>
      </c>
      <c r="C456" t="s">
        <v>118</v>
      </c>
      <c r="D456" t="s">
        <v>90</v>
      </c>
      <c r="E456" t="s">
        <v>84</v>
      </c>
      <c r="F456" s="267" t="s">
        <v>412</v>
      </c>
      <c r="G456" s="267" t="s">
        <v>3526</v>
      </c>
    </row>
    <row r="457" spans="1:7">
      <c r="A457">
        <v>452</v>
      </c>
      <c r="B457">
        <v>2018</v>
      </c>
      <c r="C457" t="s">
        <v>119</v>
      </c>
      <c r="D457" t="s">
        <v>90</v>
      </c>
      <c r="E457" t="s">
        <v>84</v>
      </c>
      <c r="F457" s="267" t="s">
        <v>413</v>
      </c>
      <c r="G457" s="267" t="s">
        <v>3527</v>
      </c>
    </row>
    <row r="458" spans="1:7">
      <c r="A458">
        <v>453</v>
      </c>
      <c r="B458">
        <v>2018</v>
      </c>
      <c r="C458" t="s">
        <v>120</v>
      </c>
      <c r="D458" t="s">
        <v>90</v>
      </c>
      <c r="E458" t="s">
        <v>84</v>
      </c>
      <c r="F458" s="267" t="s">
        <v>414</v>
      </c>
      <c r="G458" s="267" t="s">
        <v>3528</v>
      </c>
    </row>
    <row r="459" spans="1:7">
      <c r="A459">
        <v>454</v>
      </c>
      <c r="B459">
        <v>2018</v>
      </c>
      <c r="C459" t="s">
        <v>121</v>
      </c>
      <c r="D459" t="s">
        <v>90</v>
      </c>
      <c r="E459" t="s">
        <v>84</v>
      </c>
      <c r="F459" s="267" t="s">
        <v>415</v>
      </c>
      <c r="G459" s="267" t="s">
        <v>898</v>
      </c>
    </row>
    <row r="460" spans="1:7">
      <c r="A460">
        <v>455</v>
      </c>
      <c r="B460">
        <v>2018</v>
      </c>
      <c r="C460" t="s">
        <v>122</v>
      </c>
      <c r="D460" t="s">
        <v>90</v>
      </c>
      <c r="E460" t="s">
        <v>84</v>
      </c>
      <c r="F460" s="267" t="s">
        <v>416</v>
      </c>
      <c r="G460" s="267" t="s">
        <v>1566</v>
      </c>
    </row>
    <row r="461" spans="1:7">
      <c r="A461">
        <v>456</v>
      </c>
      <c r="B461">
        <v>2018</v>
      </c>
      <c r="C461" t="s">
        <v>123</v>
      </c>
      <c r="D461" t="s">
        <v>90</v>
      </c>
      <c r="E461" t="s">
        <v>84</v>
      </c>
      <c r="F461" s="267" t="s">
        <v>417</v>
      </c>
      <c r="G461" s="267" t="s">
        <v>1181</v>
      </c>
    </row>
    <row r="462" spans="1:7">
      <c r="A462">
        <v>457</v>
      </c>
      <c r="B462">
        <v>2018</v>
      </c>
      <c r="C462" t="s">
        <v>124</v>
      </c>
      <c r="D462" t="s">
        <v>90</v>
      </c>
      <c r="E462" t="s">
        <v>84</v>
      </c>
      <c r="F462" s="267" t="s">
        <v>418</v>
      </c>
      <c r="G462" s="267" t="s">
        <v>3529</v>
      </c>
    </row>
    <row r="463" spans="1:7">
      <c r="A463">
        <v>458</v>
      </c>
      <c r="B463">
        <v>2018</v>
      </c>
      <c r="C463" t="s">
        <v>125</v>
      </c>
      <c r="D463" t="s">
        <v>90</v>
      </c>
      <c r="E463" t="s">
        <v>84</v>
      </c>
      <c r="F463" s="267" t="s">
        <v>419</v>
      </c>
      <c r="G463" s="267" t="s">
        <v>3530</v>
      </c>
    </row>
    <row r="464" spans="1:7">
      <c r="A464">
        <v>459</v>
      </c>
      <c r="B464">
        <v>2018</v>
      </c>
      <c r="C464" t="s">
        <v>126</v>
      </c>
      <c r="D464" t="s">
        <v>90</v>
      </c>
      <c r="E464" t="s">
        <v>84</v>
      </c>
      <c r="F464" s="267" t="s">
        <v>420</v>
      </c>
      <c r="G464" s="267" t="s">
        <v>3531</v>
      </c>
    </row>
    <row r="465" spans="1:7">
      <c r="A465">
        <v>460</v>
      </c>
      <c r="B465">
        <v>2018</v>
      </c>
      <c r="C465" t="s">
        <v>127</v>
      </c>
      <c r="D465" t="s">
        <v>90</v>
      </c>
      <c r="E465" t="s">
        <v>84</v>
      </c>
      <c r="F465" s="267" t="s">
        <v>421</v>
      </c>
      <c r="G465" s="267" t="s">
        <v>3532</v>
      </c>
    </row>
    <row r="466" spans="1:7">
      <c r="A466">
        <v>461</v>
      </c>
      <c r="B466">
        <v>2018</v>
      </c>
      <c r="C466" t="s">
        <v>128</v>
      </c>
      <c r="D466" t="s">
        <v>90</v>
      </c>
      <c r="E466" t="s">
        <v>84</v>
      </c>
      <c r="F466" s="267" t="s">
        <v>422</v>
      </c>
      <c r="G466" s="267" t="s">
        <v>3533</v>
      </c>
    </row>
    <row r="467" spans="1:7">
      <c r="A467">
        <v>462</v>
      </c>
      <c r="B467">
        <v>2018</v>
      </c>
      <c r="C467" t="s">
        <v>129</v>
      </c>
      <c r="D467" t="s">
        <v>90</v>
      </c>
      <c r="E467" t="s">
        <v>84</v>
      </c>
      <c r="F467" s="267" t="s">
        <v>423</v>
      </c>
      <c r="G467" s="267" t="s">
        <v>3534</v>
      </c>
    </row>
    <row r="468" spans="1:7">
      <c r="A468">
        <v>4</v>
      </c>
      <c r="B468">
        <v>2018</v>
      </c>
      <c r="C468" t="s">
        <v>157</v>
      </c>
      <c r="D468" t="s">
        <v>90</v>
      </c>
      <c r="E468" t="s">
        <v>84</v>
      </c>
      <c r="F468" s="267" t="s">
        <v>424</v>
      </c>
      <c r="G468" s="267" t="s">
        <v>3535</v>
      </c>
    </row>
    <row r="469" spans="1:7">
      <c r="A469">
        <v>0</v>
      </c>
      <c r="B469">
        <v>2018</v>
      </c>
      <c r="C469" t="s">
        <v>130</v>
      </c>
      <c r="D469" t="s">
        <v>90</v>
      </c>
      <c r="E469" t="s">
        <v>84</v>
      </c>
      <c r="F469" s="267" t="s">
        <v>425</v>
      </c>
      <c r="G469" s="267" t="s">
        <v>3536</v>
      </c>
    </row>
    <row r="470" spans="1:7">
      <c r="A470">
        <v>101</v>
      </c>
      <c r="B470">
        <v>2017</v>
      </c>
      <c r="C470" t="s">
        <v>363</v>
      </c>
      <c r="D470" t="s">
        <v>28</v>
      </c>
      <c r="E470" t="s">
        <v>84</v>
      </c>
      <c r="F470" s="267" t="s">
        <v>364</v>
      </c>
      <c r="G470" s="267" t="s">
        <v>834</v>
      </c>
    </row>
    <row r="471" spans="1:7">
      <c r="A471">
        <v>102</v>
      </c>
      <c r="B471">
        <v>2017</v>
      </c>
      <c r="C471" t="s">
        <v>365</v>
      </c>
      <c r="D471" t="s">
        <v>28</v>
      </c>
      <c r="E471" t="s">
        <v>84</v>
      </c>
      <c r="F471" s="267" t="s">
        <v>366</v>
      </c>
      <c r="G471" s="267" t="s">
        <v>835</v>
      </c>
    </row>
    <row r="472" spans="1:7">
      <c r="A472">
        <v>103</v>
      </c>
      <c r="B472">
        <v>2017</v>
      </c>
      <c r="C472" t="s">
        <v>367</v>
      </c>
      <c r="D472" t="s">
        <v>28</v>
      </c>
      <c r="E472" t="s">
        <v>84</v>
      </c>
      <c r="F472" s="267" t="s">
        <v>368</v>
      </c>
      <c r="G472" s="267" t="s">
        <v>836</v>
      </c>
    </row>
    <row r="473" spans="1:7">
      <c r="A473">
        <v>151</v>
      </c>
      <c r="B473">
        <v>2017</v>
      </c>
      <c r="C473" t="s">
        <v>94</v>
      </c>
      <c r="D473" t="s">
        <v>28</v>
      </c>
      <c r="E473" t="s">
        <v>84</v>
      </c>
      <c r="F473" s="267" t="s">
        <v>369</v>
      </c>
      <c r="G473" s="267" t="s">
        <v>837</v>
      </c>
    </row>
    <row r="474" spans="1:7">
      <c r="A474">
        <v>153</v>
      </c>
      <c r="B474">
        <v>2017</v>
      </c>
      <c r="C474" t="s">
        <v>96</v>
      </c>
      <c r="D474" t="s">
        <v>28</v>
      </c>
      <c r="E474" t="s">
        <v>84</v>
      </c>
      <c r="F474" s="267" t="s">
        <v>370</v>
      </c>
      <c r="G474" s="267" t="s">
        <v>838</v>
      </c>
    </row>
    <row r="475" spans="1:7">
      <c r="A475">
        <v>154</v>
      </c>
      <c r="B475">
        <v>2017</v>
      </c>
      <c r="C475" t="s">
        <v>97</v>
      </c>
      <c r="D475" t="s">
        <v>28</v>
      </c>
      <c r="E475" t="s">
        <v>84</v>
      </c>
      <c r="F475" s="267" t="s">
        <v>371</v>
      </c>
      <c r="G475" s="267" t="s">
        <v>839</v>
      </c>
    </row>
    <row r="476" spans="1:7">
      <c r="A476">
        <v>155</v>
      </c>
      <c r="B476">
        <v>2017</v>
      </c>
      <c r="C476" t="s">
        <v>98</v>
      </c>
      <c r="D476" t="s">
        <v>28</v>
      </c>
      <c r="E476" t="s">
        <v>84</v>
      </c>
      <c r="F476" s="267" t="s">
        <v>372</v>
      </c>
      <c r="G476" s="267" t="s">
        <v>840</v>
      </c>
    </row>
    <row r="477" spans="1:7">
      <c r="A477">
        <v>157</v>
      </c>
      <c r="B477">
        <v>2017</v>
      </c>
      <c r="C477" t="s">
        <v>99</v>
      </c>
      <c r="D477" t="s">
        <v>28</v>
      </c>
      <c r="E477" t="s">
        <v>84</v>
      </c>
      <c r="F477" s="267" t="s">
        <v>373</v>
      </c>
      <c r="G477" s="267" t="s">
        <v>841</v>
      </c>
    </row>
    <row r="478" spans="1:7">
      <c r="A478">
        <v>158</v>
      </c>
      <c r="B478">
        <v>2017</v>
      </c>
      <c r="C478" t="s">
        <v>100</v>
      </c>
      <c r="D478" t="s">
        <v>28</v>
      </c>
      <c r="E478" t="s">
        <v>84</v>
      </c>
      <c r="F478" s="267" t="s">
        <v>374</v>
      </c>
      <c r="G478" s="267" t="s">
        <v>842</v>
      </c>
    </row>
    <row r="479" spans="1:7">
      <c r="A479">
        <v>159</v>
      </c>
      <c r="B479">
        <v>2017</v>
      </c>
      <c r="C479" t="s">
        <v>95</v>
      </c>
      <c r="D479" t="s">
        <v>28</v>
      </c>
      <c r="E479" t="s">
        <v>84</v>
      </c>
      <c r="F479" s="267" t="s">
        <v>375</v>
      </c>
      <c r="G479" s="267" t="s">
        <v>843</v>
      </c>
    </row>
    <row r="480" spans="1:7">
      <c r="A480">
        <v>1</v>
      </c>
      <c r="B480">
        <v>2017</v>
      </c>
      <c r="C480" t="s">
        <v>154</v>
      </c>
      <c r="D480" t="s">
        <v>28</v>
      </c>
      <c r="E480" t="s">
        <v>84</v>
      </c>
      <c r="F480" s="267" t="s">
        <v>376</v>
      </c>
      <c r="G480" s="267" t="s">
        <v>844</v>
      </c>
    </row>
    <row r="481" spans="1:7">
      <c r="A481">
        <v>241</v>
      </c>
      <c r="B481">
        <v>2017</v>
      </c>
      <c r="C481" t="s">
        <v>377</v>
      </c>
      <c r="D481" t="s">
        <v>28</v>
      </c>
      <c r="E481" t="s">
        <v>84</v>
      </c>
      <c r="F481" s="267" t="s">
        <v>378</v>
      </c>
      <c r="G481" s="267" t="s">
        <v>845</v>
      </c>
    </row>
    <row r="482" spans="1:7">
      <c r="A482">
        <v>241001</v>
      </c>
      <c r="B482">
        <v>2017</v>
      </c>
      <c r="C482" t="s">
        <v>379</v>
      </c>
      <c r="D482" t="s">
        <v>28</v>
      </c>
      <c r="E482" t="s">
        <v>84</v>
      </c>
      <c r="F482" s="267" t="s">
        <v>380</v>
      </c>
      <c r="G482" s="267" t="s">
        <v>846</v>
      </c>
    </row>
    <row r="483" spans="1:7">
      <c r="A483">
        <v>241999</v>
      </c>
      <c r="B483">
        <v>2017</v>
      </c>
      <c r="C483" t="s">
        <v>381</v>
      </c>
      <c r="D483" t="s">
        <v>28</v>
      </c>
      <c r="E483" t="s">
        <v>84</v>
      </c>
      <c r="F483" s="267" t="s">
        <v>382</v>
      </c>
      <c r="G483" s="267" t="s">
        <v>847</v>
      </c>
    </row>
    <row r="484" spans="1:7">
      <c r="A484">
        <v>251</v>
      </c>
      <c r="B484">
        <v>2017</v>
      </c>
      <c r="C484" t="s">
        <v>101</v>
      </c>
      <c r="D484" t="s">
        <v>28</v>
      </c>
      <c r="E484" t="s">
        <v>84</v>
      </c>
      <c r="F484" s="267" t="s">
        <v>383</v>
      </c>
      <c r="G484" s="267" t="s">
        <v>848</v>
      </c>
    </row>
    <row r="485" spans="1:7">
      <c r="A485">
        <v>252</v>
      </c>
      <c r="B485">
        <v>2017</v>
      </c>
      <c r="C485" t="s">
        <v>102</v>
      </c>
      <c r="D485" t="s">
        <v>28</v>
      </c>
      <c r="E485" t="s">
        <v>84</v>
      </c>
      <c r="F485" s="267" t="s">
        <v>384</v>
      </c>
      <c r="G485" s="267" t="s">
        <v>849</v>
      </c>
    </row>
    <row r="486" spans="1:7">
      <c r="A486">
        <v>254</v>
      </c>
      <c r="B486">
        <v>2017</v>
      </c>
      <c r="C486" t="s">
        <v>103</v>
      </c>
      <c r="D486" t="s">
        <v>28</v>
      </c>
      <c r="E486" t="s">
        <v>84</v>
      </c>
      <c r="F486" s="267" t="s">
        <v>385</v>
      </c>
      <c r="G486" s="267" t="s">
        <v>850</v>
      </c>
    </row>
    <row r="487" spans="1:7">
      <c r="A487">
        <v>255</v>
      </c>
      <c r="B487">
        <v>2017</v>
      </c>
      <c r="C487" t="s">
        <v>104</v>
      </c>
      <c r="D487" t="s">
        <v>28</v>
      </c>
      <c r="E487" t="s">
        <v>84</v>
      </c>
      <c r="F487" s="267" t="s">
        <v>386</v>
      </c>
      <c r="G487" s="267" t="s">
        <v>532</v>
      </c>
    </row>
    <row r="488" spans="1:7">
      <c r="A488">
        <v>256</v>
      </c>
      <c r="B488">
        <v>2017</v>
      </c>
      <c r="C488" t="s">
        <v>105</v>
      </c>
      <c r="D488" t="s">
        <v>28</v>
      </c>
      <c r="E488" t="s">
        <v>84</v>
      </c>
      <c r="F488" s="267" t="s">
        <v>387</v>
      </c>
      <c r="G488" s="267" t="s">
        <v>851</v>
      </c>
    </row>
    <row r="489" spans="1:7">
      <c r="A489">
        <v>257</v>
      </c>
      <c r="B489">
        <v>2017</v>
      </c>
      <c r="C489" t="s">
        <v>106</v>
      </c>
      <c r="D489" t="s">
        <v>28</v>
      </c>
      <c r="E489" t="s">
        <v>84</v>
      </c>
      <c r="F489" s="267" t="s">
        <v>388</v>
      </c>
      <c r="G489" s="267" t="s">
        <v>852</v>
      </c>
    </row>
    <row r="490" spans="1:7">
      <c r="A490">
        <v>2</v>
      </c>
      <c r="B490">
        <v>2017</v>
      </c>
      <c r="C490" t="s">
        <v>155</v>
      </c>
      <c r="D490" t="s">
        <v>28</v>
      </c>
      <c r="E490" t="s">
        <v>84</v>
      </c>
      <c r="F490" s="267" t="s">
        <v>389</v>
      </c>
      <c r="G490" s="267" t="s">
        <v>853</v>
      </c>
    </row>
    <row r="491" spans="1:7">
      <c r="A491">
        <v>351</v>
      </c>
      <c r="B491">
        <v>2017</v>
      </c>
      <c r="C491" t="s">
        <v>107</v>
      </c>
      <c r="D491" t="s">
        <v>28</v>
      </c>
      <c r="E491" t="s">
        <v>84</v>
      </c>
      <c r="F491" s="267" t="s">
        <v>390</v>
      </c>
      <c r="G491" s="267" t="s">
        <v>854</v>
      </c>
    </row>
    <row r="492" spans="1:7">
      <c r="A492">
        <v>352</v>
      </c>
      <c r="B492">
        <v>2017</v>
      </c>
      <c r="C492" t="s">
        <v>108</v>
      </c>
      <c r="D492" t="s">
        <v>28</v>
      </c>
      <c r="E492" t="s">
        <v>84</v>
      </c>
      <c r="F492" s="267" t="s">
        <v>391</v>
      </c>
      <c r="G492" s="267" t="s">
        <v>855</v>
      </c>
    </row>
    <row r="493" spans="1:7">
      <c r="A493">
        <v>353</v>
      </c>
      <c r="B493">
        <v>2017</v>
      </c>
      <c r="C493" t="s">
        <v>109</v>
      </c>
      <c r="D493" t="s">
        <v>28</v>
      </c>
      <c r="E493" t="s">
        <v>84</v>
      </c>
      <c r="F493" s="267" t="s">
        <v>392</v>
      </c>
      <c r="G493" s="267" t="s">
        <v>856</v>
      </c>
    </row>
    <row r="494" spans="1:7">
      <c r="A494">
        <v>354</v>
      </c>
      <c r="B494">
        <v>2017</v>
      </c>
      <c r="C494" t="s">
        <v>110</v>
      </c>
      <c r="D494" t="s">
        <v>28</v>
      </c>
      <c r="E494" t="s">
        <v>84</v>
      </c>
      <c r="F494" s="267" t="s">
        <v>393</v>
      </c>
      <c r="G494" s="267" t="s">
        <v>857</v>
      </c>
    </row>
    <row r="495" spans="1:7">
      <c r="A495">
        <v>355</v>
      </c>
      <c r="B495">
        <v>2017</v>
      </c>
      <c r="C495" t="s">
        <v>111</v>
      </c>
      <c r="D495" t="s">
        <v>28</v>
      </c>
      <c r="E495" t="s">
        <v>84</v>
      </c>
      <c r="F495" s="267" t="s">
        <v>394</v>
      </c>
      <c r="G495" s="267" t="s">
        <v>858</v>
      </c>
    </row>
    <row r="496" spans="1:7">
      <c r="A496">
        <v>356</v>
      </c>
      <c r="B496">
        <v>2017</v>
      </c>
      <c r="C496" t="s">
        <v>112</v>
      </c>
      <c r="D496" t="s">
        <v>28</v>
      </c>
      <c r="E496" t="s">
        <v>84</v>
      </c>
      <c r="F496" s="267" t="s">
        <v>395</v>
      </c>
      <c r="G496" s="267" t="s">
        <v>859</v>
      </c>
    </row>
    <row r="497" spans="1:7">
      <c r="A497">
        <v>357</v>
      </c>
      <c r="B497">
        <v>2017</v>
      </c>
      <c r="C497" t="s">
        <v>113</v>
      </c>
      <c r="D497" t="s">
        <v>28</v>
      </c>
      <c r="E497" t="s">
        <v>84</v>
      </c>
      <c r="F497" s="267" t="s">
        <v>396</v>
      </c>
      <c r="G497" s="267" t="s">
        <v>860</v>
      </c>
    </row>
    <row r="498" spans="1:7">
      <c r="A498">
        <v>358</v>
      </c>
      <c r="B498">
        <v>2017</v>
      </c>
      <c r="C498" t="s">
        <v>114</v>
      </c>
      <c r="D498" t="s">
        <v>28</v>
      </c>
      <c r="E498" t="s">
        <v>84</v>
      </c>
      <c r="F498" s="267" t="s">
        <v>397</v>
      </c>
      <c r="G498" s="267" t="s">
        <v>861</v>
      </c>
    </row>
    <row r="499" spans="1:7">
      <c r="A499">
        <v>359</v>
      </c>
      <c r="B499">
        <v>2017</v>
      </c>
      <c r="C499" t="s">
        <v>115</v>
      </c>
      <c r="D499" t="s">
        <v>28</v>
      </c>
      <c r="E499" t="s">
        <v>84</v>
      </c>
      <c r="F499" s="267" t="s">
        <v>398</v>
      </c>
      <c r="G499" s="267" t="s">
        <v>862</v>
      </c>
    </row>
    <row r="500" spans="1:7">
      <c r="A500">
        <v>360</v>
      </c>
      <c r="B500">
        <v>2017</v>
      </c>
      <c r="C500" t="s">
        <v>116</v>
      </c>
      <c r="D500" t="s">
        <v>28</v>
      </c>
      <c r="E500" t="s">
        <v>84</v>
      </c>
      <c r="F500" s="267" t="s">
        <v>399</v>
      </c>
      <c r="G500" s="267" t="s">
        <v>863</v>
      </c>
    </row>
    <row r="501" spans="1:7">
      <c r="A501">
        <v>361</v>
      </c>
      <c r="B501">
        <v>2017</v>
      </c>
      <c r="C501" t="s">
        <v>117</v>
      </c>
      <c r="D501" t="s">
        <v>28</v>
      </c>
      <c r="E501" t="s">
        <v>84</v>
      </c>
      <c r="F501" s="267" t="s">
        <v>400</v>
      </c>
      <c r="G501" s="267" t="s">
        <v>864</v>
      </c>
    </row>
    <row r="502" spans="1:7">
      <c r="A502">
        <v>3</v>
      </c>
      <c r="B502">
        <v>2017</v>
      </c>
      <c r="C502" t="s">
        <v>156</v>
      </c>
      <c r="D502" t="s">
        <v>28</v>
      </c>
      <c r="E502" t="s">
        <v>84</v>
      </c>
      <c r="F502" s="267" t="s">
        <v>401</v>
      </c>
      <c r="G502" s="267" t="s">
        <v>865</v>
      </c>
    </row>
    <row r="503" spans="1:7">
      <c r="A503">
        <v>401</v>
      </c>
      <c r="B503">
        <v>2017</v>
      </c>
      <c r="C503" t="s">
        <v>402</v>
      </c>
      <c r="D503" t="s">
        <v>28</v>
      </c>
      <c r="E503" t="s">
        <v>84</v>
      </c>
      <c r="F503" s="267" t="s">
        <v>403</v>
      </c>
      <c r="G503" s="267" t="s">
        <v>866</v>
      </c>
    </row>
    <row r="504" spans="1:7">
      <c r="A504">
        <v>402</v>
      </c>
      <c r="B504">
        <v>2017</v>
      </c>
      <c r="C504" t="s">
        <v>404</v>
      </c>
      <c r="D504" t="s">
        <v>28</v>
      </c>
      <c r="E504" t="s">
        <v>84</v>
      </c>
      <c r="F504" s="267" t="s">
        <v>405</v>
      </c>
      <c r="G504" s="267" t="s">
        <v>867</v>
      </c>
    </row>
    <row r="505" spans="1:7">
      <c r="A505">
        <v>403</v>
      </c>
      <c r="B505">
        <v>2017</v>
      </c>
      <c r="C505" t="s">
        <v>406</v>
      </c>
      <c r="D505" t="s">
        <v>28</v>
      </c>
      <c r="E505" t="s">
        <v>84</v>
      </c>
      <c r="F505" s="267" t="s">
        <v>407</v>
      </c>
      <c r="G505" s="267" t="s">
        <v>868</v>
      </c>
    </row>
    <row r="506" spans="1:7">
      <c r="A506">
        <v>404</v>
      </c>
      <c r="B506">
        <v>2017</v>
      </c>
      <c r="C506" t="s">
        <v>408</v>
      </c>
      <c r="D506" t="s">
        <v>28</v>
      </c>
      <c r="E506" t="s">
        <v>84</v>
      </c>
      <c r="F506" s="267" t="s">
        <v>409</v>
      </c>
      <c r="G506" s="267" t="s">
        <v>869</v>
      </c>
    </row>
    <row r="507" spans="1:7">
      <c r="A507">
        <v>405</v>
      </c>
      <c r="B507">
        <v>2017</v>
      </c>
      <c r="C507" t="s">
        <v>410</v>
      </c>
      <c r="D507" t="s">
        <v>28</v>
      </c>
      <c r="E507" t="s">
        <v>84</v>
      </c>
      <c r="F507" s="267" t="s">
        <v>411</v>
      </c>
      <c r="G507" s="267" t="s">
        <v>870</v>
      </c>
    </row>
    <row r="508" spans="1:7">
      <c r="A508">
        <v>451</v>
      </c>
      <c r="B508">
        <v>2017</v>
      </c>
      <c r="C508" t="s">
        <v>118</v>
      </c>
      <c r="D508" t="s">
        <v>28</v>
      </c>
      <c r="E508" t="s">
        <v>84</v>
      </c>
      <c r="F508" s="267" t="s">
        <v>412</v>
      </c>
      <c r="G508" s="267" t="s">
        <v>871</v>
      </c>
    </row>
    <row r="509" spans="1:7">
      <c r="A509">
        <v>452</v>
      </c>
      <c r="B509">
        <v>2017</v>
      </c>
      <c r="C509" t="s">
        <v>119</v>
      </c>
      <c r="D509" t="s">
        <v>28</v>
      </c>
      <c r="E509" t="s">
        <v>84</v>
      </c>
      <c r="F509" s="267" t="s">
        <v>413</v>
      </c>
      <c r="G509" s="267" t="s">
        <v>872</v>
      </c>
    </row>
    <row r="510" spans="1:7">
      <c r="A510">
        <v>453</v>
      </c>
      <c r="B510">
        <v>2017</v>
      </c>
      <c r="C510" t="s">
        <v>120</v>
      </c>
      <c r="D510" t="s">
        <v>28</v>
      </c>
      <c r="E510" t="s">
        <v>84</v>
      </c>
      <c r="F510" s="267" t="s">
        <v>414</v>
      </c>
      <c r="G510" s="267" t="s">
        <v>873</v>
      </c>
    </row>
    <row r="511" spans="1:7">
      <c r="A511">
        <v>454</v>
      </c>
      <c r="B511">
        <v>2017</v>
      </c>
      <c r="C511" t="s">
        <v>121</v>
      </c>
      <c r="D511" t="s">
        <v>28</v>
      </c>
      <c r="E511" t="s">
        <v>84</v>
      </c>
      <c r="F511" s="267" t="s">
        <v>415</v>
      </c>
      <c r="G511" s="267" t="s">
        <v>874</v>
      </c>
    </row>
    <row r="512" spans="1:7">
      <c r="A512">
        <v>455</v>
      </c>
      <c r="B512">
        <v>2017</v>
      </c>
      <c r="C512" t="s">
        <v>122</v>
      </c>
      <c r="D512" t="s">
        <v>28</v>
      </c>
      <c r="E512" t="s">
        <v>84</v>
      </c>
      <c r="F512" s="267" t="s">
        <v>416</v>
      </c>
      <c r="G512" s="267" t="s">
        <v>875</v>
      </c>
    </row>
    <row r="513" spans="1:7">
      <c r="A513">
        <v>456</v>
      </c>
      <c r="B513">
        <v>2017</v>
      </c>
      <c r="C513" t="s">
        <v>123</v>
      </c>
      <c r="D513" t="s">
        <v>28</v>
      </c>
      <c r="E513" t="s">
        <v>84</v>
      </c>
      <c r="F513" s="267" t="s">
        <v>417</v>
      </c>
      <c r="G513" s="267" t="s">
        <v>876</v>
      </c>
    </row>
    <row r="514" spans="1:7">
      <c r="A514">
        <v>457</v>
      </c>
      <c r="B514">
        <v>2017</v>
      </c>
      <c r="C514" t="s">
        <v>124</v>
      </c>
      <c r="D514" t="s">
        <v>28</v>
      </c>
      <c r="E514" t="s">
        <v>84</v>
      </c>
      <c r="F514" s="267" t="s">
        <v>418</v>
      </c>
      <c r="G514" s="267" t="s">
        <v>877</v>
      </c>
    </row>
    <row r="515" spans="1:7">
      <c r="A515">
        <v>458</v>
      </c>
      <c r="B515">
        <v>2017</v>
      </c>
      <c r="C515" t="s">
        <v>125</v>
      </c>
      <c r="D515" t="s">
        <v>28</v>
      </c>
      <c r="E515" t="s">
        <v>84</v>
      </c>
      <c r="F515" s="267" t="s">
        <v>419</v>
      </c>
      <c r="G515" s="267" t="s">
        <v>878</v>
      </c>
    </row>
    <row r="516" spans="1:7">
      <c r="A516">
        <v>459</v>
      </c>
      <c r="B516">
        <v>2017</v>
      </c>
      <c r="C516" t="s">
        <v>126</v>
      </c>
      <c r="D516" t="s">
        <v>28</v>
      </c>
      <c r="E516" t="s">
        <v>84</v>
      </c>
      <c r="F516" s="267" t="s">
        <v>420</v>
      </c>
      <c r="G516" s="267" t="s">
        <v>879</v>
      </c>
    </row>
    <row r="517" spans="1:7">
      <c r="A517">
        <v>460</v>
      </c>
      <c r="B517">
        <v>2017</v>
      </c>
      <c r="C517" t="s">
        <v>127</v>
      </c>
      <c r="D517" t="s">
        <v>28</v>
      </c>
      <c r="E517" t="s">
        <v>84</v>
      </c>
      <c r="F517" s="267" t="s">
        <v>421</v>
      </c>
      <c r="G517" s="267" t="s">
        <v>880</v>
      </c>
    </row>
    <row r="518" spans="1:7">
      <c r="A518">
        <v>461</v>
      </c>
      <c r="B518">
        <v>2017</v>
      </c>
      <c r="C518" t="s">
        <v>128</v>
      </c>
      <c r="D518" t="s">
        <v>28</v>
      </c>
      <c r="E518" t="s">
        <v>84</v>
      </c>
      <c r="F518" s="267" t="s">
        <v>422</v>
      </c>
      <c r="G518" s="267" t="s">
        <v>881</v>
      </c>
    </row>
    <row r="519" spans="1:7">
      <c r="A519">
        <v>462</v>
      </c>
      <c r="B519">
        <v>2017</v>
      </c>
      <c r="C519" t="s">
        <v>129</v>
      </c>
      <c r="D519" t="s">
        <v>28</v>
      </c>
      <c r="E519" t="s">
        <v>84</v>
      </c>
      <c r="F519" s="267" t="s">
        <v>423</v>
      </c>
      <c r="G519" s="267" t="s">
        <v>882</v>
      </c>
    </row>
    <row r="520" spans="1:7">
      <c r="A520">
        <v>4</v>
      </c>
      <c r="B520">
        <v>2017</v>
      </c>
      <c r="C520" t="s">
        <v>157</v>
      </c>
      <c r="D520" t="s">
        <v>28</v>
      </c>
      <c r="E520" t="s">
        <v>84</v>
      </c>
      <c r="F520" s="267" t="s">
        <v>424</v>
      </c>
      <c r="G520" s="267" t="s">
        <v>883</v>
      </c>
    </row>
    <row r="521" spans="1:7">
      <c r="A521">
        <v>0</v>
      </c>
      <c r="B521">
        <v>2017</v>
      </c>
      <c r="C521" t="s">
        <v>130</v>
      </c>
      <c r="D521" t="s">
        <v>28</v>
      </c>
      <c r="E521" t="s">
        <v>84</v>
      </c>
      <c r="F521" s="267" t="s">
        <v>425</v>
      </c>
      <c r="G521" s="267" t="s">
        <v>884</v>
      </c>
    </row>
    <row r="522" spans="1:7">
      <c r="A522">
        <v>101</v>
      </c>
      <c r="B522">
        <v>2017</v>
      </c>
      <c r="C522" t="s">
        <v>363</v>
      </c>
      <c r="D522" t="s">
        <v>89</v>
      </c>
      <c r="E522" t="s">
        <v>84</v>
      </c>
      <c r="F522" s="267" t="s">
        <v>364</v>
      </c>
      <c r="G522" s="267" t="s">
        <v>885</v>
      </c>
    </row>
    <row r="523" spans="1:7">
      <c r="A523">
        <v>102</v>
      </c>
      <c r="B523">
        <v>2017</v>
      </c>
      <c r="C523" t="s">
        <v>365</v>
      </c>
      <c r="D523" t="s">
        <v>89</v>
      </c>
      <c r="E523" t="s">
        <v>84</v>
      </c>
      <c r="F523" s="267" t="s">
        <v>366</v>
      </c>
      <c r="G523" s="267" t="s">
        <v>886</v>
      </c>
    </row>
    <row r="524" spans="1:7">
      <c r="A524">
        <v>103</v>
      </c>
      <c r="B524">
        <v>2017</v>
      </c>
      <c r="C524" t="s">
        <v>367</v>
      </c>
      <c r="D524" t="s">
        <v>89</v>
      </c>
      <c r="E524" t="s">
        <v>84</v>
      </c>
      <c r="F524" s="267" t="s">
        <v>368</v>
      </c>
      <c r="G524" s="267" t="s">
        <v>887</v>
      </c>
    </row>
    <row r="525" spans="1:7">
      <c r="A525">
        <v>151</v>
      </c>
      <c r="B525">
        <v>2017</v>
      </c>
      <c r="C525" t="s">
        <v>94</v>
      </c>
      <c r="D525" t="s">
        <v>89</v>
      </c>
      <c r="E525" t="s">
        <v>84</v>
      </c>
      <c r="F525" s="267" t="s">
        <v>369</v>
      </c>
      <c r="G525" s="267" t="s">
        <v>888</v>
      </c>
    </row>
    <row r="526" spans="1:7">
      <c r="A526">
        <v>153</v>
      </c>
      <c r="B526">
        <v>2017</v>
      </c>
      <c r="C526" t="s">
        <v>96</v>
      </c>
      <c r="D526" t="s">
        <v>89</v>
      </c>
      <c r="E526" t="s">
        <v>84</v>
      </c>
      <c r="F526" s="267" t="s">
        <v>370</v>
      </c>
      <c r="G526" s="267" t="s">
        <v>889</v>
      </c>
    </row>
    <row r="527" spans="1:7">
      <c r="A527">
        <v>154</v>
      </c>
      <c r="B527">
        <v>2017</v>
      </c>
      <c r="C527" t="s">
        <v>97</v>
      </c>
      <c r="D527" t="s">
        <v>89</v>
      </c>
      <c r="E527" t="s">
        <v>84</v>
      </c>
      <c r="F527" s="267" t="s">
        <v>371</v>
      </c>
      <c r="G527" s="267" t="s">
        <v>535</v>
      </c>
    </row>
    <row r="528" spans="1:7">
      <c r="A528">
        <v>155</v>
      </c>
      <c r="B528">
        <v>2017</v>
      </c>
      <c r="C528" t="s">
        <v>98</v>
      </c>
      <c r="D528" t="s">
        <v>89</v>
      </c>
      <c r="E528" t="s">
        <v>84</v>
      </c>
      <c r="F528" s="267" t="s">
        <v>372</v>
      </c>
      <c r="G528" s="267" t="s">
        <v>890</v>
      </c>
    </row>
    <row r="529" spans="1:7">
      <c r="A529">
        <v>157</v>
      </c>
      <c r="B529">
        <v>2017</v>
      </c>
      <c r="C529" t="s">
        <v>99</v>
      </c>
      <c r="D529" t="s">
        <v>89</v>
      </c>
      <c r="E529" t="s">
        <v>84</v>
      </c>
      <c r="F529" s="267" t="s">
        <v>373</v>
      </c>
      <c r="G529" s="267" t="s">
        <v>891</v>
      </c>
    </row>
    <row r="530" spans="1:7">
      <c r="A530">
        <v>158</v>
      </c>
      <c r="B530">
        <v>2017</v>
      </c>
      <c r="C530" t="s">
        <v>100</v>
      </c>
      <c r="D530" t="s">
        <v>89</v>
      </c>
      <c r="E530" t="s">
        <v>84</v>
      </c>
      <c r="F530" s="267" t="s">
        <v>374</v>
      </c>
      <c r="G530" s="267" t="s">
        <v>892</v>
      </c>
    </row>
    <row r="531" spans="1:7">
      <c r="A531">
        <v>159</v>
      </c>
      <c r="B531">
        <v>2017</v>
      </c>
      <c r="C531" t="s">
        <v>95</v>
      </c>
      <c r="D531" t="s">
        <v>89</v>
      </c>
      <c r="E531" t="s">
        <v>84</v>
      </c>
      <c r="F531" s="267" t="s">
        <v>375</v>
      </c>
      <c r="G531" s="267" t="s">
        <v>893</v>
      </c>
    </row>
    <row r="532" spans="1:7">
      <c r="A532">
        <v>1</v>
      </c>
      <c r="B532">
        <v>2017</v>
      </c>
      <c r="C532" t="s">
        <v>154</v>
      </c>
      <c r="D532" t="s">
        <v>89</v>
      </c>
      <c r="E532" t="s">
        <v>84</v>
      </c>
      <c r="F532" s="267" t="s">
        <v>376</v>
      </c>
      <c r="G532" s="267" t="s">
        <v>894</v>
      </c>
    </row>
    <row r="533" spans="1:7">
      <c r="A533">
        <v>241</v>
      </c>
      <c r="B533">
        <v>2017</v>
      </c>
      <c r="C533" t="s">
        <v>377</v>
      </c>
      <c r="D533" t="s">
        <v>89</v>
      </c>
      <c r="E533" t="s">
        <v>84</v>
      </c>
      <c r="F533" s="267" t="s">
        <v>378</v>
      </c>
      <c r="G533" s="267" t="s">
        <v>895</v>
      </c>
    </row>
    <row r="534" spans="1:7">
      <c r="A534">
        <v>241001</v>
      </c>
      <c r="B534">
        <v>2017</v>
      </c>
      <c r="C534" t="s">
        <v>379</v>
      </c>
      <c r="D534" t="s">
        <v>89</v>
      </c>
      <c r="E534" t="s">
        <v>84</v>
      </c>
      <c r="F534" s="267" t="s">
        <v>380</v>
      </c>
      <c r="G534" s="267" t="s">
        <v>896</v>
      </c>
    </row>
    <row r="535" spans="1:7">
      <c r="A535">
        <v>241999</v>
      </c>
      <c r="B535">
        <v>2017</v>
      </c>
      <c r="C535" t="s">
        <v>381</v>
      </c>
      <c r="D535" t="s">
        <v>89</v>
      </c>
      <c r="E535" t="s">
        <v>84</v>
      </c>
      <c r="F535" s="267" t="s">
        <v>382</v>
      </c>
      <c r="G535" s="267" t="s">
        <v>897</v>
      </c>
    </row>
    <row r="536" spans="1:7">
      <c r="A536">
        <v>251</v>
      </c>
      <c r="B536">
        <v>2017</v>
      </c>
      <c r="C536" t="s">
        <v>101</v>
      </c>
      <c r="D536" t="s">
        <v>89</v>
      </c>
      <c r="E536" t="s">
        <v>84</v>
      </c>
      <c r="F536" s="267" t="s">
        <v>383</v>
      </c>
      <c r="G536" s="267" t="s">
        <v>898</v>
      </c>
    </row>
    <row r="537" spans="1:7">
      <c r="A537">
        <v>252</v>
      </c>
      <c r="B537">
        <v>2017</v>
      </c>
      <c r="C537" t="s">
        <v>102</v>
      </c>
      <c r="D537" t="s">
        <v>89</v>
      </c>
      <c r="E537" t="s">
        <v>84</v>
      </c>
      <c r="F537" s="267" t="s">
        <v>384</v>
      </c>
      <c r="G537" s="267" t="s">
        <v>899</v>
      </c>
    </row>
    <row r="538" spans="1:7">
      <c r="A538">
        <v>254</v>
      </c>
      <c r="B538">
        <v>2017</v>
      </c>
      <c r="C538" t="s">
        <v>103</v>
      </c>
      <c r="D538" t="s">
        <v>89</v>
      </c>
      <c r="E538" t="s">
        <v>84</v>
      </c>
      <c r="F538" s="267" t="s">
        <v>385</v>
      </c>
      <c r="G538" s="267" t="s">
        <v>900</v>
      </c>
    </row>
    <row r="539" spans="1:7">
      <c r="A539">
        <v>255</v>
      </c>
      <c r="B539">
        <v>2017</v>
      </c>
      <c r="C539" t="s">
        <v>104</v>
      </c>
      <c r="D539" t="s">
        <v>89</v>
      </c>
      <c r="E539" t="s">
        <v>84</v>
      </c>
      <c r="F539" s="267" t="s">
        <v>386</v>
      </c>
      <c r="G539" s="267" t="s">
        <v>901</v>
      </c>
    </row>
    <row r="540" spans="1:7">
      <c r="A540">
        <v>256</v>
      </c>
      <c r="B540">
        <v>2017</v>
      </c>
      <c r="C540" t="s">
        <v>105</v>
      </c>
      <c r="D540" t="s">
        <v>89</v>
      </c>
      <c r="E540" t="s">
        <v>84</v>
      </c>
      <c r="F540" s="267" t="s">
        <v>387</v>
      </c>
      <c r="G540" s="267" t="s">
        <v>902</v>
      </c>
    </row>
    <row r="541" spans="1:7">
      <c r="A541">
        <v>257</v>
      </c>
      <c r="B541">
        <v>2017</v>
      </c>
      <c r="C541" t="s">
        <v>106</v>
      </c>
      <c r="D541" t="s">
        <v>89</v>
      </c>
      <c r="E541" t="s">
        <v>84</v>
      </c>
      <c r="F541" s="267" t="s">
        <v>388</v>
      </c>
      <c r="G541" s="267" t="s">
        <v>903</v>
      </c>
    </row>
    <row r="542" spans="1:7">
      <c r="A542">
        <v>2</v>
      </c>
      <c r="B542">
        <v>2017</v>
      </c>
      <c r="C542" t="s">
        <v>155</v>
      </c>
      <c r="D542" t="s">
        <v>89</v>
      </c>
      <c r="E542" t="s">
        <v>84</v>
      </c>
      <c r="F542" s="267" t="s">
        <v>389</v>
      </c>
      <c r="G542" s="267" t="s">
        <v>904</v>
      </c>
    </row>
    <row r="543" spans="1:7">
      <c r="A543">
        <v>351</v>
      </c>
      <c r="B543">
        <v>2017</v>
      </c>
      <c r="C543" t="s">
        <v>107</v>
      </c>
      <c r="D543" t="s">
        <v>89</v>
      </c>
      <c r="E543" t="s">
        <v>84</v>
      </c>
      <c r="F543" s="267" t="s">
        <v>390</v>
      </c>
      <c r="G543" s="267" t="s">
        <v>905</v>
      </c>
    </row>
    <row r="544" spans="1:7">
      <c r="A544">
        <v>352</v>
      </c>
      <c r="B544">
        <v>2017</v>
      </c>
      <c r="C544" t="s">
        <v>108</v>
      </c>
      <c r="D544" t="s">
        <v>89</v>
      </c>
      <c r="E544" t="s">
        <v>84</v>
      </c>
      <c r="F544" s="267" t="s">
        <v>391</v>
      </c>
      <c r="G544" s="267" t="s">
        <v>906</v>
      </c>
    </row>
    <row r="545" spans="1:7">
      <c r="A545">
        <v>353</v>
      </c>
      <c r="B545">
        <v>2017</v>
      </c>
      <c r="C545" t="s">
        <v>109</v>
      </c>
      <c r="D545" t="s">
        <v>89</v>
      </c>
      <c r="E545" t="s">
        <v>84</v>
      </c>
      <c r="F545" s="267" t="s">
        <v>392</v>
      </c>
      <c r="G545" s="267" t="s">
        <v>619</v>
      </c>
    </row>
    <row r="546" spans="1:7">
      <c r="A546">
        <v>354</v>
      </c>
      <c r="B546">
        <v>2017</v>
      </c>
      <c r="C546" t="s">
        <v>110</v>
      </c>
      <c r="D546" t="s">
        <v>89</v>
      </c>
      <c r="E546" t="s">
        <v>84</v>
      </c>
      <c r="F546" s="267" t="s">
        <v>393</v>
      </c>
      <c r="G546" s="267" t="s">
        <v>907</v>
      </c>
    </row>
    <row r="547" spans="1:7">
      <c r="A547">
        <v>355</v>
      </c>
      <c r="B547">
        <v>2017</v>
      </c>
      <c r="C547" t="s">
        <v>111</v>
      </c>
      <c r="D547" t="s">
        <v>89</v>
      </c>
      <c r="E547" t="s">
        <v>84</v>
      </c>
      <c r="F547" s="267" t="s">
        <v>394</v>
      </c>
      <c r="G547" s="267" t="s">
        <v>908</v>
      </c>
    </row>
    <row r="548" spans="1:7">
      <c r="A548">
        <v>356</v>
      </c>
      <c r="B548">
        <v>2017</v>
      </c>
      <c r="C548" t="s">
        <v>112</v>
      </c>
      <c r="D548" t="s">
        <v>89</v>
      </c>
      <c r="E548" t="s">
        <v>84</v>
      </c>
      <c r="F548" s="267" t="s">
        <v>395</v>
      </c>
      <c r="G548" s="267" t="s">
        <v>685</v>
      </c>
    </row>
    <row r="549" spans="1:7">
      <c r="A549">
        <v>357</v>
      </c>
      <c r="B549">
        <v>2017</v>
      </c>
      <c r="C549" t="s">
        <v>113</v>
      </c>
      <c r="D549" t="s">
        <v>89</v>
      </c>
      <c r="E549" t="s">
        <v>84</v>
      </c>
      <c r="F549" s="267" t="s">
        <v>396</v>
      </c>
      <c r="G549" s="267" t="s">
        <v>797</v>
      </c>
    </row>
    <row r="550" spans="1:7">
      <c r="A550">
        <v>358</v>
      </c>
      <c r="B550">
        <v>2017</v>
      </c>
      <c r="C550" t="s">
        <v>114</v>
      </c>
      <c r="D550" t="s">
        <v>89</v>
      </c>
      <c r="E550" t="s">
        <v>84</v>
      </c>
      <c r="F550" s="267" t="s">
        <v>397</v>
      </c>
      <c r="G550" s="267" t="s">
        <v>909</v>
      </c>
    </row>
    <row r="551" spans="1:7">
      <c r="A551">
        <v>359</v>
      </c>
      <c r="B551">
        <v>2017</v>
      </c>
      <c r="C551" t="s">
        <v>115</v>
      </c>
      <c r="D551" t="s">
        <v>89</v>
      </c>
      <c r="E551" t="s">
        <v>84</v>
      </c>
      <c r="F551" s="267" t="s">
        <v>398</v>
      </c>
      <c r="G551" s="267" t="s">
        <v>910</v>
      </c>
    </row>
    <row r="552" spans="1:7">
      <c r="A552">
        <v>360</v>
      </c>
      <c r="B552">
        <v>2017</v>
      </c>
      <c r="C552" t="s">
        <v>116</v>
      </c>
      <c r="D552" t="s">
        <v>89</v>
      </c>
      <c r="E552" t="s">
        <v>84</v>
      </c>
      <c r="F552" s="267" t="s">
        <v>399</v>
      </c>
      <c r="G552" s="267" t="s">
        <v>450</v>
      </c>
    </row>
    <row r="553" spans="1:7">
      <c r="A553">
        <v>361</v>
      </c>
      <c r="B553">
        <v>2017</v>
      </c>
      <c r="C553" t="s">
        <v>117</v>
      </c>
      <c r="D553" t="s">
        <v>89</v>
      </c>
      <c r="E553" t="s">
        <v>84</v>
      </c>
      <c r="F553" s="267" t="s">
        <v>400</v>
      </c>
      <c r="G553" s="267" t="s">
        <v>911</v>
      </c>
    </row>
    <row r="554" spans="1:7">
      <c r="A554">
        <v>3</v>
      </c>
      <c r="B554">
        <v>2017</v>
      </c>
      <c r="C554" t="s">
        <v>156</v>
      </c>
      <c r="D554" t="s">
        <v>89</v>
      </c>
      <c r="E554" t="s">
        <v>84</v>
      </c>
      <c r="F554" s="267" t="s">
        <v>401</v>
      </c>
      <c r="G554" s="267" t="s">
        <v>912</v>
      </c>
    </row>
    <row r="555" spans="1:7">
      <c r="A555">
        <v>401</v>
      </c>
      <c r="B555">
        <v>2017</v>
      </c>
      <c r="C555" t="s">
        <v>402</v>
      </c>
      <c r="D555" t="s">
        <v>89</v>
      </c>
      <c r="E555" t="s">
        <v>84</v>
      </c>
      <c r="F555" s="267" t="s">
        <v>403</v>
      </c>
      <c r="G555" s="267" t="s">
        <v>913</v>
      </c>
    </row>
    <row r="556" spans="1:7">
      <c r="A556">
        <v>402</v>
      </c>
      <c r="B556">
        <v>2017</v>
      </c>
      <c r="C556" t="s">
        <v>404</v>
      </c>
      <c r="D556" t="s">
        <v>89</v>
      </c>
      <c r="E556" t="s">
        <v>84</v>
      </c>
      <c r="F556" s="267" t="s">
        <v>405</v>
      </c>
      <c r="G556" s="267" t="s">
        <v>914</v>
      </c>
    </row>
    <row r="557" spans="1:7">
      <c r="A557">
        <v>403</v>
      </c>
      <c r="B557">
        <v>2017</v>
      </c>
      <c r="C557" t="s">
        <v>406</v>
      </c>
      <c r="D557" t="s">
        <v>89</v>
      </c>
      <c r="E557" t="s">
        <v>84</v>
      </c>
      <c r="F557" s="267" t="s">
        <v>407</v>
      </c>
      <c r="G557" s="267" t="s">
        <v>915</v>
      </c>
    </row>
    <row r="558" spans="1:7">
      <c r="A558">
        <v>404</v>
      </c>
      <c r="B558">
        <v>2017</v>
      </c>
      <c r="C558" t="s">
        <v>408</v>
      </c>
      <c r="D558" t="s">
        <v>89</v>
      </c>
      <c r="E558" t="s">
        <v>84</v>
      </c>
      <c r="F558" s="267" t="s">
        <v>409</v>
      </c>
      <c r="G558" s="267" t="s">
        <v>916</v>
      </c>
    </row>
    <row r="559" spans="1:7">
      <c r="A559">
        <v>405</v>
      </c>
      <c r="B559">
        <v>2017</v>
      </c>
      <c r="C559" t="s">
        <v>410</v>
      </c>
      <c r="D559" t="s">
        <v>89</v>
      </c>
      <c r="E559" t="s">
        <v>84</v>
      </c>
      <c r="F559" s="267" t="s">
        <v>411</v>
      </c>
      <c r="G559" s="267" t="s">
        <v>917</v>
      </c>
    </row>
    <row r="560" spans="1:7">
      <c r="A560">
        <v>451</v>
      </c>
      <c r="B560">
        <v>2017</v>
      </c>
      <c r="C560" t="s">
        <v>118</v>
      </c>
      <c r="D560" t="s">
        <v>89</v>
      </c>
      <c r="E560" t="s">
        <v>84</v>
      </c>
      <c r="F560" s="267" t="s">
        <v>412</v>
      </c>
      <c r="G560" s="267" t="s">
        <v>918</v>
      </c>
    </row>
    <row r="561" spans="1:7">
      <c r="A561">
        <v>452</v>
      </c>
      <c r="B561">
        <v>2017</v>
      </c>
      <c r="C561" t="s">
        <v>119</v>
      </c>
      <c r="D561" t="s">
        <v>89</v>
      </c>
      <c r="E561" t="s">
        <v>84</v>
      </c>
      <c r="F561" s="267" t="s">
        <v>413</v>
      </c>
      <c r="G561" s="267" t="s">
        <v>919</v>
      </c>
    </row>
    <row r="562" spans="1:7">
      <c r="A562">
        <v>453</v>
      </c>
      <c r="B562">
        <v>2017</v>
      </c>
      <c r="C562" t="s">
        <v>120</v>
      </c>
      <c r="D562" t="s">
        <v>89</v>
      </c>
      <c r="E562" t="s">
        <v>84</v>
      </c>
      <c r="F562" s="267" t="s">
        <v>414</v>
      </c>
      <c r="G562" s="267" t="s">
        <v>920</v>
      </c>
    </row>
    <row r="563" spans="1:7">
      <c r="A563">
        <v>454</v>
      </c>
      <c r="B563">
        <v>2017</v>
      </c>
      <c r="C563" t="s">
        <v>121</v>
      </c>
      <c r="D563" t="s">
        <v>89</v>
      </c>
      <c r="E563" t="s">
        <v>84</v>
      </c>
      <c r="F563" s="267" t="s">
        <v>415</v>
      </c>
      <c r="G563" s="267" t="s">
        <v>921</v>
      </c>
    </row>
    <row r="564" spans="1:7">
      <c r="A564">
        <v>455</v>
      </c>
      <c r="B564">
        <v>2017</v>
      </c>
      <c r="C564" t="s">
        <v>122</v>
      </c>
      <c r="D564" t="s">
        <v>89</v>
      </c>
      <c r="E564" t="s">
        <v>84</v>
      </c>
      <c r="F564" s="267" t="s">
        <v>416</v>
      </c>
      <c r="G564" s="267" t="s">
        <v>922</v>
      </c>
    </row>
    <row r="565" spans="1:7">
      <c r="A565">
        <v>456</v>
      </c>
      <c r="B565">
        <v>2017</v>
      </c>
      <c r="C565" t="s">
        <v>123</v>
      </c>
      <c r="D565" t="s">
        <v>89</v>
      </c>
      <c r="E565" t="s">
        <v>84</v>
      </c>
      <c r="F565" s="267" t="s">
        <v>417</v>
      </c>
      <c r="G565" s="267" t="s">
        <v>923</v>
      </c>
    </row>
    <row r="566" spans="1:7">
      <c r="A566">
        <v>457</v>
      </c>
      <c r="B566">
        <v>2017</v>
      </c>
      <c r="C566" t="s">
        <v>124</v>
      </c>
      <c r="D566" t="s">
        <v>89</v>
      </c>
      <c r="E566" t="s">
        <v>84</v>
      </c>
      <c r="F566" s="267" t="s">
        <v>418</v>
      </c>
      <c r="G566" s="267" t="s">
        <v>924</v>
      </c>
    </row>
    <row r="567" spans="1:7">
      <c r="A567">
        <v>458</v>
      </c>
      <c r="B567">
        <v>2017</v>
      </c>
      <c r="C567" t="s">
        <v>125</v>
      </c>
      <c r="D567" t="s">
        <v>89</v>
      </c>
      <c r="E567" t="s">
        <v>84</v>
      </c>
      <c r="F567" s="267" t="s">
        <v>419</v>
      </c>
      <c r="G567" s="267" t="s">
        <v>925</v>
      </c>
    </row>
    <row r="568" spans="1:7">
      <c r="A568">
        <v>459</v>
      </c>
      <c r="B568">
        <v>2017</v>
      </c>
      <c r="C568" t="s">
        <v>126</v>
      </c>
      <c r="D568" t="s">
        <v>89</v>
      </c>
      <c r="E568" t="s">
        <v>84</v>
      </c>
      <c r="F568" s="267" t="s">
        <v>420</v>
      </c>
      <c r="G568" s="267" t="s">
        <v>926</v>
      </c>
    </row>
    <row r="569" spans="1:7">
      <c r="A569">
        <v>460</v>
      </c>
      <c r="B569">
        <v>2017</v>
      </c>
      <c r="C569" t="s">
        <v>127</v>
      </c>
      <c r="D569" t="s">
        <v>89</v>
      </c>
      <c r="E569" t="s">
        <v>84</v>
      </c>
      <c r="F569" s="267" t="s">
        <v>421</v>
      </c>
      <c r="G569" s="267" t="s">
        <v>574</v>
      </c>
    </row>
    <row r="570" spans="1:7">
      <c r="A570">
        <v>461</v>
      </c>
      <c r="B570">
        <v>2017</v>
      </c>
      <c r="C570" t="s">
        <v>128</v>
      </c>
      <c r="D570" t="s">
        <v>89</v>
      </c>
      <c r="E570" t="s">
        <v>84</v>
      </c>
      <c r="F570" s="267" t="s">
        <v>422</v>
      </c>
      <c r="G570" s="267" t="s">
        <v>927</v>
      </c>
    </row>
    <row r="571" spans="1:7">
      <c r="A571">
        <v>462</v>
      </c>
      <c r="B571">
        <v>2017</v>
      </c>
      <c r="C571" t="s">
        <v>129</v>
      </c>
      <c r="D571" t="s">
        <v>89</v>
      </c>
      <c r="E571" t="s">
        <v>84</v>
      </c>
      <c r="F571" s="267" t="s">
        <v>423</v>
      </c>
      <c r="G571" s="267" t="s">
        <v>928</v>
      </c>
    </row>
    <row r="572" spans="1:7">
      <c r="A572">
        <v>4</v>
      </c>
      <c r="B572">
        <v>2017</v>
      </c>
      <c r="C572" t="s">
        <v>157</v>
      </c>
      <c r="D572" t="s">
        <v>89</v>
      </c>
      <c r="E572" t="s">
        <v>84</v>
      </c>
      <c r="F572" s="267" t="s">
        <v>424</v>
      </c>
      <c r="G572" s="267" t="s">
        <v>929</v>
      </c>
    </row>
    <row r="573" spans="1:7">
      <c r="A573">
        <v>0</v>
      </c>
      <c r="B573">
        <v>2017</v>
      </c>
      <c r="C573" t="s">
        <v>130</v>
      </c>
      <c r="D573" t="s">
        <v>89</v>
      </c>
      <c r="E573" t="s">
        <v>84</v>
      </c>
      <c r="F573" s="267" t="s">
        <v>425</v>
      </c>
      <c r="G573" s="267" t="s">
        <v>930</v>
      </c>
    </row>
    <row r="574" spans="1:7">
      <c r="A574">
        <v>101</v>
      </c>
      <c r="B574">
        <v>2017</v>
      </c>
      <c r="C574" t="s">
        <v>363</v>
      </c>
      <c r="D574" t="s">
        <v>90</v>
      </c>
      <c r="E574" t="s">
        <v>84</v>
      </c>
      <c r="F574" s="267" t="s">
        <v>364</v>
      </c>
      <c r="G574" s="267" t="s">
        <v>931</v>
      </c>
    </row>
    <row r="575" spans="1:7">
      <c r="A575">
        <v>102</v>
      </c>
      <c r="B575">
        <v>2017</v>
      </c>
      <c r="C575" t="s">
        <v>365</v>
      </c>
      <c r="D575" t="s">
        <v>90</v>
      </c>
      <c r="E575" t="s">
        <v>84</v>
      </c>
      <c r="F575" s="267" t="s">
        <v>366</v>
      </c>
      <c r="G575" s="267" t="s">
        <v>932</v>
      </c>
    </row>
    <row r="576" spans="1:7">
      <c r="A576">
        <v>103</v>
      </c>
      <c r="B576">
        <v>2017</v>
      </c>
      <c r="C576" t="s">
        <v>367</v>
      </c>
      <c r="D576" t="s">
        <v>90</v>
      </c>
      <c r="E576" t="s">
        <v>84</v>
      </c>
      <c r="F576" s="267" t="s">
        <v>368</v>
      </c>
      <c r="G576" s="267" t="s">
        <v>933</v>
      </c>
    </row>
    <row r="577" spans="1:7">
      <c r="A577">
        <v>151</v>
      </c>
      <c r="B577">
        <v>2017</v>
      </c>
      <c r="C577" t="s">
        <v>94</v>
      </c>
      <c r="D577" t="s">
        <v>90</v>
      </c>
      <c r="E577" t="s">
        <v>84</v>
      </c>
      <c r="F577" s="267" t="s">
        <v>369</v>
      </c>
      <c r="G577" s="267" t="s">
        <v>934</v>
      </c>
    </row>
    <row r="578" spans="1:7">
      <c r="A578">
        <v>153</v>
      </c>
      <c r="B578">
        <v>2017</v>
      </c>
      <c r="C578" t="s">
        <v>96</v>
      </c>
      <c r="D578" t="s">
        <v>90</v>
      </c>
      <c r="E578" t="s">
        <v>84</v>
      </c>
      <c r="F578" s="267" t="s">
        <v>370</v>
      </c>
      <c r="G578" s="267" t="s">
        <v>935</v>
      </c>
    </row>
    <row r="579" spans="1:7">
      <c r="A579">
        <v>154</v>
      </c>
      <c r="B579">
        <v>2017</v>
      </c>
      <c r="C579" t="s">
        <v>97</v>
      </c>
      <c r="D579" t="s">
        <v>90</v>
      </c>
      <c r="E579" t="s">
        <v>84</v>
      </c>
      <c r="F579" s="267" t="s">
        <v>371</v>
      </c>
      <c r="G579" s="267" t="s">
        <v>936</v>
      </c>
    </row>
    <row r="580" spans="1:7">
      <c r="A580">
        <v>155</v>
      </c>
      <c r="B580">
        <v>2017</v>
      </c>
      <c r="C580" t="s">
        <v>98</v>
      </c>
      <c r="D580" t="s">
        <v>90</v>
      </c>
      <c r="E580" t="s">
        <v>84</v>
      </c>
      <c r="F580" s="267" t="s">
        <v>372</v>
      </c>
      <c r="G580" s="267" t="s">
        <v>937</v>
      </c>
    </row>
    <row r="581" spans="1:7">
      <c r="A581">
        <v>157</v>
      </c>
      <c r="B581">
        <v>2017</v>
      </c>
      <c r="C581" t="s">
        <v>99</v>
      </c>
      <c r="D581" t="s">
        <v>90</v>
      </c>
      <c r="E581" t="s">
        <v>84</v>
      </c>
      <c r="F581" s="267" t="s">
        <v>373</v>
      </c>
      <c r="G581" s="267" t="s">
        <v>938</v>
      </c>
    </row>
    <row r="582" spans="1:7">
      <c r="A582">
        <v>158</v>
      </c>
      <c r="B582">
        <v>2017</v>
      </c>
      <c r="C582" t="s">
        <v>100</v>
      </c>
      <c r="D582" t="s">
        <v>90</v>
      </c>
      <c r="E582" t="s">
        <v>84</v>
      </c>
      <c r="F582" s="267" t="s">
        <v>374</v>
      </c>
      <c r="G582" s="267" t="s">
        <v>939</v>
      </c>
    </row>
    <row r="583" spans="1:7">
      <c r="A583">
        <v>159</v>
      </c>
      <c r="B583">
        <v>2017</v>
      </c>
      <c r="C583" t="s">
        <v>95</v>
      </c>
      <c r="D583" t="s">
        <v>90</v>
      </c>
      <c r="E583" t="s">
        <v>84</v>
      </c>
      <c r="F583" s="267" t="s">
        <v>375</v>
      </c>
      <c r="G583" s="267" t="s">
        <v>737</v>
      </c>
    </row>
    <row r="584" spans="1:7">
      <c r="A584">
        <v>1</v>
      </c>
      <c r="B584">
        <v>2017</v>
      </c>
      <c r="C584" t="s">
        <v>154</v>
      </c>
      <c r="D584" t="s">
        <v>90</v>
      </c>
      <c r="E584" t="s">
        <v>84</v>
      </c>
      <c r="F584" s="267" t="s">
        <v>376</v>
      </c>
      <c r="G584" s="267" t="s">
        <v>940</v>
      </c>
    </row>
    <row r="585" spans="1:7">
      <c r="A585">
        <v>241</v>
      </c>
      <c r="B585">
        <v>2017</v>
      </c>
      <c r="C585" t="s">
        <v>377</v>
      </c>
      <c r="D585" t="s">
        <v>90</v>
      </c>
      <c r="E585" t="s">
        <v>84</v>
      </c>
      <c r="F585" s="267" t="s">
        <v>378</v>
      </c>
      <c r="G585" s="267" t="s">
        <v>941</v>
      </c>
    </row>
    <row r="586" spans="1:7">
      <c r="A586">
        <v>241001</v>
      </c>
      <c r="B586">
        <v>2017</v>
      </c>
      <c r="C586" t="s">
        <v>379</v>
      </c>
      <c r="D586" t="s">
        <v>90</v>
      </c>
      <c r="E586" t="s">
        <v>84</v>
      </c>
      <c r="F586" s="267" t="s">
        <v>380</v>
      </c>
      <c r="G586" s="267" t="s">
        <v>942</v>
      </c>
    </row>
    <row r="587" spans="1:7">
      <c r="A587">
        <v>241999</v>
      </c>
      <c r="B587">
        <v>2017</v>
      </c>
      <c r="C587" t="s">
        <v>381</v>
      </c>
      <c r="D587" t="s">
        <v>90</v>
      </c>
      <c r="E587" t="s">
        <v>84</v>
      </c>
      <c r="F587" s="267" t="s">
        <v>382</v>
      </c>
      <c r="G587" s="267" t="s">
        <v>943</v>
      </c>
    </row>
    <row r="588" spans="1:7">
      <c r="A588">
        <v>251</v>
      </c>
      <c r="B588">
        <v>2017</v>
      </c>
      <c r="C588" t="s">
        <v>101</v>
      </c>
      <c r="D588" t="s">
        <v>90</v>
      </c>
      <c r="E588" t="s">
        <v>84</v>
      </c>
      <c r="F588" s="267" t="s">
        <v>383</v>
      </c>
      <c r="G588" s="267" t="s">
        <v>944</v>
      </c>
    </row>
    <row r="589" spans="1:7">
      <c r="A589">
        <v>252</v>
      </c>
      <c r="B589">
        <v>2017</v>
      </c>
      <c r="C589" t="s">
        <v>102</v>
      </c>
      <c r="D589" t="s">
        <v>90</v>
      </c>
      <c r="E589" t="s">
        <v>84</v>
      </c>
      <c r="F589" s="267" t="s">
        <v>384</v>
      </c>
      <c r="G589" s="267" t="s">
        <v>945</v>
      </c>
    </row>
    <row r="590" spans="1:7">
      <c r="A590">
        <v>254</v>
      </c>
      <c r="B590">
        <v>2017</v>
      </c>
      <c r="C590" t="s">
        <v>103</v>
      </c>
      <c r="D590" t="s">
        <v>90</v>
      </c>
      <c r="E590" t="s">
        <v>84</v>
      </c>
      <c r="F590" s="267" t="s">
        <v>385</v>
      </c>
      <c r="G590" s="267" t="s">
        <v>571</v>
      </c>
    </row>
    <row r="591" spans="1:7">
      <c r="A591">
        <v>255</v>
      </c>
      <c r="B591">
        <v>2017</v>
      </c>
      <c r="C591" t="s">
        <v>104</v>
      </c>
      <c r="D591" t="s">
        <v>90</v>
      </c>
      <c r="E591" t="s">
        <v>84</v>
      </c>
      <c r="F591" s="267" t="s">
        <v>386</v>
      </c>
      <c r="G591" s="267" t="s">
        <v>946</v>
      </c>
    </row>
    <row r="592" spans="1:7">
      <c r="A592">
        <v>256</v>
      </c>
      <c r="B592">
        <v>2017</v>
      </c>
      <c r="C592" t="s">
        <v>105</v>
      </c>
      <c r="D592" t="s">
        <v>90</v>
      </c>
      <c r="E592" t="s">
        <v>84</v>
      </c>
      <c r="F592" s="267" t="s">
        <v>387</v>
      </c>
      <c r="G592" s="267" t="s">
        <v>947</v>
      </c>
    </row>
    <row r="593" spans="1:7">
      <c r="A593">
        <v>257</v>
      </c>
      <c r="B593">
        <v>2017</v>
      </c>
      <c r="C593" t="s">
        <v>106</v>
      </c>
      <c r="D593" t="s">
        <v>90</v>
      </c>
      <c r="E593" t="s">
        <v>84</v>
      </c>
      <c r="F593" s="267" t="s">
        <v>388</v>
      </c>
      <c r="G593" s="267" t="s">
        <v>948</v>
      </c>
    </row>
    <row r="594" spans="1:7">
      <c r="A594">
        <v>2</v>
      </c>
      <c r="B594">
        <v>2017</v>
      </c>
      <c r="C594" t="s">
        <v>155</v>
      </c>
      <c r="D594" t="s">
        <v>90</v>
      </c>
      <c r="E594" t="s">
        <v>84</v>
      </c>
      <c r="F594" s="267" t="s">
        <v>389</v>
      </c>
      <c r="G594" s="267" t="s">
        <v>949</v>
      </c>
    </row>
    <row r="595" spans="1:7">
      <c r="A595">
        <v>351</v>
      </c>
      <c r="B595">
        <v>2017</v>
      </c>
      <c r="C595" t="s">
        <v>107</v>
      </c>
      <c r="D595" t="s">
        <v>90</v>
      </c>
      <c r="E595" t="s">
        <v>84</v>
      </c>
      <c r="F595" s="267" t="s">
        <v>390</v>
      </c>
      <c r="G595" s="267" t="s">
        <v>950</v>
      </c>
    </row>
    <row r="596" spans="1:7">
      <c r="A596">
        <v>352</v>
      </c>
      <c r="B596">
        <v>2017</v>
      </c>
      <c r="C596" t="s">
        <v>108</v>
      </c>
      <c r="D596" t="s">
        <v>90</v>
      </c>
      <c r="E596" t="s">
        <v>84</v>
      </c>
      <c r="F596" s="267" t="s">
        <v>391</v>
      </c>
      <c r="G596" s="267" t="s">
        <v>951</v>
      </c>
    </row>
    <row r="597" spans="1:7">
      <c r="A597">
        <v>353</v>
      </c>
      <c r="B597">
        <v>2017</v>
      </c>
      <c r="C597" t="s">
        <v>109</v>
      </c>
      <c r="D597" t="s">
        <v>90</v>
      </c>
      <c r="E597" t="s">
        <v>84</v>
      </c>
      <c r="F597" s="267" t="s">
        <v>392</v>
      </c>
      <c r="G597" s="267" t="s">
        <v>952</v>
      </c>
    </row>
    <row r="598" spans="1:7">
      <c r="A598">
        <v>354</v>
      </c>
      <c r="B598">
        <v>2017</v>
      </c>
      <c r="C598" t="s">
        <v>110</v>
      </c>
      <c r="D598" t="s">
        <v>90</v>
      </c>
      <c r="E598" t="s">
        <v>84</v>
      </c>
      <c r="F598" s="267" t="s">
        <v>393</v>
      </c>
      <c r="G598" s="267" t="s">
        <v>953</v>
      </c>
    </row>
    <row r="599" spans="1:7">
      <c r="A599">
        <v>355</v>
      </c>
      <c r="B599">
        <v>2017</v>
      </c>
      <c r="C599" t="s">
        <v>111</v>
      </c>
      <c r="D599" t="s">
        <v>90</v>
      </c>
      <c r="E599" t="s">
        <v>84</v>
      </c>
      <c r="F599" s="267" t="s">
        <v>394</v>
      </c>
      <c r="G599" s="267" t="s">
        <v>954</v>
      </c>
    </row>
    <row r="600" spans="1:7">
      <c r="A600">
        <v>356</v>
      </c>
      <c r="B600">
        <v>2017</v>
      </c>
      <c r="C600" t="s">
        <v>112</v>
      </c>
      <c r="D600" t="s">
        <v>90</v>
      </c>
      <c r="E600" t="s">
        <v>84</v>
      </c>
      <c r="F600" s="267" t="s">
        <v>395</v>
      </c>
      <c r="G600" s="267" t="s">
        <v>955</v>
      </c>
    </row>
    <row r="601" spans="1:7">
      <c r="A601">
        <v>357</v>
      </c>
      <c r="B601">
        <v>2017</v>
      </c>
      <c r="C601" t="s">
        <v>113</v>
      </c>
      <c r="D601" t="s">
        <v>90</v>
      </c>
      <c r="E601" t="s">
        <v>84</v>
      </c>
      <c r="F601" s="267" t="s">
        <v>396</v>
      </c>
      <c r="G601" s="267" t="s">
        <v>956</v>
      </c>
    </row>
    <row r="602" spans="1:7">
      <c r="A602">
        <v>358</v>
      </c>
      <c r="B602">
        <v>2017</v>
      </c>
      <c r="C602" t="s">
        <v>114</v>
      </c>
      <c r="D602" t="s">
        <v>90</v>
      </c>
      <c r="E602" t="s">
        <v>84</v>
      </c>
      <c r="F602" s="267" t="s">
        <v>397</v>
      </c>
      <c r="G602" s="267" t="s">
        <v>957</v>
      </c>
    </row>
    <row r="603" spans="1:7">
      <c r="A603">
        <v>359</v>
      </c>
      <c r="B603">
        <v>2017</v>
      </c>
      <c r="C603" t="s">
        <v>115</v>
      </c>
      <c r="D603" t="s">
        <v>90</v>
      </c>
      <c r="E603" t="s">
        <v>84</v>
      </c>
      <c r="F603" s="267" t="s">
        <v>398</v>
      </c>
      <c r="G603" s="267" t="s">
        <v>958</v>
      </c>
    </row>
    <row r="604" spans="1:7">
      <c r="A604">
        <v>360</v>
      </c>
      <c r="B604">
        <v>2017</v>
      </c>
      <c r="C604" t="s">
        <v>116</v>
      </c>
      <c r="D604" t="s">
        <v>90</v>
      </c>
      <c r="E604" t="s">
        <v>84</v>
      </c>
      <c r="F604" s="267" t="s">
        <v>399</v>
      </c>
      <c r="G604" s="267" t="s">
        <v>959</v>
      </c>
    </row>
    <row r="605" spans="1:7">
      <c r="A605">
        <v>361</v>
      </c>
      <c r="B605">
        <v>2017</v>
      </c>
      <c r="C605" t="s">
        <v>117</v>
      </c>
      <c r="D605" t="s">
        <v>90</v>
      </c>
      <c r="E605" t="s">
        <v>84</v>
      </c>
      <c r="F605" s="267" t="s">
        <v>400</v>
      </c>
      <c r="G605" s="267" t="s">
        <v>960</v>
      </c>
    </row>
    <row r="606" spans="1:7">
      <c r="A606">
        <v>3</v>
      </c>
      <c r="B606">
        <v>2017</v>
      </c>
      <c r="C606" t="s">
        <v>156</v>
      </c>
      <c r="D606" t="s">
        <v>90</v>
      </c>
      <c r="E606" t="s">
        <v>84</v>
      </c>
      <c r="F606" s="267" t="s">
        <v>401</v>
      </c>
      <c r="G606" s="267" t="s">
        <v>961</v>
      </c>
    </row>
    <row r="607" spans="1:7">
      <c r="A607">
        <v>401</v>
      </c>
      <c r="B607">
        <v>2017</v>
      </c>
      <c r="C607" t="s">
        <v>402</v>
      </c>
      <c r="D607" t="s">
        <v>90</v>
      </c>
      <c r="E607" t="s">
        <v>84</v>
      </c>
      <c r="F607" s="267" t="s">
        <v>403</v>
      </c>
      <c r="G607" s="267" t="s">
        <v>561</v>
      </c>
    </row>
    <row r="608" spans="1:7">
      <c r="A608">
        <v>402</v>
      </c>
      <c r="B608">
        <v>2017</v>
      </c>
      <c r="C608" t="s">
        <v>404</v>
      </c>
      <c r="D608" t="s">
        <v>90</v>
      </c>
      <c r="E608" t="s">
        <v>84</v>
      </c>
      <c r="F608" s="267" t="s">
        <v>405</v>
      </c>
      <c r="G608" s="267" t="s">
        <v>962</v>
      </c>
    </row>
    <row r="609" spans="1:7">
      <c r="A609">
        <v>403</v>
      </c>
      <c r="B609">
        <v>2017</v>
      </c>
      <c r="C609" t="s">
        <v>406</v>
      </c>
      <c r="D609" t="s">
        <v>90</v>
      </c>
      <c r="E609" t="s">
        <v>84</v>
      </c>
      <c r="F609" s="267" t="s">
        <v>407</v>
      </c>
      <c r="G609" s="267" t="s">
        <v>963</v>
      </c>
    </row>
    <row r="610" spans="1:7">
      <c r="A610">
        <v>404</v>
      </c>
      <c r="B610">
        <v>2017</v>
      </c>
      <c r="C610" t="s">
        <v>408</v>
      </c>
      <c r="D610" t="s">
        <v>90</v>
      </c>
      <c r="E610" t="s">
        <v>84</v>
      </c>
      <c r="F610" s="267" t="s">
        <v>409</v>
      </c>
      <c r="G610" s="267" t="s">
        <v>650</v>
      </c>
    </row>
    <row r="611" spans="1:7">
      <c r="A611">
        <v>405</v>
      </c>
      <c r="B611">
        <v>2017</v>
      </c>
      <c r="C611" t="s">
        <v>410</v>
      </c>
      <c r="D611" t="s">
        <v>90</v>
      </c>
      <c r="E611" t="s">
        <v>84</v>
      </c>
      <c r="F611" s="267" t="s">
        <v>411</v>
      </c>
      <c r="G611" s="267" t="s">
        <v>964</v>
      </c>
    </row>
    <row r="612" spans="1:7">
      <c r="A612">
        <v>451</v>
      </c>
      <c r="B612">
        <v>2017</v>
      </c>
      <c r="C612" t="s">
        <v>118</v>
      </c>
      <c r="D612" t="s">
        <v>90</v>
      </c>
      <c r="E612" t="s">
        <v>84</v>
      </c>
      <c r="F612" s="267" t="s">
        <v>412</v>
      </c>
      <c r="G612" s="267" t="s">
        <v>965</v>
      </c>
    </row>
    <row r="613" spans="1:7">
      <c r="A613">
        <v>452</v>
      </c>
      <c r="B613">
        <v>2017</v>
      </c>
      <c r="C613" t="s">
        <v>119</v>
      </c>
      <c r="D613" t="s">
        <v>90</v>
      </c>
      <c r="E613" t="s">
        <v>84</v>
      </c>
      <c r="F613" s="267" t="s">
        <v>413</v>
      </c>
      <c r="G613" s="267" t="s">
        <v>966</v>
      </c>
    </row>
    <row r="614" spans="1:7">
      <c r="A614">
        <v>453</v>
      </c>
      <c r="B614">
        <v>2017</v>
      </c>
      <c r="C614" t="s">
        <v>120</v>
      </c>
      <c r="D614" t="s">
        <v>90</v>
      </c>
      <c r="E614" t="s">
        <v>84</v>
      </c>
      <c r="F614" s="267" t="s">
        <v>414</v>
      </c>
      <c r="G614" s="267" t="s">
        <v>967</v>
      </c>
    </row>
    <row r="615" spans="1:7">
      <c r="A615">
        <v>454</v>
      </c>
      <c r="B615">
        <v>2017</v>
      </c>
      <c r="C615" t="s">
        <v>121</v>
      </c>
      <c r="D615" t="s">
        <v>90</v>
      </c>
      <c r="E615" t="s">
        <v>84</v>
      </c>
      <c r="F615" s="267" t="s">
        <v>415</v>
      </c>
      <c r="G615" s="267" t="s">
        <v>871</v>
      </c>
    </row>
    <row r="616" spans="1:7">
      <c r="A616">
        <v>455</v>
      </c>
      <c r="B616">
        <v>2017</v>
      </c>
      <c r="C616" t="s">
        <v>122</v>
      </c>
      <c r="D616" t="s">
        <v>90</v>
      </c>
      <c r="E616" t="s">
        <v>84</v>
      </c>
      <c r="F616" s="267" t="s">
        <v>416</v>
      </c>
      <c r="G616" s="267" t="s">
        <v>968</v>
      </c>
    </row>
    <row r="617" spans="1:7">
      <c r="A617">
        <v>456</v>
      </c>
      <c r="B617">
        <v>2017</v>
      </c>
      <c r="C617" t="s">
        <v>123</v>
      </c>
      <c r="D617" t="s">
        <v>90</v>
      </c>
      <c r="E617" t="s">
        <v>84</v>
      </c>
      <c r="F617" s="267" t="s">
        <v>417</v>
      </c>
      <c r="G617" s="267" t="s">
        <v>969</v>
      </c>
    </row>
    <row r="618" spans="1:7">
      <c r="A618">
        <v>457</v>
      </c>
      <c r="B618">
        <v>2017</v>
      </c>
      <c r="C618" t="s">
        <v>124</v>
      </c>
      <c r="D618" t="s">
        <v>90</v>
      </c>
      <c r="E618" t="s">
        <v>84</v>
      </c>
      <c r="F618" s="267" t="s">
        <v>418</v>
      </c>
      <c r="G618" s="267" t="s">
        <v>689</v>
      </c>
    </row>
    <row r="619" spans="1:7">
      <c r="A619">
        <v>458</v>
      </c>
      <c r="B619">
        <v>2017</v>
      </c>
      <c r="C619" t="s">
        <v>125</v>
      </c>
      <c r="D619" t="s">
        <v>90</v>
      </c>
      <c r="E619" t="s">
        <v>84</v>
      </c>
      <c r="F619" s="267" t="s">
        <v>419</v>
      </c>
      <c r="G619" s="267" t="s">
        <v>970</v>
      </c>
    </row>
    <row r="620" spans="1:7">
      <c r="A620">
        <v>459</v>
      </c>
      <c r="B620">
        <v>2017</v>
      </c>
      <c r="C620" t="s">
        <v>126</v>
      </c>
      <c r="D620" t="s">
        <v>90</v>
      </c>
      <c r="E620" t="s">
        <v>84</v>
      </c>
      <c r="F620" s="267" t="s">
        <v>420</v>
      </c>
      <c r="G620" s="267" t="s">
        <v>971</v>
      </c>
    </row>
    <row r="621" spans="1:7">
      <c r="A621">
        <v>460</v>
      </c>
      <c r="B621">
        <v>2017</v>
      </c>
      <c r="C621" t="s">
        <v>127</v>
      </c>
      <c r="D621" t="s">
        <v>90</v>
      </c>
      <c r="E621" t="s">
        <v>84</v>
      </c>
      <c r="F621" s="267" t="s">
        <v>421</v>
      </c>
      <c r="G621" s="267" t="s">
        <v>972</v>
      </c>
    </row>
    <row r="622" spans="1:7">
      <c r="A622">
        <v>461</v>
      </c>
      <c r="B622">
        <v>2017</v>
      </c>
      <c r="C622" t="s">
        <v>128</v>
      </c>
      <c r="D622" t="s">
        <v>90</v>
      </c>
      <c r="E622" t="s">
        <v>84</v>
      </c>
      <c r="F622" s="267" t="s">
        <v>422</v>
      </c>
      <c r="G622" s="267" t="s">
        <v>973</v>
      </c>
    </row>
    <row r="623" spans="1:7">
      <c r="A623">
        <v>462</v>
      </c>
      <c r="B623">
        <v>2017</v>
      </c>
      <c r="C623" t="s">
        <v>129</v>
      </c>
      <c r="D623" t="s">
        <v>90</v>
      </c>
      <c r="E623" t="s">
        <v>84</v>
      </c>
      <c r="F623" s="267" t="s">
        <v>423</v>
      </c>
      <c r="G623" s="267" t="s">
        <v>974</v>
      </c>
    </row>
    <row r="624" spans="1:7">
      <c r="A624">
        <v>4</v>
      </c>
      <c r="B624">
        <v>2017</v>
      </c>
      <c r="C624" t="s">
        <v>157</v>
      </c>
      <c r="D624" t="s">
        <v>90</v>
      </c>
      <c r="E624" t="s">
        <v>84</v>
      </c>
      <c r="F624" s="267" t="s">
        <v>424</v>
      </c>
      <c r="G624" s="267" t="s">
        <v>975</v>
      </c>
    </row>
    <row r="625" spans="1:7">
      <c r="A625">
        <v>0</v>
      </c>
      <c r="B625">
        <v>2017</v>
      </c>
      <c r="C625" t="s">
        <v>130</v>
      </c>
      <c r="D625" t="s">
        <v>90</v>
      </c>
      <c r="E625" t="s">
        <v>84</v>
      </c>
      <c r="F625" s="267" t="s">
        <v>425</v>
      </c>
      <c r="G625" s="267" t="s">
        <v>976</v>
      </c>
    </row>
    <row r="626" spans="1:7">
      <c r="A626">
        <v>101</v>
      </c>
      <c r="B626">
        <v>2016</v>
      </c>
      <c r="C626" t="s">
        <v>363</v>
      </c>
      <c r="D626" t="s">
        <v>28</v>
      </c>
      <c r="E626" t="s">
        <v>84</v>
      </c>
      <c r="F626" s="267" t="s">
        <v>364</v>
      </c>
      <c r="G626" s="267" t="s">
        <v>977</v>
      </c>
    </row>
    <row r="627" spans="1:7">
      <c r="A627">
        <v>102</v>
      </c>
      <c r="B627">
        <v>2016</v>
      </c>
      <c r="C627" t="s">
        <v>365</v>
      </c>
      <c r="D627" t="s">
        <v>28</v>
      </c>
      <c r="E627" t="s">
        <v>84</v>
      </c>
      <c r="F627" s="267" t="s">
        <v>366</v>
      </c>
      <c r="G627" s="267" t="s">
        <v>978</v>
      </c>
    </row>
    <row r="628" spans="1:7">
      <c r="A628">
        <v>103</v>
      </c>
      <c r="B628">
        <v>2016</v>
      </c>
      <c r="C628" t="s">
        <v>367</v>
      </c>
      <c r="D628" t="s">
        <v>28</v>
      </c>
      <c r="E628" t="s">
        <v>84</v>
      </c>
      <c r="F628" s="267" t="s">
        <v>368</v>
      </c>
      <c r="G628" s="267" t="s">
        <v>979</v>
      </c>
    </row>
    <row r="629" spans="1:7">
      <c r="A629">
        <v>151</v>
      </c>
      <c r="B629">
        <v>2016</v>
      </c>
      <c r="C629" t="s">
        <v>94</v>
      </c>
      <c r="D629" t="s">
        <v>28</v>
      </c>
      <c r="E629" t="s">
        <v>84</v>
      </c>
      <c r="F629" s="267" t="s">
        <v>369</v>
      </c>
      <c r="G629" s="267" t="s">
        <v>980</v>
      </c>
    </row>
    <row r="630" spans="1:7">
      <c r="A630">
        <v>153</v>
      </c>
      <c r="B630">
        <v>2016</v>
      </c>
      <c r="C630" t="s">
        <v>96</v>
      </c>
      <c r="D630" t="s">
        <v>28</v>
      </c>
      <c r="E630" t="s">
        <v>84</v>
      </c>
      <c r="F630" s="267" t="s">
        <v>370</v>
      </c>
      <c r="G630" s="267" t="s">
        <v>981</v>
      </c>
    </row>
    <row r="631" spans="1:7">
      <c r="A631">
        <v>154</v>
      </c>
      <c r="B631">
        <v>2016</v>
      </c>
      <c r="C631" t="s">
        <v>97</v>
      </c>
      <c r="D631" t="s">
        <v>28</v>
      </c>
      <c r="E631" t="s">
        <v>84</v>
      </c>
      <c r="F631" s="267" t="s">
        <v>371</v>
      </c>
      <c r="G631" s="267" t="s">
        <v>982</v>
      </c>
    </row>
    <row r="632" spans="1:7">
      <c r="A632">
        <v>155</v>
      </c>
      <c r="B632">
        <v>2016</v>
      </c>
      <c r="C632" t="s">
        <v>98</v>
      </c>
      <c r="D632" t="s">
        <v>28</v>
      </c>
      <c r="E632" t="s">
        <v>84</v>
      </c>
      <c r="F632" s="267" t="s">
        <v>372</v>
      </c>
      <c r="G632" s="267" t="s">
        <v>983</v>
      </c>
    </row>
    <row r="633" spans="1:7">
      <c r="A633">
        <v>157</v>
      </c>
      <c r="B633">
        <v>2016</v>
      </c>
      <c r="C633" t="s">
        <v>99</v>
      </c>
      <c r="D633" t="s">
        <v>28</v>
      </c>
      <c r="E633" t="s">
        <v>84</v>
      </c>
      <c r="F633" s="267" t="s">
        <v>373</v>
      </c>
      <c r="G633" s="267" t="s">
        <v>984</v>
      </c>
    </row>
    <row r="634" spans="1:7">
      <c r="A634">
        <v>158</v>
      </c>
      <c r="B634">
        <v>2016</v>
      </c>
      <c r="C634" t="s">
        <v>100</v>
      </c>
      <c r="D634" t="s">
        <v>28</v>
      </c>
      <c r="E634" t="s">
        <v>84</v>
      </c>
      <c r="F634" s="267" t="s">
        <v>374</v>
      </c>
      <c r="G634" s="267" t="s">
        <v>985</v>
      </c>
    </row>
    <row r="635" spans="1:7">
      <c r="A635">
        <v>159</v>
      </c>
      <c r="B635">
        <v>2016</v>
      </c>
      <c r="C635" t="s">
        <v>95</v>
      </c>
      <c r="D635" t="s">
        <v>28</v>
      </c>
      <c r="E635" t="s">
        <v>84</v>
      </c>
      <c r="F635" s="267" t="s">
        <v>375</v>
      </c>
      <c r="G635" s="267" t="s">
        <v>986</v>
      </c>
    </row>
    <row r="636" spans="1:7">
      <c r="A636">
        <v>1</v>
      </c>
      <c r="B636">
        <v>2016</v>
      </c>
      <c r="C636" t="s">
        <v>154</v>
      </c>
      <c r="D636" t="s">
        <v>28</v>
      </c>
      <c r="E636" t="s">
        <v>84</v>
      </c>
      <c r="F636" s="267" t="s">
        <v>376</v>
      </c>
      <c r="G636" s="267" t="s">
        <v>987</v>
      </c>
    </row>
    <row r="637" spans="1:7">
      <c r="A637">
        <v>241</v>
      </c>
      <c r="B637">
        <v>2016</v>
      </c>
      <c r="C637" t="s">
        <v>377</v>
      </c>
      <c r="D637" t="s">
        <v>28</v>
      </c>
      <c r="E637" t="s">
        <v>84</v>
      </c>
      <c r="F637" s="267" t="s">
        <v>378</v>
      </c>
      <c r="G637" s="267" t="s">
        <v>988</v>
      </c>
    </row>
    <row r="638" spans="1:7">
      <c r="A638">
        <v>241001</v>
      </c>
      <c r="B638">
        <v>2016</v>
      </c>
      <c r="C638" t="s">
        <v>379</v>
      </c>
      <c r="D638" t="s">
        <v>28</v>
      </c>
      <c r="E638" t="s">
        <v>84</v>
      </c>
      <c r="F638" s="267" t="s">
        <v>380</v>
      </c>
      <c r="G638" s="267" t="s">
        <v>989</v>
      </c>
    </row>
    <row r="639" spans="1:7">
      <c r="A639">
        <v>241999</v>
      </c>
      <c r="B639">
        <v>2016</v>
      </c>
      <c r="C639" t="s">
        <v>381</v>
      </c>
      <c r="D639" t="s">
        <v>28</v>
      </c>
      <c r="E639" t="s">
        <v>84</v>
      </c>
      <c r="F639" s="267" t="s">
        <v>382</v>
      </c>
      <c r="G639" s="267" t="s">
        <v>990</v>
      </c>
    </row>
    <row r="640" spans="1:7">
      <c r="A640">
        <v>251</v>
      </c>
      <c r="B640">
        <v>2016</v>
      </c>
      <c r="C640" t="s">
        <v>101</v>
      </c>
      <c r="D640" t="s">
        <v>28</v>
      </c>
      <c r="E640" t="s">
        <v>84</v>
      </c>
      <c r="F640" s="267" t="s">
        <v>383</v>
      </c>
      <c r="G640" s="267" t="s">
        <v>991</v>
      </c>
    </row>
    <row r="641" spans="1:7">
      <c r="A641">
        <v>252</v>
      </c>
      <c r="B641">
        <v>2016</v>
      </c>
      <c r="C641" t="s">
        <v>102</v>
      </c>
      <c r="D641" t="s">
        <v>28</v>
      </c>
      <c r="E641" t="s">
        <v>84</v>
      </c>
      <c r="F641" s="267" t="s">
        <v>384</v>
      </c>
      <c r="G641" s="267" t="s">
        <v>992</v>
      </c>
    </row>
    <row r="642" spans="1:7">
      <c r="A642">
        <v>254</v>
      </c>
      <c r="B642">
        <v>2016</v>
      </c>
      <c r="C642" t="s">
        <v>103</v>
      </c>
      <c r="D642" t="s">
        <v>28</v>
      </c>
      <c r="E642" t="s">
        <v>84</v>
      </c>
      <c r="F642" s="267" t="s">
        <v>385</v>
      </c>
      <c r="G642" s="267" t="s">
        <v>993</v>
      </c>
    </row>
    <row r="643" spans="1:7">
      <c r="A643">
        <v>255</v>
      </c>
      <c r="B643">
        <v>2016</v>
      </c>
      <c r="C643" t="s">
        <v>104</v>
      </c>
      <c r="D643" t="s">
        <v>28</v>
      </c>
      <c r="E643" t="s">
        <v>84</v>
      </c>
      <c r="F643" s="267" t="s">
        <v>386</v>
      </c>
      <c r="G643" s="267" t="s">
        <v>994</v>
      </c>
    </row>
    <row r="644" spans="1:7">
      <c r="A644">
        <v>256</v>
      </c>
      <c r="B644">
        <v>2016</v>
      </c>
      <c r="C644" t="s">
        <v>105</v>
      </c>
      <c r="D644" t="s">
        <v>28</v>
      </c>
      <c r="E644" t="s">
        <v>84</v>
      </c>
      <c r="F644" s="267" t="s">
        <v>387</v>
      </c>
      <c r="G644" s="267" t="s">
        <v>788</v>
      </c>
    </row>
    <row r="645" spans="1:7">
      <c r="A645">
        <v>257</v>
      </c>
      <c r="B645">
        <v>2016</v>
      </c>
      <c r="C645" t="s">
        <v>106</v>
      </c>
      <c r="D645" t="s">
        <v>28</v>
      </c>
      <c r="E645" t="s">
        <v>84</v>
      </c>
      <c r="F645" s="267" t="s">
        <v>388</v>
      </c>
      <c r="G645" s="267" t="s">
        <v>995</v>
      </c>
    </row>
    <row r="646" spans="1:7">
      <c r="A646">
        <v>2</v>
      </c>
      <c r="B646">
        <v>2016</v>
      </c>
      <c r="C646" t="s">
        <v>155</v>
      </c>
      <c r="D646" t="s">
        <v>28</v>
      </c>
      <c r="E646" t="s">
        <v>84</v>
      </c>
      <c r="F646" s="267" t="s">
        <v>389</v>
      </c>
      <c r="G646" s="267" t="s">
        <v>996</v>
      </c>
    </row>
    <row r="647" spans="1:7">
      <c r="A647">
        <v>351</v>
      </c>
      <c r="B647">
        <v>2016</v>
      </c>
      <c r="C647" t="s">
        <v>107</v>
      </c>
      <c r="D647" t="s">
        <v>28</v>
      </c>
      <c r="E647" t="s">
        <v>84</v>
      </c>
      <c r="F647" s="267" t="s">
        <v>390</v>
      </c>
      <c r="G647" s="267" t="s">
        <v>997</v>
      </c>
    </row>
    <row r="648" spans="1:7">
      <c r="A648">
        <v>352</v>
      </c>
      <c r="B648">
        <v>2016</v>
      </c>
      <c r="C648" t="s">
        <v>108</v>
      </c>
      <c r="D648" t="s">
        <v>28</v>
      </c>
      <c r="E648" t="s">
        <v>84</v>
      </c>
      <c r="F648" s="267" t="s">
        <v>391</v>
      </c>
      <c r="G648" s="267" t="s">
        <v>998</v>
      </c>
    </row>
    <row r="649" spans="1:7">
      <c r="A649">
        <v>353</v>
      </c>
      <c r="B649">
        <v>2016</v>
      </c>
      <c r="C649" t="s">
        <v>109</v>
      </c>
      <c r="D649" t="s">
        <v>28</v>
      </c>
      <c r="E649" t="s">
        <v>84</v>
      </c>
      <c r="F649" s="267" t="s">
        <v>392</v>
      </c>
      <c r="G649" s="267" t="s">
        <v>999</v>
      </c>
    </row>
    <row r="650" spans="1:7">
      <c r="A650">
        <v>354</v>
      </c>
      <c r="B650">
        <v>2016</v>
      </c>
      <c r="C650" t="s">
        <v>110</v>
      </c>
      <c r="D650" t="s">
        <v>28</v>
      </c>
      <c r="E650" t="s">
        <v>84</v>
      </c>
      <c r="F650" s="267" t="s">
        <v>393</v>
      </c>
      <c r="G650" s="267" t="s">
        <v>1000</v>
      </c>
    </row>
    <row r="651" spans="1:7">
      <c r="A651">
        <v>355</v>
      </c>
      <c r="B651">
        <v>2016</v>
      </c>
      <c r="C651" t="s">
        <v>111</v>
      </c>
      <c r="D651" t="s">
        <v>28</v>
      </c>
      <c r="E651" t="s">
        <v>84</v>
      </c>
      <c r="F651" s="267" t="s">
        <v>394</v>
      </c>
      <c r="G651" s="267" t="s">
        <v>1001</v>
      </c>
    </row>
    <row r="652" spans="1:7">
      <c r="A652">
        <v>356</v>
      </c>
      <c r="B652">
        <v>2016</v>
      </c>
      <c r="C652" t="s">
        <v>112</v>
      </c>
      <c r="D652" t="s">
        <v>28</v>
      </c>
      <c r="E652" t="s">
        <v>84</v>
      </c>
      <c r="F652" s="267" t="s">
        <v>395</v>
      </c>
      <c r="G652" s="267" t="s">
        <v>1002</v>
      </c>
    </row>
    <row r="653" spans="1:7">
      <c r="A653">
        <v>357</v>
      </c>
      <c r="B653">
        <v>2016</v>
      </c>
      <c r="C653" t="s">
        <v>113</v>
      </c>
      <c r="D653" t="s">
        <v>28</v>
      </c>
      <c r="E653" t="s">
        <v>84</v>
      </c>
      <c r="F653" s="267" t="s">
        <v>396</v>
      </c>
      <c r="G653" s="267" t="s">
        <v>1003</v>
      </c>
    </row>
    <row r="654" spans="1:7">
      <c r="A654">
        <v>358</v>
      </c>
      <c r="B654">
        <v>2016</v>
      </c>
      <c r="C654" t="s">
        <v>114</v>
      </c>
      <c r="D654" t="s">
        <v>28</v>
      </c>
      <c r="E654" t="s">
        <v>84</v>
      </c>
      <c r="F654" s="267" t="s">
        <v>397</v>
      </c>
      <c r="G654" s="267" t="s">
        <v>877</v>
      </c>
    </row>
    <row r="655" spans="1:7">
      <c r="A655">
        <v>359</v>
      </c>
      <c r="B655">
        <v>2016</v>
      </c>
      <c r="C655" t="s">
        <v>115</v>
      </c>
      <c r="D655" t="s">
        <v>28</v>
      </c>
      <c r="E655" t="s">
        <v>84</v>
      </c>
      <c r="F655" s="267" t="s">
        <v>398</v>
      </c>
      <c r="G655" s="267" t="s">
        <v>1004</v>
      </c>
    </row>
    <row r="656" spans="1:7">
      <c r="A656">
        <v>360</v>
      </c>
      <c r="B656">
        <v>2016</v>
      </c>
      <c r="C656" t="s">
        <v>116</v>
      </c>
      <c r="D656" t="s">
        <v>28</v>
      </c>
      <c r="E656" t="s">
        <v>84</v>
      </c>
      <c r="F656" s="267" t="s">
        <v>399</v>
      </c>
      <c r="G656" s="267" t="s">
        <v>1005</v>
      </c>
    </row>
    <row r="657" spans="1:7">
      <c r="A657">
        <v>361</v>
      </c>
      <c r="B657">
        <v>2016</v>
      </c>
      <c r="C657" t="s">
        <v>117</v>
      </c>
      <c r="D657" t="s">
        <v>28</v>
      </c>
      <c r="E657" t="s">
        <v>84</v>
      </c>
      <c r="F657" s="267" t="s">
        <v>400</v>
      </c>
      <c r="G657" s="267" t="s">
        <v>1006</v>
      </c>
    </row>
    <row r="658" spans="1:7">
      <c r="A658">
        <v>3</v>
      </c>
      <c r="B658">
        <v>2016</v>
      </c>
      <c r="C658" t="s">
        <v>156</v>
      </c>
      <c r="D658" t="s">
        <v>28</v>
      </c>
      <c r="E658" t="s">
        <v>84</v>
      </c>
      <c r="F658" s="267" t="s">
        <v>401</v>
      </c>
      <c r="G658" s="267" t="s">
        <v>1007</v>
      </c>
    </row>
    <row r="659" spans="1:7">
      <c r="A659">
        <v>401</v>
      </c>
      <c r="B659">
        <v>2016</v>
      </c>
      <c r="C659" t="s">
        <v>402</v>
      </c>
      <c r="D659" t="s">
        <v>28</v>
      </c>
      <c r="E659" t="s">
        <v>84</v>
      </c>
      <c r="F659" s="267" t="s">
        <v>403</v>
      </c>
      <c r="G659" s="267" t="s">
        <v>512</v>
      </c>
    </row>
    <row r="660" spans="1:7">
      <c r="A660">
        <v>402</v>
      </c>
      <c r="B660">
        <v>2016</v>
      </c>
      <c r="C660" t="s">
        <v>404</v>
      </c>
      <c r="D660" t="s">
        <v>28</v>
      </c>
      <c r="E660" t="s">
        <v>84</v>
      </c>
      <c r="F660" s="267" t="s">
        <v>405</v>
      </c>
      <c r="G660" s="267" t="s">
        <v>1008</v>
      </c>
    </row>
    <row r="661" spans="1:7">
      <c r="A661">
        <v>403</v>
      </c>
      <c r="B661">
        <v>2016</v>
      </c>
      <c r="C661" t="s">
        <v>406</v>
      </c>
      <c r="D661" t="s">
        <v>28</v>
      </c>
      <c r="E661" t="s">
        <v>84</v>
      </c>
      <c r="F661" s="267" t="s">
        <v>407</v>
      </c>
      <c r="G661" s="267" t="s">
        <v>1009</v>
      </c>
    </row>
    <row r="662" spans="1:7">
      <c r="A662">
        <v>404</v>
      </c>
      <c r="B662">
        <v>2016</v>
      </c>
      <c r="C662" t="s">
        <v>408</v>
      </c>
      <c r="D662" t="s">
        <v>28</v>
      </c>
      <c r="E662" t="s">
        <v>84</v>
      </c>
      <c r="F662" s="267" t="s">
        <v>409</v>
      </c>
      <c r="G662" s="267" t="s">
        <v>1010</v>
      </c>
    </row>
    <row r="663" spans="1:7">
      <c r="A663">
        <v>405</v>
      </c>
      <c r="B663">
        <v>2016</v>
      </c>
      <c r="C663" t="s">
        <v>410</v>
      </c>
      <c r="D663" t="s">
        <v>28</v>
      </c>
      <c r="E663" t="s">
        <v>84</v>
      </c>
      <c r="F663" s="267" t="s">
        <v>411</v>
      </c>
      <c r="G663" s="267" t="s">
        <v>1011</v>
      </c>
    </row>
    <row r="664" spans="1:7">
      <c r="A664">
        <v>451</v>
      </c>
      <c r="B664">
        <v>2016</v>
      </c>
      <c r="C664" t="s">
        <v>118</v>
      </c>
      <c r="D664" t="s">
        <v>28</v>
      </c>
      <c r="E664" t="s">
        <v>84</v>
      </c>
      <c r="F664" s="267" t="s">
        <v>412</v>
      </c>
      <c r="G664" s="267" t="s">
        <v>1012</v>
      </c>
    </row>
    <row r="665" spans="1:7">
      <c r="A665">
        <v>452</v>
      </c>
      <c r="B665">
        <v>2016</v>
      </c>
      <c r="C665" t="s">
        <v>119</v>
      </c>
      <c r="D665" t="s">
        <v>28</v>
      </c>
      <c r="E665" t="s">
        <v>84</v>
      </c>
      <c r="F665" s="267" t="s">
        <v>413</v>
      </c>
      <c r="G665" s="267" t="s">
        <v>1013</v>
      </c>
    </row>
    <row r="666" spans="1:7">
      <c r="A666">
        <v>453</v>
      </c>
      <c r="B666">
        <v>2016</v>
      </c>
      <c r="C666" t="s">
        <v>120</v>
      </c>
      <c r="D666" t="s">
        <v>28</v>
      </c>
      <c r="E666" t="s">
        <v>84</v>
      </c>
      <c r="F666" s="267" t="s">
        <v>414</v>
      </c>
      <c r="G666" s="267" t="s">
        <v>1014</v>
      </c>
    </row>
    <row r="667" spans="1:7">
      <c r="A667">
        <v>454</v>
      </c>
      <c r="B667">
        <v>2016</v>
      </c>
      <c r="C667" t="s">
        <v>121</v>
      </c>
      <c r="D667" t="s">
        <v>28</v>
      </c>
      <c r="E667" t="s">
        <v>84</v>
      </c>
      <c r="F667" s="267" t="s">
        <v>415</v>
      </c>
      <c r="G667" s="267" t="s">
        <v>1015</v>
      </c>
    </row>
    <row r="668" spans="1:7">
      <c r="A668">
        <v>455</v>
      </c>
      <c r="B668">
        <v>2016</v>
      </c>
      <c r="C668" t="s">
        <v>122</v>
      </c>
      <c r="D668" t="s">
        <v>28</v>
      </c>
      <c r="E668" t="s">
        <v>84</v>
      </c>
      <c r="F668" s="267" t="s">
        <v>416</v>
      </c>
      <c r="G668" s="267" t="s">
        <v>1016</v>
      </c>
    </row>
    <row r="669" spans="1:7">
      <c r="A669">
        <v>456</v>
      </c>
      <c r="B669">
        <v>2016</v>
      </c>
      <c r="C669" t="s">
        <v>123</v>
      </c>
      <c r="D669" t="s">
        <v>28</v>
      </c>
      <c r="E669" t="s">
        <v>84</v>
      </c>
      <c r="F669" s="267" t="s">
        <v>417</v>
      </c>
      <c r="G669" s="267" t="s">
        <v>1017</v>
      </c>
    </row>
    <row r="670" spans="1:7">
      <c r="A670">
        <v>457</v>
      </c>
      <c r="B670">
        <v>2016</v>
      </c>
      <c r="C670" t="s">
        <v>124</v>
      </c>
      <c r="D670" t="s">
        <v>28</v>
      </c>
      <c r="E670" t="s">
        <v>84</v>
      </c>
      <c r="F670" s="267" t="s">
        <v>418</v>
      </c>
      <c r="G670" s="267" t="s">
        <v>1018</v>
      </c>
    </row>
    <row r="671" spans="1:7">
      <c r="A671">
        <v>458</v>
      </c>
      <c r="B671">
        <v>2016</v>
      </c>
      <c r="C671" t="s">
        <v>125</v>
      </c>
      <c r="D671" t="s">
        <v>28</v>
      </c>
      <c r="E671" t="s">
        <v>84</v>
      </c>
      <c r="F671" s="267" t="s">
        <v>419</v>
      </c>
      <c r="G671" s="267" t="s">
        <v>1019</v>
      </c>
    </row>
    <row r="672" spans="1:7">
      <c r="A672">
        <v>459</v>
      </c>
      <c r="B672">
        <v>2016</v>
      </c>
      <c r="C672" t="s">
        <v>126</v>
      </c>
      <c r="D672" t="s">
        <v>28</v>
      </c>
      <c r="E672" t="s">
        <v>84</v>
      </c>
      <c r="F672" s="267" t="s">
        <v>420</v>
      </c>
      <c r="G672" s="267" t="s">
        <v>1020</v>
      </c>
    </row>
    <row r="673" spans="1:7">
      <c r="A673">
        <v>460</v>
      </c>
      <c r="B673">
        <v>2016</v>
      </c>
      <c r="C673" t="s">
        <v>127</v>
      </c>
      <c r="D673" t="s">
        <v>28</v>
      </c>
      <c r="E673" t="s">
        <v>84</v>
      </c>
      <c r="F673" s="267" t="s">
        <v>421</v>
      </c>
      <c r="G673" s="267" t="s">
        <v>1021</v>
      </c>
    </row>
    <row r="674" spans="1:7">
      <c r="A674">
        <v>461</v>
      </c>
      <c r="B674">
        <v>2016</v>
      </c>
      <c r="C674" t="s">
        <v>128</v>
      </c>
      <c r="D674" t="s">
        <v>28</v>
      </c>
      <c r="E674" t="s">
        <v>84</v>
      </c>
      <c r="F674" s="267" t="s">
        <v>422</v>
      </c>
      <c r="G674" s="267" t="s">
        <v>1022</v>
      </c>
    </row>
    <row r="675" spans="1:7">
      <c r="A675">
        <v>462</v>
      </c>
      <c r="B675">
        <v>2016</v>
      </c>
      <c r="C675" t="s">
        <v>129</v>
      </c>
      <c r="D675" t="s">
        <v>28</v>
      </c>
      <c r="E675" t="s">
        <v>84</v>
      </c>
      <c r="F675" s="267" t="s">
        <v>423</v>
      </c>
      <c r="G675" s="267" t="s">
        <v>1023</v>
      </c>
    </row>
    <row r="676" spans="1:7">
      <c r="A676">
        <v>4</v>
      </c>
      <c r="B676">
        <v>2016</v>
      </c>
      <c r="C676" t="s">
        <v>157</v>
      </c>
      <c r="D676" t="s">
        <v>28</v>
      </c>
      <c r="E676" t="s">
        <v>84</v>
      </c>
      <c r="F676" s="267" t="s">
        <v>424</v>
      </c>
      <c r="G676" s="267" t="s">
        <v>1024</v>
      </c>
    </row>
    <row r="677" spans="1:7">
      <c r="A677">
        <v>0</v>
      </c>
      <c r="B677">
        <v>2016</v>
      </c>
      <c r="C677" t="s">
        <v>130</v>
      </c>
      <c r="D677" t="s">
        <v>28</v>
      </c>
      <c r="E677" t="s">
        <v>84</v>
      </c>
      <c r="F677" s="267" t="s">
        <v>425</v>
      </c>
      <c r="G677" s="267" t="s">
        <v>1025</v>
      </c>
    </row>
    <row r="678" spans="1:7">
      <c r="A678">
        <v>101</v>
      </c>
      <c r="B678">
        <v>2016</v>
      </c>
      <c r="C678" t="s">
        <v>363</v>
      </c>
      <c r="D678" t="s">
        <v>89</v>
      </c>
      <c r="E678" t="s">
        <v>84</v>
      </c>
      <c r="F678" s="267" t="s">
        <v>364</v>
      </c>
      <c r="G678" s="267" t="s">
        <v>1026</v>
      </c>
    </row>
    <row r="679" spans="1:7">
      <c r="A679">
        <v>102</v>
      </c>
      <c r="B679">
        <v>2016</v>
      </c>
      <c r="C679" t="s">
        <v>365</v>
      </c>
      <c r="D679" t="s">
        <v>89</v>
      </c>
      <c r="E679" t="s">
        <v>84</v>
      </c>
      <c r="F679" s="267" t="s">
        <v>366</v>
      </c>
      <c r="G679" s="267" t="s">
        <v>1027</v>
      </c>
    </row>
    <row r="680" spans="1:7">
      <c r="A680">
        <v>103</v>
      </c>
      <c r="B680">
        <v>2016</v>
      </c>
      <c r="C680" t="s">
        <v>367</v>
      </c>
      <c r="D680" t="s">
        <v>89</v>
      </c>
      <c r="E680" t="s">
        <v>84</v>
      </c>
      <c r="F680" s="267" t="s">
        <v>368</v>
      </c>
      <c r="G680" s="267" t="s">
        <v>1028</v>
      </c>
    </row>
    <row r="681" spans="1:7">
      <c r="A681">
        <v>151</v>
      </c>
      <c r="B681">
        <v>2016</v>
      </c>
      <c r="C681" t="s">
        <v>94</v>
      </c>
      <c r="D681" t="s">
        <v>89</v>
      </c>
      <c r="E681" t="s">
        <v>84</v>
      </c>
      <c r="F681" s="267" t="s">
        <v>369</v>
      </c>
      <c r="G681" s="267" t="s">
        <v>551</v>
      </c>
    </row>
    <row r="682" spans="1:7">
      <c r="A682">
        <v>153</v>
      </c>
      <c r="B682">
        <v>2016</v>
      </c>
      <c r="C682" t="s">
        <v>96</v>
      </c>
      <c r="D682" t="s">
        <v>89</v>
      </c>
      <c r="E682" t="s">
        <v>84</v>
      </c>
      <c r="F682" s="267" t="s">
        <v>370</v>
      </c>
      <c r="G682" s="267" t="s">
        <v>1029</v>
      </c>
    </row>
    <row r="683" spans="1:7">
      <c r="A683">
        <v>154</v>
      </c>
      <c r="B683">
        <v>2016</v>
      </c>
      <c r="C683" t="s">
        <v>97</v>
      </c>
      <c r="D683" t="s">
        <v>89</v>
      </c>
      <c r="E683" t="s">
        <v>84</v>
      </c>
      <c r="F683" s="267" t="s">
        <v>371</v>
      </c>
      <c r="G683" s="267" t="s">
        <v>1030</v>
      </c>
    </row>
    <row r="684" spans="1:7">
      <c r="A684">
        <v>155</v>
      </c>
      <c r="B684">
        <v>2016</v>
      </c>
      <c r="C684" t="s">
        <v>98</v>
      </c>
      <c r="D684" t="s">
        <v>89</v>
      </c>
      <c r="E684" t="s">
        <v>84</v>
      </c>
      <c r="F684" s="267" t="s">
        <v>372</v>
      </c>
      <c r="G684" s="267" t="s">
        <v>1031</v>
      </c>
    </row>
    <row r="685" spans="1:7">
      <c r="A685">
        <v>157</v>
      </c>
      <c r="B685">
        <v>2016</v>
      </c>
      <c r="C685" t="s">
        <v>99</v>
      </c>
      <c r="D685" t="s">
        <v>89</v>
      </c>
      <c r="E685" t="s">
        <v>84</v>
      </c>
      <c r="F685" s="267" t="s">
        <v>373</v>
      </c>
      <c r="G685" s="267" t="s">
        <v>512</v>
      </c>
    </row>
    <row r="686" spans="1:7">
      <c r="A686">
        <v>158</v>
      </c>
      <c r="B686">
        <v>2016</v>
      </c>
      <c r="C686" t="s">
        <v>100</v>
      </c>
      <c r="D686" t="s">
        <v>89</v>
      </c>
      <c r="E686" t="s">
        <v>84</v>
      </c>
      <c r="F686" s="267" t="s">
        <v>374</v>
      </c>
      <c r="G686" s="267" t="s">
        <v>1032</v>
      </c>
    </row>
    <row r="687" spans="1:7">
      <c r="A687">
        <v>159</v>
      </c>
      <c r="B687">
        <v>2016</v>
      </c>
      <c r="C687" t="s">
        <v>95</v>
      </c>
      <c r="D687" t="s">
        <v>89</v>
      </c>
      <c r="E687" t="s">
        <v>84</v>
      </c>
      <c r="F687" s="267" t="s">
        <v>375</v>
      </c>
      <c r="G687" s="267" t="s">
        <v>1033</v>
      </c>
    </row>
    <row r="688" spans="1:7">
      <c r="A688">
        <v>1</v>
      </c>
      <c r="B688">
        <v>2016</v>
      </c>
      <c r="C688" t="s">
        <v>154</v>
      </c>
      <c r="D688" t="s">
        <v>89</v>
      </c>
      <c r="E688" t="s">
        <v>84</v>
      </c>
      <c r="F688" s="267" t="s">
        <v>376</v>
      </c>
      <c r="G688" s="267" t="s">
        <v>1034</v>
      </c>
    </row>
    <row r="689" spans="1:7">
      <c r="A689">
        <v>241</v>
      </c>
      <c r="B689">
        <v>2016</v>
      </c>
      <c r="C689" t="s">
        <v>377</v>
      </c>
      <c r="D689" t="s">
        <v>89</v>
      </c>
      <c r="E689" t="s">
        <v>84</v>
      </c>
      <c r="F689" s="267" t="s">
        <v>378</v>
      </c>
      <c r="G689" s="267" t="s">
        <v>1035</v>
      </c>
    </row>
    <row r="690" spans="1:7">
      <c r="A690">
        <v>241001</v>
      </c>
      <c r="B690">
        <v>2016</v>
      </c>
      <c r="C690" t="s">
        <v>379</v>
      </c>
      <c r="D690" t="s">
        <v>89</v>
      </c>
      <c r="E690" t="s">
        <v>84</v>
      </c>
      <c r="F690" s="267" t="s">
        <v>380</v>
      </c>
      <c r="G690" s="267" t="s">
        <v>1036</v>
      </c>
    </row>
    <row r="691" spans="1:7">
      <c r="A691">
        <v>241999</v>
      </c>
      <c r="B691">
        <v>2016</v>
      </c>
      <c r="C691" t="s">
        <v>381</v>
      </c>
      <c r="D691" t="s">
        <v>89</v>
      </c>
      <c r="E691" t="s">
        <v>84</v>
      </c>
      <c r="F691" s="267" t="s">
        <v>382</v>
      </c>
      <c r="G691" s="267" t="s">
        <v>1037</v>
      </c>
    </row>
    <row r="692" spans="1:7">
      <c r="A692">
        <v>251</v>
      </c>
      <c r="B692">
        <v>2016</v>
      </c>
      <c r="C692" t="s">
        <v>101</v>
      </c>
      <c r="D692" t="s">
        <v>89</v>
      </c>
      <c r="E692" t="s">
        <v>84</v>
      </c>
      <c r="F692" s="267" t="s">
        <v>383</v>
      </c>
      <c r="G692" s="267" t="s">
        <v>1038</v>
      </c>
    </row>
    <row r="693" spans="1:7">
      <c r="A693">
        <v>252</v>
      </c>
      <c r="B693">
        <v>2016</v>
      </c>
      <c r="C693" t="s">
        <v>102</v>
      </c>
      <c r="D693" t="s">
        <v>89</v>
      </c>
      <c r="E693" t="s">
        <v>84</v>
      </c>
      <c r="F693" s="267" t="s">
        <v>384</v>
      </c>
      <c r="G693" s="267" t="s">
        <v>1039</v>
      </c>
    </row>
    <row r="694" spans="1:7">
      <c r="A694">
        <v>254</v>
      </c>
      <c r="B694">
        <v>2016</v>
      </c>
      <c r="C694" t="s">
        <v>103</v>
      </c>
      <c r="D694" t="s">
        <v>89</v>
      </c>
      <c r="E694" t="s">
        <v>84</v>
      </c>
      <c r="F694" s="267" t="s">
        <v>385</v>
      </c>
      <c r="G694" s="267" t="s">
        <v>1040</v>
      </c>
    </row>
    <row r="695" spans="1:7">
      <c r="A695">
        <v>255</v>
      </c>
      <c r="B695">
        <v>2016</v>
      </c>
      <c r="C695" t="s">
        <v>104</v>
      </c>
      <c r="D695" t="s">
        <v>89</v>
      </c>
      <c r="E695" t="s">
        <v>84</v>
      </c>
      <c r="F695" s="267" t="s">
        <v>386</v>
      </c>
      <c r="G695" s="267" t="s">
        <v>1041</v>
      </c>
    </row>
    <row r="696" spans="1:7">
      <c r="A696">
        <v>256</v>
      </c>
      <c r="B696">
        <v>2016</v>
      </c>
      <c r="C696" t="s">
        <v>105</v>
      </c>
      <c r="D696" t="s">
        <v>89</v>
      </c>
      <c r="E696" t="s">
        <v>84</v>
      </c>
      <c r="F696" s="267" t="s">
        <v>387</v>
      </c>
      <c r="G696" s="267" t="s">
        <v>431</v>
      </c>
    </row>
    <row r="697" spans="1:7">
      <c r="A697">
        <v>257</v>
      </c>
      <c r="B697">
        <v>2016</v>
      </c>
      <c r="C697" t="s">
        <v>106</v>
      </c>
      <c r="D697" t="s">
        <v>89</v>
      </c>
      <c r="E697" t="s">
        <v>84</v>
      </c>
      <c r="F697" s="267" t="s">
        <v>388</v>
      </c>
      <c r="G697" s="267" t="s">
        <v>1042</v>
      </c>
    </row>
    <row r="698" spans="1:7">
      <c r="A698">
        <v>2</v>
      </c>
      <c r="B698">
        <v>2016</v>
      </c>
      <c r="C698" t="s">
        <v>155</v>
      </c>
      <c r="D698" t="s">
        <v>89</v>
      </c>
      <c r="E698" t="s">
        <v>84</v>
      </c>
      <c r="F698" s="267" t="s">
        <v>389</v>
      </c>
      <c r="G698" s="267" t="s">
        <v>1043</v>
      </c>
    </row>
    <row r="699" spans="1:7">
      <c r="A699">
        <v>351</v>
      </c>
      <c r="B699">
        <v>2016</v>
      </c>
      <c r="C699" t="s">
        <v>107</v>
      </c>
      <c r="D699" t="s">
        <v>89</v>
      </c>
      <c r="E699" t="s">
        <v>84</v>
      </c>
      <c r="F699" s="267" t="s">
        <v>390</v>
      </c>
      <c r="G699" s="267" t="s">
        <v>1044</v>
      </c>
    </row>
    <row r="700" spans="1:7">
      <c r="A700">
        <v>352</v>
      </c>
      <c r="B700">
        <v>2016</v>
      </c>
      <c r="C700" t="s">
        <v>108</v>
      </c>
      <c r="D700" t="s">
        <v>89</v>
      </c>
      <c r="E700" t="s">
        <v>84</v>
      </c>
      <c r="F700" s="267" t="s">
        <v>391</v>
      </c>
      <c r="G700" s="267" t="s">
        <v>1045</v>
      </c>
    </row>
    <row r="701" spans="1:7">
      <c r="A701">
        <v>353</v>
      </c>
      <c r="B701">
        <v>2016</v>
      </c>
      <c r="C701" t="s">
        <v>109</v>
      </c>
      <c r="D701" t="s">
        <v>89</v>
      </c>
      <c r="E701" t="s">
        <v>84</v>
      </c>
      <c r="F701" s="267" t="s">
        <v>392</v>
      </c>
      <c r="G701" s="267" t="s">
        <v>1046</v>
      </c>
    </row>
    <row r="702" spans="1:7">
      <c r="A702">
        <v>354</v>
      </c>
      <c r="B702">
        <v>2016</v>
      </c>
      <c r="C702" t="s">
        <v>110</v>
      </c>
      <c r="D702" t="s">
        <v>89</v>
      </c>
      <c r="E702" t="s">
        <v>84</v>
      </c>
      <c r="F702" s="267" t="s">
        <v>393</v>
      </c>
      <c r="G702" s="267" t="s">
        <v>1047</v>
      </c>
    </row>
    <row r="703" spans="1:7">
      <c r="A703">
        <v>355</v>
      </c>
      <c r="B703">
        <v>2016</v>
      </c>
      <c r="C703" t="s">
        <v>111</v>
      </c>
      <c r="D703" t="s">
        <v>89</v>
      </c>
      <c r="E703" t="s">
        <v>84</v>
      </c>
      <c r="F703" s="267" t="s">
        <v>394</v>
      </c>
      <c r="G703" s="267" t="s">
        <v>1048</v>
      </c>
    </row>
    <row r="704" spans="1:7">
      <c r="A704">
        <v>356</v>
      </c>
      <c r="B704">
        <v>2016</v>
      </c>
      <c r="C704" t="s">
        <v>112</v>
      </c>
      <c r="D704" t="s">
        <v>89</v>
      </c>
      <c r="E704" t="s">
        <v>84</v>
      </c>
      <c r="F704" s="267" t="s">
        <v>395</v>
      </c>
      <c r="G704" s="267" t="s">
        <v>673</v>
      </c>
    </row>
    <row r="705" spans="1:7">
      <c r="A705">
        <v>357</v>
      </c>
      <c r="B705">
        <v>2016</v>
      </c>
      <c r="C705" t="s">
        <v>113</v>
      </c>
      <c r="D705" t="s">
        <v>89</v>
      </c>
      <c r="E705" t="s">
        <v>84</v>
      </c>
      <c r="F705" s="267" t="s">
        <v>396</v>
      </c>
      <c r="G705" s="267" t="s">
        <v>908</v>
      </c>
    </row>
    <row r="706" spans="1:7">
      <c r="A706">
        <v>358</v>
      </c>
      <c r="B706">
        <v>2016</v>
      </c>
      <c r="C706" t="s">
        <v>114</v>
      </c>
      <c r="D706" t="s">
        <v>89</v>
      </c>
      <c r="E706" t="s">
        <v>84</v>
      </c>
      <c r="F706" s="267" t="s">
        <v>397</v>
      </c>
      <c r="G706" s="267" t="s">
        <v>1049</v>
      </c>
    </row>
    <row r="707" spans="1:7">
      <c r="A707">
        <v>359</v>
      </c>
      <c r="B707">
        <v>2016</v>
      </c>
      <c r="C707" t="s">
        <v>115</v>
      </c>
      <c r="D707" t="s">
        <v>89</v>
      </c>
      <c r="E707" t="s">
        <v>84</v>
      </c>
      <c r="F707" s="267" t="s">
        <v>398</v>
      </c>
      <c r="G707" s="267" t="s">
        <v>1050</v>
      </c>
    </row>
    <row r="708" spans="1:7">
      <c r="A708">
        <v>360</v>
      </c>
      <c r="B708">
        <v>2016</v>
      </c>
      <c r="C708" t="s">
        <v>116</v>
      </c>
      <c r="D708" t="s">
        <v>89</v>
      </c>
      <c r="E708" t="s">
        <v>84</v>
      </c>
      <c r="F708" s="267" t="s">
        <v>399</v>
      </c>
      <c r="G708" s="267" t="s">
        <v>1051</v>
      </c>
    </row>
    <row r="709" spans="1:7">
      <c r="A709">
        <v>361</v>
      </c>
      <c r="B709">
        <v>2016</v>
      </c>
      <c r="C709" t="s">
        <v>117</v>
      </c>
      <c r="D709" t="s">
        <v>89</v>
      </c>
      <c r="E709" t="s">
        <v>84</v>
      </c>
      <c r="F709" s="267" t="s">
        <v>400</v>
      </c>
      <c r="G709" s="267" t="s">
        <v>1052</v>
      </c>
    </row>
    <row r="710" spans="1:7">
      <c r="A710">
        <v>3</v>
      </c>
      <c r="B710">
        <v>2016</v>
      </c>
      <c r="C710" t="s">
        <v>156</v>
      </c>
      <c r="D710" t="s">
        <v>89</v>
      </c>
      <c r="E710" t="s">
        <v>84</v>
      </c>
      <c r="F710" s="267" t="s">
        <v>401</v>
      </c>
      <c r="G710" s="267" t="s">
        <v>1053</v>
      </c>
    </row>
    <row r="711" spans="1:7">
      <c r="A711">
        <v>401</v>
      </c>
      <c r="B711">
        <v>2016</v>
      </c>
      <c r="C711" t="s">
        <v>402</v>
      </c>
      <c r="D711" t="s">
        <v>89</v>
      </c>
      <c r="E711" t="s">
        <v>84</v>
      </c>
      <c r="F711" s="267" t="s">
        <v>403</v>
      </c>
      <c r="G711" s="267" t="s">
        <v>1054</v>
      </c>
    </row>
    <row r="712" spans="1:7">
      <c r="A712">
        <v>402</v>
      </c>
      <c r="B712">
        <v>2016</v>
      </c>
      <c r="C712" t="s">
        <v>404</v>
      </c>
      <c r="D712" t="s">
        <v>89</v>
      </c>
      <c r="E712" t="s">
        <v>84</v>
      </c>
      <c r="F712" s="267" t="s">
        <v>405</v>
      </c>
      <c r="G712" s="267" t="s">
        <v>1055</v>
      </c>
    </row>
    <row r="713" spans="1:7">
      <c r="A713">
        <v>403</v>
      </c>
      <c r="B713">
        <v>2016</v>
      </c>
      <c r="C713" t="s">
        <v>406</v>
      </c>
      <c r="D713" t="s">
        <v>89</v>
      </c>
      <c r="E713" t="s">
        <v>84</v>
      </c>
      <c r="F713" s="267" t="s">
        <v>407</v>
      </c>
      <c r="G713" s="267" t="s">
        <v>1056</v>
      </c>
    </row>
    <row r="714" spans="1:7">
      <c r="A714">
        <v>404</v>
      </c>
      <c r="B714">
        <v>2016</v>
      </c>
      <c r="C714" t="s">
        <v>408</v>
      </c>
      <c r="D714" t="s">
        <v>89</v>
      </c>
      <c r="E714" t="s">
        <v>84</v>
      </c>
      <c r="F714" s="267" t="s">
        <v>409</v>
      </c>
      <c r="G714" s="267" t="s">
        <v>1057</v>
      </c>
    </row>
    <row r="715" spans="1:7">
      <c r="A715">
        <v>405</v>
      </c>
      <c r="B715">
        <v>2016</v>
      </c>
      <c r="C715" t="s">
        <v>410</v>
      </c>
      <c r="D715" t="s">
        <v>89</v>
      </c>
      <c r="E715" t="s">
        <v>84</v>
      </c>
      <c r="F715" s="267" t="s">
        <v>411</v>
      </c>
      <c r="G715" s="267" t="s">
        <v>1058</v>
      </c>
    </row>
    <row r="716" spans="1:7">
      <c r="A716">
        <v>451</v>
      </c>
      <c r="B716">
        <v>2016</v>
      </c>
      <c r="C716" t="s">
        <v>118</v>
      </c>
      <c r="D716" t="s">
        <v>89</v>
      </c>
      <c r="E716" t="s">
        <v>84</v>
      </c>
      <c r="F716" s="267" t="s">
        <v>412</v>
      </c>
      <c r="G716" s="267" t="s">
        <v>1059</v>
      </c>
    </row>
    <row r="717" spans="1:7">
      <c r="A717">
        <v>452</v>
      </c>
      <c r="B717">
        <v>2016</v>
      </c>
      <c r="C717" t="s">
        <v>119</v>
      </c>
      <c r="D717" t="s">
        <v>89</v>
      </c>
      <c r="E717" t="s">
        <v>84</v>
      </c>
      <c r="F717" s="267" t="s">
        <v>413</v>
      </c>
      <c r="G717" s="267" t="s">
        <v>1060</v>
      </c>
    </row>
    <row r="718" spans="1:7">
      <c r="A718">
        <v>453</v>
      </c>
      <c r="B718">
        <v>2016</v>
      </c>
      <c r="C718" t="s">
        <v>120</v>
      </c>
      <c r="D718" t="s">
        <v>89</v>
      </c>
      <c r="E718" t="s">
        <v>84</v>
      </c>
      <c r="F718" s="267" t="s">
        <v>414</v>
      </c>
      <c r="G718" s="267" t="s">
        <v>1061</v>
      </c>
    </row>
    <row r="719" spans="1:7">
      <c r="A719">
        <v>454</v>
      </c>
      <c r="B719">
        <v>2016</v>
      </c>
      <c r="C719" t="s">
        <v>121</v>
      </c>
      <c r="D719" t="s">
        <v>89</v>
      </c>
      <c r="E719" t="s">
        <v>84</v>
      </c>
      <c r="F719" s="267" t="s">
        <v>415</v>
      </c>
      <c r="G719" s="267" t="s">
        <v>1062</v>
      </c>
    </row>
    <row r="720" spans="1:7">
      <c r="A720">
        <v>455</v>
      </c>
      <c r="B720">
        <v>2016</v>
      </c>
      <c r="C720" t="s">
        <v>122</v>
      </c>
      <c r="D720" t="s">
        <v>89</v>
      </c>
      <c r="E720" t="s">
        <v>84</v>
      </c>
      <c r="F720" s="267" t="s">
        <v>416</v>
      </c>
      <c r="G720" s="267" t="s">
        <v>1063</v>
      </c>
    </row>
    <row r="721" spans="1:7">
      <c r="A721">
        <v>456</v>
      </c>
      <c r="B721">
        <v>2016</v>
      </c>
      <c r="C721" t="s">
        <v>123</v>
      </c>
      <c r="D721" t="s">
        <v>89</v>
      </c>
      <c r="E721" t="s">
        <v>84</v>
      </c>
      <c r="F721" s="267" t="s">
        <v>417</v>
      </c>
      <c r="G721" s="267" t="s">
        <v>1064</v>
      </c>
    </row>
    <row r="722" spans="1:7">
      <c r="A722">
        <v>457</v>
      </c>
      <c r="B722">
        <v>2016</v>
      </c>
      <c r="C722" t="s">
        <v>124</v>
      </c>
      <c r="D722" t="s">
        <v>89</v>
      </c>
      <c r="E722" t="s">
        <v>84</v>
      </c>
      <c r="F722" s="267" t="s">
        <v>418</v>
      </c>
      <c r="G722" s="267" t="s">
        <v>1065</v>
      </c>
    </row>
    <row r="723" spans="1:7">
      <c r="A723">
        <v>458</v>
      </c>
      <c r="B723">
        <v>2016</v>
      </c>
      <c r="C723" t="s">
        <v>125</v>
      </c>
      <c r="D723" t="s">
        <v>89</v>
      </c>
      <c r="E723" t="s">
        <v>84</v>
      </c>
      <c r="F723" s="267" t="s">
        <v>419</v>
      </c>
      <c r="G723" s="267" t="s">
        <v>1066</v>
      </c>
    </row>
    <row r="724" spans="1:7">
      <c r="A724">
        <v>459</v>
      </c>
      <c r="B724">
        <v>2016</v>
      </c>
      <c r="C724" t="s">
        <v>126</v>
      </c>
      <c r="D724" t="s">
        <v>89</v>
      </c>
      <c r="E724" t="s">
        <v>84</v>
      </c>
      <c r="F724" s="267" t="s">
        <v>420</v>
      </c>
      <c r="G724" s="267" t="s">
        <v>1067</v>
      </c>
    </row>
    <row r="725" spans="1:7">
      <c r="A725">
        <v>460</v>
      </c>
      <c r="B725">
        <v>2016</v>
      </c>
      <c r="C725" t="s">
        <v>127</v>
      </c>
      <c r="D725" t="s">
        <v>89</v>
      </c>
      <c r="E725" t="s">
        <v>84</v>
      </c>
      <c r="F725" s="267" t="s">
        <v>421</v>
      </c>
      <c r="G725" s="267" t="s">
        <v>1068</v>
      </c>
    </row>
    <row r="726" spans="1:7">
      <c r="A726">
        <v>461</v>
      </c>
      <c r="B726">
        <v>2016</v>
      </c>
      <c r="C726" t="s">
        <v>128</v>
      </c>
      <c r="D726" t="s">
        <v>89</v>
      </c>
      <c r="E726" t="s">
        <v>84</v>
      </c>
      <c r="F726" s="267" t="s">
        <v>422</v>
      </c>
      <c r="G726" s="267" t="s">
        <v>1069</v>
      </c>
    </row>
    <row r="727" spans="1:7">
      <c r="A727">
        <v>462</v>
      </c>
      <c r="B727">
        <v>2016</v>
      </c>
      <c r="C727" t="s">
        <v>129</v>
      </c>
      <c r="D727" t="s">
        <v>89</v>
      </c>
      <c r="E727" t="s">
        <v>84</v>
      </c>
      <c r="F727" s="267" t="s">
        <v>423</v>
      </c>
      <c r="G727" s="267" t="s">
        <v>1070</v>
      </c>
    </row>
    <row r="728" spans="1:7">
      <c r="A728">
        <v>4</v>
      </c>
      <c r="B728">
        <v>2016</v>
      </c>
      <c r="C728" t="s">
        <v>157</v>
      </c>
      <c r="D728" t="s">
        <v>89</v>
      </c>
      <c r="E728" t="s">
        <v>84</v>
      </c>
      <c r="F728" s="267" t="s">
        <v>424</v>
      </c>
      <c r="G728" s="267" t="s">
        <v>1071</v>
      </c>
    </row>
    <row r="729" spans="1:7">
      <c r="A729">
        <v>0</v>
      </c>
      <c r="B729">
        <v>2016</v>
      </c>
      <c r="C729" t="s">
        <v>130</v>
      </c>
      <c r="D729" t="s">
        <v>89</v>
      </c>
      <c r="E729" t="s">
        <v>84</v>
      </c>
      <c r="F729" s="267" t="s">
        <v>425</v>
      </c>
      <c r="G729" s="267" t="s">
        <v>1072</v>
      </c>
    </row>
    <row r="730" spans="1:7">
      <c r="A730">
        <v>101</v>
      </c>
      <c r="B730">
        <v>2016</v>
      </c>
      <c r="C730" t="s">
        <v>363</v>
      </c>
      <c r="D730" t="s">
        <v>90</v>
      </c>
      <c r="E730" t="s">
        <v>84</v>
      </c>
      <c r="F730" s="267" t="s">
        <v>364</v>
      </c>
      <c r="G730" s="267" t="s">
        <v>1073</v>
      </c>
    </row>
    <row r="731" spans="1:7">
      <c r="A731">
        <v>102</v>
      </c>
      <c r="B731">
        <v>2016</v>
      </c>
      <c r="C731" t="s">
        <v>365</v>
      </c>
      <c r="D731" t="s">
        <v>90</v>
      </c>
      <c r="E731" t="s">
        <v>84</v>
      </c>
      <c r="F731" s="267" t="s">
        <v>366</v>
      </c>
      <c r="G731" s="267" t="s">
        <v>1074</v>
      </c>
    </row>
    <row r="732" spans="1:7">
      <c r="A732">
        <v>103</v>
      </c>
      <c r="B732">
        <v>2016</v>
      </c>
      <c r="C732" t="s">
        <v>367</v>
      </c>
      <c r="D732" t="s">
        <v>90</v>
      </c>
      <c r="E732" t="s">
        <v>84</v>
      </c>
      <c r="F732" s="267" t="s">
        <v>368</v>
      </c>
      <c r="G732" s="267" t="s">
        <v>1075</v>
      </c>
    </row>
    <row r="733" spans="1:7">
      <c r="A733">
        <v>151</v>
      </c>
      <c r="B733">
        <v>2016</v>
      </c>
      <c r="C733" t="s">
        <v>94</v>
      </c>
      <c r="D733" t="s">
        <v>90</v>
      </c>
      <c r="E733" t="s">
        <v>84</v>
      </c>
      <c r="F733" s="267" t="s">
        <v>369</v>
      </c>
      <c r="G733" s="267" t="s">
        <v>1054</v>
      </c>
    </row>
    <row r="734" spans="1:7">
      <c r="A734">
        <v>153</v>
      </c>
      <c r="B734">
        <v>2016</v>
      </c>
      <c r="C734" t="s">
        <v>96</v>
      </c>
      <c r="D734" t="s">
        <v>90</v>
      </c>
      <c r="E734" t="s">
        <v>84</v>
      </c>
      <c r="F734" s="267" t="s">
        <v>370</v>
      </c>
      <c r="G734" s="267" t="s">
        <v>1076</v>
      </c>
    </row>
    <row r="735" spans="1:7">
      <c r="A735">
        <v>154</v>
      </c>
      <c r="B735">
        <v>2016</v>
      </c>
      <c r="C735" t="s">
        <v>97</v>
      </c>
      <c r="D735" t="s">
        <v>90</v>
      </c>
      <c r="E735" t="s">
        <v>84</v>
      </c>
      <c r="F735" s="267" t="s">
        <v>371</v>
      </c>
      <c r="G735" s="267" t="s">
        <v>1077</v>
      </c>
    </row>
    <row r="736" spans="1:7">
      <c r="A736">
        <v>155</v>
      </c>
      <c r="B736">
        <v>2016</v>
      </c>
      <c r="C736" t="s">
        <v>98</v>
      </c>
      <c r="D736" t="s">
        <v>90</v>
      </c>
      <c r="E736" t="s">
        <v>84</v>
      </c>
      <c r="F736" s="267" t="s">
        <v>372</v>
      </c>
      <c r="G736" s="267" t="s">
        <v>1078</v>
      </c>
    </row>
    <row r="737" spans="1:7">
      <c r="A737">
        <v>157</v>
      </c>
      <c r="B737">
        <v>2016</v>
      </c>
      <c r="C737" t="s">
        <v>99</v>
      </c>
      <c r="D737" t="s">
        <v>90</v>
      </c>
      <c r="E737" t="s">
        <v>84</v>
      </c>
      <c r="F737" s="267" t="s">
        <v>373</v>
      </c>
      <c r="G737" s="267" t="s">
        <v>1079</v>
      </c>
    </row>
    <row r="738" spans="1:7">
      <c r="A738">
        <v>158</v>
      </c>
      <c r="B738">
        <v>2016</v>
      </c>
      <c r="C738" t="s">
        <v>100</v>
      </c>
      <c r="D738" t="s">
        <v>90</v>
      </c>
      <c r="E738" t="s">
        <v>84</v>
      </c>
      <c r="F738" s="267" t="s">
        <v>374</v>
      </c>
      <c r="G738" s="267" t="s">
        <v>1080</v>
      </c>
    </row>
    <row r="739" spans="1:7">
      <c r="A739">
        <v>159</v>
      </c>
      <c r="B739">
        <v>2016</v>
      </c>
      <c r="C739" t="s">
        <v>95</v>
      </c>
      <c r="D739" t="s">
        <v>90</v>
      </c>
      <c r="E739" t="s">
        <v>84</v>
      </c>
      <c r="F739" s="267" t="s">
        <v>375</v>
      </c>
      <c r="G739" s="267" t="s">
        <v>1081</v>
      </c>
    </row>
    <row r="740" spans="1:7">
      <c r="A740">
        <v>1</v>
      </c>
      <c r="B740">
        <v>2016</v>
      </c>
      <c r="C740" t="s">
        <v>154</v>
      </c>
      <c r="D740" t="s">
        <v>90</v>
      </c>
      <c r="E740" t="s">
        <v>84</v>
      </c>
      <c r="F740" s="267" t="s">
        <v>376</v>
      </c>
      <c r="G740" s="267" t="s">
        <v>1082</v>
      </c>
    </row>
    <row r="741" spans="1:7">
      <c r="A741">
        <v>241</v>
      </c>
      <c r="B741">
        <v>2016</v>
      </c>
      <c r="C741" t="s">
        <v>377</v>
      </c>
      <c r="D741" t="s">
        <v>90</v>
      </c>
      <c r="E741" t="s">
        <v>84</v>
      </c>
      <c r="F741" s="267" t="s">
        <v>378</v>
      </c>
      <c r="G741" s="267" t="s">
        <v>1083</v>
      </c>
    </row>
    <row r="742" spans="1:7">
      <c r="A742">
        <v>241001</v>
      </c>
      <c r="B742">
        <v>2016</v>
      </c>
      <c r="C742" t="s">
        <v>379</v>
      </c>
      <c r="D742" t="s">
        <v>90</v>
      </c>
      <c r="E742" t="s">
        <v>84</v>
      </c>
      <c r="F742" s="267" t="s">
        <v>380</v>
      </c>
      <c r="G742" s="267" t="s">
        <v>1084</v>
      </c>
    </row>
    <row r="743" spans="1:7">
      <c r="A743">
        <v>241999</v>
      </c>
      <c r="B743">
        <v>2016</v>
      </c>
      <c r="C743" t="s">
        <v>381</v>
      </c>
      <c r="D743" t="s">
        <v>90</v>
      </c>
      <c r="E743" t="s">
        <v>84</v>
      </c>
      <c r="F743" s="267" t="s">
        <v>382</v>
      </c>
      <c r="G743" s="267" t="s">
        <v>1085</v>
      </c>
    </row>
    <row r="744" spans="1:7">
      <c r="A744">
        <v>251</v>
      </c>
      <c r="B744">
        <v>2016</v>
      </c>
      <c r="C744" t="s">
        <v>101</v>
      </c>
      <c r="D744" t="s">
        <v>90</v>
      </c>
      <c r="E744" t="s">
        <v>84</v>
      </c>
      <c r="F744" s="267" t="s">
        <v>383</v>
      </c>
      <c r="G744" s="267" t="s">
        <v>1086</v>
      </c>
    </row>
    <row r="745" spans="1:7">
      <c r="A745">
        <v>252</v>
      </c>
      <c r="B745">
        <v>2016</v>
      </c>
      <c r="C745" t="s">
        <v>102</v>
      </c>
      <c r="D745" t="s">
        <v>90</v>
      </c>
      <c r="E745" t="s">
        <v>84</v>
      </c>
      <c r="F745" s="267" t="s">
        <v>384</v>
      </c>
      <c r="G745" s="267" t="s">
        <v>1087</v>
      </c>
    </row>
    <row r="746" spans="1:7">
      <c r="A746">
        <v>254</v>
      </c>
      <c r="B746">
        <v>2016</v>
      </c>
      <c r="C746" t="s">
        <v>103</v>
      </c>
      <c r="D746" t="s">
        <v>90</v>
      </c>
      <c r="E746" t="s">
        <v>84</v>
      </c>
      <c r="F746" s="267" t="s">
        <v>385</v>
      </c>
      <c r="G746" s="267" t="s">
        <v>1088</v>
      </c>
    </row>
    <row r="747" spans="1:7">
      <c r="A747">
        <v>255</v>
      </c>
      <c r="B747">
        <v>2016</v>
      </c>
      <c r="C747" t="s">
        <v>104</v>
      </c>
      <c r="D747" t="s">
        <v>90</v>
      </c>
      <c r="E747" t="s">
        <v>84</v>
      </c>
      <c r="F747" s="267" t="s">
        <v>386</v>
      </c>
      <c r="G747" s="267" t="s">
        <v>1089</v>
      </c>
    </row>
    <row r="748" spans="1:7">
      <c r="A748">
        <v>256</v>
      </c>
      <c r="B748">
        <v>2016</v>
      </c>
      <c r="C748" t="s">
        <v>105</v>
      </c>
      <c r="D748" t="s">
        <v>90</v>
      </c>
      <c r="E748" t="s">
        <v>84</v>
      </c>
      <c r="F748" s="267" t="s">
        <v>387</v>
      </c>
      <c r="G748" s="267" t="s">
        <v>1090</v>
      </c>
    </row>
    <row r="749" spans="1:7">
      <c r="A749">
        <v>257</v>
      </c>
      <c r="B749">
        <v>2016</v>
      </c>
      <c r="C749" t="s">
        <v>106</v>
      </c>
      <c r="D749" t="s">
        <v>90</v>
      </c>
      <c r="E749" t="s">
        <v>84</v>
      </c>
      <c r="F749" s="267" t="s">
        <v>388</v>
      </c>
      <c r="G749" s="267" t="s">
        <v>1091</v>
      </c>
    </row>
    <row r="750" spans="1:7">
      <c r="A750">
        <v>2</v>
      </c>
      <c r="B750">
        <v>2016</v>
      </c>
      <c r="C750" t="s">
        <v>155</v>
      </c>
      <c r="D750" t="s">
        <v>90</v>
      </c>
      <c r="E750" t="s">
        <v>84</v>
      </c>
      <c r="F750" s="267" t="s">
        <v>389</v>
      </c>
      <c r="G750" s="267" t="s">
        <v>1092</v>
      </c>
    </row>
    <row r="751" spans="1:7">
      <c r="A751">
        <v>351</v>
      </c>
      <c r="B751">
        <v>2016</v>
      </c>
      <c r="C751" t="s">
        <v>107</v>
      </c>
      <c r="D751" t="s">
        <v>90</v>
      </c>
      <c r="E751" t="s">
        <v>84</v>
      </c>
      <c r="F751" s="267" t="s">
        <v>390</v>
      </c>
      <c r="G751" s="267" t="s">
        <v>1093</v>
      </c>
    </row>
    <row r="752" spans="1:7">
      <c r="A752">
        <v>352</v>
      </c>
      <c r="B752">
        <v>2016</v>
      </c>
      <c r="C752" t="s">
        <v>108</v>
      </c>
      <c r="D752" t="s">
        <v>90</v>
      </c>
      <c r="E752" t="s">
        <v>84</v>
      </c>
      <c r="F752" s="267" t="s">
        <v>391</v>
      </c>
      <c r="G752" s="267" t="s">
        <v>1094</v>
      </c>
    </row>
    <row r="753" spans="1:7">
      <c r="A753">
        <v>353</v>
      </c>
      <c r="B753">
        <v>2016</v>
      </c>
      <c r="C753" t="s">
        <v>109</v>
      </c>
      <c r="D753" t="s">
        <v>90</v>
      </c>
      <c r="E753" t="s">
        <v>84</v>
      </c>
      <c r="F753" s="267" t="s">
        <v>392</v>
      </c>
      <c r="G753" s="267" t="s">
        <v>1095</v>
      </c>
    </row>
    <row r="754" spans="1:7">
      <c r="A754">
        <v>354</v>
      </c>
      <c r="B754">
        <v>2016</v>
      </c>
      <c r="C754" t="s">
        <v>110</v>
      </c>
      <c r="D754" t="s">
        <v>90</v>
      </c>
      <c r="E754" t="s">
        <v>84</v>
      </c>
      <c r="F754" s="267" t="s">
        <v>393</v>
      </c>
      <c r="G754" s="267" t="s">
        <v>1096</v>
      </c>
    </row>
    <row r="755" spans="1:7">
      <c r="A755">
        <v>355</v>
      </c>
      <c r="B755">
        <v>2016</v>
      </c>
      <c r="C755" t="s">
        <v>111</v>
      </c>
      <c r="D755" t="s">
        <v>90</v>
      </c>
      <c r="E755" t="s">
        <v>84</v>
      </c>
      <c r="F755" s="267" t="s">
        <v>394</v>
      </c>
      <c r="G755" s="267" t="s">
        <v>1097</v>
      </c>
    </row>
    <row r="756" spans="1:7">
      <c r="A756">
        <v>356</v>
      </c>
      <c r="B756">
        <v>2016</v>
      </c>
      <c r="C756" t="s">
        <v>112</v>
      </c>
      <c r="D756" t="s">
        <v>90</v>
      </c>
      <c r="E756" t="s">
        <v>84</v>
      </c>
      <c r="F756" s="267" t="s">
        <v>395</v>
      </c>
      <c r="G756" s="267" t="s">
        <v>1098</v>
      </c>
    </row>
    <row r="757" spans="1:7">
      <c r="A757">
        <v>357</v>
      </c>
      <c r="B757">
        <v>2016</v>
      </c>
      <c r="C757" t="s">
        <v>113</v>
      </c>
      <c r="D757" t="s">
        <v>90</v>
      </c>
      <c r="E757" t="s">
        <v>84</v>
      </c>
      <c r="F757" s="267" t="s">
        <v>396</v>
      </c>
      <c r="G757" s="267" t="s">
        <v>1099</v>
      </c>
    </row>
    <row r="758" spans="1:7">
      <c r="A758">
        <v>358</v>
      </c>
      <c r="B758">
        <v>2016</v>
      </c>
      <c r="C758" t="s">
        <v>114</v>
      </c>
      <c r="D758" t="s">
        <v>90</v>
      </c>
      <c r="E758" t="s">
        <v>84</v>
      </c>
      <c r="F758" s="267" t="s">
        <v>397</v>
      </c>
      <c r="G758" s="267" t="s">
        <v>1100</v>
      </c>
    </row>
    <row r="759" spans="1:7">
      <c r="A759">
        <v>359</v>
      </c>
      <c r="B759">
        <v>2016</v>
      </c>
      <c r="C759" t="s">
        <v>115</v>
      </c>
      <c r="D759" t="s">
        <v>90</v>
      </c>
      <c r="E759" t="s">
        <v>84</v>
      </c>
      <c r="F759" s="267" t="s">
        <v>398</v>
      </c>
      <c r="G759" s="267" t="s">
        <v>1005</v>
      </c>
    </row>
    <row r="760" spans="1:7">
      <c r="A760">
        <v>360</v>
      </c>
      <c r="B760">
        <v>2016</v>
      </c>
      <c r="C760" t="s">
        <v>116</v>
      </c>
      <c r="D760" t="s">
        <v>90</v>
      </c>
      <c r="E760" t="s">
        <v>84</v>
      </c>
      <c r="F760" s="267" t="s">
        <v>399</v>
      </c>
      <c r="G760" s="267" t="s">
        <v>1101</v>
      </c>
    </row>
    <row r="761" spans="1:7">
      <c r="A761">
        <v>361</v>
      </c>
      <c r="B761">
        <v>2016</v>
      </c>
      <c r="C761" t="s">
        <v>117</v>
      </c>
      <c r="D761" t="s">
        <v>90</v>
      </c>
      <c r="E761" t="s">
        <v>84</v>
      </c>
      <c r="F761" s="267" t="s">
        <v>400</v>
      </c>
      <c r="G761" s="267" t="s">
        <v>1102</v>
      </c>
    </row>
    <row r="762" spans="1:7">
      <c r="A762">
        <v>3</v>
      </c>
      <c r="B762">
        <v>2016</v>
      </c>
      <c r="C762" t="s">
        <v>156</v>
      </c>
      <c r="D762" t="s">
        <v>90</v>
      </c>
      <c r="E762" t="s">
        <v>84</v>
      </c>
      <c r="F762" s="267" t="s">
        <v>401</v>
      </c>
      <c r="G762" s="267" t="s">
        <v>1103</v>
      </c>
    </row>
    <row r="763" spans="1:7">
      <c r="A763">
        <v>401</v>
      </c>
      <c r="B763">
        <v>2016</v>
      </c>
      <c r="C763" t="s">
        <v>402</v>
      </c>
      <c r="D763" t="s">
        <v>90</v>
      </c>
      <c r="E763" t="s">
        <v>84</v>
      </c>
      <c r="F763" s="267" t="s">
        <v>403</v>
      </c>
      <c r="G763" s="267" t="s">
        <v>1104</v>
      </c>
    </row>
    <row r="764" spans="1:7">
      <c r="A764">
        <v>402</v>
      </c>
      <c r="B764">
        <v>2016</v>
      </c>
      <c r="C764" t="s">
        <v>404</v>
      </c>
      <c r="D764" t="s">
        <v>90</v>
      </c>
      <c r="E764" t="s">
        <v>84</v>
      </c>
      <c r="F764" s="267" t="s">
        <v>405</v>
      </c>
      <c r="G764" s="267" t="s">
        <v>1105</v>
      </c>
    </row>
    <row r="765" spans="1:7">
      <c r="A765">
        <v>403</v>
      </c>
      <c r="B765">
        <v>2016</v>
      </c>
      <c r="C765" t="s">
        <v>406</v>
      </c>
      <c r="D765" t="s">
        <v>90</v>
      </c>
      <c r="E765" t="s">
        <v>84</v>
      </c>
      <c r="F765" s="267" t="s">
        <v>407</v>
      </c>
      <c r="G765" s="267" t="s">
        <v>1106</v>
      </c>
    </row>
    <row r="766" spans="1:7">
      <c r="A766">
        <v>404</v>
      </c>
      <c r="B766">
        <v>2016</v>
      </c>
      <c r="C766" t="s">
        <v>408</v>
      </c>
      <c r="D766" t="s">
        <v>90</v>
      </c>
      <c r="E766" t="s">
        <v>84</v>
      </c>
      <c r="F766" s="267" t="s">
        <v>409</v>
      </c>
      <c r="G766" s="267" t="s">
        <v>1107</v>
      </c>
    </row>
    <row r="767" spans="1:7">
      <c r="A767">
        <v>405</v>
      </c>
      <c r="B767">
        <v>2016</v>
      </c>
      <c r="C767" t="s">
        <v>410</v>
      </c>
      <c r="D767" t="s">
        <v>90</v>
      </c>
      <c r="E767" t="s">
        <v>84</v>
      </c>
      <c r="F767" s="267" t="s">
        <v>411</v>
      </c>
      <c r="G767" s="267" t="s">
        <v>1108</v>
      </c>
    </row>
    <row r="768" spans="1:7">
      <c r="A768">
        <v>451</v>
      </c>
      <c r="B768">
        <v>2016</v>
      </c>
      <c r="C768" t="s">
        <v>118</v>
      </c>
      <c r="D768" t="s">
        <v>90</v>
      </c>
      <c r="E768" t="s">
        <v>84</v>
      </c>
      <c r="F768" s="267" t="s">
        <v>412</v>
      </c>
      <c r="G768" s="267" t="s">
        <v>1109</v>
      </c>
    </row>
    <row r="769" spans="1:7">
      <c r="A769">
        <v>452</v>
      </c>
      <c r="B769">
        <v>2016</v>
      </c>
      <c r="C769" t="s">
        <v>119</v>
      </c>
      <c r="D769" t="s">
        <v>90</v>
      </c>
      <c r="E769" t="s">
        <v>84</v>
      </c>
      <c r="F769" s="267" t="s">
        <v>413</v>
      </c>
      <c r="G769" s="267" t="s">
        <v>566</v>
      </c>
    </row>
    <row r="770" spans="1:7">
      <c r="A770">
        <v>453</v>
      </c>
      <c r="B770">
        <v>2016</v>
      </c>
      <c r="C770" t="s">
        <v>120</v>
      </c>
      <c r="D770" t="s">
        <v>90</v>
      </c>
      <c r="E770" t="s">
        <v>84</v>
      </c>
      <c r="F770" s="267" t="s">
        <v>414</v>
      </c>
      <c r="G770" s="267" t="s">
        <v>1110</v>
      </c>
    </row>
    <row r="771" spans="1:7">
      <c r="A771">
        <v>454</v>
      </c>
      <c r="B771">
        <v>2016</v>
      </c>
      <c r="C771" t="s">
        <v>121</v>
      </c>
      <c r="D771" t="s">
        <v>90</v>
      </c>
      <c r="E771" t="s">
        <v>84</v>
      </c>
      <c r="F771" s="267" t="s">
        <v>415</v>
      </c>
      <c r="G771" s="267" t="s">
        <v>1111</v>
      </c>
    </row>
    <row r="772" spans="1:7">
      <c r="A772">
        <v>455</v>
      </c>
      <c r="B772">
        <v>2016</v>
      </c>
      <c r="C772" t="s">
        <v>122</v>
      </c>
      <c r="D772" t="s">
        <v>90</v>
      </c>
      <c r="E772" t="s">
        <v>84</v>
      </c>
      <c r="F772" s="267" t="s">
        <v>416</v>
      </c>
      <c r="G772" s="267" t="s">
        <v>1112</v>
      </c>
    </row>
    <row r="773" spans="1:7">
      <c r="A773">
        <v>456</v>
      </c>
      <c r="B773">
        <v>2016</v>
      </c>
      <c r="C773" t="s">
        <v>123</v>
      </c>
      <c r="D773" t="s">
        <v>90</v>
      </c>
      <c r="E773" t="s">
        <v>84</v>
      </c>
      <c r="F773" s="267" t="s">
        <v>417</v>
      </c>
      <c r="G773" s="267" t="s">
        <v>1113</v>
      </c>
    </row>
    <row r="774" spans="1:7">
      <c r="A774">
        <v>457</v>
      </c>
      <c r="B774">
        <v>2016</v>
      </c>
      <c r="C774" t="s">
        <v>124</v>
      </c>
      <c r="D774" t="s">
        <v>90</v>
      </c>
      <c r="E774" t="s">
        <v>84</v>
      </c>
      <c r="F774" s="267" t="s">
        <v>418</v>
      </c>
      <c r="G774" s="267" t="s">
        <v>934</v>
      </c>
    </row>
    <row r="775" spans="1:7">
      <c r="A775">
        <v>458</v>
      </c>
      <c r="B775">
        <v>2016</v>
      </c>
      <c r="C775" t="s">
        <v>125</v>
      </c>
      <c r="D775" t="s">
        <v>90</v>
      </c>
      <c r="E775" t="s">
        <v>84</v>
      </c>
      <c r="F775" s="267" t="s">
        <v>419</v>
      </c>
      <c r="G775" s="267" t="s">
        <v>1114</v>
      </c>
    </row>
    <row r="776" spans="1:7">
      <c r="A776">
        <v>459</v>
      </c>
      <c r="B776">
        <v>2016</v>
      </c>
      <c r="C776" t="s">
        <v>126</v>
      </c>
      <c r="D776" t="s">
        <v>90</v>
      </c>
      <c r="E776" t="s">
        <v>84</v>
      </c>
      <c r="F776" s="267" t="s">
        <v>420</v>
      </c>
      <c r="G776" s="267" t="s">
        <v>1115</v>
      </c>
    </row>
    <row r="777" spans="1:7">
      <c r="A777">
        <v>460</v>
      </c>
      <c r="B777">
        <v>2016</v>
      </c>
      <c r="C777" t="s">
        <v>127</v>
      </c>
      <c r="D777" t="s">
        <v>90</v>
      </c>
      <c r="E777" t="s">
        <v>84</v>
      </c>
      <c r="F777" s="267" t="s">
        <v>421</v>
      </c>
      <c r="G777" s="267" t="s">
        <v>1116</v>
      </c>
    </row>
    <row r="778" spans="1:7">
      <c r="A778">
        <v>461</v>
      </c>
      <c r="B778">
        <v>2016</v>
      </c>
      <c r="C778" t="s">
        <v>128</v>
      </c>
      <c r="D778" t="s">
        <v>90</v>
      </c>
      <c r="E778" t="s">
        <v>84</v>
      </c>
      <c r="F778" s="267" t="s">
        <v>422</v>
      </c>
      <c r="G778" s="267" t="s">
        <v>974</v>
      </c>
    </row>
    <row r="779" spans="1:7">
      <c r="A779">
        <v>462</v>
      </c>
      <c r="B779">
        <v>2016</v>
      </c>
      <c r="C779" t="s">
        <v>129</v>
      </c>
      <c r="D779" t="s">
        <v>90</v>
      </c>
      <c r="E779" t="s">
        <v>84</v>
      </c>
      <c r="F779" s="267" t="s">
        <v>423</v>
      </c>
      <c r="G779" s="267" t="s">
        <v>1117</v>
      </c>
    </row>
    <row r="780" spans="1:7">
      <c r="A780">
        <v>4</v>
      </c>
      <c r="B780">
        <v>2016</v>
      </c>
      <c r="C780" t="s">
        <v>157</v>
      </c>
      <c r="D780" t="s">
        <v>90</v>
      </c>
      <c r="E780" t="s">
        <v>84</v>
      </c>
      <c r="F780" s="267" t="s">
        <v>424</v>
      </c>
      <c r="G780" s="267" t="s">
        <v>1118</v>
      </c>
    </row>
    <row r="781" spans="1:7">
      <c r="A781">
        <v>0</v>
      </c>
      <c r="B781">
        <v>2016</v>
      </c>
      <c r="C781" t="s">
        <v>130</v>
      </c>
      <c r="D781" t="s">
        <v>90</v>
      </c>
      <c r="E781" t="s">
        <v>84</v>
      </c>
      <c r="F781" s="267" t="s">
        <v>425</v>
      </c>
      <c r="G781" s="267" t="s">
        <v>1119</v>
      </c>
    </row>
    <row r="782" spans="1:7">
      <c r="A782">
        <v>101</v>
      </c>
      <c r="B782">
        <v>2015</v>
      </c>
      <c r="C782" t="s">
        <v>363</v>
      </c>
      <c r="D782" t="s">
        <v>28</v>
      </c>
      <c r="E782" t="s">
        <v>84</v>
      </c>
      <c r="F782" s="267" t="s">
        <v>364</v>
      </c>
      <c r="G782" s="267" t="s">
        <v>1120</v>
      </c>
    </row>
    <row r="783" spans="1:7">
      <c r="A783">
        <v>102</v>
      </c>
      <c r="B783">
        <v>2015</v>
      </c>
      <c r="C783" t="s">
        <v>365</v>
      </c>
      <c r="D783" t="s">
        <v>28</v>
      </c>
      <c r="E783" t="s">
        <v>84</v>
      </c>
      <c r="F783" s="267" t="s">
        <v>366</v>
      </c>
      <c r="G783" s="267" t="s">
        <v>1121</v>
      </c>
    </row>
    <row r="784" spans="1:7">
      <c r="A784">
        <v>103</v>
      </c>
      <c r="B784">
        <v>2015</v>
      </c>
      <c r="C784" t="s">
        <v>367</v>
      </c>
      <c r="D784" t="s">
        <v>28</v>
      </c>
      <c r="E784" t="s">
        <v>84</v>
      </c>
      <c r="F784" s="267" t="s">
        <v>368</v>
      </c>
      <c r="G784" s="267" t="s">
        <v>1122</v>
      </c>
    </row>
    <row r="785" spans="1:7">
      <c r="A785">
        <v>151</v>
      </c>
      <c r="B785">
        <v>2015</v>
      </c>
      <c r="C785" t="s">
        <v>94</v>
      </c>
      <c r="D785" t="s">
        <v>28</v>
      </c>
      <c r="E785" t="s">
        <v>84</v>
      </c>
      <c r="F785" s="267" t="s">
        <v>369</v>
      </c>
      <c r="G785" s="267" t="s">
        <v>1123</v>
      </c>
    </row>
    <row r="786" spans="1:7">
      <c r="A786">
        <v>153</v>
      </c>
      <c r="B786">
        <v>2015</v>
      </c>
      <c r="C786" t="s">
        <v>96</v>
      </c>
      <c r="D786" t="s">
        <v>28</v>
      </c>
      <c r="E786" t="s">
        <v>84</v>
      </c>
      <c r="F786" s="267" t="s">
        <v>370</v>
      </c>
      <c r="G786" s="267" t="s">
        <v>1124</v>
      </c>
    </row>
    <row r="787" spans="1:7">
      <c r="A787">
        <v>154</v>
      </c>
      <c r="B787">
        <v>2015</v>
      </c>
      <c r="C787" t="s">
        <v>97</v>
      </c>
      <c r="D787" t="s">
        <v>28</v>
      </c>
      <c r="E787" t="s">
        <v>84</v>
      </c>
      <c r="F787" s="267" t="s">
        <v>371</v>
      </c>
      <c r="G787" s="267" t="s">
        <v>1125</v>
      </c>
    </row>
    <row r="788" spans="1:7">
      <c r="A788">
        <v>155</v>
      </c>
      <c r="B788">
        <v>2015</v>
      </c>
      <c r="C788" t="s">
        <v>98</v>
      </c>
      <c r="D788" t="s">
        <v>28</v>
      </c>
      <c r="E788" t="s">
        <v>84</v>
      </c>
      <c r="F788" s="267" t="s">
        <v>372</v>
      </c>
      <c r="G788" s="267" t="s">
        <v>890</v>
      </c>
    </row>
    <row r="789" spans="1:7">
      <c r="A789">
        <v>157</v>
      </c>
      <c r="B789">
        <v>2015</v>
      </c>
      <c r="C789" t="s">
        <v>99</v>
      </c>
      <c r="D789" t="s">
        <v>28</v>
      </c>
      <c r="E789" t="s">
        <v>84</v>
      </c>
      <c r="F789" s="267" t="s">
        <v>373</v>
      </c>
      <c r="G789" s="267" t="s">
        <v>1126</v>
      </c>
    </row>
    <row r="790" spans="1:7">
      <c r="A790">
        <v>158</v>
      </c>
      <c r="B790">
        <v>2015</v>
      </c>
      <c r="C790" t="s">
        <v>100</v>
      </c>
      <c r="D790" t="s">
        <v>28</v>
      </c>
      <c r="E790" t="s">
        <v>84</v>
      </c>
      <c r="F790" s="267" t="s">
        <v>374</v>
      </c>
      <c r="G790" s="267" t="s">
        <v>1127</v>
      </c>
    </row>
    <row r="791" spans="1:7">
      <c r="A791">
        <v>159</v>
      </c>
      <c r="B791">
        <v>2015</v>
      </c>
      <c r="C791" t="s">
        <v>95</v>
      </c>
      <c r="D791" t="s">
        <v>28</v>
      </c>
      <c r="E791" t="s">
        <v>84</v>
      </c>
      <c r="F791" s="267" t="s">
        <v>375</v>
      </c>
      <c r="G791" s="267" t="s">
        <v>1128</v>
      </c>
    </row>
    <row r="792" spans="1:7">
      <c r="A792">
        <v>1</v>
      </c>
      <c r="B792">
        <v>2015</v>
      </c>
      <c r="C792" t="s">
        <v>154</v>
      </c>
      <c r="D792" t="s">
        <v>28</v>
      </c>
      <c r="E792" t="s">
        <v>84</v>
      </c>
      <c r="F792" s="267" t="s">
        <v>376</v>
      </c>
      <c r="G792" s="267" t="s">
        <v>1129</v>
      </c>
    </row>
    <row r="793" spans="1:7">
      <c r="A793">
        <v>241</v>
      </c>
      <c r="B793">
        <v>2015</v>
      </c>
      <c r="C793" t="s">
        <v>377</v>
      </c>
      <c r="D793" t="s">
        <v>28</v>
      </c>
      <c r="E793" t="s">
        <v>84</v>
      </c>
      <c r="F793" s="267" t="s">
        <v>378</v>
      </c>
      <c r="G793" s="267" t="s">
        <v>1130</v>
      </c>
    </row>
    <row r="794" spans="1:7">
      <c r="A794">
        <v>241001</v>
      </c>
      <c r="B794">
        <v>2015</v>
      </c>
      <c r="C794" t="s">
        <v>379</v>
      </c>
      <c r="D794" t="s">
        <v>28</v>
      </c>
      <c r="E794" t="s">
        <v>84</v>
      </c>
      <c r="F794" s="267" t="s">
        <v>380</v>
      </c>
      <c r="G794" s="267" t="s">
        <v>1131</v>
      </c>
    </row>
    <row r="795" spans="1:7">
      <c r="A795">
        <v>241999</v>
      </c>
      <c r="B795">
        <v>2015</v>
      </c>
      <c r="C795" t="s">
        <v>381</v>
      </c>
      <c r="D795" t="s">
        <v>28</v>
      </c>
      <c r="E795" t="s">
        <v>84</v>
      </c>
      <c r="F795" s="267" t="s">
        <v>382</v>
      </c>
      <c r="G795" s="267" t="s">
        <v>1132</v>
      </c>
    </row>
    <row r="796" spans="1:7">
      <c r="A796">
        <v>251</v>
      </c>
      <c r="B796">
        <v>2015</v>
      </c>
      <c r="C796" t="s">
        <v>101</v>
      </c>
      <c r="D796" t="s">
        <v>28</v>
      </c>
      <c r="E796" t="s">
        <v>84</v>
      </c>
      <c r="F796" s="267" t="s">
        <v>383</v>
      </c>
      <c r="G796" s="267" t="s">
        <v>1133</v>
      </c>
    </row>
    <row r="797" spans="1:7">
      <c r="A797">
        <v>252</v>
      </c>
      <c r="B797">
        <v>2015</v>
      </c>
      <c r="C797" t="s">
        <v>102</v>
      </c>
      <c r="D797" t="s">
        <v>28</v>
      </c>
      <c r="E797" t="s">
        <v>84</v>
      </c>
      <c r="F797" s="267" t="s">
        <v>384</v>
      </c>
      <c r="G797" s="267" t="s">
        <v>1134</v>
      </c>
    </row>
    <row r="798" spans="1:7">
      <c r="A798">
        <v>254</v>
      </c>
      <c r="B798">
        <v>2015</v>
      </c>
      <c r="C798" t="s">
        <v>103</v>
      </c>
      <c r="D798" t="s">
        <v>28</v>
      </c>
      <c r="E798" t="s">
        <v>84</v>
      </c>
      <c r="F798" s="267" t="s">
        <v>385</v>
      </c>
      <c r="G798" s="267" t="s">
        <v>1135</v>
      </c>
    </row>
    <row r="799" spans="1:7">
      <c r="A799">
        <v>255</v>
      </c>
      <c r="B799">
        <v>2015</v>
      </c>
      <c r="C799" t="s">
        <v>104</v>
      </c>
      <c r="D799" t="s">
        <v>28</v>
      </c>
      <c r="E799" t="s">
        <v>84</v>
      </c>
      <c r="F799" s="267" t="s">
        <v>386</v>
      </c>
      <c r="G799" s="267" t="s">
        <v>1136</v>
      </c>
    </row>
    <row r="800" spans="1:7">
      <c r="A800">
        <v>256</v>
      </c>
      <c r="B800">
        <v>2015</v>
      </c>
      <c r="C800" t="s">
        <v>105</v>
      </c>
      <c r="D800" t="s">
        <v>28</v>
      </c>
      <c r="E800" t="s">
        <v>84</v>
      </c>
      <c r="F800" s="267" t="s">
        <v>387</v>
      </c>
      <c r="G800" s="267" t="s">
        <v>635</v>
      </c>
    </row>
    <row r="801" spans="1:7">
      <c r="A801">
        <v>257</v>
      </c>
      <c r="B801">
        <v>2015</v>
      </c>
      <c r="C801" t="s">
        <v>106</v>
      </c>
      <c r="D801" t="s">
        <v>28</v>
      </c>
      <c r="E801" t="s">
        <v>84</v>
      </c>
      <c r="F801" s="267" t="s">
        <v>388</v>
      </c>
      <c r="G801" s="267" t="s">
        <v>1137</v>
      </c>
    </row>
    <row r="802" spans="1:7">
      <c r="A802">
        <v>2</v>
      </c>
      <c r="B802">
        <v>2015</v>
      </c>
      <c r="C802" t="s">
        <v>155</v>
      </c>
      <c r="D802" t="s">
        <v>28</v>
      </c>
      <c r="E802" t="s">
        <v>84</v>
      </c>
      <c r="F802" s="267" t="s">
        <v>389</v>
      </c>
      <c r="G802" s="267" t="s">
        <v>1138</v>
      </c>
    </row>
    <row r="803" spans="1:7">
      <c r="A803">
        <v>351</v>
      </c>
      <c r="B803">
        <v>2015</v>
      </c>
      <c r="C803" t="s">
        <v>107</v>
      </c>
      <c r="D803" t="s">
        <v>28</v>
      </c>
      <c r="E803" t="s">
        <v>84</v>
      </c>
      <c r="F803" s="267" t="s">
        <v>390</v>
      </c>
      <c r="G803" s="267" t="s">
        <v>1139</v>
      </c>
    </row>
    <row r="804" spans="1:7">
      <c r="A804">
        <v>352</v>
      </c>
      <c r="B804">
        <v>2015</v>
      </c>
      <c r="C804" t="s">
        <v>108</v>
      </c>
      <c r="D804" t="s">
        <v>28</v>
      </c>
      <c r="E804" t="s">
        <v>84</v>
      </c>
      <c r="F804" s="267" t="s">
        <v>391</v>
      </c>
      <c r="G804" s="267" t="s">
        <v>1140</v>
      </c>
    </row>
    <row r="805" spans="1:7">
      <c r="A805">
        <v>353</v>
      </c>
      <c r="B805">
        <v>2015</v>
      </c>
      <c r="C805" t="s">
        <v>109</v>
      </c>
      <c r="D805" t="s">
        <v>28</v>
      </c>
      <c r="E805" t="s">
        <v>84</v>
      </c>
      <c r="F805" s="267" t="s">
        <v>392</v>
      </c>
      <c r="G805" s="267" t="s">
        <v>1141</v>
      </c>
    </row>
    <row r="806" spans="1:7">
      <c r="A806">
        <v>354</v>
      </c>
      <c r="B806">
        <v>2015</v>
      </c>
      <c r="C806" t="s">
        <v>110</v>
      </c>
      <c r="D806" t="s">
        <v>28</v>
      </c>
      <c r="E806" t="s">
        <v>84</v>
      </c>
      <c r="F806" s="267" t="s">
        <v>393</v>
      </c>
      <c r="G806" s="267" t="s">
        <v>555</v>
      </c>
    </row>
    <row r="807" spans="1:7">
      <c r="A807">
        <v>355</v>
      </c>
      <c r="B807">
        <v>2015</v>
      </c>
      <c r="C807" t="s">
        <v>111</v>
      </c>
      <c r="D807" t="s">
        <v>28</v>
      </c>
      <c r="E807" t="s">
        <v>84</v>
      </c>
      <c r="F807" s="267" t="s">
        <v>394</v>
      </c>
      <c r="G807" s="267" t="s">
        <v>1142</v>
      </c>
    </row>
    <row r="808" spans="1:7">
      <c r="A808">
        <v>356</v>
      </c>
      <c r="B808">
        <v>2015</v>
      </c>
      <c r="C808" t="s">
        <v>112</v>
      </c>
      <c r="D808" t="s">
        <v>28</v>
      </c>
      <c r="E808" t="s">
        <v>84</v>
      </c>
      <c r="F808" s="267" t="s">
        <v>395</v>
      </c>
      <c r="G808" s="267" t="s">
        <v>724</v>
      </c>
    </row>
    <row r="809" spans="1:7">
      <c r="A809">
        <v>357</v>
      </c>
      <c r="B809">
        <v>2015</v>
      </c>
      <c r="C809" t="s">
        <v>113</v>
      </c>
      <c r="D809" t="s">
        <v>28</v>
      </c>
      <c r="E809" t="s">
        <v>84</v>
      </c>
      <c r="F809" s="267" t="s">
        <v>396</v>
      </c>
      <c r="G809" s="267" t="s">
        <v>1143</v>
      </c>
    </row>
    <row r="810" spans="1:7">
      <c r="A810">
        <v>358</v>
      </c>
      <c r="B810">
        <v>2015</v>
      </c>
      <c r="C810" t="s">
        <v>114</v>
      </c>
      <c r="D810" t="s">
        <v>28</v>
      </c>
      <c r="E810" t="s">
        <v>84</v>
      </c>
      <c r="F810" s="267" t="s">
        <v>397</v>
      </c>
      <c r="G810" s="267" t="s">
        <v>1144</v>
      </c>
    </row>
    <row r="811" spans="1:7">
      <c r="A811">
        <v>359</v>
      </c>
      <c r="B811">
        <v>2015</v>
      </c>
      <c r="C811" t="s">
        <v>115</v>
      </c>
      <c r="D811" t="s">
        <v>28</v>
      </c>
      <c r="E811" t="s">
        <v>84</v>
      </c>
      <c r="F811" s="267" t="s">
        <v>398</v>
      </c>
      <c r="G811" s="267" t="s">
        <v>1145</v>
      </c>
    </row>
    <row r="812" spans="1:7">
      <c r="A812">
        <v>360</v>
      </c>
      <c r="B812">
        <v>2015</v>
      </c>
      <c r="C812" t="s">
        <v>116</v>
      </c>
      <c r="D812" t="s">
        <v>28</v>
      </c>
      <c r="E812" t="s">
        <v>84</v>
      </c>
      <c r="F812" s="267" t="s">
        <v>399</v>
      </c>
      <c r="G812" s="267" t="s">
        <v>1146</v>
      </c>
    </row>
    <row r="813" spans="1:7">
      <c r="A813">
        <v>361</v>
      </c>
      <c r="B813">
        <v>2015</v>
      </c>
      <c r="C813" t="s">
        <v>117</v>
      </c>
      <c r="D813" t="s">
        <v>28</v>
      </c>
      <c r="E813" t="s">
        <v>84</v>
      </c>
      <c r="F813" s="267" t="s">
        <v>400</v>
      </c>
      <c r="G813" s="267" t="s">
        <v>1147</v>
      </c>
    </row>
    <row r="814" spans="1:7">
      <c r="A814">
        <v>3</v>
      </c>
      <c r="B814">
        <v>2015</v>
      </c>
      <c r="C814" t="s">
        <v>156</v>
      </c>
      <c r="D814" t="s">
        <v>28</v>
      </c>
      <c r="E814" t="s">
        <v>84</v>
      </c>
      <c r="F814" s="267" t="s">
        <v>401</v>
      </c>
      <c r="G814" s="267" t="s">
        <v>1148</v>
      </c>
    </row>
    <row r="815" spans="1:7">
      <c r="A815">
        <v>401</v>
      </c>
      <c r="B815">
        <v>2015</v>
      </c>
      <c r="C815" t="s">
        <v>402</v>
      </c>
      <c r="D815" t="s">
        <v>28</v>
      </c>
      <c r="E815" t="s">
        <v>84</v>
      </c>
      <c r="F815" s="267" t="s">
        <v>403</v>
      </c>
      <c r="G815" s="267" t="s">
        <v>1149</v>
      </c>
    </row>
    <row r="816" spans="1:7">
      <c r="A816">
        <v>402</v>
      </c>
      <c r="B816">
        <v>2015</v>
      </c>
      <c r="C816" t="s">
        <v>404</v>
      </c>
      <c r="D816" t="s">
        <v>28</v>
      </c>
      <c r="E816" t="s">
        <v>84</v>
      </c>
      <c r="F816" s="267" t="s">
        <v>405</v>
      </c>
      <c r="G816" s="267" t="s">
        <v>1150</v>
      </c>
    </row>
    <row r="817" spans="1:7">
      <c r="A817">
        <v>403</v>
      </c>
      <c r="B817">
        <v>2015</v>
      </c>
      <c r="C817" t="s">
        <v>406</v>
      </c>
      <c r="D817" t="s">
        <v>28</v>
      </c>
      <c r="E817" t="s">
        <v>84</v>
      </c>
      <c r="F817" s="267" t="s">
        <v>407</v>
      </c>
      <c r="G817" s="267" t="s">
        <v>1151</v>
      </c>
    </row>
    <row r="818" spans="1:7">
      <c r="A818">
        <v>404</v>
      </c>
      <c r="B818">
        <v>2015</v>
      </c>
      <c r="C818" t="s">
        <v>408</v>
      </c>
      <c r="D818" t="s">
        <v>28</v>
      </c>
      <c r="E818" t="s">
        <v>84</v>
      </c>
      <c r="F818" s="267" t="s">
        <v>409</v>
      </c>
      <c r="G818" s="267" t="s">
        <v>1152</v>
      </c>
    </row>
    <row r="819" spans="1:7">
      <c r="A819">
        <v>405</v>
      </c>
      <c r="B819">
        <v>2015</v>
      </c>
      <c r="C819" t="s">
        <v>410</v>
      </c>
      <c r="D819" t="s">
        <v>28</v>
      </c>
      <c r="E819" t="s">
        <v>84</v>
      </c>
      <c r="F819" s="267" t="s">
        <v>411</v>
      </c>
      <c r="G819" s="267" t="s">
        <v>1153</v>
      </c>
    </row>
    <row r="820" spans="1:7">
      <c r="A820">
        <v>451</v>
      </c>
      <c r="B820">
        <v>2015</v>
      </c>
      <c r="C820" t="s">
        <v>118</v>
      </c>
      <c r="D820" t="s">
        <v>28</v>
      </c>
      <c r="E820" t="s">
        <v>84</v>
      </c>
      <c r="F820" s="267" t="s">
        <v>412</v>
      </c>
      <c r="G820" s="267" t="s">
        <v>1154</v>
      </c>
    </row>
    <row r="821" spans="1:7">
      <c r="A821">
        <v>452</v>
      </c>
      <c r="B821">
        <v>2015</v>
      </c>
      <c r="C821" t="s">
        <v>119</v>
      </c>
      <c r="D821" t="s">
        <v>28</v>
      </c>
      <c r="E821" t="s">
        <v>84</v>
      </c>
      <c r="F821" s="267" t="s">
        <v>413</v>
      </c>
      <c r="G821" s="267" t="s">
        <v>1155</v>
      </c>
    </row>
    <row r="822" spans="1:7">
      <c r="A822">
        <v>453</v>
      </c>
      <c r="B822">
        <v>2015</v>
      </c>
      <c r="C822" t="s">
        <v>120</v>
      </c>
      <c r="D822" t="s">
        <v>28</v>
      </c>
      <c r="E822" t="s">
        <v>84</v>
      </c>
      <c r="F822" s="267" t="s">
        <v>414</v>
      </c>
      <c r="G822" s="267" t="s">
        <v>1156</v>
      </c>
    </row>
    <row r="823" spans="1:7">
      <c r="A823">
        <v>454</v>
      </c>
      <c r="B823">
        <v>2015</v>
      </c>
      <c r="C823" t="s">
        <v>121</v>
      </c>
      <c r="D823" t="s">
        <v>28</v>
      </c>
      <c r="E823" t="s">
        <v>84</v>
      </c>
      <c r="F823" s="267" t="s">
        <v>415</v>
      </c>
      <c r="G823" s="267" t="s">
        <v>1157</v>
      </c>
    </row>
    <row r="824" spans="1:7">
      <c r="A824">
        <v>455</v>
      </c>
      <c r="B824">
        <v>2015</v>
      </c>
      <c r="C824" t="s">
        <v>122</v>
      </c>
      <c r="D824" t="s">
        <v>28</v>
      </c>
      <c r="E824" t="s">
        <v>84</v>
      </c>
      <c r="F824" s="267" t="s">
        <v>416</v>
      </c>
      <c r="G824" s="267" t="s">
        <v>1158</v>
      </c>
    </row>
    <row r="825" spans="1:7">
      <c r="A825">
        <v>456</v>
      </c>
      <c r="B825">
        <v>2015</v>
      </c>
      <c r="C825" t="s">
        <v>123</v>
      </c>
      <c r="D825" t="s">
        <v>28</v>
      </c>
      <c r="E825" t="s">
        <v>84</v>
      </c>
      <c r="F825" s="267" t="s">
        <v>417</v>
      </c>
      <c r="G825" s="267" t="s">
        <v>1159</v>
      </c>
    </row>
    <row r="826" spans="1:7">
      <c r="A826">
        <v>457</v>
      </c>
      <c r="B826">
        <v>2015</v>
      </c>
      <c r="C826" t="s">
        <v>124</v>
      </c>
      <c r="D826" t="s">
        <v>28</v>
      </c>
      <c r="E826" t="s">
        <v>84</v>
      </c>
      <c r="F826" s="267" t="s">
        <v>418</v>
      </c>
      <c r="G826" s="267" t="s">
        <v>1160</v>
      </c>
    </row>
    <row r="827" spans="1:7">
      <c r="A827">
        <v>458</v>
      </c>
      <c r="B827">
        <v>2015</v>
      </c>
      <c r="C827" t="s">
        <v>125</v>
      </c>
      <c r="D827" t="s">
        <v>28</v>
      </c>
      <c r="E827" t="s">
        <v>84</v>
      </c>
      <c r="F827" s="267" t="s">
        <v>419</v>
      </c>
      <c r="G827" s="267" t="s">
        <v>1161</v>
      </c>
    </row>
    <row r="828" spans="1:7">
      <c r="A828">
        <v>459</v>
      </c>
      <c r="B828">
        <v>2015</v>
      </c>
      <c r="C828" t="s">
        <v>126</v>
      </c>
      <c r="D828" t="s">
        <v>28</v>
      </c>
      <c r="E828" t="s">
        <v>84</v>
      </c>
      <c r="F828" s="267" t="s">
        <v>420</v>
      </c>
      <c r="G828" s="267" t="s">
        <v>1162</v>
      </c>
    </row>
    <row r="829" spans="1:7">
      <c r="A829">
        <v>460</v>
      </c>
      <c r="B829">
        <v>2015</v>
      </c>
      <c r="C829" t="s">
        <v>127</v>
      </c>
      <c r="D829" t="s">
        <v>28</v>
      </c>
      <c r="E829" t="s">
        <v>84</v>
      </c>
      <c r="F829" s="267" t="s">
        <v>421</v>
      </c>
      <c r="G829" s="267" t="s">
        <v>1163</v>
      </c>
    </row>
    <row r="830" spans="1:7">
      <c r="A830">
        <v>461</v>
      </c>
      <c r="B830">
        <v>2015</v>
      </c>
      <c r="C830" t="s">
        <v>128</v>
      </c>
      <c r="D830" t="s">
        <v>28</v>
      </c>
      <c r="E830" t="s">
        <v>84</v>
      </c>
      <c r="F830" s="267" t="s">
        <v>422</v>
      </c>
      <c r="G830" s="267" t="s">
        <v>1164</v>
      </c>
    </row>
    <row r="831" spans="1:7">
      <c r="A831">
        <v>462</v>
      </c>
      <c r="B831">
        <v>2015</v>
      </c>
      <c r="C831" t="s">
        <v>129</v>
      </c>
      <c r="D831" t="s">
        <v>28</v>
      </c>
      <c r="E831" t="s">
        <v>84</v>
      </c>
      <c r="F831" s="267" t="s">
        <v>423</v>
      </c>
      <c r="G831" s="267" t="s">
        <v>1165</v>
      </c>
    </row>
    <row r="832" spans="1:7">
      <c r="A832">
        <v>4</v>
      </c>
      <c r="B832">
        <v>2015</v>
      </c>
      <c r="C832" t="s">
        <v>157</v>
      </c>
      <c r="D832" t="s">
        <v>28</v>
      </c>
      <c r="E832" t="s">
        <v>84</v>
      </c>
      <c r="F832" s="267" t="s">
        <v>424</v>
      </c>
      <c r="G832" s="267" t="s">
        <v>1166</v>
      </c>
    </row>
    <row r="833" spans="1:7">
      <c r="A833">
        <v>0</v>
      </c>
      <c r="B833">
        <v>2015</v>
      </c>
      <c r="C833" t="s">
        <v>130</v>
      </c>
      <c r="D833" t="s">
        <v>28</v>
      </c>
      <c r="E833" t="s">
        <v>84</v>
      </c>
      <c r="F833" s="267" t="s">
        <v>425</v>
      </c>
      <c r="G833" s="267" t="s">
        <v>1167</v>
      </c>
    </row>
    <row r="834" spans="1:7">
      <c r="A834">
        <v>101</v>
      </c>
      <c r="B834">
        <v>2015</v>
      </c>
      <c r="C834" t="s">
        <v>363</v>
      </c>
      <c r="D834" t="s">
        <v>89</v>
      </c>
      <c r="E834" t="s">
        <v>84</v>
      </c>
      <c r="F834" s="267" t="s">
        <v>364</v>
      </c>
      <c r="G834" s="267" t="s">
        <v>1168</v>
      </c>
    </row>
    <row r="835" spans="1:7">
      <c r="A835">
        <v>102</v>
      </c>
      <c r="B835">
        <v>2015</v>
      </c>
      <c r="C835" t="s">
        <v>365</v>
      </c>
      <c r="D835" t="s">
        <v>89</v>
      </c>
      <c r="E835" t="s">
        <v>84</v>
      </c>
      <c r="F835" s="267" t="s">
        <v>366</v>
      </c>
      <c r="G835" s="267" t="s">
        <v>522</v>
      </c>
    </row>
    <row r="836" spans="1:7">
      <c r="A836">
        <v>103</v>
      </c>
      <c r="B836">
        <v>2015</v>
      </c>
      <c r="C836" t="s">
        <v>367</v>
      </c>
      <c r="D836" t="s">
        <v>89</v>
      </c>
      <c r="E836" t="s">
        <v>84</v>
      </c>
      <c r="F836" s="267" t="s">
        <v>368</v>
      </c>
      <c r="G836" s="267" t="s">
        <v>1169</v>
      </c>
    </row>
    <row r="837" spans="1:7">
      <c r="A837">
        <v>151</v>
      </c>
      <c r="B837">
        <v>2015</v>
      </c>
      <c r="C837" t="s">
        <v>94</v>
      </c>
      <c r="D837" t="s">
        <v>89</v>
      </c>
      <c r="E837" t="s">
        <v>84</v>
      </c>
      <c r="F837" s="267" t="s">
        <v>369</v>
      </c>
      <c r="G837" s="267" t="s">
        <v>1170</v>
      </c>
    </row>
    <row r="838" spans="1:7">
      <c r="A838">
        <v>153</v>
      </c>
      <c r="B838">
        <v>2015</v>
      </c>
      <c r="C838" t="s">
        <v>96</v>
      </c>
      <c r="D838" t="s">
        <v>89</v>
      </c>
      <c r="E838" t="s">
        <v>84</v>
      </c>
      <c r="F838" s="267" t="s">
        <v>370</v>
      </c>
      <c r="G838" s="267" t="s">
        <v>566</v>
      </c>
    </row>
    <row r="839" spans="1:7">
      <c r="A839">
        <v>154</v>
      </c>
      <c r="B839">
        <v>2015</v>
      </c>
      <c r="C839" t="s">
        <v>97</v>
      </c>
      <c r="D839" t="s">
        <v>89</v>
      </c>
      <c r="E839" t="s">
        <v>84</v>
      </c>
      <c r="F839" s="267" t="s">
        <v>371</v>
      </c>
      <c r="G839" s="267" t="s">
        <v>1171</v>
      </c>
    </row>
    <row r="840" spans="1:7">
      <c r="A840">
        <v>155</v>
      </c>
      <c r="B840">
        <v>2015</v>
      </c>
      <c r="C840" t="s">
        <v>98</v>
      </c>
      <c r="D840" t="s">
        <v>89</v>
      </c>
      <c r="E840" t="s">
        <v>84</v>
      </c>
      <c r="F840" s="267" t="s">
        <v>372</v>
      </c>
      <c r="G840" s="267" t="s">
        <v>1172</v>
      </c>
    </row>
    <row r="841" spans="1:7">
      <c r="A841">
        <v>157</v>
      </c>
      <c r="B841">
        <v>2015</v>
      </c>
      <c r="C841" t="s">
        <v>99</v>
      </c>
      <c r="D841" t="s">
        <v>89</v>
      </c>
      <c r="E841" t="s">
        <v>84</v>
      </c>
      <c r="F841" s="267" t="s">
        <v>373</v>
      </c>
      <c r="G841" s="267" t="s">
        <v>1173</v>
      </c>
    </row>
    <row r="842" spans="1:7">
      <c r="A842">
        <v>158</v>
      </c>
      <c r="B842">
        <v>2015</v>
      </c>
      <c r="C842" t="s">
        <v>100</v>
      </c>
      <c r="D842" t="s">
        <v>89</v>
      </c>
      <c r="E842" t="s">
        <v>84</v>
      </c>
      <c r="F842" s="267" t="s">
        <v>374</v>
      </c>
      <c r="G842" s="267" t="s">
        <v>1174</v>
      </c>
    </row>
    <row r="843" spans="1:7">
      <c r="A843">
        <v>159</v>
      </c>
      <c r="B843">
        <v>2015</v>
      </c>
      <c r="C843" t="s">
        <v>95</v>
      </c>
      <c r="D843" t="s">
        <v>89</v>
      </c>
      <c r="E843" t="s">
        <v>84</v>
      </c>
      <c r="F843" s="267" t="s">
        <v>375</v>
      </c>
      <c r="G843" s="267" t="s">
        <v>1175</v>
      </c>
    </row>
    <row r="844" spans="1:7">
      <c r="A844">
        <v>1</v>
      </c>
      <c r="B844">
        <v>2015</v>
      </c>
      <c r="C844" t="s">
        <v>154</v>
      </c>
      <c r="D844" t="s">
        <v>89</v>
      </c>
      <c r="E844" t="s">
        <v>84</v>
      </c>
      <c r="F844" s="267" t="s">
        <v>376</v>
      </c>
      <c r="G844" s="267" t="s">
        <v>1176</v>
      </c>
    </row>
    <row r="845" spans="1:7">
      <c r="A845">
        <v>241</v>
      </c>
      <c r="B845">
        <v>2015</v>
      </c>
      <c r="C845" t="s">
        <v>377</v>
      </c>
      <c r="D845" t="s">
        <v>89</v>
      </c>
      <c r="E845" t="s">
        <v>84</v>
      </c>
      <c r="F845" s="267" t="s">
        <v>378</v>
      </c>
      <c r="G845" s="267" t="s">
        <v>1177</v>
      </c>
    </row>
    <row r="846" spans="1:7">
      <c r="A846">
        <v>241001</v>
      </c>
      <c r="B846">
        <v>2015</v>
      </c>
      <c r="C846" t="s">
        <v>379</v>
      </c>
      <c r="D846" t="s">
        <v>89</v>
      </c>
      <c r="E846" t="s">
        <v>84</v>
      </c>
      <c r="F846" s="267" t="s">
        <v>380</v>
      </c>
      <c r="G846" s="267" t="s">
        <v>1178</v>
      </c>
    </row>
    <row r="847" spans="1:7">
      <c r="A847">
        <v>241999</v>
      </c>
      <c r="B847">
        <v>2015</v>
      </c>
      <c r="C847" t="s">
        <v>381</v>
      </c>
      <c r="D847" t="s">
        <v>89</v>
      </c>
      <c r="E847" t="s">
        <v>84</v>
      </c>
      <c r="F847" s="267" t="s">
        <v>382</v>
      </c>
      <c r="G847" s="267" t="s">
        <v>1179</v>
      </c>
    </row>
    <row r="848" spans="1:7">
      <c r="A848">
        <v>251</v>
      </c>
      <c r="B848">
        <v>2015</v>
      </c>
      <c r="C848" t="s">
        <v>101</v>
      </c>
      <c r="D848" t="s">
        <v>89</v>
      </c>
      <c r="E848" t="s">
        <v>84</v>
      </c>
      <c r="F848" s="267" t="s">
        <v>383</v>
      </c>
      <c r="G848" s="267" t="s">
        <v>1180</v>
      </c>
    </row>
    <row r="849" spans="1:7">
      <c r="A849">
        <v>252</v>
      </c>
      <c r="B849">
        <v>2015</v>
      </c>
      <c r="C849" t="s">
        <v>102</v>
      </c>
      <c r="D849" t="s">
        <v>89</v>
      </c>
      <c r="E849" t="s">
        <v>84</v>
      </c>
      <c r="F849" s="267" t="s">
        <v>384</v>
      </c>
      <c r="G849" s="267" t="s">
        <v>1181</v>
      </c>
    </row>
    <row r="850" spans="1:7">
      <c r="A850">
        <v>254</v>
      </c>
      <c r="B850">
        <v>2015</v>
      </c>
      <c r="C850" t="s">
        <v>103</v>
      </c>
      <c r="D850" t="s">
        <v>89</v>
      </c>
      <c r="E850" t="s">
        <v>84</v>
      </c>
      <c r="F850" s="267" t="s">
        <v>385</v>
      </c>
      <c r="G850" s="267" t="s">
        <v>1182</v>
      </c>
    </row>
    <row r="851" spans="1:7">
      <c r="A851">
        <v>255</v>
      </c>
      <c r="B851">
        <v>2015</v>
      </c>
      <c r="C851" t="s">
        <v>104</v>
      </c>
      <c r="D851" t="s">
        <v>89</v>
      </c>
      <c r="E851" t="s">
        <v>84</v>
      </c>
      <c r="F851" s="267" t="s">
        <v>386</v>
      </c>
      <c r="G851" s="267" t="s">
        <v>1183</v>
      </c>
    </row>
    <row r="852" spans="1:7">
      <c r="A852">
        <v>256</v>
      </c>
      <c r="B852">
        <v>2015</v>
      </c>
      <c r="C852" t="s">
        <v>105</v>
      </c>
      <c r="D852" t="s">
        <v>89</v>
      </c>
      <c r="E852" t="s">
        <v>84</v>
      </c>
      <c r="F852" s="267" t="s">
        <v>387</v>
      </c>
      <c r="G852" s="267" t="s">
        <v>1184</v>
      </c>
    </row>
    <row r="853" spans="1:7">
      <c r="A853">
        <v>257</v>
      </c>
      <c r="B853">
        <v>2015</v>
      </c>
      <c r="C853" t="s">
        <v>106</v>
      </c>
      <c r="D853" t="s">
        <v>89</v>
      </c>
      <c r="E853" t="s">
        <v>84</v>
      </c>
      <c r="F853" s="267" t="s">
        <v>388</v>
      </c>
      <c r="G853" s="267" t="s">
        <v>556</v>
      </c>
    </row>
    <row r="854" spans="1:7">
      <c r="A854">
        <v>2</v>
      </c>
      <c r="B854">
        <v>2015</v>
      </c>
      <c r="C854" t="s">
        <v>155</v>
      </c>
      <c r="D854" t="s">
        <v>89</v>
      </c>
      <c r="E854" t="s">
        <v>84</v>
      </c>
      <c r="F854" s="267" t="s">
        <v>389</v>
      </c>
      <c r="G854" s="267" t="s">
        <v>1185</v>
      </c>
    </row>
    <row r="855" spans="1:7">
      <c r="A855">
        <v>351</v>
      </c>
      <c r="B855">
        <v>2015</v>
      </c>
      <c r="C855" t="s">
        <v>107</v>
      </c>
      <c r="D855" t="s">
        <v>89</v>
      </c>
      <c r="E855" t="s">
        <v>84</v>
      </c>
      <c r="F855" s="267" t="s">
        <v>390</v>
      </c>
      <c r="G855" s="267" t="s">
        <v>1186</v>
      </c>
    </row>
    <row r="856" spans="1:7">
      <c r="A856">
        <v>352</v>
      </c>
      <c r="B856">
        <v>2015</v>
      </c>
      <c r="C856" t="s">
        <v>108</v>
      </c>
      <c r="D856" t="s">
        <v>89</v>
      </c>
      <c r="E856" t="s">
        <v>84</v>
      </c>
      <c r="F856" s="267" t="s">
        <v>391</v>
      </c>
      <c r="G856" s="267" t="s">
        <v>1187</v>
      </c>
    </row>
    <row r="857" spans="1:7">
      <c r="A857">
        <v>353</v>
      </c>
      <c r="B857">
        <v>2015</v>
      </c>
      <c r="C857" t="s">
        <v>109</v>
      </c>
      <c r="D857" t="s">
        <v>89</v>
      </c>
      <c r="E857" t="s">
        <v>84</v>
      </c>
      <c r="F857" s="267" t="s">
        <v>392</v>
      </c>
      <c r="G857" s="267" t="s">
        <v>1188</v>
      </c>
    </row>
    <row r="858" spans="1:7">
      <c r="A858">
        <v>354</v>
      </c>
      <c r="B858">
        <v>2015</v>
      </c>
      <c r="C858" t="s">
        <v>110</v>
      </c>
      <c r="D858" t="s">
        <v>89</v>
      </c>
      <c r="E858" t="s">
        <v>84</v>
      </c>
      <c r="F858" s="267" t="s">
        <v>393</v>
      </c>
      <c r="G858" s="267" t="s">
        <v>1189</v>
      </c>
    </row>
    <row r="859" spans="1:7">
      <c r="A859">
        <v>355</v>
      </c>
      <c r="B859">
        <v>2015</v>
      </c>
      <c r="C859" t="s">
        <v>111</v>
      </c>
      <c r="D859" t="s">
        <v>89</v>
      </c>
      <c r="E859" t="s">
        <v>84</v>
      </c>
      <c r="F859" s="267" t="s">
        <v>394</v>
      </c>
      <c r="G859" s="267" t="s">
        <v>1190</v>
      </c>
    </row>
    <row r="860" spans="1:7">
      <c r="A860">
        <v>356</v>
      </c>
      <c r="B860">
        <v>2015</v>
      </c>
      <c r="C860" t="s">
        <v>112</v>
      </c>
      <c r="D860" t="s">
        <v>89</v>
      </c>
      <c r="E860" t="s">
        <v>84</v>
      </c>
      <c r="F860" s="267" t="s">
        <v>395</v>
      </c>
      <c r="G860" s="267" t="s">
        <v>1191</v>
      </c>
    </row>
    <row r="861" spans="1:7">
      <c r="A861">
        <v>357</v>
      </c>
      <c r="B861">
        <v>2015</v>
      </c>
      <c r="C861" t="s">
        <v>113</v>
      </c>
      <c r="D861" t="s">
        <v>89</v>
      </c>
      <c r="E861" t="s">
        <v>84</v>
      </c>
      <c r="F861" s="267" t="s">
        <v>396</v>
      </c>
      <c r="G861" s="267" t="s">
        <v>1192</v>
      </c>
    </row>
    <row r="862" spans="1:7">
      <c r="A862">
        <v>358</v>
      </c>
      <c r="B862">
        <v>2015</v>
      </c>
      <c r="C862" t="s">
        <v>114</v>
      </c>
      <c r="D862" t="s">
        <v>89</v>
      </c>
      <c r="E862" t="s">
        <v>84</v>
      </c>
      <c r="F862" s="267" t="s">
        <v>397</v>
      </c>
      <c r="G862" s="267" t="s">
        <v>1193</v>
      </c>
    </row>
    <row r="863" spans="1:7">
      <c r="A863">
        <v>359</v>
      </c>
      <c r="B863">
        <v>2015</v>
      </c>
      <c r="C863" t="s">
        <v>115</v>
      </c>
      <c r="D863" t="s">
        <v>89</v>
      </c>
      <c r="E863" t="s">
        <v>84</v>
      </c>
      <c r="F863" s="267" t="s">
        <v>398</v>
      </c>
      <c r="G863" s="267" t="s">
        <v>1194</v>
      </c>
    </row>
    <row r="864" spans="1:7">
      <c r="A864">
        <v>360</v>
      </c>
      <c r="B864">
        <v>2015</v>
      </c>
      <c r="C864" t="s">
        <v>116</v>
      </c>
      <c r="D864" t="s">
        <v>89</v>
      </c>
      <c r="E864" t="s">
        <v>84</v>
      </c>
      <c r="F864" s="267" t="s">
        <v>399</v>
      </c>
      <c r="G864" s="267" t="s">
        <v>1195</v>
      </c>
    </row>
    <row r="865" spans="1:7">
      <c r="A865">
        <v>361</v>
      </c>
      <c r="B865">
        <v>2015</v>
      </c>
      <c r="C865" t="s">
        <v>117</v>
      </c>
      <c r="D865" t="s">
        <v>89</v>
      </c>
      <c r="E865" t="s">
        <v>84</v>
      </c>
      <c r="F865" s="267" t="s">
        <v>400</v>
      </c>
      <c r="G865" s="267" t="s">
        <v>1196</v>
      </c>
    </row>
    <row r="866" spans="1:7">
      <c r="A866">
        <v>3</v>
      </c>
      <c r="B866">
        <v>2015</v>
      </c>
      <c r="C866" t="s">
        <v>156</v>
      </c>
      <c r="D866" t="s">
        <v>89</v>
      </c>
      <c r="E866" t="s">
        <v>84</v>
      </c>
      <c r="F866" s="267" t="s">
        <v>401</v>
      </c>
      <c r="G866" s="267" t="s">
        <v>1197</v>
      </c>
    </row>
    <row r="867" spans="1:7">
      <c r="A867">
        <v>401</v>
      </c>
      <c r="B867">
        <v>2015</v>
      </c>
      <c r="C867" t="s">
        <v>402</v>
      </c>
      <c r="D867" t="s">
        <v>89</v>
      </c>
      <c r="E867" t="s">
        <v>84</v>
      </c>
      <c r="F867" s="267" t="s">
        <v>403</v>
      </c>
      <c r="G867" s="267" t="s">
        <v>1198</v>
      </c>
    </row>
    <row r="868" spans="1:7">
      <c r="A868">
        <v>402</v>
      </c>
      <c r="B868">
        <v>2015</v>
      </c>
      <c r="C868" t="s">
        <v>404</v>
      </c>
      <c r="D868" t="s">
        <v>89</v>
      </c>
      <c r="E868" t="s">
        <v>84</v>
      </c>
      <c r="F868" s="267" t="s">
        <v>405</v>
      </c>
      <c r="G868" s="267" t="s">
        <v>1199</v>
      </c>
    </row>
    <row r="869" spans="1:7">
      <c r="A869">
        <v>403</v>
      </c>
      <c r="B869">
        <v>2015</v>
      </c>
      <c r="C869" t="s">
        <v>406</v>
      </c>
      <c r="D869" t="s">
        <v>89</v>
      </c>
      <c r="E869" t="s">
        <v>84</v>
      </c>
      <c r="F869" s="267" t="s">
        <v>407</v>
      </c>
      <c r="G869" s="267" t="s">
        <v>1200</v>
      </c>
    </row>
    <row r="870" spans="1:7">
      <c r="A870">
        <v>404</v>
      </c>
      <c r="B870">
        <v>2015</v>
      </c>
      <c r="C870" t="s">
        <v>408</v>
      </c>
      <c r="D870" t="s">
        <v>89</v>
      </c>
      <c r="E870" t="s">
        <v>84</v>
      </c>
      <c r="F870" s="267" t="s">
        <v>409</v>
      </c>
      <c r="G870" s="267" t="s">
        <v>1201</v>
      </c>
    </row>
    <row r="871" spans="1:7">
      <c r="A871">
        <v>405</v>
      </c>
      <c r="B871">
        <v>2015</v>
      </c>
      <c r="C871" t="s">
        <v>410</v>
      </c>
      <c r="D871" t="s">
        <v>89</v>
      </c>
      <c r="E871" t="s">
        <v>84</v>
      </c>
      <c r="F871" s="267" t="s">
        <v>411</v>
      </c>
      <c r="G871" s="267" t="s">
        <v>1041</v>
      </c>
    </row>
    <row r="872" spans="1:7">
      <c r="A872">
        <v>451</v>
      </c>
      <c r="B872">
        <v>2015</v>
      </c>
      <c r="C872" t="s">
        <v>118</v>
      </c>
      <c r="D872" t="s">
        <v>89</v>
      </c>
      <c r="E872" t="s">
        <v>84</v>
      </c>
      <c r="F872" s="267" t="s">
        <v>412</v>
      </c>
      <c r="G872" s="267" t="s">
        <v>1202</v>
      </c>
    </row>
    <row r="873" spans="1:7">
      <c r="A873">
        <v>452</v>
      </c>
      <c r="B873">
        <v>2015</v>
      </c>
      <c r="C873" t="s">
        <v>119</v>
      </c>
      <c r="D873" t="s">
        <v>89</v>
      </c>
      <c r="E873" t="s">
        <v>84</v>
      </c>
      <c r="F873" s="267" t="s">
        <v>413</v>
      </c>
      <c r="G873" s="267" t="s">
        <v>1203</v>
      </c>
    </row>
    <row r="874" spans="1:7">
      <c r="A874">
        <v>453</v>
      </c>
      <c r="B874">
        <v>2015</v>
      </c>
      <c r="C874" t="s">
        <v>120</v>
      </c>
      <c r="D874" t="s">
        <v>89</v>
      </c>
      <c r="E874" t="s">
        <v>84</v>
      </c>
      <c r="F874" s="267" t="s">
        <v>414</v>
      </c>
      <c r="G874" s="267" t="s">
        <v>1204</v>
      </c>
    </row>
    <row r="875" spans="1:7">
      <c r="A875">
        <v>454</v>
      </c>
      <c r="B875">
        <v>2015</v>
      </c>
      <c r="C875" t="s">
        <v>121</v>
      </c>
      <c r="D875" t="s">
        <v>89</v>
      </c>
      <c r="E875" t="s">
        <v>84</v>
      </c>
      <c r="F875" s="267" t="s">
        <v>415</v>
      </c>
      <c r="G875" s="267" t="s">
        <v>1205</v>
      </c>
    </row>
    <row r="876" spans="1:7">
      <c r="A876">
        <v>455</v>
      </c>
      <c r="B876">
        <v>2015</v>
      </c>
      <c r="C876" t="s">
        <v>122</v>
      </c>
      <c r="D876" t="s">
        <v>89</v>
      </c>
      <c r="E876" t="s">
        <v>84</v>
      </c>
      <c r="F876" s="267" t="s">
        <v>416</v>
      </c>
      <c r="G876" s="267" t="s">
        <v>1206</v>
      </c>
    </row>
    <row r="877" spans="1:7">
      <c r="A877">
        <v>456</v>
      </c>
      <c r="B877">
        <v>2015</v>
      </c>
      <c r="C877" t="s">
        <v>123</v>
      </c>
      <c r="D877" t="s">
        <v>89</v>
      </c>
      <c r="E877" t="s">
        <v>84</v>
      </c>
      <c r="F877" s="267" t="s">
        <v>417</v>
      </c>
      <c r="G877" s="267" t="s">
        <v>1207</v>
      </c>
    </row>
    <row r="878" spans="1:7">
      <c r="A878">
        <v>457</v>
      </c>
      <c r="B878">
        <v>2015</v>
      </c>
      <c r="C878" t="s">
        <v>124</v>
      </c>
      <c r="D878" t="s">
        <v>89</v>
      </c>
      <c r="E878" t="s">
        <v>84</v>
      </c>
      <c r="F878" s="267" t="s">
        <v>418</v>
      </c>
      <c r="G878" s="267" t="s">
        <v>1208</v>
      </c>
    </row>
    <row r="879" spans="1:7">
      <c r="A879">
        <v>458</v>
      </c>
      <c r="B879">
        <v>2015</v>
      </c>
      <c r="C879" t="s">
        <v>125</v>
      </c>
      <c r="D879" t="s">
        <v>89</v>
      </c>
      <c r="E879" t="s">
        <v>84</v>
      </c>
      <c r="F879" s="267" t="s">
        <v>419</v>
      </c>
      <c r="G879" s="267" t="s">
        <v>1209</v>
      </c>
    </row>
    <row r="880" spans="1:7">
      <c r="A880">
        <v>459</v>
      </c>
      <c r="B880">
        <v>2015</v>
      </c>
      <c r="C880" t="s">
        <v>126</v>
      </c>
      <c r="D880" t="s">
        <v>89</v>
      </c>
      <c r="E880" t="s">
        <v>84</v>
      </c>
      <c r="F880" s="267" t="s">
        <v>420</v>
      </c>
      <c r="G880" s="267" t="s">
        <v>1210</v>
      </c>
    </row>
    <row r="881" spans="1:7">
      <c r="A881">
        <v>460</v>
      </c>
      <c r="B881">
        <v>2015</v>
      </c>
      <c r="C881" t="s">
        <v>127</v>
      </c>
      <c r="D881" t="s">
        <v>89</v>
      </c>
      <c r="E881" t="s">
        <v>84</v>
      </c>
      <c r="F881" s="267" t="s">
        <v>421</v>
      </c>
      <c r="G881" s="267" t="s">
        <v>1211</v>
      </c>
    </row>
    <row r="882" spans="1:7">
      <c r="A882">
        <v>461</v>
      </c>
      <c r="B882">
        <v>2015</v>
      </c>
      <c r="C882" t="s">
        <v>128</v>
      </c>
      <c r="D882" t="s">
        <v>89</v>
      </c>
      <c r="E882" t="s">
        <v>84</v>
      </c>
      <c r="F882" s="267" t="s">
        <v>422</v>
      </c>
      <c r="G882" s="267" t="s">
        <v>1212</v>
      </c>
    </row>
    <row r="883" spans="1:7">
      <c r="A883">
        <v>462</v>
      </c>
      <c r="B883">
        <v>2015</v>
      </c>
      <c r="C883" t="s">
        <v>129</v>
      </c>
      <c r="D883" t="s">
        <v>89</v>
      </c>
      <c r="E883" t="s">
        <v>84</v>
      </c>
      <c r="F883" s="267" t="s">
        <v>423</v>
      </c>
      <c r="G883" s="267" t="s">
        <v>946</v>
      </c>
    </row>
    <row r="884" spans="1:7">
      <c r="A884">
        <v>4</v>
      </c>
      <c r="B884">
        <v>2015</v>
      </c>
      <c r="C884" t="s">
        <v>157</v>
      </c>
      <c r="D884" t="s">
        <v>89</v>
      </c>
      <c r="E884" t="s">
        <v>84</v>
      </c>
      <c r="F884" s="267" t="s">
        <v>424</v>
      </c>
      <c r="G884" s="267" t="s">
        <v>1213</v>
      </c>
    </row>
    <row r="885" spans="1:7">
      <c r="A885">
        <v>0</v>
      </c>
      <c r="B885">
        <v>2015</v>
      </c>
      <c r="C885" t="s">
        <v>130</v>
      </c>
      <c r="D885" t="s">
        <v>89</v>
      </c>
      <c r="E885" t="s">
        <v>84</v>
      </c>
      <c r="F885" s="267" t="s">
        <v>425</v>
      </c>
      <c r="G885" s="267" t="s">
        <v>1214</v>
      </c>
    </row>
    <row r="886" spans="1:7">
      <c r="A886">
        <v>101</v>
      </c>
      <c r="B886">
        <v>2015</v>
      </c>
      <c r="C886" t="s">
        <v>363</v>
      </c>
      <c r="D886" t="s">
        <v>90</v>
      </c>
      <c r="E886" t="s">
        <v>84</v>
      </c>
      <c r="F886" s="267" t="s">
        <v>364</v>
      </c>
      <c r="G886" s="267" t="s">
        <v>1215</v>
      </c>
    </row>
    <row r="887" spans="1:7">
      <c r="A887">
        <v>102</v>
      </c>
      <c r="B887">
        <v>2015</v>
      </c>
      <c r="C887" t="s">
        <v>365</v>
      </c>
      <c r="D887" t="s">
        <v>90</v>
      </c>
      <c r="E887" t="s">
        <v>84</v>
      </c>
      <c r="F887" s="267" t="s">
        <v>366</v>
      </c>
      <c r="G887" s="267" t="s">
        <v>1216</v>
      </c>
    </row>
    <row r="888" spans="1:7">
      <c r="A888">
        <v>103</v>
      </c>
      <c r="B888">
        <v>2015</v>
      </c>
      <c r="C888" t="s">
        <v>367</v>
      </c>
      <c r="D888" t="s">
        <v>90</v>
      </c>
      <c r="E888" t="s">
        <v>84</v>
      </c>
      <c r="F888" s="267" t="s">
        <v>368</v>
      </c>
      <c r="G888" s="267" t="s">
        <v>778</v>
      </c>
    </row>
    <row r="889" spans="1:7">
      <c r="A889">
        <v>151</v>
      </c>
      <c r="B889">
        <v>2015</v>
      </c>
      <c r="C889" t="s">
        <v>94</v>
      </c>
      <c r="D889" t="s">
        <v>90</v>
      </c>
      <c r="E889" t="s">
        <v>84</v>
      </c>
      <c r="F889" s="267" t="s">
        <v>369</v>
      </c>
      <c r="G889" s="267" t="s">
        <v>892</v>
      </c>
    </row>
    <row r="890" spans="1:7">
      <c r="A890">
        <v>153</v>
      </c>
      <c r="B890">
        <v>2015</v>
      </c>
      <c r="C890" t="s">
        <v>96</v>
      </c>
      <c r="D890" t="s">
        <v>90</v>
      </c>
      <c r="E890" t="s">
        <v>84</v>
      </c>
      <c r="F890" s="267" t="s">
        <v>370</v>
      </c>
      <c r="G890" s="267" t="s">
        <v>1217</v>
      </c>
    </row>
    <row r="891" spans="1:7">
      <c r="A891">
        <v>154</v>
      </c>
      <c r="B891">
        <v>2015</v>
      </c>
      <c r="C891" t="s">
        <v>97</v>
      </c>
      <c r="D891" t="s">
        <v>90</v>
      </c>
      <c r="E891" t="s">
        <v>84</v>
      </c>
      <c r="F891" s="267" t="s">
        <v>371</v>
      </c>
      <c r="G891" s="267" t="s">
        <v>1218</v>
      </c>
    </row>
    <row r="892" spans="1:7">
      <c r="A892">
        <v>155</v>
      </c>
      <c r="B892">
        <v>2015</v>
      </c>
      <c r="C892" t="s">
        <v>98</v>
      </c>
      <c r="D892" t="s">
        <v>90</v>
      </c>
      <c r="E892" t="s">
        <v>84</v>
      </c>
      <c r="F892" s="267" t="s">
        <v>372</v>
      </c>
      <c r="G892" s="267" t="s">
        <v>1219</v>
      </c>
    </row>
    <row r="893" spans="1:7">
      <c r="A893">
        <v>157</v>
      </c>
      <c r="B893">
        <v>2015</v>
      </c>
      <c r="C893" t="s">
        <v>99</v>
      </c>
      <c r="D893" t="s">
        <v>90</v>
      </c>
      <c r="E893" t="s">
        <v>84</v>
      </c>
      <c r="F893" s="267" t="s">
        <v>373</v>
      </c>
      <c r="G893" s="267" t="s">
        <v>1220</v>
      </c>
    </row>
    <row r="894" spans="1:7">
      <c r="A894">
        <v>158</v>
      </c>
      <c r="B894">
        <v>2015</v>
      </c>
      <c r="C894" t="s">
        <v>100</v>
      </c>
      <c r="D894" t="s">
        <v>90</v>
      </c>
      <c r="E894" t="s">
        <v>84</v>
      </c>
      <c r="F894" s="267" t="s">
        <v>374</v>
      </c>
      <c r="G894" s="267" t="s">
        <v>1221</v>
      </c>
    </row>
    <row r="895" spans="1:7">
      <c r="A895">
        <v>159</v>
      </c>
      <c r="B895">
        <v>2015</v>
      </c>
      <c r="C895" t="s">
        <v>95</v>
      </c>
      <c r="D895" t="s">
        <v>90</v>
      </c>
      <c r="E895" t="s">
        <v>84</v>
      </c>
      <c r="F895" s="267" t="s">
        <v>375</v>
      </c>
      <c r="G895" s="267" t="s">
        <v>1222</v>
      </c>
    </row>
    <row r="896" spans="1:7">
      <c r="A896">
        <v>1</v>
      </c>
      <c r="B896">
        <v>2015</v>
      </c>
      <c r="C896" t="s">
        <v>154</v>
      </c>
      <c r="D896" t="s">
        <v>90</v>
      </c>
      <c r="E896" t="s">
        <v>84</v>
      </c>
      <c r="F896" s="267" t="s">
        <v>376</v>
      </c>
      <c r="G896" s="267" t="s">
        <v>1223</v>
      </c>
    </row>
    <row r="897" spans="1:7">
      <c r="A897">
        <v>241</v>
      </c>
      <c r="B897">
        <v>2015</v>
      </c>
      <c r="C897" t="s">
        <v>377</v>
      </c>
      <c r="D897" t="s">
        <v>90</v>
      </c>
      <c r="E897" t="s">
        <v>84</v>
      </c>
      <c r="F897" s="267" t="s">
        <v>378</v>
      </c>
      <c r="G897" s="267" t="s">
        <v>1224</v>
      </c>
    </row>
    <row r="898" spans="1:7">
      <c r="A898">
        <v>241001</v>
      </c>
      <c r="B898">
        <v>2015</v>
      </c>
      <c r="C898" t="s">
        <v>379</v>
      </c>
      <c r="D898" t="s">
        <v>90</v>
      </c>
      <c r="E898" t="s">
        <v>84</v>
      </c>
      <c r="F898" s="267" t="s">
        <v>380</v>
      </c>
      <c r="G898" s="267" t="s">
        <v>1225</v>
      </c>
    </row>
    <row r="899" spans="1:7">
      <c r="A899">
        <v>241999</v>
      </c>
      <c r="B899">
        <v>2015</v>
      </c>
      <c r="C899" t="s">
        <v>381</v>
      </c>
      <c r="D899" t="s">
        <v>90</v>
      </c>
      <c r="E899" t="s">
        <v>84</v>
      </c>
      <c r="F899" s="267" t="s">
        <v>382</v>
      </c>
      <c r="G899" s="267" t="s">
        <v>1226</v>
      </c>
    </row>
    <row r="900" spans="1:7">
      <c r="A900">
        <v>251</v>
      </c>
      <c r="B900">
        <v>2015</v>
      </c>
      <c r="C900" t="s">
        <v>101</v>
      </c>
      <c r="D900" t="s">
        <v>90</v>
      </c>
      <c r="E900" t="s">
        <v>84</v>
      </c>
      <c r="F900" s="267" t="s">
        <v>383</v>
      </c>
      <c r="G900" s="267" t="s">
        <v>957</v>
      </c>
    </row>
    <row r="901" spans="1:7">
      <c r="A901">
        <v>252</v>
      </c>
      <c r="B901">
        <v>2015</v>
      </c>
      <c r="C901" t="s">
        <v>102</v>
      </c>
      <c r="D901" t="s">
        <v>90</v>
      </c>
      <c r="E901" t="s">
        <v>84</v>
      </c>
      <c r="F901" s="267" t="s">
        <v>384</v>
      </c>
      <c r="G901" s="267" t="s">
        <v>1227</v>
      </c>
    </row>
    <row r="902" spans="1:7">
      <c r="A902">
        <v>254</v>
      </c>
      <c r="B902">
        <v>2015</v>
      </c>
      <c r="C902" t="s">
        <v>103</v>
      </c>
      <c r="D902" t="s">
        <v>90</v>
      </c>
      <c r="E902" t="s">
        <v>84</v>
      </c>
      <c r="F902" s="267" t="s">
        <v>385</v>
      </c>
      <c r="G902" s="267" t="s">
        <v>1228</v>
      </c>
    </row>
    <row r="903" spans="1:7">
      <c r="A903">
        <v>255</v>
      </c>
      <c r="B903">
        <v>2015</v>
      </c>
      <c r="C903" t="s">
        <v>104</v>
      </c>
      <c r="D903" t="s">
        <v>90</v>
      </c>
      <c r="E903" t="s">
        <v>84</v>
      </c>
      <c r="F903" s="267" t="s">
        <v>386</v>
      </c>
      <c r="G903" s="267" t="s">
        <v>953</v>
      </c>
    </row>
    <row r="904" spans="1:7">
      <c r="A904">
        <v>256</v>
      </c>
      <c r="B904">
        <v>2015</v>
      </c>
      <c r="C904" t="s">
        <v>105</v>
      </c>
      <c r="D904" t="s">
        <v>90</v>
      </c>
      <c r="E904" t="s">
        <v>84</v>
      </c>
      <c r="F904" s="267" t="s">
        <v>387</v>
      </c>
      <c r="G904" s="267" t="s">
        <v>1229</v>
      </c>
    </row>
    <row r="905" spans="1:7">
      <c r="A905">
        <v>257</v>
      </c>
      <c r="B905">
        <v>2015</v>
      </c>
      <c r="C905" t="s">
        <v>106</v>
      </c>
      <c r="D905" t="s">
        <v>90</v>
      </c>
      <c r="E905" t="s">
        <v>84</v>
      </c>
      <c r="F905" s="267" t="s">
        <v>388</v>
      </c>
      <c r="G905" s="267" t="s">
        <v>1230</v>
      </c>
    </row>
    <row r="906" spans="1:7">
      <c r="A906">
        <v>2</v>
      </c>
      <c r="B906">
        <v>2015</v>
      </c>
      <c r="C906" t="s">
        <v>155</v>
      </c>
      <c r="D906" t="s">
        <v>90</v>
      </c>
      <c r="E906" t="s">
        <v>84</v>
      </c>
      <c r="F906" s="267" t="s">
        <v>389</v>
      </c>
      <c r="G906" s="267" t="s">
        <v>1231</v>
      </c>
    </row>
    <row r="907" spans="1:7">
      <c r="A907">
        <v>351</v>
      </c>
      <c r="B907">
        <v>2015</v>
      </c>
      <c r="C907" t="s">
        <v>107</v>
      </c>
      <c r="D907" t="s">
        <v>90</v>
      </c>
      <c r="E907" t="s">
        <v>84</v>
      </c>
      <c r="F907" s="267" t="s">
        <v>390</v>
      </c>
      <c r="G907" s="267" t="s">
        <v>1146</v>
      </c>
    </row>
    <row r="908" spans="1:7">
      <c r="A908">
        <v>352</v>
      </c>
      <c r="B908">
        <v>2015</v>
      </c>
      <c r="C908" t="s">
        <v>108</v>
      </c>
      <c r="D908" t="s">
        <v>90</v>
      </c>
      <c r="E908" t="s">
        <v>84</v>
      </c>
      <c r="F908" s="267" t="s">
        <v>391</v>
      </c>
      <c r="G908" s="267" t="s">
        <v>1232</v>
      </c>
    </row>
    <row r="909" spans="1:7">
      <c r="A909">
        <v>353</v>
      </c>
      <c r="B909">
        <v>2015</v>
      </c>
      <c r="C909" t="s">
        <v>109</v>
      </c>
      <c r="D909" t="s">
        <v>90</v>
      </c>
      <c r="E909" t="s">
        <v>84</v>
      </c>
      <c r="F909" s="267" t="s">
        <v>392</v>
      </c>
      <c r="G909" s="267" t="s">
        <v>1233</v>
      </c>
    </row>
    <row r="910" spans="1:7">
      <c r="A910">
        <v>354</v>
      </c>
      <c r="B910">
        <v>2015</v>
      </c>
      <c r="C910" t="s">
        <v>110</v>
      </c>
      <c r="D910" t="s">
        <v>90</v>
      </c>
      <c r="E910" t="s">
        <v>84</v>
      </c>
      <c r="F910" s="267" t="s">
        <v>393</v>
      </c>
      <c r="G910" s="267" t="s">
        <v>1234</v>
      </c>
    </row>
    <row r="911" spans="1:7">
      <c r="A911">
        <v>355</v>
      </c>
      <c r="B911">
        <v>2015</v>
      </c>
      <c r="C911" t="s">
        <v>111</v>
      </c>
      <c r="D911" t="s">
        <v>90</v>
      </c>
      <c r="E911" t="s">
        <v>84</v>
      </c>
      <c r="F911" s="267" t="s">
        <v>394</v>
      </c>
      <c r="G911" s="267" t="s">
        <v>1235</v>
      </c>
    </row>
    <row r="912" spans="1:7">
      <c r="A912">
        <v>356</v>
      </c>
      <c r="B912">
        <v>2015</v>
      </c>
      <c r="C912" t="s">
        <v>112</v>
      </c>
      <c r="D912" t="s">
        <v>90</v>
      </c>
      <c r="E912" t="s">
        <v>84</v>
      </c>
      <c r="F912" s="267" t="s">
        <v>395</v>
      </c>
      <c r="G912" s="267" t="s">
        <v>1236</v>
      </c>
    </row>
    <row r="913" spans="1:7">
      <c r="A913">
        <v>357</v>
      </c>
      <c r="B913">
        <v>2015</v>
      </c>
      <c r="C913" t="s">
        <v>113</v>
      </c>
      <c r="D913" t="s">
        <v>90</v>
      </c>
      <c r="E913" t="s">
        <v>84</v>
      </c>
      <c r="F913" s="267" t="s">
        <v>396</v>
      </c>
      <c r="G913" s="267" t="s">
        <v>1237</v>
      </c>
    </row>
    <row r="914" spans="1:7">
      <c r="A914">
        <v>358</v>
      </c>
      <c r="B914">
        <v>2015</v>
      </c>
      <c r="C914" t="s">
        <v>114</v>
      </c>
      <c r="D914" t="s">
        <v>90</v>
      </c>
      <c r="E914" t="s">
        <v>84</v>
      </c>
      <c r="F914" s="267" t="s">
        <v>397</v>
      </c>
      <c r="G914" s="267" t="s">
        <v>1238</v>
      </c>
    </row>
    <row r="915" spans="1:7">
      <c r="A915">
        <v>359</v>
      </c>
      <c r="B915">
        <v>2015</v>
      </c>
      <c r="C915" t="s">
        <v>115</v>
      </c>
      <c r="D915" t="s">
        <v>90</v>
      </c>
      <c r="E915" t="s">
        <v>84</v>
      </c>
      <c r="F915" s="267" t="s">
        <v>398</v>
      </c>
      <c r="G915" s="267" t="s">
        <v>1146</v>
      </c>
    </row>
    <row r="916" spans="1:7">
      <c r="A916">
        <v>360</v>
      </c>
      <c r="B916">
        <v>2015</v>
      </c>
      <c r="C916" t="s">
        <v>116</v>
      </c>
      <c r="D916" t="s">
        <v>90</v>
      </c>
      <c r="E916" t="s">
        <v>84</v>
      </c>
      <c r="F916" s="267" t="s">
        <v>399</v>
      </c>
      <c r="G916" s="267" t="s">
        <v>1239</v>
      </c>
    </row>
    <row r="917" spans="1:7">
      <c r="A917">
        <v>361</v>
      </c>
      <c r="B917">
        <v>2015</v>
      </c>
      <c r="C917" t="s">
        <v>117</v>
      </c>
      <c r="D917" t="s">
        <v>90</v>
      </c>
      <c r="E917" t="s">
        <v>84</v>
      </c>
      <c r="F917" s="267" t="s">
        <v>400</v>
      </c>
      <c r="G917" s="267" t="s">
        <v>1240</v>
      </c>
    </row>
    <row r="918" spans="1:7">
      <c r="A918">
        <v>3</v>
      </c>
      <c r="B918">
        <v>2015</v>
      </c>
      <c r="C918" t="s">
        <v>156</v>
      </c>
      <c r="D918" t="s">
        <v>90</v>
      </c>
      <c r="E918" t="s">
        <v>84</v>
      </c>
      <c r="F918" s="267" t="s">
        <v>401</v>
      </c>
      <c r="G918" s="267" t="s">
        <v>462</v>
      </c>
    </row>
    <row r="919" spans="1:7">
      <c r="A919">
        <v>401</v>
      </c>
      <c r="B919">
        <v>2015</v>
      </c>
      <c r="C919" t="s">
        <v>402</v>
      </c>
      <c r="D919" t="s">
        <v>90</v>
      </c>
      <c r="E919" t="s">
        <v>84</v>
      </c>
      <c r="F919" s="267" t="s">
        <v>403</v>
      </c>
      <c r="G919" s="267" t="s">
        <v>1241</v>
      </c>
    </row>
    <row r="920" spans="1:7">
      <c r="A920">
        <v>402</v>
      </c>
      <c r="B920">
        <v>2015</v>
      </c>
      <c r="C920" t="s">
        <v>404</v>
      </c>
      <c r="D920" t="s">
        <v>90</v>
      </c>
      <c r="E920" t="s">
        <v>84</v>
      </c>
      <c r="F920" s="267" t="s">
        <v>405</v>
      </c>
      <c r="G920" s="267" t="s">
        <v>1242</v>
      </c>
    </row>
    <row r="921" spans="1:7">
      <c r="A921">
        <v>403</v>
      </c>
      <c r="B921">
        <v>2015</v>
      </c>
      <c r="C921" t="s">
        <v>406</v>
      </c>
      <c r="D921" t="s">
        <v>90</v>
      </c>
      <c r="E921" t="s">
        <v>84</v>
      </c>
      <c r="F921" s="267" t="s">
        <v>407</v>
      </c>
      <c r="G921" s="267" t="s">
        <v>1243</v>
      </c>
    </row>
    <row r="922" spans="1:7">
      <c r="A922">
        <v>404</v>
      </c>
      <c r="B922">
        <v>2015</v>
      </c>
      <c r="C922" t="s">
        <v>408</v>
      </c>
      <c r="D922" t="s">
        <v>90</v>
      </c>
      <c r="E922" t="s">
        <v>84</v>
      </c>
      <c r="F922" s="267" t="s">
        <v>409</v>
      </c>
      <c r="G922" s="267" t="s">
        <v>1244</v>
      </c>
    </row>
    <row r="923" spans="1:7">
      <c r="A923">
        <v>405</v>
      </c>
      <c r="B923">
        <v>2015</v>
      </c>
      <c r="C923" t="s">
        <v>410</v>
      </c>
      <c r="D923" t="s">
        <v>90</v>
      </c>
      <c r="E923" t="s">
        <v>84</v>
      </c>
      <c r="F923" s="267" t="s">
        <v>411</v>
      </c>
      <c r="G923" s="267" t="s">
        <v>1245</v>
      </c>
    </row>
    <row r="924" spans="1:7">
      <c r="A924">
        <v>451</v>
      </c>
      <c r="B924">
        <v>2015</v>
      </c>
      <c r="C924" t="s">
        <v>118</v>
      </c>
      <c r="D924" t="s">
        <v>90</v>
      </c>
      <c r="E924" t="s">
        <v>84</v>
      </c>
      <c r="F924" s="267" t="s">
        <v>412</v>
      </c>
      <c r="G924" s="267" t="s">
        <v>1246</v>
      </c>
    </row>
    <row r="925" spans="1:7">
      <c r="A925">
        <v>452</v>
      </c>
      <c r="B925">
        <v>2015</v>
      </c>
      <c r="C925" t="s">
        <v>119</v>
      </c>
      <c r="D925" t="s">
        <v>90</v>
      </c>
      <c r="E925" t="s">
        <v>84</v>
      </c>
      <c r="F925" s="267" t="s">
        <v>413</v>
      </c>
      <c r="G925" s="267" t="s">
        <v>1247</v>
      </c>
    </row>
    <row r="926" spans="1:7">
      <c r="A926">
        <v>453</v>
      </c>
      <c r="B926">
        <v>2015</v>
      </c>
      <c r="C926" t="s">
        <v>120</v>
      </c>
      <c r="D926" t="s">
        <v>90</v>
      </c>
      <c r="E926" t="s">
        <v>84</v>
      </c>
      <c r="F926" s="267" t="s">
        <v>414</v>
      </c>
      <c r="G926" s="267" t="s">
        <v>1192</v>
      </c>
    </row>
    <row r="927" spans="1:7">
      <c r="A927">
        <v>454</v>
      </c>
      <c r="B927">
        <v>2015</v>
      </c>
      <c r="C927" t="s">
        <v>121</v>
      </c>
      <c r="D927" t="s">
        <v>90</v>
      </c>
      <c r="E927" t="s">
        <v>84</v>
      </c>
      <c r="F927" s="267" t="s">
        <v>415</v>
      </c>
      <c r="G927" s="267" t="s">
        <v>1248</v>
      </c>
    </row>
    <row r="928" spans="1:7">
      <c r="A928">
        <v>455</v>
      </c>
      <c r="B928">
        <v>2015</v>
      </c>
      <c r="C928" t="s">
        <v>122</v>
      </c>
      <c r="D928" t="s">
        <v>90</v>
      </c>
      <c r="E928" t="s">
        <v>84</v>
      </c>
      <c r="F928" s="267" t="s">
        <v>416</v>
      </c>
      <c r="G928" s="267" t="s">
        <v>1105</v>
      </c>
    </row>
    <row r="929" spans="1:7">
      <c r="A929">
        <v>456</v>
      </c>
      <c r="B929">
        <v>2015</v>
      </c>
      <c r="C929" t="s">
        <v>123</v>
      </c>
      <c r="D929" t="s">
        <v>90</v>
      </c>
      <c r="E929" t="s">
        <v>84</v>
      </c>
      <c r="F929" s="267" t="s">
        <v>417</v>
      </c>
      <c r="G929" s="267" t="s">
        <v>1249</v>
      </c>
    </row>
    <row r="930" spans="1:7">
      <c r="A930">
        <v>457</v>
      </c>
      <c r="B930">
        <v>2015</v>
      </c>
      <c r="C930" t="s">
        <v>124</v>
      </c>
      <c r="D930" t="s">
        <v>90</v>
      </c>
      <c r="E930" t="s">
        <v>84</v>
      </c>
      <c r="F930" s="267" t="s">
        <v>418</v>
      </c>
      <c r="G930" s="267" t="s">
        <v>1250</v>
      </c>
    </row>
    <row r="931" spans="1:7">
      <c r="A931">
        <v>458</v>
      </c>
      <c r="B931">
        <v>2015</v>
      </c>
      <c r="C931" t="s">
        <v>125</v>
      </c>
      <c r="D931" t="s">
        <v>90</v>
      </c>
      <c r="E931" t="s">
        <v>84</v>
      </c>
      <c r="F931" s="267" t="s">
        <v>419</v>
      </c>
      <c r="G931" s="267" t="s">
        <v>706</v>
      </c>
    </row>
    <row r="932" spans="1:7">
      <c r="A932">
        <v>459</v>
      </c>
      <c r="B932">
        <v>2015</v>
      </c>
      <c r="C932" t="s">
        <v>126</v>
      </c>
      <c r="D932" t="s">
        <v>90</v>
      </c>
      <c r="E932" t="s">
        <v>84</v>
      </c>
      <c r="F932" s="267" t="s">
        <v>420</v>
      </c>
      <c r="G932" s="267" t="s">
        <v>1251</v>
      </c>
    </row>
    <row r="933" spans="1:7">
      <c r="A933">
        <v>460</v>
      </c>
      <c r="B933">
        <v>2015</v>
      </c>
      <c r="C933" t="s">
        <v>127</v>
      </c>
      <c r="D933" t="s">
        <v>90</v>
      </c>
      <c r="E933" t="s">
        <v>84</v>
      </c>
      <c r="F933" s="267" t="s">
        <v>421</v>
      </c>
      <c r="G933" s="267" t="s">
        <v>1252</v>
      </c>
    </row>
    <row r="934" spans="1:7">
      <c r="A934">
        <v>461</v>
      </c>
      <c r="B934">
        <v>2015</v>
      </c>
      <c r="C934" t="s">
        <v>128</v>
      </c>
      <c r="D934" t="s">
        <v>90</v>
      </c>
      <c r="E934" t="s">
        <v>84</v>
      </c>
      <c r="F934" s="267" t="s">
        <v>422</v>
      </c>
      <c r="G934" s="267" t="s">
        <v>1253</v>
      </c>
    </row>
    <row r="935" spans="1:7">
      <c r="A935">
        <v>462</v>
      </c>
      <c r="B935">
        <v>2015</v>
      </c>
      <c r="C935" t="s">
        <v>129</v>
      </c>
      <c r="D935" t="s">
        <v>90</v>
      </c>
      <c r="E935" t="s">
        <v>84</v>
      </c>
      <c r="F935" s="267" t="s">
        <v>423</v>
      </c>
      <c r="G935" s="267" t="s">
        <v>1254</v>
      </c>
    </row>
    <row r="936" spans="1:7">
      <c r="A936">
        <v>4</v>
      </c>
      <c r="B936">
        <v>2015</v>
      </c>
      <c r="C936" t="s">
        <v>157</v>
      </c>
      <c r="D936" t="s">
        <v>90</v>
      </c>
      <c r="E936" t="s">
        <v>84</v>
      </c>
      <c r="F936" s="267" t="s">
        <v>424</v>
      </c>
      <c r="G936" s="267" t="s">
        <v>1255</v>
      </c>
    </row>
    <row r="937" spans="1:7">
      <c r="A937">
        <v>0</v>
      </c>
      <c r="B937">
        <v>2015</v>
      </c>
      <c r="C937" t="s">
        <v>130</v>
      </c>
      <c r="D937" t="s">
        <v>90</v>
      </c>
      <c r="E937" t="s">
        <v>84</v>
      </c>
      <c r="F937" s="267" t="s">
        <v>425</v>
      </c>
      <c r="G937" s="267" t="s">
        <v>1256</v>
      </c>
    </row>
    <row r="938" spans="1:7">
      <c r="A938">
        <v>101</v>
      </c>
      <c r="B938">
        <v>2014</v>
      </c>
      <c r="C938" t="s">
        <v>363</v>
      </c>
      <c r="D938" t="s">
        <v>28</v>
      </c>
      <c r="E938" t="s">
        <v>84</v>
      </c>
      <c r="F938" s="267" t="s">
        <v>364</v>
      </c>
      <c r="G938" s="267" t="s">
        <v>1257</v>
      </c>
    </row>
    <row r="939" spans="1:7">
      <c r="A939">
        <v>102</v>
      </c>
      <c r="B939">
        <v>2014</v>
      </c>
      <c r="C939" t="s">
        <v>365</v>
      </c>
      <c r="D939" t="s">
        <v>28</v>
      </c>
      <c r="E939" t="s">
        <v>84</v>
      </c>
      <c r="F939" s="267" t="s">
        <v>366</v>
      </c>
      <c r="G939" s="267" t="s">
        <v>1258</v>
      </c>
    </row>
    <row r="940" spans="1:7">
      <c r="A940">
        <v>103</v>
      </c>
      <c r="B940">
        <v>2014</v>
      </c>
      <c r="C940" t="s">
        <v>367</v>
      </c>
      <c r="D940" t="s">
        <v>28</v>
      </c>
      <c r="E940" t="s">
        <v>84</v>
      </c>
      <c r="F940" s="267" t="s">
        <v>368</v>
      </c>
      <c r="G940" s="267" t="s">
        <v>1259</v>
      </c>
    </row>
    <row r="941" spans="1:7">
      <c r="A941">
        <v>151</v>
      </c>
      <c r="B941">
        <v>2014</v>
      </c>
      <c r="C941" t="s">
        <v>94</v>
      </c>
      <c r="D941" t="s">
        <v>28</v>
      </c>
      <c r="E941" t="s">
        <v>84</v>
      </c>
      <c r="F941" s="267" t="s">
        <v>369</v>
      </c>
      <c r="G941" s="267" t="s">
        <v>1260</v>
      </c>
    </row>
    <row r="942" spans="1:7">
      <c r="A942">
        <v>153</v>
      </c>
      <c r="B942">
        <v>2014</v>
      </c>
      <c r="C942" t="s">
        <v>96</v>
      </c>
      <c r="D942" t="s">
        <v>28</v>
      </c>
      <c r="E942" t="s">
        <v>84</v>
      </c>
      <c r="F942" s="267" t="s">
        <v>370</v>
      </c>
      <c r="G942" s="267" t="s">
        <v>1261</v>
      </c>
    </row>
    <row r="943" spans="1:7">
      <c r="A943">
        <v>154</v>
      </c>
      <c r="B943">
        <v>2014</v>
      </c>
      <c r="C943" t="s">
        <v>97</v>
      </c>
      <c r="D943" t="s">
        <v>28</v>
      </c>
      <c r="E943" t="s">
        <v>84</v>
      </c>
      <c r="F943" s="267" t="s">
        <v>371</v>
      </c>
      <c r="G943" s="267" t="s">
        <v>1262</v>
      </c>
    </row>
    <row r="944" spans="1:7">
      <c r="A944">
        <v>155</v>
      </c>
      <c r="B944">
        <v>2014</v>
      </c>
      <c r="C944" t="s">
        <v>98</v>
      </c>
      <c r="D944" t="s">
        <v>28</v>
      </c>
      <c r="E944" t="s">
        <v>84</v>
      </c>
      <c r="F944" s="267" t="s">
        <v>372</v>
      </c>
      <c r="G944" s="267" t="s">
        <v>1263</v>
      </c>
    </row>
    <row r="945" spans="1:7">
      <c r="A945">
        <v>157</v>
      </c>
      <c r="B945">
        <v>2014</v>
      </c>
      <c r="C945" t="s">
        <v>99</v>
      </c>
      <c r="D945" t="s">
        <v>28</v>
      </c>
      <c r="E945" t="s">
        <v>84</v>
      </c>
      <c r="F945" s="267" t="s">
        <v>373</v>
      </c>
      <c r="G945" s="267" t="s">
        <v>739</v>
      </c>
    </row>
    <row r="946" spans="1:7">
      <c r="A946">
        <v>158</v>
      </c>
      <c r="B946">
        <v>2014</v>
      </c>
      <c r="C946" t="s">
        <v>100</v>
      </c>
      <c r="D946" t="s">
        <v>28</v>
      </c>
      <c r="E946" t="s">
        <v>84</v>
      </c>
      <c r="F946" s="267" t="s">
        <v>374</v>
      </c>
      <c r="G946" s="267" t="s">
        <v>1264</v>
      </c>
    </row>
    <row r="947" spans="1:7">
      <c r="A947">
        <v>159</v>
      </c>
      <c r="B947">
        <v>2014</v>
      </c>
      <c r="C947" t="s">
        <v>95</v>
      </c>
      <c r="D947" t="s">
        <v>28</v>
      </c>
      <c r="E947" t="s">
        <v>84</v>
      </c>
      <c r="F947" s="267" t="s">
        <v>375</v>
      </c>
      <c r="G947" s="267" t="s">
        <v>1265</v>
      </c>
    </row>
    <row r="948" spans="1:7">
      <c r="A948">
        <v>1</v>
      </c>
      <c r="B948">
        <v>2014</v>
      </c>
      <c r="C948" t="s">
        <v>154</v>
      </c>
      <c r="D948" t="s">
        <v>28</v>
      </c>
      <c r="E948" t="s">
        <v>84</v>
      </c>
      <c r="F948" s="267" t="s">
        <v>376</v>
      </c>
      <c r="G948" s="267" t="s">
        <v>1266</v>
      </c>
    </row>
    <row r="949" spans="1:7">
      <c r="A949">
        <v>241</v>
      </c>
      <c r="B949">
        <v>2014</v>
      </c>
      <c r="C949" t="s">
        <v>377</v>
      </c>
      <c r="D949" t="s">
        <v>28</v>
      </c>
      <c r="E949" t="s">
        <v>84</v>
      </c>
      <c r="F949" s="267" t="s">
        <v>378</v>
      </c>
      <c r="G949" s="267" t="s">
        <v>1267</v>
      </c>
    </row>
    <row r="950" spans="1:7">
      <c r="A950">
        <v>241001</v>
      </c>
      <c r="B950">
        <v>2014</v>
      </c>
      <c r="C950" t="s">
        <v>379</v>
      </c>
      <c r="D950" t="s">
        <v>28</v>
      </c>
      <c r="E950" t="s">
        <v>84</v>
      </c>
      <c r="F950" s="267" t="s">
        <v>380</v>
      </c>
      <c r="G950" s="267" t="s">
        <v>1268</v>
      </c>
    </row>
    <row r="951" spans="1:7">
      <c r="A951">
        <v>241999</v>
      </c>
      <c r="B951">
        <v>2014</v>
      </c>
      <c r="C951" t="s">
        <v>381</v>
      </c>
      <c r="D951" t="s">
        <v>28</v>
      </c>
      <c r="E951" t="s">
        <v>84</v>
      </c>
      <c r="F951" s="267" t="s">
        <v>382</v>
      </c>
      <c r="G951" s="267" t="s">
        <v>1269</v>
      </c>
    </row>
    <row r="952" spans="1:7">
      <c r="A952">
        <v>251</v>
      </c>
      <c r="B952">
        <v>2014</v>
      </c>
      <c r="C952" t="s">
        <v>101</v>
      </c>
      <c r="D952" t="s">
        <v>28</v>
      </c>
      <c r="E952" t="s">
        <v>84</v>
      </c>
      <c r="F952" s="267" t="s">
        <v>383</v>
      </c>
      <c r="G952" s="267" t="s">
        <v>1270</v>
      </c>
    </row>
    <row r="953" spans="1:7">
      <c r="A953">
        <v>252</v>
      </c>
      <c r="B953">
        <v>2014</v>
      </c>
      <c r="C953" t="s">
        <v>102</v>
      </c>
      <c r="D953" t="s">
        <v>28</v>
      </c>
      <c r="E953" t="s">
        <v>84</v>
      </c>
      <c r="F953" s="267" t="s">
        <v>384</v>
      </c>
      <c r="G953" s="267" t="s">
        <v>1271</v>
      </c>
    </row>
    <row r="954" spans="1:7">
      <c r="A954">
        <v>254</v>
      </c>
      <c r="B954">
        <v>2014</v>
      </c>
      <c r="C954" t="s">
        <v>103</v>
      </c>
      <c r="D954" t="s">
        <v>28</v>
      </c>
      <c r="E954" t="s">
        <v>84</v>
      </c>
      <c r="F954" s="267" t="s">
        <v>385</v>
      </c>
      <c r="G954" s="267" t="s">
        <v>1272</v>
      </c>
    </row>
    <row r="955" spans="1:7">
      <c r="A955">
        <v>255</v>
      </c>
      <c r="B955">
        <v>2014</v>
      </c>
      <c r="C955" t="s">
        <v>104</v>
      </c>
      <c r="D955" t="s">
        <v>28</v>
      </c>
      <c r="E955" t="s">
        <v>84</v>
      </c>
      <c r="F955" s="267" t="s">
        <v>386</v>
      </c>
      <c r="G955" s="267" t="s">
        <v>934</v>
      </c>
    </row>
    <row r="956" spans="1:7">
      <c r="A956">
        <v>256</v>
      </c>
      <c r="B956">
        <v>2014</v>
      </c>
      <c r="C956" t="s">
        <v>105</v>
      </c>
      <c r="D956" t="s">
        <v>28</v>
      </c>
      <c r="E956" t="s">
        <v>84</v>
      </c>
      <c r="F956" s="267" t="s">
        <v>387</v>
      </c>
      <c r="G956" s="267" t="s">
        <v>786</v>
      </c>
    </row>
    <row r="957" spans="1:7">
      <c r="A957">
        <v>257</v>
      </c>
      <c r="B957">
        <v>2014</v>
      </c>
      <c r="C957" t="s">
        <v>106</v>
      </c>
      <c r="D957" t="s">
        <v>28</v>
      </c>
      <c r="E957" t="s">
        <v>84</v>
      </c>
      <c r="F957" s="267" t="s">
        <v>388</v>
      </c>
      <c r="G957" s="267" t="s">
        <v>1273</v>
      </c>
    </row>
    <row r="958" spans="1:7">
      <c r="A958">
        <v>2</v>
      </c>
      <c r="B958">
        <v>2014</v>
      </c>
      <c r="C958" t="s">
        <v>155</v>
      </c>
      <c r="D958" t="s">
        <v>28</v>
      </c>
      <c r="E958" t="s">
        <v>84</v>
      </c>
      <c r="F958" s="267" t="s">
        <v>389</v>
      </c>
      <c r="G958" s="267" t="s">
        <v>1274</v>
      </c>
    </row>
    <row r="959" spans="1:7">
      <c r="A959">
        <v>351</v>
      </c>
      <c r="B959">
        <v>2014</v>
      </c>
      <c r="C959" t="s">
        <v>107</v>
      </c>
      <c r="D959" t="s">
        <v>28</v>
      </c>
      <c r="E959" t="s">
        <v>84</v>
      </c>
      <c r="F959" s="267" t="s">
        <v>390</v>
      </c>
      <c r="G959" s="267" t="s">
        <v>1275</v>
      </c>
    </row>
    <row r="960" spans="1:7">
      <c r="A960">
        <v>352</v>
      </c>
      <c r="B960">
        <v>2014</v>
      </c>
      <c r="C960" t="s">
        <v>108</v>
      </c>
      <c r="D960" t="s">
        <v>28</v>
      </c>
      <c r="E960" t="s">
        <v>84</v>
      </c>
      <c r="F960" s="267" t="s">
        <v>391</v>
      </c>
      <c r="G960" s="267" t="s">
        <v>1276</v>
      </c>
    </row>
    <row r="961" spans="1:7">
      <c r="A961">
        <v>353</v>
      </c>
      <c r="B961">
        <v>2014</v>
      </c>
      <c r="C961" t="s">
        <v>109</v>
      </c>
      <c r="D961" t="s">
        <v>28</v>
      </c>
      <c r="E961" t="s">
        <v>84</v>
      </c>
      <c r="F961" s="267" t="s">
        <v>392</v>
      </c>
      <c r="G961" s="267" t="s">
        <v>1277</v>
      </c>
    </row>
    <row r="962" spans="1:7">
      <c r="A962">
        <v>354</v>
      </c>
      <c r="B962">
        <v>2014</v>
      </c>
      <c r="C962" t="s">
        <v>110</v>
      </c>
      <c r="D962" t="s">
        <v>28</v>
      </c>
      <c r="E962" t="s">
        <v>84</v>
      </c>
      <c r="F962" s="267" t="s">
        <v>393</v>
      </c>
      <c r="G962" s="267" t="s">
        <v>973</v>
      </c>
    </row>
    <row r="963" spans="1:7">
      <c r="A963">
        <v>355</v>
      </c>
      <c r="B963">
        <v>2014</v>
      </c>
      <c r="C963" t="s">
        <v>111</v>
      </c>
      <c r="D963" t="s">
        <v>28</v>
      </c>
      <c r="E963" t="s">
        <v>84</v>
      </c>
      <c r="F963" s="267" t="s">
        <v>394</v>
      </c>
      <c r="G963" s="267" t="s">
        <v>1278</v>
      </c>
    </row>
    <row r="964" spans="1:7">
      <c r="A964">
        <v>356</v>
      </c>
      <c r="B964">
        <v>2014</v>
      </c>
      <c r="C964" t="s">
        <v>112</v>
      </c>
      <c r="D964" t="s">
        <v>28</v>
      </c>
      <c r="E964" t="s">
        <v>84</v>
      </c>
      <c r="F964" s="267" t="s">
        <v>395</v>
      </c>
      <c r="G964" s="267" t="s">
        <v>1279</v>
      </c>
    </row>
    <row r="965" spans="1:7">
      <c r="A965">
        <v>357</v>
      </c>
      <c r="B965">
        <v>2014</v>
      </c>
      <c r="C965" t="s">
        <v>113</v>
      </c>
      <c r="D965" t="s">
        <v>28</v>
      </c>
      <c r="E965" t="s">
        <v>84</v>
      </c>
      <c r="F965" s="267" t="s">
        <v>396</v>
      </c>
      <c r="G965" s="267" t="s">
        <v>679</v>
      </c>
    </row>
    <row r="966" spans="1:7">
      <c r="A966">
        <v>358</v>
      </c>
      <c r="B966">
        <v>2014</v>
      </c>
      <c r="C966" t="s">
        <v>114</v>
      </c>
      <c r="D966" t="s">
        <v>28</v>
      </c>
      <c r="E966" t="s">
        <v>84</v>
      </c>
      <c r="F966" s="267" t="s">
        <v>397</v>
      </c>
      <c r="G966" s="267" t="s">
        <v>1280</v>
      </c>
    </row>
    <row r="967" spans="1:7">
      <c r="A967">
        <v>359</v>
      </c>
      <c r="B967">
        <v>2014</v>
      </c>
      <c r="C967" t="s">
        <v>115</v>
      </c>
      <c r="D967" t="s">
        <v>28</v>
      </c>
      <c r="E967" t="s">
        <v>84</v>
      </c>
      <c r="F967" s="267" t="s">
        <v>398</v>
      </c>
      <c r="G967" s="267" t="s">
        <v>1281</v>
      </c>
    </row>
    <row r="968" spans="1:7">
      <c r="A968">
        <v>360</v>
      </c>
      <c r="B968">
        <v>2014</v>
      </c>
      <c r="C968" t="s">
        <v>116</v>
      </c>
      <c r="D968" t="s">
        <v>28</v>
      </c>
      <c r="E968" t="s">
        <v>84</v>
      </c>
      <c r="F968" s="267" t="s">
        <v>399</v>
      </c>
      <c r="G968" s="267" t="s">
        <v>1282</v>
      </c>
    </row>
    <row r="969" spans="1:7">
      <c r="A969">
        <v>361</v>
      </c>
      <c r="B969">
        <v>2014</v>
      </c>
      <c r="C969" t="s">
        <v>117</v>
      </c>
      <c r="D969" t="s">
        <v>28</v>
      </c>
      <c r="E969" t="s">
        <v>84</v>
      </c>
      <c r="F969" s="267" t="s">
        <v>400</v>
      </c>
      <c r="G969" s="267" t="s">
        <v>1283</v>
      </c>
    </row>
    <row r="970" spans="1:7">
      <c r="A970">
        <v>3</v>
      </c>
      <c r="B970">
        <v>2014</v>
      </c>
      <c r="C970" t="s">
        <v>156</v>
      </c>
      <c r="D970" t="s">
        <v>28</v>
      </c>
      <c r="E970" t="s">
        <v>84</v>
      </c>
      <c r="F970" s="267" t="s">
        <v>401</v>
      </c>
      <c r="G970" s="267" t="s">
        <v>1284</v>
      </c>
    </row>
    <row r="971" spans="1:7">
      <c r="A971">
        <v>401</v>
      </c>
      <c r="B971">
        <v>2014</v>
      </c>
      <c r="C971" t="s">
        <v>402</v>
      </c>
      <c r="D971" t="s">
        <v>28</v>
      </c>
      <c r="E971" t="s">
        <v>84</v>
      </c>
      <c r="F971" s="267" t="s">
        <v>403</v>
      </c>
      <c r="G971" s="267" t="s">
        <v>532</v>
      </c>
    </row>
    <row r="972" spans="1:7">
      <c r="A972">
        <v>402</v>
      </c>
      <c r="B972">
        <v>2014</v>
      </c>
      <c r="C972" t="s">
        <v>404</v>
      </c>
      <c r="D972" t="s">
        <v>28</v>
      </c>
      <c r="E972" t="s">
        <v>84</v>
      </c>
      <c r="F972" s="267" t="s">
        <v>405</v>
      </c>
      <c r="G972" s="267" t="s">
        <v>1087</v>
      </c>
    </row>
    <row r="973" spans="1:7">
      <c r="A973">
        <v>403</v>
      </c>
      <c r="B973">
        <v>2014</v>
      </c>
      <c r="C973" t="s">
        <v>406</v>
      </c>
      <c r="D973" t="s">
        <v>28</v>
      </c>
      <c r="E973" t="s">
        <v>84</v>
      </c>
      <c r="F973" s="267" t="s">
        <v>407</v>
      </c>
      <c r="G973" s="267" t="s">
        <v>1285</v>
      </c>
    </row>
    <row r="974" spans="1:7">
      <c r="A974">
        <v>404</v>
      </c>
      <c r="B974">
        <v>2014</v>
      </c>
      <c r="C974" t="s">
        <v>408</v>
      </c>
      <c r="D974" t="s">
        <v>28</v>
      </c>
      <c r="E974" t="s">
        <v>84</v>
      </c>
      <c r="F974" s="267" t="s">
        <v>409</v>
      </c>
      <c r="G974" s="267" t="s">
        <v>1286</v>
      </c>
    </row>
    <row r="975" spans="1:7">
      <c r="A975">
        <v>405</v>
      </c>
      <c r="B975">
        <v>2014</v>
      </c>
      <c r="C975" t="s">
        <v>410</v>
      </c>
      <c r="D975" t="s">
        <v>28</v>
      </c>
      <c r="E975" t="s">
        <v>84</v>
      </c>
      <c r="F975" s="267" t="s">
        <v>411</v>
      </c>
      <c r="G975" s="267" t="s">
        <v>1074</v>
      </c>
    </row>
    <row r="976" spans="1:7">
      <c r="A976">
        <v>451</v>
      </c>
      <c r="B976">
        <v>2014</v>
      </c>
      <c r="C976" t="s">
        <v>118</v>
      </c>
      <c r="D976" t="s">
        <v>28</v>
      </c>
      <c r="E976" t="s">
        <v>84</v>
      </c>
      <c r="F976" s="267" t="s">
        <v>412</v>
      </c>
      <c r="G976" s="267" t="s">
        <v>981</v>
      </c>
    </row>
    <row r="977" spans="1:7">
      <c r="A977">
        <v>452</v>
      </c>
      <c r="B977">
        <v>2014</v>
      </c>
      <c r="C977" t="s">
        <v>119</v>
      </c>
      <c r="D977" t="s">
        <v>28</v>
      </c>
      <c r="E977" t="s">
        <v>84</v>
      </c>
      <c r="F977" s="267" t="s">
        <v>413</v>
      </c>
      <c r="G977" s="267" t="s">
        <v>1287</v>
      </c>
    </row>
    <row r="978" spans="1:7">
      <c r="A978">
        <v>453</v>
      </c>
      <c r="B978">
        <v>2014</v>
      </c>
      <c r="C978" t="s">
        <v>120</v>
      </c>
      <c r="D978" t="s">
        <v>28</v>
      </c>
      <c r="E978" t="s">
        <v>84</v>
      </c>
      <c r="F978" s="267" t="s">
        <v>414</v>
      </c>
      <c r="G978" s="267" t="s">
        <v>1288</v>
      </c>
    </row>
    <row r="979" spans="1:7">
      <c r="A979">
        <v>454</v>
      </c>
      <c r="B979">
        <v>2014</v>
      </c>
      <c r="C979" t="s">
        <v>121</v>
      </c>
      <c r="D979" t="s">
        <v>28</v>
      </c>
      <c r="E979" t="s">
        <v>84</v>
      </c>
      <c r="F979" s="267" t="s">
        <v>415</v>
      </c>
      <c r="G979" s="267" t="s">
        <v>1289</v>
      </c>
    </row>
    <row r="980" spans="1:7">
      <c r="A980">
        <v>455</v>
      </c>
      <c r="B980">
        <v>2014</v>
      </c>
      <c r="C980" t="s">
        <v>122</v>
      </c>
      <c r="D980" t="s">
        <v>28</v>
      </c>
      <c r="E980" t="s">
        <v>84</v>
      </c>
      <c r="F980" s="267" t="s">
        <v>416</v>
      </c>
      <c r="G980" s="267" t="s">
        <v>1290</v>
      </c>
    </row>
    <row r="981" spans="1:7">
      <c r="A981">
        <v>456</v>
      </c>
      <c r="B981">
        <v>2014</v>
      </c>
      <c r="C981" t="s">
        <v>123</v>
      </c>
      <c r="D981" t="s">
        <v>28</v>
      </c>
      <c r="E981" t="s">
        <v>84</v>
      </c>
      <c r="F981" s="267" t="s">
        <v>417</v>
      </c>
      <c r="G981" s="267" t="s">
        <v>1291</v>
      </c>
    </row>
    <row r="982" spans="1:7">
      <c r="A982">
        <v>457</v>
      </c>
      <c r="B982">
        <v>2014</v>
      </c>
      <c r="C982" t="s">
        <v>124</v>
      </c>
      <c r="D982" t="s">
        <v>28</v>
      </c>
      <c r="E982" t="s">
        <v>84</v>
      </c>
      <c r="F982" s="267" t="s">
        <v>418</v>
      </c>
      <c r="G982" s="267" t="s">
        <v>1292</v>
      </c>
    </row>
    <row r="983" spans="1:7">
      <c r="A983">
        <v>458</v>
      </c>
      <c r="B983">
        <v>2014</v>
      </c>
      <c r="C983" t="s">
        <v>125</v>
      </c>
      <c r="D983" t="s">
        <v>28</v>
      </c>
      <c r="E983" t="s">
        <v>84</v>
      </c>
      <c r="F983" s="267" t="s">
        <v>419</v>
      </c>
      <c r="G983" s="267" t="s">
        <v>1293</v>
      </c>
    </row>
    <row r="984" spans="1:7">
      <c r="A984">
        <v>459</v>
      </c>
      <c r="B984">
        <v>2014</v>
      </c>
      <c r="C984" t="s">
        <v>126</v>
      </c>
      <c r="D984" t="s">
        <v>28</v>
      </c>
      <c r="E984" t="s">
        <v>84</v>
      </c>
      <c r="F984" s="267" t="s">
        <v>420</v>
      </c>
      <c r="G984" s="267" t="s">
        <v>1294</v>
      </c>
    </row>
    <row r="985" spans="1:7">
      <c r="A985">
        <v>460</v>
      </c>
      <c r="B985">
        <v>2014</v>
      </c>
      <c r="C985" t="s">
        <v>127</v>
      </c>
      <c r="D985" t="s">
        <v>28</v>
      </c>
      <c r="E985" t="s">
        <v>84</v>
      </c>
      <c r="F985" s="267" t="s">
        <v>421</v>
      </c>
      <c r="G985" s="267" t="s">
        <v>1295</v>
      </c>
    </row>
    <row r="986" spans="1:7">
      <c r="A986">
        <v>461</v>
      </c>
      <c r="B986">
        <v>2014</v>
      </c>
      <c r="C986" t="s">
        <v>128</v>
      </c>
      <c r="D986" t="s">
        <v>28</v>
      </c>
      <c r="E986" t="s">
        <v>84</v>
      </c>
      <c r="F986" s="267" t="s">
        <v>422</v>
      </c>
      <c r="G986" s="267" t="s">
        <v>1296</v>
      </c>
    </row>
    <row r="987" spans="1:7">
      <c r="A987">
        <v>462</v>
      </c>
      <c r="B987">
        <v>2014</v>
      </c>
      <c r="C987" t="s">
        <v>129</v>
      </c>
      <c r="D987" t="s">
        <v>28</v>
      </c>
      <c r="E987" t="s">
        <v>84</v>
      </c>
      <c r="F987" s="267" t="s">
        <v>423</v>
      </c>
      <c r="G987" s="267" t="s">
        <v>1297</v>
      </c>
    </row>
    <row r="988" spans="1:7">
      <c r="A988">
        <v>4</v>
      </c>
      <c r="B988">
        <v>2014</v>
      </c>
      <c r="C988" t="s">
        <v>157</v>
      </c>
      <c r="D988" t="s">
        <v>28</v>
      </c>
      <c r="E988" t="s">
        <v>84</v>
      </c>
      <c r="F988" s="267" t="s">
        <v>424</v>
      </c>
      <c r="G988" s="267" t="s">
        <v>1298</v>
      </c>
    </row>
    <row r="989" spans="1:7">
      <c r="A989">
        <v>0</v>
      </c>
      <c r="B989">
        <v>2014</v>
      </c>
      <c r="C989" t="s">
        <v>130</v>
      </c>
      <c r="D989" t="s">
        <v>28</v>
      </c>
      <c r="E989" t="s">
        <v>84</v>
      </c>
      <c r="F989" s="267" t="s">
        <v>425</v>
      </c>
      <c r="G989" s="267" t="s">
        <v>1299</v>
      </c>
    </row>
    <row r="990" spans="1:7">
      <c r="A990">
        <v>101</v>
      </c>
      <c r="B990">
        <v>2014</v>
      </c>
      <c r="C990" t="s">
        <v>363</v>
      </c>
      <c r="D990" t="s">
        <v>89</v>
      </c>
      <c r="E990" t="s">
        <v>84</v>
      </c>
      <c r="F990" s="267" t="s">
        <v>364</v>
      </c>
      <c r="G990" s="267" t="s">
        <v>666</v>
      </c>
    </row>
    <row r="991" spans="1:7">
      <c r="A991">
        <v>102</v>
      </c>
      <c r="B991">
        <v>2014</v>
      </c>
      <c r="C991" t="s">
        <v>365</v>
      </c>
      <c r="D991" t="s">
        <v>89</v>
      </c>
      <c r="E991" t="s">
        <v>84</v>
      </c>
      <c r="F991" s="267" t="s">
        <v>366</v>
      </c>
      <c r="G991" s="267" t="s">
        <v>1300</v>
      </c>
    </row>
    <row r="992" spans="1:7">
      <c r="A992">
        <v>103</v>
      </c>
      <c r="B992">
        <v>2014</v>
      </c>
      <c r="C992" t="s">
        <v>367</v>
      </c>
      <c r="D992" t="s">
        <v>89</v>
      </c>
      <c r="E992" t="s">
        <v>84</v>
      </c>
      <c r="F992" s="267" t="s">
        <v>368</v>
      </c>
      <c r="G992" s="267" t="s">
        <v>1301</v>
      </c>
    </row>
    <row r="993" spans="1:7">
      <c r="A993">
        <v>151</v>
      </c>
      <c r="B993">
        <v>2014</v>
      </c>
      <c r="C993" t="s">
        <v>94</v>
      </c>
      <c r="D993" t="s">
        <v>89</v>
      </c>
      <c r="E993" t="s">
        <v>84</v>
      </c>
      <c r="F993" s="267" t="s">
        <v>369</v>
      </c>
      <c r="G993" s="267" t="s">
        <v>548</v>
      </c>
    </row>
    <row r="994" spans="1:7">
      <c r="A994">
        <v>153</v>
      </c>
      <c r="B994">
        <v>2014</v>
      </c>
      <c r="C994" t="s">
        <v>96</v>
      </c>
      <c r="D994" t="s">
        <v>89</v>
      </c>
      <c r="E994" t="s">
        <v>84</v>
      </c>
      <c r="F994" s="267" t="s">
        <v>370</v>
      </c>
      <c r="G994" s="267" t="s">
        <v>1302</v>
      </c>
    </row>
    <row r="995" spans="1:7">
      <c r="A995">
        <v>154</v>
      </c>
      <c r="B995">
        <v>2014</v>
      </c>
      <c r="C995" t="s">
        <v>97</v>
      </c>
      <c r="D995" t="s">
        <v>89</v>
      </c>
      <c r="E995" t="s">
        <v>84</v>
      </c>
      <c r="F995" s="267" t="s">
        <v>371</v>
      </c>
      <c r="G995" s="267" t="s">
        <v>1303</v>
      </c>
    </row>
    <row r="996" spans="1:7">
      <c r="A996">
        <v>155</v>
      </c>
      <c r="B996">
        <v>2014</v>
      </c>
      <c r="C996" t="s">
        <v>98</v>
      </c>
      <c r="D996" t="s">
        <v>89</v>
      </c>
      <c r="E996" t="s">
        <v>84</v>
      </c>
      <c r="F996" s="267" t="s">
        <v>372</v>
      </c>
      <c r="G996" s="267" t="s">
        <v>1304</v>
      </c>
    </row>
    <row r="997" spans="1:7">
      <c r="A997">
        <v>157</v>
      </c>
      <c r="B997">
        <v>2014</v>
      </c>
      <c r="C997" t="s">
        <v>99</v>
      </c>
      <c r="D997" t="s">
        <v>89</v>
      </c>
      <c r="E997" t="s">
        <v>84</v>
      </c>
      <c r="F997" s="267" t="s">
        <v>373</v>
      </c>
      <c r="G997" s="267" t="s">
        <v>1279</v>
      </c>
    </row>
    <row r="998" spans="1:7">
      <c r="A998">
        <v>158</v>
      </c>
      <c r="B998">
        <v>2014</v>
      </c>
      <c r="C998" t="s">
        <v>100</v>
      </c>
      <c r="D998" t="s">
        <v>89</v>
      </c>
      <c r="E998" t="s">
        <v>84</v>
      </c>
      <c r="F998" s="267" t="s">
        <v>374</v>
      </c>
      <c r="G998" s="267" t="s">
        <v>1305</v>
      </c>
    </row>
    <row r="999" spans="1:7">
      <c r="A999">
        <v>159</v>
      </c>
      <c r="B999">
        <v>2014</v>
      </c>
      <c r="C999" t="s">
        <v>95</v>
      </c>
      <c r="D999" t="s">
        <v>89</v>
      </c>
      <c r="E999" t="s">
        <v>84</v>
      </c>
      <c r="F999" s="267" t="s">
        <v>375</v>
      </c>
      <c r="G999" s="267" t="s">
        <v>1306</v>
      </c>
    </row>
    <row r="1000" spans="1:7">
      <c r="A1000">
        <v>1</v>
      </c>
      <c r="B1000">
        <v>2014</v>
      </c>
      <c r="C1000" t="s">
        <v>154</v>
      </c>
      <c r="D1000" t="s">
        <v>89</v>
      </c>
      <c r="E1000" t="s">
        <v>84</v>
      </c>
      <c r="F1000" s="267" t="s">
        <v>376</v>
      </c>
      <c r="G1000" s="267" t="s">
        <v>1307</v>
      </c>
    </row>
    <row r="1001" spans="1:7">
      <c r="A1001">
        <v>241</v>
      </c>
      <c r="B1001">
        <v>2014</v>
      </c>
      <c r="C1001" t="s">
        <v>377</v>
      </c>
      <c r="D1001" t="s">
        <v>89</v>
      </c>
      <c r="E1001" t="s">
        <v>84</v>
      </c>
      <c r="F1001" s="267" t="s">
        <v>378</v>
      </c>
      <c r="G1001" s="267" t="s">
        <v>1308</v>
      </c>
    </row>
    <row r="1002" spans="1:7">
      <c r="A1002">
        <v>241001</v>
      </c>
      <c r="B1002">
        <v>2014</v>
      </c>
      <c r="C1002" t="s">
        <v>379</v>
      </c>
      <c r="D1002" t="s">
        <v>89</v>
      </c>
      <c r="E1002" t="s">
        <v>84</v>
      </c>
      <c r="F1002" s="267" t="s">
        <v>380</v>
      </c>
      <c r="G1002" s="267" t="s">
        <v>1309</v>
      </c>
    </row>
    <row r="1003" spans="1:7">
      <c r="A1003">
        <v>241999</v>
      </c>
      <c r="B1003">
        <v>2014</v>
      </c>
      <c r="C1003" t="s">
        <v>381</v>
      </c>
      <c r="D1003" t="s">
        <v>89</v>
      </c>
      <c r="E1003" t="s">
        <v>84</v>
      </c>
      <c r="F1003" s="267" t="s">
        <v>382</v>
      </c>
      <c r="G1003" s="267" t="s">
        <v>1310</v>
      </c>
    </row>
    <row r="1004" spans="1:7">
      <c r="A1004">
        <v>251</v>
      </c>
      <c r="B1004">
        <v>2014</v>
      </c>
      <c r="C1004" t="s">
        <v>101</v>
      </c>
      <c r="D1004" t="s">
        <v>89</v>
      </c>
      <c r="E1004" t="s">
        <v>84</v>
      </c>
      <c r="F1004" s="267" t="s">
        <v>383</v>
      </c>
      <c r="G1004" s="267" t="s">
        <v>1311</v>
      </c>
    </row>
    <row r="1005" spans="1:7">
      <c r="A1005">
        <v>252</v>
      </c>
      <c r="B1005">
        <v>2014</v>
      </c>
      <c r="C1005" t="s">
        <v>102</v>
      </c>
      <c r="D1005" t="s">
        <v>89</v>
      </c>
      <c r="E1005" t="s">
        <v>84</v>
      </c>
      <c r="F1005" s="267" t="s">
        <v>384</v>
      </c>
      <c r="G1005" s="267" t="s">
        <v>1312</v>
      </c>
    </row>
    <row r="1006" spans="1:7">
      <c r="A1006">
        <v>254</v>
      </c>
      <c r="B1006">
        <v>2014</v>
      </c>
      <c r="C1006" t="s">
        <v>103</v>
      </c>
      <c r="D1006" t="s">
        <v>89</v>
      </c>
      <c r="E1006" t="s">
        <v>84</v>
      </c>
      <c r="F1006" s="267" t="s">
        <v>385</v>
      </c>
      <c r="G1006" s="267" t="s">
        <v>1313</v>
      </c>
    </row>
    <row r="1007" spans="1:7">
      <c r="A1007">
        <v>255</v>
      </c>
      <c r="B1007">
        <v>2014</v>
      </c>
      <c r="C1007" t="s">
        <v>104</v>
      </c>
      <c r="D1007" t="s">
        <v>89</v>
      </c>
      <c r="E1007" t="s">
        <v>84</v>
      </c>
      <c r="F1007" s="267" t="s">
        <v>386</v>
      </c>
      <c r="G1007" s="267" t="s">
        <v>1314</v>
      </c>
    </row>
    <row r="1008" spans="1:7">
      <c r="A1008">
        <v>256</v>
      </c>
      <c r="B1008">
        <v>2014</v>
      </c>
      <c r="C1008" t="s">
        <v>105</v>
      </c>
      <c r="D1008" t="s">
        <v>89</v>
      </c>
      <c r="E1008" t="s">
        <v>84</v>
      </c>
      <c r="F1008" s="267" t="s">
        <v>387</v>
      </c>
      <c r="G1008" s="267" t="s">
        <v>1315</v>
      </c>
    </row>
    <row r="1009" spans="1:7">
      <c r="A1009">
        <v>257</v>
      </c>
      <c r="B1009">
        <v>2014</v>
      </c>
      <c r="C1009" t="s">
        <v>106</v>
      </c>
      <c r="D1009" t="s">
        <v>89</v>
      </c>
      <c r="E1009" t="s">
        <v>84</v>
      </c>
      <c r="F1009" s="267" t="s">
        <v>388</v>
      </c>
      <c r="G1009" s="267" t="s">
        <v>1316</v>
      </c>
    </row>
    <row r="1010" spans="1:7">
      <c r="A1010">
        <v>2</v>
      </c>
      <c r="B1010">
        <v>2014</v>
      </c>
      <c r="C1010" t="s">
        <v>155</v>
      </c>
      <c r="D1010" t="s">
        <v>89</v>
      </c>
      <c r="E1010" t="s">
        <v>84</v>
      </c>
      <c r="F1010" s="267" t="s">
        <v>389</v>
      </c>
      <c r="G1010" s="267" t="s">
        <v>1317</v>
      </c>
    </row>
    <row r="1011" spans="1:7">
      <c r="A1011">
        <v>351</v>
      </c>
      <c r="B1011">
        <v>2014</v>
      </c>
      <c r="C1011" t="s">
        <v>107</v>
      </c>
      <c r="D1011" t="s">
        <v>89</v>
      </c>
      <c r="E1011" t="s">
        <v>84</v>
      </c>
      <c r="F1011" s="267" t="s">
        <v>390</v>
      </c>
      <c r="G1011" s="267" t="s">
        <v>1318</v>
      </c>
    </row>
    <row r="1012" spans="1:7">
      <c r="A1012">
        <v>352</v>
      </c>
      <c r="B1012">
        <v>2014</v>
      </c>
      <c r="C1012" t="s">
        <v>108</v>
      </c>
      <c r="D1012" t="s">
        <v>89</v>
      </c>
      <c r="E1012" t="s">
        <v>84</v>
      </c>
      <c r="F1012" s="267" t="s">
        <v>391</v>
      </c>
      <c r="G1012" s="267" t="s">
        <v>1319</v>
      </c>
    </row>
    <row r="1013" spans="1:7">
      <c r="A1013">
        <v>353</v>
      </c>
      <c r="B1013">
        <v>2014</v>
      </c>
      <c r="C1013" t="s">
        <v>109</v>
      </c>
      <c r="D1013" t="s">
        <v>89</v>
      </c>
      <c r="E1013" t="s">
        <v>84</v>
      </c>
      <c r="F1013" s="267" t="s">
        <v>392</v>
      </c>
      <c r="G1013" s="267" t="s">
        <v>493</v>
      </c>
    </row>
    <row r="1014" spans="1:7">
      <c r="A1014">
        <v>354</v>
      </c>
      <c r="B1014">
        <v>2014</v>
      </c>
      <c r="C1014" t="s">
        <v>110</v>
      </c>
      <c r="D1014" t="s">
        <v>89</v>
      </c>
      <c r="E1014" t="s">
        <v>84</v>
      </c>
      <c r="F1014" s="267" t="s">
        <v>393</v>
      </c>
      <c r="G1014" s="267" t="s">
        <v>1320</v>
      </c>
    </row>
    <row r="1015" spans="1:7">
      <c r="A1015">
        <v>355</v>
      </c>
      <c r="B1015">
        <v>2014</v>
      </c>
      <c r="C1015" t="s">
        <v>111</v>
      </c>
      <c r="D1015" t="s">
        <v>89</v>
      </c>
      <c r="E1015" t="s">
        <v>84</v>
      </c>
      <c r="F1015" s="267" t="s">
        <v>394</v>
      </c>
      <c r="G1015" s="267" t="s">
        <v>1321</v>
      </c>
    </row>
    <row r="1016" spans="1:7">
      <c r="A1016">
        <v>356</v>
      </c>
      <c r="B1016">
        <v>2014</v>
      </c>
      <c r="C1016" t="s">
        <v>112</v>
      </c>
      <c r="D1016" t="s">
        <v>89</v>
      </c>
      <c r="E1016" t="s">
        <v>84</v>
      </c>
      <c r="F1016" s="267" t="s">
        <v>395</v>
      </c>
      <c r="G1016" s="267" t="s">
        <v>1165</v>
      </c>
    </row>
    <row r="1017" spans="1:7">
      <c r="A1017">
        <v>357</v>
      </c>
      <c r="B1017">
        <v>2014</v>
      </c>
      <c r="C1017" t="s">
        <v>113</v>
      </c>
      <c r="D1017" t="s">
        <v>89</v>
      </c>
      <c r="E1017" t="s">
        <v>84</v>
      </c>
      <c r="F1017" s="267" t="s">
        <v>396</v>
      </c>
      <c r="G1017" s="267" t="s">
        <v>1322</v>
      </c>
    </row>
    <row r="1018" spans="1:7">
      <c r="A1018">
        <v>358</v>
      </c>
      <c r="B1018">
        <v>2014</v>
      </c>
      <c r="C1018" t="s">
        <v>114</v>
      </c>
      <c r="D1018" t="s">
        <v>89</v>
      </c>
      <c r="E1018" t="s">
        <v>84</v>
      </c>
      <c r="F1018" s="267" t="s">
        <v>397</v>
      </c>
      <c r="G1018" s="267" t="s">
        <v>588</v>
      </c>
    </row>
    <row r="1019" spans="1:7">
      <c r="A1019">
        <v>359</v>
      </c>
      <c r="B1019">
        <v>2014</v>
      </c>
      <c r="C1019" t="s">
        <v>115</v>
      </c>
      <c r="D1019" t="s">
        <v>89</v>
      </c>
      <c r="E1019" t="s">
        <v>84</v>
      </c>
      <c r="F1019" s="267" t="s">
        <v>398</v>
      </c>
      <c r="G1019" s="267" t="s">
        <v>1323</v>
      </c>
    </row>
    <row r="1020" spans="1:7">
      <c r="A1020">
        <v>360</v>
      </c>
      <c r="B1020">
        <v>2014</v>
      </c>
      <c r="C1020" t="s">
        <v>116</v>
      </c>
      <c r="D1020" t="s">
        <v>89</v>
      </c>
      <c r="E1020" t="s">
        <v>84</v>
      </c>
      <c r="F1020" s="267" t="s">
        <v>399</v>
      </c>
      <c r="G1020" s="267" t="s">
        <v>1324</v>
      </c>
    </row>
    <row r="1021" spans="1:7">
      <c r="A1021">
        <v>361</v>
      </c>
      <c r="B1021">
        <v>2014</v>
      </c>
      <c r="C1021" t="s">
        <v>117</v>
      </c>
      <c r="D1021" t="s">
        <v>89</v>
      </c>
      <c r="E1021" t="s">
        <v>84</v>
      </c>
      <c r="F1021" s="267" t="s">
        <v>400</v>
      </c>
      <c r="G1021" s="267" t="s">
        <v>1325</v>
      </c>
    </row>
    <row r="1022" spans="1:7">
      <c r="A1022">
        <v>3</v>
      </c>
      <c r="B1022">
        <v>2014</v>
      </c>
      <c r="C1022" t="s">
        <v>156</v>
      </c>
      <c r="D1022" t="s">
        <v>89</v>
      </c>
      <c r="E1022" t="s">
        <v>84</v>
      </c>
      <c r="F1022" s="267" t="s">
        <v>401</v>
      </c>
      <c r="G1022" s="267" t="s">
        <v>1326</v>
      </c>
    </row>
    <row r="1023" spans="1:7">
      <c r="A1023">
        <v>401</v>
      </c>
      <c r="B1023">
        <v>2014</v>
      </c>
      <c r="C1023" t="s">
        <v>402</v>
      </c>
      <c r="D1023" t="s">
        <v>89</v>
      </c>
      <c r="E1023" t="s">
        <v>84</v>
      </c>
      <c r="F1023" s="267" t="s">
        <v>403</v>
      </c>
      <c r="G1023" s="267" t="s">
        <v>1327</v>
      </c>
    </row>
    <row r="1024" spans="1:7">
      <c r="A1024">
        <v>402</v>
      </c>
      <c r="B1024">
        <v>2014</v>
      </c>
      <c r="C1024" t="s">
        <v>404</v>
      </c>
      <c r="D1024" t="s">
        <v>89</v>
      </c>
      <c r="E1024" t="s">
        <v>84</v>
      </c>
      <c r="F1024" s="267" t="s">
        <v>405</v>
      </c>
      <c r="G1024" s="267" t="s">
        <v>1328</v>
      </c>
    </row>
    <row r="1025" spans="1:7">
      <c r="A1025">
        <v>403</v>
      </c>
      <c r="B1025">
        <v>2014</v>
      </c>
      <c r="C1025" t="s">
        <v>406</v>
      </c>
      <c r="D1025" t="s">
        <v>89</v>
      </c>
      <c r="E1025" t="s">
        <v>84</v>
      </c>
      <c r="F1025" s="267" t="s">
        <v>407</v>
      </c>
      <c r="G1025" s="267" t="s">
        <v>1329</v>
      </c>
    </row>
    <row r="1026" spans="1:7">
      <c r="A1026">
        <v>404</v>
      </c>
      <c r="B1026">
        <v>2014</v>
      </c>
      <c r="C1026" t="s">
        <v>408</v>
      </c>
      <c r="D1026" t="s">
        <v>89</v>
      </c>
      <c r="E1026" t="s">
        <v>84</v>
      </c>
      <c r="F1026" s="267" t="s">
        <v>409</v>
      </c>
      <c r="G1026" s="267" t="s">
        <v>1276</v>
      </c>
    </row>
    <row r="1027" spans="1:7">
      <c r="A1027">
        <v>405</v>
      </c>
      <c r="B1027">
        <v>2014</v>
      </c>
      <c r="C1027" t="s">
        <v>410</v>
      </c>
      <c r="D1027" t="s">
        <v>89</v>
      </c>
      <c r="E1027" t="s">
        <v>84</v>
      </c>
      <c r="F1027" s="267" t="s">
        <v>411</v>
      </c>
      <c r="G1027" s="267" t="s">
        <v>1330</v>
      </c>
    </row>
    <row r="1028" spans="1:7">
      <c r="A1028">
        <v>451</v>
      </c>
      <c r="B1028">
        <v>2014</v>
      </c>
      <c r="C1028" t="s">
        <v>118</v>
      </c>
      <c r="D1028" t="s">
        <v>89</v>
      </c>
      <c r="E1028" t="s">
        <v>84</v>
      </c>
      <c r="F1028" s="267" t="s">
        <v>412</v>
      </c>
      <c r="G1028" s="267" t="s">
        <v>1331</v>
      </c>
    </row>
    <row r="1029" spans="1:7">
      <c r="A1029">
        <v>452</v>
      </c>
      <c r="B1029">
        <v>2014</v>
      </c>
      <c r="C1029" t="s">
        <v>119</v>
      </c>
      <c r="D1029" t="s">
        <v>89</v>
      </c>
      <c r="E1029" t="s">
        <v>84</v>
      </c>
      <c r="F1029" s="267" t="s">
        <v>413</v>
      </c>
      <c r="G1029" s="267" t="s">
        <v>1332</v>
      </c>
    </row>
    <row r="1030" spans="1:7">
      <c r="A1030">
        <v>453</v>
      </c>
      <c r="B1030">
        <v>2014</v>
      </c>
      <c r="C1030" t="s">
        <v>120</v>
      </c>
      <c r="D1030" t="s">
        <v>89</v>
      </c>
      <c r="E1030" t="s">
        <v>84</v>
      </c>
      <c r="F1030" s="267" t="s">
        <v>414</v>
      </c>
      <c r="G1030" s="267" t="s">
        <v>1333</v>
      </c>
    </row>
    <row r="1031" spans="1:7">
      <c r="A1031">
        <v>454</v>
      </c>
      <c r="B1031">
        <v>2014</v>
      </c>
      <c r="C1031" t="s">
        <v>121</v>
      </c>
      <c r="D1031" t="s">
        <v>89</v>
      </c>
      <c r="E1031" t="s">
        <v>84</v>
      </c>
      <c r="F1031" s="267" t="s">
        <v>415</v>
      </c>
      <c r="G1031" s="267" t="s">
        <v>1334</v>
      </c>
    </row>
    <row r="1032" spans="1:7">
      <c r="A1032">
        <v>455</v>
      </c>
      <c r="B1032">
        <v>2014</v>
      </c>
      <c r="C1032" t="s">
        <v>122</v>
      </c>
      <c r="D1032" t="s">
        <v>89</v>
      </c>
      <c r="E1032" t="s">
        <v>84</v>
      </c>
      <c r="F1032" s="267" t="s">
        <v>416</v>
      </c>
      <c r="G1032" s="267" t="s">
        <v>1335</v>
      </c>
    </row>
    <row r="1033" spans="1:7">
      <c r="A1033">
        <v>456</v>
      </c>
      <c r="B1033">
        <v>2014</v>
      </c>
      <c r="C1033" t="s">
        <v>123</v>
      </c>
      <c r="D1033" t="s">
        <v>89</v>
      </c>
      <c r="E1033" t="s">
        <v>84</v>
      </c>
      <c r="F1033" s="267" t="s">
        <v>417</v>
      </c>
      <c r="G1033" s="267" t="s">
        <v>1336</v>
      </c>
    </row>
    <row r="1034" spans="1:7">
      <c r="A1034">
        <v>457</v>
      </c>
      <c r="B1034">
        <v>2014</v>
      </c>
      <c r="C1034" t="s">
        <v>124</v>
      </c>
      <c r="D1034" t="s">
        <v>89</v>
      </c>
      <c r="E1034" t="s">
        <v>84</v>
      </c>
      <c r="F1034" s="267" t="s">
        <v>418</v>
      </c>
      <c r="G1034" s="267" t="s">
        <v>1337</v>
      </c>
    </row>
    <row r="1035" spans="1:7">
      <c r="A1035">
        <v>458</v>
      </c>
      <c r="B1035">
        <v>2014</v>
      </c>
      <c r="C1035" t="s">
        <v>125</v>
      </c>
      <c r="D1035" t="s">
        <v>89</v>
      </c>
      <c r="E1035" t="s">
        <v>84</v>
      </c>
      <c r="F1035" s="267" t="s">
        <v>419</v>
      </c>
      <c r="G1035" s="267" t="s">
        <v>1338</v>
      </c>
    </row>
    <row r="1036" spans="1:7">
      <c r="A1036">
        <v>459</v>
      </c>
      <c r="B1036">
        <v>2014</v>
      </c>
      <c r="C1036" t="s">
        <v>126</v>
      </c>
      <c r="D1036" t="s">
        <v>89</v>
      </c>
      <c r="E1036" t="s">
        <v>84</v>
      </c>
      <c r="F1036" s="267" t="s">
        <v>420</v>
      </c>
      <c r="G1036" s="267" t="s">
        <v>1339</v>
      </c>
    </row>
    <row r="1037" spans="1:7">
      <c r="A1037">
        <v>460</v>
      </c>
      <c r="B1037">
        <v>2014</v>
      </c>
      <c r="C1037" t="s">
        <v>127</v>
      </c>
      <c r="D1037" t="s">
        <v>89</v>
      </c>
      <c r="E1037" t="s">
        <v>84</v>
      </c>
      <c r="F1037" s="267" t="s">
        <v>421</v>
      </c>
      <c r="G1037" s="267" t="s">
        <v>1340</v>
      </c>
    </row>
    <row r="1038" spans="1:7">
      <c r="A1038">
        <v>461</v>
      </c>
      <c r="B1038">
        <v>2014</v>
      </c>
      <c r="C1038" t="s">
        <v>128</v>
      </c>
      <c r="D1038" t="s">
        <v>89</v>
      </c>
      <c r="E1038" t="s">
        <v>84</v>
      </c>
      <c r="F1038" s="267" t="s">
        <v>422</v>
      </c>
      <c r="G1038" s="267" t="s">
        <v>1341</v>
      </c>
    </row>
    <row r="1039" spans="1:7">
      <c r="A1039">
        <v>462</v>
      </c>
      <c r="B1039">
        <v>2014</v>
      </c>
      <c r="C1039" t="s">
        <v>129</v>
      </c>
      <c r="D1039" t="s">
        <v>89</v>
      </c>
      <c r="E1039" t="s">
        <v>84</v>
      </c>
      <c r="F1039" s="267" t="s">
        <v>423</v>
      </c>
      <c r="G1039" s="267" t="s">
        <v>1245</v>
      </c>
    </row>
    <row r="1040" spans="1:7">
      <c r="A1040">
        <v>4</v>
      </c>
      <c r="B1040">
        <v>2014</v>
      </c>
      <c r="C1040" t="s">
        <v>157</v>
      </c>
      <c r="D1040" t="s">
        <v>89</v>
      </c>
      <c r="E1040" t="s">
        <v>84</v>
      </c>
      <c r="F1040" s="267" t="s">
        <v>424</v>
      </c>
      <c r="G1040" s="267" t="s">
        <v>1342</v>
      </c>
    </row>
    <row r="1041" spans="1:7">
      <c r="A1041">
        <v>0</v>
      </c>
      <c r="B1041">
        <v>2014</v>
      </c>
      <c r="C1041" t="s">
        <v>130</v>
      </c>
      <c r="D1041" t="s">
        <v>89</v>
      </c>
      <c r="E1041" t="s">
        <v>84</v>
      </c>
      <c r="F1041" s="267" t="s">
        <v>425</v>
      </c>
      <c r="G1041" s="267" t="s">
        <v>1343</v>
      </c>
    </row>
    <row r="1042" spans="1:7">
      <c r="A1042">
        <v>101</v>
      </c>
      <c r="B1042">
        <v>2014</v>
      </c>
      <c r="C1042" t="s">
        <v>363</v>
      </c>
      <c r="D1042" t="s">
        <v>90</v>
      </c>
      <c r="E1042" t="s">
        <v>84</v>
      </c>
      <c r="F1042" s="267" t="s">
        <v>364</v>
      </c>
      <c r="G1042" s="267" t="s">
        <v>734</v>
      </c>
    </row>
    <row r="1043" spans="1:7">
      <c r="A1043">
        <v>102</v>
      </c>
      <c r="B1043">
        <v>2014</v>
      </c>
      <c r="C1043" t="s">
        <v>365</v>
      </c>
      <c r="D1043" t="s">
        <v>90</v>
      </c>
      <c r="E1043" t="s">
        <v>84</v>
      </c>
      <c r="F1043" s="267" t="s">
        <v>366</v>
      </c>
      <c r="G1043" s="267" t="s">
        <v>1344</v>
      </c>
    </row>
    <row r="1044" spans="1:7">
      <c r="A1044">
        <v>103</v>
      </c>
      <c r="B1044">
        <v>2014</v>
      </c>
      <c r="C1044" t="s">
        <v>367</v>
      </c>
      <c r="D1044" t="s">
        <v>90</v>
      </c>
      <c r="E1044" t="s">
        <v>84</v>
      </c>
      <c r="F1044" s="267" t="s">
        <v>368</v>
      </c>
      <c r="G1044" s="267" t="s">
        <v>1345</v>
      </c>
    </row>
    <row r="1045" spans="1:7">
      <c r="A1045">
        <v>151</v>
      </c>
      <c r="B1045">
        <v>2014</v>
      </c>
      <c r="C1045" t="s">
        <v>94</v>
      </c>
      <c r="D1045" t="s">
        <v>90</v>
      </c>
      <c r="E1045" t="s">
        <v>84</v>
      </c>
      <c r="F1045" s="267" t="s">
        <v>369</v>
      </c>
      <c r="G1045" s="267" t="s">
        <v>1346</v>
      </c>
    </row>
    <row r="1046" spans="1:7">
      <c r="A1046">
        <v>153</v>
      </c>
      <c r="B1046">
        <v>2014</v>
      </c>
      <c r="C1046" t="s">
        <v>96</v>
      </c>
      <c r="D1046" t="s">
        <v>90</v>
      </c>
      <c r="E1046" t="s">
        <v>84</v>
      </c>
      <c r="F1046" s="267" t="s">
        <v>370</v>
      </c>
      <c r="G1046" s="267" t="s">
        <v>1347</v>
      </c>
    </row>
    <row r="1047" spans="1:7">
      <c r="A1047">
        <v>154</v>
      </c>
      <c r="B1047">
        <v>2014</v>
      </c>
      <c r="C1047" t="s">
        <v>97</v>
      </c>
      <c r="D1047" t="s">
        <v>90</v>
      </c>
      <c r="E1047" t="s">
        <v>84</v>
      </c>
      <c r="F1047" s="267" t="s">
        <v>371</v>
      </c>
      <c r="G1047" s="267" t="s">
        <v>1348</v>
      </c>
    </row>
    <row r="1048" spans="1:7">
      <c r="A1048">
        <v>155</v>
      </c>
      <c r="B1048">
        <v>2014</v>
      </c>
      <c r="C1048" t="s">
        <v>98</v>
      </c>
      <c r="D1048" t="s">
        <v>90</v>
      </c>
      <c r="E1048" t="s">
        <v>84</v>
      </c>
      <c r="F1048" s="267" t="s">
        <v>372</v>
      </c>
      <c r="G1048" s="267" t="s">
        <v>562</v>
      </c>
    </row>
    <row r="1049" spans="1:7">
      <c r="A1049">
        <v>157</v>
      </c>
      <c r="B1049">
        <v>2014</v>
      </c>
      <c r="C1049" t="s">
        <v>99</v>
      </c>
      <c r="D1049" t="s">
        <v>90</v>
      </c>
      <c r="E1049" t="s">
        <v>84</v>
      </c>
      <c r="F1049" s="267" t="s">
        <v>373</v>
      </c>
      <c r="G1049" s="267" t="s">
        <v>1349</v>
      </c>
    </row>
    <row r="1050" spans="1:7">
      <c r="A1050">
        <v>158</v>
      </c>
      <c r="B1050">
        <v>2014</v>
      </c>
      <c r="C1050" t="s">
        <v>100</v>
      </c>
      <c r="D1050" t="s">
        <v>90</v>
      </c>
      <c r="E1050" t="s">
        <v>84</v>
      </c>
      <c r="F1050" s="267" t="s">
        <v>374</v>
      </c>
      <c r="G1050" s="267" t="s">
        <v>1350</v>
      </c>
    </row>
    <row r="1051" spans="1:7">
      <c r="A1051">
        <v>159</v>
      </c>
      <c r="B1051">
        <v>2014</v>
      </c>
      <c r="C1051" t="s">
        <v>95</v>
      </c>
      <c r="D1051" t="s">
        <v>90</v>
      </c>
      <c r="E1051" t="s">
        <v>84</v>
      </c>
      <c r="F1051" s="267" t="s">
        <v>375</v>
      </c>
      <c r="G1051" s="267" t="s">
        <v>1351</v>
      </c>
    </row>
    <row r="1052" spans="1:7">
      <c r="A1052">
        <v>1</v>
      </c>
      <c r="B1052">
        <v>2014</v>
      </c>
      <c r="C1052" t="s">
        <v>154</v>
      </c>
      <c r="D1052" t="s">
        <v>90</v>
      </c>
      <c r="E1052" t="s">
        <v>84</v>
      </c>
      <c r="F1052" s="267" t="s">
        <v>376</v>
      </c>
      <c r="G1052" s="267" t="s">
        <v>627</v>
      </c>
    </row>
    <row r="1053" spans="1:7">
      <c r="A1053">
        <v>241</v>
      </c>
      <c r="B1053">
        <v>2014</v>
      </c>
      <c r="C1053" t="s">
        <v>377</v>
      </c>
      <c r="D1053" t="s">
        <v>90</v>
      </c>
      <c r="E1053" t="s">
        <v>84</v>
      </c>
      <c r="F1053" s="267" t="s">
        <v>378</v>
      </c>
      <c r="G1053" s="267" t="s">
        <v>1352</v>
      </c>
    </row>
    <row r="1054" spans="1:7">
      <c r="A1054">
        <v>241001</v>
      </c>
      <c r="B1054">
        <v>2014</v>
      </c>
      <c r="C1054" t="s">
        <v>379</v>
      </c>
      <c r="D1054" t="s">
        <v>90</v>
      </c>
      <c r="E1054" t="s">
        <v>84</v>
      </c>
      <c r="F1054" s="267" t="s">
        <v>380</v>
      </c>
      <c r="G1054" s="267" t="s">
        <v>1353</v>
      </c>
    </row>
    <row r="1055" spans="1:7">
      <c r="A1055">
        <v>241999</v>
      </c>
      <c r="B1055">
        <v>2014</v>
      </c>
      <c r="C1055" t="s">
        <v>381</v>
      </c>
      <c r="D1055" t="s">
        <v>90</v>
      </c>
      <c r="E1055" t="s">
        <v>84</v>
      </c>
      <c r="F1055" s="267" t="s">
        <v>382</v>
      </c>
      <c r="G1055" s="267" t="s">
        <v>1354</v>
      </c>
    </row>
    <row r="1056" spans="1:7">
      <c r="A1056">
        <v>251</v>
      </c>
      <c r="B1056">
        <v>2014</v>
      </c>
      <c r="C1056" t="s">
        <v>101</v>
      </c>
      <c r="D1056" t="s">
        <v>90</v>
      </c>
      <c r="E1056" t="s">
        <v>84</v>
      </c>
      <c r="F1056" s="267" t="s">
        <v>383</v>
      </c>
      <c r="G1056" s="267" t="s">
        <v>1355</v>
      </c>
    </row>
    <row r="1057" spans="1:7">
      <c r="A1057">
        <v>252</v>
      </c>
      <c r="B1057">
        <v>2014</v>
      </c>
      <c r="C1057" t="s">
        <v>102</v>
      </c>
      <c r="D1057" t="s">
        <v>90</v>
      </c>
      <c r="E1057" t="s">
        <v>84</v>
      </c>
      <c r="F1057" s="267" t="s">
        <v>384</v>
      </c>
      <c r="G1057" s="267" t="s">
        <v>1356</v>
      </c>
    </row>
    <row r="1058" spans="1:7">
      <c r="A1058">
        <v>254</v>
      </c>
      <c r="B1058">
        <v>2014</v>
      </c>
      <c r="C1058" t="s">
        <v>103</v>
      </c>
      <c r="D1058" t="s">
        <v>90</v>
      </c>
      <c r="E1058" t="s">
        <v>84</v>
      </c>
      <c r="F1058" s="267" t="s">
        <v>385</v>
      </c>
      <c r="G1058" s="267" t="s">
        <v>1357</v>
      </c>
    </row>
    <row r="1059" spans="1:7">
      <c r="A1059">
        <v>255</v>
      </c>
      <c r="B1059">
        <v>2014</v>
      </c>
      <c r="C1059" t="s">
        <v>104</v>
      </c>
      <c r="D1059" t="s">
        <v>90</v>
      </c>
      <c r="E1059" t="s">
        <v>84</v>
      </c>
      <c r="F1059" s="267" t="s">
        <v>386</v>
      </c>
      <c r="G1059" s="267" t="s">
        <v>1358</v>
      </c>
    </row>
    <row r="1060" spans="1:7">
      <c r="A1060">
        <v>256</v>
      </c>
      <c r="B1060">
        <v>2014</v>
      </c>
      <c r="C1060" t="s">
        <v>105</v>
      </c>
      <c r="D1060" t="s">
        <v>90</v>
      </c>
      <c r="E1060" t="s">
        <v>84</v>
      </c>
      <c r="F1060" s="267" t="s">
        <v>387</v>
      </c>
      <c r="G1060" s="267" t="s">
        <v>1359</v>
      </c>
    </row>
    <row r="1061" spans="1:7">
      <c r="A1061">
        <v>257</v>
      </c>
      <c r="B1061">
        <v>2014</v>
      </c>
      <c r="C1061" t="s">
        <v>106</v>
      </c>
      <c r="D1061" t="s">
        <v>90</v>
      </c>
      <c r="E1061" t="s">
        <v>84</v>
      </c>
      <c r="F1061" s="267" t="s">
        <v>388</v>
      </c>
      <c r="G1061" s="267" t="s">
        <v>1360</v>
      </c>
    </row>
    <row r="1062" spans="1:7">
      <c r="A1062">
        <v>2</v>
      </c>
      <c r="B1062">
        <v>2014</v>
      </c>
      <c r="C1062" t="s">
        <v>155</v>
      </c>
      <c r="D1062" t="s">
        <v>90</v>
      </c>
      <c r="E1062" t="s">
        <v>84</v>
      </c>
      <c r="F1062" s="267" t="s">
        <v>389</v>
      </c>
      <c r="G1062" s="267" t="s">
        <v>1361</v>
      </c>
    </row>
    <row r="1063" spans="1:7">
      <c r="A1063">
        <v>351</v>
      </c>
      <c r="B1063">
        <v>2014</v>
      </c>
      <c r="C1063" t="s">
        <v>107</v>
      </c>
      <c r="D1063" t="s">
        <v>90</v>
      </c>
      <c r="E1063" t="s">
        <v>84</v>
      </c>
      <c r="F1063" s="267" t="s">
        <v>390</v>
      </c>
      <c r="G1063" s="267" t="s">
        <v>1362</v>
      </c>
    </row>
    <row r="1064" spans="1:7">
      <c r="A1064">
        <v>352</v>
      </c>
      <c r="B1064">
        <v>2014</v>
      </c>
      <c r="C1064" t="s">
        <v>108</v>
      </c>
      <c r="D1064" t="s">
        <v>90</v>
      </c>
      <c r="E1064" t="s">
        <v>84</v>
      </c>
      <c r="F1064" s="267" t="s">
        <v>391</v>
      </c>
      <c r="G1064" s="267" t="s">
        <v>1363</v>
      </c>
    </row>
    <row r="1065" spans="1:7">
      <c r="A1065">
        <v>353</v>
      </c>
      <c r="B1065">
        <v>2014</v>
      </c>
      <c r="C1065" t="s">
        <v>109</v>
      </c>
      <c r="D1065" t="s">
        <v>90</v>
      </c>
      <c r="E1065" t="s">
        <v>84</v>
      </c>
      <c r="F1065" s="267" t="s">
        <v>392</v>
      </c>
      <c r="G1065" s="267" t="s">
        <v>960</v>
      </c>
    </row>
    <row r="1066" spans="1:7">
      <c r="A1066">
        <v>354</v>
      </c>
      <c r="B1066">
        <v>2014</v>
      </c>
      <c r="C1066" t="s">
        <v>110</v>
      </c>
      <c r="D1066" t="s">
        <v>90</v>
      </c>
      <c r="E1066" t="s">
        <v>84</v>
      </c>
      <c r="F1066" s="267" t="s">
        <v>393</v>
      </c>
      <c r="G1066" s="267" t="s">
        <v>1364</v>
      </c>
    </row>
    <row r="1067" spans="1:7">
      <c r="A1067">
        <v>355</v>
      </c>
      <c r="B1067">
        <v>2014</v>
      </c>
      <c r="C1067" t="s">
        <v>111</v>
      </c>
      <c r="D1067" t="s">
        <v>90</v>
      </c>
      <c r="E1067" t="s">
        <v>84</v>
      </c>
      <c r="F1067" s="267" t="s">
        <v>394</v>
      </c>
      <c r="G1067" s="267" t="s">
        <v>1290</v>
      </c>
    </row>
    <row r="1068" spans="1:7">
      <c r="A1068">
        <v>356</v>
      </c>
      <c r="B1068">
        <v>2014</v>
      </c>
      <c r="C1068" t="s">
        <v>112</v>
      </c>
      <c r="D1068" t="s">
        <v>90</v>
      </c>
      <c r="E1068" t="s">
        <v>84</v>
      </c>
      <c r="F1068" s="267" t="s">
        <v>395</v>
      </c>
      <c r="G1068" s="267" t="s">
        <v>1365</v>
      </c>
    </row>
    <row r="1069" spans="1:7">
      <c r="A1069">
        <v>357</v>
      </c>
      <c r="B1069">
        <v>2014</v>
      </c>
      <c r="C1069" t="s">
        <v>113</v>
      </c>
      <c r="D1069" t="s">
        <v>90</v>
      </c>
      <c r="E1069" t="s">
        <v>84</v>
      </c>
      <c r="F1069" s="267" t="s">
        <v>396</v>
      </c>
      <c r="G1069" s="267" t="s">
        <v>1366</v>
      </c>
    </row>
    <row r="1070" spans="1:7">
      <c r="A1070">
        <v>358</v>
      </c>
      <c r="B1070">
        <v>2014</v>
      </c>
      <c r="C1070" t="s">
        <v>114</v>
      </c>
      <c r="D1070" t="s">
        <v>90</v>
      </c>
      <c r="E1070" t="s">
        <v>84</v>
      </c>
      <c r="F1070" s="267" t="s">
        <v>397</v>
      </c>
      <c r="G1070" s="267" t="s">
        <v>1367</v>
      </c>
    </row>
    <row r="1071" spans="1:7">
      <c r="A1071">
        <v>359</v>
      </c>
      <c r="B1071">
        <v>2014</v>
      </c>
      <c r="C1071" t="s">
        <v>115</v>
      </c>
      <c r="D1071" t="s">
        <v>90</v>
      </c>
      <c r="E1071" t="s">
        <v>84</v>
      </c>
      <c r="F1071" s="267" t="s">
        <v>398</v>
      </c>
      <c r="G1071" s="267" t="s">
        <v>1368</v>
      </c>
    </row>
    <row r="1072" spans="1:7">
      <c r="A1072">
        <v>360</v>
      </c>
      <c r="B1072">
        <v>2014</v>
      </c>
      <c r="C1072" t="s">
        <v>116</v>
      </c>
      <c r="D1072" t="s">
        <v>90</v>
      </c>
      <c r="E1072" t="s">
        <v>84</v>
      </c>
      <c r="F1072" s="267" t="s">
        <v>399</v>
      </c>
      <c r="G1072" s="267" t="s">
        <v>1221</v>
      </c>
    </row>
    <row r="1073" spans="1:7">
      <c r="A1073">
        <v>361</v>
      </c>
      <c r="B1073">
        <v>2014</v>
      </c>
      <c r="C1073" t="s">
        <v>117</v>
      </c>
      <c r="D1073" t="s">
        <v>90</v>
      </c>
      <c r="E1073" t="s">
        <v>84</v>
      </c>
      <c r="F1073" s="267" t="s">
        <v>400</v>
      </c>
      <c r="G1073" s="267" t="s">
        <v>1369</v>
      </c>
    </row>
    <row r="1074" spans="1:7">
      <c r="A1074">
        <v>3</v>
      </c>
      <c r="B1074">
        <v>2014</v>
      </c>
      <c r="C1074" t="s">
        <v>156</v>
      </c>
      <c r="D1074" t="s">
        <v>90</v>
      </c>
      <c r="E1074" t="s">
        <v>84</v>
      </c>
      <c r="F1074" s="267" t="s">
        <v>401</v>
      </c>
      <c r="G1074" s="267" t="s">
        <v>1370</v>
      </c>
    </row>
    <row r="1075" spans="1:7">
      <c r="A1075">
        <v>401</v>
      </c>
      <c r="B1075">
        <v>2014</v>
      </c>
      <c r="C1075" t="s">
        <v>402</v>
      </c>
      <c r="D1075" t="s">
        <v>90</v>
      </c>
      <c r="E1075" t="s">
        <v>84</v>
      </c>
      <c r="F1075" s="267" t="s">
        <v>403</v>
      </c>
      <c r="G1075" s="267" t="s">
        <v>1371</v>
      </c>
    </row>
    <row r="1076" spans="1:7">
      <c r="A1076">
        <v>402</v>
      </c>
      <c r="B1076">
        <v>2014</v>
      </c>
      <c r="C1076" t="s">
        <v>404</v>
      </c>
      <c r="D1076" t="s">
        <v>90</v>
      </c>
      <c r="E1076" t="s">
        <v>84</v>
      </c>
      <c r="F1076" s="267" t="s">
        <v>405</v>
      </c>
      <c r="G1076" s="267" t="s">
        <v>1372</v>
      </c>
    </row>
    <row r="1077" spans="1:7">
      <c r="A1077">
        <v>403</v>
      </c>
      <c r="B1077">
        <v>2014</v>
      </c>
      <c r="C1077" t="s">
        <v>406</v>
      </c>
      <c r="D1077" t="s">
        <v>90</v>
      </c>
      <c r="E1077" t="s">
        <v>84</v>
      </c>
      <c r="F1077" s="267" t="s">
        <v>407</v>
      </c>
      <c r="G1077" s="267" t="s">
        <v>1373</v>
      </c>
    </row>
    <row r="1078" spans="1:7">
      <c r="A1078">
        <v>404</v>
      </c>
      <c r="B1078">
        <v>2014</v>
      </c>
      <c r="C1078" t="s">
        <v>408</v>
      </c>
      <c r="D1078" t="s">
        <v>90</v>
      </c>
      <c r="E1078" t="s">
        <v>84</v>
      </c>
      <c r="F1078" s="267" t="s">
        <v>409</v>
      </c>
      <c r="G1078" s="267" t="s">
        <v>1374</v>
      </c>
    </row>
    <row r="1079" spans="1:7">
      <c r="A1079">
        <v>405</v>
      </c>
      <c r="B1079">
        <v>2014</v>
      </c>
      <c r="C1079" t="s">
        <v>410</v>
      </c>
      <c r="D1079" t="s">
        <v>90</v>
      </c>
      <c r="E1079" t="s">
        <v>84</v>
      </c>
      <c r="F1079" s="267" t="s">
        <v>411</v>
      </c>
      <c r="G1079" s="267" t="s">
        <v>1375</v>
      </c>
    </row>
    <row r="1080" spans="1:7">
      <c r="A1080">
        <v>451</v>
      </c>
      <c r="B1080">
        <v>2014</v>
      </c>
      <c r="C1080" t="s">
        <v>118</v>
      </c>
      <c r="D1080" t="s">
        <v>90</v>
      </c>
      <c r="E1080" t="s">
        <v>84</v>
      </c>
      <c r="F1080" s="267" t="s">
        <v>412</v>
      </c>
      <c r="G1080" s="267" t="s">
        <v>1376</v>
      </c>
    </row>
    <row r="1081" spans="1:7">
      <c r="A1081">
        <v>452</v>
      </c>
      <c r="B1081">
        <v>2014</v>
      </c>
      <c r="C1081" t="s">
        <v>119</v>
      </c>
      <c r="D1081" t="s">
        <v>90</v>
      </c>
      <c r="E1081" t="s">
        <v>84</v>
      </c>
      <c r="F1081" s="267" t="s">
        <v>413</v>
      </c>
      <c r="G1081" s="267" t="s">
        <v>948</v>
      </c>
    </row>
    <row r="1082" spans="1:7">
      <c r="A1082">
        <v>453</v>
      </c>
      <c r="B1082">
        <v>2014</v>
      </c>
      <c r="C1082" t="s">
        <v>120</v>
      </c>
      <c r="D1082" t="s">
        <v>90</v>
      </c>
      <c r="E1082" t="s">
        <v>84</v>
      </c>
      <c r="F1082" s="267" t="s">
        <v>414</v>
      </c>
      <c r="G1082" s="267" t="s">
        <v>1377</v>
      </c>
    </row>
    <row r="1083" spans="1:7">
      <c r="A1083">
        <v>454</v>
      </c>
      <c r="B1083">
        <v>2014</v>
      </c>
      <c r="C1083" t="s">
        <v>121</v>
      </c>
      <c r="D1083" t="s">
        <v>90</v>
      </c>
      <c r="E1083" t="s">
        <v>84</v>
      </c>
      <c r="F1083" s="267" t="s">
        <v>415</v>
      </c>
      <c r="G1083" s="267" t="s">
        <v>1378</v>
      </c>
    </row>
    <row r="1084" spans="1:7">
      <c r="A1084">
        <v>455</v>
      </c>
      <c r="B1084">
        <v>2014</v>
      </c>
      <c r="C1084" t="s">
        <v>122</v>
      </c>
      <c r="D1084" t="s">
        <v>90</v>
      </c>
      <c r="E1084" t="s">
        <v>84</v>
      </c>
      <c r="F1084" s="267" t="s">
        <v>416</v>
      </c>
      <c r="G1084" s="267" t="s">
        <v>1108</v>
      </c>
    </row>
    <row r="1085" spans="1:7">
      <c r="A1085">
        <v>456</v>
      </c>
      <c r="B1085">
        <v>2014</v>
      </c>
      <c r="C1085" t="s">
        <v>123</v>
      </c>
      <c r="D1085" t="s">
        <v>90</v>
      </c>
      <c r="E1085" t="s">
        <v>84</v>
      </c>
      <c r="F1085" s="267" t="s">
        <v>417</v>
      </c>
      <c r="G1085" s="267" t="s">
        <v>1379</v>
      </c>
    </row>
    <row r="1086" spans="1:7">
      <c r="A1086">
        <v>457</v>
      </c>
      <c r="B1086">
        <v>2014</v>
      </c>
      <c r="C1086" t="s">
        <v>124</v>
      </c>
      <c r="D1086" t="s">
        <v>90</v>
      </c>
      <c r="E1086" t="s">
        <v>84</v>
      </c>
      <c r="F1086" s="267" t="s">
        <v>418</v>
      </c>
      <c r="G1086" s="267" t="s">
        <v>1380</v>
      </c>
    </row>
    <row r="1087" spans="1:7">
      <c r="A1087">
        <v>458</v>
      </c>
      <c r="B1087">
        <v>2014</v>
      </c>
      <c r="C1087" t="s">
        <v>125</v>
      </c>
      <c r="D1087" t="s">
        <v>90</v>
      </c>
      <c r="E1087" t="s">
        <v>84</v>
      </c>
      <c r="F1087" s="267" t="s">
        <v>419</v>
      </c>
      <c r="G1087" s="267" t="s">
        <v>1381</v>
      </c>
    </row>
    <row r="1088" spans="1:7">
      <c r="A1088">
        <v>459</v>
      </c>
      <c r="B1088">
        <v>2014</v>
      </c>
      <c r="C1088" t="s">
        <v>126</v>
      </c>
      <c r="D1088" t="s">
        <v>90</v>
      </c>
      <c r="E1088" t="s">
        <v>84</v>
      </c>
      <c r="F1088" s="267" t="s">
        <v>420</v>
      </c>
      <c r="G1088" s="267" t="s">
        <v>1382</v>
      </c>
    </row>
    <row r="1089" spans="1:7">
      <c r="A1089">
        <v>460</v>
      </c>
      <c r="B1089">
        <v>2014</v>
      </c>
      <c r="C1089" t="s">
        <v>127</v>
      </c>
      <c r="D1089" t="s">
        <v>90</v>
      </c>
      <c r="E1089" t="s">
        <v>84</v>
      </c>
      <c r="F1089" s="267" t="s">
        <v>421</v>
      </c>
      <c r="G1089" s="267" t="s">
        <v>1383</v>
      </c>
    </row>
    <row r="1090" spans="1:7">
      <c r="A1090">
        <v>461</v>
      </c>
      <c r="B1090">
        <v>2014</v>
      </c>
      <c r="C1090" t="s">
        <v>128</v>
      </c>
      <c r="D1090" t="s">
        <v>90</v>
      </c>
      <c r="E1090" t="s">
        <v>84</v>
      </c>
      <c r="F1090" s="267" t="s">
        <v>422</v>
      </c>
      <c r="G1090" s="267" t="s">
        <v>1384</v>
      </c>
    </row>
    <row r="1091" spans="1:7">
      <c r="A1091">
        <v>462</v>
      </c>
      <c r="B1091">
        <v>2014</v>
      </c>
      <c r="C1091" t="s">
        <v>129</v>
      </c>
      <c r="D1091" t="s">
        <v>90</v>
      </c>
      <c r="E1091" t="s">
        <v>84</v>
      </c>
      <c r="F1091" s="267" t="s">
        <v>423</v>
      </c>
      <c r="G1091" s="267" t="s">
        <v>1385</v>
      </c>
    </row>
    <row r="1092" spans="1:7">
      <c r="A1092">
        <v>4</v>
      </c>
      <c r="B1092">
        <v>2014</v>
      </c>
      <c r="C1092" t="s">
        <v>157</v>
      </c>
      <c r="D1092" t="s">
        <v>90</v>
      </c>
      <c r="E1092" t="s">
        <v>84</v>
      </c>
      <c r="F1092" s="267" t="s">
        <v>424</v>
      </c>
      <c r="G1092" s="267" t="s">
        <v>1386</v>
      </c>
    </row>
    <row r="1093" spans="1:7">
      <c r="A1093">
        <v>0</v>
      </c>
      <c r="B1093">
        <v>2014</v>
      </c>
      <c r="C1093" t="s">
        <v>130</v>
      </c>
      <c r="D1093" t="s">
        <v>90</v>
      </c>
      <c r="E1093" t="s">
        <v>84</v>
      </c>
      <c r="F1093" s="267" t="s">
        <v>425</v>
      </c>
      <c r="G1093" s="267" t="s">
        <v>1387</v>
      </c>
    </row>
    <row r="1094" spans="1:7">
      <c r="A1094">
        <v>101</v>
      </c>
      <c r="B1094">
        <v>2013</v>
      </c>
      <c r="C1094" t="s">
        <v>363</v>
      </c>
      <c r="D1094" t="s">
        <v>28</v>
      </c>
      <c r="E1094" t="s">
        <v>84</v>
      </c>
      <c r="F1094" s="267" t="s">
        <v>364</v>
      </c>
      <c r="G1094" s="267" t="s">
        <v>1388</v>
      </c>
    </row>
    <row r="1095" spans="1:7">
      <c r="A1095">
        <v>102</v>
      </c>
      <c r="B1095">
        <v>2013</v>
      </c>
      <c r="C1095" t="s">
        <v>365</v>
      </c>
      <c r="D1095" t="s">
        <v>28</v>
      </c>
      <c r="E1095" t="s">
        <v>84</v>
      </c>
      <c r="F1095" s="267" t="s">
        <v>366</v>
      </c>
      <c r="G1095" s="267" t="s">
        <v>1389</v>
      </c>
    </row>
    <row r="1096" spans="1:7">
      <c r="A1096">
        <v>103</v>
      </c>
      <c r="B1096">
        <v>2013</v>
      </c>
      <c r="C1096" t="s">
        <v>367</v>
      </c>
      <c r="D1096" t="s">
        <v>28</v>
      </c>
      <c r="E1096" t="s">
        <v>84</v>
      </c>
      <c r="F1096" s="267" t="s">
        <v>368</v>
      </c>
      <c r="G1096" s="267" t="s">
        <v>1390</v>
      </c>
    </row>
    <row r="1097" spans="1:7">
      <c r="A1097">
        <v>151</v>
      </c>
      <c r="B1097">
        <v>2013</v>
      </c>
      <c r="C1097" t="s">
        <v>94</v>
      </c>
      <c r="D1097" t="s">
        <v>28</v>
      </c>
      <c r="E1097" t="s">
        <v>84</v>
      </c>
      <c r="F1097" s="267" t="s">
        <v>369</v>
      </c>
      <c r="G1097" s="267" t="s">
        <v>1391</v>
      </c>
    </row>
    <row r="1098" spans="1:7">
      <c r="A1098">
        <v>153</v>
      </c>
      <c r="B1098">
        <v>2013</v>
      </c>
      <c r="C1098" t="s">
        <v>96</v>
      </c>
      <c r="D1098" t="s">
        <v>28</v>
      </c>
      <c r="E1098" t="s">
        <v>84</v>
      </c>
      <c r="F1098" s="267" t="s">
        <v>370</v>
      </c>
      <c r="G1098" s="267" t="s">
        <v>1392</v>
      </c>
    </row>
    <row r="1099" spans="1:7">
      <c r="A1099">
        <v>154</v>
      </c>
      <c r="B1099">
        <v>2013</v>
      </c>
      <c r="C1099" t="s">
        <v>97</v>
      </c>
      <c r="D1099" t="s">
        <v>28</v>
      </c>
      <c r="E1099" t="s">
        <v>84</v>
      </c>
      <c r="F1099" s="267" t="s">
        <v>371</v>
      </c>
      <c r="G1099" s="267" t="s">
        <v>1393</v>
      </c>
    </row>
    <row r="1100" spans="1:7">
      <c r="A1100">
        <v>155</v>
      </c>
      <c r="B1100">
        <v>2013</v>
      </c>
      <c r="C1100" t="s">
        <v>98</v>
      </c>
      <c r="D1100" t="s">
        <v>28</v>
      </c>
      <c r="E1100" t="s">
        <v>84</v>
      </c>
      <c r="F1100" s="267" t="s">
        <v>372</v>
      </c>
      <c r="G1100" s="267" t="s">
        <v>1181</v>
      </c>
    </row>
    <row r="1101" spans="1:7">
      <c r="A1101">
        <v>157</v>
      </c>
      <c r="B1101">
        <v>2013</v>
      </c>
      <c r="C1101" t="s">
        <v>99</v>
      </c>
      <c r="D1101" t="s">
        <v>28</v>
      </c>
      <c r="E1101" t="s">
        <v>84</v>
      </c>
      <c r="F1101" s="267" t="s">
        <v>373</v>
      </c>
      <c r="G1101" s="267" t="s">
        <v>1002</v>
      </c>
    </row>
    <row r="1102" spans="1:7">
      <c r="A1102">
        <v>158</v>
      </c>
      <c r="B1102">
        <v>2013</v>
      </c>
      <c r="C1102" t="s">
        <v>100</v>
      </c>
      <c r="D1102" t="s">
        <v>28</v>
      </c>
      <c r="E1102" t="s">
        <v>84</v>
      </c>
      <c r="F1102" s="267" t="s">
        <v>374</v>
      </c>
      <c r="G1102" s="267" t="s">
        <v>1394</v>
      </c>
    </row>
    <row r="1103" spans="1:7">
      <c r="A1103">
        <v>159</v>
      </c>
      <c r="B1103">
        <v>2013</v>
      </c>
      <c r="C1103" t="s">
        <v>95</v>
      </c>
      <c r="D1103" t="s">
        <v>28</v>
      </c>
      <c r="E1103" t="s">
        <v>84</v>
      </c>
      <c r="F1103" s="267" t="s">
        <v>375</v>
      </c>
      <c r="G1103" s="267" t="s">
        <v>1395</v>
      </c>
    </row>
    <row r="1104" spans="1:7">
      <c r="A1104">
        <v>1</v>
      </c>
      <c r="B1104">
        <v>2013</v>
      </c>
      <c r="C1104" t="s">
        <v>154</v>
      </c>
      <c r="D1104" t="s">
        <v>28</v>
      </c>
      <c r="E1104" t="s">
        <v>84</v>
      </c>
      <c r="F1104" s="267" t="s">
        <v>376</v>
      </c>
      <c r="G1104" s="267" t="s">
        <v>1396</v>
      </c>
    </row>
    <row r="1105" spans="1:7">
      <c r="A1105">
        <v>241</v>
      </c>
      <c r="B1105">
        <v>2013</v>
      </c>
      <c r="C1105" t="s">
        <v>377</v>
      </c>
      <c r="D1105" t="s">
        <v>28</v>
      </c>
      <c r="E1105" t="s">
        <v>84</v>
      </c>
      <c r="F1105" s="267" t="s">
        <v>378</v>
      </c>
      <c r="G1105" s="267" t="s">
        <v>1397</v>
      </c>
    </row>
    <row r="1106" spans="1:7">
      <c r="A1106">
        <v>241001</v>
      </c>
      <c r="B1106">
        <v>2013</v>
      </c>
      <c r="C1106" t="s">
        <v>379</v>
      </c>
      <c r="D1106" t="s">
        <v>28</v>
      </c>
      <c r="E1106" t="s">
        <v>84</v>
      </c>
      <c r="F1106" s="267" t="s">
        <v>380</v>
      </c>
      <c r="G1106" s="267" t="s">
        <v>1398</v>
      </c>
    </row>
    <row r="1107" spans="1:7">
      <c r="A1107">
        <v>241999</v>
      </c>
      <c r="B1107">
        <v>2013</v>
      </c>
      <c r="C1107" t="s">
        <v>381</v>
      </c>
      <c r="D1107" t="s">
        <v>28</v>
      </c>
      <c r="E1107" t="s">
        <v>84</v>
      </c>
      <c r="F1107" s="267" t="s">
        <v>382</v>
      </c>
      <c r="G1107" s="267" t="s">
        <v>1399</v>
      </c>
    </row>
    <row r="1108" spans="1:7">
      <c r="A1108">
        <v>251</v>
      </c>
      <c r="B1108">
        <v>2013</v>
      </c>
      <c r="C1108" t="s">
        <v>101</v>
      </c>
      <c r="D1108" t="s">
        <v>28</v>
      </c>
      <c r="E1108" t="s">
        <v>84</v>
      </c>
      <c r="F1108" s="267" t="s">
        <v>383</v>
      </c>
      <c r="G1108" s="267" t="s">
        <v>497</v>
      </c>
    </row>
    <row r="1109" spans="1:7">
      <c r="A1109">
        <v>252</v>
      </c>
      <c r="B1109">
        <v>2013</v>
      </c>
      <c r="C1109" t="s">
        <v>102</v>
      </c>
      <c r="D1109" t="s">
        <v>28</v>
      </c>
      <c r="E1109" t="s">
        <v>84</v>
      </c>
      <c r="F1109" s="267" t="s">
        <v>384</v>
      </c>
      <c r="G1109" s="267" t="s">
        <v>651</v>
      </c>
    </row>
    <row r="1110" spans="1:7">
      <c r="A1110">
        <v>254</v>
      </c>
      <c r="B1110">
        <v>2013</v>
      </c>
      <c r="C1110" t="s">
        <v>103</v>
      </c>
      <c r="D1110" t="s">
        <v>28</v>
      </c>
      <c r="E1110" t="s">
        <v>84</v>
      </c>
      <c r="F1110" s="267" t="s">
        <v>385</v>
      </c>
      <c r="G1110" s="267" t="s">
        <v>1400</v>
      </c>
    </row>
    <row r="1111" spans="1:7">
      <c r="A1111">
        <v>255</v>
      </c>
      <c r="B1111">
        <v>2013</v>
      </c>
      <c r="C1111" t="s">
        <v>104</v>
      </c>
      <c r="D1111" t="s">
        <v>28</v>
      </c>
      <c r="E1111" t="s">
        <v>84</v>
      </c>
      <c r="F1111" s="267" t="s">
        <v>386</v>
      </c>
      <c r="G1111" s="267" t="s">
        <v>1401</v>
      </c>
    </row>
    <row r="1112" spans="1:7">
      <c r="A1112">
        <v>256</v>
      </c>
      <c r="B1112">
        <v>2013</v>
      </c>
      <c r="C1112" t="s">
        <v>105</v>
      </c>
      <c r="D1112" t="s">
        <v>28</v>
      </c>
      <c r="E1112" t="s">
        <v>84</v>
      </c>
      <c r="F1112" s="267" t="s">
        <v>387</v>
      </c>
      <c r="G1112" s="267" t="s">
        <v>617</v>
      </c>
    </row>
    <row r="1113" spans="1:7">
      <c r="A1113">
        <v>257</v>
      </c>
      <c r="B1113">
        <v>2013</v>
      </c>
      <c r="C1113" t="s">
        <v>106</v>
      </c>
      <c r="D1113" t="s">
        <v>28</v>
      </c>
      <c r="E1113" t="s">
        <v>84</v>
      </c>
      <c r="F1113" s="267" t="s">
        <v>388</v>
      </c>
      <c r="G1113" s="267" t="s">
        <v>1402</v>
      </c>
    </row>
    <row r="1114" spans="1:7">
      <c r="A1114">
        <v>2</v>
      </c>
      <c r="B1114">
        <v>2013</v>
      </c>
      <c r="C1114" t="s">
        <v>155</v>
      </c>
      <c r="D1114" t="s">
        <v>28</v>
      </c>
      <c r="E1114" t="s">
        <v>84</v>
      </c>
      <c r="F1114" s="267" t="s">
        <v>389</v>
      </c>
      <c r="G1114" s="267" t="s">
        <v>1403</v>
      </c>
    </row>
    <row r="1115" spans="1:7">
      <c r="A1115">
        <v>351</v>
      </c>
      <c r="B1115">
        <v>2013</v>
      </c>
      <c r="C1115" t="s">
        <v>107</v>
      </c>
      <c r="D1115" t="s">
        <v>28</v>
      </c>
      <c r="E1115" t="s">
        <v>84</v>
      </c>
      <c r="F1115" s="267" t="s">
        <v>390</v>
      </c>
      <c r="G1115" s="267" t="s">
        <v>1404</v>
      </c>
    </row>
    <row r="1116" spans="1:7">
      <c r="A1116">
        <v>352</v>
      </c>
      <c r="B1116">
        <v>2013</v>
      </c>
      <c r="C1116" t="s">
        <v>108</v>
      </c>
      <c r="D1116" t="s">
        <v>28</v>
      </c>
      <c r="E1116" t="s">
        <v>84</v>
      </c>
      <c r="F1116" s="267" t="s">
        <v>391</v>
      </c>
      <c r="G1116" s="267" t="s">
        <v>1405</v>
      </c>
    </row>
    <row r="1117" spans="1:7">
      <c r="A1117">
        <v>353</v>
      </c>
      <c r="B1117">
        <v>2013</v>
      </c>
      <c r="C1117" t="s">
        <v>109</v>
      </c>
      <c r="D1117" t="s">
        <v>28</v>
      </c>
      <c r="E1117" t="s">
        <v>84</v>
      </c>
      <c r="F1117" s="267" t="s">
        <v>392</v>
      </c>
      <c r="G1117" s="267" t="s">
        <v>1406</v>
      </c>
    </row>
    <row r="1118" spans="1:7">
      <c r="A1118">
        <v>354</v>
      </c>
      <c r="B1118">
        <v>2013</v>
      </c>
      <c r="C1118" t="s">
        <v>110</v>
      </c>
      <c r="D1118" t="s">
        <v>28</v>
      </c>
      <c r="E1118" t="s">
        <v>84</v>
      </c>
      <c r="F1118" s="267" t="s">
        <v>393</v>
      </c>
      <c r="G1118" s="267" t="s">
        <v>1348</v>
      </c>
    </row>
    <row r="1119" spans="1:7">
      <c r="A1119">
        <v>355</v>
      </c>
      <c r="B1119">
        <v>2013</v>
      </c>
      <c r="C1119" t="s">
        <v>111</v>
      </c>
      <c r="D1119" t="s">
        <v>28</v>
      </c>
      <c r="E1119" t="s">
        <v>84</v>
      </c>
      <c r="F1119" s="267" t="s">
        <v>394</v>
      </c>
      <c r="G1119" s="267" t="s">
        <v>1407</v>
      </c>
    </row>
    <row r="1120" spans="1:7">
      <c r="A1120">
        <v>356</v>
      </c>
      <c r="B1120">
        <v>2013</v>
      </c>
      <c r="C1120" t="s">
        <v>112</v>
      </c>
      <c r="D1120" t="s">
        <v>28</v>
      </c>
      <c r="E1120" t="s">
        <v>84</v>
      </c>
      <c r="F1120" s="267" t="s">
        <v>395</v>
      </c>
      <c r="G1120" s="267" t="s">
        <v>1408</v>
      </c>
    </row>
    <row r="1121" spans="1:7">
      <c r="A1121">
        <v>357</v>
      </c>
      <c r="B1121">
        <v>2013</v>
      </c>
      <c r="C1121" t="s">
        <v>113</v>
      </c>
      <c r="D1121" t="s">
        <v>28</v>
      </c>
      <c r="E1121" t="s">
        <v>84</v>
      </c>
      <c r="F1121" s="267" t="s">
        <v>396</v>
      </c>
      <c r="G1121" s="267" t="s">
        <v>1409</v>
      </c>
    </row>
    <row r="1122" spans="1:7">
      <c r="A1122">
        <v>358</v>
      </c>
      <c r="B1122">
        <v>2013</v>
      </c>
      <c r="C1122" t="s">
        <v>114</v>
      </c>
      <c r="D1122" t="s">
        <v>28</v>
      </c>
      <c r="E1122" t="s">
        <v>84</v>
      </c>
      <c r="F1122" s="267" t="s">
        <v>397</v>
      </c>
      <c r="G1122" s="267" t="s">
        <v>1410</v>
      </c>
    </row>
    <row r="1123" spans="1:7">
      <c r="A1123">
        <v>359</v>
      </c>
      <c r="B1123">
        <v>2013</v>
      </c>
      <c r="C1123" t="s">
        <v>115</v>
      </c>
      <c r="D1123" t="s">
        <v>28</v>
      </c>
      <c r="E1123" t="s">
        <v>84</v>
      </c>
      <c r="F1123" s="267" t="s">
        <v>398</v>
      </c>
      <c r="G1123" s="267" t="s">
        <v>1411</v>
      </c>
    </row>
    <row r="1124" spans="1:7">
      <c r="A1124">
        <v>360</v>
      </c>
      <c r="B1124">
        <v>2013</v>
      </c>
      <c r="C1124" t="s">
        <v>116</v>
      </c>
      <c r="D1124" t="s">
        <v>28</v>
      </c>
      <c r="E1124" t="s">
        <v>84</v>
      </c>
      <c r="F1124" s="267" t="s">
        <v>399</v>
      </c>
      <c r="G1124" s="267" t="s">
        <v>1412</v>
      </c>
    </row>
    <row r="1125" spans="1:7">
      <c r="A1125">
        <v>361</v>
      </c>
      <c r="B1125">
        <v>2013</v>
      </c>
      <c r="C1125" t="s">
        <v>117</v>
      </c>
      <c r="D1125" t="s">
        <v>28</v>
      </c>
      <c r="E1125" t="s">
        <v>84</v>
      </c>
      <c r="F1125" s="267" t="s">
        <v>400</v>
      </c>
      <c r="G1125" s="267" t="s">
        <v>1413</v>
      </c>
    </row>
    <row r="1126" spans="1:7">
      <c r="A1126">
        <v>3</v>
      </c>
      <c r="B1126">
        <v>2013</v>
      </c>
      <c r="C1126" t="s">
        <v>156</v>
      </c>
      <c r="D1126" t="s">
        <v>28</v>
      </c>
      <c r="E1126" t="s">
        <v>84</v>
      </c>
      <c r="F1126" s="267" t="s">
        <v>401</v>
      </c>
      <c r="G1126" s="267" t="s">
        <v>1414</v>
      </c>
    </row>
    <row r="1127" spans="1:7">
      <c r="A1127">
        <v>401</v>
      </c>
      <c r="B1127">
        <v>2013</v>
      </c>
      <c r="C1127" t="s">
        <v>402</v>
      </c>
      <c r="D1127" t="s">
        <v>28</v>
      </c>
      <c r="E1127" t="s">
        <v>84</v>
      </c>
      <c r="F1127" s="267" t="s">
        <v>403</v>
      </c>
      <c r="G1127" s="267" t="s">
        <v>508</v>
      </c>
    </row>
    <row r="1128" spans="1:7">
      <c r="A1128">
        <v>402</v>
      </c>
      <c r="B1128">
        <v>2013</v>
      </c>
      <c r="C1128" t="s">
        <v>404</v>
      </c>
      <c r="D1128" t="s">
        <v>28</v>
      </c>
      <c r="E1128" t="s">
        <v>84</v>
      </c>
      <c r="F1128" s="267" t="s">
        <v>405</v>
      </c>
      <c r="G1128" s="267" t="s">
        <v>1415</v>
      </c>
    </row>
    <row r="1129" spans="1:7">
      <c r="A1129">
        <v>403</v>
      </c>
      <c r="B1129">
        <v>2013</v>
      </c>
      <c r="C1129" t="s">
        <v>406</v>
      </c>
      <c r="D1129" t="s">
        <v>28</v>
      </c>
      <c r="E1129" t="s">
        <v>84</v>
      </c>
      <c r="F1129" s="267" t="s">
        <v>407</v>
      </c>
      <c r="G1129" s="267" t="s">
        <v>1416</v>
      </c>
    </row>
    <row r="1130" spans="1:7">
      <c r="A1130">
        <v>404</v>
      </c>
      <c r="B1130">
        <v>2013</v>
      </c>
      <c r="C1130" t="s">
        <v>408</v>
      </c>
      <c r="D1130" t="s">
        <v>28</v>
      </c>
      <c r="E1130" t="s">
        <v>84</v>
      </c>
      <c r="F1130" s="267" t="s">
        <v>409</v>
      </c>
      <c r="G1130" s="267" t="s">
        <v>1417</v>
      </c>
    </row>
    <row r="1131" spans="1:7">
      <c r="A1131">
        <v>405</v>
      </c>
      <c r="B1131">
        <v>2013</v>
      </c>
      <c r="C1131" t="s">
        <v>410</v>
      </c>
      <c r="D1131" t="s">
        <v>28</v>
      </c>
      <c r="E1131" t="s">
        <v>84</v>
      </c>
      <c r="F1131" s="267" t="s">
        <v>411</v>
      </c>
      <c r="G1131" s="267" t="s">
        <v>1418</v>
      </c>
    </row>
    <row r="1132" spans="1:7">
      <c r="A1132">
        <v>451</v>
      </c>
      <c r="B1132">
        <v>2013</v>
      </c>
      <c r="C1132" t="s">
        <v>118</v>
      </c>
      <c r="D1132" t="s">
        <v>28</v>
      </c>
      <c r="E1132" t="s">
        <v>84</v>
      </c>
      <c r="F1132" s="267" t="s">
        <v>412</v>
      </c>
      <c r="G1132" s="267" t="s">
        <v>1419</v>
      </c>
    </row>
    <row r="1133" spans="1:7">
      <c r="A1133">
        <v>452</v>
      </c>
      <c r="B1133">
        <v>2013</v>
      </c>
      <c r="C1133" t="s">
        <v>119</v>
      </c>
      <c r="D1133" t="s">
        <v>28</v>
      </c>
      <c r="E1133" t="s">
        <v>84</v>
      </c>
      <c r="F1133" s="267" t="s">
        <v>413</v>
      </c>
      <c r="G1133" s="267" t="s">
        <v>1420</v>
      </c>
    </row>
    <row r="1134" spans="1:7">
      <c r="A1134">
        <v>453</v>
      </c>
      <c r="B1134">
        <v>2013</v>
      </c>
      <c r="C1134" t="s">
        <v>120</v>
      </c>
      <c r="D1134" t="s">
        <v>28</v>
      </c>
      <c r="E1134" t="s">
        <v>84</v>
      </c>
      <c r="F1134" s="267" t="s">
        <v>414</v>
      </c>
      <c r="G1134" s="267" t="s">
        <v>1421</v>
      </c>
    </row>
    <row r="1135" spans="1:7">
      <c r="A1135">
        <v>454</v>
      </c>
      <c r="B1135">
        <v>2013</v>
      </c>
      <c r="C1135" t="s">
        <v>121</v>
      </c>
      <c r="D1135" t="s">
        <v>28</v>
      </c>
      <c r="E1135" t="s">
        <v>84</v>
      </c>
      <c r="F1135" s="267" t="s">
        <v>415</v>
      </c>
      <c r="G1135" s="267" t="s">
        <v>1422</v>
      </c>
    </row>
    <row r="1136" spans="1:7">
      <c r="A1136">
        <v>455</v>
      </c>
      <c r="B1136">
        <v>2013</v>
      </c>
      <c r="C1136" t="s">
        <v>122</v>
      </c>
      <c r="D1136" t="s">
        <v>28</v>
      </c>
      <c r="E1136" t="s">
        <v>84</v>
      </c>
      <c r="F1136" s="267" t="s">
        <v>416</v>
      </c>
      <c r="G1136" s="267" t="s">
        <v>1423</v>
      </c>
    </row>
    <row r="1137" spans="1:7">
      <c r="A1137">
        <v>456</v>
      </c>
      <c r="B1137">
        <v>2013</v>
      </c>
      <c r="C1137" t="s">
        <v>123</v>
      </c>
      <c r="D1137" t="s">
        <v>28</v>
      </c>
      <c r="E1137" t="s">
        <v>84</v>
      </c>
      <c r="F1137" s="267" t="s">
        <v>417</v>
      </c>
      <c r="G1137" s="267" t="s">
        <v>1424</v>
      </c>
    </row>
    <row r="1138" spans="1:7">
      <c r="A1138">
        <v>457</v>
      </c>
      <c r="B1138">
        <v>2013</v>
      </c>
      <c r="C1138" t="s">
        <v>124</v>
      </c>
      <c r="D1138" t="s">
        <v>28</v>
      </c>
      <c r="E1138" t="s">
        <v>84</v>
      </c>
      <c r="F1138" s="267" t="s">
        <v>418</v>
      </c>
      <c r="G1138" s="267" t="s">
        <v>1425</v>
      </c>
    </row>
    <row r="1139" spans="1:7">
      <c r="A1139">
        <v>458</v>
      </c>
      <c r="B1139">
        <v>2013</v>
      </c>
      <c r="C1139" t="s">
        <v>125</v>
      </c>
      <c r="D1139" t="s">
        <v>28</v>
      </c>
      <c r="E1139" t="s">
        <v>84</v>
      </c>
      <c r="F1139" s="267" t="s">
        <v>419</v>
      </c>
      <c r="G1139" s="267" t="s">
        <v>1426</v>
      </c>
    </row>
    <row r="1140" spans="1:7">
      <c r="A1140">
        <v>459</v>
      </c>
      <c r="B1140">
        <v>2013</v>
      </c>
      <c r="C1140" t="s">
        <v>126</v>
      </c>
      <c r="D1140" t="s">
        <v>28</v>
      </c>
      <c r="E1140" t="s">
        <v>84</v>
      </c>
      <c r="F1140" s="267" t="s">
        <v>420</v>
      </c>
      <c r="G1140" s="267" t="s">
        <v>1427</v>
      </c>
    </row>
    <row r="1141" spans="1:7">
      <c r="A1141">
        <v>460</v>
      </c>
      <c r="B1141">
        <v>2013</v>
      </c>
      <c r="C1141" t="s">
        <v>127</v>
      </c>
      <c r="D1141" t="s">
        <v>28</v>
      </c>
      <c r="E1141" t="s">
        <v>84</v>
      </c>
      <c r="F1141" s="267" t="s">
        <v>421</v>
      </c>
      <c r="G1141" s="267" t="s">
        <v>1428</v>
      </c>
    </row>
    <row r="1142" spans="1:7">
      <c r="A1142">
        <v>461</v>
      </c>
      <c r="B1142">
        <v>2013</v>
      </c>
      <c r="C1142" t="s">
        <v>128</v>
      </c>
      <c r="D1142" t="s">
        <v>28</v>
      </c>
      <c r="E1142" t="s">
        <v>84</v>
      </c>
      <c r="F1142" s="267" t="s">
        <v>422</v>
      </c>
      <c r="G1142" s="267" t="s">
        <v>1373</v>
      </c>
    </row>
    <row r="1143" spans="1:7">
      <c r="A1143">
        <v>462</v>
      </c>
      <c r="B1143">
        <v>2013</v>
      </c>
      <c r="C1143" t="s">
        <v>129</v>
      </c>
      <c r="D1143" t="s">
        <v>28</v>
      </c>
      <c r="E1143" t="s">
        <v>84</v>
      </c>
      <c r="F1143" s="267" t="s">
        <v>423</v>
      </c>
      <c r="G1143" s="267" t="s">
        <v>1429</v>
      </c>
    </row>
    <row r="1144" spans="1:7">
      <c r="A1144">
        <v>4</v>
      </c>
      <c r="B1144">
        <v>2013</v>
      </c>
      <c r="C1144" t="s">
        <v>157</v>
      </c>
      <c r="D1144" t="s">
        <v>28</v>
      </c>
      <c r="E1144" t="s">
        <v>84</v>
      </c>
      <c r="F1144" s="267" t="s">
        <v>424</v>
      </c>
      <c r="G1144" s="267" t="s">
        <v>1430</v>
      </c>
    </row>
    <row r="1145" spans="1:7">
      <c r="A1145">
        <v>0</v>
      </c>
      <c r="B1145">
        <v>2013</v>
      </c>
      <c r="C1145" t="s">
        <v>130</v>
      </c>
      <c r="D1145" t="s">
        <v>28</v>
      </c>
      <c r="E1145" t="s">
        <v>84</v>
      </c>
      <c r="F1145" s="267" t="s">
        <v>425</v>
      </c>
      <c r="G1145" s="267" t="s">
        <v>1431</v>
      </c>
    </row>
    <row r="1146" spans="1:7">
      <c r="A1146">
        <v>101</v>
      </c>
      <c r="B1146">
        <v>2013</v>
      </c>
      <c r="C1146" t="s">
        <v>363</v>
      </c>
      <c r="D1146" t="s">
        <v>89</v>
      </c>
      <c r="E1146" t="s">
        <v>84</v>
      </c>
      <c r="F1146" s="267" t="s">
        <v>364</v>
      </c>
      <c r="G1146" s="267" t="s">
        <v>1432</v>
      </c>
    </row>
    <row r="1147" spans="1:7">
      <c r="A1147">
        <v>102</v>
      </c>
      <c r="B1147">
        <v>2013</v>
      </c>
      <c r="C1147" t="s">
        <v>365</v>
      </c>
      <c r="D1147" t="s">
        <v>89</v>
      </c>
      <c r="E1147" t="s">
        <v>84</v>
      </c>
      <c r="F1147" s="267" t="s">
        <v>366</v>
      </c>
      <c r="G1147" s="267" t="s">
        <v>1433</v>
      </c>
    </row>
    <row r="1148" spans="1:7">
      <c r="A1148">
        <v>103</v>
      </c>
      <c r="B1148">
        <v>2013</v>
      </c>
      <c r="C1148" t="s">
        <v>367</v>
      </c>
      <c r="D1148" t="s">
        <v>89</v>
      </c>
      <c r="E1148" t="s">
        <v>84</v>
      </c>
      <c r="F1148" s="267" t="s">
        <v>368</v>
      </c>
      <c r="G1148" s="267" t="s">
        <v>1434</v>
      </c>
    </row>
    <row r="1149" spans="1:7">
      <c r="A1149">
        <v>151</v>
      </c>
      <c r="B1149">
        <v>2013</v>
      </c>
      <c r="C1149" t="s">
        <v>94</v>
      </c>
      <c r="D1149" t="s">
        <v>89</v>
      </c>
      <c r="E1149" t="s">
        <v>84</v>
      </c>
      <c r="F1149" s="267" t="s">
        <v>369</v>
      </c>
      <c r="G1149" s="267" t="s">
        <v>1435</v>
      </c>
    </row>
    <row r="1150" spans="1:7">
      <c r="A1150">
        <v>153</v>
      </c>
      <c r="B1150">
        <v>2013</v>
      </c>
      <c r="C1150" t="s">
        <v>96</v>
      </c>
      <c r="D1150" t="s">
        <v>89</v>
      </c>
      <c r="E1150" t="s">
        <v>84</v>
      </c>
      <c r="F1150" s="267" t="s">
        <v>370</v>
      </c>
      <c r="G1150" s="267" t="s">
        <v>637</v>
      </c>
    </row>
    <row r="1151" spans="1:7">
      <c r="A1151">
        <v>154</v>
      </c>
      <c r="B1151">
        <v>2013</v>
      </c>
      <c r="C1151" t="s">
        <v>97</v>
      </c>
      <c r="D1151" t="s">
        <v>89</v>
      </c>
      <c r="E1151" t="s">
        <v>84</v>
      </c>
      <c r="F1151" s="267" t="s">
        <v>371</v>
      </c>
      <c r="G1151" s="267" t="s">
        <v>1436</v>
      </c>
    </row>
    <row r="1152" spans="1:7">
      <c r="A1152">
        <v>155</v>
      </c>
      <c r="B1152">
        <v>2013</v>
      </c>
      <c r="C1152" t="s">
        <v>98</v>
      </c>
      <c r="D1152" t="s">
        <v>89</v>
      </c>
      <c r="E1152" t="s">
        <v>84</v>
      </c>
      <c r="F1152" s="267" t="s">
        <v>372</v>
      </c>
      <c r="G1152" s="267" t="s">
        <v>870</v>
      </c>
    </row>
    <row r="1153" spans="1:7">
      <c r="A1153">
        <v>157</v>
      </c>
      <c r="B1153">
        <v>2013</v>
      </c>
      <c r="C1153" t="s">
        <v>99</v>
      </c>
      <c r="D1153" t="s">
        <v>89</v>
      </c>
      <c r="E1153" t="s">
        <v>84</v>
      </c>
      <c r="F1153" s="267" t="s">
        <v>373</v>
      </c>
      <c r="G1153" s="267" t="s">
        <v>1437</v>
      </c>
    </row>
    <row r="1154" spans="1:7">
      <c r="A1154">
        <v>158</v>
      </c>
      <c r="B1154">
        <v>2013</v>
      </c>
      <c r="C1154" t="s">
        <v>100</v>
      </c>
      <c r="D1154" t="s">
        <v>89</v>
      </c>
      <c r="E1154" t="s">
        <v>84</v>
      </c>
      <c r="F1154" s="267" t="s">
        <v>374</v>
      </c>
      <c r="G1154" s="267" t="s">
        <v>1438</v>
      </c>
    </row>
    <row r="1155" spans="1:7">
      <c r="A1155">
        <v>159</v>
      </c>
      <c r="B1155">
        <v>2013</v>
      </c>
      <c r="C1155" t="s">
        <v>95</v>
      </c>
      <c r="D1155" t="s">
        <v>89</v>
      </c>
      <c r="E1155" t="s">
        <v>84</v>
      </c>
      <c r="F1155" s="267" t="s">
        <v>375</v>
      </c>
      <c r="G1155" s="267" t="s">
        <v>1439</v>
      </c>
    </row>
    <row r="1156" spans="1:7">
      <c r="A1156">
        <v>1</v>
      </c>
      <c r="B1156">
        <v>2013</v>
      </c>
      <c r="C1156" t="s">
        <v>154</v>
      </c>
      <c r="D1156" t="s">
        <v>89</v>
      </c>
      <c r="E1156" t="s">
        <v>84</v>
      </c>
      <c r="F1156" s="267" t="s">
        <v>376</v>
      </c>
      <c r="G1156" s="267" t="s">
        <v>1440</v>
      </c>
    </row>
    <row r="1157" spans="1:7">
      <c r="A1157">
        <v>241</v>
      </c>
      <c r="B1157">
        <v>2013</v>
      </c>
      <c r="C1157" t="s">
        <v>377</v>
      </c>
      <c r="D1157" t="s">
        <v>89</v>
      </c>
      <c r="E1157" t="s">
        <v>84</v>
      </c>
      <c r="F1157" s="267" t="s">
        <v>378</v>
      </c>
      <c r="G1157" s="267" t="s">
        <v>1441</v>
      </c>
    </row>
    <row r="1158" spans="1:7">
      <c r="A1158">
        <v>241001</v>
      </c>
      <c r="B1158">
        <v>2013</v>
      </c>
      <c r="C1158" t="s">
        <v>379</v>
      </c>
      <c r="D1158" t="s">
        <v>89</v>
      </c>
      <c r="E1158" t="s">
        <v>84</v>
      </c>
      <c r="F1158" s="267" t="s">
        <v>380</v>
      </c>
      <c r="G1158" s="267" t="s">
        <v>1442</v>
      </c>
    </row>
    <row r="1159" spans="1:7">
      <c r="A1159">
        <v>241999</v>
      </c>
      <c r="B1159">
        <v>2013</v>
      </c>
      <c r="C1159" t="s">
        <v>381</v>
      </c>
      <c r="D1159" t="s">
        <v>89</v>
      </c>
      <c r="E1159" t="s">
        <v>84</v>
      </c>
      <c r="F1159" s="267" t="s">
        <v>382</v>
      </c>
      <c r="G1159" s="267" t="s">
        <v>1443</v>
      </c>
    </row>
    <row r="1160" spans="1:7">
      <c r="A1160">
        <v>251</v>
      </c>
      <c r="B1160">
        <v>2013</v>
      </c>
      <c r="C1160" t="s">
        <v>101</v>
      </c>
      <c r="D1160" t="s">
        <v>89</v>
      </c>
      <c r="E1160" t="s">
        <v>84</v>
      </c>
      <c r="F1160" s="267" t="s">
        <v>383</v>
      </c>
      <c r="G1160" s="267" t="s">
        <v>1444</v>
      </c>
    </row>
    <row r="1161" spans="1:7">
      <c r="A1161">
        <v>252</v>
      </c>
      <c r="B1161">
        <v>2013</v>
      </c>
      <c r="C1161" t="s">
        <v>102</v>
      </c>
      <c r="D1161" t="s">
        <v>89</v>
      </c>
      <c r="E1161" t="s">
        <v>84</v>
      </c>
      <c r="F1161" s="267" t="s">
        <v>384</v>
      </c>
      <c r="G1161" s="267" t="s">
        <v>1445</v>
      </c>
    </row>
    <row r="1162" spans="1:7">
      <c r="A1162">
        <v>254</v>
      </c>
      <c r="B1162">
        <v>2013</v>
      </c>
      <c r="C1162" t="s">
        <v>103</v>
      </c>
      <c r="D1162" t="s">
        <v>89</v>
      </c>
      <c r="E1162" t="s">
        <v>84</v>
      </c>
      <c r="F1162" s="267" t="s">
        <v>385</v>
      </c>
      <c r="G1162" s="267" t="s">
        <v>1446</v>
      </c>
    </row>
    <row r="1163" spans="1:7">
      <c r="A1163">
        <v>255</v>
      </c>
      <c r="B1163">
        <v>2013</v>
      </c>
      <c r="C1163" t="s">
        <v>104</v>
      </c>
      <c r="D1163" t="s">
        <v>89</v>
      </c>
      <c r="E1163" t="s">
        <v>84</v>
      </c>
      <c r="F1163" s="267" t="s">
        <v>386</v>
      </c>
      <c r="G1163" s="267" t="s">
        <v>1330</v>
      </c>
    </row>
    <row r="1164" spans="1:7">
      <c r="A1164">
        <v>256</v>
      </c>
      <c r="B1164">
        <v>2013</v>
      </c>
      <c r="C1164" t="s">
        <v>105</v>
      </c>
      <c r="D1164" t="s">
        <v>89</v>
      </c>
      <c r="E1164" t="s">
        <v>84</v>
      </c>
      <c r="F1164" s="267" t="s">
        <v>387</v>
      </c>
      <c r="G1164" s="267" t="s">
        <v>1447</v>
      </c>
    </row>
    <row r="1165" spans="1:7">
      <c r="A1165">
        <v>257</v>
      </c>
      <c r="B1165">
        <v>2013</v>
      </c>
      <c r="C1165" t="s">
        <v>106</v>
      </c>
      <c r="D1165" t="s">
        <v>89</v>
      </c>
      <c r="E1165" t="s">
        <v>84</v>
      </c>
      <c r="F1165" s="267" t="s">
        <v>388</v>
      </c>
      <c r="G1165" s="267" t="s">
        <v>1448</v>
      </c>
    </row>
    <row r="1166" spans="1:7">
      <c r="A1166">
        <v>2</v>
      </c>
      <c r="B1166">
        <v>2013</v>
      </c>
      <c r="C1166" t="s">
        <v>155</v>
      </c>
      <c r="D1166" t="s">
        <v>89</v>
      </c>
      <c r="E1166" t="s">
        <v>84</v>
      </c>
      <c r="F1166" s="267" t="s">
        <v>389</v>
      </c>
      <c r="G1166" s="267" t="s">
        <v>1449</v>
      </c>
    </row>
    <row r="1167" spans="1:7">
      <c r="A1167">
        <v>351</v>
      </c>
      <c r="B1167">
        <v>2013</v>
      </c>
      <c r="C1167" t="s">
        <v>107</v>
      </c>
      <c r="D1167" t="s">
        <v>89</v>
      </c>
      <c r="E1167" t="s">
        <v>84</v>
      </c>
      <c r="F1167" s="267" t="s">
        <v>390</v>
      </c>
      <c r="G1167" s="267" t="s">
        <v>1450</v>
      </c>
    </row>
    <row r="1168" spans="1:7">
      <c r="A1168">
        <v>352</v>
      </c>
      <c r="B1168">
        <v>2013</v>
      </c>
      <c r="C1168" t="s">
        <v>108</v>
      </c>
      <c r="D1168" t="s">
        <v>89</v>
      </c>
      <c r="E1168" t="s">
        <v>84</v>
      </c>
      <c r="F1168" s="267" t="s">
        <v>391</v>
      </c>
      <c r="G1168" s="267" t="s">
        <v>1451</v>
      </c>
    </row>
    <row r="1169" spans="1:7">
      <c r="A1169">
        <v>353</v>
      </c>
      <c r="B1169">
        <v>2013</v>
      </c>
      <c r="C1169" t="s">
        <v>109</v>
      </c>
      <c r="D1169" t="s">
        <v>89</v>
      </c>
      <c r="E1169" t="s">
        <v>84</v>
      </c>
      <c r="F1169" s="267" t="s">
        <v>392</v>
      </c>
      <c r="G1169" s="267" t="s">
        <v>1452</v>
      </c>
    </row>
    <row r="1170" spans="1:7">
      <c r="A1170">
        <v>354</v>
      </c>
      <c r="B1170">
        <v>2013</v>
      </c>
      <c r="C1170" t="s">
        <v>110</v>
      </c>
      <c r="D1170" t="s">
        <v>89</v>
      </c>
      <c r="E1170" t="s">
        <v>84</v>
      </c>
      <c r="F1170" s="267" t="s">
        <v>393</v>
      </c>
      <c r="G1170" s="267" t="s">
        <v>1453</v>
      </c>
    </row>
    <row r="1171" spans="1:7">
      <c r="A1171">
        <v>355</v>
      </c>
      <c r="B1171">
        <v>2013</v>
      </c>
      <c r="C1171" t="s">
        <v>111</v>
      </c>
      <c r="D1171" t="s">
        <v>89</v>
      </c>
      <c r="E1171" t="s">
        <v>84</v>
      </c>
      <c r="F1171" s="267" t="s">
        <v>394</v>
      </c>
      <c r="G1171" s="267" t="s">
        <v>1454</v>
      </c>
    </row>
    <row r="1172" spans="1:7">
      <c r="A1172">
        <v>356</v>
      </c>
      <c r="B1172">
        <v>2013</v>
      </c>
      <c r="C1172" t="s">
        <v>112</v>
      </c>
      <c r="D1172" t="s">
        <v>89</v>
      </c>
      <c r="E1172" t="s">
        <v>84</v>
      </c>
      <c r="F1172" s="267" t="s">
        <v>395</v>
      </c>
      <c r="G1172" s="267" t="s">
        <v>1380</v>
      </c>
    </row>
    <row r="1173" spans="1:7">
      <c r="A1173">
        <v>357</v>
      </c>
      <c r="B1173">
        <v>2013</v>
      </c>
      <c r="C1173" t="s">
        <v>113</v>
      </c>
      <c r="D1173" t="s">
        <v>89</v>
      </c>
      <c r="E1173" t="s">
        <v>84</v>
      </c>
      <c r="F1173" s="267" t="s">
        <v>396</v>
      </c>
      <c r="G1173" s="267" t="s">
        <v>1455</v>
      </c>
    </row>
    <row r="1174" spans="1:7">
      <c r="A1174">
        <v>358</v>
      </c>
      <c r="B1174">
        <v>2013</v>
      </c>
      <c r="C1174" t="s">
        <v>114</v>
      </c>
      <c r="D1174" t="s">
        <v>89</v>
      </c>
      <c r="E1174" t="s">
        <v>84</v>
      </c>
      <c r="F1174" s="267" t="s">
        <v>397</v>
      </c>
      <c r="G1174" s="267" t="s">
        <v>504</v>
      </c>
    </row>
    <row r="1175" spans="1:7">
      <c r="A1175">
        <v>359</v>
      </c>
      <c r="B1175">
        <v>2013</v>
      </c>
      <c r="C1175" t="s">
        <v>115</v>
      </c>
      <c r="D1175" t="s">
        <v>89</v>
      </c>
      <c r="E1175" t="s">
        <v>84</v>
      </c>
      <c r="F1175" s="267" t="s">
        <v>398</v>
      </c>
      <c r="G1175" s="267" t="s">
        <v>1456</v>
      </c>
    </row>
    <row r="1176" spans="1:7">
      <c r="A1176">
        <v>360</v>
      </c>
      <c r="B1176">
        <v>2013</v>
      </c>
      <c r="C1176" t="s">
        <v>116</v>
      </c>
      <c r="D1176" t="s">
        <v>89</v>
      </c>
      <c r="E1176" t="s">
        <v>84</v>
      </c>
      <c r="F1176" s="267" t="s">
        <v>399</v>
      </c>
      <c r="G1176" s="267" t="s">
        <v>1438</v>
      </c>
    </row>
    <row r="1177" spans="1:7">
      <c r="A1177">
        <v>361</v>
      </c>
      <c r="B1177">
        <v>2013</v>
      </c>
      <c r="C1177" t="s">
        <v>117</v>
      </c>
      <c r="D1177" t="s">
        <v>89</v>
      </c>
      <c r="E1177" t="s">
        <v>84</v>
      </c>
      <c r="F1177" s="267" t="s">
        <v>400</v>
      </c>
      <c r="G1177" s="267" t="s">
        <v>711</v>
      </c>
    </row>
    <row r="1178" spans="1:7">
      <c r="A1178">
        <v>3</v>
      </c>
      <c r="B1178">
        <v>2013</v>
      </c>
      <c r="C1178" t="s">
        <v>156</v>
      </c>
      <c r="D1178" t="s">
        <v>89</v>
      </c>
      <c r="E1178" t="s">
        <v>84</v>
      </c>
      <c r="F1178" s="267" t="s">
        <v>401</v>
      </c>
      <c r="G1178" s="267" t="s">
        <v>1457</v>
      </c>
    </row>
    <row r="1179" spans="1:7">
      <c r="A1179">
        <v>401</v>
      </c>
      <c r="B1179">
        <v>2013</v>
      </c>
      <c r="C1179" t="s">
        <v>402</v>
      </c>
      <c r="D1179" t="s">
        <v>89</v>
      </c>
      <c r="E1179" t="s">
        <v>84</v>
      </c>
      <c r="F1179" s="267" t="s">
        <v>403</v>
      </c>
      <c r="G1179" s="267" t="s">
        <v>1458</v>
      </c>
    </row>
    <row r="1180" spans="1:7">
      <c r="A1180">
        <v>402</v>
      </c>
      <c r="B1180">
        <v>2013</v>
      </c>
      <c r="C1180" t="s">
        <v>404</v>
      </c>
      <c r="D1180" t="s">
        <v>89</v>
      </c>
      <c r="E1180" t="s">
        <v>84</v>
      </c>
      <c r="F1180" s="267" t="s">
        <v>405</v>
      </c>
      <c r="G1180" s="267" t="s">
        <v>1459</v>
      </c>
    </row>
    <row r="1181" spans="1:7">
      <c r="A1181">
        <v>403</v>
      </c>
      <c r="B1181">
        <v>2013</v>
      </c>
      <c r="C1181" t="s">
        <v>406</v>
      </c>
      <c r="D1181" t="s">
        <v>89</v>
      </c>
      <c r="E1181" t="s">
        <v>84</v>
      </c>
      <c r="F1181" s="267" t="s">
        <v>407</v>
      </c>
      <c r="G1181" s="267" t="s">
        <v>1460</v>
      </c>
    </row>
    <row r="1182" spans="1:7">
      <c r="A1182">
        <v>404</v>
      </c>
      <c r="B1182">
        <v>2013</v>
      </c>
      <c r="C1182" t="s">
        <v>408</v>
      </c>
      <c r="D1182" t="s">
        <v>89</v>
      </c>
      <c r="E1182" t="s">
        <v>84</v>
      </c>
      <c r="F1182" s="267" t="s">
        <v>409</v>
      </c>
      <c r="G1182" s="267" t="s">
        <v>1287</v>
      </c>
    </row>
    <row r="1183" spans="1:7">
      <c r="A1183">
        <v>405</v>
      </c>
      <c r="B1183">
        <v>2013</v>
      </c>
      <c r="C1183" t="s">
        <v>410</v>
      </c>
      <c r="D1183" t="s">
        <v>89</v>
      </c>
      <c r="E1183" t="s">
        <v>84</v>
      </c>
      <c r="F1183" s="267" t="s">
        <v>411</v>
      </c>
      <c r="G1183" s="267" t="s">
        <v>687</v>
      </c>
    </row>
    <row r="1184" spans="1:7">
      <c r="A1184">
        <v>451</v>
      </c>
      <c r="B1184">
        <v>2013</v>
      </c>
      <c r="C1184" t="s">
        <v>118</v>
      </c>
      <c r="D1184" t="s">
        <v>89</v>
      </c>
      <c r="E1184" t="s">
        <v>84</v>
      </c>
      <c r="F1184" s="267" t="s">
        <v>412</v>
      </c>
      <c r="G1184" s="267" t="s">
        <v>1461</v>
      </c>
    </row>
    <row r="1185" spans="1:7">
      <c r="A1185">
        <v>452</v>
      </c>
      <c r="B1185">
        <v>2013</v>
      </c>
      <c r="C1185" t="s">
        <v>119</v>
      </c>
      <c r="D1185" t="s">
        <v>89</v>
      </c>
      <c r="E1185" t="s">
        <v>84</v>
      </c>
      <c r="F1185" s="267" t="s">
        <v>413</v>
      </c>
      <c r="G1185" s="267" t="s">
        <v>1337</v>
      </c>
    </row>
    <row r="1186" spans="1:7">
      <c r="A1186">
        <v>453</v>
      </c>
      <c r="B1186">
        <v>2013</v>
      </c>
      <c r="C1186" t="s">
        <v>120</v>
      </c>
      <c r="D1186" t="s">
        <v>89</v>
      </c>
      <c r="E1186" t="s">
        <v>84</v>
      </c>
      <c r="F1186" s="267" t="s">
        <v>414</v>
      </c>
      <c r="G1186" s="267" t="s">
        <v>1040</v>
      </c>
    </row>
    <row r="1187" spans="1:7">
      <c r="A1187">
        <v>454</v>
      </c>
      <c r="B1187">
        <v>2013</v>
      </c>
      <c r="C1187" t="s">
        <v>121</v>
      </c>
      <c r="D1187" t="s">
        <v>89</v>
      </c>
      <c r="E1187" t="s">
        <v>84</v>
      </c>
      <c r="F1187" s="267" t="s">
        <v>415</v>
      </c>
      <c r="G1187" s="267" t="s">
        <v>825</v>
      </c>
    </row>
    <row r="1188" spans="1:7">
      <c r="A1188">
        <v>455</v>
      </c>
      <c r="B1188">
        <v>2013</v>
      </c>
      <c r="C1188" t="s">
        <v>122</v>
      </c>
      <c r="D1188" t="s">
        <v>89</v>
      </c>
      <c r="E1188" t="s">
        <v>84</v>
      </c>
      <c r="F1188" s="267" t="s">
        <v>416</v>
      </c>
      <c r="G1188" s="267" t="s">
        <v>1462</v>
      </c>
    </row>
    <row r="1189" spans="1:7">
      <c r="A1189">
        <v>456</v>
      </c>
      <c r="B1189">
        <v>2013</v>
      </c>
      <c r="C1189" t="s">
        <v>123</v>
      </c>
      <c r="D1189" t="s">
        <v>89</v>
      </c>
      <c r="E1189" t="s">
        <v>84</v>
      </c>
      <c r="F1189" s="267" t="s">
        <v>417</v>
      </c>
      <c r="G1189" s="267" t="s">
        <v>1463</v>
      </c>
    </row>
    <row r="1190" spans="1:7">
      <c r="A1190">
        <v>457</v>
      </c>
      <c r="B1190">
        <v>2013</v>
      </c>
      <c r="C1190" t="s">
        <v>124</v>
      </c>
      <c r="D1190" t="s">
        <v>89</v>
      </c>
      <c r="E1190" t="s">
        <v>84</v>
      </c>
      <c r="F1190" s="267" t="s">
        <v>418</v>
      </c>
      <c r="G1190" s="267" t="s">
        <v>1464</v>
      </c>
    </row>
    <row r="1191" spans="1:7">
      <c r="A1191">
        <v>458</v>
      </c>
      <c r="B1191">
        <v>2013</v>
      </c>
      <c r="C1191" t="s">
        <v>125</v>
      </c>
      <c r="D1191" t="s">
        <v>89</v>
      </c>
      <c r="E1191" t="s">
        <v>84</v>
      </c>
      <c r="F1191" s="267" t="s">
        <v>419</v>
      </c>
      <c r="G1191" s="267" t="s">
        <v>1465</v>
      </c>
    </row>
    <row r="1192" spans="1:7">
      <c r="A1192">
        <v>459</v>
      </c>
      <c r="B1192">
        <v>2013</v>
      </c>
      <c r="C1192" t="s">
        <v>126</v>
      </c>
      <c r="D1192" t="s">
        <v>89</v>
      </c>
      <c r="E1192" t="s">
        <v>84</v>
      </c>
      <c r="F1192" s="267" t="s">
        <v>420</v>
      </c>
      <c r="G1192" s="267" t="s">
        <v>1466</v>
      </c>
    </row>
    <row r="1193" spans="1:7">
      <c r="A1193">
        <v>460</v>
      </c>
      <c r="B1193">
        <v>2013</v>
      </c>
      <c r="C1193" t="s">
        <v>127</v>
      </c>
      <c r="D1193" t="s">
        <v>89</v>
      </c>
      <c r="E1193" t="s">
        <v>84</v>
      </c>
      <c r="F1193" s="267" t="s">
        <v>421</v>
      </c>
      <c r="G1193" s="267" t="s">
        <v>1467</v>
      </c>
    </row>
    <row r="1194" spans="1:7">
      <c r="A1194">
        <v>461</v>
      </c>
      <c r="B1194">
        <v>2013</v>
      </c>
      <c r="C1194" t="s">
        <v>128</v>
      </c>
      <c r="D1194" t="s">
        <v>89</v>
      </c>
      <c r="E1194" t="s">
        <v>84</v>
      </c>
      <c r="F1194" s="267" t="s">
        <v>422</v>
      </c>
      <c r="G1194" s="267" t="s">
        <v>1468</v>
      </c>
    </row>
    <row r="1195" spans="1:7">
      <c r="A1195">
        <v>462</v>
      </c>
      <c r="B1195">
        <v>2013</v>
      </c>
      <c r="C1195" t="s">
        <v>129</v>
      </c>
      <c r="D1195" t="s">
        <v>89</v>
      </c>
      <c r="E1195" t="s">
        <v>84</v>
      </c>
      <c r="F1195" s="267" t="s">
        <v>423</v>
      </c>
      <c r="G1195" s="267" t="s">
        <v>1469</v>
      </c>
    </row>
    <row r="1196" spans="1:7">
      <c r="A1196">
        <v>4</v>
      </c>
      <c r="B1196">
        <v>2013</v>
      </c>
      <c r="C1196" t="s">
        <v>157</v>
      </c>
      <c r="D1196" t="s">
        <v>89</v>
      </c>
      <c r="E1196" t="s">
        <v>84</v>
      </c>
      <c r="F1196" s="267" t="s">
        <v>424</v>
      </c>
      <c r="G1196" s="267" t="s">
        <v>1470</v>
      </c>
    </row>
    <row r="1197" spans="1:7">
      <c r="A1197">
        <v>0</v>
      </c>
      <c r="B1197">
        <v>2013</v>
      </c>
      <c r="C1197" t="s">
        <v>130</v>
      </c>
      <c r="D1197" t="s">
        <v>89</v>
      </c>
      <c r="E1197" t="s">
        <v>84</v>
      </c>
      <c r="F1197" s="267" t="s">
        <v>425</v>
      </c>
      <c r="G1197" s="267" t="s">
        <v>1471</v>
      </c>
    </row>
    <row r="1198" spans="1:7">
      <c r="A1198">
        <v>101</v>
      </c>
      <c r="B1198">
        <v>2013</v>
      </c>
      <c r="C1198" t="s">
        <v>363</v>
      </c>
      <c r="D1198" t="s">
        <v>90</v>
      </c>
      <c r="E1198" t="s">
        <v>84</v>
      </c>
      <c r="F1198" s="267" t="s">
        <v>364</v>
      </c>
      <c r="G1198" s="267" t="s">
        <v>1472</v>
      </c>
    </row>
    <row r="1199" spans="1:7">
      <c r="A1199">
        <v>102</v>
      </c>
      <c r="B1199">
        <v>2013</v>
      </c>
      <c r="C1199" t="s">
        <v>365</v>
      </c>
      <c r="D1199" t="s">
        <v>90</v>
      </c>
      <c r="E1199" t="s">
        <v>84</v>
      </c>
      <c r="F1199" s="267" t="s">
        <v>366</v>
      </c>
      <c r="G1199" s="267" t="s">
        <v>1473</v>
      </c>
    </row>
    <row r="1200" spans="1:7">
      <c r="A1200">
        <v>103</v>
      </c>
      <c r="B1200">
        <v>2013</v>
      </c>
      <c r="C1200" t="s">
        <v>367</v>
      </c>
      <c r="D1200" t="s">
        <v>90</v>
      </c>
      <c r="E1200" t="s">
        <v>84</v>
      </c>
      <c r="F1200" s="267" t="s">
        <v>368</v>
      </c>
      <c r="G1200" s="267" t="s">
        <v>1474</v>
      </c>
    </row>
    <row r="1201" spans="1:7">
      <c r="A1201">
        <v>151</v>
      </c>
      <c r="B1201">
        <v>2013</v>
      </c>
      <c r="C1201" t="s">
        <v>94</v>
      </c>
      <c r="D1201" t="s">
        <v>90</v>
      </c>
      <c r="E1201" t="s">
        <v>84</v>
      </c>
      <c r="F1201" s="267" t="s">
        <v>369</v>
      </c>
      <c r="G1201" s="267" t="s">
        <v>1475</v>
      </c>
    </row>
    <row r="1202" spans="1:7">
      <c r="A1202">
        <v>153</v>
      </c>
      <c r="B1202">
        <v>2013</v>
      </c>
      <c r="C1202" t="s">
        <v>96</v>
      </c>
      <c r="D1202" t="s">
        <v>90</v>
      </c>
      <c r="E1202" t="s">
        <v>84</v>
      </c>
      <c r="F1202" s="267" t="s">
        <v>370</v>
      </c>
      <c r="G1202" s="267" t="s">
        <v>1476</v>
      </c>
    </row>
    <row r="1203" spans="1:7">
      <c r="A1203">
        <v>154</v>
      </c>
      <c r="B1203">
        <v>2013</v>
      </c>
      <c r="C1203" t="s">
        <v>97</v>
      </c>
      <c r="D1203" t="s">
        <v>90</v>
      </c>
      <c r="E1203" t="s">
        <v>84</v>
      </c>
      <c r="F1203" s="267" t="s">
        <v>371</v>
      </c>
      <c r="G1203" s="267" t="s">
        <v>1477</v>
      </c>
    </row>
    <row r="1204" spans="1:7">
      <c r="A1204">
        <v>155</v>
      </c>
      <c r="B1204">
        <v>2013</v>
      </c>
      <c r="C1204" t="s">
        <v>98</v>
      </c>
      <c r="D1204" t="s">
        <v>90</v>
      </c>
      <c r="E1204" t="s">
        <v>84</v>
      </c>
      <c r="F1204" s="267" t="s">
        <v>372</v>
      </c>
      <c r="G1204" s="267" t="s">
        <v>1478</v>
      </c>
    </row>
    <row r="1205" spans="1:7">
      <c r="A1205">
        <v>157</v>
      </c>
      <c r="B1205">
        <v>2013</v>
      </c>
      <c r="C1205" t="s">
        <v>99</v>
      </c>
      <c r="D1205" t="s">
        <v>90</v>
      </c>
      <c r="E1205" t="s">
        <v>84</v>
      </c>
      <c r="F1205" s="267" t="s">
        <v>373</v>
      </c>
      <c r="G1205" s="267" t="s">
        <v>1479</v>
      </c>
    </row>
    <row r="1206" spans="1:7">
      <c r="A1206">
        <v>158</v>
      </c>
      <c r="B1206">
        <v>2013</v>
      </c>
      <c r="C1206" t="s">
        <v>100</v>
      </c>
      <c r="D1206" t="s">
        <v>90</v>
      </c>
      <c r="E1206" t="s">
        <v>84</v>
      </c>
      <c r="F1206" s="267" t="s">
        <v>374</v>
      </c>
      <c r="G1206" s="267" t="s">
        <v>1480</v>
      </c>
    </row>
    <row r="1207" spans="1:7">
      <c r="A1207">
        <v>159</v>
      </c>
      <c r="B1207">
        <v>2013</v>
      </c>
      <c r="C1207" t="s">
        <v>95</v>
      </c>
      <c r="D1207" t="s">
        <v>90</v>
      </c>
      <c r="E1207" t="s">
        <v>84</v>
      </c>
      <c r="F1207" s="267" t="s">
        <v>375</v>
      </c>
      <c r="G1207" s="267" t="s">
        <v>1481</v>
      </c>
    </row>
    <row r="1208" spans="1:7">
      <c r="A1208">
        <v>1</v>
      </c>
      <c r="B1208">
        <v>2013</v>
      </c>
      <c r="C1208" t="s">
        <v>154</v>
      </c>
      <c r="D1208" t="s">
        <v>90</v>
      </c>
      <c r="E1208" t="s">
        <v>84</v>
      </c>
      <c r="F1208" s="267" t="s">
        <v>376</v>
      </c>
      <c r="G1208" s="267" t="s">
        <v>1482</v>
      </c>
    </row>
    <row r="1209" spans="1:7">
      <c r="A1209">
        <v>241</v>
      </c>
      <c r="B1209">
        <v>2013</v>
      </c>
      <c r="C1209" t="s">
        <v>377</v>
      </c>
      <c r="D1209" t="s">
        <v>90</v>
      </c>
      <c r="E1209" t="s">
        <v>84</v>
      </c>
      <c r="F1209" s="267" t="s">
        <v>378</v>
      </c>
      <c r="G1209" s="267" t="s">
        <v>1483</v>
      </c>
    </row>
    <row r="1210" spans="1:7">
      <c r="A1210">
        <v>241001</v>
      </c>
      <c r="B1210">
        <v>2013</v>
      </c>
      <c r="C1210" t="s">
        <v>379</v>
      </c>
      <c r="D1210" t="s">
        <v>90</v>
      </c>
      <c r="E1210" t="s">
        <v>84</v>
      </c>
      <c r="F1210" s="267" t="s">
        <v>380</v>
      </c>
      <c r="G1210" s="267" t="s">
        <v>1484</v>
      </c>
    </row>
    <row r="1211" spans="1:7">
      <c r="A1211">
        <v>241999</v>
      </c>
      <c r="B1211">
        <v>2013</v>
      </c>
      <c r="C1211" t="s">
        <v>381</v>
      </c>
      <c r="D1211" t="s">
        <v>90</v>
      </c>
      <c r="E1211" t="s">
        <v>84</v>
      </c>
      <c r="F1211" s="267" t="s">
        <v>382</v>
      </c>
      <c r="G1211" s="267" t="s">
        <v>1485</v>
      </c>
    </row>
    <row r="1212" spans="1:7">
      <c r="A1212">
        <v>251</v>
      </c>
      <c r="B1212">
        <v>2013</v>
      </c>
      <c r="C1212" t="s">
        <v>101</v>
      </c>
      <c r="D1212" t="s">
        <v>90</v>
      </c>
      <c r="E1212" t="s">
        <v>84</v>
      </c>
      <c r="F1212" s="267" t="s">
        <v>383</v>
      </c>
      <c r="G1212" s="267" t="s">
        <v>1486</v>
      </c>
    </row>
    <row r="1213" spans="1:7">
      <c r="A1213">
        <v>252</v>
      </c>
      <c r="B1213">
        <v>2013</v>
      </c>
      <c r="C1213" t="s">
        <v>102</v>
      </c>
      <c r="D1213" t="s">
        <v>90</v>
      </c>
      <c r="E1213" t="s">
        <v>84</v>
      </c>
      <c r="F1213" s="267" t="s">
        <v>384</v>
      </c>
      <c r="G1213" s="267" t="s">
        <v>1487</v>
      </c>
    </row>
    <row r="1214" spans="1:7">
      <c r="A1214">
        <v>254</v>
      </c>
      <c r="B1214">
        <v>2013</v>
      </c>
      <c r="C1214" t="s">
        <v>103</v>
      </c>
      <c r="D1214" t="s">
        <v>90</v>
      </c>
      <c r="E1214" t="s">
        <v>84</v>
      </c>
      <c r="F1214" s="267" t="s">
        <v>385</v>
      </c>
      <c r="G1214" s="267" t="s">
        <v>1488</v>
      </c>
    </row>
    <row r="1215" spans="1:7">
      <c r="A1215">
        <v>255</v>
      </c>
      <c r="B1215">
        <v>2013</v>
      </c>
      <c r="C1215" t="s">
        <v>104</v>
      </c>
      <c r="D1215" t="s">
        <v>90</v>
      </c>
      <c r="E1215" t="s">
        <v>84</v>
      </c>
      <c r="F1215" s="267" t="s">
        <v>386</v>
      </c>
      <c r="G1215" s="267" t="s">
        <v>1372</v>
      </c>
    </row>
    <row r="1216" spans="1:7">
      <c r="A1216">
        <v>256</v>
      </c>
      <c r="B1216">
        <v>2013</v>
      </c>
      <c r="C1216" t="s">
        <v>105</v>
      </c>
      <c r="D1216" t="s">
        <v>90</v>
      </c>
      <c r="E1216" t="s">
        <v>84</v>
      </c>
      <c r="F1216" s="267" t="s">
        <v>387</v>
      </c>
      <c r="G1216" s="267" t="s">
        <v>1489</v>
      </c>
    </row>
    <row r="1217" spans="1:7">
      <c r="A1217">
        <v>257</v>
      </c>
      <c r="B1217">
        <v>2013</v>
      </c>
      <c r="C1217" t="s">
        <v>106</v>
      </c>
      <c r="D1217" t="s">
        <v>90</v>
      </c>
      <c r="E1217" t="s">
        <v>84</v>
      </c>
      <c r="F1217" s="267" t="s">
        <v>388</v>
      </c>
      <c r="G1217" s="267" t="s">
        <v>1490</v>
      </c>
    </row>
    <row r="1218" spans="1:7">
      <c r="A1218">
        <v>2</v>
      </c>
      <c r="B1218">
        <v>2013</v>
      </c>
      <c r="C1218" t="s">
        <v>155</v>
      </c>
      <c r="D1218" t="s">
        <v>90</v>
      </c>
      <c r="E1218" t="s">
        <v>84</v>
      </c>
      <c r="F1218" s="267" t="s">
        <v>389</v>
      </c>
      <c r="G1218" s="267" t="s">
        <v>1491</v>
      </c>
    </row>
    <row r="1219" spans="1:7">
      <c r="A1219">
        <v>351</v>
      </c>
      <c r="B1219">
        <v>2013</v>
      </c>
      <c r="C1219" t="s">
        <v>107</v>
      </c>
      <c r="D1219" t="s">
        <v>90</v>
      </c>
      <c r="E1219" t="s">
        <v>84</v>
      </c>
      <c r="F1219" s="267" t="s">
        <v>390</v>
      </c>
      <c r="G1219" s="267" t="s">
        <v>1492</v>
      </c>
    </row>
    <row r="1220" spans="1:7">
      <c r="A1220">
        <v>352</v>
      </c>
      <c r="B1220">
        <v>2013</v>
      </c>
      <c r="C1220" t="s">
        <v>108</v>
      </c>
      <c r="D1220" t="s">
        <v>90</v>
      </c>
      <c r="E1220" t="s">
        <v>84</v>
      </c>
      <c r="F1220" s="267" t="s">
        <v>391</v>
      </c>
      <c r="G1220" s="267" t="s">
        <v>1153</v>
      </c>
    </row>
    <row r="1221" spans="1:7">
      <c r="A1221">
        <v>353</v>
      </c>
      <c r="B1221">
        <v>2013</v>
      </c>
      <c r="C1221" t="s">
        <v>109</v>
      </c>
      <c r="D1221" t="s">
        <v>90</v>
      </c>
      <c r="E1221" t="s">
        <v>84</v>
      </c>
      <c r="F1221" s="267" t="s">
        <v>392</v>
      </c>
      <c r="G1221" s="267" t="s">
        <v>1493</v>
      </c>
    </row>
    <row r="1222" spans="1:7">
      <c r="A1222">
        <v>354</v>
      </c>
      <c r="B1222">
        <v>2013</v>
      </c>
      <c r="C1222" t="s">
        <v>110</v>
      </c>
      <c r="D1222" t="s">
        <v>90</v>
      </c>
      <c r="E1222" t="s">
        <v>84</v>
      </c>
      <c r="F1222" s="267" t="s">
        <v>393</v>
      </c>
      <c r="G1222" s="267" t="s">
        <v>1494</v>
      </c>
    </row>
    <row r="1223" spans="1:7">
      <c r="A1223">
        <v>355</v>
      </c>
      <c r="B1223">
        <v>2013</v>
      </c>
      <c r="C1223" t="s">
        <v>111</v>
      </c>
      <c r="D1223" t="s">
        <v>90</v>
      </c>
      <c r="E1223" t="s">
        <v>84</v>
      </c>
      <c r="F1223" s="267" t="s">
        <v>394</v>
      </c>
      <c r="G1223" s="267" t="s">
        <v>1058</v>
      </c>
    </row>
    <row r="1224" spans="1:7">
      <c r="A1224">
        <v>356</v>
      </c>
      <c r="B1224">
        <v>2013</v>
      </c>
      <c r="C1224" t="s">
        <v>112</v>
      </c>
      <c r="D1224" t="s">
        <v>90</v>
      </c>
      <c r="E1224" t="s">
        <v>84</v>
      </c>
      <c r="F1224" s="267" t="s">
        <v>395</v>
      </c>
      <c r="G1224" s="267" t="s">
        <v>1480</v>
      </c>
    </row>
    <row r="1225" spans="1:7">
      <c r="A1225">
        <v>357</v>
      </c>
      <c r="B1225">
        <v>2013</v>
      </c>
      <c r="C1225" t="s">
        <v>113</v>
      </c>
      <c r="D1225" t="s">
        <v>90</v>
      </c>
      <c r="E1225" t="s">
        <v>84</v>
      </c>
      <c r="F1225" s="267" t="s">
        <v>396</v>
      </c>
      <c r="G1225" s="267" t="s">
        <v>1344</v>
      </c>
    </row>
    <row r="1226" spans="1:7">
      <c r="A1226">
        <v>358</v>
      </c>
      <c r="B1226">
        <v>2013</v>
      </c>
      <c r="C1226" t="s">
        <v>114</v>
      </c>
      <c r="D1226" t="s">
        <v>90</v>
      </c>
      <c r="E1226" t="s">
        <v>84</v>
      </c>
      <c r="F1226" s="267" t="s">
        <v>397</v>
      </c>
      <c r="G1226" s="267" t="s">
        <v>1495</v>
      </c>
    </row>
    <row r="1227" spans="1:7">
      <c r="A1227">
        <v>359</v>
      </c>
      <c r="B1227">
        <v>2013</v>
      </c>
      <c r="C1227" t="s">
        <v>115</v>
      </c>
      <c r="D1227" t="s">
        <v>90</v>
      </c>
      <c r="E1227" t="s">
        <v>84</v>
      </c>
      <c r="F1227" s="267" t="s">
        <v>398</v>
      </c>
      <c r="G1227" s="267" t="s">
        <v>1496</v>
      </c>
    </row>
    <row r="1228" spans="1:7">
      <c r="A1228">
        <v>360</v>
      </c>
      <c r="B1228">
        <v>2013</v>
      </c>
      <c r="C1228" t="s">
        <v>116</v>
      </c>
      <c r="D1228" t="s">
        <v>90</v>
      </c>
      <c r="E1228" t="s">
        <v>84</v>
      </c>
      <c r="F1228" s="267" t="s">
        <v>399</v>
      </c>
      <c r="G1228" s="267" t="s">
        <v>1436</v>
      </c>
    </row>
    <row r="1229" spans="1:7">
      <c r="A1229">
        <v>361</v>
      </c>
      <c r="B1229">
        <v>2013</v>
      </c>
      <c r="C1229" t="s">
        <v>117</v>
      </c>
      <c r="D1229" t="s">
        <v>90</v>
      </c>
      <c r="E1229" t="s">
        <v>84</v>
      </c>
      <c r="F1229" s="267" t="s">
        <v>400</v>
      </c>
      <c r="G1229" s="267" t="s">
        <v>970</v>
      </c>
    </row>
    <row r="1230" spans="1:7">
      <c r="A1230">
        <v>3</v>
      </c>
      <c r="B1230">
        <v>2013</v>
      </c>
      <c r="C1230" t="s">
        <v>156</v>
      </c>
      <c r="D1230" t="s">
        <v>90</v>
      </c>
      <c r="E1230" t="s">
        <v>84</v>
      </c>
      <c r="F1230" s="267" t="s">
        <v>401</v>
      </c>
      <c r="G1230" s="267" t="s">
        <v>1497</v>
      </c>
    </row>
    <row r="1231" spans="1:7">
      <c r="A1231">
        <v>401</v>
      </c>
      <c r="B1231">
        <v>2013</v>
      </c>
      <c r="C1231" t="s">
        <v>402</v>
      </c>
      <c r="D1231" t="s">
        <v>90</v>
      </c>
      <c r="E1231" t="s">
        <v>84</v>
      </c>
      <c r="F1231" s="267" t="s">
        <v>403</v>
      </c>
      <c r="G1231" s="267" t="s">
        <v>1498</v>
      </c>
    </row>
    <row r="1232" spans="1:7">
      <c r="A1232">
        <v>402</v>
      </c>
      <c r="B1232">
        <v>2013</v>
      </c>
      <c r="C1232" t="s">
        <v>404</v>
      </c>
      <c r="D1232" t="s">
        <v>90</v>
      </c>
      <c r="E1232" t="s">
        <v>84</v>
      </c>
      <c r="F1232" s="267" t="s">
        <v>405</v>
      </c>
      <c r="G1232" s="267" t="s">
        <v>1499</v>
      </c>
    </row>
    <row r="1233" spans="1:7">
      <c r="A1233">
        <v>403</v>
      </c>
      <c r="B1233">
        <v>2013</v>
      </c>
      <c r="C1233" t="s">
        <v>406</v>
      </c>
      <c r="D1233" t="s">
        <v>90</v>
      </c>
      <c r="E1233" t="s">
        <v>84</v>
      </c>
      <c r="F1233" s="267" t="s">
        <v>407</v>
      </c>
      <c r="G1233" s="267" t="s">
        <v>1199</v>
      </c>
    </row>
    <row r="1234" spans="1:7">
      <c r="A1234">
        <v>404</v>
      </c>
      <c r="B1234">
        <v>2013</v>
      </c>
      <c r="C1234" t="s">
        <v>408</v>
      </c>
      <c r="D1234" t="s">
        <v>90</v>
      </c>
      <c r="E1234" t="s">
        <v>84</v>
      </c>
      <c r="F1234" s="267" t="s">
        <v>409</v>
      </c>
      <c r="G1234" s="267" t="s">
        <v>1056</v>
      </c>
    </row>
    <row r="1235" spans="1:7">
      <c r="A1235">
        <v>405</v>
      </c>
      <c r="B1235">
        <v>2013</v>
      </c>
      <c r="C1235" t="s">
        <v>410</v>
      </c>
      <c r="D1235" t="s">
        <v>90</v>
      </c>
      <c r="E1235" t="s">
        <v>84</v>
      </c>
      <c r="F1235" s="267" t="s">
        <v>411</v>
      </c>
      <c r="G1235" s="267" t="s">
        <v>1500</v>
      </c>
    </row>
    <row r="1236" spans="1:7">
      <c r="A1236">
        <v>451</v>
      </c>
      <c r="B1236">
        <v>2013</v>
      </c>
      <c r="C1236" t="s">
        <v>118</v>
      </c>
      <c r="D1236" t="s">
        <v>90</v>
      </c>
      <c r="E1236" t="s">
        <v>84</v>
      </c>
      <c r="F1236" s="267" t="s">
        <v>412</v>
      </c>
      <c r="G1236" s="267" t="s">
        <v>1501</v>
      </c>
    </row>
    <row r="1237" spans="1:7">
      <c r="A1237">
        <v>452</v>
      </c>
      <c r="B1237">
        <v>2013</v>
      </c>
      <c r="C1237" t="s">
        <v>119</v>
      </c>
      <c r="D1237" t="s">
        <v>90</v>
      </c>
      <c r="E1237" t="s">
        <v>84</v>
      </c>
      <c r="F1237" s="267" t="s">
        <v>413</v>
      </c>
      <c r="G1237" s="267" t="s">
        <v>673</v>
      </c>
    </row>
    <row r="1238" spans="1:7">
      <c r="A1238">
        <v>453</v>
      </c>
      <c r="B1238">
        <v>2013</v>
      </c>
      <c r="C1238" t="s">
        <v>120</v>
      </c>
      <c r="D1238" t="s">
        <v>90</v>
      </c>
      <c r="E1238" t="s">
        <v>84</v>
      </c>
      <c r="F1238" s="267" t="s">
        <v>414</v>
      </c>
      <c r="G1238" s="267" t="s">
        <v>1227</v>
      </c>
    </row>
    <row r="1239" spans="1:7">
      <c r="A1239">
        <v>454</v>
      </c>
      <c r="B1239">
        <v>2013</v>
      </c>
      <c r="C1239" t="s">
        <v>121</v>
      </c>
      <c r="D1239" t="s">
        <v>90</v>
      </c>
      <c r="E1239" t="s">
        <v>84</v>
      </c>
      <c r="F1239" s="267" t="s">
        <v>415</v>
      </c>
      <c r="G1239" s="267" t="s">
        <v>1502</v>
      </c>
    </row>
    <row r="1240" spans="1:7">
      <c r="A1240">
        <v>455</v>
      </c>
      <c r="B1240">
        <v>2013</v>
      </c>
      <c r="C1240" t="s">
        <v>122</v>
      </c>
      <c r="D1240" t="s">
        <v>90</v>
      </c>
      <c r="E1240" t="s">
        <v>84</v>
      </c>
      <c r="F1240" s="267" t="s">
        <v>416</v>
      </c>
      <c r="G1240" s="267" t="s">
        <v>1503</v>
      </c>
    </row>
    <row r="1241" spans="1:7">
      <c r="A1241">
        <v>456</v>
      </c>
      <c r="B1241">
        <v>2013</v>
      </c>
      <c r="C1241" t="s">
        <v>123</v>
      </c>
      <c r="D1241" t="s">
        <v>90</v>
      </c>
      <c r="E1241" t="s">
        <v>84</v>
      </c>
      <c r="F1241" s="267" t="s">
        <v>417</v>
      </c>
      <c r="G1241" s="267" t="s">
        <v>661</v>
      </c>
    </row>
    <row r="1242" spans="1:7">
      <c r="A1242">
        <v>457</v>
      </c>
      <c r="B1242">
        <v>2013</v>
      </c>
      <c r="C1242" t="s">
        <v>124</v>
      </c>
      <c r="D1242" t="s">
        <v>90</v>
      </c>
      <c r="E1242" t="s">
        <v>84</v>
      </c>
      <c r="F1242" s="267" t="s">
        <v>418</v>
      </c>
      <c r="G1242" s="267" t="s">
        <v>1504</v>
      </c>
    </row>
    <row r="1243" spans="1:7">
      <c r="A1243">
        <v>458</v>
      </c>
      <c r="B1243">
        <v>2013</v>
      </c>
      <c r="C1243" t="s">
        <v>125</v>
      </c>
      <c r="D1243" t="s">
        <v>90</v>
      </c>
      <c r="E1243" t="s">
        <v>84</v>
      </c>
      <c r="F1243" s="267" t="s">
        <v>419</v>
      </c>
      <c r="G1243" s="267" t="s">
        <v>1505</v>
      </c>
    </row>
    <row r="1244" spans="1:7">
      <c r="A1244">
        <v>459</v>
      </c>
      <c r="B1244">
        <v>2013</v>
      </c>
      <c r="C1244" t="s">
        <v>126</v>
      </c>
      <c r="D1244" t="s">
        <v>90</v>
      </c>
      <c r="E1244" t="s">
        <v>84</v>
      </c>
      <c r="F1244" s="267" t="s">
        <v>420</v>
      </c>
      <c r="G1244" s="267" t="s">
        <v>1506</v>
      </c>
    </row>
    <row r="1245" spans="1:7">
      <c r="A1245">
        <v>460</v>
      </c>
      <c r="B1245">
        <v>2013</v>
      </c>
      <c r="C1245" t="s">
        <v>127</v>
      </c>
      <c r="D1245" t="s">
        <v>90</v>
      </c>
      <c r="E1245" t="s">
        <v>84</v>
      </c>
      <c r="F1245" s="267" t="s">
        <v>421</v>
      </c>
      <c r="G1245" s="267" t="s">
        <v>1507</v>
      </c>
    </row>
    <row r="1246" spans="1:7">
      <c r="A1246">
        <v>461</v>
      </c>
      <c r="B1246">
        <v>2013</v>
      </c>
      <c r="C1246" t="s">
        <v>128</v>
      </c>
      <c r="D1246" t="s">
        <v>90</v>
      </c>
      <c r="E1246" t="s">
        <v>84</v>
      </c>
      <c r="F1246" s="267" t="s">
        <v>422</v>
      </c>
      <c r="G1246" s="267" t="s">
        <v>1508</v>
      </c>
    </row>
    <row r="1247" spans="1:7">
      <c r="A1247">
        <v>462</v>
      </c>
      <c r="B1247">
        <v>2013</v>
      </c>
      <c r="C1247" t="s">
        <v>129</v>
      </c>
      <c r="D1247" t="s">
        <v>90</v>
      </c>
      <c r="E1247" t="s">
        <v>84</v>
      </c>
      <c r="F1247" s="267" t="s">
        <v>423</v>
      </c>
      <c r="G1247" s="267" t="s">
        <v>1509</v>
      </c>
    </row>
    <row r="1248" spans="1:7">
      <c r="A1248">
        <v>4</v>
      </c>
      <c r="B1248">
        <v>2013</v>
      </c>
      <c r="C1248" t="s">
        <v>157</v>
      </c>
      <c r="D1248" t="s">
        <v>90</v>
      </c>
      <c r="E1248" t="s">
        <v>84</v>
      </c>
      <c r="F1248" s="267" t="s">
        <v>424</v>
      </c>
      <c r="G1248" s="267" t="s">
        <v>1510</v>
      </c>
    </row>
    <row r="1249" spans="1:7">
      <c r="A1249">
        <v>0</v>
      </c>
      <c r="B1249">
        <v>2013</v>
      </c>
      <c r="C1249" t="s">
        <v>130</v>
      </c>
      <c r="D1249" t="s">
        <v>90</v>
      </c>
      <c r="E1249" t="s">
        <v>84</v>
      </c>
      <c r="F1249" s="267" t="s">
        <v>425</v>
      </c>
      <c r="G1249" s="267" t="s">
        <v>1511</v>
      </c>
    </row>
    <row r="1250" spans="1:7">
      <c r="A1250">
        <v>101</v>
      </c>
      <c r="B1250">
        <v>2011</v>
      </c>
      <c r="C1250" t="s">
        <v>363</v>
      </c>
      <c r="D1250" t="s">
        <v>28</v>
      </c>
      <c r="E1250" t="s">
        <v>84</v>
      </c>
      <c r="F1250" s="267" t="s">
        <v>364</v>
      </c>
      <c r="G1250" s="267" t="s">
        <v>1512</v>
      </c>
    </row>
    <row r="1251" spans="1:7">
      <c r="A1251">
        <v>102</v>
      </c>
      <c r="B1251">
        <v>2011</v>
      </c>
      <c r="C1251" t="s">
        <v>365</v>
      </c>
      <c r="D1251" t="s">
        <v>28</v>
      </c>
      <c r="E1251" t="s">
        <v>84</v>
      </c>
      <c r="F1251" s="267" t="s">
        <v>366</v>
      </c>
      <c r="G1251" s="267" t="s">
        <v>1513</v>
      </c>
    </row>
    <row r="1252" spans="1:7">
      <c r="A1252">
        <v>103</v>
      </c>
      <c r="B1252">
        <v>2011</v>
      </c>
      <c r="C1252" t="s">
        <v>367</v>
      </c>
      <c r="D1252" t="s">
        <v>28</v>
      </c>
      <c r="E1252" t="s">
        <v>84</v>
      </c>
      <c r="F1252" s="267" t="s">
        <v>368</v>
      </c>
      <c r="G1252" s="267" t="s">
        <v>1514</v>
      </c>
    </row>
    <row r="1253" spans="1:7">
      <c r="A1253">
        <v>151</v>
      </c>
      <c r="B1253">
        <v>2011</v>
      </c>
      <c r="C1253" t="s">
        <v>94</v>
      </c>
      <c r="D1253" t="s">
        <v>28</v>
      </c>
      <c r="E1253" t="s">
        <v>84</v>
      </c>
      <c r="F1253" s="267" t="s">
        <v>369</v>
      </c>
      <c r="G1253" s="267" t="s">
        <v>1515</v>
      </c>
    </row>
    <row r="1254" spans="1:7">
      <c r="A1254">
        <v>153</v>
      </c>
      <c r="B1254">
        <v>2011</v>
      </c>
      <c r="C1254" t="s">
        <v>96</v>
      </c>
      <c r="D1254" t="s">
        <v>28</v>
      </c>
      <c r="E1254" t="s">
        <v>84</v>
      </c>
      <c r="F1254" s="267" t="s">
        <v>370</v>
      </c>
      <c r="G1254" s="267" t="s">
        <v>1170</v>
      </c>
    </row>
    <row r="1255" spans="1:7">
      <c r="A1255">
        <v>154</v>
      </c>
      <c r="B1255">
        <v>2011</v>
      </c>
      <c r="C1255" t="s">
        <v>97</v>
      </c>
      <c r="D1255" t="s">
        <v>28</v>
      </c>
      <c r="E1255" t="s">
        <v>84</v>
      </c>
      <c r="F1255" s="267" t="s">
        <v>371</v>
      </c>
      <c r="G1255" s="267" t="s">
        <v>1516</v>
      </c>
    </row>
    <row r="1256" spans="1:7">
      <c r="A1256">
        <v>155</v>
      </c>
      <c r="B1256">
        <v>2011</v>
      </c>
      <c r="C1256" t="s">
        <v>98</v>
      </c>
      <c r="D1256" t="s">
        <v>28</v>
      </c>
      <c r="E1256" t="s">
        <v>84</v>
      </c>
      <c r="F1256" s="267" t="s">
        <v>372</v>
      </c>
      <c r="G1256" s="267" t="s">
        <v>1517</v>
      </c>
    </row>
    <row r="1257" spans="1:7">
      <c r="A1257">
        <v>157</v>
      </c>
      <c r="B1257">
        <v>2011</v>
      </c>
      <c r="C1257" t="s">
        <v>99</v>
      </c>
      <c r="D1257" t="s">
        <v>28</v>
      </c>
      <c r="E1257" t="s">
        <v>84</v>
      </c>
      <c r="F1257" s="267" t="s">
        <v>373</v>
      </c>
      <c r="G1257" s="267" t="s">
        <v>1518</v>
      </c>
    </row>
    <row r="1258" spans="1:7">
      <c r="A1258">
        <v>158</v>
      </c>
      <c r="B1258">
        <v>2011</v>
      </c>
      <c r="C1258" t="s">
        <v>100</v>
      </c>
      <c r="D1258" t="s">
        <v>28</v>
      </c>
      <c r="E1258" t="s">
        <v>84</v>
      </c>
      <c r="F1258" s="267" t="s">
        <v>374</v>
      </c>
      <c r="G1258" s="267" t="s">
        <v>1519</v>
      </c>
    </row>
    <row r="1259" spans="1:7">
      <c r="A1259">
        <v>159</v>
      </c>
      <c r="B1259">
        <v>2011</v>
      </c>
      <c r="C1259" t="s">
        <v>95</v>
      </c>
      <c r="D1259" t="s">
        <v>28</v>
      </c>
      <c r="E1259" t="s">
        <v>84</v>
      </c>
      <c r="F1259" s="267" t="s">
        <v>375</v>
      </c>
      <c r="G1259" s="267" t="s">
        <v>1520</v>
      </c>
    </row>
    <row r="1260" spans="1:7">
      <c r="A1260">
        <v>1</v>
      </c>
      <c r="B1260">
        <v>2011</v>
      </c>
      <c r="C1260" t="s">
        <v>154</v>
      </c>
      <c r="D1260" t="s">
        <v>28</v>
      </c>
      <c r="E1260" t="s">
        <v>84</v>
      </c>
      <c r="F1260" s="267" t="s">
        <v>376</v>
      </c>
      <c r="G1260" s="267" t="s">
        <v>1521</v>
      </c>
    </row>
    <row r="1261" spans="1:7">
      <c r="A1261">
        <v>241</v>
      </c>
      <c r="B1261">
        <v>2011</v>
      </c>
      <c r="C1261" t="s">
        <v>377</v>
      </c>
      <c r="D1261" t="s">
        <v>28</v>
      </c>
      <c r="E1261" t="s">
        <v>84</v>
      </c>
      <c r="F1261" s="267" t="s">
        <v>378</v>
      </c>
      <c r="G1261" s="267" t="s">
        <v>1522</v>
      </c>
    </row>
    <row r="1262" spans="1:7">
      <c r="A1262">
        <v>241001</v>
      </c>
      <c r="B1262">
        <v>2011</v>
      </c>
      <c r="C1262" t="s">
        <v>379</v>
      </c>
      <c r="D1262" t="s">
        <v>28</v>
      </c>
      <c r="E1262" t="s">
        <v>84</v>
      </c>
      <c r="F1262" s="267" t="s">
        <v>380</v>
      </c>
      <c r="G1262" s="267" t="s">
        <v>1523</v>
      </c>
    </row>
    <row r="1263" spans="1:7">
      <c r="A1263">
        <v>241999</v>
      </c>
      <c r="B1263">
        <v>2011</v>
      </c>
      <c r="C1263" t="s">
        <v>381</v>
      </c>
      <c r="D1263" t="s">
        <v>28</v>
      </c>
      <c r="E1263" t="s">
        <v>84</v>
      </c>
      <c r="F1263" s="267" t="s">
        <v>382</v>
      </c>
      <c r="G1263" s="267" t="s">
        <v>1524</v>
      </c>
    </row>
    <row r="1264" spans="1:7">
      <c r="A1264">
        <v>251</v>
      </c>
      <c r="B1264">
        <v>2011</v>
      </c>
      <c r="C1264" t="s">
        <v>101</v>
      </c>
      <c r="D1264" t="s">
        <v>28</v>
      </c>
      <c r="E1264" t="s">
        <v>84</v>
      </c>
      <c r="F1264" s="267" t="s">
        <v>383</v>
      </c>
      <c r="G1264" s="267" t="s">
        <v>918</v>
      </c>
    </row>
    <row r="1265" spans="1:7">
      <c r="A1265">
        <v>252</v>
      </c>
      <c r="B1265">
        <v>2011</v>
      </c>
      <c r="C1265" t="s">
        <v>102</v>
      </c>
      <c r="D1265" t="s">
        <v>28</v>
      </c>
      <c r="E1265" t="s">
        <v>84</v>
      </c>
      <c r="F1265" s="267" t="s">
        <v>384</v>
      </c>
      <c r="G1265" s="267" t="s">
        <v>1452</v>
      </c>
    </row>
    <row r="1266" spans="1:7">
      <c r="A1266">
        <v>254</v>
      </c>
      <c r="B1266">
        <v>2011</v>
      </c>
      <c r="C1266" t="s">
        <v>103</v>
      </c>
      <c r="D1266" t="s">
        <v>28</v>
      </c>
      <c r="E1266" t="s">
        <v>84</v>
      </c>
      <c r="F1266" s="267" t="s">
        <v>385</v>
      </c>
      <c r="G1266" s="267" t="s">
        <v>1525</v>
      </c>
    </row>
    <row r="1267" spans="1:7">
      <c r="A1267">
        <v>255</v>
      </c>
      <c r="B1267">
        <v>2011</v>
      </c>
      <c r="C1267" t="s">
        <v>104</v>
      </c>
      <c r="D1267" t="s">
        <v>28</v>
      </c>
      <c r="E1267" t="s">
        <v>84</v>
      </c>
      <c r="F1267" s="267" t="s">
        <v>386</v>
      </c>
      <c r="G1267" s="267" t="s">
        <v>755</v>
      </c>
    </row>
    <row r="1268" spans="1:7">
      <c r="A1268">
        <v>256</v>
      </c>
      <c r="B1268">
        <v>2011</v>
      </c>
      <c r="C1268" t="s">
        <v>105</v>
      </c>
      <c r="D1268" t="s">
        <v>28</v>
      </c>
      <c r="E1268" t="s">
        <v>84</v>
      </c>
      <c r="F1268" s="267" t="s">
        <v>387</v>
      </c>
      <c r="G1268" s="267" t="s">
        <v>863</v>
      </c>
    </row>
    <row r="1269" spans="1:7">
      <c r="A1269">
        <v>257</v>
      </c>
      <c r="B1269">
        <v>2011</v>
      </c>
      <c r="C1269" t="s">
        <v>106</v>
      </c>
      <c r="D1269" t="s">
        <v>28</v>
      </c>
      <c r="E1269" t="s">
        <v>84</v>
      </c>
      <c r="F1269" s="267" t="s">
        <v>388</v>
      </c>
      <c r="G1269" s="267" t="s">
        <v>1526</v>
      </c>
    </row>
    <row r="1270" spans="1:7">
      <c r="A1270">
        <v>2</v>
      </c>
      <c r="B1270">
        <v>2011</v>
      </c>
      <c r="C1270" t="s">
        <v>155</v>
      </c>
      <c r="D1270" t="s">
        <v>28</v>
      </c>
      <c r="E1270" t="s">
        <v>84</v>
      </c>
      <c r="F1270" s="267" t="s">
        <v>389</v>
      </c>
      <c r="G1270" s="267" t="s">
        <v>1527</v>
      </c>
    </row>
    <row r="1271" spans="1:7">
      <c r="A1271">
        <v>351</v>
      </c>
      <c r="B1271">
        <v>2011</v>
      </c>
      <c r="C1271" t="s">
        <v>107</v>
      </c>
      <c r="D1271" t="s">
        <v>28</v>
      </c>
      <c r="E1271" t="s">
        <v>84</v>
      </c>
      <c r="F1271" s="267" t="s">
        <v>390</v>
      </c>
      <c r="G1271" s="267" t="s">
        <v>1528</v>
      </c>
    </row>
    <row r="1272" spans="1:7">
      <c r="A1272">
        <v>352</v>
      </c>
      <c r="B1272">
        <v>2011</v>
      </c>
      <c r="C1272" t="s">
        <v>108</v>
      </c>
      <c r="D1272" t="s">
        <v>28</v>
      </c>
      <c r="E1272" t="s">
        <v>84</v>
      </c>
      <c r="F1272" s="267" t="s">
        <v>391</v>
      </c>
      <c r="G1272" s="267" t="s">
        <v>1529</v>
      </c>
    </row>
    <row r="1273" spans="1:7">
      <c r="A1273">
        <v>353</v>
      </c>
      <c r="B1273">
        <v>2011</v>
      </c>
      <c r="C1273" t="s">
        <v>109</v>
      </c>
      <c r="D1273" t="s">
        <v>28</v>
      </c>
      <c r="E1273" t="s">
        <v>84</v>
      </c>
      <c r="F1273" s="267" t="s">
        <v>392</v>
      </c>
      <c r="G1273" s="267" t="s">
        <v>1530</v>
      </c>
    </row>
    <row r="1274" spans="1:7">
      <c r="A1274">
        <v>354</v>
      </c>
      <c r="B1274">
        <v>2011</v>
      </c>
      <c r="C1274" t="s">
        <v>110</v>
      </c>
      <c r="D1274" t="s">
        <v>28</v>
      </c>
      <c r="E1274" t="s">
        <v>84</v>
      </c>
      <c r="F1274" s="267" t="s">
        <v>393</v>
      </c>
      <c r="G1274" s="267" t="s">
        <v>1453</v>
      </c>
    </row>
    <row r="1275" spans="1:7">
      <c r="A1275">
        <v>355</v>
      </c>
      <c r="B1275">
        <v>2011</v>
      </c>
      <c r="C1275" t="s">
        <v>111</v>
      </c>
      <c r="D1275" t="s">
        <v>28</v>
      </c>
      <c r="E1275" t="s">
        <v>84</v>
      </c>
      <c r="F1275" s="267" t="s">
        <v>394</v>
      </c>
      <c r="G1275" s="267" t="s">
        <v>1531</v>
      </c>
    </row>
    <row r="1276" spans="1:7">
      <c r="A1276">
        <v>356</v>
      </c>
      <c r="B1276">
        <v>2011</v>
      </c>
      <c r="C1276" t="s">
        <v>112</v>
      </c>
      <c r="D1276" t="s">
        <v>28</v>
      </c>
      <c r="E1276" t="s">
        <v>84</v>
      </c>
      <c r="F1276" s="267" t="s">
        <v>395</v>
      </c>
      <c r="G1276" s="267" t="s">
        <v>1532</v>
      </c>
    </row>
    <row r="1277" spans="1:7">
      <c r="A1277">
        <v>357</v>
      </c>
      <c r="B1277">
        <v>2011</v>
      </c>
      <c r="C1277" t="s">
        <v>113</v>
      </c>
      <c r="D1277" t="s">
        <v>28</v>
      </c>
      <c r="E1277" t="s">
        <v>84</v>
      </c>
      <c r="F1277" s="267" t="s">
        <v>396</v>
      </c>
      <c r="G1277" s="267" t="s">
        <v>665</v>
      </c>
    </row>
    <row r="1278" spans="1:7">
      <c r="A1278">
        <v>358</v>
      </c>
      <c r="B1278">
        <v>2011</v>
      </c>
      <c r="C1278" t="s">
        <v>114</v>
      </c>
      <c r="D1278" t="s">
        <v>28</v>
      </c>
      <c r="E1278" t="s">
        <v>84</v>
      </c>
      <c r="F1278" s="267" t="s">
        <v>397</v>
      </c>
      <c r="G1278" s="267" t="s">
        <v>1533</v>
      </c>
    </row>
    <row r="1279" spans="1:7">
      <c r="A1279">
        <v>359</v>
      </c>
      <c r="B1279">
        <v>2011</v>
      </c>
      <c r="C1279" t="s">
        <v>115</v>
      </c>
      <c r="D1279" t="s">
        <v>28</v>
      </c>
      <c r="E1279" t="s">
        <v>84</v>
      </c>
      <c r="F1279" s="267" t="s">
        <v>398</v>
      </c>
      <c r="G1279" s="267" t="s">
        <v>1534</v>
      </c>
    </row>
    <row r="1280" spans="1:7">
      <c r="A1280">
        <v>360</v>
      </c>
      <c r="B1280">
        <v>2011</v>
      </c>
      <c r="C1280" t="s">
        <v>116</v>
      </c>
      <c r="D1280" t="s">
        <v>28</v>
      </c>
      <c r="E1280" t="s">
        <v>84</v>
      </c>
      <c r="F1280" s="267" t="s">
        <v>399</v>
      </c>
      <c r="G1280" s="267" t="s">
        <v>1104</v>
      </c>
    </row>
    <row r="1281" spans="1:7">
      <c r="A1281">
        <v>361</v>
      </c>
      <c r="B1281">
        <v>2011</v>
      </c>
      <c r="C1281" t="s">
        <v>117</v>
      </c>
      <c r="D1281" t="s">
        <v>28</v>
      </c>
      <c r="E1281" t="s">
        <v>84</v>
      </c>
      <c r="F1281" s="267" t="s">
        <v>400</v>
      </c>
      <c r="G1281" s="267" t="s">
        <v>924</v>
      </c>
    </row>
    <row r="1282" spans="1:7">
      <c r="A1282">
        <v>3</v>
      </c>
      <c r="B1282">
        <v>2011</v>
      </c>
      <c r="C1282" t="s">
        <v>156</v>
      </c>
      <c r="D1282" t="s">
        <v>28</v>
      </c>
      <c r="E1282" t="s">
        <v>84</v>
      </c>
      <c r="F1282" s="267" t="s">
        <v>401</v>
      </c>
      <c r="G1282" s="267" t="s">
        <v>1535</v>
      </c>
    </row>
    <row r="1283" spans="1:7">
      <c r="A1283">
        <v>401</v>
      </c>
      <c r="B1283">
        <v>2011</v>
      </c>
      <c r="C1283" t="s">
        <v>402</v>
      </c>
      <c r="D1283" t="s">
        <v>28</v>
      </c>
      <c r="E1283" t="s">
        <v>84</v>
      </c>
      <c r="F1283" s="267" t="s">
        <v>403</v>
      </c>
      <c r="G1283" s="267" t="s">
        <v>1536</v>
      </c>
    </row>
    <row r="1284" spans="1:7">
      <c r="A1284">
        <v>402</v>
      </c>
      <c r="B1284">
        <v>2011</v>
      </c>
      <c r="C1284" t="s">
        <v>404</v>
      </c>
      <c r="D1284" t="s">
        <v>28</v>
      </c>
      <c r="E1284" t="s">
        <v>84</v>
      </c>
      <c r="F1284" s="267" t="s">
        <v>405</v>
      </c>
      <c r="G1284" s="267" t="s">
        <v>1408</v>
      </c>
    </row>
    <row r="1285" spans="1:7">
      <c r="A1285">
        <v>403</v>
      </c>
      <c r="B1285">
        <v>2011</v>
      </c>
      <c r="C1285" t="s">
        <v>406</v>
      </c>
      <c r="D1285" t="s">
        <v>28</v>
      </c>
      <c r="E1285" t="s">
        <v>84</v>
      </c>
      <c r="F1285" s="267" t="s">
        <v>407</v>
      </c>
      <c r="G1285" s="267" t="s">
        <v>563</v>
      </c>
    </row>
    <row r="1286" spans="1:7">
      <c r="A1286">
        <v>404</v>
      </c>
      <c r="B1286">
        <v>2011</v>
      </c>
      <c r="C1286" t="s">
        <v>408</v>
      </c>
      <c r="D1286" t="s">
        <v>28</v>
      </c>
      <c r="E1286" t="s">
        <v>84</v>
      </c>
      <c r="F1286" s="267" t="s">
        <v>409</v>
      </c>
      <c r="G1286" s="267" t="s">
        <v>1537</v>
      </c>
    </row>
    <row r="1287" spans="1:7">
      <c r="A1287">
        <v>405</v>
      </c>
      <c r="B1287">
        <v>2011</v>
      </c>
      <c r="C1287" t="s">
        <v>410</v>
      </c>
      <c r="D1287" t="s">
        <v>28</v>
      </c>
      <c r="E1287" t="s">
        <v>84</v>
      </c>
      <c r="F1287" s="267" t="s">
        <v>411</v>
      </c>
      <c r="G1287" s="267" t="s">
        <v>1538</v>
      </c>
    </row>
    <row r="1288" spans="1:7">
      <c r="A1288">
        <v>451</v>
      </c>
      <c r="B1288">
        <v>2011</v>
      </c>
      <c r="C1288" t="s">
        <v>118</v>
      </c>
      <c r="D1288" t="s">
        <v>28</v>
      </c>
      <c r="E1288" t="s">
        <v>84</v>
      </c>
      <c r="F1288" s="267" t="s">
        <v>412</v>
      </c>
      <c r="G1288" s="267" t="s">
        <v>1539</v>
      </c>
    </row>
    <row r="1289" spans="1:7">
      <c r="A1289">
        <v>452</v>
      </c>
      <c r="B1289">
        <v>2011</v>
      </c>
      <c r="C1289" t="s">
        <v>119</v>
      </c>
      <c r="D1289" t="s">
        <v>28</v>
      </c>
      <c r="E1289" t="s">
        <v>84</v>
      </c>
      <c r="F1289" s="267" t="s">
        <v>413</v>
      </c>
      <c r="G1289" s="267" t="s">
        <v>1008</v>
      </c>
    </row>
    <row r="1290" spans="1:7">
      <c r="A1290">
        <v>453</v>
      </c>
      <c r="B1290">
        <v>2011</v>
      </c>
      <c r="C1290" t="s">
        <v>120</v>
      </c>
      <c r="D1290" t="s">
        <v>28</v>
      </c>
      <c r="E1290" t="s">
        <v>84</v>
      </c>
      <c r="F1290" s="267" t="s">
        <v>414</v>
      </c>
      <c r="G1290" s="267" t="s">
        <v>1540</v>
      </c>
    </row>
    <row r="1291" spans="1:7">
      <c r="A1291">
        <v>454</v>
      </c>
      <c r="B1291">
        <v>2011</v>
      </c>
      <c r="C1291" t="s">
        <v>121</v>
      </c>
      <c r="D1291" t="s">
        <v>28</v>
      </c>
      <c r="E1291" t="s">
        <v>84</v>
      </c>
      <c r="F1291" s="267" t="s">
        <v>415</v>
      </c>
      <c r="G1291" s="267" t="s">
        <v>1541</v>
      </c>
    </row>
    <row r="1292" spans="1:7">
      <c r="A1292">
        <v>455</v>
      </c>
      <c r="B1292">
        <v>2011</v>
      </c>
      <c r="C1292" t="s">
        <v>122</v>
      </c>
      <c r="D1292" t="s">
        <v>28</v>
      </c>
      <c r="E1292" t="s">
        <v>84</v>
      </c>
      <c r="F1292" s="267" t="s">
        <v>416</v>
      </c>
      <c r="G1292" s="267" t="s">
        <v>1542</v>
      </c>
    </row>
    <row r="1293" spans="1:7">
      <c r="A1293">
        <v>456</v>
      </c>
      <c r="B1293">
        <v>2011</v>
      </c>
      <c r="C1293" t="s">
        <v>123</v>
      </c>
      <c r="D1293" t="s">
        <v>28</v>
      </c>
      <c r="E1293" t="s">
        <v>84</v>
      </c>
      <c r="F1293" s="267" t="s">
        <v>417</v>
      </c>
      <c r="G1293" s="267" t="s">
        <v>1543</v>
      </c>
    </row>
    <row r="1294" spans="1:7">
      <c r="A1294">
        <v>457</v>
      </c>
      <c r="B1294">
        <v>2011</v>
      </c>
      <c r="C1294" t="s">
        <v>124</v>
      </c>
      <c r="D1294" t="s">
        <v>28</v>
      </c>
      <c r="E1294" t="s">
        <v>84</v>
      </c>
      <c r="F1294" s="267" t="s">
        <v>418</v>
      </c>
      <c r="G1294" s="267" t="s">
        <v>1544</v>
      </c>
    </row>
    <row r="1295" spans="1:7">
      <c r="A1295">
        <v>458</v>
      </c>
      <c r="B1295">
        <v>2011</v>
      </c>
      <c r="C1295" t="s">
        <v>125</v>
      </c>
      <c r="D1295" t="s">
        <v>28</v>
      </c>
      <c r="E1295" t="s">
        <v>84</v>
      </c>
      <c r="F1295" s="267" t="s">
        <v>419</v>
      </c>
      <c r="G1295" s="267" t="s">
        <v>1545</v>
      </c>
    </row>
    <row r="1296" spans="1:7">
      <c r="A1296">
        <v>459</v>
      </c>
      <c r="B1296">
        <v>2011</v>
      </c>
      <c r="C1296" t="s">
        <v>126</v>
      </c>
      <c r="D1296" t="s">
        <v>28</v>
      </c>
      <c r="E1296" t="s">
        <v>84</v>
      </c>
      <c r="F1296" s="267" t="s">
        <v>420</v>
      </c>
      <c r="G1296" s="267" t="s">
        <v>1546</v>
      </c>
    </row>
    <row r="1297" spans="1:7">
      <c r="A1297">
        <v>460</v>
      </c>
      <c r="B1297">
        <v>2011</v>
      </c>
      <c r="C1297" t="s">
        <v>127</v>
      </c>
      <c r="D1297" t="s">
        <v>28</v>
      </c>
      <c r="E1297" t="s">
        <v>84</v>
      </c>
      <c r="F1297" s="267" t="s">
        <v>421</v>
      </c>
      <c r="G1297" s="267" t="s">
        <v>1547</v>
      </c>
    </row>
    <row r="1298" spans="1:7">
      <c r="A1298">
        <v>461</v>
      </c>
      <c r="B1298">
        <v>2011</v>
      </c>
      <c r="C1298" t="s">
        <v>128</v>
      </c>
      <c r="D1298" t="s">
        <v>28</v>
      </c>
      <c r="E1298" t="s">
        <v>84</v>
      </c>
      <c r="F1298" s="267" t="s">
        <v>422</v>
      </c>
      <c r="G1298" s="267" t="s">
        <v>1235</v>
      </c>
    </row>
    <row r="1299" spans="1:7">
      <c r="A1299">
        <v>462</v>
      </c>
      <c r="B1299">
        <v>2011</v>
      </c>
      <c r="C1299" t="s">
        <v>129</v>
      </c>
      <c r="D1299" t="s">
        <v>28</v>
      </c>
      <c r="E1299" t="s">
        <v>84</v>
      </c>
      <c r="F1299" s="267" t="s">
        <v>423</v>
      </c>
      <c r="G1299" s="267" t="s">
        <v>1548</v>
      </c>
    </row>
    <row r="1300" spans="1:7">
      <c r="A1300">
        <v>4</v>
      </c>
      <c r="B1300">
        <v>2011</v>
      </c>
      <c r="C1300" t="s">
        <v>157</v>
      </c>
      <c r="D1300" t="s">
        <v>28</v>
      </c>
      <c r="E1300" t="s">
        <v>84</v>
      </c>
      <c r="F1300" s="267" t="s">
        <v>424</v>
      </c>
      <c r="G1300" s="267" t="s">
        <v>1549</v>
      </c>
    </row>
    <row r="1301" spans="1:7">
      <c r="A1301">
        <v>0</v>
      </c>
      <c r="B1301">
        <v>2011</v>
      </c>
      <c r="C1301" t="s">
        <v>130</v>
      </c>
      <c r="D1301" t="s">
        <v>28</v>
      </c>
      <c r="E1301" t="s">
        <v>84</v>
      </c>
      <c r="F1301" s="267" t="s">
        <v>425</v>
      </c>
      <c r="G1301" s="267" t="s">
        <v>1550</v>
      </c>
    </row>
    <row r="1302" spans="1:7">
      <c r="A1302">
        <v>101</v>
      </c>
      <c r="B1302">
        <v>2011</v>
      </c>
      <c r="C1302" t="s">
        <v>363</v>
      </c>
      <c r="D1302" t="s">
        <v>89</v>
      </c>
      <c r="E1302" t="s">
        <v>84</v>
      </c>
      <c r="F1302" s="267" t="s">
        <v>364</v>
      </c>
      <c r="G1302" s="267" t="s">
        <v>1551</v>
      </c>
    </row>
    <row r="1303" spans="1:7">
      <c r="A1303">
        <v>102</v>
      </c>
      <c r="B1303">
        <v>2011</v>
      </c>
      <c r="C1303" t="s">
        <v>365</v>
      </c>
      <c r="D1303" t="s">
        <v>89</v>
      </c>
      <c r="E1303" t="s">
        <v>84</v>
      </c>
      <c r="F1303" s="267" t="s">
        <v>366</v>
      </c>
      <c r="G1303" s="267" t="s">
        <v>1552</v>
      </c>
    </row>
    <row r="1304" spans="1:7">
      <c r="A1304">
        <v>103</v>
      </c>
      <c r="B1304">
        <v>2011</v>
      </c>
      <c r="C1304" t="s">
        <v>367</v>
      </c>
      <c r="D1304" t="s">
        <v>89</v>
      </c>
      <c r="E1304" t="s">
        <v>84</v>
      </c>
      <c r="F1304" s="267" t="s">
        <v>368</v>
      </c>
      <c r="G1304" s="267" t="s">
        <v>1553</v>
      </c>
    </row>
    <row r="1305" spans="1:7">
      <c r="A1305">
        <v>151</v>
      </c>
      <c r="B1305">
        <v>2011</v>
      </c>
      <c r="C1305" t="s">
        <v>94</v>
      </c>
      <c r="D1305" t="s">
        <v>89</v>
      </c>
      <c r="E1305" t="s">
        <v>84</v>
      </c>
      <c r="F1305" s="267" t="s">
        <v>369</v>
      </c>
      <c r="G1305" s="267" t="s">
        <v>1554</v>
      </c>
    </row>
    <row r="1306" spans="1:7">
      <c r="A1306">
        <v>153</v>
      </c>
      <c r="B1306">
        <v>2011</v>
      </c>
      <c r="C1306" t="s">
        <v>96</v>
      </c>
      <c r="D1306" t="s">
        <v>89</v>
      </c>
      <c r="E1306" t="s">
        <v>84</v>
      </c>
      <c r="F1306" s="267" t="s">
        <v>370</v>
      </c>
      <c r="G1306" s="267" t="s">
        <v>1555</v>
      </c>
    </row>
    <row r="1307" spans="1:7">
      <c r="A1307">
        <v>154</v>
      </c>
      <c r="B1307">
        <v>2011</v>
      </c>
      <c r="C1307" t="s">
        <v>97</v>
      </c>
      <c r="D1307" t="s">
        <v>89</v>
      </c>
      <c r="E1307" t="s">
        <v>84</v>
      </c>
      <c r="F1307" s="267" t="s">
        <v>371</v>
      </c>
      <c r="G1307" s="267" t="s">
        <v>1556</v>
      </c>
    </row>
    <row r="1308" spans="1:7">
      <c r="A1308">
        <v>155</v>
      </c>
      <c r="B1308">
        <v>2011</v>
      </c>
      <c r="C1308" t="s">
        <v>98</v>
      </c>
      <c r="D1308" t="s">
        <v>89</v>
      </c>
      <c r="E1308" t="s">
        <v>84</v>
      </c>
      <c r="F1308" s="267" t="s">
        <v>372</v>
      </c>
      <c r="G1308" s="267" t="s">
        <v>1557</v>
      </c>
    </row>
    <row r="1309" spans="1:7">
      <c r="A1309">
        <v>157</v>
      </c>
      <c r="B1309">
        <v>2011</v>
      </c>
      <c r="C1309" t="s">
        <v>99</v>
      </c>
      <c r="D1309" t="s">
        <v>89</v>
      </c>
      <c r="E1309" t="s">
        <v>84</v>
      </c>
      <c r="F1309" s="267" t="s">
        <v>373</v>
      </c>
      <c r="G1309" s="267" t="s">
        <v>970</v>
      </c>
    </row>
    <row r="1310" spans="1:7">
      <c r="A1310">
        <v>158</v>
      </c>
      <c r="B1310">
        <v>2011</v>
      </c>
      <c r="C1310" t="s">
        <v>100</v>
      </c>
      <c r="D1310" t="s">
        <v>89</v>
      </c>
      <c r="E1310" t="s">
        <v>84</v>
      </c>
      <c r="F1310" s="267" t="s">
        <v>374</v>
      </c>
      <c r="G1310" s="267" t="s">
        <v>1558</v>
      </c>
    </row>
    <row r="1311" spans="1:7">
      <c r="A1311">
        <v>159</v>
      </c>
      <c r="B1311">
        <v>2011</v>
      </c>
      <c r="C1311" t="s">
        <v>95</v>
      </c>
      <c r="D1311" t="s">
        <v>89</v>
      </c>
      <c r="E1311" t="s">
        <v>84</v>
      </c>
      <c r="F1311" s="267" t="s">
        <v>375</v>
      </c>
      <c r="G1311" s="267" t="s">
        <v>1559</v>
      </c>
    </row>
    <row r="1312" spans="1:7">
      <c r="A1312">
        <v>1</v>
      </c>
      <c r="B1312">
        <v>2011</v>
      </c>
      <c r="C1312" t="s">
        <v>154</v>
      </c>
      <c r="D1312" t="s">
        <v>89</v>
      </c>
      <c r="E1312" t="s">
        <v>84</v>
      </c>
      <c r="F1312" s="267" t="s">
        <v>376</v>
      </c>
      <c r="G1312" s="267" t="s">
        <v>1560</v>
      </c>
    </row>
    <row r="1313" spans="1:7">
      <c r="A1313">
        <v>241</v>
      </c>
      <c r="B1313">
        <v>2011</v>
      </c>
      <c r="C1313" t="s">
        <v>377</v>
      </c>
      <c r="D1313" t="s">
        <v>89</v>
      </c>
      <c r="E1313" t="s">
        <v>84</v>
      </c>
      <c r="F1313" s="267" t="s">
        <v>378</v>
      </c>
      <c r="G1313" s="267" t="s">
        <v>1561</v>
      </c>
    </row>
    <row r="1314" spans="1:7">
      <c r="A1314">
        <v>241001</v>
      </c>
      <c r="B1314">
        <v>2011</v>
      </c>
      <c r="C1314" t="s">
        <v>379</v>
      </c>
      <c r="D1314" t="s">
        <v>89</v>
      </c>
      <c r="E1314" t="s">
        <v>84</v>
      </c>
      <c r="F1314" s="267" t="s">
        <v>380</v>
      </c>
      <c r="G1314" s="267" t="s">
        <v>1562</v>
      </c>
    </row>
    <row r="1315" spans="1:7">
      <c r="A1315">
        <v>241999</v>
      </c>
      <c r="B1315">
        <v>2011</v>
      </c>
      <c r="C1315" t="s">
        <v>381</v>
      </c>
      <c r="D1315" t="s">
        <v>89</v>
      </c>
      <c r="E1315" t="s">
        <v>84</v>
      </c>
      <c r="F1315" s="267" t="s">
        <v>382</v>
      </c>
      <c r="G1315" s="267" t="s">
        <v>1524</v>
      </c>
    </row>
    <row r="1316" spans="1:7">
      <c r="A1316">
        <v>251</v>
      </c>
      <c r="B1316">
        <v>2011</v>
      </c>
      <c r="C1316" t="s">
        <v>101</v>
      </c>
      <c r="D1316" t="s">
        <v>89</v>
      </c>
      <c r="E1316" t="s">
        <v>84</v>
      </c>
      <c r="F1316" s="267" t="s">
        <v>383</v>
      </c>
      <c r="G1316" s="267" t="s">
        <v>1563</v>
      </c>
    </row>
    <row r="1317" spans="1:7">
      <c r="A1317">
        <v>252</v>
      </c>
      <c r="B1317">
        <v>2011</v>
      </c>
      <c r="C1317" t="s">
        <v>102</v>
      </c>
      <c r="D1317" t="s">
        <v>89</v>
      </c>
      <c r="E1317" t="s">
        <v>84</v>
      </c>
      <c r="F1317" s="267" t="s">
        <v>384</v>
      </c>
      <c r="G1317" s="267" t="s">
        <v>1564</v>
      </c>
    </row>
    <row r="1318" spans="1:7">
      <c r="A1318">
        <v>254</v>
      </c>
      <c r="B1318">
        <v>2011</v>
      </c>
      <c r="C1318" t="s">
        <v>103</v>
      </c>
      <c r="D1318" t="s">
        <v>89</v>
      </c>
      <c r="E1318" t="s">
        <v>84</v>
      </c>
      <c r="F1318" s="267" t="s">
        <v>385</v>
      </c>
      <c r="G1318" s="267" t="s">
        <v>1565</v>
      </c>
    </row>
    <row r="1319" spans="1:7">
      <c r="A1319">
        <v>255</v>
      </c>
      <c r="B1319">
        <v>2011</v>
      </c>
      <c r="C1319" t="s">
        <v>104</v>
      </c>
      <c r="D1319" t="s">
        <v>89</v>
      </c>
      <c r="E1319" t="s">
        <v>84</v>
      </c>
      <c r="F1319" s="267" t="s">
        <v>386</v>
      </c>
      <c r="G1319" s="267" t="s">
        <v>1566</v>
      </c>
    </row>
    <row r="1320" spans="1:7">
      <c r="A1320">
        <v>256</v>
      </c>
      <c r="B1320">
        <v>2011</v>
      </c>
      <c r="C1320" t="s">
        <v>105</v>
      </c>
      <c r="D1320" t="s">
        <v>89</v>
      </c>
      <c r="E1320" t="s">
        <v>84</v>
      </c>
      <c r="F1320" s="267" t="s">
        <v>387</v>
      </c>
      <c r="G1320" s="267" t="s">
        <v>1567</v>
      </c>
    </row>
    <row r="1321" spans="1:7">
      <c r="A1321">
        <v>257</v>
      </c>
      <c r="B1321">
        <v>2011</v>
      </c>
      <c r="C1321" t="s">
        <v>106</v>
      </c>
      <c r="D1321" t="s">
        <v>89</v>
      </c>
      <c r="E1321" t="s">
        <v>84</v>
      </c>
      <c r="F1321" s="267" t="s">
        <v>388</v>
      </c>
      <c r="G1321" s="267" t="s">
        <v>1279</v>
      </c>
    </row>
    <row r="1322" spans="1:7">
      <c r="A1322">
        <v>2</v>
      </c>
      <c r="B1322">
        <v>2011</v>
      </c>
      <c r="C1322" t="s">
        <v>155</v>
      </c>
      <c r="D1322" t="s">
        <v>89</v>
      </c>
      <c r="E1322" t="s">
        <v>84</v>
      </c>
      <c r="F1322" s="267" t="s">
        <v>389</v>
      </c>
      <c r="G1322" s="267" t="s">
        <v>1568</v>
      </c>
    </row>
    <row r="1323" spans="1:7">
      <c r="A1323">
        <v>351</v>
      </c>
      <c r="B1323">
        <v>2011</v>
      </c>
      <c r="C1323" t="s">
        <v>107</v>
      </c>
      <c r="D1323" t="s">
        <v>89</v>
      </c>
      <c r="E1323" t="s">
        <v>84</v>
      </c>
      <c r="F1323" s="267" t="s">
        <v>390</v>
      </c>
      <c r="G1323" s="267" t="s">
        <v>1356</v>
      </c>
    </row>
    <row r="1324" spans="1:7">
      <c r="A1324">
        <v>352</v>
      </c>
      <c r="B1324">
        <v>2011</v>
      </c>
      <c r="C1324" t="s">
        <v>108</v>
      </c>
      <c r="D1324" t="s">
        <v>89</v>
      </c>
      <c r="E1324" t="s">
        <v>84</v>
      </c>
      <c r="F1324" s="267" t="s">
        <v>391</v>
      </c>
      <c r="G1324" s="267" t="s">
        <v>863</v>
      </c>
    </row>
    <row r="1325" spans="1:7">
      <c r="A1325">
        <v>353</v>
      </c>
      <c r="B1325">
        <v>2011</v>
      </c>
      <c r="C1325" t="s">
        <v>109</v>
      </c>
      <c r="D1325" t="s">
        <v>89</v>
      </c>
      <c r="E1325" t="s">
        <v>84</v>
      </c>
      <c r="F1325" s="267" t="s">
        <v>392</v>
      </c>
      <c r="G1325" s="267" t="s">
        <v>1444</v>
      </c>
    </row>
    <row r="1326" spans="1:7">
      <c r="A1326">
        <v>354</v>
      </c>
      <c r="B1326">
        <v>2011</v>
      </c>
      <c r="C1326" t="s">
        <v>110</v>
      </c>
      <c r="D1326" t="s">
        <v>89</v>
      </c>
      <c r="E1326" t="s">
        <v>84</v>
      </c>
      <c r="F1326" s="267" t="s">
        <v>393</v>
      </c>
      <c r="G1326" s="267" t="s">
        <v>1569</v>
      </c>
    </row>
    <row r="1327" spans="1:7">
      <c r="A1327">
        <v>355</v>
      </c>
      <c r="B1327">
        <v>2011</v>
      </c>
      <c r="C1327" t="s">
        <v>111</v>
      </c>
      <c r="D1327" t="s">
        <v>89</v>
      </c>
      <c r="E1327" t="s">
        <v>84</v>
      </c>
      <c r="F1327" s="267" t="s">
        <v>394</v>
      </c>
      <c r="G1327" s="267" t="s">
        <v>1570</v>
      </c>
    </row>
    <row r="1328" spans="1:7">
      <c r="A1328">
        <v>356</v>
      </c>
      <c r="B1328">
        <v>2011</v>
      </c>
      <c r="C1328" t="s">
        <v>112</v>
      </c>
      <c r="D1328" t="s">
        <v>89</v>
      </c>
      <c r="E1328" t="s">
        <v>84</v>
      </c>
      <c r="F1328" s="267" t="s">
        <v>395</v>
      </c>
      <c r="G1328" s="267" t="s">
        <v>831</v>
      </c>
    </row>
    <row r="1329" spans="1:7">
      <c r="A1329">
        <v>357</v>
      </c>
      <c r="B1329">
        <v>2011</v>
      </c>
      <c r="C1329" t="s">
        <v>113</v>
      </c>
      <c r="D1329" t="s">
        <v>89</v>
      </c>
      <c r="E1329" t="s">
        <v>84</v>
      </c>
      <c r="F1329" s="267" t="s">
        <v>396</v>
      </c>
      <c r="G1329" s="267" t="s">
        <v>1571</v>
      </c>
    </row>
    <row r="1330" spans="1:7">
      <c r="A1330">
        <v>358</v>
      </c>
      <c r="B1330">
        <v>2011</v>
      </c>
      <c r="C1330" t="s">
        <v>114</v>
      </c>
      <c r="D1330" t="s">
        <v>89</v>
      </c>
      <c r="E1330" t="s">
        <v>84</v>
      </c>
      <c r="F1330" s="267" t="s">
        <v>397</v>
      </c>
      <c r="G1330" s="267" t="s">
        <v>1572</v>
      </c>
    </row>
    <row r="1331" spans="1:7">
      <c r="A1331">
        <v>359</v>
      </c>
      <c r="B1331">
        <v>2011</v>
      </c>
      <c r="C1331" t="s">
        <v>115</v>
      </c>
      <c r="D1331" t="s">
        <v>89</v>
      </c>
      <c r="E1331" t="s">
        <v>84</v>
      </c>
      <c r="F1331" s="267" t="s">
        <v>398</v>
      </c>
      <c r="G1331" s="267" t="s">
        <v>1573</v>
      </c>
    </row>
    <row r="1332" spans="1:7">
      <c r="A1332">
        <v>360</v>
      </c>
      <c r="B1332">
        <v>2011</v>
      </c>
      <c r="C1332" t="s">
        <v>116</v>
      </c>
      <c r="D1332" t="s">
        <v>89</v>
      </c>
      <c r="E1332" t="s">
        <v>84</v>
      </c>
      <c r="F1332" s="267" t="s">
        <v>399</v>
      </c>
      <c r="G1332" s="267" t="s">
        <v>1574</v>
      </c>
    </row>
    <row r="1333" spans="1:7">
      <c r="A1333">
        <v>361</v>
      </c>
      <c r="B1333">
        <v>2011</v>
      </c>
      <c r="C1333" t="s">
        <v>117</v>
      </c>
      <c r="D1333" t="s">
        <v>89</v>
      </c>
      <c r="E1333" t="s">
        <v>84</v>
      </c>
      <c r="F1333" s="267" t="s">
        <v>400</v>
      </c>
      <c r="G1333" s="267" t="s">
        <v>1575</v>
      </c>
    </row>
    <row r="1334" spans="1:7">
      <c r="A1334">
        <v>3</v>
      </c>
      <c r="B1334">
        <v>2011</v>
      </c>
      <c r="C1334" t="s">
        <v>156</v>
      </c>
      <c r="D1334" t="s">
        <v>89</v>
      </c>
      <c r="E1334" t="s">
        <v>84</v>
      </c>
      <c r="F1334" s="267" t="s">
        <v>401</v>
      </c>
      <c r="G1334" s="267" t="s">
        <v>1576</v>
      </c>
    </row>
    <row r="1335" spans="1:7">
      <c r="A1335">
        <v>401</v>
      </c>
      <c r="B1335">
        <v>2011</v>
      </c>
      <c r="C1335" t="s">
        <v>402</v>
      </c>
      <c r="D1335" t="s">
        <v>89</v>
      </c>
      <c r="E1335" t="s">
        <v>84</v>
      </c>
      <c r="F1335" s="267" t="s">
        <v>403</v>
      </c>
      <c r="G1335" s="267" t="s">
        <v>687</v>
      </c>
    </row>
    <row r="1336" spans="1:7">
      <c r="A1336">
        <v>402</v>
      </c>
      <c r="B1336">
        <v>2011</v>
      </c>
      <c r="C1336" t="s">
        <v>404</v>
      </c>
      <c r="D1336" t="s">
        <v>89</v>
      </c>
      <c r="E1336" t="s">
        <v>84</v>
      </c>
      <c r="F1336" s="267" t="s">
        <v>405</v>
      </c>
      <c r="G1336" s="267" t="s">
        <v>1577</v>
      </c>
    </row>
    <row r="1337" spans="1:7">
      <c r="A1337">
        <v>403</v>
      </c>
      <c r="B1337">
        <v>2011</v>
      </c>
      <c r="C1337" t="s">
        <v>406</v>
      </c>
      <c r="D1337" t="s">
        <v>89</v>
      </c>
      <c r="E1337" t="s">
        <v>84</v>
      </c>
      <c r="F1337" s="267" t="s">
        <v>407</v>
      </c>
      <c r="G1337" s="267" t="s">
        <v>1578</v>
      </c>
    </row>
    <row r="1338" spans="1:7">
      <c r="A1338">
        <v>404</v>
      </c>
      <c r="B1338">
        <v>2011</v>
      </c>
      <c r="C1338" t="s">
        <v>408</v>
      </c>
      <c r="D1338" t="s">
        <v>89</v>
      </c>
      <c r="E1338" t="s">
        <v>84</v>
      </c>
      <c r="F1338" s="267" t="s">
        <v>409</v>
      </c>
      <c r="G1338" s="267" t="s">
        <v>1579</v>
      </c>
    </row>
    <row r="1339" spans="1:7">
      <c r="A1339">
        <v>405</v>
      </c>
      <c r="B1339">
        <v>2011</v>
      </c>
      <c r="C1339" t="s">
        <v>410</v>
      </c>
      <c r="D1339" t="s">
        <v>89</v>
      </c>
      <c r="E1339" t="s">
        <v>84</v>
      </c>
      <c r="F1339" s="267" t="s">
        <v>411</v>
      </c>
      <c r="G1339" s="267" t="s">
        <v>1580</v>
      </c>
    </row>
    <row r="1340" spans="1:7">
      <c r="A1340">
        <v>451</v>
      </c>
      <c r="B1340">
        <v>2011</v>
      </c>
      <c r="C1340" t="s">
        <v>118</v>
      </c>
      <c r="D1340" t="s">
        <v>89</v>
      </c>
      <c r="E1340" t="s">
        <v>84</v>
      </c>
      <c r="F1340" s="267" t="s">
        <v>412</v>
      </c>
      <c r="G1340" s="267" t="s">
        <v>1581</v>
      </c>
    </row>
    <row r="1341" spans="1:7">
      <c r="A1341">
        <v>452</v>
      </c>
      <c r="B1341">
        <v>2011</v>
      </c>
      <c r="C1341" t="s">
        <v>119</v>
      </c>
      <c r="D1341" t="s">
        <v>89</v>
      </c>
      <c r="E1341" t="s">
        <v>84</v>
      </c>
      <c r="F1341" s="267" t="s">
        <v>413</v>
      </c>
      <c r="G1341" s="267" t="s">
        <v>1582</v>
      </c>
    </row>
    <row r="1342" spans="1:7">
      <c r="A1342">
        <v>453</v>
      </c>
      <c r="B1342">
        <v>2011</v>
      </c>
      <c r="C1342" t="s">
        <v>120</v>
      </c>
      <c r="D1342" t="s">
        <v>89</v>
      </c>
      <c r="E1342" t="s">
        <v>84</v>
      </c>
      <c r="F1342" s="267" t="s">
        <v>414</v>
      </c>
      <c r="G1342" s="267" t="s">
        <v>1583</v>
      </c>
    </row>
    <row r="1343" spans="1:7">
      <c r="A1343">
        <v>454</v>
      </c>
      <c r="B1343">
        <v>2011</v>
      </c>
      <c r="C1343" t="s">
        <v>121</v>
      </c>
      <c r="D1343" t="s">
        <v>89</v>
      </c>
      <c r="E1343" t="s">
        <v>84</v>
      </c>
      <c r="F1343" s="267" t="s">
        <v>415</v>
      </c>
      <c r="G1343" s="267" t="s">
        <v>1584</v>
      </c>
    </row>
    <row r="1344" spans="1:7">
      <c r="A1344">
        <v>455</v>
      </c>
      <c r="B1344">
        <v>2011</v>
      </c>
      <c r="C1344" t="s">
        <v>122</v>
      </c>
      <c r="D1344" t="s">
        <v>89</v>
      </c>
      <c r="E1344" t="s">
        <v>84</v>
      </c>
      <c r="F1344" s="267" t="s">
        <v>416</v>
      </c>
      <c r="G1344" s="267" t="s">
        <v>1585</v>
      </c>
    </row>
    <row r="1345" spans="1:7">
      <c r="A1345">
        <v>456</v>
      </c>
      <c r="B1345">
        <v>2011</v>
      </c>
      <c r="C1345" t="s">
        <v>123</v>
      </c>
      <c r="D1345" t="s">
        <v>89</v>
      </c>
      <c r="E1345" t="s">
        <v>84</v>
      </c>
      <c r="F1345" s="267" t="s">
        <v>417</v>
      </c>
      <c r="G1345" s="267" t="s">
        <v>1586</v>
      </c>
    </row>
    <row r="1346" spans="1:7">
      <c r="A1346">
        <v>457</v>
      </c>
      <c r="B1346">
        <v>2011</v>
      </c>
      <c r="C1346" t="s">
        <v>124</v>
      </c>
      <c r="D1346" t="s">
        <v>89</v>
      </c>
      <c r="E1346" t="s">
        <v>84</v>
      </c>
      <c r="F1346" s="267" t="s">
        <v>418</v>
      </c>
      <c r="G1346" s="267" t="s">
        <v>1454</v>
      </c>
    </row>
    <row r="1347" spans="1:7">
      <c r="A1347">
        <v>458</v>
      </c>
      <c r="B1347">
        <v>2011</v>
      </c>
      <c r="C1347" t="s">
        <v>125</v>
      </c>
      <c r="D1347" t="s">
        <v>89</v>
      </c>
      <c r="E1347" t="s">
        <v>84</v>
      </c>
      <c r="F1347" s="267" t="s">
        <v>419</v>
      </c>
      <c r="G1347" s="267" t="s">
        <v>1587</v>
      </c>
    </row>
    <row r="1348" spans="1:7">
      <c r="A1348">
        <v>459</v>
      </c>
      <c r="B1348">
        <v>2011</v>
      </c>
      <c r="C1348" t="s">
        <v>126</v>
      </c>
      <c r="D1348" t="s">
        <v>89</v>
      </c>
      <c r="E1348" t="s">
        <v>84</v>
      </c>
      <c r="F1348" s="267" t="s">
        <v>420</v>
      </c>
      <c r="G1348" s="267" t="s">
        <v>1588</v>
      </c>
    </row>
    <row r="1349" spans="1:7">
      <c r="A1349">
        <v>460</v>
      </c>
      <c r="B1349">
        <v>2011</v>
      </c>
      <c r="C1349" t="s">
        <v>127</v>
      </c>
      <c r="D1349" t="s">
        <v>89</v>
      </c>
      <c r="E1349" t="s">
        <v>84</v>
      </c>
      <c r="F1349" s="267" t="s">
        <v>421</v>
      </c>
      <c r="G1349" s="267" t="s">
        <v>1589</v>
      </c>
    </row>
    <row r="1350" spans="1:7">
      <c r="A1350">
        <v>461</v>
      </c>
      <c r="B1350">
        <v>2011</v>
      </c>
      <c r="C1350" t="s">
        <v>128</v>
      </c>
      <c r="D1350" t="s">
        <v>89</v>
      </c>
      <c r="E1350" t="s">
        <v>84</v>
      </c>
      <c r="F1350" s="267" t="s">
        <v>422</v>
      </c>
      <c r="G1350" s="267" t="s">
        <v>1054</v>
      </c>
    </row>
    <row r="1351" spans="1:7">
      <c r="A1351">
        <v>462</v>
      </c>
      <c r="B1351">
        <v>2011</v>
      </c>
      <c r="C1351" t="s">
        <v>129</v>
      </c>
      <c r="D1351" t="s">
        <v>89</v>
      </c>
      <c r="E1351" t="s">
        <v>84</v>
      </c>
      <c r="F1351" s="267" t="s">
        <v>423</v>
      </c>
      <c r="G1351" s="267" t="s">
        <v>1590</v>
      </c>
    </row>
    <row r="1352" spans="1:7">
      <c r="A1352">
        <v>4</v>
      </c>
      <c r="B1352">
        <v>2011</v>
      </c>
      <c r="C1352" t="s">
        <v>157</v>
      </c>
      <c r="D1352" t="s">
        <v>89</v>
      </c>
      <c r="E1352" t="s">
        <v>84</v>
      </c>
      <c r="F1352" s="267" t="s">
        <v>424</v>
      </c>
      <c r="G1352" s="267" t="s">
        <v>1591</v>
      </c>
    </row>
    <row r="1353" spans="1:7">
      <c r="A1353">
        <v>0</v>
      </c>
      <c r="B1353">
        <v>2011</v>
      </c>
      <c r="C1353" t="s">
        <v>130</v>
      </c>
      <c r="D1353" t="s">
        <v>89</v>
      </c>
      <c r="E1353" t="s">
        <v>84</v>
      </c>
      <c r="F1353" s="267" t="s">
        <v>425</v>
      </c>
      <c r="G1353" s="267" t="s">
        <v>1592</v>
      </c>
    </row>
    <row r="1354" spans="1:7">
      <c r="A1354">
        <v>101</v>
      </c>
      <c r="B1354">
        <v>2011</v>
      </c>
      <c r="C1354" t="s">
        <v>363</v>
      </c>
      <c r="D1354" t="s">
        <v>90</v>
      </c>
      <c r="E1354" t="s">
        <v>84</v>
      </c>
      <c r="F1354" s="267" t="s">
        <v>364</v>
      </c>
      <c r="G1354" s="267" t="s">
        <v>1593</v>
      </c>
    </row>
    <row r="1355" spans="1:7">
      <c r="A1355">
        <v>102</v>
      </c>
      <c r="B1355">
        <v>2011</v>
      </c>
      <c r="C1355" t="s">
        <v>365</v>
      </c>
      <c r="D1355" t="s">
        <v>90</v>
      </c>
      <c r="E1355" t="s">
        <v>84</v>
      </c>
      <c r="F1355" s="267" t="s">
        <v>366</v>
      </c>
      <c r="G1355" s="267" t="s">
        <v>1594</v>
      </c>
    </row>
    <row r="1356" spans="1:7">
      <c r="A1356">
        <v>103</v>
      </c>
      <c r="B1356">
        <v>2011</v>
      </c>
      <c r="C1356" t="s">
        <v>367</v>
      </c>
      <c r="D1356" t="s">
        <v>90</v>
      </c>
      <c r="E1356" t="s">
        <v>84</v>
      </c>
      <c r="F1356" s="267" t="s">
        <v>368</v>
      </c>
      <c r="G1356" s="267" t="s">
        <v>1595</v>
      </c>
    </row>
    <row r="1357" spans="1:7">
      <c r="A1357">
        <v>151</v>
      </c>
      <c r="B1357">
        <v>2011</v>
      </c>
      <c r="C1357" t="s">
        <v>94</v>
      </c>
      <c r="D1357" t="s">
        <v>90</v>
      </c>
      <c r="E1357" t="s">
        <v>84</v>
      </c>
      <c r="F1357" s="267" t="s">
        <v>369</v>
      </c>
      <c r="G1357" s="267" t="s">
        <v>1596</v>
      </c>
    </row>
    <row r="1358" spans="1:7">
      <c r="A1358">
        <v>153</v>
      </c>
      <c r="B1358">
        <v>2011</v>
      </c>
      <c r="C1358" t="s">
        <v>96</v>
      </c>
      <c r="D1358" t="s">
        <v>90</v>
      </c>
      <c r="E1358" t="s">
        <v>84</v>
      </c>
      <c r="F1358" s="267" t="s">
        <v>370</v>
      </c>
      <c r="G1358" s="267" t="s">
        <v>959</v>
      </c>
    </row>
    <row r="1359" spans="1:7">
      <c r="A1359">
        <v>154</v>
      </c>
      <c r="B1359">
        <v>2011</v>
      </c>
      <c r="C1359" t="s">
        <v>97</v>
      </c>
      <c r="D1359" t="s">
        <v>90</v>
      </c>
      <c r="E1359" t="s">
        <v>84</v>
      </c>
      <c r="F1359" s="267" t="s">
        <v>371</v>
      </c>
      <c r="G1359" s="267" t="s">
        <v>1597</v>
      </c>
    </row>
    <row r="1360" spans="1:7">
      <c r="A1360">
        <v>155</v>
      </c>
      <c r="B1360">
        <v>2011</v>
      </c>
      <c r="C1360" t="s">
        <v>98</v>
      </c>
      <c r="D1360" t="s">
        <v>90</v>
      </c>
      <c r="E1360" t="s">
        <v>84</v>
      </c>
      <c r="F1360" s="267" t="s">
        <v>372</v>
      </c>
      <c r="G1360" s="267" t="s">
        <v>1598</v>
      </c>
    </row>
    <row r="1361" spans="1:7">
      <c r="A1361">
        <v>157</v>
      </c>
      <c r="B1361">
        <v>2011</v>
      </c>
      <c r="C1361" t="s">
        <v>99</v>
      </c>
      <c r="D1361" t="s">
        <v>90</v>
      </c>
      <c r="E1361" t="s">
        <v>84</v>
      </c>
      <c r="F1361" s="267" t="s">
        <v>373</v>
      </c>
      <c r="G1361" s="267" t="s">
        <v>1599</v>
      </c>
    </row>
    <row r="1362" spans="1:7">
      <c r="A1362">
        <v>158</v>
      </c>
      <c r="B1362">
        <v>2011</v>
      </c>
      <c r="C1362" t="s">
        <v>100</v>
      </c>
      <c r="D1362" t="s">
        <v>90</v>
      </c>
      <c r="E1362" t="s">
        <v>84</v>
      </c>
      <c r="F1362" s="267" t="s">
        <v>374</v>
      </c>
      <c r="G1362" s="267" t="s">
        <v>1556</v>
      </c>
    </row>
    <row r="1363" spans="1:7">
      <c r="A1363">
        <v>159</v>
      </c>
      <c r="B1363">
        <v>2011</v>
      </c>
      <c r="C1363" t="s">
        <v>95</v>
      </c>
      <c r="D1363" t="s">
        <v>90</v>
      </c>
      <c r="E1363" t="s">
        <v>84</v>
      </c>
      <c r="F1363" s="267" t="s">
        <v>375</v>
      </c>
      <c r="G1363" s="267" t="s">
        <v>1600</v>
      </c>
    </row>
    <row r="1364" spans="1:7">
      <c r="A1364">
        <v>1</v>
      </c>
      <c r="B1364">
        <v>2011</v>
      </c>
      <c r="C1364" t="s">
        <v>154</v>
      </c>
      <c r="D1364" t="s">
        <v>90</v>
      </c>
      <c r="E1364" t="s">
        <v>84</v>
      </c>
      <c r="F1364" s="267" t="s">
        <v>376</v>
      </c>
      <c r="G1364" s="267" t="s">
        <v>1601</v>
      </c>
    </row>
    <row r="1365" spans="1:7">
      <c r="A1365">
        <v>241</v>
      </c>
      <c r="B1365">
        <v>2011</v>
      </c>
      <c r="C1365" t="s">
        <v>377</v>
      </c>
      <c r="D1365" t="s">
        <v>90</v>
      </c>
      <c r="E1365" t="s">
        <v>84</v>
      </c>
      <c r="F1365" s="267" t="s">
        <v>378</v>
      </c>
      <c r="G1365" s="267" t="s">
        <v>1602</v>
      </c>
    </row>
    <row r="1366" spans="1:7">
      <c r="A1366">
        <v>241001</v>
      </c>
      <c r="B1366">
        <v>2011</v>
      </c>
      <c r="C1366" t="s">
        <v>379</v>
      </c>
      <c r="D1366" t="s">
        <v>90</v>
      </c>
      <c r="E1366" t="s">
        <v>84</v>
      </c>
      <c r="F1366" s="267" t="s">
        <v>380</v>
      </c>
      <c r="G1366" s="267" t="s">
        <v>1603</v>
      </c>
    </row>
    <row r="1367" spans="1:7">
      <c r="A1367">
        <v>241999</v>
      </c>
      <c r="B1367">
        <v>2011</v>
      </c>
      <c r="C1367" t="s">
        <v>381</v>
      </c>
      <c r="D1367" t="s">
        <v>90</v>
      </c>
      <c r="E1367" t="s">
        <v>84</v>
      </c>
      <c r="F1367" s="267" t="s">
        <v>382</v>
      </c>
      <c r="G1367" s="267" t="s">
        <v>1524</v>
      </c>
    </row>
    <row r="1368" spans="1:7">
      <c r="A1368">
        <v>251</v>
      </c>
      <c r="B1368">
        <v>2011</v>
      </c>
      <c r="C1368" t="s">
        <v>101</v>
      </c>
      <c r="D1368" t="s">
        <v>90</v>
      </c>
      <c r="E1368" t="s">
        <v>84</v>
      </c>
      <c r="F1368" s="267" t="s">
        <v>383</v>
      </c>
      <c r="G1368" s="267" t="s">
        <v>1217</v>
      </c>
    </row>
    <row r="1369" spans="1:7">
      <c r="A1369">
        <v>252</v>
      </c>
      <c r="B1369">
        <v>2011</v>
      </c>
      <c r="C1369" t="s">
        <v>102</v>
      </c>
      <c r="D1369" t="s">
        <v>90</v>
      </c>
      <c r="E1369" t="s">
        <v>84</v>
      </c>
      <c r="F1369" s="267" t="s">
        <v>384</v>
      </c>
      <c r="G1369" s="267" t="s">
        <v>1368</v>
      </c>
    </row>
    <row r="1370" spans="1:7">
      <c r="A1370">
        <v>254</v>
      </c>
      <c r="B1370">
        <v>2011</v>
      </c>
      <c r="C1370" t="s">
        <v>103</v>
      </c>
      <c r="D1370" t="s">
        <v>90</v>
      </c>
      <c r="E1370" t="s">
        <v>84</v>
      </c>
      <c r="F1370" s="267" t="s">
        <v>385</v>
      </c>
      <c r="G1370" s="267" t="s">
        <v>1604</v>
      </c>
    </row>
    <row r="1371" spans="1:7">
      <c r="A1371">
        <v>255</v>
      </c>
      <c r="B1371">
        <v>2011</v>
      </c>
      <c r="C1371" t="s">
        <v>104</v>
      </c>
      <c r="D1371" t="s">
        <v>90</v>
      </c>
      <c r="E1371" t="s">
        <v>84</v>
      </c>
      <c r="F1371" s="267" t="s">
        <v>386</v>
      </c>
      <c r="G1371" s="267" t="s">
        <v>1605</v>
      </c>
    </row>
    <row r="1372" spans="1:7">
      <c r="A1372">
        <v>256</v>
      </c>
      <c r="B1372">
        <v>2011</v>
      </c>
      <c r="C1372" t="s">
        <v>105</v>
      </c>
      <c r="D1372" t="s">
        <v>90</v>
      </c>
      <c r="E1372" t="s">
        <v>84</v>
      </c>
      <c r="F1372" s="267" t="s">
        <v>387</v>
      </c>
      <c r="G1372" s="267" t="s">
        <v>1606</v>
      </c>
    </row>
    <row r="1373" spans="1:7">
      <c r="A1373">
        <v>257</v>
      </c>
      <c r="B1373">
        <v>2011</v>
      </c>
      <c r="C1373" t="s">
        <v>106</v>
      </c>
      <c r="D1373" t="s">
        <v>90</v>
      </c>
      <c r="E1373" t="s">
        <v>84</v>
      </c>
      <c r="F1373" s="267" t="s">
        <v>388</v>
      </c>
      <c r="G1373" s="267" t="s">
        <v>1079</v>
      </c>
    </row>
    <row r="1374" spans="1:7">
      <c r="A1374">
        <v>2</v>
      </c>
      <c r="B1374">
        <v>2011</v>
      </c>
      <c r="C1374" t="s">
        <v>155</v>
      </c>
      <c r="D1374" t="s">
        <v>90</v>
      </c>
      <c r="E1374" t="s">
        <v>84</v>
      </c>
      <c r="F1374" s="267" t="s">
        <v>389</v>
      </c>
      <c r="G1374" s="267" t="s">
        <v>1607</v>
      </c>
    </row>
    <row r="1375" spans="1:7">
      <c r="A1375">
        <v>351</v>
      </c>
      <c r="B1375">
        <v>2011</v>
      </c>
      <c r="C1375" t="s">
        <v>107</v>
      </c>
      <c r="D1375" t="s">
        <v>90</v>
      </c>
      <c r="E1375" t="s">
        <v>84</v>
      </c>
      <c r="F1375" s="267" t="s">
        <v>390</v>
      </c>
      <c r="G1375" s="267" t="s">
        <v>1041</v>
      </c>
    </row>
    <row r="1376" spans="1:7">
      <c r="A1376">
        <v>352</v>
      </c>
      <c r="B1376">
        <v>2011</v>
      </c>
      <c r="C1376" t="s">
        <v>108</v>
      </c>
      <c r="D1376" t="s">
        <v>90</v>
      </c>
      <c r="E1376" t="s">
        <v>84</v>
      </c>
      <c r="F1376" s="267" t="s">
        <v>391</v>
      </c>
      <c r="G1376" s="267" t="s">
        <v>1608</v>
      </c>
    </row>
    <row r="1377" spans="1:7">
      <c r="A1377">
        <v>353</v>
      </c>
      <c r="B1377">
        <v>2011</v>
      </c>
      <c r="C1377" t="s">
        <v>109</v>
      </c>
      <c r="D1377" t="s">
        <v>90</v>
      </c>
      <c r="E1377" t="s">
        <v>84</v>
      </c>
      <c r="F1377" s="267" t="s">
        <v>392</v>
      </c>
      <c r="G1377" s="267" t="s">
        <v>1609</v>
      </c>
    </row>
    <row r="1378" spans="1:7">
      <c r="A1378">
        <v>354</v>
      </c>
      <c r="B1378">
        <v>2011</v>
      </c>
      <c r="C1378" t="s">
        <v>110</v>
      </c>
      <c r="D1378" t="s">
        <v>90</v>
      </c>
      <c r="E1378" t="s">
        <v>84</v>
      </c>
      <c r="F1378" s="267" t="s">
        <v>393</v>
      </c>
      <c r="G1378" s="267" t="s">
        <v>1610</v>
      </c>
    </row>
    <row r="1379" spans="1:7">
      <c r="A1379">
        <v>355</v>
      </c>
      <c r="B1379">
        <v>2011</v>
      </c>
      <c r="C1379" t="s">
        <v>111</v>
      </c>
      <c r="D1379" t="s">
        <v>90</v>
      </c>
      <c r="E1379" t="s">
        <v>84</v>
      </c>
      <c r="F1379" s="267" t="s">
        <v>394</v>
      </c>
      <c r="G1379" s="267" t="s">
        <v>1611</v>
      </c>
    </row>
    <row r="1380" spans="1:7">
      <c r="A1380">
        <v>356</v>
      </c>
      <c r="B1380">
        <v>2011</v>
      </c>
      <c r="C1380" t="s">
        <v>112</v>
      </c>
      <c r="D1380" t="s">
        <v>90</v>
      </c>
      <c r="E1380" t="s">
        <v>84</v>
      </c>
      <c r="F1380" s="267" t="s">
        <v>395</v>
      </c>
      <c r="G1380" s="267" t="s">
        <v>1477</v>
      </c>
    </row>
    <row r="1381" spans="1:7">
      <c r="A1381">
        <v>357</v>
      </c>
      <c r="B1381">
        <v>2011</v>
      </c>
      <c r="C1381" t="s">
        <v>113</v>
      </c>
      <c r="D1381" t="s">
        <v>90</v>
      </c>
      <c r="E1381" t="s">
        <v>84</v>
      </c>
      <c r="F1381" s="267" t="s">
        <v>396</v>
      </c>
      <c r="G1381" s="267" t="s">
        <v>1612</v>
      </c>
    </row>
    <row r="1382" spans="1:7">
      <c r="A1382">
        <v>358</v>
      </c>
      <c r="B1382">
        <v>2011</v>
      </c>
      <c r="C1382" t="s">
        <v>114</v>
      </c>
      <c r="D1382" t="s">
        <v>90</v>
      </c>
      <c r="E1382" t="s">
        <v>84</v>
      </c>
      <c r="F1382" s="267" t="s">
        <v>397</v>
      </c>
      <c r="G1382" s="267" t="s">
        <v>1380</v>
      </c>
    </row>
    <row r="1383" spans="1:7">
      <c r="A1383">
        <v>359</v>
      </c>
      <c r="B1383">
        <v>2011</v>
      </c>
      <c r="C1383" t="s">
        <v>115</v>
      </c>
      <c r="D1383" t="s">
        <v>90</v>
      </c>
      <c r="E1383" t="s">
        <v>84</v>
      </c>
      <c r="F1383" s="267" t="s">
        <v>398</v>
      </c>
      <c r="G1383" s="267" t="s">
        <v>1613</v>
      </c>
    </row>
    <row r="1384" spans="1:7">
      <c r="A1384">
        <v>360</v>
      </c>
      <c r="B1384">
        <v>2011</v>
      </c>
      <c r="C1384" t="s">
        <v>116</v>
      </c>
      <c r="D1384" t="s">
        <v>90</v>
      </c>
      <c r="E1384" t="s">
        <v>84</v>
      </c>
      <c r="F1384" s="267" t="s">
        <v>399</v>
      </c>
      <c r="G1384" s="267" t="s">
        <v>1234</v>
      </c>
    </row>
    <row r="1385" spans="1:7">
      <c r="A1385">
        <v>361</v>
      </c>
      <c r="B1385">
        <v>2011</v>
      </c>
      <c r="C1385" t="s">
        <v>117</v>
      </c>
      <c r="D1385" t="s">
        <v>90</v>
      </c>
      <c r="E1385" t="s">
        <v>84</v>
      </c>
      <c r="F1385" s="267" t="s">
        <v>400</v>
      </c>
      <c r="G1385" s="267" t="s">
        <v>1366</v>
      </c>
    </row>
    <row r="1386" spans="1:7">
      <c r="A1386">
        <v>3</v>
      </c>
      <c r="B1386">
        <v>2011</v>
      </c>
      <c r="C1386" t="s">
        <v>156</v>
      </c>
      <c r="D1386" t="s">
        <v>90</v>
      </c>
      <c r="E1386" t="s">
        <v>84</v>
      </c>
      <c r="F1386" s="267" t="s">
        <v>401</v>
      </c>
      <c r="G1386" s="267" t="s">
        <v>1614</v>
      </c>
    </row>
    <row r="1387" spans="1:7">
      <c r="A1387">
        <v>401</v>
      </c>
      <c r="B1387">
        <v>2011</v>
      </c>
      <c r="C1387" t="s">
        <v>402</v>
      </c>
      <c r="D1387" t="s">
        <v>90</v>
      </c>
      <c r="E1387" t="s">
        <v>84</v>
      </c>
      <c r="F1387" s="267" t="s">
        <v>403</v>
      </c>
      <c r="G1387" s="267" t="s">
        <v>1615</v>
      </c>
    </row>
    <row r="1388" spans="1:7">
      <c r="A1388">
        <v>402</v>
      </c>
      <c r="B1388">
        <v>2011</v>
      </c>
      <c r="C1388" t="s">
        <v>404</v>
      </c>
      <c r="D1388" t="s">
        <v>90</v>
      </c>
      <c r="E1388" t="s">
        <v>84</v>
      </c>
      <c r="F1388" s="267" t="s">
        <v>405</v>
      </c>
      <c r="G1388" s="267" t="s">
        <v>1616</v>
      </c>
    </row>
    <row r="1389" spans="1:7">
      <c r="A1389">
        <v>403</v>
      </c>
      <c r="B1389">
        <v>2011</v>
      </c>
      <c r="C1389" t="s">
        <v>406</v>
      </c>
      <c r="D1389" t="s">
        <v>90</v>
      </c>
      <c r="E1389" t="s">
        <v>84</v>
      </c>
      <c r="F1389" s="267" t="s">
        <v>407</v>
      </c>
      <c r="G1389" s="267" t="s">
        <v>815</v>
      </c>
    </row>
    <row r="1390" spans="1:7">
      <c r="A1390">
        <v>404</v>
      </c>
      <c r="B1390">
        <v>2011</v>
      </c>
      <c r="C1390" t="s">
        <v>408</v>
      </c>
      <c r="D1390" t="s">
        <v>90</v>
      </c>
      <c r="E1390" t="s">
        <v>84</v>
      </c>
      <c r="F1390" s="267" t="s">
        <v>409</v>
      </c>
      <c r="G1390" s="267" t="s">
        <v>1617</v>
      </c>
    </row>
    <row r="1391" spans="1:7">
      <c r="A1391">
        <v>405</v>
      </c>
      <c r="B1391">
        <v>2011</v>
      </c>
      <c r="C1391" t="s">
        <v>410</v>
      </c>
      <c r="D1391" t="s">
        <v>90</v>
      </c>
      <c r="E1391" t="s">
        <v>84</v>
      </c>
      <c r="F1391" s="267" t="s">
        <v>411</v>
      </c>
      <c r="G1391" s="267" t="s">
        <v>1618</v>
      </c>
    </row>
    <row r="1392" spans="1:7">
      <c r="A1392">
        <v>451</v>
      </c>
      <c r="B1392">
        <v>2011</v>
      </c>
      <c r="C1392" t="s">
        <v>118</v>
      </c>
      <c r="D1392" t="s">
        <v>90</v>
      </c>
      <c r="E1392" t="s">
        <v>84</v>
      </c>
      <c r="F1392" s="267" t="s">
        <v>412</v>
      </c>
      <c r="G1392" s="267" t="s">
        <v>687</v>
      </c>
    </row>
    <row r="1393" spans="1:7">
      <c r="A1393">
        <v>452</v>
      </c>
      <c r="B1393">
        <v>2011</v>
      </c>
      <c r="C1393" t="s">
        <v>119</v>
      </c>
      <c r="D1393" t="s">
        <v>90</v>
      </c>
      <c r="E1393" t="s">
        <v>84</v>
      </c>
      <c r="F1393" s="267" t="s">
        <v>413</v>
      </c>
      <c r="G1393" s="267" t="s">
        <v>1619</v>
      </c>
    </row>
    <row r="1394" spans="1:7">
      <c r="A1394">
        <v>453</v>
      </c>
      <c r="B1394">
        <v>2011</v>
      </c>
      <c r="C1394" t="s">
        <v>120</v>
      </c>
      <c r="D1394" t="s">
        <v>90</v>
      </c>
      <c r="E1394" t="s">
        <v>84</v>
      </c>
      <c r="F1394" s="267" t="s">
        <v>414</v>
      </c>
      <c r="G1394" s="267" t="s">
        <v>1620</v>
      </c>
    </row>
    <row r="1395" spans="1:7">
      <c r="A1395">
        <v>454</v>
      </c>
      <c r="B1395">
        <v>2011</v>
      </c>
      <c r="C1395" t="s">
        <v>121</v>
      </c>
      <c r="D1395" t="s">
        <v>90</v>
      </c>
      <c r="E1395" t="s">
        <v>84</v>
      </c>
      <c r="F1395" s="267" t="s">
        <v>415</v>
      </c>
      <c r="G1395" s="267" t="s">
        <v>1621</v>
      </c>
    </row>
    <row r="1396" spans="1:7">
      <c r="A1396">
        <v>455</v>
      </c>
      <c r="B1396">
        <v>2011</v>
      </c>
      <c r="C1396" t="s">
        <v>122</v>
      </c>
      <c r="D1396" t="s">
        <v>90</v>
      </c>
      <c r="E1396" t="s">
        <v>84</v>
      </c>
      <c r="F1396" s="267" t="s">
        <v>416</v>
      </c>
      <c r="G1396" s="267" t="s">
        <v>1622</v>
      </c>
    </row>
    <row r="1397" spans="1:7">
      <c r="A1397">
        <v>456</v>
      </c>
      <c r="B1397">
        <v>2011</v>
      </c>
      <c r="C1397" t="s">
        <v>123</v>
      </c>
      <c r="D1397" t="s">
        <v>90</v>
      </c>
      <c r="E1397" t="s">
        <v>84</v>
      </c>
      <c r="F1397" s="267" t="s">
        <v>417</v>
      </c>
      <c r="G1397" s="267" t="s">
        <v>1623</v>
      </c>
    </row>
    <row r="1398" spans="1:7">
      <c r="A1398">
        <v>457</v>
      </c>
      <c r="B1398">
        <v>2011</v>
      </c>
      <c r="C1398" t="s">
        <v>124</v>
      </c>
      <c r="D1398" t="s">
        <v>90</v>
      </c>
      <c r="E1398" t="s">
        <v>84</v>
      </c>
      <c r="F1398" s="267" t="s">
        <v>418</v>
      </c>
      <c r="G1398" s="267" t="s">
        <v>1624</v>
      </c>
    </row>
    <row r="1399" spans="1:7">
      <c r="A1399">
        <v>458</v>
      </c>
      <c r="B1399">
        <v>2011</v>
      </c>
      <c r="C1399" t="s">
        <v>125</v>
      </c>
      <c r="D1399" t="s">
        <v>90</v>
      </c>
      <c r="E1399" t="s">
        <v>84</v>
      </c>
      <c r="F1399" s="267" t="s">
        <v>419</v>
      </c>
      <c r="G1399" s="267" t="s">
        <v>1566</v>
      </c>
    </row>
    <row r="1400" spans="1:7">
      <c r="A1400">
        <v>459</v>
      </c>
      <c r="B1400">
        <v>2011</v>
      </c>
      <c r="C1400" t="s">
        <v>126</v>
      </c>
      <c r="D1400" t="s">
        <v>90</v>
      </c>
      <c r="E1400" t="s">
        <v>84</v>
      </c>
      <c r="F1400" s="267" t="s">
        <v>420</v>
      </c>
      <c r="G1400" s="267" t="s">
        <v>1059</v>
      </c>
    </row>
    <row r="1401" spans="1:7">
      <c r="A1401">
        <v>460</v>
      </c>
      <c r="B1401">
        <v>2011</v>
      </c>
      <c r="C1401" t="s">
        <v>127</v>
      </c>
      <c r="D1401" t="s">
        <v>90</v>
      </c>
      <c r="E1401" t="s">
        <v>84</v>
      </c>
      <c r="F1401" s="267" t="s">
        <v>421</v>
      </c>
      <c r="G1401" s="267" t="s">
        <v>1625</v>
      </c>
    </row>
    <row r="1402" spans="1:7">
      <c r="A1402">
        <v>461</v>
      </c>
      <c r="B1402">
        <v>2011</v>
      </c>
      <c r="C1402" t="s">
        <v>128</v>
      </c>
      <c r="D1402" t="s">
        <v>90</v>
      </c>
      <c r="E1402" t="s">
        <v>84</v>
      </c>
      <c r="F1402" s="267" t="s">
        <v>422</v>
      </c>
      <c r="G1402" s="267" t="s">
        <v>1626</v>
      </c>
    </row>
    <row r="1403" spans="1:7">
      <c r="A1403">
        <v>462</v>
      </c>
      <c r="B1403">
        <v>2011</v>
      </c>
      <c r="C1403" t="s">
        <v>129</v>
      </c>
      <c r="D1403" t="s">
        <v>90</v>
      </c>
      <c r="E1403" t="s">
        <v>84</v>
      </c>
      <c r="F1403" s="267" t="s">
        <v>423</v>
      </c>
      <c r="G1403" s="267" t="s">
        <v>1627</v>
      </c>
    </row>
    <row r="1404" spans="1:7">
      <c r="A1404">
        <v>4</v>
      </c>
      <c r="B1404">
        <v>2011</v>
      </c>
      <c r="C1404" t="s">
        <v>157</v>
      </c>
      <c r="D1404" t="s">
        <v>90</v>
      </c>
      <c r="E1404" t="s">
        <v>84</v>
      </c>
      <c r="F1404" s="267" t="s">
        <v>424</v>
      </c>
      <c r="G1404" s="267" t="s">
        <v>1628</v>
      </c>
    </row>
    <row r="1405" spans="1:7">
      <c r="A1405">
        <v>0</v>
      </c>
      <c r="B1405">
        <v>2011</v>
      </c>
      <c r="C1405" t="s">
        <v>130</v>
      </c>
      <c r="D1405" t="s">
        <v>90</v>
      </c>
      <c r="E1405" t="s">
        <v>84</v>
      </c>
      <c r="F1405" s="267" t="s">
        <v>425</v>
      </c>
      <c r="G1405" s="267" t="s">
        <v>1629</v>
      </c>
    </row>
    <row r="1406" spans="1:7">
      <c r="F1406" s="267"/>
      <c r="G1406" s="267" t="s">
        <v>3</v>
      </c>
    </row>
    <row r="1407" spans="1:7">
      <c r="F1407" s="267"/>
      <c r="G1407" s="267" t="s">
        <v>3</v>
      </c>
    </row>
    <row r="1408" spans="1:7">
      <c r="F1408" s="267"/>
      <c r="G1408" s="267"/>
    </row>
    <row r="1409" spans="6:7">
      <c r="F1409" s="267"/>
      <c r="G1409" s="267"/>
    </row>
    <row r="1410" spans="6:7">
      <c r="F1410" s="267"/>
      <c r="G1410" s="267"/>
    </row>
    <row r="1411" spans="6:7">
      <c r="F1411" s="267"/>
      <c r="G1411" s="267"/>
    </row>
    <row r="1412" spans="6:7">
      <c r="F1412" s="267"/>
      <c r="G1412" s="267"/>
    </row>
    <row r="1413" spans="6:7">
      <c r="F1413" s="267"/>
      <c r="G1413" s="267"/>
    </row>
    <row r="1414" spans="6:7">
      <c r="F1414" s="267"/>
      <c r="G1414" s="267"/>
    </row>
    <row r="1415" spans="6:7">
      <c r="F1415" s="267"/>
      <c r="G1415" s="267"/>
    </row>
    <row r="1416" spans="6:7">
      <c r="F1416" s="267"/>
      <c r="G1416" s="267"/>
    </row>
    <row r="1417" spans="6:7">
      <c r="F1417" s="267"/>
      <c r="G1417" s="267"/>
    </row>
    <row r="1418" spans="6:7">
      <c r="F1418" s="267"/>
      <c r="G1418" s="267"/>
    </row>
    <row r="1419" spans="6:7">
      <c r="F1419" s="267"/>
      <c r="G1419" s="267"/>
    </row>
    <row r="1420" spans="6:7">
      <c r="F1420" s="267"/>
      <c r="G1420" s="267"/>
    </row>
    <row r="1421" spans="6:7">
      <c r="F1421" s="267"/>
      <c r="G1421" s="267"/>
    </row>
    <row r="1422" spans="6:7">
      <c r="F1422" s="267"/>
      <c r="G1422" s="267"/>
    </row>
    <row r="1423" spans="6:7">
      <c r="F1423" s="267"/>
      <c r="G1423" s="267"/>
    </row>
    <row r="1424" spans="6:7">
      <c r="F1424" s="267"/>
      <c r="G1424" s="267"/>
    </row>
    <row r="1425" spans="6:7">
      <c r="F1425" s="267"/>
      <c r="G1425" s="267"/>
    </row>
    <row r="1426" spans="6:7">
      <c r="F1426" s="267"/>
      <c r="G1426" s="267"/>
    </row>
    <row r="1427" spans="6:7">
      <c r="F1427" s="267"/>
      <c r="G1427" s="267"/>
    </row>
    <row r="1428" spans="6:7">
      <c r="F1428" s="267"/>
      <c r="G1428" s="267"/>
    </row>
    <row r="1429" spans="6:7">
      <c r="F1429" s="267"/>
      <c r="G1429" s="267"/>
    </row>
    <row r="1430" spans="6:7">
      <c r="F1430" s="267"/>
      <c r="G1430" s="267"/>
    </row>
    <row r="1431" spans="6:7">
      <c r="F1431" s="267"/>
      <c r="G1431" s="267"/>
    </row>
    <row r="1432" spans="6:7">
      <c r="F1432" s="267"/>
      <c r="G1432" s="267"/>
    </row>
    <row r="1433" spans="6:7">
      <c r="F1433" s="267"/>
      <c r="G1433" s="267"/>
    </row>
    <row r="1434" spans="6:7">
      <c r="F1434" s="267"/>
      <c r="G1434" s="267"/>
    </row>
    <row r="1435" spans="6:7">
      <c r="F1435" s="267"/>
      <c r="G1435" s="267"/>
    </row>
    <row r="1436" spans="6:7">
      <c r="F1436" s="267"/>
      <c r="G1436" s="267"/>
    </row>
    <row r="1437" spans="6:7">
      <c r="F1437" s="267"/>
      <c r="G1437" s="267"/>
    </row>
    <row r="1438" spans="6:7">
      <c r="F1438" s="267"/>
      <c r="G1438" s="267"/>
    </row>
    <row r="1439" spans="6:7">
      <c r="F1439" s="267"/>
      <c r="G1439" s="267"/>
    </row>
    <row r="1440" spans="6:7">
      <c r="F1440" s="267"/>
      <c r="G1440" s="267"/>
    </row>
    <row r="1441" spans="6:7">
      <c r="F1441" s="267"/>
      <c r="G1441" s="267"/>
    </row>
    <row r="1442" spans="6:7">
      <c r="F1442" s="267"/>
      <c r="G1442" s="267"/>
    </row>
    <row r="1443" spans="6:7">
      <c r="F1443" s="267"/>
      <c r="G1443" s="267"/>
    </row>
    <row r="1444" spans="6:7">
      <c r="F1444" s="267"/>
      <c r="G1444" s="267"/>
    </row>
    <row r="1445" spans="6:7">
      <c r="F1445" s="267"/>
      <c r="G1445" s="267"/>
    </row>
    <row r="1446" spans="6:7">
      <c r="F1446" s="267"/>
      <c r="G1446" s="267"/>
    </row>
    <row r="1447" spans="6:7">
      <c r="F1447" s="267"/>
      <c r="G1447" s="267"/>
    </row>
    <row r="1448" spans="6:7">
      <c r="F1448" s="267"/>
      <c r="G1448" s="267"/>
    </row>
    <row r="1449" spans="6:7">
      <c r="F1449" s="267"/>
      <c r="G1449" s="267"/>
    </row>
    <row r="1450" spans="6:7">
      <c r="F1450" s="267"/>
      <c r="G1450" s="267"/>
    </row>
    <row r="1451" spans="6:7">
      <c r="F1451" s="267"/>
      <c r="G1451" s="267"/>
    </row>
    <row r="1452" spans="6:7">
      <c r="F1452" s="267"/>
      <c r="G1452" s="267"/>
    </row>
    <row r="1453" spans="6:7">
      <c r="F1453" s="267"/>
      <c r="G1453" s="267"/>
    </row>
    <row r="1454" spans="6:7">
      <c r="F1454" s="267"/>
      <c r="G1454" s="267"/>
    </row>
    <row r="1455" spans="6:7">
      <c r="F1455" s="267"/>
      <c r="G1455" s="267"/>
    </row>
    <row r="1456" spans="6:7">
      <c r="F1456" s="267"/>
      <c r="G1456" s="267"/>
    </row>
    <row r="1457" spans="6:7">
      <c r="F1457" s="267"/>
      <c r="G1457" s="267"/>
    </row>
    <row r="1458" spans="6:7">
      <c r="F1458" s="267"/>
      <c r="G1458" s="267"/>
    </row>
    <row r="1459" spans="6:7">
      <c r="F1459" s="267"/>
      <c r="G1459" s="267"/>
    </row>
    <row r="1460" spans="6:7">
      <c r="F1460" s="267"/>
      <c r="G1460" s="267"/>
    </row>
    <row r="1461" spans="6:7">
      <c r="F1461" s="267"/>
      <c r="G1461" s="267"/>
    </row>
    <row r="1462" spans="6:7">
      <c r="F1462" s="267"/>
      <c r="G1462" s="267"/>
    </row>
    <row r="1463" spans="6:7">
      <c r="F1463" s="267"/>
      <c r="G1463" s="267"/>
    </row>
    <row r="1464" spans="6:7">
      <c r="F1464" s="267"/>
      <c r="G1464" s="267"/>
    </row>
    <row r="1465" spans="6:7">
      <c r="F1465" s="267"/>
      <c r="G1465" s="267"/>
    </row>
    <row r="1466" spans="6:7">
      <c r="F1466" s="267"/>
      <c r="G1466" s="267"/>
    </row>
    <row r="1467" spans="6:7">
      <c r="F1467" s="267"/>
      <c r="G1467" s="267"/>
    </row>
    <row r="1468" spans="6:7">
      <c r="F1468" s="267"/>
      <c r="G1468" s="267"/>
    </row>
    <row r="1469" spans="6:7">
      <c r="F1469" s="267"/>
      <c r="G1469" s="267"/>
    </row>
    <row r="1470" spans="6:7">
      <c r="F1470" s="267"/>
      <c r="G1470" s="267"/>
    </row>
    <row r="1471" spans="6:7">
      <c r="F1471" s="267"/>
      <c r="G1471" s="267"/>
    </row>
    <row r="1472" spans="6:7">
      <c r="F1472" s="267"/>
      <c r="G1472" s="267"/>
    </row>
    <row r="1473" spans="6:7">
      <c r="F1473" s="267"/>
      <c r="G1473" s="267"/>
    </row>
    <row r="1474" spans="6:7">
      <c r="F1474" s="267"/>
      <c r="G1474" s="267"/>
    </row>
    <row r="1475" spans="6:7">
      <c r="F1475" s="267"/>
      <c r="G1475" s="267"/>
    </row>
    <row r="1476" spans="6:7">
      <c r="F1476" s="267"/>
      <c r="G1476" s="267"/>
    </row>
    <row r="1477" spans="6:7">
      <c r="F1477" s="267"/>
      <c r="G1477" s="267"/>
    </row>
    <row r="1478" spans="6:7">
      <c r="F1478" s="267"/>
      <c r="G1478" s="267"/>
    </row>
    <row r="1479" spans="6:7">
      <c r="F1479" s="267"/>
      <c r="G1479" s="267"/>
    </row>
    <row r="1480" spans="6:7">
      <c r="F1480" s="267"/>
      <c r="G1480" s="267"/>
    </row>
    <row r="1481" spans="6:7">
      <c r="F1481" s="267"/>
      <c r="G1481" s="267"/>
    </row>
    <row r="1482" spans="6:7">
      <c r="F1482" s="267"/>
      <c r="G1482" s="267"/>
    </row>
    <row r="1483" spans="6:7">
      <c r="F1483" s="267"/>
      <c r="G1483" s="267"/>
    </row>
    <row r="1484" spans="6:7">
      <c r="F1484" s="267"/>
      <c r="G1484" s="267"/>
    </row>
    <row r="1485" spans="6:7">
      <c r="F1485" s="267"/>
      <c r="G1485" s="267"/>
    </row>
    <row r="1486" spans="6:7">
      <c r="F1486" s="267"/>
      <c r="G1486" s="267"/>
    </row>
    <row r="1487" spans="6:7">
      <c r="F1487" s="267"/>
      <c r="G1487" s="267"/>
    </row>
    <row r="1488" spans="6:7">
      <c r="F1488" s="267"/>
      <c r="G1488" s="267"/>
    </row>
    <row r="1489" spans="6:7">
      <c r="F1489" s="267"/>
      <c r="G1489" s="267"/>
    </row>
    <row r="1490" spans="6:7">
      <c r="F1490" s="267"/>
      <c r="G1490" s="267"/>
    </row>
    <row r="1491" spans="6:7">
      <c r="F1491" s="267"/>
      <c r="G1491" s="267"/>
    </row>
    <row r="1492" spans="6:7">
      <c r="F1492" s="267"/>
      <c r="G1492" s="267"/>
    </row>
    <row r="1493" spans="6:7">
      <c r="F1493" s="267"/>
      <c r="G1493" s="267"/>
    </row>
    <row r="1494" spans="6:7">
      <c r="F1494" s="267"/>
      <c r="G1494" s="267"/>
    </row>
    <row r="1495" spans="6:7">
      <c r="F1495" s="267"/>
      <c r="G1495" s="267"/>
    </row>
    <row r="1496" spans="6:7">
      <c r="F1496" s="267"/>
      <c r="G1496" s="267"/>
    </row>
    <row r="1497" spans="6:7">
      <c r="F1497" s="267"/>
      <c r="G1497" s="267"/>
    </row>
    <row r="1498" spans="6:7">
      <c r="F1498" s="267"/>
      <c r="G1498" s="267"/>
    </row>
    <row r="1499" spans="6:7">
      <c r="F1499" s="267"/>
      <c r="G1499" s="267"/>
    </row>
    <row r="1500" spans="6:7">
      <c r="F1500" s="267"/>
      <c r="G1500" s="267"/>
    </row>
    <row r="1501" spans="6:7">
      <c r="F1501" s="267"/>
      <c r="G1501" s="267"/>
    </row>
    <row r="1502" spans="6:7">
      <c r="F1502" s="267"/>
      <c r="G1502" s="267"/>
    </row>
    <row r="1503" spans="6:7">
      <c r="F1503" s="267"/>
      <c r="G1503" s="267"/>
    </row>
    <row r="1504" spans="6:7">
      <c r="F1504" s="267"/>
      <c r="G1504" s="267"/>
    </row>
    <row r="1505" spans="6:7">
      <c r="F1505" s="267"/>
      <c r="G1505" s="267"/>
    </row>
    <row r="1506" spans="6:7">
      <c r="F1506" s="267"/>
      <c r="G1506" s="267"/>
    </row>
    <row r="1507" spans="6:7">
      <c r="F1507" s="267"/>
      <c r="G1507" s="267"/>
    </row>
    <row r="1508" spans="6:7">
      <c r="F1508" s="267"/>
      <c r="G1508" s="267"/>
    </row>
    <row r="1509" spans="6:7">
      <c r="F1509" s="267"/>
      <c r="G1509" s="267"/>
    </row>
    <row r="1510" spans="6:7">
      <c r="F1510" s="267"/>
      <c r="G1510" s="267"/>
    </row>
    <row r="1511" spans="6:7">
      <c r="F1511" s="267"/>
      <c r="G1511" s="267"/>
    </row>
    <row r="1512" spans="6:7">
      <c r="F1512" s="267"/>
      <c r="G1512" s="267"/>
    </row>
    <row r="1513" spans="6:7">
      <c r="F1513" s="267"/>
      <c r="G1513" s="267"/>
    </row>
    <row r="1514" spans="6:7">
      <c r="F1514" s="267"/>
      <c r="G1514" s="267"/>
    </row>
    <row r="1515" spans="6:7">
      <c r="F1515" s="267"/>
      <c r="G1515" s="267"/>
    </row>
    <row r="1516" spans="6:7">
      <c r="F1516" s="267"/>
      <c r="G1516" s="267"/>
    </row>
    <row r="1517" spans="6:7">
      <c r="F1517" s="267"/>
      <c r="G1517" s="267"/>
    </row>
    <row r="1518" spans="6:7">
      <c r="F1518" s="267"/>
      <c r="G1518" s="267"/>
    </row>
    <row r="1519" spans="6:7">
      <c r="F1519" s="267"/>
      <c r="G1519" s="267"/>
    </row>
    <row r="1520" spans="6:7">
      <c r="F1520" s="267"/>
      <c r="G1520" s="267"/>
    </row>
    <row r="1521" spans="6:7">
      <c r="F1521" s="267"/>
      <c r="G1521" s="267"/>
    </row>
    <row r="1522" spans="6:7">
      <c r="F1522" s="267"/>
      <c r="G1522" s="267"/>
    </row>
    <row r="1523" spans="6:7">
      <c r="F1523" s="267"/>
      <c r="G1523" s="267"/>
    </row>
    <row r="1524" spans="6:7">
      <c r="F1524" s="267"/>
      <c r="G1524" s="267"/>
    </row>
    <row r="1525" spans="6:7">
      <c r="F1525" s="267"/>
      <c r="G1525" s="267"/>
    </row>
    <row r="1526" spans="6:7">
      <c r="F1526" s="267"/>
      <c r="G1526" s="267"/>
    </row>
    <row r="1527" spans="6:7">
      <c r="F1527" s="267"/>
      <c r="G1527" s="267"/>
    </row>
    <row r="1528" spans="6:7">
      <c r="F1528" s="267"/>
      <c r="G1528" s="267"/>
    </row>
    <row r="1529" spans="6:7">
      <c r="F1529" s="267"/>
      <c r="G1529" s="267"/>
    </row>
    <row r="1530" spans="6:7">
      <c r="F1530" s="267"/>
      <c r="G1530" s="267"/>
    </row>
    <row r="1531" spans="6:7">
      <c r="F1531" s="267"/>
      <c r="G1531" s="267"/>
    </row>
    <row r="1532" spans="6:7">
      <c r="F1532" s="267"/>
      <c r="G1532" s="267"/>
    </row>
    <row r="1533" spans="6:7">
      <c r="F1533" s="267"/>
      <c r="G1533" s="267"/>
    </row>
    <row r="1534" spans="6:7">
      <c r="F1534" s="267"/>
      <c r="G1534" s="267"/>
    </row>
    <row r="1535" spans="6:7">
      <c r="F1535" s="267"/>
      <c r="G1535" s="267"/>
    </row>
    <row r="1536" spans="6:7">
      <c r="F1536" s="267"/>
      <c r="G1536" s="267"/>
    </row>
    <row r="1537" spans="6:7">
      <c r="F1537" s="267"/>
      <c r="G1537" s="267"/>
    </row>
    <row r="1538" spans="6:7">
      <c r="F1538" s="267"/>
      <c r="G1538" s="267"/>
    </row>
    <row r="1539" spans="6:7">
      <c r="F1539" s="267"/>
      <c r="G1539" s="267"/>
    </row>
    <row r="1540" spans="6:7">
      <c r="F1540" s="267"/>
      <c r="G1540" s="267"/>
    </row>
    <row r="1541" spans="6:7">
      <c r="F1541" s="267"/>
      <c r="G1541" s="267"/>
    </row>
    <row r="1542" spans="6:7">
      <c r="F1542" s="267"/>
      <c r="G1542" s="267"/>
    </row>
    <row r="1543" spans="6:7">
      <c r="F1543" s="267"/>
      <c r="G1543" s="267"/>
    </row>
    <row r="1544" spans="6:7">
      <c r="F1544" s="267"/>
      <c r="G1544" s="267"/>
    </row>
    <row r="1545" spans="6:7">
      <c r="F1545" s="267"/>
      <c r="G1545" s="267"/>
    </row>
    <row r="1546" spans="6:7">
      <c r="F1546" s="267"/>
      <c r="G1546" s="267"/>
    </row>
    <row r="1547" spans="6:7">
      <c r="F1547" s="267"/>
      <c r="G1547" s="267"/>
    </row>
    <row r="1548" spans="6:7">
      <c r="F1548" s="267"/>
      <c r="G1548" s="267"/>
    </row>
    <row r="1549" spans="6:7">
      <c r="F1549" s="267"/>
      <c r="G1549" s="267"/>
    </row>
    <row r="1550" spans="6:7">
      <c r="F1550" s="267"/>
      <c r="G1550" s="267"/>
    </row>
    <row r="1551" spans="6:7">
      <c r="F1551" s="267"/>
      <c r="G1551" s="267"/>
    </row>
    <row r="1552" spans="6:7">
      <c r="F1552" s="267"/>
      <c r="G1552" s="267"/>
    </row>
    <row r="1553" spans="6:7">
      <c r="F1553" s="267"/>
      <c r="G1553" s="267"/>
    </row>
    <row r="1554" spans="6:7">
      <c r="F1554" s="267"/>
      <c r="G1554" s="267"/>
    </row>
    <row r="1555" spans="6:7">
      <c r="F1555" s="267"/>
      <c r="G1555" s="267"/>
    </row>
    <row r="1556" spans="6:7">
      <c r="F1556" s="267"/>
      <c r="G1556" s="267"/>
    </row>
    <row r="1557" spans="6:7">
      <c r="F1557" s="267"/>
      <c r="G1557" s="267"/>
    </row>
    <row r="1558" spans="6:7">
      <c r="F1558" s="267"/>
      <c r="G1558" s="267"/>
    </row>
    <row r="1559" spans="6:7">
      <c r="F1559" s="267"/>
      <c r="G1559" s="267"/>
    </row>
    <row r="1560" spans="6:7">
      <c r="F1560" s="267"/>
      <c r="G1560" s="267"/>
    </row>
    <row r="1561" spans="6:7">
      <c r="F1561" s="267"/>
      <c r="G1561" s="267"/>
    </row>
    <row r="1562" spans="6:7">
      <c r="F1562" s="267"/>
      <c r="G1562" s="267"/>
    </row>
    <row r="1563" spans="6:7">
      <c r="F1563" s="267"/>
      <c r="G1563" s="267"/>
    </row>
    <row r="1564" spans="6:7">
      <c r="F1564" s="267"/>
      <c r="G1564" s="267"/>
    </row>
    <row r="1565" spans="6:7">
      <c r="F1565" s="267"/>
      <c r="G1565" s="267"/>
    </row>
    <row r="1566" spans="6:7">
      <c r="F1566" s="267"/>
      <c r="G1566" s="267"/>
    </row>
    <row r="1567" spans="6:7">
      <c r="F1567" s="267"/>
      <c r="G1567" s="267"/>
    </row>
    <row r="1568" spans="6:7">
      <c r="F1568" s="267"/>
      <c r="G1568" s="267"/>
    </row>
    <row r="1569" spans="6:7">
      <c r="F1569" s="267"/>
      <c r="G1569" s="267"/>
    </row>
    <row r="1570" spans="6:7">
      <c r="F1570" s="267"/>
      <c r="G1570" s="267"/>
    </row>
    <row r="1571" spans="6:7">
      <c r="F1571" s="267"/>
      <c r="G1571" s="267"/>
    </row>
    <row r="1572" spans="6:7">
      <c r="F1572" s="267"/>
      <c r="G1572" s="267"/>
    </row>
    <row r="1573" spans="6:7">
      <c r="F1573" s="267"/>
      <c r="G1573" s="267"/>
    </row>
    <row r="1574" spans="6:7">
      <c r="F1574" s="267"/>
      <c r="G1574" s="267"/>
    </row>
    <row r="1575" spans="6:7">
      <c r="F1575" s="267"/>
      <c r="G1575" s="267"/>
    </row>
    <row r="1576" spans="6:7">
      <c r="F1576" s="267"/>
      <c r="G1576" s="267"/>
    </row>
    <row r="1577" spans="6:7">
      <c r="F1577" s="267"/>
      <c r="G1577" s="267"/>
    </row>
    <row r="1578" spans="6:7">
      <c r="F1578" s="267"/>
      <c r="G1578" s="267"/>
    </row>
    <row r="1579" spans="6:7">
      <c r="F1579" s="267"/>
      <c r="G1579" s="267"/>
    </row>
    <row r="1580" spans="6:7">
      <c r="F1580" s="267"/>
      <c r="G1580" s="267"/>
    </row>
    <row r="1581" spans="6:7">
      <c r="F1581" s="267"/>
      <c r="G1581" s="267"/>
    </row>
    <row r="1582" spans="6:7">
      <c r="F1582" s="267"/>
      <c r="G1582" s="267"/>
    </row>
    <row r="1583" spans="6:7">
      <c r="F1583" s="267"/>
      <c r="G1583" s="267"/>
    </row>
    <row r="1584" spans="6:7">
      <c r="F1584" s="267"/>
      <c r="G1584" s="267"/>
    </row>
    <row r="1585" spans="6:7">
      <c r="F1585" s="267"/>
      <c r="G1585" s="267"/>
    </row>
    <row r="1586" spans="6:7">
      <c r="F1586" s="267"/>
      <c r="G1586" s="267"/>
    </row>
    <row r="1587" spans="6:7">
      <c r="F1587" s="267"/>
      <c r="G1587" s="267"/>
    </row>
    <row r="1588" spans="6:7">
      <c r="F1588" s="267"/>
      <c r="G1588" s="267"/>
    </row>
    <row r="1589" spans="6:7">
      <c r="F1589" s="267"/>
      <c r="G1589" s="267"/>
    </row>
    <row r="1590" spans="6:7">
      <c r="F1590" s="267"/>
      <c r="G1590" s="267"/>
    </row>
    <row r="1591" spans="6:7">
      <c r="F1591" s="267"/>
      <c r="G1591" s="267"/>
    </row>
    <row r="1592" spans="6:7">
      <c r="F1592" s="267"/>
      <c r="G1592" s="267"/>
    </row>
    <row r="1593" spans="6:7">
      <c r="F1593" s="267"/>
      <c r="G1593" s="267"/>
    </row>
    <row r="1594" spans="6:7">
      <c r="F1594" s="267"/>
      <c r="G1594" s="267"/>
    </row>
    <row r="1595" spans="6:7">
      <c r="F1595" s="267"/>
      <c r="G1595" s="267"/>
    </row>
    <row r="1596" spans="6:7">
      <c r="F1596" s="267"/>
      <c r="G1596" s="267"/>
    </row>
    <row r="1597" spans="6:7">
      <c r="F1597" s="267"/>
      <c r="G1597" s="267"/>
    </row>
    <row r="1598" spans="6:7">
      <c r="F1598" s="267"/>
      <c r="G1598" s="267"/>
    </row>
    <row r="1599" spans="6:7">
      <c r="F1599" s="267"/>
      <c r="G1599" s="267"/>
    </row>
    <row r="1600" spans="6:7">
      <c r="F1600" s="267"/>
      <c r="G1600" s="267"/>
    </row>
    <row r="1601" spans="6:7">
      <c r="F1601" s="267"/>
      <c r="G1601" s="267"/>
    </row>
    <row r="1602" spans="6:7">
      <c r="F1602" s="267"/>
      <c r="G1602" s="267"/>
    </row>
    <row r="1603" spans="6:7">
      <c r="F1603" s="267"/>
      <c r="G1603" s="267"/>
    </row>
    <row r="1604" spans="6:7">
      <c r="F1604" s="267"/>
      <c r="G1604" s="267"/>
    </row>
    <row r="1605" spans="6:7">
      <c r="F1605" s="267"/>
      <c r="G1605" s="267"/>
    </row>
    <row r="1606" spans="6:7">
      <c r="F1606" s="267"/>
      <c r="G1606" s="267"/>
    </row>
    <row r="1607" spans="6:7">
      <c r="F1607" s="267"/>
      <c r="G1607" s="267"/>
    </row>
    <row r="1608" spans="6:7">
      <c r="F1608" s="267"/>
      <c r="G1608" s="267"/>
    </row>
    <row r="1609" spans="6:7">
      <c r="F1609" s="267"/>
      <c r="G1609" s="267"/>
    </row>
    <row r="1610" spans="6:7">
      <c r="F1610" s="267"/>
      <c r="G1610" s="267"/>
    </row>
    <row r="1611" spans="6:7">
      <c r="F1611" s="267"/>
      <c r="G1611" s="267"/>
    </row>
    <row r="1612" spans="6:7">
      <c r="F1612" s="267"/>
      <c r="G1612" s="267"/>
    </row>
    <row r="1613" spans="6:7">
      <c r="F1613" s="267"/>
      <c r="G1613" s="267"/>
    </row>
    <row r="1614" spans="6:7">
      <c r="F1614" s="267"/>
      <c r="G1614" s="267"/>
    </row>
    <row r="1615" spans="6:7">
      <c r="F1615" s="267"/>
      <c r="G1615" s="267"/>
    </row>
    <row r="1616" spans="6:7">
      <c r="F1616" s="267"/>
      <c r="G1616" s="267"/>
    </row>
    <row r="1617" spans="6:7">
      <c r="F1617" s="267"/>
      <c r="G1617" s="267"/>
    </row>
    <row r="1618" spans="6:7">
      <c r="F1618" s="267"/>
      <c r="G1618" s="267"/>
    </row>
    <row r="1619" spans="6:7">
      <c r="F1619" s="267"/>
      <c r="G1619" s="267"/>
    </row>
    <row r="1620" spans="6:7">
      <c r="F1620" s="267"/>
      <c r="G1620" s="267"/>
    </row>
    <row r="1621" spans="6:7">
      <c r="F1621" s="267"/>
      <c r="G1621" s="267"/>
    </row>
    <row r="1622" spans="6:7">
      <c r="F1622" s="267"/>
      <c r="G1622" s="267"/>
    </row>
    <row r="1623" spans="6:7">
      <c r="F1623" s="267"/>
      <c r="G1623" s="267"/>
    </row>
    <row r="1624" spans="6:7">
      <c r="F1624" s="267"/>
      <c r="G1624" s="267"/>
    </row>
    <row r="1625" spans="6:7">
      <c r="F1625" s="267"/>
      <c r="G1625" s="267"/>
    </row>
    <row r="1626" spans="6:7">
      <c r="F1626" s="267"/>
      <c r="G1626" s="267"/>
    </row>
    <row r="1627" spans="6:7">
      <c r="F1627" s="267"/>
      <c r="G1627" s="267"/>
    </row>
    <row r="1628" spans="6:7">
      <c r="F1628" s="267"/>
      <c r="G1628" s="267"/>
    </row>
    <row r="1629" spans="6:7">
      <c r="F1629" s="267"/>
      <c r="G1629" s="267"/>
    </row>
    <row r="1630" spans="6:7">
      <c r="F1630" s="267"/>
      <c r="G1630" s="267"/>
    </row>
    <row r="1631" spans="6:7">
      <c r="F1631" s="267"/>
      <c r="G1631" s="267"/>
    </row>
    <row r="1632" spans="6:7">
      <c r="F1632" s="267"/>
      <c r="G1632" s="267"/>
    </row>
    <row r="1633" spans="6:7">
      <c r="F1633" s="267"/>
      <c r="G1633" s="267"/>
    </row>
    <row r="1634" spans="6:7">
      <c r="F1634" s="267"/>
      <c r="G1634" s="267"/>
    </row>
    <row r="1635" spans="6:7">
      <c r="F1635" s="267"/>
      <c r="G1635" s="267"/>
    </row>
    <row r="1636" spans="6:7">
      <c r="F1636" s="267"/>
      <c r="G1636" s="267"/>
    </row>
    <row r="1637" spans="6:7">
      <c r="F1637" s="267"/>
      <c r="G1637" s="267"/>
    </row>
    <row r="1638" spans="6:7">
      <c r="F1638" s="267"/>
      <c r="G1638" s="267"/>
    </row>
    <row r="1639" spans="6:7">
      <c r="F1639" s="267"/>
      <c r="G1639" s="267"/>
    </row>
    <row r="1640" spans="6:7">
      <c r="F1640" s="267"/>
      <c r="G1640" s="267"/>
    </row>
    <row r="1641" spans="6:7">
      <c r="F1641" s="267"/>
      <c r="G1641" s="267"/>
    </row>
    <row r="1642" spans="6:7">
      <c r="F1642" s="267"/>
      <c r="G1642" s="267"/>
    </row>
    <row r="1643" spans="6:7">
      <c r="F1643" s="267"/>
      <c r="G1643" s="267"/>
    </row>
    <row r="1644" spans="6:7">
      <c r="F1644" s="267"/>
      <c r="G1644" s="267"/>
    </row>
    <row r="1645" spans="6:7">
      <c r="F1645" s="267"/>
      <c r="G1645" s="267"/>
    </row>
    <row r="1646" spans="6:7">
      <c r="F1646" s="267"/>
      <c r="G1646" s="267"/>
    </row>
    <row r="1647" spans="6:7">
      <c r="F1647" s="267"/>
      <c r="G1647" s="267"/>
    </row>
    <row r="1648" spans="6:7">
      <c r="F1648" s="267"/>
      <c r="G1648" s="267"/>
    </row>
    <row r="1649" spans="6:7">
      <c r="F1649" s="267"/>
      <c r="G1649" s="267"/>
    </row>
    <row r="1650" spans="6:7">
      <c r="F1650" s="267"/>
      <c r="G1650" s="267"/>
    </row>
    <row r="1651" spans="6:7">
      <c r="F1651" s="267"/>
      <c r="G1651" s="267"/>
    </row>
    <row r="1652" spans="6:7">
      <c r="F1652" s="267"/>
      <c r="G1652" s="267"/>
    </row>
    <row r="1653" spans="6:7">
      <c r="F1653" s="267"/>
      <c r="G1653" s="267"/>
    </row>
    <row r="1654" spans="6:7">
      <c r="F1654" s="267"/>
      <c r="G1654" s="267"/>
    </row>
    <row r="1655" spans="6:7">
      <c r="F1655" s="267"/>
      <c r="G1655" s="267"/>
    </row>
    <row r="1656" spans="6:7">
      <c r="F1656" s="267"/>
      <c r="G1656" s="267"/>
    </row>
    <row r="1657" spans="6:7">
      <c r="F1657" s="267"/>
      <c r="G1657" s="267"/>
    </row>
    <row r="1658" spans="6:7">
      <c r="F1658" s="267"/>
      <c r="G1658" s="267"/>
    </row>
    <row r="1659" spans="6:7">
      <c r="F1659" s="267"/>
      <c r="G1659" s="267"/>
    </row>
    <row r="1660" spans="6:7">
      <c r="F1660" s="267"/>
      <c r="G1660" s="267"/>
    </row>
    <row r="1661" spans="6:7">
      <c r="F1661" s="267"/>
      <c r="G1661" s="267"/>
    </row>
    <row r="1662" spans="6:7">
      <c r="F1662" s="267"/>
      <c r="G1662" s="267"/>
    </row>
    <row r="1663" spans="6:7">
      <c r="F1663" s="267"/>
      <c r="G1663" s="267"/>
    </row>
    <row r="1664" spans="6:7">
      <c r="F1664" s="267"/>
      <c r="G1664" s="267"/>
    </row>
    <row r="1665" spans="6:7">
      <c r="F1665" s="267"/>
      <c r="G1665" s="267"/>
    </row>
    <row r="1666" spans="6:7">
      <c r="F1666" s="267"/>
      <c r="G1666" s="267"/>
    </row>
    <row r="1667" spans="6:7">
      <c r="F1667" s="267"/>
      <c r="G1667" s="267"/>
    </row>
    <row r="1668" spans="6:7">
      <c r="F1668" s="267"/>
      <c r="G1668" s="267"/>
    </row>
    <row r="1669" spans="6:7">
      <c r="F1669" s="267"/>
      <c r="G1669" s="267"/>
    </row>
    <row r="1670" spans="6:7">
      <c r="F1670" s="267"/>
      <c r="G1670" s="267"/>
    </row>
    <row r="1671" spans="6:7">
      <c r="F1671" s="267"/>
      <c r="G1671" s="267"/>
    </row>
    <row r="1672" spans="6:7">
      <c r="F1672" s="267"/>
      <c r="G1672" s="267"/>
    </row>
    <row r="1673" spans="6:7">
      <c r="F1673" s="267"/>
      <c r="G1673" s="267"/>
    </row>
    <row r="1674" spans="6:7">
      <c r="F1674" s="267"/>
      <c r="G1674" s="267"/>
    </row>
    <row r="1675" spans="6:7">
      <c r="F1675" s="267"/>
      <c r="G1675" s="267"/>
    </row>
    <row r="1676" spans="6:7">
      <c r="F1676" s="267"/>
      <c r="G1676" s="267"/>
    </row>
    <row r="1677" spans="6:7">
      <c r="F1677" s="267"/>
      <c r="G1677" s="267"/>
    </row>
    <row r="1678" spans="6:7">
      <c r="F1678" s="267"/>
      <c r="G1678" s="267"/>
    </row>
    <row r="1679" spans="6:7">
      <c r="F1679" s="267"/>
      <c r="G1679" s="267"/>
    </row>
    <row r="1680" spans="6:7">
      <c r="F1680" s="267"/>
      <c r="G1680" s="267"/>
    </row>
    <row r="1681" spans="6:7">
      <c r="F1681" s="267"/>
      <c r="G1681" s="267"/>
    </row>
    <row r="1682" spans="6:7">
      <c r="F1682" s="267"/>
      <c r="G1682" s="267"/>
    </row>
    <row r="1683" spans="6:7">
      <c r="F1683" s="267"/>
      <c r="G1683" s="267"/>
    </row>
    <row r="1684" spans="6:7">
      <c r="F1684" s="267"/>
      <c r="G1684" s="267"/>
    </row>
    <row r="1685" spans="6:7">
      <c r="F1685" s="267"/>
      <c r="G1685" s="267"/>
    </row>
    <row r="1686" spans="6:7">
      <c r="F1686" s="267"/>
      <c r="G1686" s="267"/>
    </row>
    <row r="1687" spans="6:7">
      <c r="F1687" s="267"/>
      <c r="G1687" s="267"/>
    </row>
    <row r="1688" spans="6:7">
      <c r="F1688" s="267"/>
      <c r="G1688" s="267"/>
    </row>
    <row r="1689" spans="6:7">
      <c r="F1689" s="267"/>
      <c r="G1689" s="267"/>
    </row>
    <row r="1690" spans="6:7">
      <c r="F1690" s="267"/>
      <c r="G1690" s="267"/>
    </row>
    <row r="1691" spans="6:7">
      <c r="F1691" s="267"/>
      <c r="G1691" s="267"/>
    </row>
    <row r="1692" spans="6:7">
      <c r="F1692" s="267"/>
      <c r="G1692" s="267"/>
    </row>
    <row r="1693" spans="6:7">
      <c r="F1693" s="267"/>
      <c r="G1693" s="267"/>
    </row>
    <row r="1694" spans="6:7">
      <c r="F1694" s="267"/>
      <c r="G1694" s="267"/>
    </row>
    <row r="1695" spans="6:7">
      <c r="F1695" s="267"/>
      <c r="G1695" s="267"/>
    </row>
    <row r="1696" spans="6:7">
      <c r="F1696" s="267"/>
      <c r="G1696" s="267"/>
    </row>
    <row r="1697" spans="6:7">
      <c r="F1697" s="267"/>
      <c r="G1697" s="267"/>
    </row>
    <row r="1698" spans="6:7">
      <c r="F1698" s="267"/>
      <c r="G1698" s="267"/>
    </row>
    <row r="1699" spans="6:7">
      <c r="F1699" s="267"/>
      <c r="G1699" s="267"/>
    </row>
    <row r="1700" spans="6:7">
      <c r="F1700" s="267"/>
      <c r="G1700" s="267"/>
    </row>
    <row r="1701" spans="6:7">
      <c r="F1701" s="267"/>
      <c r="G1701" s="267"/>
    </row>
    <row r="1702" spans="6:7">
      <c r="F1702" s="267"/>
      <c r="G1702" s="267"/>
    </row>
    <row r="1703" spans="6:7">
      <c r="F1703" s="267"/>
      <c r="G1703" s="267"/>
    </row>
    <row r="1704" spans="6:7">
      <c r="F1704" s="267"/>
      <c r="G1704" s="267"/>
    </row>
    <row r="1705" spans="6:7">
      <c r="F1705" s="267"/>
      <c r="G1705" s="267"/>
    </row>
    <row r="1706" spans="6:7">
      <c r="F1706" s="267"/>
      <c r="G1706" s="267"/>
    </row>
    <row r="1707" spans="6:7">
      <c r="F1707" s="267"/>
      <c r="G1707" s="267"/>
    </row>
    <row r="1708" spans="6:7">
      <c r="F1708" s="267"/>
      <c r="G1708" s="267"/>
    </row>
    <row r="1709" spans="6:7">
      <c r="F1709" s="267"/>
      <c r="G1709" s="267"/>
    </row>
    <row r="1710" spans="6:7">
      <c r="F1710" s="267"/>
      <c r="G1710" s="267"/>
    </row>
    <row r="1711" spans="6:7">
      <c r="F1711" s="267"/>
      <c r="G1711" s="267"/>
    </row>
    <row r="1712" spans="6:7">
      <c r="F1712" s="267"/>
      <c r="G1712" s="267"/>
    </row>
    <row r="1713" spans="6:7">
      <c r="F1713" s="267"/>
      <c r="G1713" s="267"/>
    </row>
    <row r="1714" spans="6:7">
      <c r="F1714" s="267"/>
      <c r="G1714" s="267"/>
    </row>
    <row r="1715" spans="6:7">
      <c r="F1715" s="267"/>
      <c r="G1715" s="267"/>
    </row>
    <row r="1716" spans="6:7">
      <c r="F1716" s="267"/>
      <c r="G1716" s="267"/>
    </row>
    <row r="1717" spans="6:7">
      <c r="F1717" s="267"/>
      <c r="G1717" s="267"/>
    </row>
    <row r="1718" spans="6:7">
      <c r="F1718" s="267"/>
      <c r="G1718" s="267"/>
    </row>
    <row r="1719" spans="6:7">
      <c r="F1719" s="267"/>
      <c r="G1719" s="267"/>
    </row>
    <row r="1720" spans="6:7">
      <c r="F1720" s="267"/>
      <c r="G1720" s="267"/>
    </row>
    <row r="1721" spans="6:7">
      <c r="F1721" s="267"/>
      <c r="G1721" s="267"/>
    </row>
    <row r="1722" spans="6:7">
      <c r="F1722" s="267"/>
      <c r="G1722" s="267"/>
    </row>
    <row r="1723" spans="6:7">
      <c r="F1723" s="267"/>
      <c r="G1723" s="267"/>
    </row>
    <row r="1724" spans="6:7">
      <c r="F1724" s="267"/>
      <c r="G1724" s="267"/>
    </row>
    <row r="1725" spans="6:7">
      <c r="F1725" s="267"/>
      <c r="G1725" s="267"/>
    </row>
    <row r="1726" spans="6:7">
      <c r="F1726" s="267"/>
      <c r="G1726" s="267"/>
    </row>
    <row r="1727" spans="6:7">
      <c r="F1727" s="267"/>
      <c r="G1727" s="267"/>
    </row>
    <row r="1728" spans="6:7">
      <c r="F1728" s="267"/>
      <c r="G1728" s="267"/>
    </row>
    <row r="1729" spans="6:7">
      <c r="F1729" s="267"/>
      <c r="G1729" s="267"/>
    </row>
    <row r="1730" spans="6:7">
      <c r="F1730" s="267"/>
      <c r="G1730" s="267"/>
    </row>
    <row r="1731" spans="6:7">
      <c r="F1731" s="267"/>
      <c r="G1731" s="267"/>
    </row>
    <row r="1732" spans="6:7">
      <c r="F1732" s="267"/>
      <c r="G1732" s="267"/>
    </row>
    <row r="1733" spans="6:7">
      <c r="F1733" s="267"/>
      <c r="G1733" s="267"/>
    </row>
    <row r="1734" spans="6:7">
      <c r="F1734" s="267"/>
      <c r="G1734" s="267"/>
    </row>
    <row r="1735" spans="6:7">
      <c r="F1735" s="267"/>
      <c r="G1735" s="267"/>
    </row>
    <row r="1736" spans="6:7">
      <c r="F1736" s="267"/>
      <c r="G1736" s="267"/>
    </row>
    <row r="1737" spans="6:7">
      <c r="F1737" s="267"/>
      <c r="G1737" s="267"/>
    </row>
    <row r="1738" spans="6:7">
      <c r="F1738" s="267"/>
      <c r="G1738" s="267"/>
    </row>
    <row r="1739" spans="6:7">
      <c r="F1739" s="267"/>
      <c r="G1739" s="267"/>
    </row>
    <row r="1740" spans="6:7">
      <c r="F1740" s="267"/>
      <c r="G1740" s="267"/>
    </row>
    <row r="1741" spans="6:7">
      <c r="F1741" s="267"/>
      <c r="G1741" s="267"/>
    </row>
    <row r="1742" spans="6:7">
      <c r="F1742" s="267"/>
      <c r="G1742" s="267"/>
    </row>
    <row r="1743" spans="6:7">
      <c r="F1743" s="267"/>
      <c r="G1743" s="267"/>
    </row>
    <row r="1744" spans="6:7">
      <c r="F1744" s="267"/>
      <c r="G1744" s="267"/>
    </row>
    <row r="1745" spans="6:7">
      <c r="F1745" s="267"/>
      <c r="G1745" s="267"/>
    </row>
    <row r="1746" spans="6:7">
      <c r="F1746" s="267"/>
      <c r="G1746" s="267"/>
    </row>
    <row r="1747" spans="6:7">
      <c r="F1747" s="267"/>
      <c r="G1747" s="267"/>
    </row>
    <row r="1748" spans="6:7">
      <c r="F1748" s="267"/>
      <c r="G1748" s="267"/>
    </row>
    <row r="1749" spans="6:7">
      <c r="F1749" s="267"/>
      <c r="G1749" s="267"/>
    </row>
    <row r="1750" spans="6:7">
      <c r="F1750" s="267"/>
      <c r="G1750" s="267"/>
    </row>
    <row r="1751" spans="6:7">
      <c r="F1751" s="267"/>
      <c r="G1751" s="267"/>
    </row>
    <row r="1752" spans="6:7">
      <c r="F1752" s="267"/>
      <c r="G1752" s="267"/>
    </row>
    <row r="1753" spans="6:7">
      <c r="F1753" s="267"/>
      <c r="G1753" s="267"/>
    </row>
    <row r="1754" spans="6:7">
      <c r="F1754" s="267"/>
      <c r="G1754" s="267"/>
    </row>
    <row r="1755" spans="6:7">
      <c r="F1755" s="267"/>
      <c r="G1755" s="267"/>
    </row>
    <row r="1756" spans="6:7">
      <c r="F1756" s="267"/>
      <c r="G1756" s="267"/>
    </row>
    <row r="1757" spans="6:7">
      <c r="F1757" s="267"/>
      <c r="G1757" s="267"/>
    </row>
    <row r="1758" spans="6:7">
      <c r="F1758" s="267"/>
      <c r="G1758" s="267"/>
    </row>
    <row r="1759" spans="6:7">
      <c r="F1759" s="267"/>
      <c r="G1759" s="267"/>
    </row>
    <row r="1760" spans="6:7">
      <c r="F1760" s="267"/>
      <c r="G1760" s="267"/>
    </row>
    <row r="1761" spans="6:7">
      <c r="F1761" s="267"/>
      <c r="G1761" s="267"/>
    </row>
    <row r="1762" spans="6:7">
      <c r="F1762" s="267"/>
      <c r="G1762" s="267"/>
    </row>
    <row r="1763" spans="6:7">
      <c r="F1763" s="267"/>
      <c r="G1763" s="267"/>
    </row>
    <row r="1764" spans="6:7">
      <c r="F1764" s="267"/>
      <c r="G1764" s="267"/>
    </row>
    <row r="1765" spans="6:7">
      <c r="F1765" s="267"/>
      <c r="G1765" s="267"/>
    </row>
    <row r="1766" spans="6:7">
      <c r="F1766" s="267"/>
      <c r="G1766" s="267"/>
    </row>
    <row r="1767" spans="6:7">
      <c r="F1767" s="267"/>
      <c r="G1767" s="267"/>
    </row>
    <row r="1768" spans="6:7">
      <c r="F1768" s="267"/>
      <c r="G1768" s="267"/>
    </row>
    <row r="1769" spans="6:7">
      <c r="F1769" s="267"/>
      <c r="G1769" s="267"/>
    </row>
    <row r="1770" spans="6:7">
      <c r="F1770" s="267"/>
      <c r="G1770" s="267"/>
    </row>
    <row r="1771" spans="6:7">
      <c r="F1771" s="267"/>
      <c r="G1771" s="267"/>
    </row>
    <row r="1772" spans="6:7">
      <c r="F1772" s="267"/>
      <c r="G1772" s="267"/>
    </row>
    <row r="1773" spans="6:7">
      <c r="F1773" s="267"/>
      <c r="G1773" s="267"/>
    </row>
    <row r="1774" spans="6:7">
      <c r="F1774" s="267"/>
      <c r="G1774" s="267"/>
    </row>
    <row r="1775" spans="6:7">
      <c r="F1775" s="267"/>
      <c r="G1775" s="267"/>
    </row>
    <row r="1776" spans="6:7">
      <c r="F1776" s="267"/>
      <c r="G1776" s="267"/>
    </row>
    <row r="1777" spans="6:7">
      <c r="F1777" s="267"/>
      <c r="G1777" s="267"/>
    </row>
    <row r="1778" spans="6:7">
      <c r="F1778" s="267"/>
      <c r="G1778" s="267"/>
    </row>
    <row r="1779" spans="6:7">
      <c r="F1779" s="267"/>
      <c r="G1779" s="267"/>
    </row>
    <row r="1780" spans="6:7">
      <c r="F1780" s="267"/>
      <c r="G1780" s="267"/>
    </row>
    <row r="1781" spans="6:7">
      <c r="F1781" s="267"/>
      <c r="G1781" s="267"/>
    </row>
    <row r="1782" spans="6:7">
      <c r="F1782" s="267"/>
      <c r="G1782" s="267"/>
    </row>
    <row r="1783" spans="6:7">
      <c r="F1783" s="267"/>
      <c r="G1783" s="267"/>
    </row>
    <row r="1784" spans="6:7">
      <c r="F1784" s="267"/>
      <c r="G1784" s="267"/>
    </row>
    <row r="1785" spans="6:7">
      <c r="F1785" s="267"/>
      <c r="G1785" s="267"/>
    </row>
    <row r="1786" spans="6:7">
      <c r="F1786" s="267"/>
      <c r="G1786" s="267"/>
    </row>
    <row r="1787" spans="6:7">
      <c r="F1787" s="267"/>
      <c r="G1787" s="267"/>
    </row>
    <row r="1788" spans="6:7">
      <c r="F1788" s="267"/>
      <c r="G1788" s="267"/>
    </row>
    <row r="1789" spans="6:7">
      <c r="F1789" s="267"/>
      <c r="G1789" s="267"/>
    </row>
    <row r="1790" spans="6:7">
      <c r="F1790" s="267"/>
      <c r="G1790" s="267"/>
    </row>
    <row r="1791" spans="6:7">
      <c r="F1791" s="267"/>
      <c r="G1791" s="267"/>
    </row>
    <row r="1792" spans="6:7">
      <c r="F1792" s="267"/>
      <c r="G1792" s="267"/>
    </row>
    <row r="1793" spans="6:7">
      <c r="F1793" s="267"/>
      <c r="G1793" s="267"/>
    </row>
    <row r="1794" spans="6:7">
      <c r="F1794" s="267"/>
      <c r="G1794" s="267"/>
    </row>
    <row r="1795" spans="6:7">
      <c r="F1795" s="267"/>
      <c r="G1795" s="267"/>
    </row>
    <row r="1796" spans="6:7">
      <c r="F1796" s="267"/>
      <c r="G1796" s="267"/>
    </row>
    <row r="1797" spans="6:7">
      <c r="F1797" s="267"/>
      <c r="G1797" s="267"/>
    </row>
    <row r="1798" spans="6:7">
      <c r="F1798" s="267"/>
      <c r="G1798" s="267"/>
    </row>
    <row r="1799" spans="6:7">
      <c r="F1799" s="267"/>
      <c r="G1799" s="267"/>
    </row>
    <row r="1800" spans="6:7">
      <c r="F1800" s="267"/>
      <c r="G1800" s="267"/>
    </row>
    <row r="1801" spans="6:7">
      <c r="F1801" s="267"/>
      <c r="G1801" s="267"/>
    </row>
    <row r="1802" spans="6:7">
      <c r="F1802" s="267"/>
      <c r="G1802" s="267"/>
    </row>
    <row r="1803" spans="6:7">
      <c r="F1803" s="267"/>
      <c r="G1803" s="267"/>
    </row>
    <row r="1804" spans="6:7">
      <c r="F1804" s="267"/>
      <c r="G1804" s="267"/>
    </row>
    <row r="1805" spans="6:7">
      <c r="F1805" s="267"/>
      <c r="G1805" s="267"/>
    </row>
    <row r="1806" spans="6:7">
      <c r="F1806" s="267"/>
      <c r="G1806" s="267"/>
    </row>
    <row r="1807" spans="6:7">
      <c r="F1807" s="267"/>
      <c r="G1807" s="267"/>
    </row>
    <row r="1808" spans="6:7">
      <c r="F1808" s="267"/>
      <c r="G1808" s="267"/>
    </row>
    <row r="1809" spans="6:7">
      <c r="F1809" s="267"/>
      <c r="G1809" s="267"/>
    </row>
    <row r="1810" spans="6:7">
      <c r="F1810" s="267"/>
      <c r="G1810" s="267"/>
    </row>
    <row r="1811" spans="6:7">
      <c r="F1811" s="267"/>
      <c r="G1811" s="267"/>
    </row>
    <row r="1812" spans="6:7">
      <c r="F1812" s="267"/>
      <c r="G1812" s="267"/>
    </row>
    <row r="1813" spans="6:7">
      <c r="F1813" s="267"/>
      <c r="G1813" s="267"/>
    </row>
    <row r="1814" spans="6:7">
      <c r="F1814" s="267"/>
      <c r="G1814" s="267"/>
    </row>
    <row r="1815" spans="6:7">
      <c r="F1815" s="267"/>
      <c r="G1815" s="267"/>
    </row>
    <row r="1816" spans="6:7">
      <c r="F1816" s="267"/>
      <c r="G1816" s="267"/>
    </row>
    <row r="1817" spans="6:7">
      <c r="F1817" s="267"/>
      <c r="G1817" s="267"/>
    </row>
    <row r="1818" spans="6:7">
      <c r="F1818" s="267"/>
      <c r="G1818" s="267"/>
    </row>
    <row r="1819" spans="6:7">
      <c r="F1819" s="267"/>
      <c r="G1819" s="267"/>
    </row>
    <row r="1820" spans="6:7">
      <c r="F1820" s="267"/>
      <c r="G1820" s="267"/>
    </row>
    <row r="1821" spans="6:7">
      <c r="F1821" s="267"/>
      <c r="G1821" s="267"/>
    </row>
    <row r="1822" spans="6:7">
      <c r="F1822" s="267"/>
      <c r="G1822" s="267"/>
    </row>
    <row r="1823" spans="6:7">
      <c r="F1823" s="267"/>
      <c r="G1823" s="267"/>
    </row>
    <row r="1824" spans="6:7">
      <c r="F1824" s="267"/>
      <c r="G1824" s="267"/>
    </row>
    <row r="1825" spans="6:7">
      <c r="F1825" s="267"/>
      <c r="G1825" s="267"/>
    </row>
    <row r="1826" spans="6:7">
      <c r="F1826" s="267"/>
      <c r="G1826" s="267"/>
    </row>
    <row r="1827" spans="6:7">
      <c r="F1827" s="267"/>
      <c r="G1827" s="267"/>
    </row>
    <row r="1828" spans="6:7">
      <c r="F1828" s="267"/>
      <c r="G1828" s="267"/>
    </row>
    <row r="1829" spans="6:7">
      <c r="F1829" s="267"/>
      <c r="G1829" s="267"/>
    </row>
    <row r="1830" spans="6:7">
      <c r="F1830" s="267"/>
      <c r="G1830" s="267"/>
    </row>
    <row r="1831" spans="6:7">
      <c r="F1831" s="267"/>
      <c r="G1831" s="267"/>
    </row>
    <row r="1832" spans="6:7">
      <c r="F1832" s="267"/>
      <c r="G1832" s="267"/>
    </row>
    <row r="1833" spans="6:7">
      <c r="F1833" s="267"/>
      <c r="G1833" s="267"/>
    </row>
    <row r="1834" spans="6:7">
      <c r="F1834" s="267"/>
      <c r="G1834" s="267"/>
    </row>
    <row r="1835" spans="6:7">
      <c r="F1835" s="267"/>
      <c r="G1835" s="267"/>
    </row>
    <row r="1836" spans="6:7">
      <c r="F1836" s="267"/>
      <c r="G1836" s="267"/>
    </row>
    <row r="1837" spans="6:7">
      <c r="F1837" s="267"/>
      <c r="G1837" s="267"/>
    </row>
    <row r="1838" spans="6:7">
      <c r="F1838" s="267"/>
      <c r="G1838" s="267"/>
    </row>
    <row r="1839" spans="6:7">
      <c r="F1839" s="267"/>
      <c r="G1839" s="267"/>
    </row>
    <row r="1840" spans="6:7">
      <c r="F1840" s="267"/>
      <c r="G1840" s="267"/>
    </row>
    <row r="1841" spans="6:7">
      <c r="F1841" s="267"/>
      <c r="G1841" s="267"/>
    </row>
    <row r="1842" spans="6:7">
      <c r="F1842" s="267"/>
      <c r="G1842" s="267"/>
    </row>
    <row r="1843" spans="6:7">
      <c r="F1843" s="267"/>
      <c r="G1843" s="267"/>
    </row>
    <row r="1844" spans="6:7">
      <c r="F1844" s="267"/>
      <c r="G1844" s="267"/>
    </row>
    <row r="1845" spans="6:7">
      <c r="F1845" s="267"/>
      <c r="G1845" s="267"/>
    </row>
    <row r="1846" spans="6:7">
      <c r="F1846" s="267"/>
      <c r="G1846" s="267"/>
    </row>
    <row r="1847" spans="6:7">
      <c r="F1847" s="267"/>
      <c r="G1847" s="267"/>
    </row>
    <row r="1848" spans="6:7">
      <c r="F1848" s="267"/>
      <c r="G1848" s="267"/>
    </row>
    <row r="1849" spans="6:7">
      <c r="F1849" s="267"/>
      <c r="G1849" s="267"/>
    </row>
    <row r="1850" spans="6:7">
      <c r="F1850" s="267"/>
      <c r="G1850" s="267"/>
    </row>
    <row r="1851" spans="6:7">
      <c r="F1851" s="267"/>
      <c r="G1851" s="267"/>
    </row>
    <row r="1852" spans="6:7">
      <c r="F1852" s="267"/>
      <c r="G1852" s="267"/>
    </row>
    <row r="1853" spans="6:7">
      <c r="F1853" s="267"/>
      <c r="G1853" s="267"/>
    </row>
    <row r="1854" spans="6:7">
      <c r="F1854" s="267"/>
      <c r="G1854" s="267"/>
    </row>
    <row r="1855" spans="6:7">
      <c r="F1855" s="267"/>
      <c r="G1855" s="267"/>
    </row>
    <row r="1856" spans="6:7">
      <c r="F1856" s="267"/>
      <c r="G1856" s="267"/>
    </row>
    <row r="1857" spans="6:7">
      <c r="F1857" s="267"/>
      <c r="G1857" s="267"/>
    </row>
    <row r="1858" spans="6:7">
      <c r="F1858" s="267"/>
      <c r="G1858" s="267"/>
    </row>
    <row r="1859" spans="6:7">
      <c r="F1859" s="267"/>
      <c r="G1859" s="267"/>
    </row>
    <row r="1860" spans="6:7">
      <c r="F1860" s="267"/>
      <c r="G1860" s="267"/>
    </row>
    <row r="1861" spans="6:7">
      <c r="F1861" s="267"/>
      <c r="G1861" s="267"/>
    </row>
    <row r="1862" spans="6:7">
      <c r="F1862" s="267"/>
      <c r="G1862" s="267"/>
    </row>
    <row r="1863" spans="6:7">
      <c r="F1863" s="267"/>
      <c r="G1863" s="267"/>
    </row>
    <row r="1864" spans="6:7">
      <c r="F1864" s="267"/>
      <c r="G1864" s="267"/>
    </row>
    <row r="1865" spans="6:7">
      <c r="F1865" s="267"/>
      <c r="G1865" s="267"/>
    </row>
    <row r="1866" spans="6:7">
      <c r="F1866" s="267"/>
      <c r="G1866" s="267"/>
    </row>
    <row r="1867" spans="6:7">
      <c r="F1867" s="267"/>
      <c r="G1867" s="267"/>
    </row>
    <row r="1868" spans="6:7">
      <c r="F1868" s="267"/>
      <c r="G1868" s="267"/>
    </row>
    <row r="1869" spans="6:7">
      <c r="F1869" s="267"/>
      <c r="G1869" s="267"/>
    </row>
    <row r="1870" spans="6:7">
      <c r="F1870" s="267"/>
      <c r="G1870" s="267"/>
    </row>
    <row r="1871" spans="6:7">
      <c r="F1871" s="267"/>
      <c r="G1871" s="267"/>
    </row>
    <row r="1872" spans="6:7">
      <c r="F1872" s="267"/>
      <c r="G1872" s="267"/>
    </row>
    <row r="1873" spans="6:7">
      <c r="F1873" s="267"/>
      <c r="G1873" s="267"/>
    </row>
    <row r="1874" spans="6:7">
      <c r="F1874" s="267"/>
      <c r="G1874" s="267"/>
    </row>
    <row r="1875" spans="6:7">
      <c r="F1875" s="267"/>
      <c r="G1875" s="267"/>
    </row>
    <row r="1876" spans="6:7">
      <c r="F1876" s="267"/>
      <c r="G1876" s="267"/>
    </row>
    <row r="1877" spans="6:7">
      <c r="F1877" s="267"/>
      <c r="G1877" s="267"/>
    </row>
    <row r="1878" spans="6:7">
      <c r="F1878" s="267"/>
      <c r="G1878" s="267"/>
    </row>
    <row r="1879" spans="6:7">
      <c r="F1879" s="267"/>
      <c r="G1879" s="267"/>
    </row>
    <row r="1880" spans="6:7">
      <c r="F1880" s="267"/>
      <c r="G1880" s="267"/>
    </row>
    <row r="1881" spans="6:7">
      <c r="F1881" s="267"/>
      <c r="G1881" s="267"/>
    </row>
    <row r="1882" spans="6:7">
      <c r="F1882" s="267"/>
      <c r="G1882" s="267"/>
    </row>
    <row r="1883" spans="6:7">
      <c r="F1883" s="267"/>
      <c r="G1883" s="267"/>
    </row>
    <row r="1884" spans="6:7">
      <c r="F1884" s="267"/>
      <c r="G1884" s="267"/>
    </row>
    <row r="1885" spans="6:7">
      <c r="F1885" s="267"/>
      <c r="G1885" s="267"/>
    </row>
    <row r="1886" spans="6:7">
      <c r="F1886" s="267"/>
      <c r="G1886" s="267"/>
    </row>
    <row r="1887" spans="6:7">
      <c r="F1887" s="267"/>
      <c r="G1887" s="267"/>
    </row>
    <row r="1888" spans="6:7">
      <c r="F1888" s="267"/>
      <c r="G1888" s="267"/>
    </row>
    <row r="1889" spans="6:7">
      <c r="F1889" s="267"/>
      <c r="G1889" s="267"/>
    </row>
    <row r="1890" spans="6:7">
      <c r="F1890" s="267"/>
      <c r="G1890" s="267"/>
    </row>
    <row r="1891" spans="6:7">
      <c r="F1891" s="267"/>
      <c r="G1891" s="267"/>
    </row>
    <row r="1892" spans="6:7">
      <c r="F1892" s="267"/>
      <c r="G1892" s="267"/>
    </row>
    <row r="1893" spans="6:7">
      <c r="F1893" s="267"/>
      <c r="G1893" s="267"/>
    </row>
    <row r="1894" spans="6:7">
      <c r="F1894" s="267"/>
      <c r="G1894" s="267"/>
    </row>
    <row r="1895" spans="6:7">
      <c r="F1895" s="267"/>
      <c r="G1895" s="267"/>
    </row>
    <row r="1896" spans="6:7">
      <c r="F1896" s="267"/>
      <c r="G1896" s="267"/>
    </row>
    <row r="1897" spans="6:7">
      <c r="F1897" s="267"/>
      <c r="G1897" s="267"/>
    </row>
    <row r="1898" spans="6:7">
      <c r="F1898" s="267"/>
      <c r="G1898" s="267"/>
    </row>
    <row r="1899" spans="6:7">
      <c r="F1899" s="267"/>
      <c r="G1899" s="267"/>
    </row>
    <row r="1900" spans="6:7">
      <c r="F1900" s="267"/>
      <c r="G1900" s="267"/>
    </row>
    <row r="1901" spans="6:7">
      <c r="F1901" s="267"/>
      <c r="G1901" s="267"/>
    </row>
    <row r="1902" spans="6:7">
      <c r="F1902" s="267"/>
      <c r="G1902" s="267"/>
    </row>
    <row r="1903" spans="6:7">
      <c r="F1903" s="267"/>
      <c r="G1903" s="267"/>
    </row>
    <row r="1904" spans="6:7">
      <c r="F1904" s="267"/>
      <c r="G1904" s="267"/>
    </row>
    <row r="1905" spans="6:7">
      <c r="F1905" s="267"/>
      <c r="G1905" s="267"/>
    </row>
    <row r="1906" spans="6:7">
      <c r="F1906" s="267"/>
      <c r="G1906" s="267"/>
    </row>
    <row r="1907" spans="6:7">
      <c r="F1907" s="267"/>
      <c r="G1907" s="267"/>
    </row>
    <row r="1908" spans="6:7">
      <c r="F1908" s="267"/>
      <c r="G1908" s="267"/>
    </row>
    <row r="1909" spans="6:7">
      <c r="F1909" s="267"/>
      <c r="G1909" s="267"/>
    </row>
    <row r="1910" spans="6:7">
      <c r="F1910" s="267"/>
      <c r="G1910" s="267"/>
    </row>
    <row r="1911" spans="6:7">
      <c r="F1911" s="267"/>
      <c r="G1911" s="267"/>
    </row>
    <row r="1912" spans="6:7">
      <c r="F1912" s="267"/>
      <c r="G1912" s="267"/>
    </row>
    <row r="1913" spans="6:7">
      <c r="F1913" s="267"/>
      <c r="G1913" s="267"/>
    </row>
    <row r="1914" spans="6:7">
      <c r="F1914" s="267"/>
      <c r="G1914" s="267"/>
    </row>
    <row r="1915" spans="6:7">
      <c r="F1915" s="267"/>
      <c r="G1915" s="267"/>
    </row>
    <row r="1916" spans="6:7">
      <c r="F1916" s="267"/>
      <c r="G1916" s="267"/>
    </row>
    <row r="1917" spans="6:7">
      <c r="F1917" s="267"/>
      <c r="G1917" s="267"/>
    </row>
    <row r="1918" spans="6:7">
      <c r="F1918" s="267"/>
      <c r="G1918" s="267"/>
    </row>
    <row r="1919" spans="6:7">
      <c r="F1919" s="267"/>
      <c r="G1919" s="267"/>
    </row>
    <row r="1920" spans="6:7">
      <c r="F1920" s="267"/>
      <c r="G1920" s="267"/>
    </row>
    <row r="1921" spans="6:7">
      <c r="F1921" s="267"/>
      <c r="G1921" s="267"/>
    </row>
    <row r="1922" spans="6:7">
      <c r="F1922" s="267"/>
      <c r="G1922" s="267"/>
    </row>
    <row r="1923" spans="6:7">
      <c r="F1923" s="267"/>
      <c r="G1923" s="267"/>
    </row>
    <row r="1924" spans="6:7">
      <c r="F1924" s="267"/>
      <c r="G1924" s="267"/>
    </row>
    <row r="1925" spans="6:7">
      <c r="F1925" s="267"/>
      <c r="G1925" s="267"/>
    </row>
    <row r="1926" spans="6:7">
      <c r="F1926" s="267"/>
      <c r="G1926" s="267"/>
    </row>
    <row r="1927" spans="6:7">
      <c r="F1927" s="267"/>
      <c r="G1927" s="267"/>
    </row>
    <row r="1928" spans="6:7">
      <c r="F1928" s="267"/>
      <c r="G1928" s="267"/>
    </row>
    <row r="1929" spans="6:7">
      <c r="F1929" s="267"/>
      <c r="G1929" s="267"/>
    </row>
    <row r="1930" spans="6:7">
      <c r="F1930" s="267"/>
      <c r="G1930" s="267"/>
    </row>
    <row r="1931" spans="6:7">
      <c r="F1931" s="267"/>
      <c r="G1931" s="267"/>
    </row>
    <row r="1932" spans="6:7">
      <c r="F1932" s="267"/>
      <c r="G1932" s="267"/>
    </row>
    <row r="1933" spans="6:7">
      <c r="F1933" s="267"/>
      <c r="G1933" s="267"/>
    </row>
    <row r="1934" spans="6:7">
      <c r="F1934" s="267"/>
      <c r="G1934" s="267"/>
    </row>
    <row r="1935" spans="6:7">
      <c r="F1935" s="267"/>
      <c r="G1935" s="267"/>
    </row>
    <row r="1936" spans="6:7">
      <c r="F1936" s="267"/>
      <c r="G1936" s="267"/>
    </row>
    <row r="1937" spans="6:7">
      <c r="F1937" s="267"/>
      <c r="G1937" s="267"/>
    </row>
    <row r="1938" spans="6:7">
      <c r="F1938" s="267"/>
      <c r="G1938" s="267"/>
    </row>
    <row r="1939" spans="6:7">
      <c r="F1939" s="267"/>
      <c r="G1939" s="267"/>
    </row>
    <row r="1940" spans="6:7">
      <c r="F1940" s="267"/>
      <c r="G1940" s="267"/>
    </row>
    <row r="1941" spans="6:7">
      <c r="F1941" s="267"/>
      <c r="G1941" s="267"/>
    </row>
    <row r="1942" spans="6:7">
      <c r="F1942" s="267"/>
      <c r="G1942" s="267"/>
    </row>
    <row r="1943" spans="6:7">
      <c r="F1943" s="267"/>
      <c r="G1943" s="267"/>
    </row>
    <row r="1944" spans="6:7">
      <c r="F1944" s="267"/>
      <c r="G1944" s="267"/>
    </row>
    <row r="1945" spans="6:7">
      <c r="F1945" s="267"/>
      <c r="G1945" s="267"/>
    </row>
    <row r="1946" spans="6:7">
      <c r="F1946" s="267"/>
      <c r="G1946" s="267"/>
    </row>
    <row r="1947" spans="6:7">
      <c r="F1947" s="267"/>
      <c r="G1947" s="267"/>
    </row>
    <row r="1948" spans="6:7">
      <c r="F1948" s="267"/>
      <c r="G1948" s="267"/>
    </row>
    <row r="1949" spans="6:7">
      <c r="F1949" s="267"/>
      <c r="G1949" s="267"/>
    </row>
    <row r="1950" spans="6:7">
      <c r="F1950" s="267"/>
      <c r="G1950" s="267"/>
    </row>
    <row r="1951" spans="6:7">
      <c r="F1951" s="267"/>
      <c r="G1951" s="267"/>
    </row>
    <row r="1952" spans="6:7">
      <c r="F1952" s="267"/>
      <c r="G1952" s="267"/>
    </row>
    <row r="1953" spans="6:7">
      <c r="F1953" s="267"/>
      <c r="G1953" s="267"/>
    </row>
    <row r="1954" spans="6:7">
      <c r="F1954" s="267"/>
      <c r="G1954" s="267"/>
    </row>
    <row r="1955" spans="6:7">
      <c r="F1955" s="267"/>
      <c r="G1955" s="267"/>
    </row>
    <row r="1956" spans="6:7">
      <c r="F1956" s="267"/>
      <c r="G1956" s="267"/>
    </row>
    <row r="1957" spans="6:7">
      <c r="F1957" s="267"/>
      <c r="G1957" s="267"/>
    </row>
    <row r="1958" spans="6:7">
      <c r="F1958" s="267"/>
      <c r="G1958" s="267"/>
    </row>
    <row r="1959" spans="6:7">
      <c r="F1959" s="267"/>
      <c r="G1959" s="267"/>
    </row>
    <row r="1960" spans="6:7">
      <c r="F1960" s="267"/>
      <c r="G1960" s="267"/>
    </row>
    <row r="1961" spans="6:7">
      <c r="F1961" s="267"/>
      <c r="G1961" s="267"/>
    </row>
    <row r="1962" spans="6:7">
      <c r="F1962" s="267"/>
      <c r="G1962" s="267"/>
    </row>
    <row r="1963" spans="6:7">
      <c r="F1963" s="267"/>
      <c r="G1963" s="267"/>
    </row>
    <row r="1964" spans="6:7">
      <c r="F1964" s="267"/>
      <c r="G1964" s="267"/>
    </row>
    <row r="1965" spans="6:7">
      <c r="F1965" s="267"/>
      <c r="G1965" s="267"/>
    </row>
    <row r="1966" spans="6:7">
      <c r="F1966" s="267"/>
      <c r="G1966" s="267"/>
    </row>
    <row r="1967" spans="6:7">
      <c r="F1967" s="267"/>
      <c r="G1967" s="267"/>
    </row>
    <row r="1968" spans="6:7">
      <c r="F1968" s="267"/>
      <c r="G1968" s="267"/>
    </row>
    <row r="1969" spans="6:7">
      <c r="F1969" s="267"/>
      <c r="G1969" s="267"/>
    </row>
    <row r="1970" spans="6:7">
      <c r="F1970" s="267"/>
      <c r="G1970" s="267"/>
    </row>
    <row r="1971" spans="6:7">
      <c r="F1971" s="267"/>
      <c r="G1971" s="267"/>
    </row>
    <row r="1972" spans="6:7">
      <c r="F1972" s="267"/>
      <c r="G1972" s="267"/>
    </row>
    <row r="1973" spans="6:7">
      <c r="F1973" s="267"/>
      <c r="G1973" s="267"/>
    </row>
    <row r="1974" spans="6:7">
      <c r="F1974" s="267"/>
      <c r="G1974" s="267"/>
    </row>
    <row r="1975" spans="6:7">
      <c r="F1975" s="267"/>
      <c r="G1975" s="267"/>
    </row>
    <row r="1976" spans="6:7">
      <c r="F1976" s="267"/>
      <c r="G1976" s="267"/>
    </row>
    <row r="1977" spans="6:7">
      <c r="F1977" s="267"/>
      <c r="G1977" s="267"/>
    </row>
    <row r="1978" spans="6:7">
      <c r="F1978" s="267"/>
      <c r="G1978" s="267"/>
    </row>
    <row r="1979" spans="6:7">
      <c r="F1979" s="267"/>
      <c r="G1979" s="267"/>
    </row>
    <row r="1980" spans="6:7">
      <c r="F1980" s="267"/>
      <c r="G1980" s="267"/>
    </row>
    <row r="1981" spans="6:7">
      <c r="F1981" s="267"/>
      <c r="G1981" s="267"/>
    </row>
    <row r="1982" spans="6:7">
      <c r="F1982" s="267"/>
      <c r="G1982" s="267"/>
    </row>
    <row r="1983" spans="6:7">
      <c r="F1983" s="267"/>
      <c r="G1983" s="267"/>
    </row>
    <row r="1984" spans="6:7">
      <c r="F1984" s="267"/>
      <c r="G1984" s="267"/>
    </row>
    <row r="1985" spans="6:7">
      <c r="F1985" s="267"/>
      <c r="G1985" s="267"/>
    </row>
    <row r="1986" spans="6:7">
      <c r="F1986" s="267"/>
      <c r="G1986" s="267"/>
    </row>
    <row r="1987" spans="6:7">
      <c r="F1987" s="267"/>
      <c r="G1987" s="267"/>
    </row>
    <row r="1988" spans="6:7">
      <c r="F1988" s="267"/>
      <c r="G1988" s="267"/>
    </row>
    <row r="1989" spans="6:7">
      <c r="F1989" s="267"/>
      <c r="G1989" s="267"/>
    </row>
    <row r="1990" spans="6:7">
      <c r="F1990" s="267"/>
      <c r="G1990" s="267"/>
    </row>
    <row r="1991" spans="6:7">
      <c r="F1991" s="267"/>
      <c r="G1991" s="267"/>
    </row>
    <row r="1992" spans="6:7">
      <c r="F1992" s="267"/>
      <c r="G1992" s="267"/>
    </row>
    <row r="1993" spans="6:7">
      <c r="F1993" s="267"/>
      <c r="G1993" s="267"/>
    </row>
    <row r="1994" spans="6:7">
      <c r="F1994" s="267"/>
      <c r="G1994" s="267"/>
    </row>
    <row r="1995" spans="6:7">
      <c r="F1995" s="267"/>
      <c r="G1995" s="267"/>
    </row>
    <row r="1996" spans="6:7">
      <c r="F1996" s="267"/>
      <c r="G1996" s="267"/>
    </row>
    <row r="1997" spans="6:7">
      <c r="F1997" s="267"/>
      <c r="G1997" s="267"/>
    </row>
    <row r="1998" spans="6:7">
      <c r="F1998" s="267"/>
      <c r="G1998" s="267"/>
    </row>
    <row r="1999" spans="6:7">
      <c r="F1999" s="267"/>
      <c r="G1999" s="267"/>
    </row>
    <row r="2000" spans="6:7">
      <c r="F2000" s="267"/>
      <c r="G2000" s="267"/>
    </row>
    <row r="2001" spans="6:7">
      <c r="F2001" s="267"/>
      <c r="G2001" s="267"/>
    </row>
    <row r="2002" spans="6:7">
      <c r="F2002" s="267"/>
      <c r="G2002" s="267"/>
    </row>
    <row r="2003" spans="6:7">
      <c r="F2003" s="267"/>
      <c r="G2003" s="267"/>
    </row>
    <row r="2004" spans="6:7">
      <c r="F2004" s="267"/>
      <c r="G2004" s="267"/>
    </row>
    <row r="2005" spans="6:7">
      <c r="F2005" s="267"/>
      <c r="G2005" s="267"/>
    </row>
    <row r="2006" spans="6:7">
      <c r="F2006" s="267"/>
      <c r="G2006" s="267"/>
    </row>
    <row r="2007" spans="6:7">
      <c r="F2007" s="267"/>
      <c r="G2007" s="267"/>
    </row>
    <row r="2008" spans="6:7">
      <c r="F2008" s="267"/>
      <c r="G2008" s="267"/>
    </row>
    <row r="2009" spans="6:7">
      <c r="F2009" s="267"/>
      <c r="G2009" s="267"/>
    </row>
    <row r="2010" spans="6:7">
      <c r="F2010" s="267"/>
      <c r="G2010" s="267"/>
    </row>
    <row r="2011" spans="6:7">
      <c r="F2011" s="267"/>
      <c r="G2011" s="267"/>
    </row>
    <row r="2012" spans="6:7">
      <c r="F2012" s="267"/>
      <c r="G2012" s="267"/>
    </row>
    <row r="2013" spans="6:7">
      <c r="F2013" s="267"/>
      <c r="G2013" s="267"/>
    </row>
    <row r="2014" spans="6:7">
      <c r="F2014" s="267"/>
      <c r="G2014" s="267"/>
    </row>
    <row r="2015" spans="6:7">
      <c r="F2015" s="267"/>
      <c r="G2015" s="267"/>
    </row>
    <row r="2016" spans="6:7">
      <c r="F2016" s="267"/>
      <c r="G2016" s="267"/>
    </row>
    <row r="2017" spans="6:7">
      <c r="F2017" s="267"/>
      <c r="G2017" s="267"/>
    </row>
    <row r="2018" spans="6:7">
      <c r="F2018" s="267"/>
      <c r="G2018" s="267"/>
    </row>
    <row r="2019" spans="6:7">
      <c r="F2019" s="267"/>
      <c r="G2019" s="267"/>
    </row>
    <row r="2020" spans="6:7">
      <c r="F2020" s="267"/>
      <c r="G2020" s="267"/>
    </row>
    <row r="2021" spans="6:7">
      <c r="F2021" s="267"/>
      <c r="G2021" s="267"/>
    </row>
    <row r="2022" spans="6:7">
      <c r="F2022" s="267"/>
      <c r="G2022" s="267"/>
    </row>
    <row r="2023" spans="6:7">
      <c r="F2023" s="267"/>
      <c r="G2023" s="267"/>
    </row>
    <row r="2024" spans="6:7">
      <c r="F2024" s="267"/>
      <c r="G2024" s="267"/>
    </row>
    <row r="2025" spans="6:7">
      <c r="F2025" s="267"/>
      <c r="G2025" s="267"/>
    </row>
    <row r="2026" spans="6:7">
      <c r="F2026" s="267"/>
      <c r="G2026" s="267"/>
    </row>
    <row r="2027" spans="6:7">
      <c r="F2027" s="267"/>
      <c r="G2027" s="267"/>
    </row>
    <row r="2028" spans="6:7">
      <c r="F2028" s="267"/>
      <c r="G2028" s="267"/>
    </row>
    <row r="2029" spans="6:7">
      <c r="F2029" s="267"/>
      <c r="G2029" s="267"/>
    </row>
    <row r="2030" spans="6:7">
      <c r="F2030" s="267"/>
      <c r="G2030" s="267"/>
    </row>
    <row r="2031" spans="6:7">
      <c r="F2031" s="267"/>
      <c r="G2031" s="267"/>
    </row>
    <row r="2032" spans="6:7">
      <c r="F2032" s="267"/>
      <c r="G2032" s="267"/>
    </row>
    <row r="2033" spans="6:7">
      <c r="F2033" s="267"/>
      <c r="G2033" s="267"/>
    </row>
    <row r="2034" spans="6:7">
      <c r="F2034" s="267"/>
      <c r="G2034" s="267"/>
    </row>
    <row r="2035" spans="6:7">
      <c r="F2035" s="267"/>
      <c r="G2035" s="267"/>
    </row>
    <row r="2036" spans="6:7">
      <c r="F2036" s="267"/>
      <c r="G2036" s="267"/>
    </row>
    <row r="2037" spans="6:7">
      <c r="F2037" s="267"/>
      <c r="G2037" s="267"/>
    </row>
    <row r="2038" spans="6:7">
      <c r="F2038" s="267"/>
      <c r="G2038" s="267"/>
    </row>
    <row r="2039" spans="6:7">
      <c r="F2039" s="267"/>
      <c r="G2039" s="267"/>
    </row>
    <row r="2040" spans="6:7">
      <c r="F2040" s="267"/>
      <c r="G2040" s="267"/>
    </row>
    <row r="2041" spans="6:7">
      <c r="F2041" s="267"/>
      <c r="G2041" s="267"/>
    </row>
    <row r="2042" spans="6:7">
      <c r="F2042" s="267"/>
      <c r="G2042" s="267"/>
    </row>
    <row r="2043" spans="6:7">
      <c r="F2043" s="267"/>
      <c r="G2043" s="267"/>
    </row>
    <row r="2044" spans="6:7">
      <c r="F2044" s="267"/>
      <c r="G2044" s="267"/>
    </row>
    <row r="2045" spans="6:7">
      <c r="F2045" s="267"/>
      <c r="G2045" s="267"/>
    </row>
    <row r="2046" spans="6:7">
      <c r="F2046" s="267"/>
      <c r="G2046" s="267"/>
    </row>
    <row r="2047" spans="6:7">
      <c r="F2047" s="267"/>
      <c r="G2047" s="267"/>
    </row>
    <row r="2048" spans="6:7">
      <c r="F2048" s="267"/>
      <c r="G2048" s="267"/>
    </row>
    <row r="2049" spans="6:7">
      <c r="F2049" s="267"/>
      <c r="G2049" s="267"/>
    </row>
    <row r="2050" spans="6:7">
      <c r="F2050" s="267"/>
      <c r="G2050" s="267"/>
    </row>
    <row r="2051" spans="6:7">
      <c r="F2051" s="267"/>
      <c r="G2051" s="267"/>
    </row>
    <row r="2052" spans="6:7">
      <c r="F2052" s="267"/>
      <c r="G2052" s="267"/>
    </row>
    <row r="2053" spans="6:7">
      <c r="F2053" s="267"/>
      <c r="G2053" s="267"/>
    </row>
    <row r="2054" spans="6:7">
      <c r="F2054" s="267"/>
      <c r="G2054" s="267"/>
    </row>
    <row r="2055" spans="6:7">
      <c r="F2055" s="267"/>
      <c r="G2055" s="267"/>
    </row>
    <row r="2056" spans="6:7">
      <c r="F2056" s="267"/>
      <c r="G2056" s="267"/>
    </row>
    <row r="2057" spans="6:7">
      <c r="F2057" s="267"/>
      <c r="G2057" s="267"/>
    </row>
    <row r="2058" spans="6:7">
      <c r="F2058" s="267"/>
      <c r="G2058" s="267"/>
    </row>
    <row r="2059" spans="6:7">
      <c r="F2059" s="267"/>
      <c r="G2059" s="267"/>
    </row>
    <row r="2060" spans="6:7">
      <c r="F2060" s="267"/>
      <c r="G2060" s="267"/>
    </row>
    <row r="2061" spans="6:7">
      <c r="F2061" s="267"/>
      <c r="G2061" s="267"/>
    </row>
    <row r="2062" spans="6:7">
      <c r="F2062" s="267"/>
      <c r="G2062" s="267"/>
    </row>
    <row r="2063" spans="6:7">
      <c r="F2063" s="267"/>
      <c r="G2063" s="267"/>
    </row>
    <row r="2064" spans="6:7">
      <c r="F2064" s="267"/>
      <c r="G2064" s="267"/>
    </row>
    <row r="2065" spans="6:7">
      <c r="F2065" s="267"/>
      <c r="G2065" s="267"/>
    </row>
    <row r="2066" spans="6:7">
      <c r="F2066" s="267"/>
      <c r="G2066" s="267"/>
    </row>
    <row r="2067" spans="6:7">
      <c r="F2067" s="267"/>
      <c r="G2067" s="267"/>
    </row>
    <row r="2068" spans="6:7">
      <c r="F2068" s="267"/>
      <c r="G2068" s="267"/>
    </row>
    <row r="2069" spans="6:7">
      <c r="F2069" s="267"/>
      <c r="G2069" s="267"/>
    </row>
    <row r="2070" spans="6:7">
      <c r="F2070" s="267"/>
      <c r="G2070" s="267"/>
    </row>
    <row r="2071" spans="6:7">
      <c r="F2071" s="267"/>
      <c r="G2071" s="267"/>
    </row>
    <row r="2072" spans="6:7">
      <c r="F2072" s="267"/>
      <c r="G2072" s="267"/>
    </row>
    <row r="2073" spans="6:7">
      <c r="F2073" s="267"/>
      <c r="G2073" s="267"/>
    </row>
    <row r="2074" spans="6:7">
      <c r="F2074" s="267"/>
      <c r="G2074" s="267"/>
    </row>
    <row r="2075" spans="6:7">
      <c r="F2075" s="267"/>
      <c r="G2075" s="267"/>
    </row>
    <row r="2076" spans="6:7">
      <c r="F2076" s="267"/>
      <c r="G2076" s="267"/>
    </row>
    <row r="2077" spans="6:7">
      <c r="F2077" s="267"/>
      <c r="G2077" s="267"/>
    </row>
    <row r="2078" spans="6:7">
      <c r="F2078" s="267"/>
      <c r="G2078" s="267"/>
    </row>
    <row r="2079" spans="6:7">
      <c r="F2079" s="267"/>
      <c r="G2079" s="267"/>
    </row>
    <row r="2080" spans="6:7">
      <c r="F2080" s="267"/>
      <c r="G2080" s="267"/>
    </row>
    <row r="2081" spans="6:7">
      <c r="F2081" s="267"/>
      <c r="G2081" s="267"/>
    </row>
    <row r="2082" spans="6:7">
      <c r="F2082" s="267"/>
      <c r="G2082" s="267"/>
    </row>
    <row r="2083" spans="6:7">
      <c r="F2083" s="267"/>
      <c r="G2083" s="267"/>
    </row>
    <row r="2084" spans="6:7">
      <c r="F2084" s="267"/>
      <c r="G2084" s="267"/>
    </row>
    <row r="2085" spans="6:7">
      <c r="F2085" s="267"/>
      <c r="G2085" s="267"/>
    </row>
    <row r="2086" spans="6:7">
      <c r="F2086" s="267"/>
      <c r="G2086" s="267"/>
    </row>
    <row r="2087" spans="6:7">
      <c r="F2087" s="267"/>
      <c r="G2087" s="267"/>
    </row>
    <row r="2088" spans="6:7">
      <c r="F2088" s="267"/>
      <c r="G2088" s="267"/>
    </row>
    <row r="2089" spans="6:7">
      <c r="F2089" s="267"/>
      <c r="G2089" s="267"/>
    </row>
    <row r="2090" spans="6:7">
      <c r="F2090" s="267"/>
      <c r="G2090" s="267"/>
    </row>
    <row r="2091" spans="6:7">
      <c r="F2091" s="267"/>
      <c r="G2091" s="267"/>
    </row>
    <row r="2092" spans="6:7">
      <c r="F2092" s="267"/>
      <c r="G2092" s="267"/>
    </row>
    <row r="2093" spans="6:7">
      <c r="F2093" s="267"/>
      <c r="G2093" s="267"/>
    </row>
    <row r="2094" spans="6:7">
      <c r="F2094" s="267"/>
      <c r="G2094" s="267"/>
    </row>
    <row r="2095" spans="6:7">
      <c r="F2095" s="267"/>
      <c r="G2095" s="267"/>
    </row>
    <row r="2096" spans="6:7">
      <c r="F2096" s="267"/>
      <c r="G2096" s="267"/>
    </row>
    <row r="2097" spans="6:7">
      <c r="F2097" s="267"/>
      <c r="G2097" s="267"/>
    </row>
    <row r="2098" spans="6:7">
      <c r="F2098" s="267"/>
      <c r="G2098" s="267"/>
    </row>
    <row r="2099" spans="6:7">
      <c r="F2099" s="267"/>
      <c r="G2099" s="267"/>
    </row>
    <row r="2100" spans="6:7">
      <c r="F2100" s="267"/>
      <c r="G2100" s="267"/>
    </row>
    <row r="2101" spans="6:7">
      <c r="F2101" s="267"/>
      <c r="G2101" s="267"/>
    </row>
    <row r="2102" spans="6:7">
      <c r="F2102" s="267"/>
      <c r="G2102" s="267"/>
    </row>
    <row r="2103" spans="6:7">
      <c r="F2103" s="267"/>
      <c r="G2103" s="267"/>
    </row>
    <row r="2104" spans="6:7">
      <c r="F2104" s="267"/>
      <c r="G2104" s="267"/>
    </row>
    <row r="2105" spans="6:7">
      <c r="F2105" s="267"/>
      <c r="G2105" s="267"/>
    </row>
    <row r="2106" spans="6:7">
      <c r="F2106" s="267"/>
      <c r="G2106" s="267"/>
    </row>
    <row r="2107" spans="6:7">
      <c r="F2107" s="267"/>
      <c r="G2107" s="267"/>
    </row>
    <row r="2108" spans="6:7">
      <c r="F2108" s="267"/>
      <c r="G2108" s="267"/>
    </row>
    <row r="2109" spans="6:7">
      <c r="F2109" s="267"/>
      <c r="G2109" s="267"/>
    </row>
    <row r="2110" spans="6:7">
      <c r="F2110" s="267"/>
      <c r="G2110" s="267"/>
    </row>
    <row r="2111" spans="6:7">
      <c r="F2111" s="267"/>
      <c r="G2111" s="267"/>
    </row>
    <row r="2112" spans="6:7">
      <c r="F2112" s="267"/>
      <c r="G2112" s="267"/>
    </row>
    <row r="2113" spans="6:7">
      <c r="F2113" s="267"/>
      <c r="G2113" s="267"/>
    </row>
    <row r="2114" spans="6:7">
      <c r="F2114" s="267"/>
      <c r="G2114" s="267"/>
    </row>
    <row r="2115" spans="6:7">
      <c r="F2115" s="267"/>
      <c r="G2115" s="267"/>
    </row>
    <row r="2116" spans="6:7">
      <c r="F2116" s="267"/>
      <c r="G2116" s="267"/>
    </row>
    <row r="2117" spans="6:7">
      <c r="F2117" s="267"/>
      <c r="G2117" s="267"/>
    </row>
    <row r="2118" spans="6:7">
      <c r="F2118" s="267"/>
      <c r="G2118" s="267"/>
    </row>
    <row r="2119" spans="6:7">
      <c r="F2119" s="267"/>
      <c r="G2119" s="267"/>
    </row>
    <row r="2120" spans="6:7">
      <c r="F2120" s="267"/>
      <c r="G2120" s="267"/>
    </row>
    <row r="2121" spans="6:7">
      <c r="F2121" s="267"/>
      <c r="G2121" s="267"/>
    </row>
    <row r="2122" spans="6:7">
      <c r="F2122" s="267"/>
      <c r="G2122" s="267"/>
    </row>
    <row r="2123" spans="6:7">
      <c r="F2123" s="267"/>
      <c r="G2123" s="267"/>
    </row>
    <row r="2124" spans="6:7">
      <c r="F2124" s="267"/>
      <c r="G2124" s="267"/>
    </row>
    <row r="2125" spans="6:7">
      <c r="F2125" s="267"/>
      <c r="G2125" s="267"/>
    </row>
    <row r="2126" spans="6:7">
      <c r="F2126" s="267"/>
      <c r="G2126" s="267"/>
    </row>
    <row r="2127" spans="6:7">
      <c r="F2127" s="267"/>
      <c r="G2127" s="267"/>
    </row>
    <row r="2128" spans="6:7">
      <c r="F2128" s="267"/>
      <c r="G2128" s="267"/>
    </row>
    <row r="2129" spans="6:7">
      <c r="F2129" s="267"/>
      <c r="G2129" s="267"/>
    </row>
    <row r="2130" spans="6:7">
      <c r="F2130" s="267"/>
      <c r="G2130" s="267"/>
    </row>
    <row r="2131" spans="6:7">
      <c r="F2131" s="267"/>
      <c r="G2131" s="267"/>
    </row>
    <row r="2132" spans="6:7">
      <c r="F2132" s="267"/>
      <c r="G2132" s="267"/>
    </row>
    <row r="2133" spans="6:7">
      <c r="F2133" s="267"/>
      <c r="G2133" s="267"/>
    </row>
    <row r="2134" spans="6:7">
      <c r="F2134" s="267"/>
      <c r="G2134" s="267"/>
    </row>
    <row r="2135" spans="6:7">
      <c r="F2135" s="267"/>
      <c r="G2135" s="267"/>
    </row>
    <row r="2136" spans="6:7">
      <c r="F2136" s="267"/>
      <c r="G2136" s="267"/>
    </row>
    <row r="2137" spans="6:7">
      <c r="F2137" s="267"/>
      <c r="G2137" s="267"/>
    </row>
    <row r="2138" spans="6:7">
      <c r="F2138" s="267"/>
      <c r="G2138" s="267"/>
    </row>
    <row r="2139" spans="6:7">
      <c r="F2139" s="267"/>
      <c r="G2139" s="267"/>
    </row>
    <row r="2140" spans="6:7">
      <c r="F2140" s="267"/>
      <c r="G2140" s="267"/>
    </row>
    <row r="2141" spans="6:7">
      <c r="F2141" s="267"/>
      <c r="G2141" s="267"/>
    </row>
    <row r="2142" spans="6:7">
      <c r="F2142" s="267"/>
      <c r="G2142" s="267"/>
    </row>
    <row r="2143" spans="6:7">
      <c r="F2143" s="267"/>
      <c r="G2143" s="267"/>
    </row>
    <row r="2144" spans="6:7">
      <c r="F2144" s="267"/>
      <c r="G2144" s="267"/>
    </row>
    <row r="2145" spans="6:7">
      <c r="F2145" s="267"/>
      <c r="G2145" s="267"/>
    </row>
    <row r="2146" spans="6:7">
      <c r="F2146" s="267"/>
      <c r="G2146" s="267"/>
    </row>
    <row r="2147" spans="6:7">
      <c r="F2147" s="267"/>
      <c r="G2147" s="267"/>
    </row>
    <row r="2148" spans="6:7">
      <c r="F2148" s="267"/>
      <c r="G2148" s="267"/>
    </row>
    <row r="2149" spans="6:7">
      <c r="F2149" s="267"/>
      <c r="G2149" s="267"/>
    </row>
    <row r="2150" spans="6:7">
      <c r="F2150" s="267"/>
      <c r="G2150" s="267"/>
    </row>
    <row r="2151" spans="6:7">
      <c r="F2151" s="267"/>
      <c r="G2151" s="267"/>
    </row>
    <row r="2152" spans="6:7">
      <c r="F2152" s="267"/>
      <c r="G2152" s="267"/>
    </row>
    <row r="2153" spans="6:7">
      <c r="F2153" s="267"/>
      <c r="G2153" s="267"/>
    </row>
    <row r="2154" spans="6:7">
      <c r="F2154" s="267"/>
      <c r="G2154" s="267"/>
    </row>
    <row r="2155" spans="6:7">
      <c r="F2155" s="267"/>
      <c r="G2155" s="267"/>
    </row>
    <row r="2156" spans="6:7">
      <c r="F2156" s="267"/>
      <c r="G2156" s="267"/>
    </row>
    <row r="2157" spans="6:7">
      <c r="F2157" s="267"/>
      <c r="G2157" s="267"/>
    </row>
    <row r="2158" spans="6:7">
      <c r="F2158" s="267"/>
      <c r="G2158" s="267"/>
    </row>
    <row r="2159" spans="6:7">
      <c r="F2159" s="267"/>
      <c r="G2159" s="267"/>
    </row>
    <row r="2160" spans="6:7">
      <c r="F2160" s="267"/>
      <c r="G2160" s="267"/>
    </row>
    <row r="2161" spans="6:7">
      <c r="F2161" s="267"/>
      <c r="G2161" s="267"/>
    </row>
    <row r="2162" spans="6:7">
      <c r="F2162" s="267"/>
      <c r="G2162" s="267"/>
    </row>
    <row r="2163" spans="6:7">
      <c r="F2163" s="267"/>
      <c r="G2163" s="267"/>
    </row>
    <row r="2164" spans="6:7">
      <c r="F2164" s="267"/>
      <c r="G2164" s="267"/>
    </row>
    <row r="2165" spans="6:7">
      <c r="F2165" s="267"/>
      <c r="G2165" s="267"/>
    </row>
    <row r="2166" spans="6:7">
      <c r="F2166" s="267"/>
      <c r="G2166" s="267"/>
    </row>
    <row r="2167" spans="6:7">
      <c r="F2167" s="267"/>
      <c r="G2167" s="267"/>
    </row>
    <row r="2168" spans="6:7">
      <c r="F2168" s="267"/>
      <c r="G2168" s="267"/>
    </row>
    <row r="2169" spans="6:7">
      <c r="F2169" s="267"/>
      <c r="G2169" s="267"/>
    </row>
    <row r="2170" spans="6:7">
      <c r="F2170" s="267"/>
      <c r="G2170" s="267"/>
    </row>
    <row r="2171" spans="6:7">
      <c r="F2171" s="267"/>
      <c r="G2171" s="267"/>
    </row>
    <row r="2172" spans="6:7">
      <c r="F2172" s="267"/>
      <c r="G2172" s="267"/>
    </row>
    <row r="2173" spans="6:7">
      <c r="F2173" s="267"/>
      <c r="G2173" s="267"/>
    </row>
    <row r="2174" spans="6:7">
      <c r="F2174" s="267"/>
      <c r="G2174" s="267"/>
    </row>
    <row r="2175" spans="6:7">
      <c r="F2175" s="267"/>
      <c r="G2175" s="267"/>
    </row>
    <row r="2176" spans="6:7">
      <c r="F2176" s="267"/>
      <c r="G2176" s="267"/>
    </row>
    <row r="2177" spans="6:7">
      <c r="F2177" s="267"/>
      <c r="G2177" s="267"/>
    </row>
    <row r="2178" spans="6:7">
      <c r="F2178" s="267"/>
      <c r="G2178" s="267"/>
    </row>
    <row r="2179" spans="6:7">
      <c r="F2179" s="267"/>
      <c r="G2179" s="267"/>
    </row>
    <row r="2180" spans="6:7">
      <c r="F2180" s="267"/>
      <c r="G2180" s="267"/>
    </row>
    <row r="2181" spans="6:7">
      <c r="F2181" s="267"/>
      <c r="G2181" s="267"/>
    </row>
    <row r="2182" spans="6:7">
      <c r="F2182" s="267"/>
      <c r="G2182" s="267"/>
    </row>
    <row r="2183" spans="6:7">
      <c r="F2183" s="267"/>
      <c r="G2183" s="267"/>
    </row>
    <row r="2184" spans="6:7">
      <c r="F2184" s="267"/>
      <c r="G2184" s="267"/>
    </row>
    <row r="2185" spans="6:7">
      <c r="F2185" s="267"/>
      <c r="G2185" s="267"/>
    </row>
    <row r="2186" spans="6:7">
      <c r="F2186" s="267"/>
      <c r="G2186" s="267"/>
    </row>
    <row r="2187" spans="6:7">
      <c r="F2187" s="267"/>
      <c r="G2187" s="267"/>
    </row>
    <row r="2188" spans="6:7">
      <c r="F2188" s="267"/>
      <c r="G2188" s="267"/>
    </row>
    <row r="2189" spans="6:7">
      <c r="F2189" s="267"/>
      <c r="G2189" s="267"/>
    </row>
    <row r="2190" spans="6:7">
      <c r="F2190" s="267"/>
      <c r="G2190" s="267"/>
    </row>
    <row r="2191" spans="6:7">
      <c r="F2191" s="267"/>
      <c r="G2191" s="267"/>
    </row>
    <row r="2192" spans="6:7">
      <c r="F2192" s="267"/>
      <c r="G2192" s="267"/>
    </row>
    <row r="2193" spans="6:7">
      <c r="F2193" s="267"/>
      <c r="G2193" s="267"/>
    </row>
    <row r="2194" spans="6:7">
      <c r="F2194" s="267"/>
      <c r="G2194" s="267"/>
    </row>
    <row r="2195" spans="6:7">
      <c r="F2195" s="267"/>
      <c r="G2195" s="267"/>
    </row>
    <row r="2196" spans="6:7">
      <c r="F2196" s="267"/>
      <c r="G2196" s="267"/>
    </row>
    <row r="2197" spans="6:7">
      <c r="F2197" s="267"/>
      <c r="G2197" s="267"/>
    </row>
    <row r="2198" spans="6:7">
      <c r="F2198" s="267"/>
      <c r="G2198" s="267"/>
    </row>
    <row r="2199" spans="6:7">
      <c r="F2199" s="267"/>
      <c r="G2199" s="267"/>
    </row>
    <row r="2200" spans="6:7">
      <c r="F2200" s="267"/>
      <c r="G2200" s="267"/>
    </row>
    <row r="2201" spans="6:7">
      <c r="F2201" s="267"/>
      <c r="G2201" s="267"/>
    </row>
    <row r="2202" spans="6:7">
      <c r="F2202" s="267"/>
      <c r="G2202" s="267"/>
    </row>
    <row r="2203" spans="6:7">
      <c r="F2203" s="267"/>
      <c r="G2203" s="267"/>
    </row>
    <row r="2204" spans="6:7">
      <c r="F2204" s="267"/>
      <c r="G2204" s="267"/>
    </row>
    <row r="2205" spans="6:7">
      <c r="F2205" s="267"/>
      <c r="G2205" s="267"/>
    </row>
    <row r="2206" spans="6:7">
      <c r="F2206" s="267"/>
      <c r="G2206" s="267"/>
    </row>
    <row r="2207" spans="6:7">
      <c r="F2207" s="267"/>
      <c r="G2207" s="267"/>
    </row>
    <row r="2208" spans="6:7">
      <c r="F2208" s="267"/>
      <c r="G2208" s="267"/>
    </row>
    <row r="2209" spans="6:7">
      <c r="F2209" s="267"/>
      <c r="G2209" s="267"/>
    </row>
    <row r="2210" spans="6:7">
      <c r="F2210" s="267"/>
      <c r="G2210" s="267"/>
    </row>
    <row r="2211" spans="6:7">
      <c r="F2211" s="267"/>
      <c r="G2211" s="267"/>
    </row>
    <row r="2212" spans="6:7">
      <c r="F2212" s="267"/>
      <c r="G2212" s="267"/>
    </row>
    <row r="2213" spans="6:7">
      <c r="F2213" s="267"/>
      <c r="G2213" s="267"/>
    </row>
    <row r="2214" spans="6:7">
      <c r="F2214" s="267"/>
      <c r="G2214" s="267"/>
    </row>
    <row r="2215" spans="6:7">
      <c r="F2215" s="267"/>
      <c r="G2215" s="267"/>
    </row>
    <row r="2216" spans="6:7">
      <c r="F2216" s="267"/>
      <c r="G2216" s="267"/>
    </row>
    <row r="2217" spans="6:7">
      <c r="F2217" s="267"/>
      <c r="G2217" s="267"/>
    </row>
    <row r="2218" spans="6:7">
      <c r="F2218" s="267"/>
      <c r="G2218" s="267"/>
    </row>
    <row r="2219" spans="6:7">
      <c r="F2219" s="267"/>
      <c r="G2219" s="267"/>
    </row>
    <row r="2220" spans="6:7">
      <c r="F2220" s="267"/>
      <c r="G2220" s="267"/>
    </row>
    <row r="2221" spans="6:7">
      <c r="F2221" s="267"/>
      <c r="G2221" s="267"/>
    </row>
    <row r="2222" spans="6:7">
      <c r="F2222" s="267"/>
      <c r="G2222" s="267"/>
    </row>
    <row r="2223" spans="6:7">
      <c r="F2223" s="267"/>
      <c r="G2223" s="267"/>
    </row>
    <row r="2224" spans="6:7">
      <c r="F2224" s="267"/>
      <c r="G2224" s="267"/>
    </row>
    <row r="2225" spans="6:7">
      <c r="F2225" s="267"/>
      <c r="G2225" s="267"/>
    </row>
    <row r="2226" spans="6:7">
      <c r="F2226" s="267"/>
      <c r="G2226" s="267"/>
    </row>
    <row r="2227" spans="6:7">
      <c r="F2227" s="267"/>
      <c r="G2227" s="267"/>
    </row>
    <row r="2228" spans="6:7">
      <c r="F2228" s="267"/>
      <c r="G2228" s="267"/>
    </row>
    <row r="2229" spans="6:7">
      <c r="F2229" s="267"/>
      <c r="G2229" s="267"/>
    </row>
    <row r="2230" spans="6:7">
      <c r="F2230" s="267"/>
      <c r="G2230" s="267"/>
    </row>
    <row r="2231" spans="6:7">
      <c r="F2231" s="267"/>
      <c r="G2231" s="267"/>
    </row>
    <row r="2232" spans="6:7">
      <c r="F2232" s="267"/>
      <c r="G2232" s="267"/>
    </row>
    <row r="2233" spans="6:7">
      <c r="F2233" s="267"/>
      <c r="G2233" s="267"/>
    </row>
    <row r="2234" spans="6:7">
      <c r="F2234" s="267"/>
      <c r="G2234" s="267"/>
    </row>
    <row r="2235" spans="6:7">
      <c r="F2235" s="267"/>
      <c r="G2235" s="267"/>
    </row>
    <row r="2236" spans="6:7">
      <c r="F2236" s="267"/>
      <c r="G2236" s="267"/>
    </row>
    <row r="2237" spans="6:7">
      <c r="F2237" s="267"/>
      <c r="G2237" s="267"/>
    </row>
    <row r="2238" spans="6:7">
      <c r="F2238" s="267"/>
      <c r="G2238" s="267"/>
    </row>
    <row r="2239" spans="6:7">
      <c r="F2239" s="267"/>
      <c r="G2239" s="267"/>
    </row>
    <row r="2240" spans="6:7">
      <c r="F2240" s="267"/>
      <c r="G2240" s="267"/>
    </row>
    <row r="2241" spans="6:7">
      <c r="F2241" s="267"/>
      <c r="G2241" s="267"/>
    </row>
    <row r="2242" spans="6:7">
      <c r="F2242" s="267"/>
      <c r="G2242" s="267"/>
    </row>
    <row r="2243" spans="6:7">
      <c r="F2243" s="267"/>
      <c r="G2243" s="267"/>
    </row>
    <row r="2244" spans="6:7">
      <c r="F2244" s="267"/>
      <c r="G2244" s="267"/>
    </row>
    <row r="2245" spans="6:7">
      <c r="F2245" s="267"/>
      <c r="G2245" s="267"/>
    </row>
    <row r="2246" spans="6:7">
      <c r="F2246" s="267"/>
      <c r="G2246" s="267"/>
    </row>
    <row r="2247" spans="6:7">
      <c r="F2247" s="267"/>
      <c r="G2247" s="267"/>
    </row>
    <row r="2248" spans="6:7">
      <c r="F2248" s="267"/>
      <c r="G2248" s="267"/>
    </row>
    <row r="2249" spans="6:7">
      <c r="F2249" s="267"/>
      <c r="G2249" s="267"/>
    </row>
    <row r="2250" spans="6:7">
      <c r="F2250" s="267"/>
      <c r="G2250" s="267"/>
    </row>
    <row r="2251" spans="6:7">
      <c r="F2251" s="267"/>
      <c r="G2251" s="267"/>
    </row>
    <row r="2252" spans="6:7">
      <c r="F2252" s="267"/>
      <c r="G2252" s="267"/>
    </row>
    <row r="2253" spans="6:7">
      <c r="F2253" s="267"/>
      <c r="G2253" s="267"/>
    </row>
    <row r="2254" spans="6:7">
      <c r="F2254" s="267"/>
      <c r="G2254" s="267"/>
    </row>
    <row r="2255" spans="6:7">
      <c r="F2255" s="267"/>
      <c r="G2255" s="267"/>
    </row>
    <row r="2256" spans="6:7">
      <c r="F2256" s="267"/>
      <c r="G2256" s="267"/>
    </row>
    <row r="2257" spans="6:7">
      <c r="F2257" s="267"/>
      <c r="G2257" s="267"/>
    </row>
    <row r="2258" spans="6:7">
      <c r="F2258" s="267"/>
      <c r="G2258" s="267"/>
    </row>
    <row r="2259" spans="6:7">
      <c r="F2259" s="267"/>
      <c r="G2259" s="267"/>
    </row>
    <row r="2260" spans="6:7">
      <c r="F2260" s="267"/>
      <c r="G2260" s="267"/>
    </row>
    <row r="2261" spans="6:7">
      <c r="F2261" s="267"/>
      <c r="G2261" s="267"/>
    </row>
    <row r="2262" spans="6:7">
      <c r="F2262" s="267"/>
      <c r="G2262" s="267"/>
    </row>
    <row r="2263" spans="6:7">
      <c r="F2263" s="267"/>
      <c r="G2263" s="267"/>
    </row>
    <row r="2264" spans="6:7">
      <c r="F2264" s="267"/>
      <c r="G2264" s="267"/>
    </row>
    <row r="2265" spans="6:7">
      <c r="F2265" s="267"/>
      <c r="G2265" s="267"/>
    </row>
    <row r="2266" spans="6:7">
      <c r="F2266" s="267"/>
      <c r="G2266" s="267"/>
    </row>
    <row r="2267" spans="6:7">
      <c r="F2267" s="267"/>
      <c r="G2267" s="267"/>
    </row>
    <row r="2268" spans="6:7">
      <c r="F2268" s="267"/>
      <c r="G2268" s="267"/>
    </row>
    <row r="2269" spans="6:7">
      <c r="F2269" s="267"/>
      <c r="G2269" s="267"/>
    </row>
    <row r="2270" spans="6:7">
      <c r="F2270" s="267"/>
      <c r="G2270" s="267"/>
    </row>
    <row r="2271" spans="6:7">
      <c r="F2271" s="267"/>
      <c r="G2271" s="267"/>
    </row>
    <row r="2272" spans="6:7">
      <c r="F2272" s="267"/>
      <c r="G2272" s="267"/>
    </row>
    <row r="2273" spans="6:7">
      <c r="F2273" s="267"/>
      <c r="G2273" s="267"/>
    </row>
    <row r="2274" spans="6:7">
      <c r="F2274" s="267"/>
      <c r="G2274" s="267"/>
    </row>
    <row r="2275" spans="6:7">
      <c r="F2275" s="267"/>
      <c r="G2275" s="267"/>
    </row>
    <row r="2276" spans="6:7">
      <c r="F2276" s="267"/>
      <c r="G2276" s="267"/>
    </row>
    <row r="2277" spans="6:7">
      <c r="F2277" s="267"/>
      <c r="G2277" s="267"/>
    </row>
    <row r="2278" spans="6:7">
      <c r="F2278" s="267"/>
      <c r="G2278" s="267"/>
    </row>
    <row r="2279" spans="6:7">
      <c r="F2279" s="267"/>
      <c r="G2279" s="267"/>
    </row>
    <row r="2280" spans="6:7">
      <c r="F2280" s="267"/>
      <c r="G2280" s="267"/>
    </row>
    <row r="2281" spans="6:7">
      <c r="F2281" s="267"/>
      <c r="G2281" s="267"/>
    </row>
    <row r="2282" spans="6:7">
      <c r="F2282" s="267"/>
      <c r="G2282" s="267"/>
    </row>
    <row r="2283" spans="6:7">
      <c r="F2283" s="267"/>
      <c r="G2283" s="267"/>
    </row>
    <row r="2284" spans="6:7">
      <c r="F2284" s="267"/>
      <c r="G2284" s="267"/>
    </row>
    <row r="2285" spans="6:7">
      <c r="F2285" s="267"/>
      <c r="G2285" s="267"/>
    </row>
    <row r="2286" spans="6:7">
      <c r="F2286" s="267"/>
      <c r="G2286" s="267"/>
    </row>
    <row r="2287" spans="6:7">
      <c r="F2287" s="267"/>
      <c r="G2287" s="267"/>
    </row>
    <row r="2288" spans="6:7">
      <c r="F2288" s="267"/>
      <c r="G2288" s="267"/>
    </row>
    <row r="2289" spans="6:7">
      <c r="F2289" s="267"/>
      <c r="G2289" s="267"/>
    </row>
    <row r="2290" spans="6:7">
      <c r="F2290" s="267"/>
      <c r="G2290" s="267"/>
    </row>
    <row r="2291" spans="6:7">
      <c r="F2291" s="267"/>
      <c r="G2291" s="267"/>
    </row>
    <row r="2292" spans="6:7">
      <c r="F2292" s="267"/>
      <c r="G2292" s="267"/>
    </row>
    <row r="2293" spans="6:7">
      <c r="F2293" s="267"/>
      <c r="G2293" s="267"/>
    </row>
    <row r="2294" spans="6:7">
      <c r="F2294" s="267"/>
      <c r="G2294" s="267"/>
    </row>
    <row r="2295" spans="6:7">
      <c r="F2295" s="267"/>
      <c r="G2295" s="267"/>
    </row>
    <row r="2296" spans="6:7">
      <c r="F2296" s="267"/>
      <c r="G2296" s="267"/>
    </row>
    <row r="2297" spans="6:7">
      <c r="F2297" s="267"/>
      <c r="G2297" s="267"/>
    </row>
    <row r="2298" spans="6:7">
      <c r="F2298" s="267"/>
      <c r="G2298" s="267"/>
    </row>
    <row r="2299" spans="6:7">
      <c r="F2299" s="267"/>
      <c r="G2299" s="267"/>
    </row>
    <row r="2300" spans="6:7">
      <c r="F2300" s="267"/>
      <c r="G2300" s="267"/>
    </row>
    <row r="2301" spans="6:7">
      <c r="F2301" s="267"/>
      <c r="G2301" s="267"/>
    </row>
    <row r="2302" spans="6:7">
      <c r="F2302" s="267"/>
      <c r="G2302" s="267"/>
    </row>
    <row r="2303" spans="6:7">
      <c r="F2303" s="267"/>
      <c r="G2303" s="267"/>
    </row>
    <row r="2304" spans="6:7">
      <c r="F2304" s="267"/>
      <c r="G2304" s="267"/>
    </row>
    <row r="2305" spans="6:7">
      <c r="F2305" s="267"/>
      <c r="G2305" s="267"/>
    </row>
    <row r="2306" spans="6:7">
      <c r="F2306" s="267"/>
      <c r="G2306" s="267"/>
    </row>
    <row r="2307" spans="6:7">
      <c r="F2307" s="267"/>
      <c r="G2307" s="267"/>
    </row>
    <row r="2308" spans="6:7">
      <c r="F2308" s="267"/>
      <c r="G2308" s="267"/>
    </row>
    <row r="2309" spans="6:7">
      <c r="F2309" s="267"/>
      <c r="G2309" s="267"/>
    </row>
    <row r="2310" spans="6:7">
      <c r="F2310" s="267"/>
      <c r="G2310" s="267"/>
    </row>
    <row r="2311" spans="6:7">
      <c r="F2311" s="267"/>
      <c r="G2311" s="267"/>
    </row>
    <row r="2312" spans="6:7">
      <c r="F2312" s="267"/>
      <c r="G2312" s="267"/>
    </row>
    <row r="2313" spans="6:7">
      <c r="F2313" s="267"/>
      <c r="G2313" s="267"/>
    </row>
    <row r="2314" spans="6:7">
      <c r="F2314" s="267"/>
      <c r="G2314" s="267"/>
    </row>
    <row r="2315" spans="6:7">
      <c r="F2315" s="267"/>
      <c r="G2315" s="267"/>
    </row>
    <row r="2316" spans="6:7">
      <c r="F2316" s="267"/>
      <c r="G2316" s="267"/>
    </row>
    <row r="2317" spans="6:7">
      <c r="F2317" s="267"/>
      <c r="G2317" s="267"/>
    </row>
    <row r="2318" spans="6:7">
      <c r="F2318" s="267"/>
      <c r="G2318" s="267"/>
    </row>
    <row r="2319" spans="6:7">
      <c r="F2319" s="267"/>
      <c r="G2319" s="267"/>
    </row>
    <row r="2320" spans="6:7">
      <c r="F2320" s="267"/>
      <c r="G2320" s="267"/>
    </row>
    <row r="2321" spans="6:7">
      <c r="F2321" s="267"/>
      <c r="G2321" s="267"/>
    </row>
    <row r="2322" spans="6:7">
      <c r="F2322" s="267"/>
      <c r="G2322" s="267"/>
    </row>
    <row r="2323" spans="6:7">
      <c r="F2323" s="267"/>
      <c r="G2323" s="267"/>
    </row>
    <row r="2324" spans="6:7">
      <c r="F2324" s="267"/>
      <c r="G2324" s="267"/>
    </row>
    <row r="2325" spans="6:7">
      <c r="F2325" s="267"/>
      <c r="G2325" s="267"/>
    </row>
    <row r="2326" spans="6:7">
      <c r="F2326" s="267"/>
      <c r="G2326" s="267"/>
    </row>
    <row r="2327" spans="6:7">
      <c r="F2327" s="267"/>
      <c r="G2327" s="267"/>
    </row>
    <row r="2328" spans="6:7">
      <c r="F2328" s="267"/>
      <c r="G2328" s="267"/>
    </row>
    <row r="2329" spans="6:7">
      <c r="F2329" s="267"/>
      <c r="G2329" s="267"/>
    </row>
    <row r="2330" spans="6:7">
      <c r="F2330" s="267"/>
      <c r="G2330" s="267"/>
    </row>
    <row r="2331" spans="6:7">
      <c r="F2331" s="267"/>
      <c r="G2331" s="267"/>
    </row>
    <row r="2332" spans="6:7">
      <c r="F2332" s="267"/>
      <c r="G2332" s="267"/>
    </row>
    <row r="2333" spans="6:7">
      <c r="F2333" s="267"/>
      <c r="G2333" s="267"/>
    </row>
    <row r="2334" spans="6:7">
      <c r="F2334" s="267"/>
      <c r="G2334" s="267"/>
    </row>
    <row r="2335" spans="6:7">
      <c r="F2335" s="267"/>
      <c r="G2335" s="267"/>
    </row>
    <row r="2336" spans="6:7">
      <c r="F2336" s="267"/>
      <c r="G2336" s="267"/>
    </row>
    <row r="2337" spans="6:7">
      <c r="F2337" s="267"/>
      <c r="G2337" s="267"/>
    </row>
    <row r="2338" spans="6:7">
      <c r="F2338" s="267"/>
      <c r="G2338" s="267"/>
    </row>
    <row r="2339" spans="6:7">
      <c r="F2339" s="267"/>
      <c r="G2339" s="267"/>
    </row>
    <row r="2340" spans="6:7">
      <c r="F2340" s="267"/>
      <c r="G2340" s="267"/>
    </row>
    <row r="2341" spans="6:7">
      <c r="F2341" s="267"/>
      <c r="G2341" s="267"/>
    </row>
    <row r="2342" spans="6:7">
      <c r="F2342" s="267"/>
      <c r="G2342" s="267"/>
    </row>
    <row r="2343" spans="6:7">
      <c r="F2343" s="267"/>
      <c r="G2343" s="267"/>
    </row>
    <row r="2344" spans="6:7">
      <c r="F2344" s="267"/>
      <c r="G2344" s="267"/>
    </row>
    <row r="2345" spans="6:7">
      <c r="F2345" s="267"/>
      <c r="G2345" s="267"/>
    </row>
    <row r="2346" spans="6:7">
      <c r="F2346" s="267"/>
      <c r="G2346" s="267"/>
    </row>
    <row r="2347" spans="6:7">
      <c r="F2347" s="267"/>
      <c r="G2347" s="267"/>
    </row>
    <row r="2348" spans="6:7">
      <c r="F2348" s="267"/>
      <c r="G2348" s="267"/>
    </row>
    <row r="2349" spans="6:7">
      <c r="F2349" s="267"/>
      <c r="G2349" s="267"/>
    </row>
    <row r="2350" spans="6:7">
      <c r="F2350" s="267"/>
      <c r="G2350" s="267"/>
    </row>
    <row r="2351" spans="6:7">
      <c r="F2351" s="267"/>
      <c r="G2351" s="267"/>
    </row>
    <row r="2352" spans="6:7">
      <c r="F2352" s="267"/>
      <c r="G2352" s="267"/>
    </row>
    <row r="2353" spans="6:7">
      <c r="F2353" s="267"/>
      <c r="G2353" s="267"/>
    </row>
    <row r="2354" spans="6:7">
      <c r="F2354" s="267"/>
      <c r="G2354" s="267"/>
    </row>
    <row r="2355" spans="6:7">
      <c r="F2355" s="267"/>
      <c r="G2355" s="267"/>
    </row>
    <row r="2356" spans="6:7">
      <c r="F2356" s="267"/>
      <c r="G2356" s="267"/>
    </row>
    <row r="2357" spans="6:7">
      <c r="F2357" s="267"/>
      <c r="G2357" s="267"/>
    </row>
    <row r="2358" spans="6:7">
      <c r="F2358" s="267"/>
      <c r="G2358" s="267"/>
    </row>
    <row r="2359" spans="6:7">
      <c r="F2359" s="267"/>
      <c r="G2359" s="267"/>
    </row>
    <row r="2360" spans="6:7">
      <c r="F2360" s="267"/>
      <c r="G2360" s="267"/>
    </row>
    <row r="2361" spans="6:7">
      <c r="F2361" s="267"/>
      <c r="G2361" s="267"/>
    </row>
    <row r="2362" spans="6:7">
      <c r="F2362" s="267"/>
      <c r="G2362" s="267"/>
    </row>
    <row r="2363" spans="6:7">
      <c r="F2363" s="267"/>
      <c r="G2363" s="267"/>
    </row>
    <row r="2364" spans="6:7">
      <c r="F2364" s="267"/>
      <c r="G2364" s="267"/>
    </row>
    <row r="2365" spans="6:7">
      <c r="F2365" s="267"/>
      <c r="G2365" s="267"/>
    </row>
    <row r="2366" spans="6:7">
      <c r="F2366" s="267"/>
      <c r="G2366" s="267"/>
    </row>
    <row r="2367" spans="6:7">
      <c r="F2367" s="267"/>
      <c r="G2367" s="267"/>
    </row>
    <row r="2368" spans="6:7">
      <c r="F2368" s="267"/>
      <c r="G2368" s="267"/>
    </row>
    <row r="2369" spans="6:7">
      <c r="F2369" s="267"/>
      <c r="G2369" s="267"/>
    </row>
    <row r="2370" spans="6:7">
      <c r="F2370" s="267"/>
      <c r="G2370" s="267"/>
    </row>
    <row r="2371" spans="6:7">
      <c r="F2371" s="267"/>
      <c r="G2371" s="267"/>
    </row>
    <row r="2372" spans="6:7">
      <c r="F2372" s="267"/>
      <c r="G2372" s="267"/>
    </row>
    <row r="2373" spans="6:7">
      <c r="F2373" s="267"/>
      <c r="G2373" s="267"/>
    </row>
    <row r="2374" spans="6:7">
      <c r="F2374" s="267"/>
      <c r="G2374" s="267"/>
    </row>
    <row r="2375" spans="6:7">
      <c r="F2375" s="267"/>
      <c r="G2375" s="267"/>
    </row>
    <row r="2376" spans="6:7">
      <c r="F2376" s="267"/>
      <c r="G2376" s="267"/>
    </row>
    <row r="2377" spans="6:7">
      <c r="F2377" s="267"/>
      <c r="G2377" s="267"/>
    </row>
    <row r="2378" spans="6:7">
      <c r="F2378" s="267"/>
      <c r="G2378" s="267"/>
    </row>
    <row r="2379" spans="6:7">
      <c r="F2379" s="267"/>
      <c r="G2379" s="267"/>
    </row>
    <row r="2380" spans="6:7">
      <c r="F2380" s="267"/>
      <c r="G2380" s="267"/>
    </row>
    <row r="2381" spans="6:7">
      <c r="F2381" s="267"/>
      <c r="G2381" s="267"/>
    </row>
    <row r="2382" spans="6:7">
      <c r="F2382" s="267"/>
      <c r="G2382" s="267"/>
    </row>
    <row r="2383" spans="6:7">
      <c r="F2383" s="267"/>
      <c r="G2383" s="267"/>
    </row>
    <row r="2384" spans="6:7">
      <c r="F2384" s="267"/>
      <c r="G2384" s="267"/>
    </row>
    <row r="2385" spans="6:7">
      <c r="F2385" s="267"/>
      <c r="G2385" s="267"/>
    </row>
    <row r="2386" spans="6:7">
      <c r="F2386" s="267"/>
      <c r="G2386" s="267"/>
    </row>
    <row r="2387" spans="6:7">
      <c r="F2387" s="267"/>
      <c r="G2387" s="267"/>
    </row>
    <row r="2388" spans="6:7">
      <c r="F2388" s="267"/>
      <c r="G2388" s="267"/>
    </row>
    <row r="2389" spans="6:7">
      <c r="F2389" s="267"/>
      <c r="G2389" s="267"/>
    </row>
    <row r="2390" spans="6:7">
      <c r="F2390" s="267"/>
      <c r="G2390" s="267"/>
    </row>
    <row r="2391" spans="6:7">
      <c r="F2391" s="267"/>
      <c r="G2391" s="267"/>
    </row>
    <row r="2392" spans="6:7">
      <c r="F2392" s="267"/>
      <c r="G2392" s="267"/>
    </row>
    <row r="2393" spans="6:7">
      <c r="F2393" s="267"/>
      <c r="G2393" s="267"/>
    </row>
    <row r="2394" spans="6:7">
      <c r="F2394" s="267"/>
      <c r="G2394" s="267"/>
    </row>
    <row r="2395" spans="6:7">
      <c r="F2395" s="267"/>
      <c r="G2395" s="267"/>
    </row>
    <row r="2396" spans="6:7">
      <c r="F2396" s="267"/>
      <c r="G2396" s="267"/>
    </row>
    <row r="2397" spans="6:7">
      <c r="F2397" s="267"/>
      <c r="G2397" s="267"/>
    </row>
    <row r="2398" spans="6:7">
      <c r="F2398" s="267"/>
      <c r="G2398" s="267"/>
    </row>
    <row r="2399" spans="6:7">
      <c r="F2399" s="267"/>
      <c r="G2399" s="267"/>
    </row>
    <row r="2400" spans="6:7">
      <c r="F2400" s="267"/>
      <c r="G2400" s="267"/>
    </row>
    <row r="2401" spans="6:7">
      <c r="F2401" s="267"/>
      <c r="G2401" s="267"/>
    </row>
    <row r="2402" spans="6:7">
      <c r="F2402" s="267"/>
      <c r="G2402" s="267"/>
    </row>
    <row r="2403" spans="6:7">
      <c r="F2403" s="267"/>
      <c r="G2403" s="267"/>
    </row>
    <row r="2404" spans="6:7">
      <c r="F2404" s="267"/>
      <c r="G2404" s="267"/>
    </row>
    <row r="2405" spans="6:7">
      <c r="F2405" s="267"/>
      <c r="G2405" s="267"/>
    </row>
    <row r="2406" spans="6:7">
      <c r="F2406" s="267"/>
      <c r="G2406" s="267"/>
    </row>
    <row r="2407" spans="6:7">
      <c r="F2407" s="267"/>
      <c r="G2407" s="267"/>
    </row>
    <row r="2408" spans="6:7">
      <c r="F2408" s="267"/>
      <c r="G2408" s="267"/>
    </row>
    <row r="2409" spans="6:7">
      <c r="F2409" s="267"/>
      <c r="G2409" s="267"/>
    </row>
    <row r="2410" spans="6:7">
      <c r="F2410" s="267"/>
      <c r="G2410" s="267"/>
    </row>
    <row r="2411" spans="6:7">
      <c r="F2411" s="267"/>
      <c r="G2411" s="267"/>
    </row>
    <row r="2412" spans="6:7">
      <c r="F2412" s="267"/>
      <c r="G2412" s="267"/>
    </row>
    <row r="2413" spans="6:7">
      <c r="F2413" s="267"/>
      <c r="G2413" s="267"/>
    </row>
    <row r="2414" spans="6:7">
      <c r="F2414" s="267"/>
      <c r="G2414" s="267"/>
    </row>
    <row r="2415" spans="6:7">
      <c r="F2415" s="267"/>
      <c r="G2415" s="267"/>
    </row>
    <row r="2416" spans="6:7">
      <c r="F2416" s="267"/>
      <c r="G2416" s="267"/>
    </row>
    <row r="2417" spans="6:7">
      <c r="F2417" s="267"/>
      <c r="G2417" s="267"/>
    </row>
    <row r="2418" spans="6:7">
      <c r="F2418" s="267"/>
      <c r="G2418" s="267"/>
    </row>
    <row r="2419" spans="6:7">
      <c r="F2419" s="267"/>
      <c r="G2419" s="267"/>
    </row>
    <row r="2420" spans="6:7">
      <c r="F2420" s="267"/>
      <c r="G2420" s="267"/>
    </row>
    <row r="2421" spans="6:7">
      <c r="F2421" s="267"/>
      <c r="G2421" s="267"/>
    </row>
    <row r="2422" spans="6:7">
      <c r="F2422" s="267"/>
      <c r="G2422" s="267"/>
    </row>
    <row r="2423" spans="6:7">
      <c r="F2423" s="267"/>
      <c r="G2423" s="267"/>
    </row>
    <row r="2424" spans="6:7">
      <c r="F2424" s="267"/>
      <c r="G2424" s="267"/>
    </row>
    <row r="2425" spans="6:7">
      <c r="F2425" s="267"/>
      <c r="G2425" s="267"/>
    </row>
    <row r="2426" spans="6:7">
      <c r="F2426" s="267"/>
      <c r="G2426" s="267"/>
    </row>
    <row r="2427" spans="6:7">
      <c r="F2427" s="267"/>
      <c r="G2427" s="267"/>
    </row>
    <row r="2428" spans="6:7">
      <c r="F2428" s="267"/>
      <c r="G2428" s="267"/>
    </row>
    <row r="2429" spans="6:7">
      <c r="F2429" s="267"/>
      <c r="G2429" s="267"/>
    </row>
    <row r="2430" spans="6:7">
      <c r="F2430" s="267"/>
      <c r="G2430" s="267"/>
    </row>
    <row r="2431" spans="6:7">
      <c r="F2431" s="267"/>
      <c r="G2431" s="267"/>
    </row>
    <row r="2432" spans="6:7">
      <c r="F2432" s="267"/>
      <c r="G2432" s="267"/>
    </row>
    <row r="2433" spans="6:7">
      <c r="F2433" s="267"/>
      <c r="G2433" s="267"/>
    </row>
    <row r="2434" spans="6:7">
      <c r="F2434" s="267"/>
      <c r="G2434" s="267"/>
    </row>
    <row r="2435" spans="6:7">
      <c r="F2435" s="267"/>
      <c r="G2435" s="267"/>
    </row>
    <row r="2436" spans="6:7">
      <c r="F2436" s="267"/>
      <c r="G2436" s="267"/>
    </row>
    <row r="2437" spans="6:7">
      <c r="F2437" s="267"/>
      <c r="G2437" s="267"/>
    </row>
    <row r="2438" spans="6:7">
      <c r="F2438" s="267"/>
      <c r="G2438" s="267"/>
    </row>
    <row r="2439" spans="6:7">
      <c r="F2439" s="267"/>
      <c r="G2439" s="267"/>
    </row>
    <row r="2440" spans="6:7">
      <c r="F2440" s="267"/>
      <c r="G2440" s="267"/>
    </row>
    <row r="2441" spans="6:7">
      <c r="F2441" s="267"/>
      <c r="G2441" s="267"/>
    </row>
    <row r="2442" spans="6:7">
      <c r="F2442" s="267"/>
      <c r="G2442" s="267"/>
    </row>
    <row r="2443" spans="6:7">
      <c r="F2443" s="267"/>
      <c r="G2443" s="267"/>
    </row>
    <row r="2444" spans="6:7">
      <c r="F2444" s="267"/>
      <c r="G2444" s="267"/>
    </row>
    <row r="2445" spans="6:7">
      <c r="F2445" s="267"/>
      <c r="G2445" s="267"/>
    </row>
    <row r="2446" spans="6:7">
      <c r="F2446" s="267"/>
      <c r="G2446" s="267"/>
    </row>
    <row r="2447" spans="6:7">
      <c r="F2447" s="267"/>
      <c r="G2447" s="267"/>
    </row>
    <row r="2448" spans="6:7">
      <c r="F2448" s="267"/>
      <c r="G2448" s="267"/>
    </row>
    <row r="2449" spans="6:7">
      <c r="F2449" s="267"/>
      <c r="G2449" s="267"/>
    </row>
    <row r="2450" spans="6:7">
      <c r="F2450" s="267"/>
      <c r="G2450" s="267"/>
    </row>
    <row r="2451" spans="6:7">
      <c r="F2451" s="267"/>
      <c r="G2451" s="267"/>
    </row>
    <row r="2452" spans="6:7">
      <c r="F2452" s="267"/>
      <c r="G2452" s="267"/>
    </row>
    <row r="2453" spans="6:7">
      <c r="F2453" s="267"/>
      <c r="G2453" s="267"/>
    </row>
    <row r="2454" spans="6:7">
      <c r="F2454" s="267"/>
      <c r="G2454" s="267"/>
    </row>
    <row r="2455" spans="6:7">
      <c r="F2455" s="267"/>
      <c r="G2455" s="267"/>
    </row>
    <row r="2456" spans="6:7">
      <c r="F2456" s="267"/>
      <c r="G2456" s="267"/>
    </row>
    <row r="2457" spans="6:7">
      <c r="F2457" s="267"/>
      <c r="G2457" s="267"/>
    </row>
    <row r="2458" spans="6:7">
      <c r="F2458" s="267"/>
      <c r="G2458" s="267"/>
    </row>
    <row r="2459" spans="6:7">
      <c r="F2459" s="267"/>
      <c r="G2459" s="267"/>
    </row>
    <row r="2460" spans="6:7">
      <c r="F2460" s="267"/>
      <c r="G2460" s="267"/>
    </row>
    <row r="2461" spans="6:7">
      <c r="F2461" s="267"/>
      <c r="G2461" s="267"/>
    </row>
    <row r="2462" spans="6:7">
      <c r="F2462" s="267"/>
      <c r="G2462" s="267"/>
    </row>
    <row r="2463" spans="6:7">
      <c r="F2463" s="267"/>
      <c r="G2463" s="267"/>
    </row>
    <row r="2464" spans="6:7">
      <c r="F2464" s="267"/>
      <c r="G2464" s="267"/>
    </row>
    <row r="2465" spans="6:7">
      <c r="F2465" s="267"/>
      <c r="G2465" s="267"/>
    </row>
    <row r="2466" spans="6:7">
      <c r="F2466" s="267"/>
      <c r="G2466" s="267"/>
    </row>
    <row r="2467" spans="6:7">
      <c r="F2467" s="267"/>
      <c r="G2467" s="267"/>
    </row>
    <row r="2468" spans="6:7">
      <c r="F2468" s="267"/>
      <c r="G2468" s="267"/>
    </row>
    <row r="2469" spans="6:7">
      <c r="F2469" s="267"/>
      <c r="G2469" s="267"/>
    </row>
    <row r="2470" spans="6:7">
      <c r="F2470" s="267"/>
      <c r="G2470" s="267"/>
    </row>
    <row r="2471" spans="6:7">
      <c r="F2471" s="267"/>
      <c r="G2471" s="267"/>
    </row>
    <row r="2472" spans="6:7">
      <c r="F2472" s="267"/>
      <c r="G2472" s="267"/>
    </row>
    <row r="2473" spans="6:7">
      <c r="F2473" s="267"/>
      <c r="G2473" s="267"/>
    </row>
    <row r="2474" spans="6:7">
      <c r="F2474" s="267"/>
      <c r="G2474" s="267"/>
    </row>
    <row r="2475" spans="6:7">
      <c r="F2475" s="267"/>
      <c r="G2475" s="267"/>
    </row>
    <row r="2476" spans="6:7">
      <c r="F2476" s="267"/>
      <c r="G2476" s="267"/>
    </row>
    <row r="2477" spans="6:7">
      <c r="F2477" s="267"/>
      <c r="G2477" s="267"/>
    </row>
    <row r="2478" spans="6:7">
      <c r="F2478" s="267"/>
      <c r="G2478" s="267"/>
    </row>
    <row r="2479" spans="6:7">
      <c r="F2479" s="267"/>
      <c r="G2479" s="267"/>
    </row>
    <row r="2480" spans="6:7">
      <c r="F2480" s="267"/>
      <c r="G2480" s="267"/>
    </row>
    <row r="2481" spans="6:7">
      <c r="F2481" s="267"/>
      <c r="G2481" s="267"/>
    </row>
    <row r="2482" spans="6:7">
      <c r="F2482" s="267"/>
      <c r="G2482" s="267"/>
    </row>
    <row r="2483" spans="6:7">
      <c r="F2483" s="267"/>
      <c r="G2483" s="267"/>
    </row>
    <row r="2484" spans="6:7">
      <c r="F2484" s="267"/>
      <c r="G2484" s="267"/>
    </row>
    <row r="2485" spans="6:7">
      <c r="F2485" s="267"/>
      <c r="G2485" s="267"/>
    </row>
    <row r="2486" spans="6:7">
      <c r="F2486" s="267"/>
      <c r="G2486" s="267"/>
    </row>
    <row r="2487" spans="6:7">
      <c r="F2487" s="267"/>
      <c r="G2487" s="267"/>
    </row>
    <row r="2488" spans="6:7">
      <c r="F2488" s="267"/>
      <c r="G2488" s="267"/>
    </row>
    <row r="2489" spans="6:7">
      <c r="F2489" s="267"/>
      <c r="G2489" s="267"/>
    </row>
    <row r="2490" spans="6:7">
      <c r="F2490" s="267"/>
      <c r="G2490" s="267"/>
    </row>
    <row r="2491" spans="6:7">
      <c r="F2491" s="267"/>
      <c r="G2491" s="267"/>
    </row>
    <row r="2492" spans="6:7">
      <c r="F2492" s="267"/>
      <c r="G2492" s="267"/>
    </row>
    <row r="2493" spans="6:7">
      <c r="F2493" s="267"/>
      <c r="G2493" s="267"/>
    </row>
    <row r="2494" spans="6:7">
      <c r="F2494" s="267"/>
      <c r="G2494" s="267"/>
    </row>
    <row r="2495" spans="6:7">
      <c r="F2495" s="267"/>
      <c r="G2495" s="267"/>
    </row>
    <row r="2496" spans="6:7">
      <c r="F2496" s="267"/>
      <c r="G2496" s="267"/>
    </row>
    <row r="2497" spans="6:7">
      <c r="F2497" s="267"/>
      <c r="G2497" s="267"/>
    </row>
    <row r="2498" spans="6:7">
      <c r="F2498" s="267"/>
      <c r="G2498" s="267"/>
    </row>
    <row r="2499" spans="6:7">
      <c r="F2499" s="267"/>
      <c r="G2499" s="267"/>
    </row>
    <row r="2500" spans="6:7">
      <c r="F2500" s="267"/>
      <c r="G2500" s="267"/>
    </row>
    <row r="2501" spans="6:7">
      <c r="F2501" s="267"/>
      <c r="G2501" s="267"/>
    </row>
    <row r="2502" spans="6:7">
      <c r="F2502" s="267"/>
      <c r="G2502" s="267"/>
    </row>
    <row r="2503" spans="6:7">
      <c r="F2503" s="267"/>
      <c r="G2503" s="267"/>
    </row>
    <row r="2504" spans="6:7">
      <c r="F2504" s="267"/>
      <c r="G2504" s="267"/>
    </row>
    <row r="2505" spans="6:7">
      <c r="F2505" s="267"/>
      <c r="G2505" s="267"/>
    </row>
    <row r="2506" spans="6:7">
      <c r="F2506" s="267"/>
      <c r="G2506" s="267"/>
    </row>
    <row r="2507" spans="6:7">
      <c r="F2507" s="267"/>
      <c r="G2507" s="267"/>
    </row>
    <row r="2508" spans="6:7">
      <c r="F2508" s="267"/>
      <c r="G2508" s="267"/>
    </row>
    <row r="2509" spans="6:7">
      <c r="F2509" s="267"/>
      <c r="G2509" s="267"/>
    </row>
    <row r="2510" spans="6:7">
      <c r="F2510" s="267"/>
      <c r="G2510" s="267"/>
    </row>
    <row r="2511" spans="6:7">
      <c r="F2511" s="267"/>
      <c r="G2511" s="267"/>
    </row>
    <row r="2512" spans="6:7">
      <c r="F2512" s="267"/>
      <c r="G2512" s="267"/>
    </row>
    <row r="2513" spans="6:7">
      <c r="F2513" s="267"/>
      <c r="G2513" s="267"/>
    </row>
    <row r="2514" spans="6:7">
      <c r="F2514" s="267"/>
      <c r="G2514" s="267"/>
    </row>
    <row r="2515" spans="6:7">
      <c r="F2515" s="267"/>
      <c r="G2515" s="267"/>
    </row>
    <row r="2516" spans="6:7">
      <c r="F2516" s="267"/>
      <c r="G2516" s="267"/>
    </row>
    <row r="2517" spans="6:7">
      <c r="F2517" s="267"/>
      <c r="G2517" s="267"/>
    </row>
    <row r="2518" spans="6:7">
      <c r="F2518" s="267"/>
      <c r="G2518" s="267"/>
    </row>
    <row r="2519" spans="6:7">
      <c r="F2519" s="267"/>
      <c r="G2519" s="267"/>
    </row>
    <row r="2520" spans="6:7">
      <c r="F2520" s="267"/>
      <c r="G2520" s="267"/>
    </row>
    <row r="2521" spans="6:7">
      <c r="F2521" s="267"/>
      <c r="G2521" s="267"/>
    </row>
    <row r="2522" spans="6:7">
      <c r="F2522" s="267"/>
      <c r="G2522" s="267"/>
    </row>
    <row r="2523" spans="6:7">
      <c r="F2523" s="267"/>
      <c r="G2523" s="267"/>
    </row>
    <row r="2524" spans="6:7">
      <c r="F2524" s="267"/>
      <c r="G2524" s="267"/>
    </row>
    <row r="2525" spans="6:7">
      <c r="F2525" s="267"/>
      <c r="G2525" s="267"/>
    </row>
    <row r="2526" spans="6:7">
      <c r="F2526" s="267"/>
      <c r="G2526" s="267"/>
    </row>
    <row r="2527" spans="6:7">
      <c r="F2527" s="267"/>
      <c r="G2527" s="267"/>
    </row>
    <row r="2528" spans="6:7">
      <c r="F2528" s="267"/>
      <c r="G2528" s="267"/>
    </row>
    <row r="2529" spans="6:7">
      <c r="F2529" s="267"/>
      <c r="G2529" s="267"/>
    </row>
    <row r="2530" spans="6:7">
      <c r="F2530" s="267"/>
      <c r="G2530" s="267"/>
    </row>
    <row r="2531" spans="6:7">
      <c r="F2531" s="267"/>
      <c r="G2531" s="267"/>
    </row>
    <row r="2532" spans="6:7">
      <c r="F2532" s="267"/>
      <c r="G2532" s="267"/>
    </row>
    <row r="2533" spans="6:7">
      <c r="F2533" s="267"/>
      <c r="G2533" s="267"/>
    </row>
    <row r="2534" spans="6:7">
      <c r="F2534" s="267"/>
      <c r="G2534" s="267"/>
    </row>
    <row r="2535" spans="6:7">
      <c r="F2535" s="267"/>
      <c r="G2535" s="267"/>
    </row>
    <row r="2536" spans="6:7">
      <c r="F2536" s="267"/>
      <c r="G2536" s="267"/>
    </row>
    <row r="2537" spans="6:7">
      <c r="F2537" s="267"/>
      <c r="G2537" s="267"/>
    </row>
    <row r="2538" spans="6:7">
      <c r="F2538" s="267"/>
      <c r="G2538" s="267"/>
    </row>
    <row r="2539" spans="6:7">
      <c r="F2539" s="267"/>
      <c r="G2539" s="267"/>
    </row>
    <row r="2540" spans="6:7">
      <c r="F2540" s="267"/>
      <c r="G2540" s="267"/>
    </row>
    <row r="2541" spans="6:7">
      <c r="F2541" s="267"/>
      <c r="G2541" s="267"/>
    </row>
    <row r="2542" spans="6:7">
      <c r="F2542" s="267"/>
      <c r="G2542" s="267"/>
    </row>
    <row r="2543" spans="6:7">
      <c r="F2543" s="267"/>
      <c r="G2543" s="267"/>
    </row>
    <row r="2544" spans="6:7">
      <c r="F2544" s="267"/>
      <c r="G2544" s="267"/>
    </row>
    <row r="2545" spans="6:7">
      <c r="F2545" s="267"/>
      <c r="G2545" s="267"/>
    </row>
    <row r="2546" spans="6:7">
      <c r="F2546" s="267"/>
      <c r="G2546" s="267"/>
    </row>
    <row r="2547" spans="6:7">
      <c r="F2547" s="267"/>
      <c r="G2547" s="267"/>
    </row>
    <row r="2548" spans="6:7">
      <c r="F2548" s="267"/>
      <c r="G2548" s="267"/>
    </row>
    <row r="2549" spans="6:7">
      <c r="F2549" s="267"/>
      <c r="G2549" s="267"/>
    </row>
    <row r="2550" spans="6:7">
      <c r="F2550" s="267"/>
      <c r="G2550" s="267"/>
    </row>
    <row r="2551" spans="6:7">
      <c r="F2551" s="267"/>
      <c r="G2551" s="267"/>
    </row>
    <row r="2552" spans="6:7">
      <c r="F2552" s="267"/>
      <c r="G2552" s="267"/>
    </row>
    <row r="2553" spans="6:7">
      <c r="F2553" s="267"/>
      <c r="G2553" s="267"/>
    </row>
    <row r="2554" spans="6:7">
      <c r="F2554" s="267"/>
      <c r="G2554" s="267"/>
    </row>
    <row r="2555" spans="6:7">
      <c r="F2555" s="267"/>
      <c r="G2555" s="267"/>
    </row>
    <row r="2556" spans="6:7">
      <c r="F2556" s="267"/>
      <c r="G2556" s="267"/>
    </row>
    <row r="2557" spans="6:7">
      <c r="F2557" s="267"/>
      <c r="G2557" s="267"/>
    </row>
    <row r="2558" spans="6:7">
      <c r="F2558" s="267"/>
      <c r="G2558" s="267"/>
    </row>
    <row r="2559" spans="6:7">
      <c r="F2559" s="267"/>
      <c r="G2559" s="267"/>
    </row>
    <row r="2560" spans="6:7">
      <c r="F2560" s="267"/>
      <c r="G2560" s="267"/>
    </row>
    <row r="2561" spans="6:7">
      <c r="F2561" s="267"/>
      <c r="G2561" s="267"/>
    </row>
    <row r="2562" spans="6:7">
      <c r="F2562" s="267"/>
      <c r="G2562" s="267"/>
    </row>
    <row r="2563" spans="6:7">
      <c r="F2563" s="267"/>
      <c r="G2563" s="267"/>
    </row>
    <row r="2564" spans="6:7">
      <c r="F2564" s="267"/>
      <c r="G2564" s="267"/>
    </row>
    <row r="2565" spans="6:7">
      <c r="F2565" s="267"/>
      <c r="G2565" s="267"/>
    </row>
    <row r="2566" spans="6:7">
      <c r="F2566" s="267"/>
      <c r="G2566" s="267"/>
    </row>
    <row r="2567" spans="6:7">
      <c r="F2567" s="267"/>
      <c r="G2567" s="267"/>
    </row>
    <row r="2568" spans="6:7">
      <c r="F2568" s="267"/>
      <c r="G2568" s="267"/>
    </row>
    <row r="2569" spans="6:7">
      <c r="F2569" s="267"/>
      <c r="G2569" s="267"/>
    </row>
    <row r="2570" spans="6:7">
      <c r="F2570" s="267"/>
      <c r="G2570" s="267"/>
    </row>
    <row r="2571" spans="6:7">
      <c r="F2571" s="267"/>
      <c r="G2571" s="267"/>
    </row>
    <row r="2572" spans="6:7">
      <c r="F2572" s="267"/>
      <c r="G2572" s="267"/>
    </row>
    <row r="2573" spans="6:7">
      <c r="F2573" s="267"/>
      <c r="G2573" s="267"/>
    </row>
    <row r="2574" spans="6:7">
      <c r="F2574" s="267"/>
      <c r="G2574" s="267"/>
    </row>
    <row r="2575" spans="6:7">
      <c r="F2575" s="267"/>
      <c r="G2575" s="267"/>
    </row>
    <row r="2576" spans="6:7">
      <c r="F2576" s="267"/>
      <c r="G2576" s="267"/>
    </row>
    <row r="2577" spans="6:7">
      <c r="F2577" s="267"/>
      <c r="G2577" s="267"/>
    </row>
    <row r="2578" spans="6:7">
      <c r="F2578" s="267"/>
      <c r="G2578" s="267"/>
    </row>
    <row r="2579" spans="6:7">
      <c r="F2579" s="267"/>
      <c r="G2579" s="267"/>
    </row>
    <row r="2580" spans="6:7">
      <c r="F2580" s="267"/>
      <c r="G2580" s="267"/>
    </row>
    <row r="2581" spans="6:7">
      <c r="F2581" s="267"/>
      <c r="G2581" s="267"/>
    </row>
    <row r="2582" spans="6:7">
      <c r="F2582" s="267"/>
      <c r="G2582" s="267"/>
    </row>
    <row r="2583" spans="6:7">
      <c r="F2583" s="267"/>
      <c r="G2583" s="267"/>
    </row>
    <row r="2584" spans="6:7">
      <c r="F2584" s="267"/>
      <c r="G2584" s="267"/>
    </row>
    <row r="2585" spans="6:7">
      <c r="F2585" s="267"/>
      <c r="G2585" s="267"/>
    </row>
    <row r="2586" spans="6:7">
      <c r="F2586" s="267"/>
      <c r="G2586" s="267"/>
    </row>
    <row r="2587" spans="6:7">
      <c r="F2587" s="267"/>
      <c r="G2587" s="267"/>
    </row>
    <row r="2588" spans="6:7">
      <c r="F2588" s="267"/>
      <c r="G2588" s="267"/>
    </row>
    <row r="2589" spans="6:7">
      <c r="F2589" s="267"/>
      <c r="G2589" s="267"/>
    </row>
    <row r="2590" spans="6:7">
      <c r="F2590" s="267"/>
      <c r="G2590" s="267"/>
    </row>
    <row r="2591" spans="6:7">
      <c r="F2591" s="267"/>
      <c r="G2591" s="267"/>
    </row>
    <row r="2592" spans="6:7">
      <c r="F2592" s="267"/>
      <c r="G2592" s="267"/>
    </row>
    <row r="2593" spans="6:7">
      <c r="F2593" s="267"/>
      <c r="G2593" s="267"/>
    </row>
    <row r="2594" spans="6:7">
      <c r="F2594" s="267"/>
      <c r="G2594" s="267"/>
    </row>
    <row r="2595" spans="6:7">
      <c r="F2595" s="267"/>
      <c r="G2595" s="267"/>
    </row>
    <row r="2596" spans="6:7">
      <c r="F2596" s="267"/>
      <c r="G2596" s="267"/>
    </row>
    <row r="2597" spans="6:7">
      <c r="F2597" s="267"/>
      <c r="G2597" s="267"/>
    </row>
    <row r="2598" spans="6:7">
      <c r="F2598" s="267"/>
      <c r="G2598" s="267"/>
    </row>
    <row r="2599" spans="6:7">
      <c r="F2599" s="267"/>
      <c r="G2599" s="267"/>
    </row>
    <row r="2600" spans="6:7">
      <c r="F2600" s="267"/>
      <c r="G2600" s="267"/>
    </row>
    <row r="2601" spans="6:7">
      <c r="F2601" s="267"/>
      <c r="G2601" s="267"/>
    </row>
    <row r="2602" spans="6:7">
      <c r="F2602" s="267"/>
      <c r="G2602" s="267"/>
    </row>
    <row r="2603" spans="6:7">
      <c r="F2603" s="267"/>
      <c r="G2603" s="267"/>
    </row>
    <row r="2604" spans="6:7">
      <c r="F2604" s="267"/>
      <c r="G2604" s="267"/>
    </row>
    <row r="2605" spans="6:7">
      <c r="F2605" s="267"/>
      <c r="G2605" s="267"/>
    </row>
    <row r="2606" spans="6:7">
      <c r="F2606" s="267"/>
      <c r="G2606" s="267"/>
    </row>
    <row r="2607" spans="6:7">
      <c r="F2607" s="267"/>
      <c r="G2607" s="267"/>
    </row>
    <row r="2608" spans="6:7">
      <c r="F2608" s="267"/>
      <c r="G2608" s="267"/>
    </row>
    <row r="2609" spans="6:7">
      <c r="F2609" s="267"/>
      <c r="G2609" s="267"/>
    </row>
    <row r="2610" spans="6:7">
      <c r="F2610" s="267"/>
      <c r="G2610" s="267"/>
    </row>
    <row r="2611" spans="6:7">
      <c r="F2611" s="267"/>
      <c r="G2611" s="267"/>
    </row>
    <row r="2612" spans="6:7">
      <c r="F2612" s="267"/>
      <c r="G2612" s="267"/>
    </row>
    <row r="2613" spans="6:7">
      <c r="F2613" s="267"/>
      <c r="G2613" s="267"/>
    </row>
    <row r="2614" spans="6:7">
      <c r="F2614" s="267"/>
      <c r="G2614" s="267"/>
    </row>
    <row r="2615" spans="6:7">
      <c r="F2615" s="267"/>
      <c r="G2615" s="267"/>
    </row>
    <row r="2616" spans="6:7">
      <c r="F2616" s="267"/>
      <c r="G2616" s="267"/>
    </row>
    <row r="2617" spans="6:7">
      <c r="F2617" s="267"/>
      <c r="G2617" s="267"/>
    </row>
    <row r="2618" spans="6:7">
      <c r="F2618" s="267"/>
      <c r="G2618" s="267"/>
    </row>
    <row r="2619" spans="6:7">
      <c r="F2619" s="267"/>
      <c r="G2619" s="267"/>
    </row>
    <row r="2620" spans="6:7">
      <c r="F2620" s="267"/>
      <c r="G2620" s="267"/>
    </row>
    <row r="2621" spans="6:7">
      <c r="F2621" s="267"/>
      <c r="G2621" s="267"/>
    </row>
    <row r="2622" spans="6:7">
      <c r="F2622" s="267"/>
      <c r="G2622" s="267"/>
    </row>
    <row r="2623" spans="6:7">
      <c r="F2623" s="267"/>
      <c r="G2623" s="267"/>
    </row>
    <row r="2624" spans="6:7">
      <c r="F2624" s="267"/>
      <c r="G2624" s="267"/>
    </row>
    <row r="2625" spans="6:7">
      <c r="F2625" s="267"/>
      <c r="G2625" s="267"/>
    </row>
    <row r="2626" spans="6:7">
      <c r="F2626" s="267"/>
      <c r="G2626" s="267"/>
    </row>
    <row r="2627" spans="6:7">
      <c r="F2627" s="267"/>
      <c r="G2627" s="267"/>
    </row>
    <row r="2628" spans="6:7">
      <c r="F2628" s="267"/>
      <c r="G2628" s="267"/>
    </row>
    <row r="2629" spans="6:7">
      <c r="F2629" s="267"/>
      <c r="G2629" s="267"/>
    </row>
    <row r="2630" spans="6:7">
      <c r="F2630" s="267"/>
      <c r="G2630" s="267"/>
    </row>
    <row r="2631" spans="6:7">
      <c r="F2631" s="267"/>
      <c r="G2631" s="267"/>
    </row>
    <row r="2632" spans="6:7">
      <c r="F2632" s="267"/>
      <c r="G2632" s="267"/>
    </row>
    <row r="2633" spans="6:7">
      <c r="F2633" s="267"/>
      <c r="G2633" s="267"/>
    </row>
    <row r="2634" spans="6:7">
      <c r="F2634" s="267"/>
      <c r="G2634" s="267"/>
    </row>
    <row r="2635" spans="6:7">
      <c r="F2635" s="267"/>
      <c r="G2635" s="267"/>
    </row>
    <row r="2636" spans="6:7">
      <c r="F2636" s="267"/>
      <c r="G2636" s="267"/>
    </row>
    <row r="2637" spans="6:7">
      <c r="F2637" s="267"/>
      <c r="G2637" s="267"/>
    </row>
    <row r="2638" spans="6:7">
      <c r="F2638" s="267"/>
      <c r="G2638" s="267"/>
    </row>
    <row r="2639" spans="6:7">
      <c r="F2639" s="267"/>
      <c r="G2639" s="267"/>
    </row>
    <row r="2640" spans="6:7">
      <c r="F2640" s="267"/>
      <c r="G2640" s="267"/>
    </row>
    <row r="2641" spans="6:7">
      <c r="F2641" s="267"/>
      <c r="G2641" s="267"/>
    </row>
    <row r="2642" spans="6:7">
      <c r="F2642" s="267"/>
      <c r="G2642" s="267"/>
    </row>
    <row r="2643" spans="6:7">
      <c r="F2643" s="267"/>
      <c r="G2643" s="267"/>
    </row>
    <row r="2644" spans="6:7">
      <c r="F2644" s="267"/>
      <c r="G2644" s="267"/>
    </row>
    <row r="2645" spans="6:7">
      <c r="F2645" s="267"/>
      <c r="G2645" s="267"/>
    </row>
    <row r="2646" spans="6:7">
      <c r="F2646" s="267"/>
      <c r="G2646" s="267"/>
    </row>
    <row r="2647" spans="6:7">
      <c r="F2647" s="267"/>
      <c r="G2647" s="267"/>
    </row>
    <row r="2648" spans="6:7">
      <c r="F2648" s="267"/>
      <c r="G2648" s="267"/>
    </row>
    <row r="2649" spans="6:7">
      <c r="F2649" s="267"/>
      <c r="G2649" s="267"/>
    </row>
    <row r="2650" spans="6:7">
      <c r="F2650" s="267"/>
      <c r="G2650" s="267"/>
    </row>
    <row r="2651" spans="6:7">
      <c r="F2651" s="267"/>
      <c r="G2651" s="267"/>
    </row>
    <row r="2652" spans="6:7">
      <c r="F2652" s="267"/>
      <c r="G2652" s="267"/>
    </row>
    <row r="2653" spans="6:7">
      <c r="F2653" s="267"/>
      <c r="G2653" s="267"/>
    </row>
    <row r="2654" spans="6:7">
      <c r="F2654" s="267"/>
      <c r="G2654" s="267"/>
    </row>
    <row r="2655" spans="6:7">
      <c r="F2655" s="267"/>
      <c r="G2655" s="267"/>
    </row>
    <row r="2656" spans="6:7">
      <c r="F2656" s="267"/>
      <c r="G2656" s="267"/>
    </row>
    <row r="2657" spans="6:7">
      <c r="F2657" s="267"/>
      <c r="G2657" s="267"/>
    </row>
    <row r="2658" spans="6:7">
      <c r="F2658" s="267"/>
      <c r="G2658" s="267"/>
    </row>
    <row r="2659" spans="6:7">
      <c r="F2659" s="267"/>
      <c r="G2659" s="267"/>
    </row>
    <row r="2660" spans="6:7">
      <c r="F2660" s="267"/>
      <c r="G2660" s="267"/>
    </row>
    <row r="2661" spans="6:7">
      <c r="F2661" s="267"/>
      <c r="G2661" s="267"/>
    </row>
    <row r="2662" spans="6:7">
      <c r="F2662" s="267"/>
      <c r="G2662" s="267"/>
    </row>
    <row r="2663" spans="6:7">
      <c r="F2663" s="267"/>
      <c r="G2663" s="267"/>
    </row>
    <row r="2664" spans="6:7">
      <c r="F2664" s="267"/>
      <c r="G2664" s="267"/>
    </row>
    <row r="2665" spans="6:7">
      <c r="F2665" s="267"/>
      <c r="G2665" s="267"/>
    </row>
    <row r="2666" spans="6:7">
      <c r="F2666" s="267"/>
      <c r="G2666" s="267"/>
    </row>
    <row r="2667" spans="6:7">
      <c r="F2667" s="267"/>
      <c r="G2667" s="267"/>
    </row>
    <row r="2668" spans="6:7">
      <c r="F2668" s="267"/>
      <c r="G2668" s="267"/>
    </row>
    <row r="2669" spans="6:7">
      <c r="F2669" s="267"/>
      <c r="G2669" s="267"/>
    </row>
    <row r="2670" spans="6:7">
      <c r="F2670" s="267"/>
      <c r="G2670" s="267"/>
    </row>
    <row r="2671" spans="6:7">
      <c r="F2671" s="267"/>
      <c r="G2671" s="267"/>
    </row>
    <row r="2672" spans="6:7">
      <c r="F2672" s="267"/>
      <c r="G2672" s="267"/>
    </row>
    <row r="2673" spans="6:7">
      <c r="F2673" s="267"/>
      <c r="G2673" s="267"/>
    </row>
    <row r="2674" spans="6:7">
      <c r="F2674" s="267"/>
      <c r="G2674" s="267"/>
    </row>
    <row r="2675" spans="6:7">
      <c r="F2675" s="267"/>
      <c r="G2675" s="267"/>
    </row>
    <row r="2676" spans="6:7">
      <c r="F2676" s="267"/>
      <c r="G2676" s="267"/>
    </row>
    <row r="2677" spans="6:7">
      <c r="F2677" s="267"/>
      <c r="G2677" s="267"/>
    </row>
    <row r="2678" spans="6:7">
      <c r="F2678" s="267"/>
      <c r="G2678" s="267"/>
    </row>
    <row r="2679" spans="6:7">
      <c r="F2679" s="267"/>
      <c r="G2679" s="267"/>
    </row>
    <row r="2680" spans="6:7">
      <c r="F2680" s="267"/>
      <c r="G2680" s="267"/>
    </row>
    <row r="2681" spans="6:7">
      <c r="F2681" s="267"/>
      <c r="G2681" s="267"/>
    </row>
    <row r="2682" spans="6:7">
      <c r="F2682" s="267"/>
      <c r="G2682" s="267"/>
    </row>
    <row r="2683" spans="6:7">
      <c r="F2683" s="267"/>
      <c r="G2683" s="267"/>
    </row>
    <row r="2684" spans="6:7">
      <c r="F2684" s="267"/>
      <c r="G2684" s="267"/>
    </row>
    <row r="2685" spans="6:7">
      <c r="F2685" s="267"/>
      <c r="G2685" s="267"/>
    </row>
    <row r="2686" spans="6:7">
      <c r="F2686" s="267"/>
      <c r="G2686" s="267"/>
    </row>
    <row r="2687" spans="6:7">
      <c r="F2687" s="267"/>
      <c r="G2687" s="267"/>
    </row>
    <row r="2688" spans="6:7">
      <c r="F2688" s="267"/>
      <c r="G2688" s="267"/>
    </row>
    <row r="2689" spans="6:7">
      <c r="F2689" s="267"/>
      <c r="G2689" s="267"/>
    </row>
    <row r="2690" spans="6:7">
      <c r="F2690" s="267"/>
      <c r="G2690" s="267"/>
    </row>
    <row r="2691" spans="6:7">
      <c r="F2691" s="267"/>
      <c r="G2691" s="267"/>
    </row>
    <row r="2692" spans="6:7">
      <c r="F2692" s="267"/>
      <c r="G2692" s="267"/>
    </row>
    <row r="2693" spans="6:7">
      <c r="F2693" s="267"/>
      <c r="G2693" s="267"/>
    </row>
    <row r="2694" spans="6:7">
      <c r="F2694" s="267"/>
      <c r="G2694" s="267"/>
    </row>
    <row r="2695" spans="6:7">
      <c r="F2695" s="267"/>
      <c r="G2695" s="267"/>
    </row>
    <row r="2696" spans="6:7">
      <c r="F2696" s="267"/>
      <c r="G2696" s="267"/>
    </row>
    <row r="2697" spans="6:7">
      <c r="F2697" s="267"/>
      <c r="G2697" s="267"/>
    </row>
    <row r="2698" spans="6:7">
      <c r="F2698" s="267"/>
      <c r="G2698" s="267"/>
    </row>
    <row r="2699" spans="6:7">
      <c r="F2699" s="267"/>
      <c r="G2699" s="267"/>
    </row>
    <row r="2700" spans="6:7">
      <c r="F2700" s="267"/>
      <c r="G2700" s="267"/>
    </row>
    <row r="2701" spans="6:7">
      <c r="F2701" s="267"/>
      <c r="G2701" s="267"/>
    </row>
    <row r="2702" spans="6:7">
      <c r="F2702" s="267"/>
      <c r="G2702" s="267"/>
    </row>
    <row r="2703" spans="6:7">
      <c r="F2703" s="267"/>
      <c r="G2703" s="267"/>
    </row>
    <row r="2704" spans="6:7">
      <c r="F2704" s="267"/>
      <c r="G2704" s="267"/>
    </row>
    <row r="2705" spans="6:7">
      <c r="F2705" s="267"/>
      <c r="G2705" s="267"/>
    </row>
    <row r="2706" spans="6:7">
      <c r="F2706" s="267"/>
      <c r="G2706" s="267"/>
    </row>
    <row r="2707" spans="6:7">
      <c r="F2707" s="267"/>
      <c r="G2707" s="267"/>
    </row>
    <row r="2708" spans="6:7">
      <c r="F2708" s="267"/>
      <c r="G2708" s="267"/>
    </row>
    <row r="2709" spans="6:7">
      <c r="F2709" s="267"/>
      <c r="G2709" s="267"/>
    </row>
    <row r="2710" spans="6:7">
      <c r="F2710" s="267"/>
      <c r="G2710" s="267"/>
    </row>
    <row r="2711" spans="6:7">
      <c r="F2711" s="267"/>
      <c r="G2711" s="267"/>
    </row>
    <row r="2712" spans="6:7">
      <c r="F2712" s="267"/>
      <c r="G2712" s="267"/>
    </row>
    <row r="2713" spans="6:7">
      <c r="F2713" s="267"/>
      <c r="G2713" s="267"/>
    </row>
    <row r="2714" spans="6:7">
      <c r="F2714" s="267"/>
      <c r="G2714" s="267"/>
    </row>
    <row r="2715" spans="6:7">
      <c r="F2715" s="267"/>
      <c r="G2715" s="267"/>
    </row>
    <row r="2716" spans="6:7">
      <c r="F2716" s="267"/>
      <c r="G2716" s="267"/>
    </row>
    <row r="2717" spans="6:7">
      <c r="F2717" s="267"/>
      <c r="G2717" s="267"/>
    </row>
    <row r="2718" spans="6:7">
      <c r="F2718" s="267"/>
      <c r="G2718" s="267"/>
    </row>
    <row r="2719" spans="6:7">
      <c r="F2719" s="267"/>
      <c r="G2719" s="267"/>
    </row>
    <row r="2720" spans="6:7">
      <c r="F2720" s="267"/>
      <c r="G2720" s="267"/>
    </row>
    <row r="2721" spans="6:7">
      <c r="F2721" s="267"/>
      <c r="G2721" s="267"/>
    </row>
    <row r="2722" spans="6:7">
      <c r="F2722" s="267"/>
      <c r="G2722" s="267"/>
    </row>
    <row r="2723" spans="6:7">
      <c r="F2723" s="267"/>
      <c r="G2723" s="267"/>
    </row>
    <row r="2724" spans="6:7">
      <c r="F2724" s="267"/>
      <c r="G2724" s="267"/>
    </row>
    <row r="2725" spans="6:7">
      <c r="F2725" s="267"/>
      <c r="G2725" s="267"/>
    </row>
    <row r="2726" spans="6:7">
      <c r="F2726" s="267"/>
      <c r="G2726" s="267"/>
    </row>
    <row r="2727" spans="6:7">
      <c r="F2727" s="267"/>
      <c r="G2727" s="267"/>
    </row>
    <row r="2728" spans="6:7">
      <c r="F2728" s="267"/>
      <c r="G2728" s="267"/>
    </row>
    <row r="2729" spans="6:7">
      <c r="F2729" s="267"/>
      <c r="G2729" s="267"/>
    </row>
    <row r="2730" spans="6:7">
      <c r="F2730" s="267"/>
      <c r="G2730" s="267"/>
    </row>
    <row r="2731" spans="6:7">
      <c r="F2731" s="267"/>
      <c r="G2731" s="267"/>
    </row>
    <row r="2732" spans="6:7">
      <c r="F2732" s="267"/>
      <c r="G2732" s="267"/>
    </row>
    <row r="2733" spans="6:7">
      <c r="F2733" s="267"/>
      <c r="G2733" s="267"/>
    </row>
    <row r="2734" spans="6:7">
      <c r="F2734" s="267"/>
      <c r="G2734" s="267"/>
    </row>
    <row r="2735" spans="6:7">
      <c r="F2735" s="267"/>
      <c r="G2735" s="267"/>
    </row>
    <row r="2736" spans="6:7">
      <c r="F2736" s="267"/>
      <c r="G2736" s="267"/>
    </row>
    <row r="2737" spans="6:7">
      <c r="F2737" s="267"/>
      <c r="G2737" s="267"/>
    </row>
    <row r="2738" spans="6:7">
      <c r="F2738" s="267"/>
      <c r="G2738" s="267"/>
    </row>
    <row r="2739" spans="6:7">
      <c r="F2739" s="267"/>
      <c r="G2739" s="267"/>
    </row>
    <row r="2740" spans="6:7">
      <c r="F2740" s="267"/>
      <c r="G2740" s="267"/>
    </row>
    <row r="2741" spans="6:7">
      <c r="F2741" s="267"/>
      <c r="G2741" s="267"/>
    </row>
    <row r="2742" spans="6:7">
      <c r="F2742" s="267"/>
      <c r="G2742" s="267"/>
    </row>
    <row r="2743" spans="6:7">
      <c r="F2743" s="267"/>
      <c r="G2743" s="267"/>
    </row>
    <row r="2744" spans="6:7">
      <c r="F2744" s="267"/>
      <c r="G2744" s="267"/>
    </row>
    <row r="2745" spans="6:7">
      <c r="F2745" s="267"/>
      <c r="G2745" s="267"/>
    </row>
    <row r="2746" spans="6:7">
      <c r="F2746" s="267"/>
      <c r="G2746" s="267"/>
    </row>
    <row r="2747" spans="6:7">
      <c r="F2747" s="267"/>
      <c r="G2747" s="267"/>
    </row>
    <row r="2748" spans="6:7">
      <c r="F2748" s="267"/>
      <c r="G2748" s="267"/>
    </row>
    <row r="2749" spans="6:7">
      <c r="F2749" s="267"/>
      <c r="G2749" s="267"/>
    </row>
    <row r="2750" spans="6:7">
      <c r="F2750" s="267"/>
      <c r="G2750" s="267"/>
    </row>
    <row r="2751" spans="6:7">
      <c r="F2751" s="267"/>
      <c r="G2751" s="267"/>
    </row>
    <row r="2752" spans="6:7">
      <c r="F2752" s="267"/>
      <c r="G2752" s="267"/>
    </row>
    <row r="2753" spans="6:7">
      <c r="F2753" s="267"/>
      <c r="G2753" s="267"/>
    </row>
    <row r="2754" spans="6:7">
      <c r="F2754" s="267"/>
      <c r="G2754" s="267"/>
    </row>
    <row r="2755" spans="6:7">
      <c r="F2755" s="267"/>
      <c r="G2755" s="267"/>
    </row>
    <row r="2756" spans="6:7">
      <c r="F2756" s="267"/>
      <c r="G2756" s="267"/>
    </row>
    <row r="2757" spans="6:7">
      <c r="F2757" s="267"/>
      <c r="G2757" s="267"/>
    </row>
    <row r="2758" spans="6:7">
      <c r="F2758" s="267"/>
      <c r="G2758" s="267"/>
    </row>
    <row r="2759" spans="6:7">
      <c r="F2759" s="267"/>
      <c r="G2759" s="267"/>
    </row>
    <row r="2760" spans="6:7">
      <c r="F2760" s="267"/>
      <c r="G2760" s="267"/>
    </row>
    <row r="2761" spans="6:7">
      <c r="F2761" s="267"/>
      <c r="G2761" s="267"/>
    </row>
    <row r="2762" spans="6:7">
      <c r="F2762" s="267"/>
      <c r="G2762" s="267"/>
    </row>
    <row r="2763" spans="6:7">
      <c r="F2763" s="267"/>
      <c r="G2763" s="267"/>
    </row>
    <row r="2764" spans="6:7">
      <c r="F2764" s="267"/>
      <c r="G2764" s="267"/>
    </row>
    <row r="2765" spans="6:7">
      <c r="F2765" s="267"/>
      <c r="G2765" s="267"/>
    </row>
    <row r="2766" spans="6:7">
      <c r="F2766" s="267"/>
      <c r="G2766" s="267"/>
    </row>
    <row r="2767" spans="6:7">
      <c r="F2767" s="267"/>
      <c r="G2767" s="267"/>
    </row>
    <row r="2768" spans="6:7">
      <c r="F2768" s="267"/>
      <c r="G2768" s="267"/>
    </row>
    <row r="2769" spans="6:7">
      <c r="F2769" s="267"/>
      <c r="G2769" s="267"/>
    </row>
    <row r="2770" spans="6:7">
      <c r="F2770" s="267"/>
      <c r="G2770" s="267"/>
    </row>
    <row r="2771" spans="6:7">
      <c r="F2771" s="267"/>
      <c r="G2771" s="267"/>
    </row>
    <row r="2772" spans="6:7">
      <c r="F2772" s="267"/>
      <c r="G2772" s="267"/>
    </row>
    <row r="2773" spans="6:7">
      <c r="F2773" s="267"/>
      <c r="G2773" s="267"/>
    </row>
    <row r="2774" spans="6:7">
      <c r="F2774" s="267"/>
      <c r="G2774" s="267"/>
    </row>
    <row r="2775" spans="6:7">
      <c r="F2775" s="267"/>
      <c r="G2775" s="267"/>
    </row>
    <row r="2776" spans="6:7">
      <c r="F2776" s="267"/>
      <c r="G2776" s="267"/>
    </row>
    <row r="2777" spans="6:7">
      <c r="F2777" s="267"/>
      <c r="G2777" s="267"/>
    </row>
    <row r="2778" spans="6:7">
      <c r="F2778" s="267"/>
      <c r="G2778" s="267"/>
    </row>
    <row r="2779" spans="6:7">
      <c r="F2779" s="267"/>
      <c r="G2779" s="267"/>
    </row>
    <row r="2780" spans="6:7">
      <c r="F2780" s="267"/>
      <c r="G2780" s="267"/>
    </row>
    <row r="2781" spans="6:7">
      <c r="F2781" s="267"/>
      <c r="G2781" s="267"/>
    </row>
    <row r="2782" spans="6:7">
      <c r="F2782" s="267"/>
      <c r="G2782" s="267"/>
    </row>
    <row r="2783" spans="6:7">
      <c r="F2783" s="267"/>
      <c r="G2783" s="267"/>
    </row>
    <row r="2784" spans="6:7">
      <c r="F2784" s="267"/>
      <c r="G2784" s="267"/>
    </row>
    <row r="2785" spans="6:7">
      <c r="F2785" s="267"/>
      <c r="G2785" s="267"/>
    </row>
    <row r="2786" spans="6:7">
      <c r="F2786" s="267"/>
      <c r="G2786" s="267"/>
    </row>
    <row r="2787" spans="6:7">
      <c r="F2787" s="267"/>
      <c r="G2787" s="267"/>
    </row>
    <row r="2788" spans="6:7">
      <c r="F2788" s="267"/>
      <c r="G2788" s="267"/>
    </row>
    <row r="2789" spans="6:7">
      <c r="F2789" s="267"/>
      <c r="G2789" s="267"/>
    </row>
    <row r="2790" spans="6:7">
      <c r="F2790" s="267"/>
      <c r="G2790" s="267"/>
    </row>
    <row r="2791" spans="6:7">
      <c r="F2791" s="267"/>
      <c r="G2791" s="267"/>
    </row>
    <row r="2792" spans="6:7">
      <c r="F2792" s="267"/>
      <c r="G2792" s="267"/>
    </row>
    <row r="2793" spans="6:7">
      <c r="F2793" s="267"/>
      <c r="G2793" s="267"/>
    </row>
    <row r="2794" spans="6:7">
      <c r="F2794" s="267"/>
      <c r="G2794" s="267"/>
    </row>
    <row r="2795" spans="6:7">
      <c r="F2795" s="267"/>
      <c r="G2795" s="267"/>
    </row>
    <row r="2796" spans="6:7">
      <c r="F2796" s="267"/>
      <c r="G2796" s="267"/>
    </row>
    <row r="2797" spans="6:7">
      <c r="F2797" s="267"/>
      <c r="G2797" s="267"/>
    </row>
    <row r="2798" spans="6:7">
      <c r="F2798" s="267"/>
      <c r="G2798" s="267"/>
    </row>
    <row r="2799" spans="6:7">
      <c r="F2799" s="267"/>
      <c r="G2799" s="267"/>
    </row>
    <row r="2800" spans="6:7">
      <c r="F2800" s="267"/>
      <c r="G2800" s="267"/>
    </row>
    <row r="2801" spans="6:7">
      <c r="F2801" s="267"/>
      <c r="G2801" s="267"/>
    </row>
    <row r="2802" spans="6:7">
      <c r="F2802" s="267"/>
      <c r="G2802" s="267"/>
    </row>
    <row r="2803" spans="6:7">
      <c r="F2803" s="267"/>
      <c r="G2803" s="267"/>
    </row>
    <row r="2804" spans="6:7">
      <c r="F2804" s="267"/>
      <c r="G2804" s="267"/>
    </row>
    <row r="2805" spans="6:7">
      <c r="F2805" s="267"/>
      <c r="G2805" s="267"/>
    </row>
    <row r="2806" spans="6:7">
      <c r="F2806" s="267"/>
      <c r="G2806" s="267"/>
    </row>
    <row r="2807" spans="6:7">
      <c r="F2807" s="267"/>
      <c r="G2807" s="267"/>
    </row>
    <row r="2808" spans="6:7">
      <c r="F2808" s="267"/>
      <c r="G2808" s="267"/>
    </row>
    <row r="2809" spans="6:7">
      <c r="F2809" s="267"/>
      <c r="G2809" s="267"/>
    </row>
    <row r="2810" spans="6:7">
      <c r="F2810" s="267"/>
      <c r="G2810" s="267"/>
    </row>
    <row r="2811" spans="6:7">
      <c r="F2811" s="267"/>
      <c r="G2811" s="267"/>
    </row>
    <row r="2812" spans="6:7">
      <c r="F2812" s="267"/>
      <c r="G2812" s="267"/>
    </row>
    <row r="2813" spans="6:7">
      <c r="F2813" s="267"/>
      <c r="G2813" s="267"/>
    </row>
    <row r="2814" spans="6:7">
      <c r="F2814" s="267"/>
      <c r="G2814" s="267"/>
    </row>
    <row r="2815" spans="6:7">
      <c r="F2815" s="267"/>
      <c r="G2815" s="267"/>
    </row>
    <row r="2816" spans="6:7">
      <c r="F2816" s="267"/>
      <c r="G2816" s="267"/>
    </row>
    <row r="2817" spans="6:7">
      <c r="F2817" s="267"/>
      <c r="G2817" s="267"/>
    </row>
    <row r="2818" spans="6:7">
      <c r="F2818" s="267"/>
      <c r="G2818" s="267"/>
    </row>
    <row r="2819" spans="6:7">
      <c r="F2819" s="267"/>
      <c r="G2819" s="267"/>
    </row>
    <row r="2820" spans="6:7">
      <c r="F2820" s="267"/>
      <c r="G2820" s="267"/>
    </row>
    <row r="2821" spans="6:7">
      <c r="F2821" s="267"/>
      <c r="G2821" s="267"/>
    </row>
    <row r="2822" spans="6:7">
      <c r="F2822" s="267"/>
      <c r="G2822" s="267"/>
    </row>
    <row r="2823" spans="6:7">
      <c r="F2823" s="267"/>
      <c r="G2823" s="267"/>
    </row>
    <row r="2824" spans="6:7">
      <c r="F2824" s="267"/>
      <c r="G2824" s="267"/>
    </row>
    <row r="2825" spans="6:7">
      <c r="F2825" s="267"/>
      <c r="G2825" s="267"/>
    </row>
    <row r="2826" spans="6:7">
      <c r="F2826" s="267"/>
      <c r="G2826" s="267"/>
    </row>
    <row r="2827" spans="6:7">
      <c r="F2827" s="267"/>
      <c r="G2827" s="267"/>
    </row>
    <row r="2828" spans="6:7">
      <c r="F2828" s="267"/>
      <c r="G2828" s="267"/>
    </row>
    <row r="2829" spans="6:7">
      <c r="F2829" s="267"/>
      <c r="G2829" s="267"/>
    </row>
    <row r="2830" spans="6:7">
      <c r="F2830" s="267"/>
      <c r="G2830" s="267"/>
    </row>
    <row r="2831" spans="6:7">
      <c r="F2831" s="267"/>
      <c r="G2831" s="267"/>
    </row>
    <row r="2832" spans="6:7">
      <c r="F2832" s="267"/>
      <c r="G2832" s="267"/>
    </row>
    <row r="2833" spans="6:7">
      <c r="F2833" s="267"/>
      <c r="G2833" s="267"/>
    </row>
    <row r="2834" spans="6:7">
      <c r="F2834" s="267"/>
      <c r="G2834" s="267"/>
    </row>
    <row r="2835" spans="6:7">
      <c r="F2835" s="267"/>
      <c r="G2835" s="267"/>
    </row>
    <row r="2836" spans="6:7">
      <c r="F2836" s="267"/>
      <c r="G2836" s="267"/>
    </row>
    <row r="2837" spans="6:7">
      <c r="F2837" s="267"/>
      <c r="G2837" s="267"/>
    </row>
    <row r="2838" spans="6:7">
      <c r="F2838" s="267"/>
      <c r="G2838" s="267"/>
    </row>
    <row r="2839" spans="6:7">
      <c r="F2839" s="267"/>
      <c r="G2839" s="267"/>
    </row>
    <row r="2840" spans="6:7">
      <c r="F2840" s="267"/>
      <c r="G2840" s="267"/>
    </row>
    <row r="2841" spans="6:7">
      <c r="F2841" s="267"/>
      <c r="G2841" s="267"/>
    </row>
    <row r="2842" spans="6:7">
      <c r="F2842" s="267"/>
      <c r="G2842" s="267"/>
    </row>
    <row r="2843" spans="6:7">
      <c r="F2843" s="267"/>
      <c r="G2843" s="267"/>
    </row>
    <row r="2844" spans="6:7">
      <c r="F2844" s="267"/>
      <c r="G2844" s="267"/>
    </row>
    <row r="2845" spans="6:7">
      <c r="F2845" s="267"/>
      <c r="G2845" s="267"/>
    </row>
    <row r="2846" spans="6:7">
      <c r="F2846" s="267"/>
      <c r="G2846" s="267"/>
    </row>
    <row r="2847" spans="6:7">
      <c r="F2847" s="267"/>
      <c r="G2847" s="267"/>
    </row>
    <row r="2848" spans="6:7">
      <c r="F2848" s="267"/>
      <c r="G2848" s="267"/>
    </row>
    <row r="2849" spans="6:7">
      <c r="F2849" s="267"/>
      <c r="G2849" s="267"/>
    </row>
    <row r="2850" spans="6:7">
      <c r="F2850" s="267"/>
      <c r="G2850" s="267"/>
    </row>
    <row r="2851" spans="6:7">
      <c r="F2851" s="267"/>
      <c r="G2851" s="267"/>
    </row>
    <row r="2852" spans="6:7">
      <c r="F2852" s="267"/>
      <c r="G2852" s="267"/>
    </row>
    <row r="2853" spans="6:7">
      <c r="F2853" s="267"/>
      <c r="G2853" s="267"/>
    </row>
    <row r="2854" spans="6:7">
      <c r="F2854" s="267"/>
      <c r="G2854" s="267"/>
    </row>
    <row r="2855" spans="6:7">
      <c r="F2855" s="267"/>
      <c r="G2855" s="267"/>
    </row>
    <row r="2856" spans="6:7">
      <c r="F2856" s="267"/>
      <c r="G2856" s="267"/>
    </row>
    <row r="2857" spans="6:7">
      <c r="F2857" s="267"/>
      <c r="G2857" s="267"/>
    </row>
    <row r="2858" spans="6:7">
      <c r="F2858" s="267"/>
      <c r="G2858" s="267"/>
    </row>
    <row r="2859" spans="6:7">
      <c r="F2859" s="267"/>
      <c r="G2859" s="267"/>
    </row>
    <row r="2860" spans="6:7">
      <c r="F2860" s="267"/>
      <c r="G2860" s="267"/>
    </row>
    <row r="2861" spans="6:7">
      <c r="F2861" s="267"/>
      <c r="G2861" s="267"/>
    </row>
    <row r="2862" spans="6:7">
      <c r="F2862" s="267"/>
      <c r="G2862" s="267"/>
    </row>
    <row r="2863" spans="6:7">
      <c r="F2863" s="267"/>
      <c r="G2863" s="267"/>
    </row>
    <row r="2864" spans="6:7">
      <c r="F2864" s="267"/>
      <c r="G2864" s="267"/>
    </row>
    <row r="2865" spans="6:7">
      <c r="F2865" s="267"/>
      <c r="G2865" s="267"/>
    </row>
    <row r="2866" spans="6:7">
      <c r="F2866" s="267"/>
      <c r="G2866" s="267"/>
    </row>
    <row r="2867" spans="6:7">
      <c r="F2867" s="267"/>
      <c r="G2867" s="267"/>
    </row>
    <row r="2868" spans="6:7">
      <c r="F2868" s="267"/>
      <c r="G2868" s="267"/>
    </row>
    <row r="2869" spans="6:7">
      <c r="F2869" s="267"/>
      <c r="G2869" s="267"/>
    </row>
    <row r="2870" spans="6:7">
      <c r="F2870" s="267"/>
      <c r="G2870" s="267"/>
    </row>
    <row r="2871" spans="6:7">
      <c r="F2871" s="267"/>
      <c r="G2871" s="267"/>
    </row>
    <row r="2872" spans="6:7">
      <c r="F2872" s="267"/>
      <c r="G2872" s="267"/>
    </row>
    <row r="2873" spans="6:7">
      <c r="F2873" s="267"/>
      <c r="G2873" s="267"/>
    </row>
    <row r="2874" spans="6:7">
      <c r="F2874" s="267"/>
      <c r="G2874" s="267"/>
    </row>
    <row r="2875" spans="6:7">
      <c r="F2875" s="267"/>
      <c r="G2875" s="267"/>
    </row>
    <row r="2876" spans="6:7">
      <c r="F2876" s="267"/>
      <c r="G2876" s="267"/>
    </row>
    <row r="2877" spans="6:7">
      <c r="F2877" s="267"/>
      <c r="G2877" s="267"/>
    </row>
    <row r="2878" spans="6:7">
      <c r="F2878" s="267"/>
      <c r="G2878" s="267"/>
    </row>
    <row r="2879" spans="6:7">
      <c r="F2879" s="267"/>
      <c r="G2879" s="267"/>
    </row>
    <row r="2880" spans="6:7">
      <c r="F2880" s="267"/>
      <c r="G2880" s="267"/>
    </row>
    <row r="2881" spans="6:7">
      <c r="F2881" s="267"/>
      <c r="G2881" s="267"/>
    </row>
    <row r="2882" spans="6:7">
      <c r="F2882" s="267"/>
      <c r="G2882" s="267"/>
    </row>
    <row r="2883" spans="6:7">
      <c r="F2883" s="267"/>
      <c r="G2883" s="267"/>
    </row>
    <row r="2884" spans="6:7">
      <c r="F2884" s="267"/>
      <c r="G2884" s="267"/>
    </row>
    <row r="2885" spans="6:7">
      <c r="F2885" s="267"/>
      <c r="G2885" s="267"/>
    </row>
    <row r="2886" spans="6:7">
      <c r="F2886" s="267"/>
      <c r="G2886" s="267"/>
    </row>
    <row r="2887" spans="6:7">
      <c r="F2887" s="267"/>
      <c r="G2887" s="267"/>
    </row>
    <row r="2888" spans="6:7">
      <c r="F2888" s="267"/>
      <c r="G2888" s="267"/>
    </row>
    <row r="2889" spans="6:7">
      <c r="F2889" s="267"/>
      <c r="G2889" s="267"/>
    </row>
    <row r="2890" spans="6:7">
      <c r="F2890" s="267"/>
      <c r="G2890" s="267"/>
    </row>
    <row r="2891" spans="6:7">
      <c r="F2891" s="267"/>
      <c r="G2891" s="267"/>
    </row>
    <row r="2892" spans="6:7">
      <c r="F2892" s="267"/>
      <c r="G2892" s="267"/>
    </row>
    <row r="2893" spans="6:7">
      <c r="F2893" s="267"/>
      <c r="G2893" s="267"/>
    </row>
    <row r="2894" spans="6:7">
      <c r="F2894" s="267"/>
      <c r="G2894" s="267"/>
    </row>
    <row r="2895" spans="6:7">
      <c r="F2895" s="267"/>
      <c r="G2895" s="267"/>
    </row>
    <row r="2896" spans="6:7">
      <c r="F2896" s="267"/>
      <c r="G2896" s="267"/>
    </row>
    <row r="2897" spans="6:7">
      <c r="F2897" s="267"/>
      <c r="G2897" s="267"/>
    </row>
    <row r="2898" spans="6:7">
      <c r="F2898" s="267"/>
      <c r="G2898" s="267"/>
    </row>
    <row r="2899" spans="6:7">
      <c r="F2899" s="267"/>
      <c r="G2899" s="267"/>
    </row>
    <row r="2900" spans="6:7">
      <c r="F2900" s="267"/>
      <c r="G2900" s="267"/>
    </row>
    <row r="2901" spans="6:7">
      <c r="F2901" s="267"/>
      <c r="G2901" s="267"/>
    </row>
    <row r="2902" spans="6:7">
      <c r="F2902" s="267"/>
      <c r="G2902" s="267"/>
    </row>
    <row r="2903" spans="6:7">
      <c r="F2903" s="267"/>
      <c r="G2903" s="267"/>
    </row>
    <row r="2904" spans="6:7">
      <c r="F2904" s="267"/>
      <c r="G2904" s="267"/>
    </row>
    <row r="2905" spans="6:7">
      <c r="F2905" s="267"/>
      <c r="G2905" s="267"/>
    </row>
    <row r="2906" spans="6:7">
      <c r="F2906" s="267"/>
      <c r="G2906" s="267"/>
    </row>
    <row r="2907" spans="6:7">
      <c r="F2907" s="267"/>
      <c r="G2907" s="267"/>
    </row>
    <row r="2908" spans="6:7">
      <c r="F2908" s="267"/>
      <c r="G2908" s="267"/>
    </row>
    <row r="2909" spans="6:7">
      <c r="F2909" s="267"/>
      <c r="G2909" s="267"/>
    </row>
    <row r="2910" spans="6:7">
      <c r="F2910" s="267"/>
      <c r="G2910" s="267"/>
    </row>
    <row r="2911" spans="6:7">
      <c r="F2911" s="267"/>
      <c r="G2911" s="267"/>
    </row>
    <row r="2912" spans="6:7">
      <c r="F2912" s="267"/>
      <c r="G2912" s="267"/>
    </row>
    <row r="2913" spans="6:7">
      <c r="F2913" s="267"/>
      <c r="G2913" s="267"/>
    </row>
    <row r="2914" spans="6:7">
      <c r="F2914" s="267"/>
      <c r="G2914" s="267"/>
    </row>
    <row r="2915" spans="6:7">
      <c r="F2915" s="267"/>
      <c r="G2915" s="267"/>
    </row>
    <row r="2916" spans="6:7">
      <c r="F2916" s="267"/>
      <c r="G2916" s="267"/>
    </row>
    <row r="2917" spans="6:7">
      <c r="F2917" s="267"/>
      <c r="G2917" s="267"/>
    </row>
    <row r="2918" spans="6:7">
      <c r="F2918" s="267"/>
      <c r="G2918" s="267"/>
    </row>
    <row r="2919" spans="6:7">
      <c r="F2919" s="267"/>
      <c r="G2919" s="267"/>
    </row>
    <row r="2920" spans="6:7">
      <c r="F2920" s="267"/>
      <c r="G2920" s="267"/>
    </row>
    <row r="2921" spans="6:7">
      <c r="F2921" s="267"/>
      <c r="G2921" s="267"/>
    </row>
    <row r="2922" spans="6:7">
      <c r="F2922" s="267"/>
      <c r="G2922" s="267"/>
    </row>
    <row r="2923" spans="6:7">
      <c r="F2923" s="267"/>
      <c r="G2923" s="267"/>
    </row>
    <row r="2924" spans="6:7">
      <c r="F2924" s="267"/>
      <c r="G2924" s="267"/>
    </row>
    <row r="2925" spans="6:7">
      <c r="F2925" s="267"/>
      <c r="G2925" s="267"/>
    </row>
    <row r="2926" spans="6:7">
      <c r="F2926" s="267"/>
      <c r="G2926" s="267"/>
    </row>
    <row r="2927" spans="6:7">
      <c r="F2927" s="267"/>
      <c r="G2927" s="267"/>
    </row>
    <row r="2928" spans="6:7">
      <c r="F2928" s="267"/>
      <c r="G2928" s="267"/>
    </row>
    <row r="2929" spans="6:7">
      <c r="F2929" s="267"/>
      <c r="G2929" s="267"/>
    </row>
    <row r="2930" spans="6:7">
      <c r="F2930" s="267"/>
      <c r="G2930" s="267"/>
    </row>
    <row r="2931" spans="6:7">
      <c r="F2931" s="267"/>
      <c r="G2931" s="267"/>
    </row>
    <row r="2932" spans="6:7">
      <c r="F2932" s="267"/>
      <c r="G2932" s="267"/>
    </row>
    <row r="2933" spans="6:7">
      <c r="F2933" s="267"/>
      <c r="G2933" s="267"/>
    </row>
    <row r="2934" spans="6:7">
      <c r="F2934" s="267"/>
      <c r="G2934" s="267"/>
    </row>
    <row r="2935" spans="6:7">
      <c r="F2935" s="267"/>
      <c r="G2935" s="267"/>
    </row>
    <row r="2936" spans="6:7">
      <c r="F2936" s="267"/>
      <c r="G2936" s="267"/>
    </row>
    <row r="2937" spans="6:7">
      <c r="F2937" s="267"/>
      <c r="G2937" s="267"/>
    </row>
    <row r="2938" spans="6:7">
      <c r="F2938" s="267"/>
      <c r="G2938" s="267"/>
    </row>
    <row r="2939" spans="6:7">
      <c r="F2939" s="267"/>
      <c r="G2939" s="267"/>
    </row>
    <row r="2940" spans="6:7">
      <c r="F2940" s="267"/>
      <c r="G2940" s="267"/>
    </row>
    <row r="2941" spans="6:7">
      <c r="F2941" s="267"/>
      <c r="G2941" s="267"/>
    </row>
    <row r="2942" spans="6:7">
      <c r="F2942" s="267"/>
      <c r="G2942" s="267"/>
    </row>
    <row r="2943" spans="6:7">
      <c r="F2943" s="267"/>
      <c r="G2943" s="267"/>
    </row>
    <row r="2944" spans="6:7">
      <c r="F2944" s="267"/>
      <c r="G2944" s="267"/>
    </row>
    <row r="2945" spans="6:7">
      <c r="F2945" s="267"/>
      <c r="G2945" s="267"/>
    </row>
    <row r="2946" spans="6:7">
      <c r="F2946" s="267"/>
      <c r="G2946" s="267"/>
    </row>
    <row r="2947" spans="6:7">
      <c r="F2947" s="267"/>
      <c r="G2947" s="267"/>
    </row>
    <row r="2948" spans="6:7">
      <c r="F2948" s="267"/>
      <c r="G2948" s="267"/>
    </row>
    <row r="2949" spans="6:7">
      <c r="F2949" s="267"/>
      <c r="G2949" s="267"/>
    </row>
    <row r="2950" spans="6:7">
      <c r="F2950" s="267"/>
      <c r="G2950" s="267"/>
    </row>
    <row r="2951" spans="6:7">
      <c r="F2951" s="267"/>
      <c r="G2951" s="267"/>
    </row>
    <row r="2952" spans="6:7">
      <c r="F2952" s="267"/>
      <c r="G2952" s="267"/>
    </row>
    <row r="2953" spans="6:7">
      <c r="F2953" s="267"/>
      <c r="G2953" s="267"/>
    </row>
    <row r="2954" spans="6:7">
      <c r="F2954" s="267"/>
      <c r="G2954" s="267"/>
    </row>
    <row r="2955" spans="6:7">
      <c r="F2955" s="267"/>
      <c r="G2955" s="267"/>
    </row>
    <row r="2956" spans="6:7">
      <c r="F2956" s="267"/>
      <c r="G2956" s="267"/>
    </row>
    <row r="2957" spans="6:7">
      <c r="F2957" s="267"/>
      <c r="G2957" s="267"/>
    </row>
    <row r="2958" spans="6:7">
      <c r="F2958" s="267"/>
      <c r="G2958" s="267"/>
    </row>
    <row r="2959" spans="6:7">
      <c r="F2959" s="267"/>
      <c r="G2959" s="267"/>
    </row>
    <row r="2960" spans="6:7">
      <c r="F2960" s="267"/>
      <c r="G2960" s="267"/>
    </row>
    <row r="2961" spans="6:7">
      <c r="F2961" s="267"/>
      <c r="G2961" s="267"/>
    </row>
    <row r="2962" spans="6:7">
      <c r="F2962" s="267"/>
      <c r="G2962" s="267"/>
    </row>
    <row r="2963" spans="6:7">
      <c r="F2963" s="267"/>
      <c r="G2963" s="267"/>
    </row>
    <row r="2964" spans="6:7">
      <c r="F2964" s="267"/>
      <c r="G2964" s="267"/>
    </row>
    <row r="2965" spans="6:7">
      <c r="F2965" s="267"/>
      <c r="G2965" s="267"/>
    </row>
    <row r="2966" spans="6:7">
      <c r="F2966" s="267"/>
      <c r="G2966" s="267"/>
    </row>
    <row r="2967" spans="6:7">
      <c r="F2967" s="267"/>
      <c r="G2967" s="267"/>
    </row>
    <row r="2968" spans="6:7">
      <c r="F2968" s="267"/>
      <c r="G2968" s="267"/>
    </row>
    <row r="2969" spans="6:7">
      <c r="F2969" s="267"/>
      <c r="G2969" s="267"/>
    </row>
    <row r="2970" spans="6:7">
      <c r="F2970" s="267"/>
      <c r="G2970" s="267"/>
    </row>
    <row r="2971" spans="6:7">
      <c r="F2971" s="267"/>
      <c r="G2971" s="267"/>
    </row>
    <row r="2972" spans="6:7">
      <c r="F2972" s="267"/>
      <c r="G2972" s="267"/>
    </row>
    <row r="2973" spans="6:7">
      <c r="F2973" s="267"/>
      <c r="G2973" s="267"/>
    </row>
    <row r="2974" spans="6:7">
      <c r="F2974" s="267"/>
      <c r="G2974" s="267"/>
    </row>
    <row r="2975" spans="6:7">
      <c r="F2975" s="267"/>
      <c r="G2975" s="267"/>
    </row>
    <row r="2976" spans="6:7">
      <c r="F2976" s="267"/>
      <c r="G2976" s="267"/>
    </row>
    <row r="2977" spans="6:7">
      <c r="F2977" s="267"/>
      <c r="G2977" s="267"/>
    </row>
    <row r="2978" spans="6:7">
      <c r="F2978" s="267"/>
      <c r="G2978" s="267"/>
    </row>
    <row r="2979" spans="6:7">
      <c r="F2979" s="267"/>
      <c r="G2979" s="267"/>
    </row>
    <row r="2980" spans="6:7">
      <c r="F2980" s="267"/>
      <c r="G2980" s="267"/>
    </row>
    <row r="2981" spans="6:7">
      <c r="F2981" s="267"/>
      <c r="G2981" s="267"/>
    </row>
    <row r="2982" spans="6:7">
      <c r="F2982" s="267"/>
      <c r="G2982" s="267"/>
    </row>
    <row r="2983" spans="6:7">
      <c r="F2983" s="267"/>
      <c r="G2983" s="267"/>
    </row>
    <row r="2984" spans="6:7">
      <c r="F2984" s="267"/>
      <c r="G2984" s="267"/>
    </row>
    <row r="2985" spans="6:7">
      <c r="F2985" s="267"/>
      <c r="G2985" s="267"/>
    </row>
    <row r="2986" spans="6:7">
      <c r="F2986" s="267"/>
      <c r="G2986" s="267"/>
    </row>
    <row r="2987" spans="6:7">
      <c r="F2987" s="267"/>
      <c r="G2987" s="267"/>
    </row>
    <row r="2988" spans="6:7">
      <c r="F2988" s="267"/>
      <c r="G2988" s="267"/>
    </row>
    <row r="2989" spans="6:7">
      <c r="F2989" s="267"/>
      <c r="G2989" s="267"/>
    </row>
    <row r="2990" spans="6:7">
      <c r="F2990" s="267"/>
      <c r="G2990" s="267"/>
    </row>
    <row r="2991" spans="6:7">
      <c r="F2991" s="267"/>
      <c r="G2991" s="267"/>
    </row>
    <row r="2992" spans="6:7">
      <c r="F2992" s="267"/>
      <c r="G2992" s="267"/>
    </row>
    <row r="2993" spans="6:7">
      <c r="F2993" s="267"/>
      <c r="G2993" s="267"/>
    </row>
    <row r="2994" spans="6:7">
      <c r="F2994" s="267"/>
      <c r="G2994" s="267"/>
    </row>
    <row r="2995" spans="6:7">
      <c r="F2995" s="267"/>
      <c r="G2995" s="267"/>
    </row>
    <row r="2996" spans="6:7">
      <c r="F2996" s="267"/>
      <c r="G2996" s="267"/>
    </row>
    <row r="2997" spans="6:7">
      <c r="F2997" s="267"/>
      <c r="G2997" s="267"/>
    </row>
    <row r="2998" spans="6:7">
      <c r="F2998" s="267"/>
      <c r="G2998" s="267"/>
    </row>
    <row r="2999" spans="6:7">
      <c r="F2999" s="267"/>
      <c r="G2999" s="267"/>
    </row>
    <row r="3000" spans="6:7">
      <c r="F3000" s="267"/>
      <c r="G3000" s="267"/>
    </row>
    <row r="3001" spans="6:7">
      <c r="F3001" s="267"/>
      <c r="G3001" s="267"/>
    </row>
    <row r="3002" spans="6:7">
      <c r="F3002" s="267"/>
      <c r="G3002" s="267"/>
    </row>
    <row r="3003" spans="6:7">
      <c r="F3003" s="267"/>
      <c r="G3003" s="267"/>
    </row>
    <row r="3004" spans="6:7">
      <c r="F3004" s="267"/>
      <c r="G3004" s="267"/>
    </row>
    <row r="3005" spans="6:7">
      <c r="F3005" s="267"/>
      <c r="G3005" s="267"/>
    </row>
    <row r="3006" spans="6:7">
      <c r="F3006" s="267"/>
      <c r="G3006" s="267"/>
    </row>
    <row r="3007" spans="6:7">
      <c r="F3007" s="267"/>
      <c r="G3007" s="267"/>
    </row>
    <row r="3008" spans="6:7">
      <c r="F3008" s="267"/>
      <c r="G3008" s="267"/>
    </row>
    <row r="3009" spans="6:7">
      <c r="F3009" s="267"/>
      <c r="G3009" s="267"/>
    </row>
    <row r="3010" spans="6:7">
      <c r="F3010" s="267"/>
      <c r="G3010" s="267"/>
    </row>
    <row r="3011" spans="6:7">
      <c r="F3011" s="267"/>
      <c r="G3011" s="267"/>
    </row>
    <row r="3012" spans="6:7">
      <c r="F3012" s="267"/>
      <c r="G3012" s="267"/>
    </row>
    <row r="3013" spans="6:7">
      <c r="F3013" s="267"/>
      <c r="G3013" s="267"/>
    </row>
    <row r="3014" spans="6:7">
      <c r="F3014" s="267"/>
      <c r="G3014" s="267"/>
    </row>
    <row r="3015" spans="6:7">
      <c r="F3015" s="267"/>
      <c r="G3015" s="267"/>
    </row>
    <row r="3016" spans="6:7">
      <c r="F3016" s="267"/>
      <c r="G3016" s="267"/>
    </row>
    <row r="3017" spans="6:7">
      <c r="F3017" s="267"/>
      <c r="G3017" s="267"/>
    </row>
    <row r="3018" spans="6:7">
      <c r="F3018" s="267"/>
      <c r="G3018" s="267"/>
    </row>
    <row r="3019" spans="6:7">
      <c r="F3019" s="267"/>
      <c r="G3019" s="267"/>
    </row>
    <row r="3020" spans="6:7">
      <c r="F3020" s="267"/>
      <c r="G3020" s="267"/>
    </row>
    <row r="3021" spans="6:7">
      <c r="F3021" s="267"/>
      <c r="G3021" s="267"/>
    </row>
    <row r="3022" spans="6:7">
      <c r="F3022" s="267"/>
      <c r="G3022" s="267"/>
    </row>
    <row r="3023" spans="6:7">
      <c r="F3023" s="267"/>
      <c r="G3023" s="267"/>
    </row>
    <row r="3024" spans="6:7">
      <c r="F3024" s="267"/>
      <c r="G3024" s="267"/>
    </row>
    <row r="3025" spans="6:7">
      <c r="F3025" s="267"/>
      <c r="G3025" s="267"/>
    </row>
    <row r="3026" spans="6:7">
      <c r="F3026" s="267"/>
      <c r="G3026" s="267"/>
    </row>
    <row r="3027" spans="6:7">
      <c r="F3027" s="267"/>
      <c r="G3027" s="267"/>
    </row>
    <row r="3028" spans="6:7">
      <c r="F3028" s="267"/>
      <c r="G3028" s="267"/>
    </row>
    <row r="3029" spans="6:7">
      <c r="F3029" s="267"/>
      <c r="G3029" s="267"/>
    </row>
    <row r="3030" spans="6:7">
      <c r="F3030" s="267"/>
      <c r="G3030" s="267"/>
    </row>
    <row r="3031" spans="6:7">
      <c r="F3031" s="267"/>
      <c r="G3031" s="267"/>
    </row>
    <row r="3032" spans="6:7">
      <c r="F3032" s="267"/>
      <c r="G3032" s="267"/>
    </row>
    <row r="3033" spans="6:7">
      <c r="F3033" s="267"/>
      <c r="G3033" s="267"/>
    </row>
    <row r="3034" spans="6:7">
      <c r="F3034" s="267"/>
      <c r="G3034" s="267"/>
    </row>
    <row r="3035" spans="6:7">
      <c r="F3035" s="267"/>
      <c r="G3035" s="267"/>
    </row>
    <row r="3036" spans="6:7">
      <c r="F3036" s="267"/>
      <c r="G3036" s="267"/>
    </row>
    <row r="3037" spans="6:7">
      <c r="F3037" s="267"/>
      <c r="G3037" s="267"/>
    </row>
    <row r="3038" spans="6:7">
      <c r="F3038" s="267"/>
      <c r="G3038" s="267"/>
    </row>
    <row r="3039" spans="6:7">
      <c r="F3039" s="267"/>
      <c r="G3039" s="267"/>
    </row>
    <row r="3040" spans="6:7">
      <c r="F3040" s="267"/>
      <c r="G3040" s="267"/>
    </row>
    <row r="3041" spans="6:7">
      <c r="F3041" s="267"/>
      <c r="G3041" s="267"/>
    </row>
    <row r="3042" spans="6:7">
      <c r="F3042" s="267"/>
      <c r="G3042" s="267"/>
    </row>
    <row r="3043" spans="6:7">
      <c r="F3043" s="267"/>
      <c r="G3043" s="267"/>
    </row>
    <row r="3044" spans="6:7">
      <c r="F3044" s="267"/>
      <c r="G3044" s="267"/>
    </row>
    <row r="3045" spans="6:7">
      <c r="F3045" s="267"/>
      <c r="G3045" s="267"/>
    </row>
    <row r="3046" spans="6:7">
      <c r="F3046" s="267"/>
      <c r="G3046" s="267"/>
    </row>
    <row r="3047" spans="6:7">
      <c r="F3047" s="267"/>
      <c r="G3047" s="267"/>
    </row>
    <row r="3048" spans="6:7">
      <c r="F3048" s="267"/>
      <c r="G3048" s="267"/>
    </row>
    <row r="3049" spans="6:7">
      <c r="F3049" s="267"/>
      <c r="G3049" s="267"/>
    </row>
    <row r="3050" spans="6:7">
      <c r="F3050" s="267"/>
      <c r="G3050" s="267"/>
    </row>
    <row r="3051" spans="6:7">
      <c r="F3051" s="267"/>
      <c r="G3051" s="267"/>
    </row>
    <row r="3052" spans="6:7">
      <c r="F3052" s="267"/>
      <c r="G3052" s="267"/>
    </row>
    <row r="3053" spans="6:7">
      <c r="F3053" s="267"/>
      <c r="G3053" s="267"/>
    </row>
    <row r="3054" spans="6:7">
      <c r="F3054" s="267"/>
      <c r="G3054" s="267"/>
    </row>
    <row r="3055" spans="6:7">
      <c r="F3055" s="267"/>
      <c r="G3055" s="267"/>
    </row>
    <row r="3056" spans="6:7">
      <c r="F3056" s="267"/>
      <c r="G3056" s="267"/>
    </row>
    <row r="3057" spans="6:7">
      <c r="F3057" s="267"/>
      <c r="G3057" s="267"/>
    </row>
    <row r="3058" spans="6:7">
      <c r="F3058" s="267"/>
      <c r="G3058" s="267"/>
    </row>
    <row r="3059" spans="6:7">
      <c r="F3059" s="267"/>
      <c r="G3059" s="267"/>
    </row>
    <row r="3060" spans="6:7">
      <c r="F3060" s="267"/>
      <c r="G3060" s="267"/>
    </row>
    <row r="3061" spans="6:7">
      <c r="F3061" s="267"/>
      <c r="G3061" s="267"/>
    </row>
    <row r="3062" spans="6:7">
      <c r="F3062" s="267"/>
      <c r="G3062" s="267"/>
    </row>
    <row r="3063" spans="6:7">
      <c r="F3063" s="267"/>
      <c r="G3063" s="267"/>
    </row>
    <row r="3064" spans="6:7">
      <c r="F3064" s="267"/>
      <c r="G3064" s="267"/>
    </row>
    <row r="3065" spans="6:7">
      <c r="F3065" s="267"/>
      <c r="G3065" s="267"/>
    </row>
    <row r="3066" spans="6:7">
      <c r="F3066" s="267"/>
      <c r="G3066" s="267"/>
    </row>
    <row r="3067" spans="6:7">
      <c r="F3067" s="267"/>
      <c r="G3067" s="267"/>
    </row>
    <row r="3068" spans="6:7">
      <c r="F3068" s="267"/>
      <c r="G3068" s="267"/>
    </row>
    <row r="3069" spans="6:7">
      <c r="F3069" s="267"/>
      <c r="G3069" s="267"/>
    </row>
    <row r="3070" spans="6:7">
      <c r="F3070" s="267"/>
      <c r="G3070" s="267"/>
    </row>
    <row r="3071" spans="6:7">
      <c r="F3071" s="267"/>
      <c r="G3071" s="267"/>
    </row>
    <row r="3072" spans="6:7">
      <c r="F3072" s="267"/>
      <c r="G3072" s="267"/>
    </row>
    <row r="3073" spans="6:7">
      <c r="F3073" s="267"/>
      <c r="G3073" s="267"/>
    </row>
    <row r="3074" spans="6:7">
      <c r="F3074" s="267"/>
      <c r="G3074" s="267"/>
    </row>
    <row r="3075" spans="6:7">
      <c r="F3075" s="267"/>
      <c r="G3075" s="267"/>
    </row>
    <row r="3076" spans="6:7">
      <c r="F3076" s="267"/>
      <c r="G3076" s="267"/>
    </row>
    <row r="3077" spans="6:7">
      <c r="F3077" s="267"/>
      <c r="G3077" s="267"/>
    </row>
    <row r="3078" spans="6:7">
      <c r="F3078" s="267"/>
      <c r="G3078" s="267"/>
    </row>
    <row r="3079" spans="6:7">
      <c r="F3079" s="267"/>
      <c r="G3079" s="267"/>
    </row>
    <row r="3080" spans="6:7">
      <c r="F3080" s="267"/>
      <c r="G3080" s="267"/>
    </row>
    <row r="3081" spans="6:7">
      <c r="F3081" s="267"/>
      <c r="G3081" s="267"/>
    </row>
    <row r="3082" spans="6:7">
      <c r="F3082" s="267"/>
      <c r="G3082" s="267"/>
    </row>
    <row r="3083" spans="6:7">
      <c r="F3083" s="267"/>
      <c r="G3083" s="267"/>
    </row>
    <row r="3084" spans="6:7">
      <c r="F3084" s="267"/>
      <c r="G3084" s="267"/>
    </row>
    <row r="3085" spans="6:7">
      <c r="F3085" s="267"/>
      <c r="G3085" s="267"/>
    </row>
    <row r="3086" spans="6:7">
      <c r="F3086" s="267"/>
      <c r="G3086" s="267"/>
    </row>
    <row r="3087" spans="6:7">
      <c r="F3087" s="267"/>
      <c r="G3087" s="267"/>
    </row>
    <row r="3088" spans="6:7">
      <c r="F3088" s="267"/>
      <c r="G3088" s="267"/>
    </row>
    <row r="3089" spans="6:7">
      <c r="F3089" s="267"/>
      <c r="G3089" s="267"/>
    </row>
    <row r="3090" spans="6:7">
      <c r="F3090" s="267"/>
      <c r="G3090" s="267"/>
    </row>
    <row r="3091" spans="6:7">
      <c r="F3091" s="267"/>
      <c r="G3091" s="267"/>
    </row>
    <row r="3092" spans="6:7">
      <c r="F3092" s="267"/>
      <c r="G3092" s="267"/>
    </row>
    <row r="3093" spans="6:7">
      <c r="F3093" s="267"/>
      <c r="G3093" s="267"/>
    </row>
    <row r="3094" spans="6:7">
      <c r="F3094" s="267"/>
      <c r="G3094" s="267"/>
    </row>
    <row r="3095" spans="6:7">
      <c r="F3095" s="267"/>
      <c r="G3095" s="267"/>
    </row>
    <row r="3096" spans="6:7">
      <c r="F3096" s="267"/>
      <c r="G3096" s="267"/>
    </row>
    <row r="3097" spans="6:7">
      <c r="F3097" s="267"/>
      <c r="G3097" s="267"/>
    </row>
    <row r="3098" spans="6:7">
      <c r="F3098" s="267"/>
      <c r="G3098" s="267"/>
    </row>
    <row r="3099" spans="6:7">
      <c r="F3099" s="267"/>
      <c r="G3099" s="267"/>
    </row>
    <row r="3100" spans="6:7">
      <c r="F3100" s="267"/>
      <c r="G3100" s="267"/>
    </row>
    <row r="3101" spans="6:7">
      <c r="F3101" s="267"/>
      <c r="G3101" s="267"/>
    </row>
    <row r="3102" spans="6:7">
      <c r="F3102" s="267"/>
      <c r="G3102" s="267"/>
    </row>
    <row r="3103" spans="6:7">
      <c r="F3103" s="267"/>
      <c r="G3103" s="267"/>
    </row>
    <row r="3104" spans="6:7">
      <c r="F3104" s="267"/>
      <c r="G3104" s="267"/>
    </row>
    <row r="3105" spans="6:7">
      <c r="F3105" s="267"/>
      <c r="G3105" s="267"/>
    </row>
    <row r="3106" spans="6:7">
      <c r="F3106" s="267"/>
      <c r="G3106" s="267"/>
    </row>
    <row r="3107" spans="6:7">
      <c r="F3107" s="267"/>
      <c r="G3107" s="267"/>
    </row>
    <row r="3108" spans="6:7">
      <c r="F3108" s="267"/>
      <c r="G3108" s="267"/>
    </row>
    <row r="3109" spans="6:7">
      <c r="F3109" s="267"/>
      <c r="G3109" s="267"/>
    </row>
    <row r="3110" spans="6:7">
      <c r="F3110" s="267"/>
      <c r="G3110" s="267"/>
    </row>
    <row r="3111" spans="6:7">
      <c r="F3111" s="267"/>
      <c r="G3111" s="267"/>
    </row>
    <row r="3112" spans="6:7">
      <c r="F3112" s="267"/>
      <c r="G3112" s="267"/>
    </row>
    <row r="3113" spans="6:7">
      <c r="F3113" s="267"/>
      <c r="G3113" s="267"/>
    </row>
    <row r="3114" spans="6:7">
      <c r="F3114" s="267"/>
      <c r="G3114" s="267"/>
    </row>
    <row r="3115" spans="6:7">
      <c r="F3115" s="267"/>
      <c r="G3115" s="267"/>
    </row>
    <row r="3116" spans="6:7">
      <c r="F3116" s="267"/>
      <c r="G3116" s="267"/>
    </row>
    <row r="3117" spans="6:7">
      <c r="F3117" s="267"/>
      <c r="G3117" s="267"/>
    </row>
    <row r="3118" spans="6:7">
      <c r="F3118" s="267"/>
      <c r="G3118" s="267"/>
    </row>
    <row r="3119" spans="6:7">
      <c r="F3119" s="267"/>
      <c r="G3119" s="267"/>
    </row>
    <row r="3120" spans="6:7">
      <c r="F3120" s="267"/>
      <c r="G3120" s="267"/>
    </row>
    <row r="3121" spans="6:7">
      <c r="F3121" s="267"/>
      <c r="G3121" s="267"/>
    </row>
    <row r="3122" spans="6:7">
      <c r="F3122" s="267"/>
      <c r="G3122" s="267"/>
    </row>
    <row r="3123" spans="6:7">
      <c r="F3123" s="267"/>
      <c r="G3123" s="267"/>
    </row>
    <row r="3124" spans="6:7">
      <c r="F3124" s="267"/>
      <c r="G3124" s="267"/>
    </row>
    <row r="3125" spans="6:7">
      <c r="F3125" s="267"/>
      <c r="G3125" s="267"/>
    </row>
    <row r="3126" spans="6:7">
      <c r="F3126" s="267"/>
      <c r="G3126" s="267"/>
    </row>
    <row r="3127" spans="6:7">
      <c r="F3127" s="267"/>
      <c r="G3127" s="267"/>
    </row>
    <row r="3128" spans="6:7">
      <c r="F3128" s="267"/>
      <c r="G3128" s="267"/>
    </row>
    <row r="3129" spans="6:7">
      <c r="F3129" s="267"/>
      <c r="G3129" s="267"/>
    </row>
    <row r="3130" spans="6:7">
      <c r="F3130" s="267"/>
      <c r="G3130" s="267"/>
    </row>
    <row r="3131" spans="6:7">
      <c r="F3131" s="267"/>
      <c r="G3131" s="267"/>
    </row>
    <row r="3132" spans="6:7">
      <c r="F3132" s="267"/>
      <c r="G3132" s="267"/>
    </row>
    <row r="3133" spans="6:7">
      <c r="F3133" s="267"/>
      <c r="G3133" s="267"/>
    </row>
    <row r="3134" spans="6:7">
      <c r="F3134" s="267"/>
      <c r="G3134" s="267"/>
    </row>
    <row r="3135" spans="6:7">
      <c r="F3135" s="267"/>
      <c r="G3135" s="267"/>
    </row>
    <row r="3136" spans="6:7">
      <c r="F3136" s="267"/>
      <c r="G3136" s="267"/>
    </row>
    <row r="3137" spans="6:7">
      <c r="F3137" s="267"/>
      <c r="G3137" s="267"/>
    </row>
    <row r="3138" spans="6:7">
      <c r="F3138" s="267"/>
      <c r="G3138" s="267"/>
    </row>
    <row r="3139" spans="6:7">
      <c r="F3139" s="267"/>
      <c r="G3139" s="267"/>
    </row>
    <row r="3140" spans="6:7">
      <c r="F3140" s="267"/>
      <c r="G3140" s="267"/>
    </row>
    <row r="3141" spans="6:7">
      <c r="F3141" s="267"/>
      <c r="G3141" s="267"/>
    </row>
    <row r="3142" spans="6:7">
      <c r="F3142" s="267"/>
      <c r="G3142" s="267"/>
    </row>
    <row r="3143" spans="6:7">
      <c r="F3143" s="267"/>
      <c r="G3143" s="267"/>
    </row>
    <row r="3144" spans="6:7">
      <c r="F3144" s="267"/>
      <c r="G3144" s="267"/>
    </row>
    <row r="3145" spans="6:7">
      <c r="F3145" s="267"/>
      <c r="G3145" s="267"/>
    </row>
    <row r="3146" spans="6:7">
      <c r="F3146" s="267"/>
      <c r="G3146" s="267"/>
    </row>
    <row r="3147" spans="6:7">
      <c r="F3147" s="267"/>
      <c r="G3147" s="267"/>
    </row>
    <row r="3148" spans="6:7">
      <c r="F3148" s="267"/>
      <c r="G3148" s="267"/>
    </row>
    <row r="3149" spans="6:7">
      <c r="F3149" s="267"/>
      <c r="G3149" s="267"/>
    </row>
    <row r="3150" spans="6:7">
      <c r="F3150" s="267"/>
      <c r="G3150" s="267"/>
    </row>
    <row r="3151" spans="6:7">
      <c r="F3151" s="267"/>
      <c r="G3151" s="267"/>
    </row>
    <row r="3152" spans="6:7">
      <c r="F3152" s="267"/>
      <c r="G3152" s="267"/>
    </row>
    <row r="3153" spans="6:7">
      <c r="F3153" s="267"/>
      <c r="G3153" s="267"/>
    </row>
    <row r="3154" spans="6:7">
      <c r="F3154" s="267"/>
      <c r="G3154" s="267"/>
    </row>
    <row r="3155" spans="6:7">
      <c r="F3155" s="267"/>
      <c r="G3155" s="267"/>
    </row>
    <row r="3156" spans="6:7">
      <c r="F3156" s="267"/>
      <c r="G3156" s="267"/>
    </row>
    <row r="3157" spans="6:7">
      <c r="F3157" s="267"/>
      <c r="G3157" s="267"/>
    </row>
    <row r="3158" spans="6:7">
      <c r="F3158" s="267"/>
      <c r="G3158" s="267"/>
    </row>
    <row r="3159" spans="6:7">
      <c r="F3159" s="267"/>
      <c r="G3159" s="267"/>
    </row>
    <row r="3160" spans="6:7">
      <c r="F3160" s="267"/>
      <c r="G3160" s="267"/>
    </row>
    <row r="3161" spans="6:7">
      <c r="F3161" s="267"/>
      <c r="G3161" s="267"/>
    </row>
    <row r="3162" spans="6:7">
      <c r="F3162" s="267"/>
      <c r="G3162" s="267"/>
    </row>
    <row r="3163" spans="6:7">
      <c r="F3163" s="267"/>
      <c r="G3163" s="267"/>
    </row>
    <row r="3164" spans="6:7">
      <c r="F3164" s="267"/>
      <c r="G3164" s="267"/>
    </row>
    <row r="3165" spans="6:7">
      <c r="F3165" s="267"/>
      <c r="G3165" s="267"/>
    </row>
    <row r="3166" spans="6:7">
      <c r="F3166" s="267"/>
      <c r="G3166" s="267"/>
    </row>
    <row r="3167" spans="6:7">
      <c r="F3167" s="267"/>
      <c r="G3167" s="267"/>
    </row>
    <row r="3168" spans="6:7">
      <c r="F3168" s="267"/>
      <c r="G3168" s="267"/>
    </row>
    <row r="3169" spans="6:7">
      <c r="F3169" s="267"/>
      <c r="G3169" s="267"/>
    </row>
    <row r="3170" spans="6:7">
      <c r="F3170" s="267"/>
      <c r="G3170" s="267"/>
    </row>
    <row r="3171" spans="6:7">
      <c r="F3171" s="267"/>
      <c r="G3171" s="267"/>
    </row>
    <row r="3172" spans="6:7">
      <c r="F3172" s="267"/>
      <c r="G3172" s="267"/>
    </row>
    <row r="3173" spans="6:7">
      <c r="F3173" s="267"/>
      <c r="G3173" s="267"/>
    </row>
    <row r="3174" spans="6:7">
      <c r="F3174" s="267"/>
      <c r="G3174" s="267"/>
    </row>
    <row r="3175" spans="6:7">
      <c r="F3175" s="267"/>
      <c r="G3175" s="267"/>
    </row>
    <row r="3176" spans="6:7">
      <c r="F3176" s="267"/>
      <c r="G3176" s="267"/>
    </row>
    <row r="3177" spans="6:7">
      <c r="F3177" s="267"/>
      <c r="G3177" s="267"/>
    </row>
    <row r="3178" spans="6:7">
      <c r="F3178" s="267"/>
      <c r="G3178" s="267"/>
    </row>
    <row r="3179" spans="6:7">
      <c r="F3179" s="267"/>
      <c r="G3179" s="267"/>
    </row>
    <row r="3180" spans="6:7">
      <c r="F3180" s="267"/>
      <c r="G3180" s="267"/>
    </row>
    <row r="3181" spans="6:7">
      <c r="F3181" s="267"/>
      <c r="G3181" s="267"/>
    </row>
    <row r="3182" spans="6:7">
      <c r="F3182" s="267"/>
      <c r="G3182" s="267"/>
    </row>
    <row r="3183" spans="6:7">
      <c r="F3183" s="267"/>
      <c r="G3183" s="267"/>
    </row>
    <row r="3184" spans="6:7">
      <c r="F3184" s="267"/>
      <c r="G3184" s="267"/>
    </row>
    <row r="3185" spans="6:7">
      <c r="F3185" s="267"/>
      <c r="G3185" s="267"/>
    </row>
    <row r="3186" spans="6:7">
      <c r="F3186" s="267"/>
      <c r="G3186" s="267"/>
    </row>
    <row r="3187" spans="6:7">
      <c r="F3187" s="267"/>
      <c r="G3187" s="267"/>
    </row>
    <row r="3188" spans="6:7">
      <c r="F3188" s="267"/>
      <c r="G3188" s="267"/>
    </row>
    <row r="3189" spans="6:7">
      <c r="F3189" s="267"/>
      <c r="G3189" s="267"/>
    </row>
    <row r="3190" spans="6:7">
      <c r="F3190" s="267"/>
      <c r="G3190" s="267"/>
    </row>
    <row r="3191" spans="6:7">
      <c r="F3191" s="267"/>
      <c r="G3191" s="267"/>
    </row>
    <row r="3192" spans="6:7">
      <c r="F3192" s="267"/>
      <c r="G3192" s="267"/>
    </row>
    <row r="3193" spans="6:7">
      <c r="F3193" s="267"/>
      <c r="G3193" s="267"/>
    </row>
    <row r="3194" spans="6:7">
      <c r="F3194" s="267"/>
      <c r="G3194" s="267"/>
    </row>
    <row r="3195" spans="6:7">
      <c r="F3195" s="267"/>
      <c r="G3195" s="267"/>
    </row>
    <row r="3196" spans="6:7">
      <c r="F3196" s="267"/>
      <c r="G3196" s="267"/>
    </row>
    <row r="3197" spans="6:7">
      <c r="F3197" s="267"/>
      <c r="G3197" s="267"/>
    </row>
    <row r="3198" spans="6:7">
      <c r="F3198" s="267"/>
      <c r="G3198" s="267"/>
    </row>
    <row r="3199" spans="6:7">
      <c r="F3199" s="267"/>
      <c r="G3199" s="267"/>
    </row>
    <row r="3200" spans="6:7">
      <c r="F3200" s="267"/>
      <c r="G3200" s="267"/>
    </row>
    <row r="3201" spans="6:7">
      <c r="F3201" s="267"/>
      <c r="G3201" s="267"/>
    </row>
    <row r="3202" spans="6:7">
      <c r="F3202" s="267"/>
      <c r="G3202" s="267"/>
    </row>
    <row r="3203" spans="6:7">
      <c r="F3203" s="267"/>
      <c r="G3203" s="267"/>
    </row>
    <row r="3204" spans="6:7">
      <c r="F3204" s="267"/>
      <c r="G3204" s="267"/>
    </row>
    <row r="3205" spans="6:7">
      <c r="F3205" s="267"/>
      <c r="G3205" s="267"/>
    </row>
    <row r="3206" spans="6:7">
      <c r="F3206" s="267"/>
      <c r="G3206" s="267"/>
    </row>
    <row r="3207" spans="6:7">
      <c r="F3207" s="267"/>
      <c r="G3207" s="267"/>
    </row>
    <row r="3208" spans="6:7">
      <c r="F3208" s="267"/>
      <c r="G3208" s="267"/>
    </row>
    <row r="3209" spans="6:7">
      <c r="F3209" s="267"/>
      <c r="G3209" s="267"/>
    </row>
    <row r="3210" spans="6:7">
      <c r="F3210" s="267"/>
      <c r="G3210" s="267"/>
    </row>
    <row r="3211" spans="6:7">
      <c r="F3211" s="267"/>
      <c r="G3211" s="267"/>
    </row>
    <row r="3212" spans="6:7">
      <c r="F3212" s="267"/>
      <c r="G3212" s="267"/>
    </row>
    <row r="3213" spans="6:7">
      <c r="F3213" s="267"/>
      <c r="G3213" s="267"/>
    </row>
    <row r="3214" spans="6:7">
      <c r="F3214" s="267"/>
      <c r="G3214" s="267"/>
    </row>
    <row r="3215" spans="6:7">
      <c r="F3215" s="267"/>
      <c r="G3215" s="267"/>
    </row>
    <row r="3216" spans="6:7">
      <c r="F3216" s="267"/>
      <c r="G3216" s="267"/>
    </row>
    <row r="3217" spans="6:7">
      <c r="F3217" s="267"/>
      <c r="G3217" s="267"/>
    </row>
    <row r="3218" spans="6:7">
      <c r="F3218" s="267"/>
      <c r="G3218" s="267"/>
    </row>
    <row r="3219" spans="6:7">
      <c r="F3219" s="267"/>
      <c r="G3219" s="267"/>
    </row>
    <row r="3220" spans="6:7">
      <c r="F3220" s="267"/>
      <c r="G3220" s="267"/>
    </row>
    <row r="3221" spans="6:7">
      <c r="F3221" s="267"/>
      <c r="G3221" s="267"/>
    </row>
    <row r="3222" spans="6:7">
      <c r="F3222" s="267"/>
      <c r="G3222" s="267"/>
    </row>
    <row r="3223" spans="6:7">
      <c r="F3223" s="267"/>
      <c r="G3223" s="267"/>
    </row>
    <row r="3224" spans="6:7">
      <c r="F3224" s="267"/>
      <c r="G3224" s="267"/>
    </row>
    <row r="3225" spans="6:7">
      <c r="F3225" s="267"/>
      <c r="G3225" s="267"/>
    </row>
    <row r="3226" spans="6:7">
      <c r="F3226" s="267"/>
      <c r="G3226" s="267"/>
    </row>
    <row r="3227" spans="6:7">
      <c r="F3227" s="267"/>
      <c r="G3227" s="267"/>
    </row>
    <row r="3228" spans="6:7">
      <c r="F3228" s="267"/>
      <c r="G3228" s="267"/>
    </row>
    <row r="3229" spans="6:7">
      <c r="F3229" s="267"/>
      <c r="G3229" s="267"/>
    </row>
    <row r="3230" spans="6:7">
      <c r="F3230" s="267"/>
      <c r="G3230" s="267"/>
    </row>
    <row r="3231" spans="6:7">
      <c r="F3231" s="267"/>
      <c r="G3231" s="267"/>
    </row>
    <row r="3232" spans="6:7">
      <c r="F3232" s="267"/>
      <c r="G3232" s="267"/>
    </row>
    <row r="3233" spans="6:7">
      <c r="F3233" s="267"/>
      <c r="G3233" s="267"/>
    </row>
    <row r="3234" spans="6:7">
      <c r="F3234" s="267"/>
      <c r="G3234" s="267"/>
    </row>
    <row r="3235" spans="6:7">
      <c r="F3235" s="267"/>
      <c r="G3235" s="267"/>
    </row>
    <row r="3236" spans="6:7">
      <c r="F3236" s="267"/>
      <c r="G3236" s="267"/>
    </row>
    <row r="3237" spans="6:7">
      <c r="F3237" s="267"/>
      <c r="G3237" s="267"/>
    </row>
    <row r="3238" spans="6:7">
      <c r="F3238" s="267"/>
      <c r="G3238" s="267"/>
    </row>
    <row r="3239" spans="6:7">
      <c r="F3239" s="267"/>
      <c r="G3239" s="267"/>
    </row>
    <row r="3240" spans="6:7">
      <c r="F3240" s="267"/>
      <c r="G3240" s="267"/>
    </row>
    <row r="3241" spans="6:7">
      <c r="F3241" s="267"/>
      <c r="G3241" s="267"/>
    </row>
    <row r="3242" spans="6:7">
      <c r="F3242" s="267"/>
      <c r="G3242" s="267"/>
    </row>
    <row r="3243" spans="6:7">
      <c r="F3243" s="267"/>
      <c r="G3243" s="267"/>
    </row>
    <row r="3244" spans="6:7">
      <c r="F3244" s="267"/>
      <c r="G3244" s="267"/>
    </row>
    <row r="3245" spans="6:7">
      <c r="F3245" s="267"/>
      <c r="G3245" s="267"/>
    </row>
    <row r="3246" spans="6:7">
      <c r="F3246" s="267"/>
      <c r="G3246" s="267"/>
    </row>
    <row r="3247" spans="6:7">
      <c r="F3247" s="267"/>
      <c r="G3247" s="267"/>
    </row>
    <row r="3248" spans="6:7">
      <c r="F3248" s="267"/>
      <c r="G3248" s="267"/>
    </row>
    <row r="3249" spans="6:7">
      <c r="F3249" s="267"/>
      <c r="G3249" s="267"/>
    </row>
    <row r="3250" spans="6:7">
      <c r="F3250" s="267"/>
      <c r="G3250" s="267"/>
    </row>
    <row r="3251" spans="6:7">
      <c r="F3251" s="267"/>
      <c r="G3251" s="267"/>
    </row>
    <row r="3252" spans="6:7">
      <c r="F3252" s="267"/>
      <c r="G3252" s="267"/>
    </row>
    <row r="3253" spans="6:7">
      <c r="F3253" s="267"/>
      <c r="G3253" s="267"/>
    </row>
    <row r="3254" spans="6:7">
      <c r="F3254" s="267"/>
      <c r="G3254" s="267"/>
    </row>
    <row r="3255" spans="6:7">
      <c r="F3255" s="267"/>
      <c r="G3255" s="267"/>
    </row>
    <row r="3256" spans="6:7">
      <c r="F3256" s="267"/>
      <c r="G3256" s="267"/>
    </row>
    <row r="3257" spans="6:7">
      <c r="F3257" s="267"/>
      <c r="G3257" s="267"/>
    </row>
    <row r="3258" spans="6:7">
      <c r="F3258" s="267"/>
      <c r="G3258" s="267"/>
    </row>
    <row r="3259" spans="6:7">
      <c r="F3259" s="267"/>
      <c r="G3259" s="267"/>
    </row>
    <row r="3260" spans="6:7">
      <c r="F3260" s="267"/>
      <c r="G3260" s="267"/>
    </row>
    <row r="3261" spans="6:7">
      <c r="F3261" s="267"/>
      <c r="G3261" s="267"/>
    </row>
    <row r="3262" spans="6:7">
      <c r="F3262" s="267"/>
      <c r="G3262" s="267"/>
    </row>
    <row r="3263" spans="6:7">
      <c r="F3263" s="267"/>
      <c r="G3263" s="267"/>
    </row>
    <row r="3264" spans="6:7">
      <c r="F3264" s="267"/>
      <c r="G3264" s="267"/>
    </row>
    <row r="3265" spans="6:7">
      <c r="F3265" s="267"/>
      <c r="G3265" s="267"/>
    </row>
    <row r="3266" spans="6:7">
      <c r="F3266" s="267"/>
      <c r="G3266" s="267"/>
    </row>
    <row r="3267" spans="6:7">
      <c r="F3267" s="267"/>
      <c r="G3267" s="267"/>
    </row>
    <row r="3268" spans="6:7">
      <c r="F3268" s="267"/>
      <c r="G3268" s="267"/>
    </row>
    <row r="3269" spans="6:7">
      <c r="F3269" s="267"/>
      <c r="G3269" s="267"/>
    </row>
    <row r="3270" spans="6:7">
      <c r="F3270" s="267"/>
      <c r="G3270" s="267"/>
    </row>
    <row r="3271" spans="6:7">
      <c r="F3271" s="267"/>
      <c r="G3271" s="267"/>
    </row>
    <row r="3272" spans="6:7">
      <c r="F3272" s="267"/>
      <c r="G3272" s="267"/>
    </row>
    <row r="3273" spans="6:7">
      <c r="F3273" s="267"/>
      <c r="G3273" s="267"/>
    </row>
    <row r="3274" spans="6:7">
      <c r="F3274" s="267"/>
      <c r="G3274" s="267"/>
    </row>
    <row r="3275" spans="6:7">
      <c r="F3275" s="267"/>
      <c r="G3275" s="267"/>
    </row>
    <row r="3276" spans="6:7">
      <c r="F3276" s="267"/>
      <c r="G3276" s="267"/>
    </row>
    <row r="3277" spans="6:7">
      <c r="F3277" s="267"/>
      <c r="G3277" s="267"/>
    </row>
    <row r="3278" spans="6:7">
      <c r="F3278" s="267"/>
      <c r="G3278" s="267"/>
    </row>
    <row r="3279" spans="6:7">
      <c r="F3279" s="267"/>
      <c r="G3279" s="267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3D87E-3ABB-4E16-B15A-FC03A4E4D8C0}">
  <sheetPr codeName="Tabelle18"/>
  <dimension ref="A1:G1890"/>
  <sheetViews>
    <sheetView topLeftCell="A460" workbookViewId="0">
      <selection activeCell="C471" sqref="C471"/>
    </sheetView>
  </sheetViews>
  <sheetFormatPr baseColWidth="10" defaultRowHeight="13.5"/>
  <cols>
    <col min="1" max="1" width="6.875" bestFit="1" customWidth="1"/>
    <col min="2" max="2" width="6.125" bestFit="1" customWidth="1"/>
    <col min="3" max="3" width="19.625" customWidth="1"/>
    <col min="4" max="4" width="11.75" bestFit="1" customWidth="1"/>
    <col min="5" max="5" width="6.375" bestFit="1" customWidth="1"/>
    <col min="6" max="6" width="9.375" bestFit="1" customWidth="1"/>
    <col min="7" max="7" width="11.875" bestFit="1" customWidth="1"/>
  </cols>
  <sheetData>
    <row r="1" spans="1:7">
      <c r="A1" t="s">
        <v>220</v>
      </c>
      <c r="B1" t="s">
        <v>355</v>
      </c>
      <c r="C1" t="s">
        <v>356</v>
      </c>
      <c r="D1" t="s">
        <v>358</v>
      </c>
      <c r="E1" t="s">
        <v>361</v>
      </c>
      <c r="F1" t="s">
        <v>359</v>
      </c>
      <c r="G1" t="s">
        <v>360</v>
      </c>
    </row>
    <row r="2" spans="1:7">
      <c r="A2">
        <f>'2020_5-2-2_Download'!B10</f>
        <v>101</v>
      </c>
      <c r="B2">
        <f>'2020_5-2-2_Download'!$D$5</f>
        <v>2020</v>
      </c>
      <c r="C2" t="str">
        <f>VLOOKUP(A1406,[1]Tabelle1!$A$1:$B$68,2,FALSE)</f>
        <v>Braunschweig  Stadt</v>
      </c>
      <c r="D2" t="str">
        <f>'2020_5-2-2_Download'!$G$7</f>
        <v>hoch</v>
      </c>
      <c r="E2" t="s">
        <v>362</v>
      </c>
      <c r="F2" t="str">
        <f>VLOOKUP(A1406,[2]Kreise!$A$2:$C$53,3,FALSE)</f>
        <v>K03101</v>
      </c>
      <c r="G2">
        <f>'2020_5-2-2_Download'!G10</f>
        <v>24.911186205701412</v>
      </c>
    </row>
    <row r="3" spans="1:7">
      <c r="A3">
        <f>'2020_5-2-2_Download'!B11</f>
        <v>102</v>
      </c>
      <c r="B3">
        <f>'2020_5-2-2_Download'!$D$5</f>
        <v>2020</v>
      </c>
      <c r="C3" t="str">
        <f>VLOOKUP(A1407,[1]Tabelle1!$A$1:$B$68,2,FALSE)</f>
        <v>Salzgitter  Stadt</v>
      </c>
      <c r="D3" t="str">
        <f>'2020_5-2-2_Download'!$G$7</f>
        <v>hoch</v>
      </c>
      <c r="E3" t="s">
        <v>362</v>
      </c>
      <c r="F3" t="str">
        <f>VLOOKUP(A1407,[2]Kreise!$A$2:$C$53,3,FALSE)</f>
        <v>K03102</v>
      </c>
      <c r="G3">
        <f>'2020_5-2-2_Download'!G11</f>
        <v>8.9995899958999583</v>
      </c>
    </row>
    <row r="4" spans="1:7">
      <c r="A4">
        <f>'2020_5-2-2_Download'!B12</f>
        <v>103</v>
      </c>
      <c r="B4">
        <f>'2020_5-2-2_Download'!$D$5</f>
        <v>2020</v>
      </c>
      <c r="C4" t="str">
        <f>VLOOKUP(A1408,[1]Tabelle1!$A$1:$B$68,2,FALSE)</f>
        <v>Wolfsburg  Stadt</v>
      </c>
      <c r="D4" t="str">
        <f>'2020_5-2-2_Download'!$G$7</f>
        <v>hoch</v>
      </c>
      <c r="E4" t="s">
        <v>362</v>
      </c>
      <c r="F4" t="str">
        <f>VLOOKUP(A1408,[2]Kreise!$A$2:$C$53,3,FALSE)</f>
        <v>K03103</v>
      </c>
      <c r="G4">
        <f>'2020_5-2-2_Download'!G12</f>
        <v>25.476034143138541</v>
      </c>
    </row>
    <row r="5" spans="1:7">
      <c r="A5">
        <f>'2020_5-2-2_Download'!B13</f>
        <v>151</v>
      </c>
      <c r="B5">
        <f>'2020_5-2-2_Download'!$D$5</f>
        <v>2020</v>
      </c>
      <c r="C5" t="str">
        <f>VLOOKUP(A1409,[1]Tabelle1!$A$1:$B$68,2,FALSE)</f>
        <v>Gifhorn</v>
      </c>
      <c r="D5" t="str">
        <f>'2020_5-2-2_Download'!$G$7</f>
        <v>hoch</v>
      </c>
      <c r="E5" t="s">
        <v>362</v>
      </c>
      <c r="F5" t="str">
        <f>VLOOKUP(A1409,[2]Kreise!$A$2:$C$53,3,FALSE)</f>
        <v>K03151</v>
      </c>
      <c r="G5">
        <f>'2020_5-2-2_Download'!G13</f>
        <v>17.285845870432915</v>
      </c>
    </row>
    <row r="6" spans="1:7">
      <c r="A6">
        <f>'2020_5-2-2_Download'!B14</f>
        <v>153</v>
      </c>
      <c r="B6">
        <f>'2020_5-2-2_Download'!$D$5</f>
        <v>2020</v>
      </c>
      <c r="C6" t="str">
        <f>VLOOKUP(A1410,[1]Tabelle1!$A$1:$B$68,2,FALSE)</f>
        <v>Goslar</v>
      </c>
      <c r="D6" t="str">
        <f>'2020_5-2-2_Download'!$G$7</f>
        <v>hoch</v>
      </c>
      <c r="E6" t="s">
        <v>362</v>
      </c>
      <c r="F6" t="str">
        <f>VLOOKUP(A1410,[2]Kreise!$A$2:$C$53,3,FALSE)</f>
        <v>K03153</v>
      </c>
      <c r="G6">
        <f>'2020_5-2-2_Download'!G14</f>
        <v>17.581395348837209</v>
      </c>
    </row>
    <row r="7" spans="1:7">
      <c r="A7">
        <f>'2020_5-2-2_Download'!B15</f>
        <v>154</v>
      </c>
      <c r="B7">
        <f>'2020_5-2-2_Download'!$D$5</f>
        <v>2020</v>
      </c>
      <c r="C7" t="str">
        <f>VLOOKUP(A1411,[1]Tabelle1!$A$1:$B$68,2,FALSE)</f>
        <v>Helmstedt</v>
      </c>
      <c r="D7" t="str">
        <f>'2020_5-2-2_Download'!$G$7</f>
        <v>hoch</v>
      </c>
      <c r="E7" t="s">
        <v>362</v>
      </c>
      <c r="F7" t="str">
        <f>VLOOKUP(A1411,[2]Kreise!$A$2:$C$53,3,FALSE)</f>
        <v>K03154</v>
      </c>
      <c r="G7">
        <f>'2020_5-2-2_Download'!G15</f>
        <v>13.52145796590241</v>
      </c>
    </row>
    <row r="8" spans="1:7">
      <c r="A8">
        <f>'2020_5-2-2_Download'!B16</f>
        <v>155</v>
      </c>
      <c r="B8">
        <f>'2020_5-2-2_Download'!$D$5</f>
        <v>2020</v>
      </c>
      <c r="C8" t="str">
        <f>VLOOKUP(A1412,[1]Tabelle1!$A$1:$B$68,2,FALSE)</f>
        <v>Northeim</v>
      </c>
      <c r="D8" t="str">
        <f>'2020_5-2-2_Download'!$G$7</f>
        <v>hoch</v>
      </c>
      <c r="E8" t="s">
        <v>362</v>
      </c>
      <c r="F8" t="str">
        <f>VLOOKUP(A1412,[2]Kreise!$A$2:$C$53,3,FALSE)</f>
        <v>K03155</v>
      </c>
      <c r="G8">
        <f>'2020_5-2-2_Download'!G16</f>
        <v>10.216627634660421</v>
      </c>
    </row>
    <row r="9" spans="1:7">
      <c r="A9">
        <f>'2020_5-2-2_Download'!B17</f>
        <v>157</v>
      </c>
      <c r="B9">
        <f>'2020_5-2-2_Download'!$D$5</f>
        <v>2020</v>
      </c>
      <c r="C9" t="str">
        <f>VLOOKUP(A1413,[1]Tabelle1!$A$1:$B$68,2,FALSE)</f>
        <v>Peine</v>
      </c>
      <c r="D9" t="str">
        <f>'2020_5-2-2_Download'!$G$7</f>
        <v>hoch</v>
      </c>
      <c r="E9" t="s">
        <v>362</v>
      </c>
      <c r="F9" t="str">
        <f>VLOOKUP(A1413,[2]Kreise!$A$2:$C$53,3,FALSE)</f>
        <v>K03157</v>
      </c>
      <c r="G9">
        <f>'2020_5-2-2_Download'!G17</f>
        <v>6.6508313539192399</v>
      </c>
    </row>
    <row r="10" spans="1:7">
      <c r="A10">
        <f>'2020_5-2-2_Download'!B18</f>
        <v>158</v>
      </c>
      <c r="B10">
        <f>'2020_5-2-2_Download'!$D$5</f>
        <v>2020</v>
      </c>
      <c r="C10" t="str">
        <f>VLOOKUP(A1414,[1]Tabelle1!$A$1:$B$68,2,FALSE)</f>
        <v>Wolfenbüttel</v>
      </c>
      <c r="D10" t="str">
        <f>'2020_5-2-2_Download'!$G$7</f>
        <v>hoch</v>
      </c>
      <c r="E10" t="s">
        <v>362</v>
      </c>
      <c r="F10" t="str">
        <f>VLOOKUP(A1414,[2]Kreise!$A$2:$C$53,3,FALSE)</f>
        <v>K03158</v>
      </c>
      <c r="G10">
        <f>'2020_5-2-2_Download'!G18</f>
        <v>12.925598991172762</v>
      </c>
    </row>
    <row r="11" spans="1:7">
      <c r="A11">
        <f>'2020_5-2-2_Download'!B19</f>
        <v>159</v>
      </c>
      <c r="B11">
        <f>'2020_5-2-2_Download'!$D$5</f>
        <v>2020</v>
      </c>
      <c r="C11" t="str">
        <f>VLOOKUP(A1415,[1]Tabelle1!$A$1:$B$68,2,FALSE)</f>
        <v>Göttingen</v>
      </c>
      <c r="D11" t="str">
        <f>'2020_5-2-2_Download'!$G$7</f>
        <v>hoch</v>
      </c>
      <c r="E11" t="s">
        <v>362</v>
      </c>
      <c r="F11" t="str">
        <f>VLOOKUP(A1415,[2]Kreise!$A$2:$C$53,3,FALSE)</f>
        <v>K03159</v>
      </c>
      <c r="G11">
        <f>'2020_5-2-2_Download'!G19</f>
        <v>28.180616292077698</v>
      </c>
    </row>
    <row r="12" spans="1:7">
      <c r="A12">
        <f>'2020_5-2-2_Download'!B20</f>
        <v>1</v>
      </c>
      <c r="B12">
        <f>'2020_5-2-2_Download'!$D$5</f>
        <v>2020</v>
      </c>
      <c r="C12" t="str">
        <f>VLOOKUP(A1416,[1]Tabelle1!$A$1:$B$68,2,FALSE)</f>
        <v>Stat. Region Braunschweig</v>
      </c>
      <c r="D12" t="str">
        <f>'2020_5-2-2_Download'!$G$7</f>
        <v>hoch</v>
      </c>
      <c r="E12" t="s">
        <v>362</v>
      </c>
      <c r="F12" t="str">
        <f>VLOOKUP(A1416,[2]Kreise!$A$2:$C$53,3,FALSE)</f>
        <v>K031</v>
      </c>
      <c r="G12">
        <f>'2020_5-2-2_Download'!G20</f>
        <v>20.459731418097483</v>
      </c>
    </row>
    <row r="13" spans="1:7">
      <c r="A13">
        <f>'2020_5-2-2_Download'!B21</f>
        <v>241</v>
      </c>
      <c r="B13">
        <f>'2020_5-2-2_Download'!$D$5</f>
        <v>2020</v>
      </c>
      <c r="C13" t="str">
        <f>VLOOKUP(A1417,[1]Tabelle1!$A$1:$B$68,2,FALSE)</f>
        <v>Hannover  Region</v>
      </c>
      <c r="D13" t="str">
        <f>'2020_5-2-2_Download'!$G$7</f>
        <v>hoch</v>
      </c>
      <c r="E13" t="s">
        <v>362</v>
      </c>
      <c r="F13" t="str">
        <f>VLOOKUP(A1417,[2]Kreise!$A$2:$C$53,3,FALSE)</f>
        <v>K03241</v>
      </c>
      <c r="G13">
        <f>'2020_5-2-2_Download'!G21</f>
        <v>13.745369779026696</v>
      </c>
    </row>
    <row r="14" spans="1:7">
      <c r="A14">
        <f>'2020_5-2-2_Download'!B22</f>
        <v>241001</v>
      </c>
      <c r="B14">
        <f>'2020_5-2-2_Download'!$D$5</f>
        <v>2020</v>
      </c>
      <c r="C14" t="str">
        <f>VLOOKUP(A1418,[1]Tabelle1!$A$1:$B$68,2,FALSE)</f>
        <v>dav. Hannover  Lhst.</v>
      </c>
      <c r="D14" t="str">
        <f>'2020_5-2-2_Download'!$G$7</f>
        <v>hoch</v>
      </c>
      <c r="E14" t="s">
        <v>362</v>
      </c>
      <c r="F14" t="str">
        <f>VLOOKUP(A1418,[2]Kreise!$A$2:$C$53,3,FALSE)</f>
        <v>K03241001</v>
      </c>
      <c r="G14">
        <f>'2020_5-2-2_Download'!G22</f>
        <v>17.227875821203142</v>
      </c>
    </row>
    <row r="15" spans="1:7">
      <c r="A15">
        <f>'2020_5-2-2_Download'!B23</f>
        <v>241999</v>
      </c>
      <c r="B15">
        <f>'2020_5-2-2_Download'!$D$5</f>
        <v>2020</v>
      </c>
      <c r="C15" t="str">
        <f>VLOOKUP(A1419,[1]Tabelle1!$A$1:$B$68,2,FALSE)</f>
        <v>dav. Hannover  Umland</v>
      </c>
      <c r="D15" t="str">
        <f>'2020_5-2-2_Download'!$G$7</f>
        <v>hoch</v>
      </c>
      <c r="E15" t="s">
        <v>362</v>
      </c>
      <c r="F15" t="str">
        <f>VLOOKUP(A1419,[2]Kreise!$A$2:$C$53,3,FALSE)</f>
        <v>K03241999</v>
      </c>
      <c r="G15">
        <f>'2020_5-2-2_Download'!G23</f>
        <v>8.0698660620565139</v>
      </c>
    </row>
    <row r="16" spans="1:7">
      <c r="A16">
        <f>'2020_5-2-2_Download'!B24</f>
        <v>251</v>
      </c>
      <c r="B16">
        <f>'2020_5-2-2_Download'!$D$5</f>
        <v>2020</v>
      </c>
      <c r="C16" t="str">
        <f>VLOOKUP(A1420,[1]Tabelle1!$A$1:$B$68,2,FALSE)</f>
        <v>Diepholz</v>
      </c>
      <c r="D16" t="str">
        <f>'2020_5-2-2_Download'!$G$7</f>
        <v>hoch</v>
      </c>
      <c r="E16" t="s">
        <v>362</v>
      </c>
      <c r="F16" t="str">
        <f>VLOOKUP(A1420,[2]Kreise!$A$2:$C$53,3,FALSE)</f>
        <v>K03251</v>
      </c>
      <c r="G16">
        <f>'2020_5-2-2_Download'!G24</f>
        <v>7.2338489535941761</v>
      </c>
    </row>
    <row r="17" spans="1:7">
      <c r="A17">
        <f>'2020_5-2-2_Download'!B25</f>
        <v>252</v>
      </c>
      <c r="B17">
        <f>'2020_5-2-2_Download'!$D$5</f>
        <v>2020</v>
      </c>
      <c r="C17" t="str">
        <f>VLOOKUP(A1421,[1]Tabelle1!$A$1:$B$68,2,FALSE)</f>
        <v>Hameln-Pyrmont</v>
      </c>
      <c r="D17" t="str">
        <f>'2020_5-2-2_Download'!$G$7</f>
        <v>hoch</v>
      </c>
      <c r="E17" t="s">
        <v>362</v>
      </c>
      <c r="F17" t="str">
        <f>VLOOKUP(A1421,[2]Kreise!$A$2:$C$53,3,FALSE)</f>
        <v>K03252</v>
      </c>
      <c r="G17">
        <f>'2020_5-2-2_Download'!G25</f>
        <v>11.105722599418041</v>
      </c>
    </row>
    <row r="18" spans="1:7">
      <c r="A18">
        <f>'2020_5-2-2_Download'!B26</f>
        <v>254</v>
      </c>
      <c r="B18">
        <f>'2020_5-2-2_Download'!$D$5</f>
        <v>2020</v>
      </c>
      <c r="C18" t="str">
        <f>VLOOKUP(A1422,[1]Tabelle1!$A$1:$B$68,2,FALSE)</f>
        <v>Hildesheim</v>
      </c>
      <c r="D18" t="str">
        <f>'2020_5-2-2_Download'!$G$7</f>
        <v>hoch</v>
      </c>
      <c r="E18" t="s">
        <v>362</v>
      </c>
      <c r="F18" t="str">
        <f>VLOOKUP(A1422,[2]Kreise!$A$2:$C$53,3,FALSE)</f>
        <v>K03254</v>
      </c>
      <c r="G18">
        <f>'2020_5-2-2_Download'!G26</f>
        <v>18.077696950936389</v>
      </c>
    </row>
    <row r="19" spans="1:7">
      <c r="A19">
        <f>'2020_5-2-2_Download'!B27</f>
        <v>255</v>
      </c>
      <c r="B19">
        <f>'2020_5-2-2_Download'!$D$5</f>
        <v>2020</v>
      </c>
      <c r="C19" t="str">
        <f>VLOOKUP(A1423,[1]Tabelle1!$A$1:$B$68,2,FALSE)</f>
        <v>Holzminden</v>
      </c>
      <c r="D19" t="str">
        <f>'2020_5-2-2_Download'!$G$7</f>
        <v>hoch</v>
      </c>
      <c r="E19" t="s">
        <v>362</v>
      </c>
      <c r="F19" t="str">
        <f>VLOOKUP(A1423,[2]Kreise!$A$2:$C$53,3,FALSE)</f>
        <v>K03255</v>
      </c>
      <c r="G19">
        <f>'2020_5-2-2_Download'!G27</f>
        <v>12.668463611859838</v>
      </c>
    </row>
    <row r="20" spans="1:7">
      <c r="A20">
        <f>'2020_5-2-2_Download'!B28</f>
        <v>256</v>
      </c>
      <c r="B20">
        <f>'2020_5-2-2_Download'!$D$5</f>
        <v>2020</v>
      </c>
      <c r="C20" t="str">
        <f>VLOOKUP(A1424,[1]Tabelle1!$A$1:$B$68,2,FALSE)</f>
        <v>Nienburg (Weser)</v>
      </c>
      <c r="D20" t="str">
        <f>'2020_5-2-2_Download'!$G$7</f>
        <v>hoch</v>
      </c>
      <c r="E20" t="s">
        <v>362</v>
      </c>
      <c r="F20" t="str">
        <f>VLOOKUP(A1424,[2]Kreise!$A$2:$C$53,3,FALSE)</f>
        <v>K03256</v>
      </c>
      <c r="G20">
        <f>'2020_5-2-2_Download'!G28</f>
        <v>5.5874913773281216</v>
      </c>
    </row>
    <row r="21" spans="1:7">
      <c r="A21">
        <f>'2020_5-2-2_Download'!B29</f>
        <v>257</v>
      </c>
      <c r="B21">
        <f>'2020_5-2-2_Download'!$D$5</f>
        <v>2020</v>
      </c>
      <c r="C21" t="str">
        <f>VLOOKUP(A1425,[1]Tabelle1!$A$1:$B$68,2,FALSE)</f>
        <v>Schaumburg</v>
      </c>
      <c r="D21" t="str">
        <f>'2020_5-2-2_Download'!$G$7</f>
        <v>hoch</v>
      </c>
      <c r="E21" t="s">
        <v>362</v>
      </c>
      <c r="F21" t="str">
        <f>VLOOKUP(A1425,[2]Kreise!$A$2:$C$53,3,FALSE)</f>
        <v>K03257</v>
      </c>
      <c r="G21">
        <f>'2020_5-2-2_Download'!G29</f>
        <v>8.7519419989642664</v>
      </c>
    </row>
    <row r="22" spans="1:7">
      <c r="A22">
        <f>'2020_5-2-2_Download'!B30</f>
        <v>2</v>
      </c>
      <c r="B22">
        <f>'2020_5-2-2_Download'!$D$5</f>
        <v>2020</v>
      </c>
      <c r="C22" t="str">
        <f>VLOOKUP(A1426,[1]Tabelle1!$A$1:$B$68,2,FALSE)</f>
        <v>Stat. Region Hannover</v>
      </c>
      <c r="D22" t="str">
        <f>'2020_5-2-2_Download'!$G$7</f>
        <v>hoch</v>
      </c>
      <c r="E22" t="s">
        <v>362</v>
      </c>
      <c r="F22" t="str">
        <f>VLOOKUP(A1426,[2]Kreise!$A$2:$C$53,3,FALSE)</f>
        <v>K032</v>
      </c>
      <c r="G22">
        <f>'2020_5-2-2_Download'!G30</f>
        <v>12.827073045382432</v>
      </c>
    </row>
    <row r="23" spans="1:7">
      <c r="A23">
        <f>'2020_5-2-2_Download'!B31</f>
        <v>351</v>
      </c>
      <c r="B23">
        <f>'2020_5-2-2_Download'!$D$5</f>
        <v>2020</v>
      </c>
      <c r="C23" t="str">
        <f>VLOOKUP(A1427,[1]Tabelle1!$A$1:$B$68,2,FALSE)</f>
        <v>Celle</v>
      </c>
      <c r="D23" t="str">
        <f>'2020_5-2-2_Download'!$G$7</f>
        <v>hoch</v>
      </c>
      <c r="E23" t="s">
        <v>362</v>
      </c>
      <c r="F23" t="str">
        <f>VLOOKUP(A1427,[2]Kreise!$A$2:$C$53,3,FALSE)</f>
        <v>K03351</v>
      </c>
      <c r="G23">
        <f>'2020_5-2-2_Download'!G31</f>
        <v>14.07624633431085</v>
      </c>
    </row>
    <row r="24" spans="1:7">
      <c r="A24">
        <f>'2020_5-2-2_Download'!B32</f>
        <v>352</v>
      </c>
      <c r="B24">
        <f>'2020_5-2-2_Download'!$D$5</f>
        <v>2020</v>
      </c>
      <c r="C24" t="str">
        <f>VLOOKUP(A1428,[1]Tabelle1!$A$1:$B$68,2,FALSE)</f>
        <v>Cuxhaven</v>
      </c>
      <c r="D24" t="str">
        <f>'2020_5-2-2_Download'!$G$7</f>
        <v>hoch</v>
      </c>
      <c r="E24" t="s">
        <v>362</v>
      </c>
      <c r="F24" t="str">
        <f>VLOOKUP(A1428,[2]Kreise!$A$2:$C$53,3,FALSE)</f>
        <v>K03352</v>
      </c>
      <c r="G24">
        <f>'2020_5-2-2_Download'!G32</f>
        <v>6.6773017319963541</v>
      </c>
    </row>
    <row r="25" spans="1:7">
      <c r="A25">
        <f>'2020_5-2-2_Download'!B33</f>
        <v>353</v>
      </c>
      <c r="B25">
        <f>'2020_5-2-2_Download'!$D$5</f>
        <v>2020</v>
      </c>
      <c r="C25" t="str">
        <f>VLOOKUP(A1429,[1]Tabelle1!$A$1:$B$68,2,FALSE)</f>
        <v>Harburg</v>
      </c>
      <c r="D25" t="str">
        <f>'2020_5-2-2_Download'!$G$7</f>
        <v>hoch</v>
      </c>
      <c r="E25" t="s">
        <v>362</v>
      </c>
      <c r="F25" t="str">
        <f>VLOOKUP(A1429,[2]Kreise!$A$2:$C$53,3,FALSE)</f>
        <v>K03353</v>
      </c>
      <c r="G25">
        <f>'2020_5-2-2_Download'!G33</f>
        <v>6.9528602238882611</v>
      </c>
    </row>
    <row r="26" spans="1:7">
      <c r="A26">
        <f>'2020_5-2-2_Download'!B34</f>
        <v>354</v>
      </c>
      <c r="B26">
        <f>'2020_5-2-2_Download'!$D$5</f>
        <v>2020</v>
      </c>
      <c r="C26" t="str">
        <f>VLOOKUP(A1430,[1]Tabelle1!$A$1:$B$68,2,FALSE)</f>
        <v>Lüchow-Dannenberg</v>
      </c>
      <c r="D26" t="str">
        <f>'2020_5-2-2_Download'!$G$7</f>
        <v>hoch</v>
      </c>
      <c r="E26" t="s">
        <v>362</v>
      </c>
      <c r="F26" t="str">
        <f>VLOOKUP(A1430,[2]Kreise!$A$2:$C$53,3,FALSE)</f>
        <v>K03354</v>
      </c>
      <c r="G26">
        <f>'2020_5-2-2_Download'!G34</f>
        <v>11.6</v>
      </c>
    </row>
    <row r="27" spans="1:7">
      <c r="A27">
        <f>'2020_5-2-2_Download'!B35</f>
        <v>355</v>
      </c>
      <c r="B27">
        <f>'2020_5-2-2_Download'!$D$5</f>
        <v>2020</v>
      </c>
      <c r="C27" t="str">
        <f>VLOOKUP(A1431,[1]Tabelle1!$A$1:$B$68,2,FALSE)</f>
        <v>Lüneburg</v>
      </c>
      <c r="D27" t="str">
        <f>'2020_5-2-2_Download'!$G$7</f>
        <v>hoch</v>
      </c>
      <c r="E27" t="s">
        <v>362</v>
      </c>
      <c r="F27" t="str">
        <f>VLOOKUP(A1431,[2]Kreise!$A$2:$C$53,3,FALSE)</f>
        <v>K03355</v>
      </c>
      <c r="G27">
        <f>'2020_5-2-2_Download'!G35</f>
        <v>14.977075904228222</v>
      </c>
    </row>
    <row r="28" spans="1:7">
      <c r="A28">
        <f>'2020_5-2-2_Download'!B36</f>
        <v>356</v>
      </c>
      <c r="B28">
        <f>'2020_5-2-2_Download'!$D$5</f>
        <v>2020</v>
      </c>
      <c r="C28" t="str">
        <f>VLOOKUP(A1432,[1]Tabelle1!$A$1:$B$68,2,FALSE)</f>
        <v>Osterholz</v>
      </c>
      <c r="D28" t="str">
        <f>'2020_5-2-2_Download'!$G$7</f>
        <v>hoch</v>
      </c>
      <c r="E28" t="s">
        <v>362</v>
      </c>
      <c r="F28" t="str">
        <f>VLOOKUP(A1432,[2]Kreise!$A$2:$C$53,3,FALSE)</f>
        <v>K03356</v>
      </c>
      <c r="G28">
        <f>'2020_5-2-2_Download'!G36</f>
        <v>11.485148514851485</v>
      </c>
    </row>
    <row r="29" spans="1:7">
      <c r="A29">
        <f>'2020_5-2-2_Download'!B37</f>
        <v>357</v>
      </c>
      <c r="B29">
        <f>'2020_5-2-2_Download'!$D$5</f>
        <v>2020</v>
      </c>
      <c r="C29" t="str">
        <f>VLOOKUP(A1433,[1]Tabelle1!$A$1:$B$68,2,FALSE)</f>
        <v>Rotenburg (Wümme)</v>
      </c>
      <c r="D29" t="str">
        <f>'2020_5-2-2_Download'!$G$7</f>
        <v>hoch</v>
      </c>
      <c r="E29" t="s">
        <v>362</v>
      </c>
      <c r="F29" t="str">
        <f>VLOOKUP(A1433,[2]Kreise!$A$2:$C$53,3,FALSE)</f>
        <v>K03357</v>
      </c>
      <c r="G29">
        <f>'2020_5-2-2_Download'!G37</f>
        <v>8.9200863930885532</v>
      </c>
    </row>
    <row r="30" spans="1:7">
      <c r="A30">
        <f>'2020_5-2-2_Download'!B38</f>
        <v>358</v>
      </c>
      <c r="B30">
        <f>'2020_5-2-2_Download'!$D$5</f>
        <v>2020</v>
      </c>
      <c r="C30" t="str">
        <f>VLOOKUP(A1434,[1]Tabelle1!$A$1:$B$68,2,FALSE)</f>
        <v>Heidekreis</v>
      </c>
      <c r="D30" t="str">
        <f>'2020_5-2-2_Download'!$G$7</f>
        <v>hoch</v>
      </c>
      <c r="E30" t="s">
        <v>362</v>
      </c>
      <c r="F30" t="str">
        <f>VLOOKUP(A1434,[2]Kreise!$A$2:$C$53,3,FALSE)</f>
        <v>K03358</v>
      </c>
      <c r="G30">
        <f>'2020_5-2-2_Download'!G38</f>
        <v>7.9247036950964445</v>
      </c>
    </row>
    <row r="31" spans="1:7">
      <c r="A31">
        <f>'2020_5-2-2_Download'!B39</f>
        <v>359</v>
      </c>
      <c r="B31">
        <f>'2020_5-2-2_Download'!$D$5</f>
        <v>2020</v>
      </c>
      <c r="C31" t="str">
        <f>VLOOKUP(A1435,[1]Tabelle1!$A$1:$B$68,2,FALSE)</f>
        <v>Stade</v>
      </c>
      <c r="D31" t="str">
        <f>'2020_5-2-2_Download'!$G$7</f>
        <v>hoch</v>
      </c>
      <c r="E31" t="s">
        <v>362</v>
      </c>
      <c r="F31" t="str">
        <f>VLOOKUP(A1435,[2]Kreise!$A$2:$C$53,3,FALSE)</f>
        <v>K03359</v>
      </c>
      <c r="G31">
        <f>'2020_5-2-2_Download'!G39</f>
        <v>9.0909090909090917</v>
      </c>
    </row>
    <row r="32" spans="1:7">
      <c r="A32">
        <f>'2020_5-2-2_Download'!B40</f>
        <v>360</v>
      </c>
      <c r="B32">
        <f>'2020_5-2-2_Download'!$D$5</f>
        <v>2020</v>
      </c>
      <c r="C32" t="str">
        <f>VLOOKUP(A1436,[1]Tabelle1!$A$1:$B$68,2,FALSE)</f>
        <v>Uelzen</v>
      </c>
      <c r="D32" t="str">
        <f>'2020_5-2-2_Download'!$G$7</f>
        <v>hoch</v>
      </c>
      <c r="E32" t="s">
        <v>362</v>
      </c>
      <c r="F32" t="str">
        <f>VLOOKUP(A1436,[2]Kreise!$A$2:$C$53,3,FALSE)</f>
        <v>K03360</v>
      </c>
      <c r="G32">
        <f>'2020_5-2-2_Download'!G40</f>
        <v>13.376932223543401</v>
      </c>
    </row>
    <row r="33" spans="1:7">
      <c r="A33">
        <f>'2020_5-2-2_Download'!B41</f>
        <v>361</v>
      </c>
      <c r="B33">
        <f>'2020_5-2-2_Download'!$D$5</f>
        <v>2020</v>
      </c>
      <c r="C33" t="str">
        <f>VLOOKUP(A1437,[1]Tabelle1!$A$1:$B$68,2,FALSE)</f>
        <v>Verden</v>
      </c>
      <c r="D33" t="str">
        <f>'2020_5-2-2_Download'!$G$7</f>
        <v>hoch</v>
      </c>
      <c r="E33" t="s">
        <v>362</v>
      </c>
      <c r="F33" t="str">
        <f>VLOOKUP(A1437,[2]Kreise!$A$2:$C$53,3,FALSE)</f>
        <v>K03361</v>
      </c>
      <c r="G33">
        <f>'2020_5-2-2_Download'!G41</f>
        <v>7.6567774027358322</v>
      </c>
    </row>
    <row r="34" spans="1:7">
      <c r="A34">
        <f>'2020_5-2-2_Download'!B42</f>
        <v>3</v>
      </c>
      <c r="B34">
        <f>'2020_5-2-2_Download'!$D$5</f>
        <v>2020</v>
      </c>
      <c r="C34" t="str">
        <f>VLOOKUP(A1438,[1]Tabelle1!$A$1:$B$68,2,FALSE)</f>
        <v>Stat. Region Lüneburg</v>
      </c>
      <c r="D34" t="str">
        <f>'2020_5-2-2_Download'!$G$7</f>
        <v>hoch</v>
      </c>
      <c r="E34" t="s">
        <v>362</v>
      </c>
      <c r="F34" t="str">
        <f>VLOOKUP(A1438,[2]Kreise!$A$2:$C$53,3,FALSE)</f>
        <v>K033</v>
      </c>
      <c r="G34">
        <f>'2020_5-2-2_Download'!G42</f>
        <v>9.3491526865259083</v>
      </c>
    </row>
    <row r="35" spans="1:7">
      <c r="A35">
        <f>'2020_5-2-2_Download'!B43</f>
        <v>401</v>
      </c>
      <c r="B35">
        <f>'2020_5-2-2_Download'!$D$5</f>
        <v>2020</v>
      </c>
      <c r="C35" t="str">
        <f>VLOOKUP(A1439,[1]Tabelle1!$A$1:$B$68,2,FALSE)</f>
        <v>Delmenhorst  Stadt</v>
      </c>
      <c r="D35" t="str">
        <f>'2020_5-2-2_Download'!$G$7</f>
        <v>hoch</v>
      </c>
      <c r="E35" t="s">
        <v>362</v>
      </c>
      <c r="F35" t="str">
        <f>VLOOKUP(A1439,[2]Kreise!$A$2:$C$53,3,FALSE)</f>
        <v>K03401</v>
      </c>
      <c r="G35">
        <f>'2020_5-2-2_Download'!G43</f>
        <v>9.9785407725321882</v>
      </c>
    </row>
    <row r="36" spans="1:7">
      <c r="A36">
        <f>'2020_5-2-2_Download'!B44</f>
        <v>402</v>
      </c>
      <c r="B36">
        <f>'2020_5-2-2_Download'!$D$5</f>
        <v>2020</v>
      </c>
      <c r="C36" t="str">
        <f>VLOOKUP(A1440,[1]Tabelle1!$A$1:$B$68,2,FALSE)</f>
        <v>Emden  Stadt</v>
      </c>
      <c r="D36" t="str">
        <f>'2020_5-2-2_Download'!$G$7</f>
        <v>hoch</v>
      </c>
      <c r="E36" t="s">
        <v>362</v>
      </c>
      <c r="F36" t="str">
        <f>VLOOKUP(A1440,[2]Kreise!$A$2:$C$53,3,FALSE)</f>
        <v>K03402</v>
      </c>
      <c r="G36">
        <f>'2020_5-2-2_Download'!G44</f>
        <v>10.093252879868349</v>
      </c>
    </row>
    <row r="37" spans="1:7">
      <c r="A37">
        <f>'2020_5-2-2_Download'!B45</f>
        <v>403</v>
      </c>
      <c r="B37">
        <f>'2020_5-2-2_Download'!$D$5</f>
        <v>2020</v>
      </c>
      <c r="C37" t="str">
        <f>VLOOKUP(A1441,[1]Tabelle1!$A$1:$B$68,2,FALSE)</f>
        <v>Oldenburg(Oldb)  Stadt</v>
      </c>
      <c r="D37" t="str">
        <f>'2020_5-2-2_Download'!$G$7</f>
        <v>hoch</v>
      </c>
      <c r="E37" t="s">
        <v>362</v>
      </c>
      <c r="F37" t="str">
        <f>VLOOKUP(A1441,[2]Kreise!$A$2:$C$53,3,FALSE)</f>
        <v>K03403</v>
      </c>
      <c r="G37">
        <f>'2020_5-2-2_Download'!G45</f>
        <v>18.159688412852969</v>
      </c>
    </row>
    <row r="38" spans="1:7">
      <c r="A38">
        <f>'2020_5-2-2_Download'!B46</f>
        <v>404</v>
      </c>
      <c r="B38">
        <f>'2020_5-2-2_Download'!$D$5</f>
        <v>2020</v>
      </c>
      <c r="C38" t="str">
        <f>VLOOKUP(A1442,[1]Tabelle1!$A$1:$B$68,2,FALSE)</f>
        <v>Osnabrück  Stadt</v>
      </c>
      <c r="D38" t="str">
        <f>'2020_5-2-2_Download'!$G$7</f>
        <v>hoch</v>
      </c>
      <c r="E38" t="s">
        <v>362</v>
      </c>
      <c r="F38" t="str">
        <f>VLOOKUP(A1442,[2]Kreise!$A$2:$C$53,3,FALSE)</f>
        <v>K03404</v>
      </c>
      <c r="G38">
        <f>'2020_5-2-2_Download'!G46</f>
        <v>11.325873177348253</v>
      </c>
    </row>
    <row r="39" spans="1:7">
      <c r="A39">
        <f>'2020_5-2-2_Download'!B47</f>
        <v>405</v>
      </c>
      <c r="B39">
        <f>'2020_5-2-2_Download'!$D$5</f>
        <v>2020</v>
      </c>
      <c r="C39" t="str">
        <f>VLOOKUP(A1443,[1]Tabelle1!$A$1:$B$68,2,FALSE)</f>
        <v>Wilhelmshaven  Stadt</v>
      </c>
      <c r="D39" t="str">
        <f>'2020_5-2-2_Download'!$G$7</f>
        <v>hoch</v>
      </c>
      <c r="E39" t="s">
        <v>362</v>
      </c>
      <c r="F39" t="str">
        <f>VLOOKUP(A1443,[2]Kreise!$A$2:$C$53,3,FALSE)</f>
        <v>K03405</v>
      </c>
      <c r="G39">
        <f>'2020_5-2-2_Download'!G47</f>
        <v>14.716981132075471</v>
      </c>
    </row>
    <row r="40" spans="1:7">
      <c r="A40">
        <f>'2020_5-2-2_Download'!B48</f>
        <v>451</v>
      </c>
      <c r="B40">
        <f>'2020_5-2-2_Download'!$D$5</f>
        <v>2020</v>
      </c>
      <c r="C40" t="str">
        <f>VLOOKUP(A1444,[1]Tabelle1!$A$1:$B$68,2,FALSE)</f>
        <v>Ammerland</v>
      </c>
      <c r="D40" t="str">
        <f>'2020_5-2-2_Download'!$G$7</f>
        <v>hoch</v>
      </c>
      <c r="E40" t="s">
        <v>362</v>
      </c>
      <c r="F40" t="str">
        <f>VLOOKUP(A1444,[2]Kreise!$A$2:$C$53,3,FALSE)</f>
        <v>K03451</v>
      </c>
      <c r="G40">
        <f>'2020_5-2-2_Download'!G48</f>
        <v>7.3922465687454855</v>
      </c>
    </row>
    <row r="41" spans="1:7">
      <c r="A41">
        <f>'2020_5-2-2_Download'!B49</f>
        <v>452</v>
      </c>
      <c r="B41">
        <f>'2020_5-2-2_Download'!$D$5</f>
        <v>2020</v>
      </c>
      <c r="C41" t="str">
        <f>VLOOKUP(A1445,[1]Tabelle1!$A$1:$B$68,2,FALSE)</f>
        <v>Aurich</v>
      </c>
      <c r="D41" t="str">
        <f>'2020_5-2-2_Download'!$G$7</f>
        <v>hoch</v>
      </c>
      <c r="E41" t="s">
        <v>362</v>
      </c>
      <c r="F41" t="str">
        <f>VLOOKUP(A1445,[2]Kreise!$A$2:$C$53,3,FALSE)</f>
        <v>K03452</v>
      </c>
      <c r="G41">
        <f>'2020_5-2-2_Download'!G49</f>
        <v>9.0057636887608066</v>
      </c>
    </row>
    <row r="42" spans="1:7">
      <c r="A42">
        <f>'2020_5-2-2_Download'!B50</f>
        <v>453</v>
      </c>
      <c r="B42">
        <f>'2020_5-2-2_Download'!$D$5</f>
        <v>2020</v>
      </c>
      <c r="C42" t="str">
        <f>VLOOKUP(A1446,[1]Tabelle1!$A$1:$B$68,2,FALSE)</f>
        <v>Cloppenburg</v>
      </c>
      <c r="D42" t="str">
        <f>'2020_5-2-2_Download'!$G$7</f>
        <v>hoch</v>
      </c>
      <c r="E42" t="s">
        <v>362</v>
      </c>
      <c r="F42" t="str">
        <f>VLOOKUP(A1446,[2]Kreise!$A$2:$C$53,3,FALSE)</f>
        <v>K03453</v>
      </c>
      <c r="G42">
        <f>'2020_5-2-2_Download'!G50</f>
        <v>3.1602708803611739</v>
      </c>
    </row>
    <row r="43" spans="1:7">
      <c r="A43">
        <f>'2020_5-2-2_Download'!B51</f>
        <v>454</v>
      </c>
      <c r="B43">
        <f>'2020_5-2-2_Download'!$D$5</f>
        <v>2020</v>
      </c>
      <c r="C43" t="str">
        <f>VLOOKUP(A1447,[1]Tabelle1!$A$1:$B$68,2,FALSE)</f>
        <v>Emsland</v>
      </c>
      <c r="D43" t="str">
        <f>'2020_5-2-2_Download'!$G$7</f>
        <v>hoch</v>
      </c>
      <c r="E43" t="s">
        <v>362</v>
      </c>
      <c r="F43" t="str">
        <f>VLOOKUP(A1447,[2]Kreise!$A$2:$C$53,3,FALSE)</f>
        <v>K03454</v>
      </c>
      <c r="G43">
        <f>'2020_5-2-2_Download'!G51</f>
        <v>7.3695463352709289</v>
      </c>
    </row>
    <row r="44" spans="1:7">
      <c r="A44">
        <f>'2020_5-2-2_Download'!B52</f>
        <v>455</v>
      </c>
      <c r="B44">
        <f>'2020_5-2-2_Download'!$D$5</f>
        <v>2020</v>
      </c>
      <c r="C44" t="str">
        <f>VLOOKUP(A1448,[1]Tabelle1!$A$1:$B$68,2,FALSE)</f>
        <v>Friesland</v>
      </c>
      <c r="D44" t="str">
        <f>'2020_5-2-2_Download'!$G$7</f>
        <v>hoch</v>
      </c>
      <c r="E44" t="s">
        <v>362</v>
      </c>
      <c r="F44" t="str">
        <f>VLOOKUP(A1448,[2]Kreise!$A$2:$C$53,3,FALSE)</f>
        <v>K03455</v>
      </c>
      <c r="G44">
        <f>'2020_5-2-2_Download'!G52</f>
        <v>12.532808398950131</v>
      </c>
    </row>
    <row r="45" spans="1:7">
      <c r="A45">
        <f>'2020_5-2-2_Download'!B53</f>
        <v>456</v>
      </c>
      <c r="B45">
        <f>'2020_5-2-2_Download'!$D$5</f>
        <v>2020</v>
      </c>
      <c r="C45" t="str">
        <f>VLOOKUP(A1449,[1]Tabelle1!$A$1:$B$68,2,FALSE)</f>
        <v>Grafschaft Bentheim</v>
      </c>
      <c r="D45" t="str">
        <f>'2020_5-2-2_Download'!$G$7</f>
        <v>hoch</v>
      </c>
      <c r="E45" t="s">
        <v>362</v>
      </c>
      <c r="F45" t="str">
        <f>VLOOKUP(A1449,[2]Kreise!$A$2:$C$53,3,FALSE)</f>
        <v>K03456</v>
      </c>
      <c r="G45">
        <f>'2020_5-2-2_Download'!G53</f>
        <v>7.1157167530224523</v>
      </c>
    </row>
    <row r="46" spans="1:7">
      <c r="A46">
        <f>'2020_5-2-2_Download'!B54</f>
        <v>457</v>
      </c>
      <c r="B46">
        <f>'2020_5-2-2_Download'!$D$5</f>
        <v>2020</v>
      </c>
      <c r="C46" t="str">
        <f>VLOOKUP(A1450,[1]Tabelle1!$A$1:$B$68,2,FALSE)</f>
        <v>Leer</v>
      </c>
      <c r="D46" t="str">
        <f>'2020_5-2-2_Download'!$G$7</f>
        <v>hoch</v>
      </c>
      <c r="E46" t="s">
        <v>362</v>
      </c>
      <c r="F46" t="str">
        <f>VLOOKUP(A1450,[2]Kreise!$A$2:$C$53,3,FALSE)</f>
        <v>K03457</v>
      </c>
      <c r="G46">
        <f>'2020_5-2-2_Download'!G54</f>
        <v>8.2049920339883169</v>
      </c>
    </row>
    <row r="47" spans="1:7">
      <c r="A47">
        <f>'2020_5-2-2_Download'!B55</f>
        <v>458</v>
      </c>
      <c r="B47">
        <f>'2020_5-2-2_Download'!$D$5</f>
        <v>2020</v>
      </c>
      <c r="C47" t="str">
        <f>VLOOKUP(A1451,[1]Tabelle1!$A$1:$B$68,2,FALSE)</f>
        <v>Oldenburg</v>
      </c>
      <c r="D47" t="str">
        <f>'2020_5-2-2_Download'!$G$7</f>
        <v>hoch</v>
      </c>
      <c r="E47" t="s">
        <v>362</v>
      </c>
      <c r="F47" t="str">
        <f>VLOOKUP(A1451,[2]Kreise!$A$2:$C$53,3,FALSE)</f>
        <v>K03458</v>
      </c>
      <c r="G47">
        <f>'2020_5-2-2_Download'!G55</f>
        <v>5.1535658511192084</v>
      </c>
    </row>
    <row r="48" spans="1:7">
      <c r="A48">
        <f>'2020_5-2-2_Download'!B56</f>
        <v>459</v>
      </c>
      <c r="B48">
        <f>'2020_5-2-2_Download'!$D$5</f>
        <v>2020</v>
      </c>
      <c r="C48" t="str">
        <f>VLOOKUP(A1452,[1]Tabelle1!$A$1:$B$68,2,FALSE)</f>
        <v>Osnabrück</v>
      </c>
      <c r="D48" t="str">
        <f>'2020_5-2-2_Download'!$G$7</f>
        <v>hoch</v>
      </c>
      <c r="E48" t="s">
        <v>362</v>
      </c>
      <c r="F48" t="str">
        <f>VLOOKUP(A1452,[2]Kreise!$A$2:$C$53,3,FALSE)</f>
        <v>K03459</v>
      </c>
      <c r="G48">
        <f>'2020_5-2-2_Download'!G56</f>
        <v>4.5575196250070595</v>
      </c>
    </row>
    <row r="49" spans="1:7">
      <c r="A49">
        <f>'2020_5-2-2_Download'!B57</f>
        <v>460</v>
      </c>
      <c r="B49">
        <f>'2020_5-2-2_Download'!$D$5</f>
        <v>2020</v>
      </c>
      <c r="C49" t="str">
        <f>VLOOKUP(A1453,[1]Tabelle1!$A$1:$B$68,2,FALSE)</f>
        <v>Vechta</v>
      </c>
      <c r="D49" t="str">
        <f>'2020_5-2-2_Download'!$G$7</f>
        <v>hoch</v>
      </c>
      <c r="E49" t="s">
        <v>362</v>
      </c>
      <c r="F49" t="str">
        <f>VLOOKUP(A1453,[2]Kreise!$A$2:$C$53,3,FALSE)</f>
        <v>K03460</v>
      </c>
      <c r="G49">
        <f>'2020_5-2-2_Download'!G57</f>
        <v>4.2659526996876398</v>
      </c>
    </row>
    <row r="50" spans="1:7">
      <c r="A50">
        <f>'2020_5-2-2_Download'!B58</f>
        <v>461</v>
      </c>
      <c r="B50">
        <f>'2020_5-2-2_Download'!$D$5</f>
        <v>2020</v>
      </c>
      <c r="C50" t="str">
        <f>VLOOKUP(A1454,[1]Tabelle1!$A$1:$B$68,2,FALSE)</f>
        <v>Wesermarsch</v>
      </c>
      <c r="D50" t="str">
        <f>'2020_5-2-2_Download'!$G$7</f>
        <v>hoch</v>
      </c>
      <c r="E50" t="s">
        <v>362</v>
      </c>
      <c r="F50" t="str">
        <f>VLOOKUP(A1454,[2]Kreise!$A$2:$C$53,3,FALSE)</f>
        <v>K03461</v>
      </c>
      <c r="G50">
        <f>'2020_5-2-2_Download'!G58</f>
        <v>6.9461077844311374</v>
      </c>
    </row>
    <row r="51" spans="1:7">
      <c r="A51">
        <f>'2020_5-2-2_Download'!B59</f>
        <v>462</v>
      </c>
      <c r="B51">
        <f>'2020_5-2-2_Download'!$D$5</f>
        <v>2020</v>
      </c>
      <c r="C51" t="str">
        <f>VLOOKUP(A1455,[1]Tabelle1!$A$1:$B$68,2,FALSE)</f>
        <v>Wittmund</v>
      </c>
      <c r="D51" t="str">
        <f>'2020_5-2-2_Download'!$G$7</f>
        <v>hoch</v>
      </c>
      <c r="E51" t="s">
        <v>362</v>
      </c>
      <c r="F51" t="str">
        <f>VLOOKUP(A1455,[2]Kreise!$A$2:$C$53,3,FALSE)</f>
        <v>K03462</v>
      </c>
      <c r="G51">
        <f>'2020_5-2-2_Download'!G59</f>
        <v>6.8181818181818183</v>
      </c>
    </row>
    <row r="52" spans="1:7">
      <c r="A52">
        <f>'2020_5-2-2_Download'!B60</f>
        <v>4</v>
      </c>
      <c r="B52">
        <f>'2020_5-2-2_Download'!$D$5</f>
        <v>2020</v>
      </c>
      <c r="C52" t="str">
        <f>VLOOKUP(A1456,[1]Tabelle1!$A$1:$B$68,2,FALSE)</f>
        <v>Stat. Region Weser-Ems</v>
      </c>
      <c r="D52" t="str">
        <f>'2020_5-2-2_Download'!$G$7</f>
        <v>hoch</v>
      </c>
      <c r="E52" t="s">
        <v>362</v>
      </c>
      <c r="F52" t="str">
        <f>VLOOKUP(A1456,[2]Kreise!$A$2:$C$53,3,FALSE)</f>
        <v>K034</v>
      </c>
      <c r="G52">
        <f>'2020_5-2-2_Download'!G60</f>
        <v>7.3891674039123165</v>
      </c>
    </row>
    <row r="53" spans="1:7">
      <c r="A53">
        <f>'2020_5-2-2_Download'!B61</f>
        <v>0</v>
      </c>
      <c r="B53">
        <f>'2020_5-2-2_Download'!$D$5</f>
        <v>2020</v>
      </c>
      <c r="C53" t="str">
        <f>VLOOKUP(A1457,[1]Tabelle1!$A$1:$B$68,2,FALSE)</f>
        <v>Niedersachsen</v>
      </c>
      <c r="D53" t="str">
        <f>'2020_5-2-2_Download'!$G$7</f>
        <v>hoch</v>
      </c>
      <c r="E53" t="s">
        <v>362</v>
      </c>
      <c r="F53" t="str">
        <f>VLOOKUP(A1457,[2]Kreise!$A$2:$C$53,3,FALSE)</f>
        <v>K030</v>
      </c>
      <c r="G53">
        <f>'2020_5-2-2_Download'!G61</f>
        <v>11.768980540425662</v>
      </c>
    </row>
    <row r="54" spans="1:7">
      <c r="A54">
        <f>'2020_5-2-2_Download'!B10</f>
        <v>101</v>
      </c>
      <c r="B54">
        <f>'2020_5-2-2_Download'!$D$5</f>
        <v>2020</v>
      </c>
      <c r="C54" t="str">
        <f>VLOOKUP(A1458,[1]Tabelle1!$A$1:$B$68,2,FALSE)</f>
        <v>Braunschweig  Stadt</v>
      </c>
      <c r="D54" t="str">
        <f>'2020_5-2-2_Download'!$H$7</f>
        <v>mittel</v>
      </c>
      <c r="E54" t="s">
        <v>362</v>
      </c>
      <c r="F54" t="str">
        <f>VLOOKUP(A1458,[2]Kreise!$A$2:$C$53,3,FALSE)</f>
        <v>K03101</v>
      </c>
      <c r="G54">
        <f>'2020_5-2-2_Download'!H10</f>
        <v>27.93518759206308</v>
      </c>
    </row>
    <row r="55" spans="1:7">
      <c r="A55">
        <f>'2020_5-2-2_Download'!B11</f>
        <v>102</v>
      </c>
      <c r="B55">
        <f>'2020_5-2-2_Download'!$D$5</f>
        <v>2020</v>
      </c>
      <c r="C55" t="str">
        <f>VLOOKUP(A1459,[1]Tabelle1!$A$1:$B$68,2,FALSE)</f>
        <v>Salzgitter  Stadt</v>
      </c>
      <c r="D55" t="str">
        <f>'2020_5-2-2_Download'!$H$7</f>
        <v>mittel</v>
      </c>
      <c r="E55" t="s">
        <v>362</v>
      </c>
      <c r="F55" t="str">
        <f>VLOOKUP(A1459,[2]Kreise!$A$2:$C$53,3,FALSE)</f>
        <v>K03102</v>
      </c>
      <c r="G55">
        <f>'2020_5-2-2_Download'!H11</f>
        <v>40.05740057400574</v>
      </c>
    </row>
    <row r="56" spans="1:7">
      <c r="A56">
        <f>'2020_5-2-2_Download'!B12</f>
        <v>103</v>
      </c>
      <c r="B56">
        <f>'2020_5-2-2_Download'!$D$5</f>
        <v>2020</v>
      </c>
      <c r="C56" t="str">
        <f>VLOOKUP(A1460,[1]Tabelle1!$A$1:$B$68,2,FALSE)</f>
        <v>Wolfsburg  Stadt</v>
      </c>
      <c r="D56" t="str">
        <f>'2020_5-2-2_Download'!$H$7</f>
        <v>mittel</v>
      </c>
      <c r="E56" t="s">
        <v>362</v>
      </c>
      <c r="F56" t="str">
        <f>VLOOKUP(A1460,[2]Kreise!$A$2:$C$53,3,FALSE)</f>
        <v>K03103</v>
      </c>
      <c r="G56">
        <f>'2020_5-2-2_Download'!H12</f>
        <v>32.529781446393393</v>
      </c>
    </row>
    <row r="57" spans="1:7">
      <c r="A57">
        <f>'2020_5-2-2_Download'!B13</f>
        <v>151</v>
      </c>
      <c r="B57">
        <f>'2020_5-2-2_Download'!$D$5</f>
        <v>2020</v>
      </c>
      <c r="C57" t="str">
        <f>VLOOKUP(A1461,[1]Tabelle1!$A$1:$B$68,2,FALSE)</f>
        <v>Gifhorn</v>
      </c>
      <c r="D57" t="str">
        <f>'2020_5-2-2_Download'!$H$7</f>
        <v>mittel</v>
      </c>
      <c r="E57" t="s">
        <v>362</v>
      </c>
      <c r="F57" t="str">
        <f>VLOOKUP(A1461,[2]Kreise!$A$2:$C$53,3,FALSE)</f>
        <v>K03151</v>
      </c>
      <c r="G57">
        <f>'2020_5-2-2_Download'!H13</f>
        <v>27.509978507829292</v>
      </c>
    </row>
    <row r="58" spans="1:7">
      <c r="A58">
        <f>'2020_5-2-2_Download'!B14</f>
        <v>153</v>
      </c>
      <c r="B58">
        <f>'2020_5-2-2_Download'!$D$5</f>
        <v>2020</v>
      </c>
      <c r="C58" t="str">
        <f>VLOOKUP(A1462,[1]Tabelle1!$A$1:$B$68,2,FALSE)</f>
        <v>Goslar</v>
      </c>
      <c r="D58" t="str">
        <f>'2020_5-2-2_Download'!$H$7</f>
        <v>mittel</v>
      </c>
      <c r="E58" t="s">
        <v>362</v>
      </c>
      <c r="F58" t="str">
        <f>VLOOKUP(A1462,[2]Kreise!$A$2:$C$53,3,FALSE)</f>
        <v>K03153</v>
      </c>
      <c r="G58">
        <f>'2020_5-2-2_Download'!H14</f>
        <v>30.449612403100776</v>
      </c>
    </row>
    <row r="59" spans="1:7">
      <c r="A59">
        <f>'2020_5-2-2_Download'!B15</f>
        <v>154</v>
      </c>
      <c r="B59">
        <f>'2020_5-2-2_Download'!$D$5</f>
        <v>2020</v>
      </c>
      <c r="C59" t="str">
        <f>VLOOKUP(A1463,[1]Tabelle1!$A$1:$B$68,2,FALSE)</f>
        <v>Helmstedt</v>
      </c>
      <c r="D59" t="str">
        <f>'2020_5-2-2_Download'!$H$7</f>
        <v>mittel</v>
      </c>
      <c r="E59" t="s">
        <v>362</v>
      </c>
      <c r="F59" t="str">
        <f>VLOOKUP(A1463,[2]Kreise!$A$2:$C$53,3,FALSE)</f>
        <v>K03154</v>
      </c>
      <c r="G59">
        <f>'2020_5-2-2_Download'!H15</f>
        <v>43.562610229276899</v>
      </c>
    </row>
    <row r="60" spans="1:7">
      <c r="A60">
        <f>'2020_5-2-2_Download'!B16</f>
        <v>155</v>
      </c>
      <c r="B60">
        <f>'2020_5-2-2_Download'!$D$5</f>
        <v>2020</v>
      </c>
      <c r="C60" t="str">
        <f>VLOOKUP(A1464,[1]Tabelle1!$A$1:$B$68,2,FALSE)</f>
        <v>Northeim</v>
      </c>
      <c r="D60" t="str">
        <f>'2020_5-2-2_Download'!$H$7</f>
        <v>mittel</v>
      </c>
      <c r="E60" t="s">
        <v>362</v>
      </c>
      <c r="F60" t="str">
        <f>VLOOKUP(A1464,[2]Kreise!$A$2:$C$53,3,FALSE)</f>
        <v>K03155</v>
      </c>
      <c r="G60">
        <f>'2020_5-2-2_Download'!H16</f>
        <v>42.710772833723652</v>
      </c>
    </row>
    <row r="61" spans="1:7">
      <c r="A61">
        <f>'2020_5-2-2_Download'!B17</f>
        <v>157</v>
      </c>
      <c r="B61">
        <f>'2020_5-2-2_Download'!$D$5</f>
        <v>2020</v>
      </c>
      <c r="C61" t="str">
        <f>VLOOKUP(A1465,[1]Tabelle1!$A$1:$B$68,2,FALSE)</f>
        <v>Peine</v>
      </c>
      <c r="D61" t="str">
        <f>'2020_5-2-2_Download'!$H$7</f>
        <v>mittel</v>
      </c>
      <c r="E61" t="s">
        <v>362</v>
      </c>
      <c r="F61" t="str">
        <f>VLOOKUP(A1465,[2]Kreise!$A$2:$C$53,3,FALSE)</f>
        <v>K03157</v>
      </c>
      <c r="G61">
        <f>'2020_5-2-2_Download'!H17</f>
        <v>31.88836104513064</v>
      </c>
    </row>
    <row r="62" spans="1:7">
      <c r="A62">
        <f>'2020_5-2-2_Download'!B18</f>
        <v>158</v>
      </c>
      <c r="B62">
        <f>'2020_5-2-2_Download'!$D$5</f>
        <v>2020</v>
      </c>
      <c r="C62" t="str">
        <f>VLOOKUP(A1466,[1]Tabelle1!$A$1:$B$68,2,FALSE)</f>
        <v>Wolfenbüttel</v>
      </c>
      <c r="D62" t="str">
        <f>'2020_5-2-2_Download'!$H$7</f>
        <v>mittel</v>
      </c>
      <c r="E62" t="s">
        <v>362</v>
      </c>
      <c r="F62" t="str">
        <f>VLOOKUP(A1466,[2]Kreise!$A$2:$C$53,3,FALSE)</f>
        <v>K03158</v>
      </c>
      <c r="G62">
        <f>'2020_5-2-2_Download'!H18</f>
        <v>40.731399747793191</v>
      </c>
    </row>
    <row r="63" spans="1:7">
      <c r="A63">
        <f>'2020_5-2-2_Download'!B19</f>
        <v>159</v>
      </c>
      <c r="B63">
        <f>'2020_5-2-2_Download'!$D$5</f>
        <v>2020</v>
      </c>
      <c r="C63" t="str">
        <f>VLOOKUP(A1467,[1]Tabelle1!$A$1:$B$68,2,FALSE)</f>
        <v>Göttingen</v>
      </c>
      <c r="D63" t="str">
        <f>'2020_5-2-2_Download'!$H$7</f>
        <v>mittel</v>
      </c>
      <c r="E63" t="s">
        <v>362</v>
      </c>
      <c r="F63" t="str">
        <f>VLOOKUP(A1467,[2]Kreise!$A$2:$C$53,3,FALSE)</f>
        <v>K03159</v>
      </c>
      <c r="G63">
        <f>'2020_5-2-2_Download'!H19</f>
        <v>28.678938269093866</v>
      </c>
    </row>
    <row r="64" spans="1:7">
      <c r="A64">
        <f>'2020_5-2-2_Download'!B20</f>
        <v>1</v>
      </c>
      <c r="B64">
        <f>'2020_5-2-2_Download'!$D$5</f>
        <v>2020</v>
      </c>
      <c r="C64" t="str">
        <f>VLOOKUP(A1468,[1]Tabelle1!$A$1:$B$68,2,FALSE)</f>
        <v>Stat. Region Braunschweig</v>
      </c>
      <c r="D64" t="str">
        <f>'2020_5-2-2_Download'!$H$7</f>
        <v>mittel</v>
      </c>
      <c r="E64" t="s">
        <v>362</v>
      </c>
      <c r="F64" t="str">
        <f>VLOOKUP(A1468,[2]Kreise!$A$2:$C$53,3,FALSE)</f>
        <v>K031</v>
      </c>
      <c r="G64">
        <f>'2020_5-2-2_Download'!H20</f>
        <v>32.289679422436691</v>
      </c>
    </row>
    <row r="65" spans="1:7">
      <c r="A65">
        <f>'2020_5-2-2_Download'!B21</f>
        <v>241</v>
      </c>
      <c r="B65">
        <f>'2020_5-2-2_Download'!$D$5</f>
        <v>2020</v>
      </c>
      <c r="C65" t="str">
        <f>VLOOKUP(A1469,[1]Tabelle1!$A$1:$B$68,2,FALSE)</f>
        <v>Hannover  Region</v>
      </c>
      <c r="D65" t="str">
        <f>'2020_5-2-2_Download'!$H$7</f>
        <v>mittel</v>
      </c>
      <c r="E65" t="s">
        <v>362</v>
      </c>
      <c r="F65" t="str">
        <f>VLOOKUP(A1469,[2]Kreise!$A$2:$C$53,3,FALSE)</f>
        <v>K03241</v>
      </c>
      <c r="G65">
        <f>'2020_5-2-2_Download'!H21</f>
        <v>32.943223911099757</v>
      </c>
    </row>
    <row r="66" spans="1:7">
      <c r="A66">
        <f>'2020_5-2-2_Download'!B22</f>
        <v>241001</v>
      </c>
      <c r="B66">
        <f>'2020_5-2-2_Download'!$D$5</f>
        <v>2020</v>
      </c>
      <c r="C66" t="str">
        <f>VLOOKUP(A1470,[1]Tabelle1!$A$1:$B$68,2,FALSE)</f>
        <v>dav. Hannover  Lhst.</v>
      </c>
      <c r="D66" t="str">
        <f>'2020_5-2-2_Download'!$H$7</f>
        <v>mittel</v>
      </c>
      <c r="E66" t="s">
        <v>362</v>
      </c>
      <c r="F66" t="str">
        <f>VLOOKUP(A1470,[2]Kreise!$A$2:$C$53,3,FALSE)</f>
        <v>K03241001</v>
      </c>
      <c r="G66">
        <f>'2020_5-2-2_Download'!H22</f>
        <v>32.36120056679119</v>
      </c>
    </row>
    <row r="67" spans="1:7">
      <c r="A67">
        <f>'2020_5-2-2_Download'!B23</f>
        <v>241999</v>
      </c>
      <c r="B67">
        <f>'2020_5-2-2_Download'!$D$5</f>
        <v>2020</v>
      </c>
      <c r="C67" t="str">
        <f>VLOOKUP(A1471,[1]Tabelle1!$A$1:$B$68,2,FALSE)</f>
        <v>dav. Hannover  Umland</v>
      </c>
      <c r="D67" t="str">
        <f>'2020_5-2-2_Download'!$H$7</f>
        <v>mittel</v>
      </c>
      <c r="E67" t="s">
        <v>362</v>
      </c>
      <c r="F67" t="str">
        <f>VLOOKUP(A1471,[2]Kreise!$A$2:$C$53,3,FALSE)</f>
        <v>K03241999</v>
      </c>
      <c r="G67">
        <f>'2020_5-2-2_Download'!H23</f>
        <v>33.891757987991774</v>
      </c>
    </row>
    <row r="68" spans="1:7">
      <c r="A68">
        <f>'2020_5-2-2_Download'!B24</f>
        <v>251</v>
      </c>
      <c r="B68">
        <f>'2020_5-2-2_Download'!$D$5</f>
        <v>2020</v>
      </c>
      <c r="C68" t="str">
        <f>VLOOKUP(A1472,[1]Tabelle1!$A$1:$B$68,2,FALSE)</f>
        <v>Diepholz</v>
      </c>
      <c r="D68" t="str">
        <f>'2020_5-2-2_Download'!$H$7</f>
        <v>mittel</v>
      </c>
      <c r="E68" t="s">
        <v>362</v>
      </c>
      <c r="F68" t="str">
        <f>VLOOKUP(A1472,[2]Kreise!$A$2:$C$53,3,FALSE)</f>
        <v>K03251</v>
      </c>
      <c r="G68">
        <f>'2020_5-2-2_Download'!H24</f>
        <v>32.954200788595692</v>
      </c>
    </row>
    <row r="69" spans="1:7">
      <c r="A69">
        <f>'2020_5-2-2_Download'!B25</f>
        <v>252</v>
      </c>
      <c r="B69">
        <f>'2020_5-2-2_Download'!$D$5</f>
        <v>2020</v>
      </c>
      <c r="C69" t="str">
        <f>VLOOKUP(A1473,[1]Tabelle1!$A$1:$B$68,2,FALSE)</f>
        <v>Hameln-Pyrmont</v>
      </c>
      <c r="D69" t="str">
        <f>'2020_5-2-2_Download'!$H$7</f>
        <v>mittel</v>
      </c>
      <c r="E69" t="s">
        <v>362</v>
      </c>
      <c r="F69" t="str">
        <f>VLOOKUP(A1473,[2]Kreise!$A$2:$C$53,3,FALSE)</f>
        <v>K03252</v>
      </c>
      <c r="G69">
        <f>'2020_5-2-2_Download'!H25</f>
        <v>36.905916585838995</v>
      </c>
    </row>
    <row r="70" spans="1:7">
      <c r="A70">
        <f>'2020_5-2-2_Download'!B26</f>
        <v>254</v>
      </c>
      <c r="B70">
        <f>'2020_5-2-2_Download'!$D$5</f>
        <v>2020</v>
      </c>
      <c r="C70" t="str">
        <f>VLOOKUP(A1474,[1]Tabelle1!$A$1:$B$68,2,FALSE)</f>
        <v>Hildesheim</v>
      </c>
      <c r="D70" t="str">
        <f>'2020_5-2-2_Download'!$H$7</f>
        <v>mittel</v>
      </c>
      <c r="E70" t="s">
        <v>362</v>
      </c>
      <c r="F70" t="str">
        <f>VLOOKUP(A1474,[2]Kreise!$A$2:$C$53,3,FALSE)</f>
        <v>K03254</v>
      </c>
      <c r="G70">
        <f>'2020_5-2-2_Download'!H26</f>
        <v>35.551772171490484</v>
      </c>
    </row>
    <row r="71" spans="1:7">
      <c r="A71">
        <f>'2020_5-2-2_Download'!B27</f>
        <v>255</v>
      </c>
      <c r="B71">
        <f>'2020_5-2-2_Download'!$D$5</f>
        <v>2020</v>
      </c>
      <c r="C71" t="str">
        <f>VLOOKUP(A1475,[1]Tabelle1!$A$1:$B$68,2,FALSE)</f>
        <v>Holzminden</v>
      </c>
      <c r="D71" t="str">
        <f>'2020_5-2-2_Download'!$H$7</f>
        <v>mittel</v>
      </c>
      <c r="E71" t="s">
        <v>362</v>
      </c>
      <c r="F71" t="str">
        <f>VLOOKUP(A1475,[2]Kreise!$A$2:$C$53,3,FALSE)</f>
        <v>K03255</v>
      </c>
      <c r="G71">
        <f>'2020_5-2-2_Download'!H27</f>
        <v>33.086253369272235</v>
      </c>
    </row>
    <row r="72" spans="1:7">
      <c r="A72">
        <f>'2020_5-2-2_Download'!B28</f>
        <v>256</v>
      </c>
      <c r="B72">
        <f>'2020_5-2-2_Download'!$D$5</f>
        <v>2020</v>
      </c>
      <c r="C72" t="str">
        <f>VLOOKUP(A1476,[1]Tabelle1!$A$1:$B$68,2,FALSE)</f>
        <v>Nienburg (Weser)</v>
      </c>
      <c r="D72" t="str">
        <f>'2020_5-2-2_Download'!$H$7</f>
        <v>mittel</v>
      </c>
      <c r="E72" t="s">
        <v>362</v>
      </c>
      <c r="F72" t="str">
        <f>VLOOKUP(A1476,[2]Kreise!$A$2:$C$53,3,FALSE)</f>
        <v>K03256</v>
      </c>
      <c r="G72">
        <f>'2020_5-2-2_Download'!H28</f>
        <v>24.856288802023453</v>
      </c>
    </row>
    <row r="73" spans="1:7">
      <c r="A73">
        <f>'2020_5-2-2_Download'!B29</f>
        <v>257</v>
      </c>
      <c r="B73">
        <f>'2020_5-2-2_Download'!$D$5</f>
        <v>2020</v>
      </c>
      <c r="C73" t="str">
        <f>VLOOKUP(A1477,[1]Tabelle1!$A$1:$B$68,2,FALSE)</f>
        <v>Schaumburg</v>
      </c>
      <c r="D73" t="str">
        <f>'2020_5-2-2_Download'!$H$7</f>
        <v>mittel</v>
      </c>
      <c r="E73" t="s">
        <v>362</v>
      </c>
      <c r="F73" t="str">
        <f>VLOOKUP(A1477,[2]Kreise!$A$2:$C$53,3,FALSE)</f>
        <v>K03257</v>
      </c>
      <c r="G73">
        <f>'2020_5-2-2_Download'!H29</f>
        <v>42.982910409114446</v>
      </c>
    </row>
    <row r="74" spans="1:7">
      <c r="A74">
        <f>'2020_5-2-2_Download'!B30</f>
        <v>2</v>
      </c>
      <c r="B74">
        <f>'2020_5-2-2_Download'!$D$5</f>
        <v>2020</v>
      </c>
      <c r="C74" t="str">
        <f>VLOOKUP(A1478,[1]Tabelle1!$A$1:$B$68,2,FALSE)</f>
        <v>Stat. Region Hannover</v>
      </c>
      <c r="D74" t="str">
        <f>'2020_5-2-2_Download'!$H$7</f>
        <v>mittel</v>
      </c>
      <c r="E74" t="s">
        <v>362</v>
      </c>
      <c r="F74" t="str">
        <f>VLOOKUP(A1478,[2]Kreise!$A$2:$C$53,3,FALSE)</f>
        <v>K032</v>
      </c>
      <c r="G74">
        <f>'2020_5-2-2_Download'!H30</f>
        <v>33.3575402766295</v>
      </c>
    </row>
    <row r="75" spans="1:7">
      <c r="A75">
        <f>'2020_5-2-2_Download'!B31</f>
        <v>351</v>
      </c>
      <c r="B75">
        <f>'2020_5-2-2_Download'!$D$5</f>
        <v>2020</v>
      </c>
      <c r="C75" t="str">
        <f>VLOOKUP(A1479,[1]Tabelle1!$A$1:$B$68,2,FALSE)</f>
        <v>Celle</v>
      </c>
      <c r="D75" t="str">
        <f>'2020_5-2-2_Download'!$H$7</f>
        <v>mittel</v>
      </c>
      <c r="E75" t="s">
        <v>362</v>
      </c>
      <c r="F75" t="str">
        <f>VLOOKUP(A1479,[2]Kreise!$A$2:$C$53,3,FALSE)</f>
        <v>K03351</v>
      </c>
      <c r="G75">
        <f>'2020_5-2-2_Download'!H31</f>
        <v>30.351906158357771</v>
      </c>
    </row>
    <row r="76" spans="1:7">
      <c r="A76">
        <f>'2020_5-2-2_Download'!B32</f>
        <v>352</v>
      </c>
      <c r="B76">
        <f>'2020_5-2-2_Download'!$D$5</f>
        <v>2020</v>
      </c>
      <c r="C76" t="str">
        <f>VLOOKUP(A1480,[1]Tabelle1!$A$1:$B$68,2,FALSE)</f>
        <v>Cuxhaven</v>
      </c>
      <c r="D76" t="str">
        <f>'2020_5-2-2_Download'!$H$7</f>
        <v>mittel</v>
      </c>
      <c r="E76" t="s">
        <v>362</v>
      </c>
      <c r="F76" t="str">
        <f>VLOOKUP(A1480,[2]Kreise!$A$2:$C$53,3,FALSE)</f>
        <v>K03352</v>
      </c>
      <c r="G76">
        <f>'2020_5-2-2_Download'!H32</f>
        <v>31.084776663628077</v>
      </c>
    </row>
    <row r="77" spans="1:7">
      <c r="A77">
        <f>'2020_5-2-2_Download'!B33</f>
        <v>353</v>
      </c>
      <c r="B77">
        <f>'2020_5-2-2_Download'!$D$5</f>
        <v>2020</v>
      </c>
      <c r="C77" t="str">
        <f>VLOOKUP(A1481,[1]Tabelle1!$A$1:$B$68,2,FALSE)</f>
        <v>Harburg</v>
      </c>
      <c r="D77" t="str">
        <f>'2020_5-2-2_Download'!$H$7</f>
        <v>mittel</v>
      </c>
      <c r="E77" t="s">
        <v>362</v>
      </c>
      <c r="F77" t="str">
        <f>VLOOKUP(A1481,[2]Kreise!$A$2:$C$53,3,FALSE)</f>
        <v>K03353</v>
      </c>
      <c r="G77">
        <f>'2020_5-2-2_Download'!H33</f>
        <v>26.640649070555611</v>
      </c>
    </row>
    <row r="78" spans="1:7">
      <c r="A78">
        <f>'2020_5-2-2_Download'!B34</f>
        <v>354</v>
      </c>
      <c r="B78">
        <f>'2020_5-2-2_Download'!$D$5</f>
        <v>2020</v>
      </c>
      <c r="C78" t="str">
        <f>VLOOKUP(A1482,[1]Tabelle1!$A$1:$B$68,2,FALSE)</f>
        <v>Lüchow-Dannenberg</v>
      </c>
      <c r="D78" t="str">
        <f>'2020_5-2-2_Download'!$H$7</f>
        <v>mittel</v>
      </c>
      <c r="E78" t="s">
        <v>362</v>
      </c>
      <c r="F78" t="str">
        <f>VLOOKUP(A1482,[2]Kreise!$A$2:$C$53,3,FALSE)</f>
        <v>K03354</v>
      </c>
      <c r="G78">
        <f>'2020_5-2-2_Download'!H34</f>
        <v>31.866666666666667</v>
      </c>
    </row>
    <row r="79" spans="1:7">
      <c r="A79">
        <f>'2020_5-2-2_Download'!B35</f>
        <v>355</v>
      </c>
      <c r="B79">
        <f>'2020_5-2-2_Download'!$D$5</f>
        <v>2020</v>
      </c>
      <c r="C79" t="str">
        <f>VLOOKUP(A1483,[1]Tabelle1!$A$1:$B$68,2,FALSE)</f>
        <v>Lüneburg</v>
      </c>
      <c r="D79" t="str">
        <f>'2020_5-2-2_Download'!$H$7</f>
        <v>mittel</v>
      </c>
      <c r="E79" t="s">
        <v>362</v>
      </c>
      <c r="F79" t="str">
        <f>VLOOKUP(A1483,[2]Kreise!$A$2:$C$53,3,FALSE)</f>
        <v>K03355</v>
      </c>
      <c r="G79">
        <f>'2020_5-2-2_Download'!H35</f>
        <v>31.355068772287314</v>
      </c>
    </row>
    <row r="80" spans="1:7">
      <c r="A80">
        <f>'2020_5-2-2_Download'!B36</f>
        <v>356</v>
      </c>
      <c r="B80">
        <f>'2020_5-2-2_Download'!$D$5</f>
        <v>2020</v>
      </c>
      <c r="C80" t="str">
        <f>VLOOKUP(A1484,[1]Tabelle1!$A$1:$B$68,2,FALSE)</f>
        <v>Osterholz</v>
      </c>
      <c r="D80" t="str">
        <f>'2020_5-2-2_Download'!$H$7</f>
        <v>mittel</v>
      </c>
      <c r="E80" t="s">
        <v>362</v>
      </c>
      <c r="F80" t="str">
        <f>VLOOKUP(A1484,[2]Kreise!$A$2:$C$53,3,FALSE)</f>
        <v>K03356</v>
      </c>
      <c r="G80">
        <f>'2020_5-2-2_Download'!H36</f>
        <v>33.168316831683171</v>
      </c>
    </row>
    <row r="81" spans="1:7">
      <c r="A81">
        <f>'2020_5-2-2_Download'!B37</f>
        <v>357</v>
      </c>
      <c r="B81">
        <f>'2020_5-2-2_Download'!$D$5</f>
        <v>2020</v>
      </c>
      <c r="C81" t="str">
        <f>VLOOKUP(A1485,[1]Tabelle1!$A$1:$B$68,2,FALSE)</f>
        <v>Rotenburg (Wümme)</v>
      </c>
      <c r="D81" t="str">
        <f>'2020_5-2-2_Download'!$H$7</f>
        <v>mittel</v>
      </c>
      <c r="E81" t="s">
        <v>362</v>
      </c>
      <c r="F81" t="str">
        <f>VLOOKUP(A1485,[2]Kreise!$A$2:$C$53,3,FALSE)</f>
        <v>K03357</v>
      </c>
      <c r="G81">
        <f>'2020_5-2-2_Download'!H37</f>
        <v>35.485961123110151</v>
      </c>
    </row>
    <row r="82" spans="1:7">
      <c r="A82">
        <f>'2020_5-2-2_Download'!B38</f>
        <v>358</v>
      </c>
      <c r="B82">
        <f>'2020_5-2-2_Download'!$D$5</f>
        <v>2020</v>
      </c>
      <c r="C82" t="str">
        <f>VLOOKUP(A1486,[1]Tabelle1!$A$1:$B$68,2,FALSE)</f>
        <v>Heidekreis</v>
      </c>
      <c r="D82" t="str">
        <f>'2020_5-2-2_Download'!$H$7</f>
        <v>mittel</v>
      </c>
      <c r="E82" t="s">
        <v>362</v>
      </c>
      <c r="F82" t="str">
        <f>VLOOKUP(A1486,[2]Kreise!$A$2:$C$53,3,FALSE)</f>
        <v>K03358</v>
      </c>
      <c r="G82">
        <f>'2020_5-2-2_Download'!H38</f>
        <v>36.369974436439691</v>
      </c>
    </row>
    <row r="83" spans="1:7">
      <c r="A83">
        <f>'2020_5-2-2_Download'!B39</f>
        <v>359</v>
      </c>
      <c r="B83">
        <f>'2020_5-2-2_Download'!$D$5</f>
        <v>2020</v>
      </c>
      <c r="C83" t="str">
        <f>VLOOKUP(A1487,[1]Tabelle1!$A$1:$B$68,2,FALSE)</f>
        <v>Stade</v>
      </c>
      <c r="D83" t="str">
        <f>'2020_5-2-2_Download'!$H$7</f>
        <v>mittel</v>
      </c>
      <c r="E83" t="s">
        <v>362</v>
      </c>
      <c r="F83" t="str">
        <f>VLOOKUP(A1487,[2]Kreise!$A$2:$C$53,3,FALSE)</f>
        <v>K03359</v>
      </c>
      <c r="G83">
        <f>'2020_5-2-2_Download'!H39</f>
        <v>24.940415389853591</v>
      </c>
    </row>
    <row r="84" spans="1:7">
      <c r="A84">
        <f>'2020_5-2-2_Download'!B40</f>
        <v>360</v>
      </c>
      <c r="B84">
        <f>'2020_5-2-2_Download'!$D$5</f>
        <v>2020</v>
      </c>
      <c r="C84" t="str">
        <f>VLOOKUP(A1488,[1]Tabelle1!$A$1:$B$68,2,FALSE)</f>
        <v>Uelzen</v>
      </c>
      <c r="D84" t="str">
        <f>'2020_5-2-2_Download'!$H$7</f>
        <v>mittel</v>
      </c>
      <c r="E84" t="s">
        <v>362</v>
      </c>
      <c r="F84" t="str">
        <f>VLOOKUP(A1488,[2]Kreise!$A$2:$C$53,3,FALSE)</f>
        <v>K03360</v>
      </c>
      <c r="G84">
        <f>'2020_5-2-2_Download'!H40</f>
        <v>35.969084423305588</v>
      </c>
    </row>
    <row r="85" spans="1:7">
      <c r="A85">
        <f>'2020_5-2-2_Download'!B41</f>
        <v>361</v>
      </c>
      <c r="B85">
        <f>'2020_5-2-2_Download'!$D$5</f>
        <v>2020</v>
      </c>
      <c r="C85" t="str">
        <f>VLOOKUP(A1489,[1]Tabelle1!$A$1:$B$68,2,FALSE)</f>
        <v>Verden</v>
      </c>
      <c r="D85" t="str">
        <f>'2020_5-2-2_Download'!$H$7</f>
        <v>mittel</v>
      </c>
      <c r="E85" t="s">
        <v>362</v>
      </c>
      <c r="F85" t="str">
        <f>VLOOKUP(A1489,[2]Kreise!$A$2:$C$53,3,FALSE)</f>
        <v>K03361</v>
      </c>
      <c r="G85">
        <f>'2020_5-2-2_Download'!H41</f>
        <v>24.089536329721088</v>
      </c>
    </row>
    <row r="86" spans="1:7">
      <c r="A86">
        <f>'2020_5-2-2_Download'!B42</f>
        <v>3</v>
      </c>
      <c r="B86">
        <f>'2020_5-2-2_Download'!$D$5</f>
        <v>2020</v>
      </c>
      <c r="C86" t="str">
        <f>VLOOKUP(A1490,[1]Tabelle1!$A$1:$B$68,2,FALSE)</f>
        <v>Stat. Region Lüneburg</v>
      </c>
      <c r="D86" t="str">
        <f>'2020_5-2-2_Download'!$H$7</f>
        <v>mittel</v>
      </c>
      <c r="E86" t="s">
        <v>362</v>
      </c>
      <c r="F86" t="str">
        <f>VLOOKUP(A1490,[2]Kreise!$A$2:$C$53,3,FALSE)</f>
        <v>K033</v>
      </c>
      <c r="G86">
        <f>'2020_5-2-2_Download'!H42</f>
        <v>29.712317407667282</v>
      </c>
    </row>
    <row r="87" spans="1:7">
      <c r="A87">
        <f>'2020_5-2-2_Download'!B43</f>
        <v>401</v>
      </c>
      <c r="B87">
        <f>'2020_5-2-2_Download'!$D$5</f>
        <v>2020</v>
      </c>
      <c r="C87" t="str">
        <f>VLOOKUP(A1491,[1]Tabelle1!$A$1:$B$68,2,FALSE)</f>
        <v>Delmenhorst  Stadt</v>
      </c>
      <c r="D87" t="str">
        <f>'2020_5-2-2_Download'!$H$7</f>
        <v>mittel</v>
      </c>
      <c r="E87" t="s">
        <v>362</v>
      </c>
      <c r="F87" t="str">
        <f>VLOOKUP(A1491,[2]Kreise!$A$2:$C$53,3,FALSE)</f>
        <v>K03401</v>
      </c>
      <c r="G87">
        <f>'2020_5-2-2_Download'!H43</f>
        <v>31.276824034334766</v>
      </c>
    </row>
    <row r="88" spans="1:7">
      <c r="A88">
        <f>'2020_5-2-2_Download'!B44</f>
        <v>402</v>
      </c>
      <c r="B88">
        <f>'2020_5-2-2_Download'!$D$5</f>
        <v>2020</v>
      </c>
      <c r="C88" t="str">
        <f>VLOOKUP(A1492,[1]Tabelle1!$A$1:$B$68,2,FALSE)</f>
        <v>Emden  Stadt</v>
      </c>
      <c r="D88" t="str">
        <f>'2020_5-2-2_Download'!$H$7</f>
        <v>mittel</v>
      </c>
      <c r="E88" t="s">
        <v>362</v>
      </c>
      <c r="F88" t="str">
        <f>VLOOKUP(A1492,[2]Kreise!$A$2:$C$53,3,FALSE)</f>
        <v>K03402</v>
      </c>
      <c r="G88">
        <f>'2020_5-2-2_Download'!H44</f>
        <v>33.296763576522217</v>
      </c>
    </row>
    <row r="89" spans="1:7">
      <c r="A89">
        <f>'2020_5-2-2_Download'!B45</f>
        <v>403</v>
      </c>
      <c r="B89">
        <f>'2020_5-2-2_Download'!$D$5</f>
        <v>2020</v>
      </c>
      <c r="C89" t="str">
        <f>VLOOKUP(A1493,[1]Tabelle1!$A$1:$B$68,2,FALSE)</f>
        <v>Oldenburg(Oldb)  Stadt</v>
      </c>
      <c r="D89" t="str">
        <f>'2020_5-2-2_Download'!$H$7</f>
        <v>mittel</v>
      </c>
      <c r="E89" t="s">
        <v>362</v>
      </c>
      <c r="F89" t="str">
        <f>VLOOKUP(A1493,[2]Kreise!$A$2:$C$53,3,FALSE)</f>
        <v>K03403</v>
      </c>
      <c r="G89">
        <f>'2020_5-2-2_Download'!H45</f>
        <v>24.683544303797468</v>
      </c>
    </row>
    <row r="90" spans="1:7">
      <c r="A90">
        <f>'2020_5-2-2_Download'!B46</f>
        <v>404</v>
      </c>
      <c r="B90">
        <f>'2020_5-2-2_Download'!$D$5</f>
        <v>2020</v>
      </c>
      <c r="C90" t="str">
        <f>VLOOKUP(A1494,[1]Tabelle1!$A$1:$B$68,2,FALSE)</f>
        <v>Osnabrück  Stadt</v>
      </c>
      <c r="D90" t="str">
        <f>'2020_5-2-2_Download'!$H$7</f>
        <v>mittel</v>
      </c>
      <c r="E90" t="s">
        <v>362</v>
      </c>
      <c r="F90" t="str">
        <f>VLOOKUP(A1494,[2]Kreise!$A$2:$C$53,3,FALSE)</f>
        <v>K03404</v>
      </c>
      <c r="G90">
        <f>'2020_5-2-2_Download'!H46</f>
        <v>30.224935006216796</v>
      </c>
    </row>
    <row r="91" spans="1:7">
      <c r="A91">
        <f>'2020_5-2-2_Download'!B47</f>
        <v>405</v>
      </c>
      <c r="B91">
        <f>'2020_5-2-2_Download'!$D$5</f>
        <v>2020</v>
      </c>
      <c r="C91" t="str">
        <f>VLOOKUP(A1495,[1]Tabelle1!$A$1:$B$68,2,FALSE)</f>
        <v>Wilhelmshaven  Stadt</v>
      </c>
      <c r="D91" t="str">
        <f>'2020_5-2-2_Download'!$H$7</f>
        <v>mittel</v>
      </c>
      <c r="E91" t="s">
        <v>362</v>
      </c>
      <c r="F91" t="str">
        <f>VLOOKUP(A1495,[2]Kreise!$A$2:$C$53,3,FALSE)</f>
        <v>K03405</v>
      </c>
      <c r="G91">
        <f>'2020_5-2-2_Download'!H47</f>
        <v>27.385444743935309</v>
      </c>
    </row>
    <row r="92" spans="1:7">
      <c r="A92">
        <f>'2020_5-2-2_Download'!B48</f>
        <v>451</v>
      </c>
      <c r="B92">
        <f>'2020_5-2-2_Download'!$D$5</f>
        <v>2020</v>
      </c>
      <c r="C92" t="str">
        <f>VLOOKUP(A1496,[1]Tabelle1!$A$1:$B$68,2,FALSE)</f>
        <v>Ammerland</v>
      </c>
      <c r="D92" t="str">
        <f>'2020_5-2-2_Download'!$H$7</f>
        <v>mittel</v>
      </c>
      <c r="E92" t="s">
        <v>362</v>
      </c>
      <c r="F92" t="str">
        <f>VLOOKUP(A1496,[2]Kreise!$A$2:$C$53,3,FALSE)</f>
        <v>K03451</v>
      </c>
      <c r="G92">
        <f>'2020_5-2-2_Download'!H48</f>
        <v>25.571875752468095</v>
      </c>
    </row>
    <row r="93" spans="1:7">
      <c r="A93">
        <f>'2020_5-2-2_Download'!B49</f>
        <v>452</v>
      </c>
      <c r="B93">
        <f>'2020_5-2-2_Download'!$D$5</f>
        <v>2020</v>
      </c>
      <c r="C93" t="str">
        <f>VLOOKUP(A1497,[1]Tabelle1!$A$1:$B$68,2,FALSE)</f>
        <v>Aurich</v>
      </c>
      <c r="D93" t="str">
        <f>'2020_5-2-2_Download'!$H$7</f>
        <v>mittel</v>
      </c>
      <c r="E93" t="s">
        <v>362</v>
      </c>
      <c r="F93" t="str">
        <f>VLOOKUP(A1497,[2]Kreise!$A$2:$C$53,3,FALSE)</f>
        <v>K03452</v>
      </c>
      <c r="G93">
        <f>'2020_5-2-2_Download'!H49</f>
        <v>27.713736791546591</v>
      </c>
    </row>
    <row r="94" spans="1:7">
      <c r="A94">
        <f>'2020_5-2-2_Download'!B50</f>
        <v>453</v>
      </c>
      <c r="B94">
        <f>'2020_5-2-2_Download'!$D$5</f>
        <v>2020</v>
      </c>
      <c r="C94" t="str">
        <f>VLOOKUP(A1498,[1]Tabelle1!$A$1:$B$68,2,FALSE)</f>
        <v>Cloppenburg</v>
      </c>
      <c r="D94" t="str">
        <f>'2020_5-2-2_Download'!$H$7</f>
        <v>mittel</v>
      </c>
      <c r="E94" t="s">
        <v>362</v>
      </c>
      <c r="F94" t="str">
        <f>VLOOKUP(A1498,[2]Kreise!$A$2:$C$53,3,FALSE)</f>
        <v>K03453</v>
      </c>
      <c r="G94">
        <f>'2020_5-2-2_Download'!H50</f>
        <v>20.372460496613996</v>
      </c>
    </row>
    <row r="95" spans="1:7">
      <c r="A95">
        <f>'2020_5-2-2_Download'!B51</f>
        <v>454</v>
      </c>
      <c r="B95">
        <f>'2020_5-2-2_Download'!$D$5</f>
        <v>2020</v>
      </c>
      <c r="C95" t="str">
        <f>VLOOKUP(A1499,[1]Tabelle1!$A$1:$B$68,2,FALSE)</f>
        <v>Emsland</v>
      </c>
      <c r="D95" t="str">
        <f>'2020_5-2-2_Download'!$H$7</f>
        <v>mittel</v>
      </c>
      <c r="E95" t="s">
        <v>362</v>
      </c>
      <c r="F95" t="str">
        <f>VLOOKUP(A1499,[2]Kreise!$A$2:$C$53,3,FALSE)</f>
        <v>K03454</v>
      </c>
      <c r="G95">
        <f>'2020_5-2-2_Download'!H51</f>
        <v>28.195363132224227</v>
      </c>
    </row>
    <row r="96" spans="1:7">
      <c r="A96">
        <f>'2020_5-2-2_Download'!B52</f>
        <v>455</v>
      </c>
      <c r="B96">
        <f>'2020_5-2-2_Download'!$D$5</f>
        <v>2020</v>
      </c>
      <c r="C96" t="str">
        <f>VLOOKUP(A1500,[1]Tabelle1!$A$1:$B$68,2,FALSE)</f>
        <v>Friesland</v>
      </c>
      <c r="D96" t="str">
        <f>'2020_5-2-2_Download'!$H$7</f>
        <v>mittel</v>
      </c>
      <c r="E96" t="s">
        <v>362</v>
      </c>
      <c r="F96" t="str">
        <f>VLOOKUP(A1500,[2]Kreise!$A$2:$C$53,3,FALSE)</f>
        <v>K03455</v>
      </c>
      <c r="G96">
        <f>'2020_5-2-2_Download'!H52</f>
        <v>29.396325459317584</v>
      </c>
    </row>
    <row r="97" spans="1:7">
      <c r="A97">
        <f>'2020_5-2-2_Download'!B53</f>
        <v>456</v>
      </c>
      <c r="B97">
        <f>'2020_5-2-2_Download'!$D$5</f>
        <v>2020</v>
      </c>
      <c r="C97" t="str">
        <f>VLOOKUP(A1501,[1]Tabelle1!$A$1:$B$68,2,FALSE)</f>
        <v>Grafschaft Bentheim</v>
      </c>
      <c r="D97" t="str">
        <f>'2020_5-2-2_Download'!$H$7</f>
        <v>mittel</v>
      </c>
      <c r="E97" t="s">
        <v>362</v>
      </c>
      <c r="F97" t="str">
        <f>VLOOKUP(A1501,[2]Kreise!$A$2:$C$53,3,FALSE)</f>
        <v>K03456</v>
      </c>
      <c r="G97">
        <f>'2020_5-2-2_Download'!H53</f>
        <v>36.183074265975819</v>
      </c>
    </row>
    <row r="98" spans="1:7">
      <c r="A98">
        <f>'2020_5-2-2_Download'!B54</f>
        <v>457</v>
      </c>
      <c r="B98">
        <f>'2020_5-2-2_Download'!$D$5</f>
        <v>2020</v>
      </c>
      <c r="C98" t="str">
        <f>VLOOKUP(A1502,[1]Tabelle1!$A$1:$B$68,2,FALSE)</f>
        <v>Leer</v>
      </c>
      <c r="D98" t="str">
        <f>'2020_5-2-2_Download'!$H$7</f>
        <v>mittel</v>
      </c>
      <c r="E98" t="s">
        <v>362</v>
      </c>
      <c r="F98" t="str">
        <f>VLOOKUP(A1502,[2]Kreise!$A$2:$C$53,3,FALSE)</f>
        <v>K03457</v>
      </c>
      <c r="G98">
        <f>'2020_5-2-2_Download'!H54</f>
        <v>29.925650557620816</v>
      </c>
    </row>
    <row r="99" spans="1:7">
      <c r="A99">
        <f>'2020_5-2-2_Download'!B55</f>
        <v>458</v>
      </c>
      <c r="B99">
        <f>'2020_5-2-2_Download'!$D$5</f>
        <v>2020</v>
      </c>
      <c r="C99" t="str">
        <f>VLOOKUP(A1503,[1]Tabelle1!$A$1:$B$68,2,FALSE)</f>
        <v>Oldenburg</v>
      </c>
      <c r="D99" t="str">
        <f>'2020_5-2-2_Download'!$H$7</f>
        <v>mittel</v>
      </c>
      <c r="E99" t="s">
        <v>362</v>
      </c>
      <c r="F99" t="str">
        <f>VLOOKUP(A1503,[2]Kreise!$A$2:$C$53,3,FALSE)</f>
        <v>K03458</v>
      </c>
      <c r="G99">
        <f>'2020_5-2-2_Download'!H55</f>
        <v>26.236335242061426</v>
      </c>
    </row>
    <row r="100" spans="1:7">
      <c r="A100">
        <f>'2020_5-2-2_Download'!B56</f>
        <v>459</v>
      </c>
      <c r="B100">
        <f>'2020_5-2-2_Download'!$D$5</f>
        <v>2020</v>
      </c>
      <c r="C100" t="str">
        <f>VLOOKUP(A1504,[1]Tabelle1!$A$1:$B$68,2,FALSE)</f>
        <v>Osnabrück</v>
      </c>
      <c r="D100" t="str">
        <f>'2020_5-2-2_Download'!$H$7</f>
        <v>mittel</v>
      </c>
      <c r="E100" t="s">
        <v>362</v>
      </c>
      <c r="F100" t="str">
        <f>VLOOKUP(A1504,[2]Kreise!$A$2:$C$53,3,FALSE)</f>
        <v>K03459</v>
      </c>
      <c r="G100">
        <f>'2020_5-2-2_Download'!H56</f>
        <v>22.889252837860735</v>
      </c>
    </row>
    <row r="101" spans="1:7">
      <c r="A101">
        <f>'2020_5-2-2_Download'!B57</f>
        <v>460</v>
      </c>
      <c r="B101">
        <f>'2020_5-2-2_Download'!$D$5</f>
        <v>2020</v>
      </c>
      <c r="C101" t="str">
        <f>VLOOKUP(A1505,[1]Tabelle1!$A$1:$B$68,2,FALSE)</f>
        <v>Vechta</v>
      </c>
      <c r="D101" t="str">
        <f>'2020_5-2-2_Download'!$H$7</f>
        <v>mittel</v>
      </c>
      <c r="E101" t="s">
        <v>362</v>
      </c>
      <c r="F101" t="str">
        <f>VLOOKUP(A1505,[2]Kreise!$A$2:$C$53,3,FALSE)</f>
        <v>K03460</v>
      </c>
      <c r="G101">
        <f>'2020_5-2-2_Download'!H57</f>
        <v>21.526104417670684</v>
      </c>
    </row>
    <row r="102" spans="1:7">
      <c r="A102">
        <f>'2020_5-2-2_Download'!B58</f>
        <v>461</v>
      </c>
      <c r="B102">
        <f>'2020_5-2-2_Download'!$D$5</f>
        <v>2020</v>
      </c>
      <c r="C102" t="str">
        <f>VLOOKUP(A1506,[1]Tabelle1!$A$1:$B$68,2,FALSE)</f>
        <v>Wesermarsch</v>
      </c>
      <c r="D102" t="str">
        <f>'2020_5-2-2_Download'!$H$7</f>
        <v>mittel</v>
      </c>
      <c r="E102" t="s">
        <v>362</v>
      </c>
      <c r="F102" t="str">
        <f>VLOOKUP(A1506,[2]Kreise!$A$2:$C$53,3,FALSE)</f>
        <v>K03461</v>
      </c>
      <c r="G102">
        <f>'2020_5-2-2_Download'!H58</f>
        <v>35.36926147704591</v>
      </c>
    </row>
    <row r="103" spans="1:7">
      <c r="A103">
        <f>'2020_5-2-2_Download'!B59</f>
        <v>462</v>
      </c>
      <c r="B103">
        <f>'2020_5-2-2_Download'!$D$5</f>
        <v>2020</v>
      </c>
      <c r="C103" t="str">
        <f>VLOOKUP(A1507,[1]Tabelle1!$A$1:$B$68,2,FALSE)</f>
        <v>Wittmund</v>
      </c>
      <c r="D103" t="str">
        <f>'2020_5-2-2_Download'!$H$7</f>
        <v>mittel</v>
      </c>
      <c r="E103" t="s">
        <v>362</v>
      </c>
      <c r="F103" t="str">
        <f>VLOOKUP(A1507,[2]Kreise!$A$2:$C$53,3,FALSE)</f>
        <v>K03462</v>
      </c>
      <c r="G103">
        <f>'2020_5-2-2_Download'!H59</f>
        <v>24.783549783549784</v>
      </c>
    </row>
    <row r="104" spans="1:7">
      <c r="A104">
        <f>'2020_5-2-2_Download'!B60</f>
        <v>4</v>
      </c>
      <c r="B104">
        <f>'2020_5-2-2_Download'!$D$5</f>
        <v>2020</v>
      </c>
      <c r="C104" t="str">
        <f>VLOOKUP(A1508,[1]Tabelle1!$A$1:$B$68,2,FALSE)</f>
        <v>Stat. Region Weser-Ems</v>
      </c>
      <c r="D104" t="str">
        <f>'2020_5-2-2_Download'!$H$7</f>
        <v>mittel</v>
      </c>
      <c r="E104" t="s">
        <v>362</v>
      </c>
      <c r="F104" t="str">
        <f>VLOOKUP(A1508,[2]Kreise!$A$2:$C$53,3,FALSE)</f>
        <v>K034</v>
      </c>
      <c r="G104">
        <f>'2020_5-2-2_Download'!H60</f>
        <v>26.298043841541336</v>
      </c>
    </row>
    <row r="105" spans="1:7">
      <c r="A105">
        <f>'2020_5-2-2_Download'!B61</f>
        <v>0</v>
      </c>
      <c r="B105">
        <f>'2020_5-2-2_Download'!$D$5</f>
        <v>2020</v>
      </c>
      <c r="C105" t="str">
        <f>VLOOKUP(A1509,[1]Tabelle1!$A$1:$B$68,2,FALSE)</f>
        <v>Niedersachsen</v>
      </c>
      <c r="D105" t="str">
        <f>'2020_5-2-2_Download'!$H$7</f>
        <v>mittel</v>
      </c>
      <c r="E105" t="s">
        <v>362</v>
      </c>
      <c r="F105" t="str">
        <f>VLOOKUP(A1509,[2]Kreise!$A$2:$C$53,3,FALSE)</f>
        <v>K030</v>
      </c>
      <c r="G105">
        <f>'2020_5-2-2_Download'!H61</f>
        <v>30.112465850623686</v>
      </c>
    </row>
    <row r="106" spans="1:7">
      <c r="A106">
        <f>'2020_5-2-2_Download'!B10</f>
        <v>101</v>
      </c>
      <c r="B106">
        <f>'2020_5-2-2_Download'!$D$5</f>
        <v>2020</v>
      </c>
      <c r="C106" t="str">
        <f>VLOOKUP(A1510,[1]Tabelle1!$A$1:$B$68,2,FALSE)</f>
        <v>Braunschweig  Stadt</v>
      </c>
      <c r="D106" t="str">
        <f>'2020_5-2-2_Download'!$I$7</f>
        <v>niedrig</v>
      </c>
      <c r="E106" t="s">
        <v>362</v>
      </c>
      <c r="F106" t="str">
        <f>VLOOKUP(A1510,[2]Kreise!$A$2:$C$53,3,FALSE)</f>
        <v>K03101</v>
      </c>
      <c r="G106">
        <f>'2020_5-2-2_Download'!I10</f>
        <v>23.351529330214021</v>
      </c>
    </row>
    <row r="107" spans="1:7">
      <c r="A107">
        <f>'2020_5-2-2_Download'!B11</f>
        <v>102</v>
      </c>
      <c r="B107">
        <f>'2020_5-2-2_Download'!$D$5</f>
        <v>2020</v>
      </c>
      <c r="C107" t="str">
        <f>VLOOKUP(A1511,[1]Tabelle1!$A$1:$B$68,2,FALSE)</f>
        <v>Salzgitter  Stadt</v>
      </c>
      <c r="D107" t="str">
        <f>'2020_5-2-2_Download'!$I$7</f>
        <v>niedrig</v>
      </c>
      <c r="E107" t="s">
        <v>362</v>
      </c>
      <c r="F107" t="str">
        <f>VLOOKUP(A1511,[2]Kreise!$A$2:$C$53,3,FALSE)</f>
        <v>K03102</v>
      </c>
      <c r="G107">
        <f>'2020_5-2-2_Download'!I11</f>
        <v>21.832718327183272</v>
      </c>
    </row>
    <row r="108" spans="1:7">
      <c r="A108">
        <f>'2020_5-2-2_Download'!B12</f>
        <v>103</v>
      </c>
      <c r="B108">
        <f>'2020_5-2-2_Download'!$D$5</f>
        <v>2020</v>
      </c>
      <c r="C108" t="str">
        <f>VLOOKUP(A1512,[1]Tabelle1!$A$1:$B$68,2,FALSE)</f>
        <v>Wolfsburg  Stadt</v>
      </c>
      <c r="D108" t="str">
        <f>'2020_5-2-2_Download'!$I$7</f>
        <v>niedrig</v>
      </c>
      <c r="E108" t="s">
        <v>362</v>
      </c>
      <c r="F108" t="str">
        <f>VLOOKUP(A1512,[2]Kreise!$A$2:$C$53,3,FALSE)</f>
        <v>K03103</v>
      </c>
      <c r="G108">
        <f>'2020_5-2-2_Download'!I12</f>
        <v>15.233092580433356</v>
      </c>
    </row>
    <row r="109" spans="1:7">
      <c r="A109">
        <f>'2020_5-2-2_Download'!B13</f>
        <v>151</v>
      </c>
      <c r="B109">
        <f>'2020_5-2-2_Download'!$D$5</f>
        <v>2020</v>
      </c>
      <c r="C109" t="str">
        <f>VLOOKUP(A1513,[1]Tabelle1!$A$1:$B$68,2,FALSE)</f>
        <v>Gifhorn</v>
      </c>
      <c r="D109" t="str">
        <f>'2020_5-2-2_Download'!$I$7</f>
        <v>niedrig</v>
      </c>
      <c r="E109" t="s">
        <v>362</v>
      </c>
      <c r="F109" t="str">
        <f>VLOOKUP(A1513,[2]Kreise!$A$2:$C$53,3,FALSE)</f>
        <v>K03151</v>
      </c>
      <c r="G109">
        <f>'2020_5-2-2_Download'!I13</f>
        <v>24.593183911575068</v>
      </c>
    </row>
    <row r="110" spans="1:7">
      <c r="A110">
        <f>'2020_5-2-2_Download'!B14</f>
        <v>153</v>
      </c>
      <c r="B110">
        <f>'2020_5-2-2_Download'!$D$5</f>
        <v>2020</v>
      </c>
      <c r="C110" t="str">
        <f>VLOOKUP(A1514,[1]Tabelle1!$A$1:$B$68,2,FALSE)</f>
        <v>Goslar</v>
      </c>
      <c r="D110" t="str">
        <f>'2020_5-2-2_Download'!$I$7</f>
        <v>niedrig</v>
      </c>
      <c r="E110" t="s">
        <v>362</v>
      </c>
      <c r="F110" t="str">
        <f>VLOOKUP(A1514,[2]Kreise!$A$2:$C$53,3,FALSE)</f>
        <v>K03153</v>
      </c>
      <c r="G110">
        <f>'2020_5-2-2_Download'!I14</f>
        <v>26.13953488372093</v>
      </c>
    </row>
    <row r="111" spans="1:7">
      <c r="A111">
        <f>'2020_5-2-2_Download'!B15</f>
        <v>154</v>
      </c>
      <c r="B111">
        <f>'2020_5-2-2_Download'!$D$5</f>
        <v>2020</v>
      </c>
      <c r="C111" t="str">
        <f>VLOOKUP(A1515,[1]Tabelle1!$A$1:$B$68,2,FALSE)</f>
        <v>Helmstedt</v>
      </c>
      <c r="D111" t="str">
        <f>'2020_5-2-2_Download'!$I$7</f>
        <v>niedrig</v>
      </c>
      <c r="E111" t="s">
        <v>362</v>
      </c>
      <c r="F111" t="str">
        <f>VLOOKUP(A1515,[2]Kreise!$A$2:$C$53,3,FALSE)</f>
        <v>K03154</v>
      </c>
      <c r="G111">
        <f>'2020_5-2-2_Download'!I15</f>
        <v>22.810111699000586</v>
      </c>
    </row>
    <row r="112" spans="1:7">
      <c r="A112">
        <f>'2020_5-2-2_Download'!B16</f>
        <v>155</v>
      </c>
      <c r="B112">
        <f>'2020_5-2-2_Download'!$D$5</f>
        <v>2020</v>
      </c>
      <c r="C112" t="str">
        <f>VLOOKUP(A1516,[1]Tabelle1!$A$1:$B$68,2,FALSE)</f>
        <v>Northeim</v>
      </c>
      <c r="D112" t="str">
        <f>'2020_5-2-2_Download'!$I$7</f>
        <v>niedrig</v>
      </c>
      <c r="E112" t="s">
        <v>362</v>
      </c>
      <c r="F112" t="str">
        <f>VLOOKUP(A1516,[2]Kreise!$A$2:$C$53,3,FALSE)</f>
        <v>K03155</v>
      </c>
      <c r="G112">
        <f>'2020_5-2-2_Download'!I16</f>
        <v>23.565573770491802</v>
      </c>
    </row>
    <row r="113" spans="1:7">
      <c r="A113">
        <f>'2020_5-2-2_Download'!B17</f>
        <v>157</v>
      </c>
      <c r="B113">
        <f>'2020_5-2-2_Download'!$D$5</f>
        <v>2020</v>
      </c>
      <c r="C113" t="str">
        <f>VLOOKUP(A1517,[1]Tabelle1!$A$1:$B$68,2,FALSE)</f>
        <v>Peine</v>
      </c>
      <c r="D113" t="str">
        <f>'2020_5-2-2_Download'!$I$7</f>
        <v>niedrig</v>
      </c>
      <c r="E113" t="s">
        <v>362</v>
      </c>
      <c r="F113" t="str">
        <f>VLOOKUP(A1517,[2]Kreise!$A$2:$C$53,3,FALSE)</f>
        <v>K03157</v>
      </c>
      <c r="G113">
        <f>'2020_5-2-2_Download'!I17</f>
        <v>28.325415676959619</v>
      </c>
    </row>
    <row r="114" spans="1:7">
      <c r="A114">
        <f>'2020_5-2-2_Download'!B18</f>
        <v>158</v>
      </c>
      <c r="B114">
        <f>'2020_5-2-2_Download'!$D$5</f>
        <v>2020</v>
      </c>
      <c r="C114" t="str">
        <f>VLOOKUP(A1518,[1]Tabelle1!$A$1:$B$68,2,FALSE)</f>
        <v>Wolfenbüttel</v>
      </c>
      <c r="D114" t="str">
        <f>'2020_5-2-2_Download'!$I$7</f>
        <v>niedrig</v>
      </c>
      <c r="E114" t="s">
        <v>362</v>
      </c>
      <c r="F114" t="str">
        <f>VLOOKUP(A1518,[2]Kreise!$A$2:$C$53,3,FALSE)</f>
        <v>K03158</v>
      </c>
      <c r="G114">
        <f>'2020_5-2-2_Download'!I18</f>
        <v>23.896595208070618</v>
      </c>
    </row>
    <row r="115" spans="1:7">
      <c r="A115">
        <f>'2020_5-2-2_Download'!B19</f>
        <v>159</v>
      </c>
      <c r="B115">
        <f>'2020_5-2-2_Download'!$D$5</f>
        <v>2020</v>
      </c>
      <c r="C115" t="str">
        <f>VLOOKUP(A1519,[1]Tabelle1!$A$1:$B$68,2,FALSE)</f>
        <v>Göttingen</v>
      </c>
      <c r="D115" t="str">
        <f>'2020_5-2-2_Download'!$I$7</f>
        <v>niedrig</v>
      </c>
      <c r="E115" t="s">
        <v>362</v>
      </c>
      <c r="F115" t="str">
        <f>VLOOKUP(A1519,[2]Kreise!$A$2:$C$53,3,FALSE)</f>
        <v>K03159</v>
      </c>
      <c r="G115">
        <f>'2020_5-2-2_Download'!I19</f>
        <v>25.31272246516831</v>
      </c>
    </row>
    <row r="116" spans="1:7">
      <c r="A116">
        <f>'2020_5-2-2_Download'!B20</f>
        <v>1</v>
      </c>
      <c r="B116">
        <f>'2020_5-2-2_Download'!$D$5</f>
        <v>2020</v>
      </c>
      <c r="C116" t="str">
        <f>VLOOKUP(A1520,[1]Tabelle1!$A$1:$B$68,2,FALSE)</f>
        <v>Stat. Region Braunschweig</v>
      </c>
      <c r="D116" t="str">
        <f>'2020_5-2-2_Download'!$I$7</f>
        <v>niedrig</v>
      </c>
      <c r="E116" t="s">
        <v>362</v>
      </c>
      <c r="F116" t="str">
        <f>VLOOKUP(A1520,[2]Kreise!$A$2:$C$53,3,FALSE)</f>
        <v>K031</v>
      </c>
      <c r="G116">
        <f>'2020_5-2-2_Download'!I20</f>
        <v>22.524595069763961</v>
      </c>
    </row>
    <row r="117" spans="1:7">
      <c r="A117">
        <f>'2020_5-2-2_Download'!B21</f>
        <v>241</v>
      </c>
      <c r="B117">
        <f>'2020_5-2-2_Download'!$D$5</f>
        <v>2020</v>
      </c>
      <c r="C117" t="str">
        <f>VLOOKUP(A1521,[1]Tabelle1!$A$1:$B$68,2,FALSE)</f>
        <v>Hannover  Region</v>
      </c>
      <c r="D117" t="str">
        <f>'2020_5-2-2_Download'!$I$7</f>
        <v>niedrig</v>
      </c>
      <c r="E117" t="s">
        <v>362</v>
      </c>
      <c r="F117" t="str">
        <f>VLOOKUP(A1521,[2]Kreise!$A$2:$C$53,3,FALSE)</f>
        <v>K03241</v>
      </c>
      <c r="G117">
        <f>'2020_5-2-2_Download'!I21</f>
        <v>27.765359560607997</v>
      </c>
    </row>
    <row r="118" spans="1:7">
      <c r="A118">
        <f>'2020_5-2-2_Download'!B22</f>
        <v>241001</v>
      </c>
      <c r="B118">
        <f>'2020_5-2-2_Download'!$D$5</f>
        <v>2020</v>
      </c>
      <c r="C118" t="str">
        <f>VLOOKUP(A1522,[1]Tabelle1!$A$1:$B$68,2,FALSE)</f>
        <v>dav. Hannover  Lhst.</v>
      </c>
      <c r="D118" t="str">
        <f>'2020_5-2-2_Download'!$I$7</f>
        <v>niedrig</v>
      </c>
      <c r="E118" t="s">
        <v>362</v>
      </c>
      <c r="F118" t="str">
        <f>VLOOKUP(A1522,[2]Kreise!$A$2:$C$53,3,FALSE)</f>
        <v>K03241001</v>
      </c>
      <c r="G118">
        <f>'2020_5-2-2_Download'!I22</f>
        <v>27.053973979131779</v>
      </c>
    </row>
    <row r="119" spans="1:7">
      <c r="A119">
        <f>'2020_5-2-2_Download'!B23</f>
        <v>241999</v>
      </c>
      <c r="B119">
        <f>'2020_5-2-2_Download'!$D$5</f>
        <v>2020</v>
      </c>
      <c r="C119" t="str">
        <f>VLOOKUP(A1523,[1]Tabelle1!$A$1:$B$68,2,FALSE)</f>
        <v>dav. Hannover  Umland</v>
      </c>
      <c r="D119" t="str">
        <f>'2020_5-2-2_Download'!$I$7</f>
        <v>niedrig</v>
      </c>
      <c r="E119" t="s">
        <v>362</v>
      </c>
      <c r="F119" t="str">
        <f>VLOOKUP(A1523,[2]Kreise!$A$2:$C$53,3,FALSE)</f>
        <v>K03241999</v>
      </c>
      <c r="G119">
        <f>'2020_5-2-2_Download'!I23</f>
        <v>28.924717638661463</v>
      </c>
    </row>
    <row r="120" spans="1:7">
      <c r="A120">
        <f>'2020_5-2-2_Download'!B24</f>
        <v>251</v>
      </c>
      <c r="B120">
        <f>'2020_5-2-2_Download'!$D$5</f>
        <v>2020</v>
      </c>
      <c r="C120" t="str">
        <f>VLOOKUP(A1524,[1]Tabelle1!$A$1:$B$68,2,FALSE)</f>
        <v>Diepholz</v>
      </c>
      <c r="D120" t="str">
        <f>'2020_5-2-2_Download'!$I$7</f>
        <v>niedrig</v>
      </c>
      <c r="E120" t="s">
        <v>362</v>
      </c>
      <c r="F120" t="str">
        <f>VLOOKUP(A1524,[2]Kreise!$A$2:$C$53,3,FALSE)</f>
        <v>K03251</v>
      </c>
      <c r="G120">
        <f>'2020_5-2-2_Download'!I24</f>
        <v>24.340309372156504</v>
      </c>
    </row>
    <row r="121" spans="1:7">
      <c r="A121">
        <f>'2020_5-2-2_Download'!B25</f>
        <v>252</v>
      </c>
      <c r="B121">
        <f>'2020_5-2-2_Download'!$D$5</f>
        <v>2020</v>
      </c>
      <c r="C121" t="str">
        <f>VLOOKUP(A1525,[1]Tabelle1!$A$1:$B$68,2,FALSE)</f>
        <v>Hameln-Pyrmont</v>
      </c>
      <c r="D121" t="str">
        <f>'2020_5-2-2_Download'!$I$7</f>
        <v>niedrig</v>
      </c>
      <c r="E121" t="s">
        <v>362</v>
      </c>
      <c r="F121" t="str">
        <f>VLOOKUP(A1525,[2]Kreise!$A$2:$C$53,3,FALSE)</f>
        <v>K03252</v>
      </c>
      <c r="G121">
        <f>'2020_5-2-2_Download'!I25</f>
        <v>28.273520853540251</v>
      </c>
    </row>
    <row r="122" spans="1:7">
      <c r="A122">
        <f>'2020_5-2-2_Download'!B26</f>
        <v>254</v>
      </c>
      <c r="B122">
        <f>'2020_5-2-2_Download'!$D$5</f>
        <v>2020</v>
      </c>
      <c r="C122" t="str">
        <f>VLOOKUP(A1526,[1]Tabelle1!$A$1:$B$68,2,FALSE)</f>
        <v>Hildesheim</v>
      </c>
      <c r="D122" t="str">
        <f>'2020_5-2-2_Download'!$I$7</f>
        <v>niedrig</v>
      </c>
      <c r="E122" t="s">
        <v>362</v>
      </c>
      <c r="F122" t="str">
        <f>VLOOKUP(A1526,[2]Kreise!$A$2:$C$53,3,FALSE)</f>
        <v>K03254</v>
      </c>
      <c r="G122">
        <f>'2020_5-2-2_Download'!I26</f>
        <v>25.444977557653615</v>
      </c>
    </row>
    <row r="123" spans="1:7">
      <c r="A123">
        <f>'2020_5-2-2_Download'!B27</f>
        <v>255</v>
      </c>
      <c r="B123">
        <f>'2020_5-2-2_Download'!$D$5</f>
        <v>2020</v>
      </c>
      <c r="C123" t="str">
        <f>VLOOKUP(A1527,[1]Tabelle1!$A$1:$B$68,2,FALSE)</f>
        <v>Holzminden</v>
      </c>
      <c r="D123" t="str">
        <f>'2020_5-2-2_Download'!$I$7</f>
        <v>niedrig</v>
      </c>
      <c r="E123" t="s">
        <v>362</v>
      </c>
      <c r="F123" t="str">
        <f>VLOOKUP(A1527,[2]Kreise!$A$2:$C$53,3,FALSE)</f>
        <v>K03255</v>
      </c>
      <c r="G123">
        <f>'2020_5-2-2_Download'!I27</f>
        <v>27.830188679245282</v>
      </c>
    </row>
    <row r="124" spans="1:7">
      <c r="A124">
        <f>'2020_5-2-2_Download'!B28</f>
        <v>256</v>
      </c>
      <c r="B124">
        <f>'2020_5-2-2_Download'!$D$5</f>
        <v>2020</v>
      </c>
      <c r="C124" t="str">
        <f>VLOOKUP(A1528,[1]Tabelle1!$A$1:$B$68,2,FALSE)</f>
        <v>Nienburg (Weser)</v>
      </c>
      <c r="D124" t="str">
        <f>'2020_5-2-2_Download'!$I$7</f>
        <v>niedrig</v>
      </c>
      <c r="E124" t="s">
        <v>362</v>
      </c>
      <c r="F124" t="str">
        <f>VLOOKUP(A1528,[2]Kreise!$A$2:$C$53,3,FALSE)</f>
        <v>K03256</v>
      </c>
      <c r="G124">
        <f>'2020_5-2-2_Download'!I28</f>
        <v>30.098873304207864</v>
      </c>
    </row>
    <row r="125" spans="1:7">
      <c r="A125">
        <f>'2020_5-2-2_Download'!B29</f>
        <v>257</v>
      </c>
      <c r="B125">
        <f>'2020_5-2-2_Download'!$D$5</f>
        <v>2020</v>
      </c>
      <c r="C125" t="str">
        <f>VLOOKUP(A1529,[1]Tabelle1!$A$1:$B$68,2,FALSE)</f>
        <v>Schaumburg</v>
      </c>
      <c r="D125" t="str">
        <f>'2020_5-2-2_Download'!$I$7</f>
        <v>niedrig</v>
      </c>
      <c r="E125" t="s">
        <v>362</v>
      </c>
      <c r="F125" t="str">
        <f>VLOOKUP(A1529,[2]Kreise!$A$2:$C$53,3,FALSE)</f>
        <v>K03257</v>
      </c>
      <c r="G125">
        <f>'2020_5-2-2_Download'!I29</f>
        <v>27.498705334023821</v>
      </c>
    </row>
    <row r="126" spans="1:7">
      <c r="A126">
        <f>'2020_5-2-2_Download'!B30</f>
        <v>2</v>
      </c>
      <c r="B126">
        <f>'2020_5-2-2_Download'!$D$5</f>
        <v>2020</v>
      </c>
      <c r="C126" t="str">
        <f>VLOOKUP(A1530,[1]Tabelle1!$A$1:$B$68,2,FALSE)</f>
        <v>Stat. Region Hannover</v>
      </c>
      <c r="D126" t="str">
        <f>'2020_5-2-2_Download'!$I$7</f>
        <v>niedrig</v>
      </c>
      <c r="E126" t="s">
        <v>362</v>
      </c>
      <c r="F126" t="str">
        <f>VLOOKUP(A1530,[2]Kreise!$A$2:$C$53,3,FALSE)</f>
        <v>K032</v>
      </c>
      <c r="G126">
        <f>'2020_5-2-2_Download'!I30</f>
        <v>27.471901325050833</v>
      </c>
    </row>
    <row r="127" spans="1:7">
      <c r="A127">
        <f>'2020_5-2-2_Download'!B31</f>
        <v>351</v>
      </c>
      <c r="B127">
        <f>'2020_5-2-2_Download'!$D$5</f>
        <v>2020</v>
      </c>
      <c r="C127" t="str">
        <f>VLOOKUP(A1531,[1]Tabelle1!$A$1:$B$68,2,FALSE)</f>
        <v>Celle</v>
      </c>
      <c r="D127" t="str">
        <f>'2020_5-2-2_Download'!$I$7</f>
        <v>niedrig</v>
      </c>
      <c r="E127" t="s">
        <v>362</v>
      </c>
      <c r="F127" t="str">
        <f>VLOOKUP(A1531,[2]Kreise!$A$2:$C$53,3,FALSE)</f>
        <v>K03351</v>
      </c>
      <c r="G127">
        <f>'2020_5-2-2_Download'!I31</f>
        <v>31.378299120234605</v>
      </c>
    </row>
    <row r="128" spans="1:7">
      <c r="A128">
        <f>'2020_5-2-2_Download'!B32</f>
        <v>352</v>
      </c>
      <c r="B128">
        <f>'2020_5-2-2_Download'!$D$5</f>
        <v>2020</v>
      </c>
      <c r="C128" t="str">
        <f>VLOOKUP(A1532,[1]Tabelle1!$A$1:$B$68,2,FALSE)</f>
        <v>Cuxhaven</v>
      </c>
      <c r="D128" t="str">
        <f>'2020_5-2-2_Download'!$I$7</f>
        <v>niedrig</v>
      </c>
      <c r="E128" t="s">
        <v>362</v>
      </c>
      <c r="F128" t="str">
        <f>VLOOKUP(A1532,[2]Kreise!$A$2:$C$53,3,FALSE)</f>
        <v>K03352</v>
      </c>
      <c r="G128">
        <f>'2020_5-2-2_Download'!I32</f>
        <v>26.162260711030083</v>
      </c>
    </row>
    <row r="129" spans="1:7">
      <c r="A129">
        <f>'2020_5-2-2_Download'!B33</f>
        <v>353</v>
      </c>
      <c r="B129">
        <f>'2020_5-2-2_Download'!$D$5</f>
        <v>2020</v>
      </c>
      <c r="C129" t="str">
        <f>VLOOKUP(A1533,[1]Tabelle1!$A$1:$B$68,2,FALSE)</f>
        <v>Harburg</v>
      </c>
      <c r="D129" t="str">
        <f>'2020_5-2-2_Download'!$I$7</f>
        <v>niedrig</v>
      </c>
      <c r="E129" t="s">
        <v>362</v>
      </c>
      <c r="F129" t="str">
        <f>VLOOKUP(A1533,[2]Kreise!$A$2:$C$53,3,FALSE)</f>
        <v>K03353</v>
      </c>
      <c r="G129">
        <f>'2020_5-2-2_Download'!I33</f>
        <v>28.633049193796857</v>
      </c>
    </row>
    <row r="130" spans="1:7">
      <c r="A130">
        <f>'2020_5-2-2_Download'!B34</f>
        <v>354</v>
      </c>
      <c r="B130">
        <f>'2020_5-2-2_Download'!$D$5</f>
        <v>2020</v>
      </c>
      <c r="C130" t="str">
        <f>VLOOKUP(A1534,[1]Tabelle1!$A$1:$B$68,2,FALSE)</f>
        <v>Lüchow-Dannenberg</v>
      </c>
      <c r="D130" t="str">
        <f>'2020_5-2-2_Download'!$I$7</f>
        <v>niedrig</v>
      </c>
      <c r="E130" t="s">
        <v>362</v>
      </c>
      <c r="F130" t="str">
        <f>VLOOKUP(A1534,[2]Kreise!$A$2:$C$53,3,FALSE)</f>
        <v>K03354</v>
      </c>
      <c r="G130">
        <f>'2020_5-2-2_Download'!I34</f>
        <v>16.666666666666668</v>
      </c>
    </row>
    <row r="131" spans="1:7">
      <c r="A131">
        <f>'2020_5-2-2_Download'!B35</f>
        <v>355</v>
      </c>
      <c r="B131">
        <f>'2020_5-2-2_Download'!$D$5</f>
        <v>2020</v>
      </c>
      <c r="C131" t="str">
        <f>VLOOKUP(A1535,[1]Tabelle1!$A$1:$B$68,2,FALSE)</f>
        <v>Lüneburg</v>
      </c>
      <c r="D131" t="str">
        <f>'2020_5-2-2_Download'!$I$7</f>
        <v>niedrig</v>
      </c>
      <c r="E131" t="s">
        <v>362</v>
      </c>
      <c r="F131" t="str">
        <f>VLOOKUP(A1535,[2]Kreise!$A$2:$C$53,3,FALSE)</f>
        <v>K03355</v>
      </c>
      <c r="G131">
        <f>'2020_5-2-2_Download'!I35</f>
        <v>27.1777890983189</v>
      </c>
    </row>
    <row r="132" spans="1:7">
      <c r="A132">
        <f>'2020_5-2-2_Download'!B36</f>
        <v>356</v>
      </c>
      <c r="B132">
        <f>'2020_5-2-2_Download'!$D$5</f>
        <v>2020</v>
      </c>
      <c r="C132" t="str">
        <f>VLOOKUP(A1536,[1]Tabelle1!$A$1:$B$68,2,FALSE)</f>
        <v>Osterholz</v>
      </c>
      <c r="D132" t="str">
        <f>'2020_5-2-2_Download'!$I$7</f>
        <v>niedrig</v>
      </c>
      <c r="E132" t="s">
        <v>362</v>
      </c>
      <c r="F132" t="str">
        <f>VLOOKUP(A1536,[2]Kreise!$A$2:$C$53,3,FALSE)</f>
        <v>K03356</v>
      </c>
      <c r="G132">
        <f>'2020_5-2-2_Download'!I36</f>
        <v>26.633663366336634</v>
      </c>
    </row>
    <row r="133" spans="1:7">
      <c r="A133">
        <f>'2020_5-2-2_Download'!B37</f>
        <v>357</v>
      </c>
      <c r="B133">
        <f>'2020_5-2-2_Download'!$D$5</f>
        <v>2020</v>
      </c>
      <c r="C133" t="str">
        <f>VLOOKUP(A1537,[1]Tabelle1!$A$1:$B$68,2,FALSE)</f>
        <v>Rotenburg (Wümme)</v>
      </c>
      <c r="D133" t="str">
        <f>'2020_5-2-2_Download'!$I$7</f>
        <v>niedrig</v>
      </c>
      <c r="E133" t="s">
        <v>362</v>
      </c>
      <c r="F133" t="str">
        <f>VLOOKUP(A1537,[2]Kreise!$A$2:$C$53,3,FALSE)</f>
        <v>K03357</v>
      </c>
      <c r="G133">
        <f>'2020_5-2-2_Download'!I37</f>
        <v>26.37149028077754</v>
      </c>
    </row>
    <row r="134" spans="1:7">
      <c r="A134">
        <f>'2020_5-2-2_Download'!B38</f>
        <v>358</v>
      </c>
      <c r="B134">
        <f>'2020_5-2-2_Download'!$D$5</f>
        <v>2020</v>
      </c>
      <c r="C134" t="str">
        <f>VLOOKUP(A1538,[1]Tabelle1!$A$1:$B$68,2,FALSE)</f>
        <v>Heidekreis</v>
      </c>
      <c r="D134" t="str">
        <f>'2020_5-2-2_Download'!$I$7</f>
        <v>niedrig</v>
      </c>
      <c r="E134" t="s">
        <v>362</v>
      </c>
      <c r="F134" t="str">
        <f>VLOOKUP(A1538,[2]Kreise!$A$2:$C$53,3,FALSE)</f>
        <v>K03358</v>
      </c>
      <c r="G134">
        <f>'2020_5-2-2_Download'!I38</f>
        <v>21.798745061584942</v>
      </c>
    </row>
    <row r="135" spans="1:7">
      <c r="A135">
        <f>'2020_5-2-2_Download'!B39</f>
        <v>359</v>
      </c>
      <c r="B135">
        <f>'2020_5-2-2_Download'!$D$5</f>
        <v>2020</v>
      </c>
      <c r="C135" t="str">
        <f>VLOOKUP(A1539,[1]Tabelle1!$A$1:$B$68,2,FALSE)</f>
        <v>Stade</v>
      </c>
      <c r="D135" t="str">
        <f>'2020_5-2-2_Download'!$I$7</f>
        <v>niedrig</v>
      </c>
      <c r="E135" t="s">
        <v>362</v>
      </c>
      <c r="F135" t="str">
        <f>VLOOKUP(A1539,[2]Kreise!$A$2:$C$53,3,FALSE)</f>
        <v>K03359</v>
      </c>
      <c r="G135">
        <f>'2020_5-2-2_Download'!I39</f>
        <v>22.948586993530814</v>
      </c>
    </row>
    <row r="136" spans="1:7">
      <c r="A136">
        <f>'2020_5-2-2_Download'!B40</f>
        <v>360</v>
      </c>
      <c r="B136">
        <f>'2020_5-2-2_Download'!$D$5</f>
        <v>2020</v>
      </c>
      <c r="C136" t="str">
        <f>VLOOKUP(A1540,[1]Tabelle1!$A$1:$B$68,2,FALSE)</f>
        <v>Uelzen</v>
      </c>
      <c r="D136" t="str">
        <f>'2020_5-2-2_Download'!$I$7</f>
        <v>niedrig</v>
      </c>
      <c r="E136" t="s">
        <v>362</v>
      </c>
      <c r="F136" t="str">
        <f>VLOOKUP(A1540,[2]Kreise!$A$2:$C$53,3,FALSE)</f>
        <v>K03360</v>
      </c>
      <c r="G136">
        <f>'2020_5-2-2_Download'!I40</f>
        <v>22.116527942925089</v>
      </c>
    </row>
    <row r="137" spans="1:7">
      <c r="A137">
        <f>'2020_5-2-2_Download'!B41</f>
        <v>361</v>
      </c>
      <c r="B137">
        <f>'2020_5-2-2_Download'!$D$5</f>
        <v>2020</v>
      </c>
      <c r="C137" t="str">
        <f>VLOOKUP(A1541,[1]Tabelle1!$A$1:$B$68,2,FALSE)</f>
        <v>Verden</v>
      </c>
      <c r="D137" t="str">
        <f>'2020_5-2-2_Download'!$I$7</f>
        <v>niedrig</v>
      </c>
      <c r="E137" t="s">
        <v>362</v>
      </c>
      <c r="F137" t="str">
        <f>VLOOKUP(A1541,[2]Kreise!$A$2:$C$53,3,FALSE)</f>
        <v>K03361</v>
      </c>
      <c r="G137">
        <f>'2020_5-2-2_Download'!I41</f>
        <v>27.83798187955232</v>
      </c>
    </row>
    <row r="138" spans="1:7">
      <c r="A138">
        <f>'2020_5-2-2_Download'!B42</f>
        <v>3</v>
      </c>
      <c r="B138">
        <f>'2020_5-2-2_Download'!$D$5</f>
        <v>2020</v>
      </c>
      <c r="C138" t="str">
        <f>VLOOKUP(A1542,[1]Tabelle1!$A$1:$B$68,2,FALSE)</f>
        <v>Stat. Region Lüneburg</v>
      </c>
      <c r="D138" t="str">
        <f>'2020_5-2-2_Download'!$I$7</f>
        <v>niedrig</v>
      </c>
      <c r="E138" t="s">
        <v>362</v>
      </c>
      <c r="F138" t="str">
        <f>VLOOKUP(A1542,[2]Kreise!$A$2:$C$53,3,FALSE)</f>
        <v>K033</v>
      </c>
      <c r="G138">
        <f>'2020_5-2-2_Download'!I42</f>
        <v>26.35708362569369</v>
      </c>
    </row>
    <row r="139" spans="1:7">
      <c r="A139">
        <f>'2020_5-2-2_Download'!B43</f>
        <v>401</v>
      </c>
      <c r="B139">
        <f>'2020_5-2-2_Download'!$D$5</f>
        <v>2020</v>
      </c>
      <c r="C139" t="str">
        <f>VLOOKUP(A1543,[1]Tabelle1!$A$1:$B$68,2,FALSE)</f>
        <v>Delmenhorst  Stadt</v>
      </c>
      <c r="D139" t="str">
        <f>'2020_5-2-2_Download'!$I$7</f>
        <v>niedrig</v>
      </c>
      <c r="E139" t="s">
        <v>362</v>
      </c>
      <c r="F139" t="str">
        <f>VLOOKUP(A1543,[2]Kreise!$A$2:$C$53,3,FALSE)</f>
        <v>K03401</v>
      </c>
      <c r="G139">
        <f>'2020_5-2-2_Download'!I43</f>
        <v>32.13519313304721</v>
      </c>
    </row>
    <row r="140" spans="1:7">
      <c r="A140">
        <f>'2020_5-2-2_Download'!B44</f>
        <v>402</v>
      </c>
      <c r="B140">
        <f>'2020_5-2-2_Download'!$D$5</f>
        <v>2020</v>
      </c>
      <c r="C140" t="str">
        <f>VLOOKUP(A1544,[1]Tabelle1!$A$1:$B$68,2,FALSE)</f>
        <v>Emden  Stadt</v>
      </c>
      <c r="D140" t="str">
        <f>'2020_5-2-2_Download'!$I$7</f>
        <v>niedrig</v>
      </c>
      <c r="E140" t="s">
        <v>362</v>
      </c>
      <c r="F140" t="str">
        <f>VLOOKUP(A1544,[2]Kreise!$A$2:$C$53,3,FALSE)</f>
        <v>K03402</v>
      </c>
      <c r="G140">
        <f>'2020_5-2-2_Download'!I44</f>
        <v>26.330224904004389</v>
      </c>
    </row>
    <row r="141" spans="1:7">
      <c r="A141">
        <f>'2020_5-2-2_Download'!B45</f>
        <v>403</v>
      </c>
      <c r="B141">
        <f>'2020_5-2-2_Download'!$D$5</f>
        <v>2020</v>
      </c>
      <c r="C141" t="str">
        <f>VLOOKUP(A1545,[1]Tabelle1!$A$1:$B$68,2,FALSE)</f>
        <v>Oldenburg(Oldb)  Stadt</v>
      </c>
      <c r="D141" t="str">
        <f>'2020_5-2-2_Download'!$I$7</f>
        <v>niedrig</v>
      </c>
      <c r="E141" t="s">
        <v>362</v>
      </c>
      <c r="F141" t="str">
        <f>VLOOKUP(A1545,[2]Kreise!$A$2:$C$53,3,FALSE)</f>
        <v>K03403</v>
      </c>
      <c r="G141">
        <f>'2020_5-2-2_Download'!I45</f>
        <v>29.11392405063291</v>
      </c>
    </row>
    <row r="142" spans="1:7">
      <c r="A142">
        <f>'2020_5-2-2_Download'!B46</f>
        <v>404</v>
      </c>
      <c r="B142">
        <f>'2020_5-2-2_Download'!$D$5</f>
        <v>2020</v>
      </c>
      <c r="C142" t="str">
        <f>VLOOKUP(A1546,[1]Tabelle1!$A$1:$B$68,2,FALSE)</f>
        <v>Osnabrück  Stadt</v>
      </c>
      <c r="D142" t="str">
        <f>'2020_5-2-2_Download'!$I$7</f>
        <v>niedrig</v>
      </c>
      <c r="E142" t="s">
        <v>362</v>
      </c>
      <c r="F142" t="str">
        <f>VLOOKUP(A1546,[2]Kreise!$A$2:$C$53,3,FALSE)</f>
        <v>K03404</v>
      </c>
      <c r="G142">
        <f>'2020_5-2-2_Download'!I46</f>
        <v>32.293432802079799</v>
      </c>
    </row>
    <row r="143" spans="1:7">
      <c r="A143">
        <f>'2020_5-2-2_Download'!B47</f>
        <v>405</v>
      </c>
      <c r="B143">
        <f>'2020_5-2-2_Download'!$D$5</f>
        <v>2020</v>
      </c>
      <c r="C143" t="str">
        <f>VLOOKUP(A1547,[1]Tabelle1!$A$1:$B$68,2,FALSE)</f>
        <v>Wilhelmshaven  Stadt</v>
      </c>
      <c r="D143" t="str">
        <f>'2020_5-2-2_Download'!$I$7</f>
        <v>niedrig</v>
      </c>
      <c r="E143" t="s">
        <v>362</v>
      </c>
      <c r="F143" t="str">
        <f>VLOOKUP(A1547,[2]Kreise!$A$2:$C$53,3,FALSE)</f>
        <v>K03405</v>
      </c>
      <c r="G143">
        <f>'2020_5-2-2_Download'!I47</f>
        <v>33.423180592991912</v>
      </c>
    </row>
    <row r="144" spans="1:7">
      <c r="A144">
        <f>'2020_5-2-2_Download'!B48</f>
        <v>451</v>
      </c>
      <c r="B144">
        <f>'2020_5-2-2_Download'!$D$5</f>
        <v>2020</v>
      </c>
      <c r="C144" t="str">
        <f>VLOOKUP(A1548,[1]Tabelle1!$A$1:$B$68,2,FALSE)</f>
        <v>Ammerland</v>
      </c>
      <c r="D144" t="str">
        <f>'2020_5-2-2_Download'!$I$7</f>
        <v>niedrig</v>
      </c>
      <c r="E144" t="s">
        <v>362</v>
      </c>
      <c r="F144" t="str">
        <f>VLOOKUP(A1548,[2]Kreise!$A$2:$C$53,3,FALSE)</f>
        <v>K03451</v>
      </c>
      <c r="G144">
        <f>'2020_5-2-2_Download'!I48</f>
        <v>26.896219600288948</v>
      </c>
    </row>
    <row r="145" spans="1:7">
      <c r="A145">
        <f>'2020_5-2-2_Download'!B49</f>
        <v>452</v>
      </c>
      <c r="B145">
        <f>'2020_5-2-2_Download'!$D$5</f>
        <v>2020</v>
      </c>
      <c r="C145" t="str">
        <f>VLOOKUP(A1549,[1]Tabelle1!$A$1:$B$68,2,FALSE)</f>
        <v>Aurich</v>
      </c>
      <c r="D145" t="str">
        <f>'2020_5-2-2_Download'!$I$7</f>
        <v>niedrig</v>
      </c>
      <c r="E145" t="s">
        <v>362</v>
      </c>
      <c r="F145" t="str">
        <f>VLOOKUP(A1549,[2]Kreise!$A$2:$C$53,3,FALSE)</f>
        <v>K03452</v>
      </c>
      <c r="G145">
        <f>'2020_5-2-2_Download'!I49</f>
        <v>27.209414024975985</v>
      </c>
    </row>
    <row r="146" spans="1:7">
      <c r="A146">
        <f>'2020_5-2-2_Download'!B50</f>
        <v>453</v>
      </c>
      <c r="B146">
        <f>'2020_5-2-2_Download'!$D$5</f>
        <v>2020</v>
      </c>
      <c r="C146" t="str">
        <f>VLOOKUP(A1550,[1]Tabelle1!$A$1:$B$68,2,FALSE)</f>
        <v>Cloppenburg</v>
      </c>
      <c r="D146" t="str">
        <f>'2020_5-2-2_Download'!$I$7</f>
        <v>niedrig</v>
      </c>
      <c r="E146" t="s">
        <v>362</v>
      </c>
      <c r="F146" t="str">
        <f>VLOOKUP(A1550,[2]Kreise!$A$2:$C$53,3,FALSE)</f>
        <v>K03453</v>
      </c>
      <c r="G146">
        <f>'2020_5-2-2_Download'!I50</f>
        <v>30.088412340105343</v>
      </c>
    </row>
    <row r="147" spans="1:7">
      <c r="A147">
        <f>'2020_5-2-2_Download'!B51</f>
        <v>454</v>
      </c>
      <c r="B147">
        <f>'2020_5-2-2_Download'!$D$5</f>
        <v>2020</v>
      </c>
      <c r="C147" t="str">
        <f>VLOOKUP(A1551,[1]Tabelle1!$A$1:$B$68,2,FALSE)</f>
        <v>Emsland</v>
      </c>
      <c r="D147" t="str">
        <f>'2020_5-2-2_Download'!$I$7</f>
        <v>niedrig</v>
      </c>
      <c r="E147" t="s">
        <v>362</v>
      </c>
      <c r="F147" t="str">
        <f>VLOOKUP(A1551,[2]Kreise!$A$2:$C$53,3,FALSE)</f>
        <v>K03454</v>
      </c>
      <c r="G147">
        <f>'2020_5-2-2_Download'!I51</f>
        <v>19.823611946281819</v>
      </c>
    </row>
    <row r="148" spans="1:7">
      <c r="A148">
        <f>'2020_5-2-2_Download'!B52</f>
        <v>455</v>
      </c>
      <c r="B148">
        <f>'2020_5-2-2_Download'!$D$5</f>
        <v>2020</v>
      </c>
      <c r="C148" t="str">
        <f>VLOOKUP(A1552,[1]Tabelle1!$A$1:$B$68,2,FALSE)</f>
        <v>Friesland</v>
      </c>
      <c r="D148" t="str">
        <f>'2020_5-2-2_Download'!$I$7</f>
        <v>niedrig</v>
      </c>
      <c r="E148" t="s">
        <v>362</v>
      </c>
      <c r="F148" t="str">
        <f>VLOOKUP(A1552,[2]Kreise!$A$2:$C$53,3,FALSE)</f>
        <v>K03455</v>
      </c>
      <c r="G148">
        <f>'2020_5-2-2_Download'!I52</f>
        <v>23.097112860892388</v>
      </c>
    </row>
    <row r="149" spans="1:7">
      <c r="A149">
        <f>'2020_5-2-2_Download'!B53</f>
        <v>456</v>
      </c>
      <c r="B149">
        <f>'2020_5-2-2_Download'!$D$5</f>
        <v>2020</v>
      </c>
      <c r="C149" t="str">
        <f>VLOOKUP(A1553,[1]Tabelle1!$A$1:$B$68,2,FALSE)</f>
        <v>Grafschaft Bentheim</v>
      </c>
      <c r="D149" t="str">
        <f>'2020_5-2-2_Download'!$I$7</f>
        <v>niedrig</v>
      </c>
      <c r="E149" t="s">
        <v>362</v>
      </c>
      <c r="F149" t="str">
        <f>VLOOKUP(A1553,[2]Kreise!$A$2:$C$53,3,FALSE)</f>
        <v>K03456</v>
      </c>
      <c r="G149">
        <f>'2020_5-2-2_Download'!I53</f>
        <v>22.107081174438687</v>
      </c>
    </row>
    <row r="150" spans="1:7">
      <c r="A150">
        <f>'2020_5-2-2_Download'!B54</f>
        <v>457</v>
      </c>
      <c r="B150">
        <f>'2020_5-2-2_Download'!$D$5</f>
        <v>2020</v>
      </c>
      <c r="C150" t="str">
        <f>VLOOKUP(A1554,[1]Tabelle1!$A$1:$B$68,2,FALSE)</f>
        <v>Leer</v>
      </c>
      <c r="D150" t="str">
        <f>'2020_5-2-2_Download'!$I$7</f>
        <v>niedrig</v>
      </c>
      <c r="E150" t="s">
        <v>362</v>
      </c>
      <c r="F150" t="str">
        <f>VLOOKUP(A1554,[2]Kreise!$A$2:$C$53,3,FALSE)</f>
        <v>K03457</v>
      </c>
      <c r="G150">
        <f>'2020_5-2-2_Download'!I54</f>
        <v>18.401486988847584</v>
      </c>
    </row>
    <row r="151" spans="1:7">
      <c r="A151">
        <f>'2020_5-2-2_Download'!B55</f>
        <v>458</v>
      </c>
      <c r="B151">
        <f>'2020_5-2-2_Download'!$D$5</f>
        <v>2020</v>
      </c>
      <c r="C151" t="str">
        <f>VLOOKUP(A1555,[1]Tabelle1!$A$1:$B$68,2,FALSE)</f>
        <v>Oldenburg</v>
      </c>
      <c r="D151" t="str">
        <f>'2020_5-2-2_Download'!$I$7</f>
        <v>niedrig</v>
      </c>
      <c r="E151" t="s">
        <v>362</v>
      </c>
      <c r="F151" t="str">
        <f>VLOOKUP(A1555,[2]Kreise!$A$2:$C$53,3,FALSE)</f>
        <v>K03458</v>
      </c>
      <c r="G151">
        <f>'2020_5-2-2_Download'!I55</f>
        <v>27.355543987506508</v>
      </c>
    </row>
    <row r="152" spans="1:7">
      <c r="A152">
        <f>'2020_5-2-2_Download'!B56</f>
        <v>459</v>
      </c>
      <c r="B152">
        <f>'2020_5-2-2_Download'!$D$5</f>
        <v>2020</v>
      </c>
      <c r="C152" t="str">
        <f>VLOOKUP(A1556,[1]Tabelle1!$A$1:$B$68,2,FALSE)</f>
        <v>Osnabrück</v>
      </c>
      <c r="D152" t="str">
        <f>'2020_5-2-2_Download'!$I$7</f>
        <v>niedrig</v>
      </c>
      <c r="E152" t="s">
        <v>362</v>
      </c>
      <c r="F152" t="str">
        <f>VLOOKUP(A1556,[2]Kreise!$A$2:$C$53,3,FALSE)</f>
        <v>K03459</v>
      </c>
      <c r="G152">
        <f>'2020_5-2-2_Download'!I56</f>
        <v>25.374145818038063</v>
      </c>
    </row>
    <row r="153" spans="1:7">
      <c r="A153">
        <f>'2020_5-2-2_Download'!B57</f>
        <v>460</v>
      </c>
      <c r="B153">
        <f>'2020_5-2-2_Download'!$D$5</f>
        <v>2020</v>
      </c>
      <c r="C153" t="str">
        <f>VLOOKUP(A1557,[1]Tabelle1!$A$1:$B$68,2,FALSE)</f>
        <v>Vechta</v>
      </c>
      <c r="D153" t="str">
        <f>'2020_5-2-2_Download'!$I$7</f>
        <v>niedrig</v>
      </c>
      <c r="E153" t="s">
        <v>362</v>
      </c>
      <c r="F153" t="str">
        <f>VLOOKUP(A1557,[2]Kreise!$A$2:$C$53,3,FALSE)</f>
        <v>K03460</v>
      </c>
      <c r="G153">
        <f>'2020_5-2-2_Download'!I57</f>
        <v>27.282463186077646</v>
      </c>
    </row>
    <row r="154" spans="1:7">
      <c r="A154">
        <f>'2020_5-2-2_Download'!B58</f>
        <v>461</v>
      </c>
      <c r="B154">
        <f>'2020_5-2-2_Download'!$D$5</f>
        <v>2020</v>
      </c>
      <c r="C154" t="str">
        <f>VLOOKUP(A1558,[1]Tabelle1!$A$1:$B$68,2,FALSE)</f>
        <v>Wesermarsch</v>
      </c>
      <c r="D154" t="str">
        <f>'2020_5-2-2_Download'!$I$7</f>
        <v>niedrig</v>
      </c>
      <c r="E154" t="s">
        <v>362</v>
      </c>
      <c r="F154" t="str">
        <f>VLOOKUP(A1558,[2]Kreise!$A$2:$C$53,3,FALSE)</f>
        <v>K03461</v>
      </c>
      <c r="G154">
        <f>'2020_5-2-2_Download'!I58</f>
        <v>21.077844311377245</v>
      </c>
    </row>
    <row r="155" spans="1:7">
      <c r="A155">
        <f>'2020_5-2-2_Download'!B59</f>
        <v>462</v>
      </c>
      <c r="B155">
        <f>'2020_5-2-2_Download'!$D$5</f>
        <v>2020</v>
      </c>
      <c r="C155" t="str">
        <f>VLOOKUP(A1559,[1]Tabelle1!$A$1:$B$68,2,FALSE)</f>
        <v>Wittmund</v>
      </c>
      <c r="D155" t="str">
        <f>'2020_5-2-2_Download'!$I$7</f>
        <v>niedrig</v>
      </c>
      <c r="E155" t="s">
        <v>362</v>
      </c>
      <c r="F155" t="str">
        <f>VLOOKUP(A1559,[2]Kreise!$A$2:$C$53,3,FALSE)</f>
        <v>K03462</v>
      </c>
      <c r="G155">
        <f>'2020_5-2-2_Download'!I59</f>
        <v>18.939393939393938</v>
      </c>
    </row>
    <row r="156" spans="1:7">
      <c r="A156">
        <f>'2020_5-2-2_Download'!B60</f>
        <v>4</v>
      </c>
      <c r="B156">
        <f>'2020_5-2-2_Download'!$D$5</f>
        <v>2020</v>
      </c>
      <c r="C156" t="str">
        <f>VLOOKUP(A1560,[1]Tabelle1!$A$1:$B$68,2,FALSE)</f>
        <v>Stat. Region Weser-Ems</v>
      </c>
      <c r="D156" t="str">
        <f>'2020_5-2-2_Download'!$I$7</f>
        <v>niedrig</v>
      </c>
      <c r="E156" t="s">
        <v>362</v>
      </c>
      <c r="F156" t="str">
        <f>VLOOKUP(A1560,[2]Kreise!$A$2:$C$53,3,FALSE)</f>
        <v>K034</v>
      </c>
      <c r="G156">
        <f>'2020_5-2-2_Download'!I60</f>
        <v>25.946131917821685</v>
      </c>
    </row>
    <row r="157" spans="1:7">
      <c r="A157">
        <f>'2020_5-2-2_Download'!B61</f>
        <v>0</v>
      </c>
      <c r="B157">
        <f>'2020_5-2-2_Download'!$D$5</f>
        <v>2020</v>
      </c>
      <c r="C157" t="str">
        <f>VLOOKUP(A1561,[1]Tabelle1!$A$1:$B$68,2,FALSE)</f>
        <v>Niedersachsen</v>
      </c>
      <c r="D157" t="str">
        <f>'2020_5-2-2_Download'!$I$7</f>
        <v>niedrig</v>
      </c>
      <c r="E157" t="s">
        <v>362</v>
      </c>
      <c r="F157" t="str">
        <f>VLOOKUP(A1561,[2]Kreise!$A$2:$C$53,3,FALSE)</f>
        <v>K030</v>
      </c>
      <c r="G157">
        <f>'2020_5-2-2_Download'!I61</f>
        <v>25.853434476044878</v>
      </c>
    </row>
    <row r="158" spans="1:7">
      <c r="A158">
        <f>'2020_5-2-2_Download'!B10</f>
        <v>101</v>
      </c>
      <c r="B158">
        <f>'2020_5-2-2_Download'!$D$5</f>
        <v>2020</v>
      </c>
      <c r="C158" t="str">
        <f>VLOOKUP(A1562,[1]Tabelle1!$A$1:$B$68,2,FALSE)</f>
        <v>Braunschweig  Stadt</v>
      </c>
      <c r="D158" t="str">
        <f>'2020_5-2-2_Download'!$J$7</f>
        <v>unbekannt</v>
      </c>
      <c r="E158" t="s">
        <v>362</v>
      </c>
      <c r="F158" t="str">
        <f>VLOOKUP(A1562,[2]Kreise!$A$2:$C$53,3,FALSE)</f>
        <v>K03101</v>
      </c>
      <c r="G158">
        <f>'2020_5-2-2_Download'!J10</f>
        <v>23.80209687202149</v>
      </c>
    </row>
    <row r="159" spans="1:7">
      <c r="A159">
        <f>'2020_5-2-2_Download'!B11</f>
        <v>102</v>
      </c>
      <c r="B159">
        <f>'2020_5-2-2_Download'!$D$5</f>
        <v>2020</v>
      </c>
      <c r="C159" t="str">
        <f>VLOOKUP(A1563,[1]Tabelle1!$A$1:$B$68,2,FALSE)</f>
        <v>Salzgitter  Stadt</v>
      </c>
      <c r="D159" t="str">
        <f>'2020_5-2-2_Download'!$J$7</f>
        <v>unbekannt</v>
      </c>
      <c r="E159" t="s">
        <v>362</v>
      </c>
      <c r="F159" t="str">
        <f>VLOOKUP(A1563,[2]Kreise!$A$2:$C$53,3,FALSE)</f>
        <v>K03102</v>
      </c>
      <c r="G159">
        <f>'2020_5-2-2_Download'!J11</f>
        <v>29.110291102911027</v>
      </c>
    </row>
    <row r="160" spans="1:7">
      <c r="A160">
        <f>'2020_5-2-2_Download'!B12</f>
        <v>103</v>
      </c>
      <c r="B160">
        <f>'2020_5-2-2_Download'!$D$5</f>
        <v>2020</v>
      </c>
      <c r="C160" t="str">
        <f>VLOOKUP(A1564,[1]Tabelle1!$A$1:$B$68,2,FALSE)</f>
        <v>Wolfsburg  Stadt</v>
      </c>
      <c r="D160" t="str">
        <f>'2020_5-2-2_Download'!$J$7</f>
        <v>unbekannt</v>
      </c>
      <c r="E160" t="s">
        <v>362</v>
      </c>
      <c r="F160" t="str">
        <f>VLOOKUP(A1564,[2]Kreise!$A$2:$C$53,3,FALSE)</f>
        <v>K03103</v>
      </c>
      <c r="G160">
        <f>'2020_5-2-2_Download'!J12</f>
        <v>26.761091830034704</v>
      </c>
    </row>
    <row r="161" spans="1:7">
      <c r="A161">
        <f>'2020_5-2-2_Download'!B13</f>
        <v>151</v>
      </c>
      <c r="B161">
        <f>'2020_5-2-2_Download'!$D$5</f>
        <v>2020</v>
      </c>
      <c r="C161" t="str">
        <f>VLOOKUP(A1565,[1]Tabelle1!$A$1:$B$68,2,FALSE)</f>
        <v>Gifhorn</v>
      </c>
      <c r="D161" t="str">
        <f>'2020_5-2-2_Download'!$J$7</f>
        <v>unbekannt</v>
      </c>
      <c r="E161" t="s">
        <v>362</v>
      </c>
      <c r="F161" t="str">
        <f>VLOOKUP(A1565,[2]Kreise!$A$2:$C$53,3,FALSE)</f>
        <v>K03151</v>
      </c>
      <c r="G161">
        <f>'2020_5-2-2_Download'!J13</f>
        <v>30.610991710162725</v>
      </c>
    </row>
    <row r="162" spans="1:7">
      <c r="A162">
        <f>'2020_5-2-2_Download'!B14</f>
        <v>153</v>
      </c>
      <c r="B162">
        <f>'2020_5-2-2_Download'!$D$5</f>
        <v>2020</v>
      </c>
      <c r="C162" t="str">
        <f>VLOOKUP(A1566,[1]Tabelle1!$A$1:$B$68,2,FALSE)</f>
        <v>Goslar</v>
      </c>
      <c r="D162" t="str">
        <f>'2020_5-2-2_Download'!$J$7</f>
        <v>unbekannt</v>
      </c>
      <c r="E162" t="s">
        <v>362</v>
      </c>
      <c r="F162" t="str">
        <f>VLOOKUP(A1566,[2]Kreise!$A$2:$C$53,3,FALSE)</f>
        <v>K03153</v>
      </c>
      <c r="G162">
        <f>'2020_5-2-2_Download'!J14</f>
        <v>25.829457364341085</v>
      </c>
    </row>
    <row r="163" spans="1:7">
      <c r="A163">
        <f>'2020_5-2-2_Download'!B15</f>
        <v>154</v>
      </c>
      <c r="B163">
        <f>'2020_5-2-2_Download'!$D$5</f>
        <v>2020</v>
      </c>
      <c r="C163" t="str">
        <f>VLOOKUP(A1567,[1]Tabelle1!$A$1:$B$68,2,FALSE)</f>
        <v>Helmstedt</v>
      </c>
      <c r="D163" t="str">
        <f>'2020_5-2-2_Download'!$J$7</f>
        <v>unbekannt</v>
      </c>
      <c r="E163" t="s">
        <v>362</v>
      </c>
      <c r="F163" t="str">
        <f>VLOOKUP(A1567,[2]Kreise!$A$2:$C$53,3,FALSE)</f>
        <v>K03154</v>
      </c>
      <c r="G163">
        <f>'2020_5-2-2_Download'!J15</f>
        <v>20.105820105820104</v>
      </c>
    </row>
    <row r="164" spans="1:7">
      <c r="A164">
        <f>'2020_5-2-2_Download'!B16</f>
        <v>155</v>
      </c>
      <c r="B164">
        <f>'2020_5-2-2_Download'!$D$5</f>
        <v>2020</v>
      </c>
      <c r="C164" t="str">
        <f>VLOOKUP(A1568,[1]Tabelle1!$A$1:$B$68,2,FALSE)</f>
        <v>Northeim</v>
      </c>
      <c r="D164" t="str">
        <f>'2020_5-2-2_Download'!$J$7</f>
        <v>unbekannt</v>
      </c>
      <c r="E164" t="s">
        <v>362</v>
      </c>
      <c r="F164" t="str">
        <f>VLOOKUP(A1568,[2]Kreise!$A$2:$C$53,3,FALSE)</f>
        <v>K03155</v>
      </c>
      <c r="G164">
        <f>'2020_5-2-2_Download'!J16</f>
        <v>23.507025761124122</v>
      </c>
    </row>
    <row r="165" spans="1:7">
      <c r="A165">
        <f>'2020_5-2-2_Download'!B17</f>
        <v>157</v>
      </c>
      <c r="B165">
        <f>'2020_5-2-2_Download'!$D$5</f>
        <v>2020</v>
      </c>
      <c r="C165" t="str">
        <f>VLOOKUP(A1569,[1]Tabelle1!$A$1:$B$68,2,FALSE)</f>
        <v>Peine</v>
      </c>
      <c r="D165" t="str">
        <f>'2020_5-2-2_Download'!$J$7</f>
        <v>unbekannt</v>
      </c>
      <c r="E165" t="s">
        <v>362</v>
      </c>
      <c r="F165" t="str">
        <f>VLOOKUP(A1569,[2]Kreise!$A$2:$C$53,3,FALSE)</f>
        <v>K03157</v>
      </c>
      <c r="G165">
        <f>'2020_5-2-2_Download'!J17</f>
        <v>33.135391923990497</v>
      </c>
    </row>
    <row r="166" spans="1:7">
      <c r="A166">
        <f>'2020_5-2-2_Download'!B18</f>
        <v>158</v>
      </c>
      <c r="B166">
        <f>'2020_5-2-2_Download'!$D$5</f>
        <v>2020</v>
      </c>
      <c r="C166" t="str">
        <f>VLOOKUP(A1570,[1]Tabelle1!$A$1:$B$68,2,FALSE)</f>
        <v>Wolfenbüttel</v>
      </c>
      <c r="D166" t="str">
        <f>'2020_5-2-2_Download'!$J$7</f>
        <v>unbekannt</v>
      </c>
      <c r="E166" t="s">
        <v>362</v>
      </c>
      <c r="F166" t="str">
        <f>VLOOKUP(A1570,[2]Kreise!$A$2:$C$53,3,FALSE)</f>
        <v>K03158</v>
      </c>
      <c r="G166">
        <f>'2020_5-2-2_Download'!J18</f>
        <v>22.446406052963429</v>
      </c>
    </row>
    <row r="167" spans="1:7">
      <c r="A167">
        <f>'2020_5-2-2_Download'!B19</f>
        <v>159</v>
      </c>
      <c r="B167">
        <f>'2020_5-2-2_Download'!$D$5</f>
        <v>2020</v>
      </c>
      <c r="C167" t="str">
        <f>VLOOKUP(A1571,[1]Tabelle1!$A$1:$B$68,2,FALSE)</f>
        <v>Göttingen</v>
      </c>
      <c r="D167" t="str">
        <f>'2020_5-2-2_Download'!$J$7</f>
        <v>unbekannt</v>
      </c>
      <c r="E167" t="s">
        <v>362</v>
      </c>
      <c r="F167" t="str">
        <f>VLOOKUP(A1571,[2]Kreise!$A$2:$C$53,3,FALSE)</f>
        <v>K03159</v>
      </c>
      <c r="G167">
        <f>'2020_5-2-2_Download'!J19</f>
        <v>17.827722973660123</v>
      </c>
    </row>
    <row r="168" spans="1:7">
      <c r="A168">
        <f>'2020_5-2-2_Download'!B20</f>
        <v>1</v>
      </c>
      <c r="B168">
        <f>'2020_5-2-2_Download'!$D$5</f>
        <v>2020</v>
      </c>
      <c r="C168" t="str">
        <f>VLOOKUP(A1572,[1]Tabelle1!$A$1:$B$68,2,FALSE)</f>
        <v>Stat. Region Braunschweig</v>
      </c>
      <c r="D168" t="str">
        <f>'2020_5-2-2_Download'!$J$7</f>
        <v>unbekannt</v>
      </c>
      <c r="E168" t="s">
        <v>362</v>
      </c>
      <c r="F168" t="str">
        <f>VLOOKUP(A1572,[2]Kreise!$A$2:$C$53,3,FALSE)</f>
        <v>K031</v>
      </c>
      <c r="G168">
        <f>'2020_5-2-2_Download'!J20</f>
        <v>24.725994089701867</v>
      </c>
    </row>
    <row r="169" spans="1:7">
      <c r="A169">
        <f>'2020_5-2-2_Download'!B21</f>
        <v>241</v>
      </c>
      <c r="B169">
        <f>'2020_5-2-2_Download'!$D$5</f>
        <v>2020</v>
      </c>
      <c r="C169" t="str">
        <f>VLOOKUP(A1573,[1]Tabelle1!$A$1:$B$68,2,FALSE)</f>
        <v>Hannover  Region</v>
      </c>
      <c r="D169" t="str">
        <f>'2020_5-2-2_Download'!$J$7</f>
        <v>unbekannt</v>
      </c>
      <c r="E169" t="s">
        <v>362</v>
      </c>
      <c r="F169" t="str">
        <f>VLOOKUP(A1573,[2]Kreise!$A$2:$C$53,3,FALSE)</f>
        <v>K03241</v>
      </c>
      <c r="G169">
        <f>'2020_5-2-2_Download'!J21</f>
        <v>25.54604674926555</v>
      </c>
    </row>
    <row r="170" spans="1:7">
      <c r="A170">
        <f>'2020_5-2-2_Download'!B22</f>
        <v>241001</v>
      </c>
      <c r="B170">
        <f>'2020_5-2-2_Download'!$D$5</f>
        <v>2020</v>
      </c>
      <c r="C170" t="str">
        <f>VLOOKUP(A1574,[1]Tabelle1!$A$1:$B$68,2,FALSE)</f>
        <v>dav. Hannover  Lhst.</v>
      </c>
      <c r="D170" t="str">
        <f>'2020_5-2-2_Download'!$J$7</f>
        <v>unbekannt</v>
      </c>
      <c r="E170" t="s">
        <v>362</v>
      </c>
      <c r="F170" t="str">
        <f>VLOOKUP(A1574,[2]Kreise!$A$2:$C$53,3,FALSE)</f>
        <v>K03241001</v>
      </c>
      <c r="G170">
        <f>'2020_5-2-2_Download'!J22</f>
        <v>23.356949632873889</v>
      </c>
    </row>
    <row r="171" spans="1:7">
      <c r="A171">
        <f>'2020_5-2-2_Download'!B23</f>
        <v>241999</v>
      </c>
      <c r="B171">
        <f>'2020_5-2-2_Download'!$D$5</f>
        <v>2020</v>
      </c>
      <c r="C171" t="str">
        <f>VLOOKUP(A1575,[1]Tabelle1!$A$1:$B$68,2,FALSE)</f>
        <v>dav. Hannover  Umland</v>
      </c>
      <c r="D171" t="str">
        <f>'2020_5-2-2_Download'!$J$7</f>
        <v>unbekannt</v>
      </c>
      <c r="E171" t="s">
        <v>362</v>
      </c>
      <c r="F171" t="str">
        <f>VLOOKUP(A1575,[2]Kreise!$A$2:$C$53,3,FALSE)</f>
        <v>K03241999</v>
      </c>
      <c r="G171">
        <f>'2020_5-2-2_Download'!J23</f>
        <v>29.113658311290251</v>
      </c>
    </row>
    <row r="172" spans="1:7">
      <c r="A172">
        <f>'2020_5-2-2_Download'!B24</f>
        <v>251</v>
      </c>
      <c r="B172">
        <f>'2020_5-2-2_Download'!$D$5</f>
        <v>2020</v>
      </c>
      <c r="C172" t="str">
        <f>VLOOKUP(A1576,[1]Tabelle1!$A$1:$B$68,2,FALSE)</f>
        <v>Diepholz</v>
      </c>
      <c r="D172" t="str">
        <f>'2020_5-2-2_Download'!$J$7</f>
        <v>unbekannt</v>
      </c>
      <c r="E172" t="s">
        <v>362</v>
      </c>
      <c r="F172" t="str">
        <f>VLOOKUP(A1576,[2]Kreise!$A$2:$C$53,3,FALSE)</f>
        <v>K03251</v>
      </c>
      <c r="G172">
        <f>'2020_5-2-2_Download'!J24</f>
        <v>35.471640885653628</v>
      </c>
    </row>
    <row r="173" spans="1:7">
      <c r="A173">
        <f>'2020_5-2-2_Download'!B25</f>
        <v>252</v>
      </c>
      <c r="B173">
        <f>'2020_5-2-2_Download'!$D$5</f>
        <v>2020</v>
      </c>
      <c r="C173" t="str">
        <f>VLOOKUP(A1577,[1]Tabelle1!$A$1:$B$68,2,FALSE)</f>
        <v>Hameln-Pyrmont</v>
      </c>
      <c r="D173" t="str">
        <f>'2020_5-2-2_Download'!$J$7</f>
        <v>unbekannt</v>
      </c>
      <c r="E173" t="s">
        <v>362</v>
      </c>
      <c r="F173" t="str">
        <f>VLOOKUP(A1577,[2]Kreise!$A$2:$C$53,3,FALSE)</f>
        <v>K03252</v>
      </c>
      <c r="G173">
        <f>'2020_5-2-2_Download'!J25</f>
        <v>23.714839961202717</v>
      </c>
    </row>
    <row r="174" spans="1:7">
      <c r="A174">
        <f>'2020_5-2-2_Download'!B26</f>
        <v>254</v>
      </c>
      <c r="B174">
        <f>'2020_5-2-2_Download'!$D$5</f>
        <v>2020</v>
      </c>
      <c r="C174" t="str">
        <f>VLOOKUP(A1578,[1]Tabelle1!$A$1:$B$68,2,FALSE)</f>
        <v>Hildesheim</v>
      </c>
      <c r="D174" t="str">
        <f>'2020_5-2-2_Download'!$J$7</f>
        <v>unbekannt</v>
      </c>
      <c r="E174" t="s">
        <v>362</v>
      </c>
      <c r="F174" t="str">
        <f>VLOOKUP(A1578,[2]Kreise!$A$2:$C$53,3,FALSE)</f>
        <v>K03254</v>
      </c>
      <c r="G174">
        <f>'2020_5-2-2_Download'!J26</f>
        <v>20.925553319919516</v>
      </c>
    </row>
    <row r="175" spans="1:7">
      <c r="A175">
        <f>'2020_5-2-2_Download'!B27</f>
        <v>255</v>
      </c>
      <c r="B175">
        <f>'2020_5-2-2_Download'!$D$5</f>
        <v>2020</v>
      </c>
      <c r="C175" t="str">
        <f>VLOOKUP(A1579,[1]Tabelle1!$A$1:$B$68,2,FALSE)</f>
        <v>Holzminden</v>
      </c>
      <c r="D175" t="str">
        <f>'2020_5-2-2_Download'!$J$7</f>
        <v>unbekannt</v>
      </c>
      <c r="E175" t="s">
        <v>362</v>
      </c>
      <c r="F175" t="str">
        <f>VLOOKUP(A1579,[2]Kreise!$A$2:$C$53,3,FALSE)</f>
        <v>K03255</v>
      </c>
      <c r="G175">
        <f>'2020_5-2-2_Download'!J27</f>
        <v>26.415094339622641</v>
      </c>
    </row>
    <row r="176" spans="1:7">
      <c r="A176">
        <f>'2020_5-2-2_Download'!B28</f>
        <v>256</v>
      </c>
      <c r="B176">
        <f>'2020_5-2-2_Download'!$D$5</f>
        <v>2020</v>
      </c>
      <c r="C176" t="str">
        <f>VLOOKUP(A1580,[1]Tabelle1!$A$1:$B$68,2,FALSE)</f>
        <v>Nienburg (Weser)</v>
      </c>
      <c r="D176" t="str">
        <f>'2020_5-2-2_Download'!$J$7</f>
        <v>unbekannt</v>
      </c>
      <c r="E176" t="s">
        <v>362</v>
      </c>
      <c r="F176" t="str">
        <f>VLOOKUP(A1580,[2]Kreise!$A$2:$C$53,3,FALSE)</f>
        <v>K03256</v>
      </c>
      <c r="G176">
        <f>'2020_5-2-2_Download'!J28</f>
        <v>39.457346516440559</v>
      </c>
    </row>
    <row r="177" spans="1:7">
      <c r="A177">
        <f>'2020_5-2-2_Download'!B29</f>
        <v>257</v>
      </c>
      <c r="B177">
        <f>'2020_5-2-2_Download'!$D$5</f>
        <v>2020</v>
      </c>
      <c r="C177" t="str">
        <f>VLOOKUP(A1581,[1]Tabelle1!$A$1:$B$68,2,FALSE)</f>
        <v>Schaumburg</v>
      </c>
      <c r="D177" t="str">
        <f>'2020_5-2-2_Download'!$J$7</f>
        <v>unbekannt</v>
      </c>
      <c r="E177" t="s">
        <v>362</v>
      </c>
      <c r="F177" t="str">
        <f>VLOOKUP(A1581,[2]Kreise!$A$2:$C$53,3,FALSE)</f>
        <v>K03257</v>
      </c>
      <c r="G177">
        <f>'2020_5-2-2_Download'!J29</f>
        <v>20.766442257897463</v>
      </c>
    </row>
    <row r="178" spans="1:7">
      <c r="A178">
        <f>'2020_5-2-2_Download'!B30</f>
        <v>2</v>
      </c>
      <c r="B178">
        <f>'2020_5-2-2_Download'!$D$5</f>
        <v>2020</v>
      </c>
      <c r="C178" t="str">
        <f>VLOOKUP(A1582,[1]Tabelle1!$A$1:$B$68,2,FALSE)</f>
        <v>Stat. Region Hannover</v>
      </c>
      <c r="D178" t="str">
        <f>'2020_5-2-2_Download'!$J$7</f>
        <v>unbekannt</v>
      </c>
      <c r="E178" t="s">
        <v>362</v>
      </c>
      <c r="F178" t="str">
        <f>VLOOKUP(A1582,[2]Kreise!$A$2:$C$53,3,FALSE)</f>
        <v>K032</v>
      </c>
      <c r="G178">
        <f>'2020_5-2-2_Download'!J30</f>
        <v>26.343485352937233</v>
      </c>
    </row>
    <row r="179" spans="1:7">
      <c r="A179">
        <f>'2020_5-2-2_Download'!B31</f>
        <v>351</v>
      </c>
      <c r="B179">
        <f>'2020_5-2-2_Download'!$D$5</f>
        <v>2020</v>
      </c>
      <c r="C179" t="str">
        <f>VLOOKUP(A1583,[1]Tabelle1!$A$1:$B$68,2,FALSE)</f>
        <v>Celle</v>
      </c>
      <c r="D179" t="str">
        <f>'2020_5-2-2_Download'!$J$7</f>
        <v>unbekannt</v>
      </c>
      <c r="E179" t="s">
        <v>362</v>
      </c>
      <c r="F179" t="str">
        <f>VLOOKUP(A1583,[2]Kreise!$A$2:$C$53,3,FALSE)</f>
        <v>K03351</v>
      </c>
      <c r="G179">
        <f>'2020_5-2-2_Download'!J31</f>
        <v>24.193548387096776</v>
      </c>
    </row>
    <row r="180" spans="1:7">
      <c r="A180">
        <f>'2020_5-2-2_Download'!B32</f>
        <v>352</v>
      </c>
      <c r="B180">
        <f>'2020_5-2-2_Download'!$D$5</f>
        <v>2020</v>
      </c>
      <c r="C180" t="str">
        <f>VLOOKUP(A1584,[1]Tabelle1!$A$1:$B$68,2,FALSE)</f>
        <v>Cuxhaven</v>
      </c>
      <c r="D180" t="str">
        <f>'2020_5-2-2_Download'!$J$7</f>
        <v>unbekannt</v>
      </c>
      <c r="E180" t="s">
        <v>362</v>
      </c>
      <c r="F180" t="str">
        <f>VLOOKUP(A1584,[2]Kreise!$A$2:$C$53,3,FALSE)</f>
        <v>K03352</v>
      </c>
      <c r="G180">
        <f>'2020_5-2-2_Download'!J32</f>
        <v>36.075660893345486</v>
      </c>
    </row>
    <row r="181" spans="1:7">
      <c r="A181">
        <f>'2020_5-2-2_Download'!B33</f>
        <v>353</v>
      </c>
      <c r="B181">
        <f>'2020_5-2-2_Download'!$D$5</f>
        <v>2020</v>
      </c>
      <c r="C181" t="str">
        <f>VLOOKUP(A1585,[1]Tabelle1!$A$1:$B$68,2,FALSE)</f>
        <v>Harburg</v>
      </c>
      <c r="D181" t="str">
        <f>'2020_5-2-2_Download'!$J$7</f>
        <v>unbekannt</v>
      </c>
      <c r="E181" t="s">
        <v>362</v>
      </c>
      <c r="F181" t="str">
        <f>VLOOKUP(A1585,[2]Kreise!$A$2:$C$53,3,FALSE)</f>
        <v>K03353</v>
      </c>
      <c r="G181">
        <f>'2020_5-2-2_Download'!J33</f>
        <v>37.773441511759266</v>
      </c>
    </row>
    <row r="182" spans="1:7">
      <c r="A182">
        <f>'2020_5-2-2_Download'!B34</f>
        <v>354</v>
      </c>
      <c r="B182">
        <f>'2020_5-2-2_Download'!$D$5</f>
        <v>2020</v>
      </c>
      <c r="C182" t="str">
        <f>VLOOKUP(A1586,[1]Tabelle1!$A$1:$B$68,2,FALSE)</f>
        <v>Lüchow-Dannenberg</v>
      </c>
      <c r="D182" t="str">
        <f>'2020_5-2-2_Download'!$J$7</f>
        <v>unbekannt</v>
      </c>
      <c r="E182" t="s">
        <v>362</v>
      </c>
      <c r="F182" t="str">
        <f>VLOOKUP(A1586,[2]Kreise!$A$2:$C$53,3,FALSE)</f>
        <v>K03354</v>
      </c>
      <c r="G182">
        <f>'2020_5-2-2_Download'!J34</f>
        <v>39.866666666666667</v>
      </c>
    </row>
    <row r="183" spans="1:7">
      <c r="A183">
        <f>'2020_5-2-2_Download'!B35</f>
        <v>355</v>
      </c>
      <c r="B183">
        <f>'2020_5-2-2_Download'!$D$5</f>
        <v>2020</v>
      </c>
      <c r="C183" t="str">
        <f>VLOOKUP(A1587,[1]Tabelle1!$A$1:$B$68,2,FALSE)</f>
        <v>Lüneburg</v>
      </c>
      <c r="D183" t="str">
        <f>'2020_5-2-2_Download'!$J$7</f>
        <v>unbekannt</v>
      </c>
      <c r="E183" t="s">
        <v>362</v>
      </c>
      <c r="F183" t="str">
        <f>VLOOKUP(A1587,[2]Kreise!$A$2:$C$53,3,FALSE)</f>
        <v>K03355</v>
      </c>
      <c r="G183">
        <f>'2020_5-2-2_Download'!J35</f>
        <v>26.490066225165563</v>
      </c>
    </row>
    <row r="184" spans="1:7">
      <c r="A184">
        <f>'2020_5-2-2_Download'!B36</f>
        <v>356</v>
      </c>
      <c r="B184">
        <f>'2020_5-2-2_Download'!$D$5</f>
        <v>2020</v>
      </c>
      <c r="C184" t="str">
        <f>VLOOKUP(A1588,[1]Tabelle1!$A$1:$B$68,2,FALSE)</f>
        <v>Osterholz</v>
      </c>
      <c r="D184" t="str">
        <f>'2020_5-2-2_Download'!$J$7</f>
        <v>unbekannt</v>
      </c>
      <c r="E184" t="s">
        <v>362</v>
      </c>
      <c r="F184" t="str">
        <f>VLOOKUP(A1588,[2]Kreise!$A$2:$C$53,3,FALSE)</f>
        <v>K03356</v>
      </c>
      <c r="G184">
        <f>'2020_5-2-2_Download'!J36</f>
        <v>28.712871287128714</v>
      </c>
    </row>
    <row r="185" spans="1:7">
      <c r="A185">
        <f>'2020_5-2-2_Download'!B37</f>
        <v>357</v>
      </c>
      <c r="B185">
        <f>'2020_5-2-2_Download'!$D$5</f>
        <v>2020</v>
      </c>
      <c r="C185" t="str">
        <f>VLOOKUP(A1589,[1]Tabelle1!$A$1:$B$68,2,FALSE)</f>
        <v>Rotenburg (Wümme)</v>
      </c>
      <c r="D185" t="str">
        <f>'2020_5-2-2_Download'!$J$7</f>
        <v>unbekannt</v>
      </c>
      <c r="E185" t="s">
        <v>362</v>
      </c>
      <c r="F185" t="str">
        <f>VLOOKUP(A1589,[2]Kreise!$A$2:$C$53,3,FALSE)</f>
        <v>K03357</v>
      </c>
      <c r="G185">
        <f>'2020_5-2-2_Download'!J37</f>
        <v>29.22246220302376</v>
      </c>
    </row>
    <row r="186" spans="1:7">
      <c r="A186">
        <f>'2020_5-2-2_Download'!B38</f>
        <v>358</v>
      </c>
      <c r="B186">
        <f>'2020_5-2-2_Download'!$D$5</f>
        <v>2020</v>
      </c>
      <c r="C186" t="str">
        <f>VLOOKUP(A1590,[1]Tabelle1!$A$1:$B$68,2,FALSE)</f>
        <v>Heidekreis</v>
      </c>
      <c r="D186" t="str">
        <f>'2020_5-2-2_Download'!$J$7</f>
        <v>unbekannt</v>
      </c>
      <c r="E186" t="s">
        <v>362</v>
      </c>
      <c r="F186" t="str">
        <f>VLOOKUP(A1590,[2]Kreise!$A$2:$C$53,3,FALSE)</f>
        <v>K03358</v>
      </c>
      <c r="G186">
        <f>'2020_5-2-2_Download'!J38</f>
        <v>33.906576806878924</v>
      </c>
    </row>
    <row r="187" spans="1:7">
      <c r="A187">
        <f>'2020_5-2-2_Download'!B39</f>
        <v>359</v>
      </c>
      <c r="B187">
        <f>'2020_5-2-2_Download'!$D$5</f>
        <v>2020</v>
      </c>
      <c r="C187" t="str">
        <f>VLOOKUP(A1591,[1]Tabelle1!$A$1:$B$68,2,FALSE)</f>
        <v>Stade</v>
      </c>
      <c r="D187" t="str">
        <f>'2020_5-2-2_Download'!$J$7</f>
        <v>unbekannt</v>
      </c>
      <c r="E187" t="s">
        <v>362</v>
      </c>
      <c r="F187" t="str">
        <f>VLOOKUP(A1591,[2]Kreise!$A$2:$C$53,3,FALSE)</f>
        <v>K03359</v>
      </c>
      <c r="G187">
        <f>'2020_5-2-2_Download'!J39</f>
        <v>43.020088525706505</v>
      </c>
    </row>
    <row r="188" spans="1:7">
      <c r="A188">
        <f>'2020_5-2-2_Download'!B40</f>
        <v>360</v>
      </c>
      <c r="B188">
        <f>'2020_5-2-2_Download'!$D$5</f>
        <v>2020</v>
      </c>
      <c r="C188" t="str">
        <f>VLOOKUP(A1592,[1]Tabelle1!$A$1:$B$68,2,FALSE)</f>
        <v>Uelzen</v>
      </c>
      <c r="D188" t="str">
        <f>'2020_5-2-2_Download'!$J$7</f>
        <v>unbekannt</v>
      </c>
      <c r="E188" t="s">
        <v>362</v>
      </c>
      <c r="F188" t="str">
        <f>VLOOKUP(A1592,[2]Kreise!$A$2:$C$53,3,FALSE)</f>
        <v>K03360</v>
      </c>
      <c r="G188">
        <f>'2020_5-2-2_Download'!J40</f>
        <v>28.53745541022592</v>
      </c>
    </row>
    <row r="189" spans="1:7">
      <c r="A189">
        <f>'2020_5-2-2_Download'!B41</f>
        <v>361</v>
      </c>
      <c r="B189">
        <f>'2020_5-2-2_Download'!$D$5</f>
        <v>2020</v>
      </c>
      <c r="C189" t="str">
        <f>VLOOKUP(A1593,[1]Tabelle1!$A$1:$B$68,2,FALSE)</f>
        <v>Verden</v>
      </c>
      <c r="D189" t="str">
        <f>'2020_5-2-2_Download'!$J$7</f>
        <v>unbekannt</v>
      </c>
      <c r="E189" t="s">
        <v>362</v>
      </c>
      <c r="F189" t="str">
        <f>VLOOKUP(A1593,[2]Kreise!$A$2:$C$53,3,FALSE)</f>
        <v>K03361</v>
      </c>
      <c r="G189">
        <f>'2020_5-2-2_Download'!J41</f>
        <v>40.415704387990765</v>
      </c>
    </row>
    <row r="190" spans="1:7">
      <c r="A190">
        <f>'2020_5-2-2_Download'!B42</f>
        <v>3</v>
      </c>
      <c r="B190">
        <f>'2020_5-2-2_Download'!$D$5</f>
        <v>2020</v>
      </c>
      <c r="C190" t="str">
        <f>VLOOKUP(A1594,[1]Tabelle1!$A$1:$B$68,2,FALSE)</f>
        <v>Stat. Region Lüneburg</v>
      </c>
      <c r="D190" t="str">
        <f>'2020_5-2-2_Download'!$J$7</f>
        <v>unbekannt</v>
      </c>
      <c r="E190" t="s">
        <v>362</v>
      </c>
      <c r="F190" t="str">
        <f>VLOOKUP(A1594,[2]Kreise!$A$2:$C$53,3,FALSE)</f>
        <v>K033</v>
      </c>
      <c r="G190">
        <f>'2020_5-2-2_Download'!J42</f>
        <v>34.58144628011312</v>
      </c>
    </row>
    <row r="191" spans="1:7">
      <c r="A191">
        <f>'2020_5-2-2_Download'!B43</f>
        <v>401</v>
      </c>
      <c r="B191">
        <f>'2020_5-2-2_Download'!$D$5</f>
        <v>2020</v>
      </c>
      <c r="C191" t="str">
        <f>VLOOKUP(A1595,[1]Tabelle1!$A$1:$B$68,2,FALSE)</f>
        <v>Delmenhorst  Stadt</v>
      </c>
      <c r="D191" t="str">
        <f>'2020_5-2-2_Download'!$J$7</f>
        <v>unbekannt</v>
      </c>
      <c r="E191" t="s">
        <v>362</v>
      </c>
      <c r="F191" t="str">
        <f>VLOOKUP(A1595,[2]Kreise!$A$2:$C$53,3,FALSE)</f>
        <v>K03401</v>
      </c>
      <c r="G191">
        <f>'2020_5-2-2_Download'!J43</f>
        <v>26.609442060085836</v>
      </c>
    </row>
    <row r="192" spans="1:7">
      <c r="A192">
        <f>'2020_5-2-2_Download'!B44</f>
        <v>402</v>
      </c>
      <c r="B192">
        <f>'2020_5-2-2_Download'!$D$5</f>
        <v>2020</v>
      </c>
      <c r="C192" t="str">
        <f>VLOOKUP(A1596,[1]Tabelle1!$A$1:$B$68,2,FALSE)</f>
        <v>Emden  Stadt</v>
      </c>
      <c r="D192" t="str">
        <f>'2020_5-2-2_Download'!$J$7</f>
        <v>unbekannt</v>
      </c>
      <c r="E192" t="s">
        <v>362</v>
      </c>
      <c r="F192" t="str">
        <f>VLOOKUP(A1596,[2]Kreise!$A$2:$C$53,3,FALSE)</f>
        <v>K03402</v>
      </c>
      <c r="G192">
        <f>'2020_5-2-2_Download'!J44</f>
        <v>30.279758639605046</v>
      </c>
    </row>
    <row r="193" spans="1:7">
      <c r="A193">
        <f>'2020_5-2-2_Download'!B45</f>
        <v>403</v>
      </c>
      <c r="B193">
        <f>'2020_5-2-2_Download'!$D$5</f>
        <v>2020</v>
      </c>
      <c r="C193" t="str">
        <f>VLOOKUP(A1597,[1]Tabelle1!$A$1:$B$68,2,FALSE)</f>
        <v>Oldenburg(Oldb)  Stadt</v>
      </c>
      <c r="D193" t="str">
        <f>'2020_5-2-2_Download'!$J$7</f>
        <v>unbekannt</v>
      </c>
      <c r="E193" t="s">
        <v>362</v>
      </c>
      <c r="F193" t="str">
        <f>VLOOKUP(A1597,[2]Kreise!$A$2:$C$53,3,FALSE)</f>
        <v>K03403</v>
      </c>
      <c r="G193">
        <f>'2020_5-2-2_Download'!J45</f>
        <v>28.042843232716649</v>
      </c>
    </row>
    <row r="194" spans="1:7">
      <c r="A194">
        <f>'2020_5-2-2_Download'!B46</f>
        <v>404</v>
      </c>
      <c r="B194">
        <f>'2020_5-2-2_Download'!$D$5</f>
        <v>2020</v>
      </c>
      <c r="C194" t="str">
        <f>VLOOKUP(A1598,[1]Tabelle1!$A$1:$B$68,2,FALSE)</f>
        <v>Osnabrück  Stadt</v>
      </c>
      <c r="D194" t="str">
        <f>'2020_5-2-2_Download'!$J$7</f>
        <v>unbekannt</v>
      </c>
      <c r="E194" t="s">
        <v>362</v>
      </c>
      <c r="F194" t="str">
        <f>VLOOKUP(A1598,[2]Kreise!$A$2:$C$53,3,FALSE)</f>
        <v>K03404</v>
      </c>
      <c r="G194">
        <f>'2020_5-2-2_Download'!J46</f>
        <v>26.155759014355148</v>
      </c>
    </row>
    <row r="195" spans="1:7">
      <c r="A195">
        <f>'2020_5-2-2_Download'!B47</f>
        <v>405</v>
      </c>
      <c r="B195">
        <f>'2020_5-2-2_Download'!$D$5</f>
        <v>2020</v>
      </c>
      <c r="C195" t="str">
        <f>VLOOKUP(A1599,[1]Tabelle1!$A$1:$B$68,2,FALSE)</f>
        <v>Wilhelmshaven  Stadt</v>
      </c>
      <c r="D195" t="str">
        <f>'2020_5-2-2_Download'!$J$7</f>
        <v>unbekannt</v>
      </c>
      <c r="E195" t="s">
        <v>362</v>
      </c>
      <c r="F195" t="str">
        <f>VLOOKUP(A1599,[2]Kreise!$A$2:$C$53,3,FALSE)</f>
        <v>K03405</v>
      </c>
      <c r="G195">
        <f>'2020_5-2-2_Download'!J47</f>
        <v>24.474393530997304</v>
      </c>
    </row>
    <row r="196" spans="1:7">
      <c r="A196">
        <f>'2020_5-2-2_Download'!B48</f>
        <v>451</v>
      </c>
      <c r="B196">
        <f>'2020_5-2-2_Download'!$D$5</f>
        <v>2020</v>
      </c>
      <c r="C196" t="str">
        <f>VLOOKUP(A1600,[1]Tabelle1!$A$1:$B$68,2,FALSE)</f>
        <v>Ammerland</v>
      </c>
      <c r="D196" t="str">
        <f>'2020_5-2-2_Download'!$J$7</f>
        <v>unbekannt</v>
      </c>
      <c r="E196" t="s">
        <v>362</v>
      </c>
      <c r="F196" t="str">
        <f>VLOOKUP(A1600,[2]Kreise!$A$2:$C$53,3,FALSE)</f>
        <v>K03451</v>
      </c>
      <c r="G196">
        <f>'2020_5-2-2_Download'!J48</f>
        <v>40.139658078497469</v>
      </c>
    </row>
    <row r="197" spans="1:7">
      <c r="A197">
        <f>'2020_5-2-2_Download'!B49</f>
        <v>452</v>
      </c>
      <c r="B197">
        <f>'2020_5-2-2_Download'!$D$5</f>
        <v>2020</v>
      </c>
      <c r="C197" t="str">
        <f>VLOOKUP(A1601,[1]Tabelle1!$A$1:$B$68,2,FALSE)</f>
        <v>Aurich</v>
      </c>
      <c r="D197" t="str">
        <f>'2020_5-2-2_Download'!$J$7</f>
        <v>unbekannt</v>
      </c>
      <c r="E197" t="s">
        <v>362</v>
      </c>
      <c r="F197" t="str">
        <f>VLOOKUP(A1601,[2]Kreise!$A$2:$C$53,3,FALSE)</f>
        <v>K03452</v>
      </c>
      <c r="G197">
        <f>'2020_5-2-2_Download'!J49</f>
        <v>36.07108549471662</v>
      </c>
    </row>
    <row r="198" spans="1:7">
      <c r="A198">
        <f>'2020_5-2-2_Download'!B50</f>
        <v>453</v>
      </c>
      <c r="B198">
        <f>'2020_5-2-2_Download'!$D$5</f>
        <v>2020</v>
      </c>
      <c r="C198" t="str">
        <f>VLOOKUP(A1602,[1]Tabelle1!$A$1:$B$68,2,FALSE)</f>
        <v>Cloppenburg</v>
      </c>
      <c r="D198" t="str">
        <f>'2020_5-2-2_Download'!$J$7</f>
        <v>unbekannt</v>
      </c>
      <c r="E198" t="s">
        <v>362</v>
      </c>
      <c r="F198" t="str">
        <f>VLOOKUP(A1602,[2]Kreise!$A$2:$C$53,3,FALSE)</f>
        <v>K03453</v>
      </c>
      <c r="G198">
        <f>'2020_5-2-2_Download'!J50</f>
        <v>46.378856282919486</v>
      </c>
    </row>
    <row r="199" spans="1:7">
      <c r="A199">
        <f>'2020_5-2-2_Download'!B51</f>
        <v>454</v>
      </c>
      <c r="B199">
        <f>'2020_5-2-2_Download'!$D$5</f>
        <v>2020</v>
      </c>
      <c r="C199" t="str">
        <f>VLOOKUP(A1603,[1]Tabelle1!$A$1:$B$68,2,FALSE)</f>
        <v>Emsland</v>
      </c>
      <c r="D199" t="str">
        <f>'2020_5-2-2_Download'!$J$7</f>
        <v>unbekannt</v>
      </c>
      <c r="E199" t="s">
        <v>362</v>
      </c>
      <c r="F199" t="str">
        <f>VLOOKUP(A1603,[2]Kreise!$A$2:$C$53,3,FALSE)</f>
        <v>K03454</v>
      </c>
      <c r="G199">
        <f>'2020_5-2-2_Download'!J51</f>
        <v>44.611478586223022</v>
      </c>
    </row>
    <row r="200" spans="1:7">
      <c r="A200">
        <f>'2020_5-2-2_Download'!B52</f>
        <v>455</v>
      </c>
      <c r="B200">
        <f>'2020_5-2-2_Download'!$D$5</f>
        <v>2020</v>
      </c>
      <c r="C200" t="str">
        <f>VLOOKUP(A1604,[1]Tabelle1!$A$1:$B$68,2,FALSE)</f>
        <v>Friesland</v>
      </c>
      <c r="D200" t="str">
        <f>'2020_5-2-2_Download'!$J$7</f>
        <v>unbekannt</v>
      </c>
      <c r="E200" t="s">
        <v>362</v>
      </c>
      <c r="F200" t="str">
        <f>VLOOKUP(A1604,[2]Kreise!$A$2:$C$53,3,FALSE)</f>
        <v>K03455</v>
      </c>
      <c r="G200">
        <f>'2020_5-2-2_Download'!J52</f>
        <v>34.973753280839894</v>
      </c>
    </row>
    <row r="201" spans="1:7">
      <c r="A201">
        <f>'2020_5-2-2_Download'!B53</f>
        <v>456</v>
      </c>
      <c r="B201">
        <f>'2020_5-2-2_Download'!$D$5</f>
        <v>2020</v>
      </c>
      <c r="C201" t="str">
        <f>VLOOKUP(A1605,[1]Tabelle1!$A$1:$B$68,2,FALSE)</f>
        <v>Grafschaft Bentheim</v>
      </c>
      <c r="D201" t="str">
        <f>'2020_5-2-2_Download'!$J$7</f>
        <v>unbekannt</v>
      </c>
      <c r="E201" t="s">
        <v>362</v>
      </c>
      <c r="F201" t="str">
        <f>VLOOKUP(A1605,[2]Kreise!$A$2:$C$53,3,FALSE)</f>
        <v>K03456</v>
      </c>
      <c r="G201">
        <f>'2020_5-2-2_Download'!J53</f>
        <v>34.594127806563037</v>
      </c>
    </row>
    <row r="202" spans="1:7">
      <c r="A202">
        <f>'2020_5-2-2_Download'!B54</f>
        <v>457</v>
      </c>
      <c r="B202">
        <f>'2020_5-2-2_Download'!$D$5</f>
        <v>2020</v>
      </c>
      <c r="C202" t="str">
        <f>VLOOKUP(A1606,[1]Tabelle1!$A$1:$B$68,2,FALSE)</f>
        <v>Leer</v>
      </c>
      <c r="D202" t="str">
        <f>'2020_5-2-2_Download'!$J$7</f>
        <v>unbekannt</v>
      </c>
      <c r="E202" t="s">
        <v>362</v>
      </c>
      <c r="F202" t="str">
        <f>VLOOKUP(A1606,[2]Kreise!$A$2:$C$53,3,FALSE)</f>
        <v>K03457</v>
      </c>
      <c r="G202">
        <f>'2020_5-2-2_Download'!J54</f>
        <v>43.467870419543281</v>
      </c>
    </row>
    <row r="203" spans="1:7">
      <c r="A203">
        <f>'2020_5-2-2_Download'!B55</f>
        <v>458</v>
      </c>
      <c r="B203">
        <f>'2020_5-2-2_Download'!$D$5</f>
        <v>2020</v>
      </c>
      <c r="C203" t="str">
        <f>VLOOKUP(A1607,[1]Tabelle1!$A$1:$B$68,2,FALSE)</f>
        <v>Oldenburg</v>
      </c>
      <c r="D203" t="str">
        <f>'2020_5-2-2_Download'!$J$7</f>
        <v>unbekannt</v>
      </c>
      <c r="E203" t="s">
        <v>362</v>
      </c>
      <c r="F203" t="str">
        <f>VLOOKUP(A1607,[2]Kreise!$A$2:$C$53,3,FALSE)</f>
        <v>K03458</v>
      </c>
      <c r="G203">
        <f>'2020_5-2-2_Download'!J55</f>
        <v>41.254554919312859</v>
      </c>
    </row>
    <row r="204" spans="1:7">
      <c r="A204">
        <f>'2020_5-2-2_Download'!B56</f>
        <v>459</v>
      </c>
      <c r="B204">
        <f>'2020_5-2-2_Download'!$D$5</f>
        <v>2020</v>
      </c>
      <c r="C204" t="str">
        <f>VLOOKUP(A1608,[1]Tabelle1!$A$1:$B$68,2,FALSE)</f>
        <v>Osnabrück</v>
      </c>
      <c r="D204" t="str">
        <f>'2020_5-2-2_Download'!$J$7</f>
        <v>unbekannt</v>
      </c>
      <c r="E204" t="s">
        <v>362</v>
      </c>
      <c r="F204" t="str">
        <f>VLOOKUP(A1608,[2]Kreise!$A$2:$C$53,3,FALSE)</f>
        <v>K03459</v>
      </c>
      <c r="G204">
        <f>'2020_5-2-2_Download'!J56</f>
        <v>47.179081719094142</v>
      </c>
    </row>
    <row r="205" spans="1:7">
      <c r="A205">
        <f>'2020_5-2-2_Download'!B57</f>
        <v>460</v>
      </c>
      <c r="B205">
        <f>'2020_5-2-2_Download'!$D$5</f>
        <v>2020</v>
      </c>
      <c r="C205" t="str">
        <f>VLOOKUP(A1609,[1]Tabelle1!$A$1:$B$68,2,FALSE)</f>
        <v>Vechta</v>
      </c>
      <c r="D205" t="str">
        <f>'2020_5-2-2_Download'!$J$7</f>
        <v>unbekannt</v>
      </c>
      <c r="E205" t="s">
        <v>362</v>
      </c>
      <c r="F205" t="str">
        <f>VLOOKUP(A1609,[2]Kreise!$A$2:$C$53,3,FALSE)</f>
        <v>K03460</v>
      </c>
      <c r="G205">
        <f>'2020_5-2-2_Download'!J57</f>
        <v>46.925479696564032</v>
      </c>
    </row>
    <row r="206" spans="1:7">
      <c r="A206">
        <f>'2020_5-2-2_Download'!B58</f>
        <v>461</v>
      </c>
      <c r="B206">
        <f>'2020_5-2-2_Download'!$D$5</f>
        <v>2020</v>
      </c>
      <c r="C206" t="str">
        <f>VLOOKUP(A1610,[1]Tabelle1!$A$1:$B$68,2,FALSE)</f>
        <v>Wesermarsch</v>
      </c>
      <c r="D206" t="str">
        <f>'2020_5-2-2_Download'!$J$7</f>
        <v>unbekannt</v>
      </c>
      <c r="E206" t="s">
        <v>362</v>
      </c>
      <c r="F206" t="str">
        <f>VLOOKUP(A1610,[2]Kreise!$A$2:$C$53,3,FALSE)</f>
        <v>K03461</v>
      </c>
      <c r="G206">
        <f>'2020_5-2-2_Download'!J58</f>
        <v>36.606786427145707</v>
      </c>
    </row>
    <row r="207" spans="1:7">
      <c r="A207">
        <f>'2020_5-2-2_Download'!B59</f>
        <v>462</v>
      </c>
      <c r="B207">
        <f>'2020_5-2-2_Download'!$D$5</f>
        <v>2020</v>
      </c>
      <c r="C207" t="str">
        <f>VLOOKUP(A1611,[1]Tabelle1!$A$1:$B$68,2,FALSE)</f>
        <v>Wittmund</v>
      </c>
      <c r="D207" t="str">
        <f>'2020_5-2-2_Download'!$J$7</f>
        <v>unbekannt</v>
      </c>
      <c r="E207" t="s">
        <v>362</v>
      </c>
      <c r="F207" t="str">
        <f>VLOOKUP(A1611,[2]Kreise!$A$2:$C$53,3,FALSE)</f>
        <v>K03462</v>
      </c>
      <c r="G207">
        <f>'2020_5-2-2_Download'!J59</f>
        <v>49.458874458874462</v>
      </c>
    </row>
    <row r="208" spans="1:7">
      <c r="A208">
        <f>'2020_5-2-2_Download'!B60</f>
        <v>4</v>
      </c>
      <c r="B208">
        <f>'2020_5-2-2_Download'!$D$5</f>
        <v>2020</v>
      </c>
      <c r="C208" t="str">
        <f>VLOOKUP(A1612,[1]Tabelle1!$A$1:$B$68,2,FALSE)</f>
        <v>Stat. Region Weser-Ems</v>
      </c>
      <c r="D208" t="str">
        <f>'2020_5-2-2_Download'!$J$7</f>
        <v>unbekannt</v>
      </c>
      <c r="E208" t="s">
        <v>362</v>
      </c>
      <c r="F208" t="str">
        <f>VLOOKUP(A1612,[2]Kreise!$A$2:$C$53,3,FALSE)</f>
        <v>K034</v>
      </c>
      <c r="G208">
        <f>'2020_5-2-2_Download'!J60</f>
        <v>40.366656836724665</v>
      </c>
    </row>
    <row r="209" spans="1:7">
      <c r="A209">
        <f>'2020_5-2-2_Download'!B61</f>
        <v>0</v>
      </c>
      <c r="B209">
        <f>'2020_5-2-2_Download'!$D$5</f>
        <v>2020</v>
      </c>
      <c r="C209" t="str">
        <f>VLOOKUP(A1613,[1]Tabelle1!$A$1:$B$68,2,FALSE)</f>
        <v>Niedersachsen</v>
      </c>
      <c r="D209" t="str">
        <f>'2020_5-2-2_Download'!$J$7</f>
        <v>unbekannt</v>
      </c>
      <c r="E209" t="s">
        <v>362</v>
      </c>
      <c r="F209" t="str">
        <f>VLOOKUP(A1613,[2]Kreise!$A$2:$C$53,3,FALSE)</f>
        <v>K030</v>
      </c>
      <c r="G209">
        <f>'2020_5-2-2_Download'!J61</f>
        <v>32.265119132905774</v>
      </c>
    </row>
    <row r="210" spans="1:7">
      <c r="A210">
        <f>'2020_5-2-2_Download'!B10</f>
        <v>101</v>
      </c>
      <c r="B210">
        <f>'2020_5-2-2_Download'!$K$5</f>
        <v>2019</v>
      </c>
      <c r="C210" t="str">
        <f>VLOOKUP(A1614,[1]Tabelle1!$A$1:$B$68,2,FALSE)</f>
        <v>Braunschweig  Stadt</v>
      </c>
      <c r="D210" t="str">
        <f>'2020_5-2-2_Download'!$N$7</f>
        <v>hoch</v>
      </c>
      <c r="E210" t="s">
        <v>362</v>
      </c>
      <c r="F210" t="str">
        <f>VLOOKUP(A1614,[2]Kreise!$A$2:$C$53,3,FALSE)</f>
        <v>K03101</v>
      </c>
      <c r="G210">
        <f>'2020_5-2-2_Download'!N10</f>
        <v>23.438200233037556</v>
      </c>
    </row>
    <row r="211" spans="1:7">
      <c r="A211">
        <f>'2020_5-2-2_Download'!B11</f>
        <v>102</v>
      </c>
      <c r="B211">
        <f>'2020_5-2-2_Download'!$K$5</f>
        <v>2019</v>
      </c>
      <c r="C211" t="str">
        <f>VLOOKUP(A1615,[1]Tabelle1!$A$1:$B$68,2,FALSE)</f>
        <v>Salzgitter  Stadt</v>
      </c>
      <c r="D211" t="str">
        <f>'2020_5-2-2_Download'!$N$7</f>
        <v>hoch</v>
      </c>
      <c r="E211" t="s">
        <v>362</v>
      </c>
      <c r="F211" t="str">
        <f>VLOOKUP(A1615,[2]Kreise!$A$2:$C$53,3,FALSE)</f>
        <v>K03102</v>
      </c>
      <c r="G211">
        <f>'2020_5-2-2_Download'!N11</f>
        <v>8.5317042342532119</v>
      </c>
    </row>
    <row r="212" spans="1:7">
      <c r="A212">
        <f>'2020_5-2-2_Download'!B12</f>
        <v>103</v>
      </c>
      <c r="B212">
        <f>'2020_5-2-2_Download'!$K$5</f>
        <v>2019</v>
      </c>
      <c r="C212" t="str">
        <f>VLOOKUP(A1616,[1]Tabelle1!$A$1:$B$68,2,FALSE)</f>
        <v>Wolfsburg  Stadt</v>
      </c>
      <c r="D212" t="str">
        <f>'2020_5-2-2_Download'!$N$7</f>
        <v>hoch</v>
      </c>
      <c r="E212" t="s">
        <v>362</v>
      </c>
      <c r="F212" t="str">
        <f>VLOOKUP(A1616,[2]Kreise!$A$2:$C$53,3,FALSE)</f>
        <v>K03103</v>
      </c>
      <c r="G212">
        <f>'2020_5-2-2_Download'!N12</f>
        <v>23.930793157076206</v>
      </c>
    </row>
    <row r="213" spans="1:7">
      <c r="A213">
        <f>'2020_5-2-2_Download'!B13</f>
        <v>151</v>
      </c>
      <c r="B213">
        <f>'2020_5-2-2_Download'!$K$5</f>
        <v>2019</v>
      </c>
      <c r="C213" t="str">
        <f>VLOOKUP(A1617,[1]Tabelle1!$A$1:$B$68,2,FALSE)</f>
        <v>Gifhorn</v>
      </c>
      <c r="D213" t="str">
        <f>'2020_5-2-2_Download'!$N$7</f>
        <v>hoch</v>
      </c>
      <c r="E213" t="s">
        <v>362</v>
      </c>
      <c r="F213" t="str">
        <f>VLOOKUP(A1617,[2]Kreise!$A$2:$C$53,3,FALSE)</f>
        <v>K03151</v>
      </c>
      <c r="G213">
        <f>'2020_5-2-2_Download'!N13</f>
        <v>16.710526315789473</v>
      </c>
    </row>
    <row r="214" spans="1:7">
      <c r="A214">
        <f>'2020_5-2-2_Download'!B14</f>
        <v>153</v>
      </c>
      <c r="B214">
        <f>'2020_5-2-2_Download'!$K$5</f>
        <v>2019</v>
      </c>
      <c r="C214" t="str">
        <f>VLOOKUP(A1618,[1]Tabelle1!$A$1:$B$68,2,FALSE)</f>
        <v>Goslar</v>
      </c>
      <c r="D214" t="str">
        <f>'2020_5-2-2_Download'!$N$7</f>
        <v>hoch</v>
      </c>
      <c r="E214" t="s">
        <v>362</v>
      </c>
      <c r="F214" t="str">
        <f>VLOOKUP(A1618,[2]Kreise!$A$2:$C$53,3,FALSE)</f>
        <v>K03153</v>
      </c>
      <c r="G214">
        <f>'2020_5-2-2_Download'!N14</f>
        <v>16.67201025969862</v>
      </c>
    </row>
    <row r="215" spans="1:7">
      <c r="A215">
        <f>'2020_5-2-2_Download'!B15</f>
        <v>154</v>
      </c>
      <c r="B215">
        <f>'2020_5-2-2_Download'!$K$5</f>
        <v>2019</v>
      </c>
      <c r="C215" t="str">
        <f>VLOOKUP(A1619,[1]Tabelle1!$A$1:$B$68,2,FALSE)</f>
        <v>Helmstedt</v>
      </c>
      <c r="D215" t="str">
        <f>'2020_5-2-2_Download'!$N$7</f>
        <v>hoch</v>
      </c>
      <c r="E215" t="s">
        <v>362</v>
      </c>
      <c r="F215" t="str">
        <f>VLOOKUP(A1619,[2]Kreise!$A$2:$C$53,3,FALSE)</f>
        <v>K03154</v>
      </c>
      <c r="G215">
        <f>'2020_5-2-2_Download'!N15</f>
        <v>12.780989081567116</v>
      </c>
    </row>
    <row r="216" spans="1:7">
      <c r="A216">
        <f>'2020_5-2-2_Download'!B16</f>
        <v>155</v>
      </c>
      <c r="B216">
        <f>'2020_5-2-2_Download'!$K$5</f>
        <v>2019</v>
      </c>
      <c r="C216" t="str">
        <f>VLOOKUP(A1620,[1]Tabelle1!$A$1:$B$68,2,FALSE)</f>
        <v>Northeim</v>
      </c>
      <c r="D216" t="str">
        <f>'2020_5-2-2_Download'!$N$7</f>
        <v>hoch</v>
      </c>
      <c r="E216" t="s">
        <v>362</v>
      </c>
      <c r="F216" t="str">
        <f>VLOOKUP(A1620,[2]Kreise!$A$2:$C$53,3,FALSE)</f>
        <v>K03155</v>
      </c>
      <c r="G216">
        <f>'2020_5-2-2_Download'!N16</f>
        <v>9.6239265620373118</v>
      </c>
    </row>
    <row r="217" spans="1:7">
      <c r="A217">
        <f>'2020_5-2-2_Download'!B17</f>
        <v>157</v>
      </c>
      <c r="B217">
        <f>'2020_5-2-2_Download'!$K$5</f>
        <v>2019</v>
      </c>
      <c r="C217" t="str">
        <f>VLOOKUP(A1621,[1]Tabelle1!$A$1:$B$68,2,FALSE)</f>
        <v>Peine</v>
      </c>
      <c r="D217" t="str">
        <f>'2020_5-2-2_Download'!$N$7</f>
        <v>hoch</v>
      </c>
      <c r="E217" t="s">
        <v>362</v>
      </c>
      <c r="F217" t="str">
        <f>VLOOKUP(A1621,[2]Kreise!$A$2:$C$53,3,FALSE)</f>
        <v>K03157</v>
      </c>
      <c r="G217">
        <f>'2020_5-2-2_Download'!N17</f>
        <v>6.0578931662190394</v>
      </c>
    </row>
    <row r="218" spans="1:7">
      <c r="A218">
        <f>'2020_5-2-2_Download'!B18</f>
        <v>158</v>
      </c>
      <c r="B218">
        <f>'2020_5-2-2_Download'!$K$5</f>
        <v>2019</v>
      </c>
      <c r="C218" t="str">
        <f>VLOOKUP(A1622,[1]Tabelle1!$A$1:$B$68,2,FALSE)</f>
        <v>Wolfenbüttel</v>
      </c>
      <c r="D218" t="str">
        <f>'2020_5-2-2_Download'!$N$7</f>
        <v>hoch</v>
      </c>
      <c r="E218" t="s">
        <v>362</v>
      </c>
      <c r="F218" t="str">
        <f>VLOOKUP(A1622,[2]Kreise!$A$2:$C$53,3,FALSE)</f>
        <v>K03158</v>
      </c>
      <c r="G218">
        <f>'2020_5-2-2_Download'!N18</f>
        <v>12.781456953642385</v>
      </c>
    </row>
    <row r="219" spans="1:7">
      <c r="A219">
        <f>'2020_5-2-2_Download'!B19</f>
        <v>159</v>
      </c>
      <c r="B219">
        <f>'2020_5-2-2_Download'!$K$5</f>
        <v>2019</v>
      </c>
      <c r="C219" t="str">
        <f>VLOOKUP(A1623,[1]Tabelle1!$A$1:$B$68,2,FALSE)</f>
        <v>Göttingen</v>
      </c>
      <c r="D219" t="str">
        <f>'2020_5-2-2_Download'!$N$7</f>
        <v>hoch</v>
      </c>
      <c r="E219" t="s">
        <v>362</v>
      </c>
      <c r="F219" t="str">
        <f>VLOOKUP(A1623,[2]Kreise!$A$2:$C$53,3,FALSE)</f>
        <v>K03159</v>
      </c>
      <c r="G219">
        <f>'2020_5-2-2_Download'!N19</f>
        <v>28.582010582010582</v>
      </c>
    </row>
    <row r="220" spans="1:7">
      <c r="A220">
        <f>'2020_5-2-2_Download'!B20</f>
        <v>1</v>
      </c>
      <c r="B220">
        <f>'2020_5-2-2_Download'!$K$5</f>
        <v>2019</v>
      </c>
      <c r="C220" t="str">
        <f>VLOOKUP(A1624,[1]Tabelle1!$A$1:$B$68,2,FALSE)</f>
        <v>Stat. Region Braunschweig</v>
      </c>
      <c r="D220" t="str">
        <f>'2020_5-2-2_Download'!$N$7</f>
        <v>hoch</v>
      </c>
      <c r="E220" t="s">
        <v>362</v>
      </c>
      <c r="F220" t="str">
        <f>VLOOKUP(A1624,[2]Kreise!$A$2:$C$53,3,FALSE)</f>
        <v>K031</v>
      </c>
      <c r="G220">
        <f>'2020_5-2-2_Download'!N20</f>
        <v>19.635243042096288</v>
      </c>
    </row>
    <row r="221" spans="1:7">
      <c r="A221">
        <f>'2020_5-2-2_Download'!B21</f>
        <v>241</v>
      </c>
      <c r="B221">
        <f>'2020_5-2-2_Download'!$K$5</f>
        <v>2019</v>
      </c>
      <c r="C221" t="str">
        <f>VLOOKUP(A1625,[1]Tabelle1!$A$1:$B$68,2,FALSE)</f>
        <v>Hannover  Region</v>
      </c>
      <c r="D221" t="str">
        <f>'2020_5-2-2_Download'!$N$7</f>
        <v>hoch</v>
      </c>
      <c r="E221" t="s">
        <v>362</v>
      </c>
      <c r="F221" t="str">
        <f>VLOOKUP(A1625,[2]Kreise!$A$2:$C$53,3,FALSE)</f>
        <v>K03241</v>
      </c>
      <c r="G221">
        <f>'2020_5-2-2_Download'!N21</f>
        <v>13.260450796055123</v>
      </c>
    </row>
    <row r="222" spans="1:7">
      <c r="A222">
        <f>'2020_5-2-2_Download'!B22</f>
        <v>241001</v>
      </c>
      <c r="B222">
        <f>'2020_5-2-2_Download'!$K$5</f>
        <v>2019</v>
      </c>
      <c r="C222" t="str">
        <f>VLOOKUP(A1626,[1]Tabelle1!$A$1:$B$68,2,FALSE)</f>
        <v>dav. Hannover  Lhst.</v>
      </c>
      <c r="D222" t="str">
        <f>'2020_5-2-2_Download'!$N$7</f>
        <v>hoch</v>
      </c>
      <c r="E222" t="s">
        <v>362</v>
      </c>
      <c r="F222" t="str">
        <f>VLOOKUP(A1626,[2]Kreise!$A$2:$C$53,3,FALSE)</f>
        <v>K03241001</v>
      </c>
      <c r="G222">
        <f>'2020_5-2-2_Download'!N22</f>
        <v>16.441605839416059</v>
      </c>
    </row>
    <row r="223" spans="1:7">
      <c r="A223">
        <f>'2020_5-2-2_Download'!B23</f>
        <v>241999</v>
      </c>
      <c r="B223">
        <f>'2020_5-2-2_Download'!$K$5</f>
        <v>2019</v>
      </c>
      <c r="C223" t="str">
        <f>VLOOKUP(A1627,[1]Tabelle1!$A$1:$B$68,2,FALSE)</f>
        <v>dav. Hannover  Umland</v>
      </c>
      <c r="D223" t="str">
        <f>'2020_5-2-2_Download'!$N$7</f>
        <v>hoch</v>
      </c>
      <c r="E223" t="s">
        <v>362</v>
      </c>
      <c r="F223" t="str">
        <f>VLOOKUP(A1627,[2]Kreise!$A$2:$C$53,3,FALSE)</f>
        <v>K03241999</v>
      </c>
      <c r="G223">
        <f>'2020_5-2-2_Download'!N23</f>
        <v>7.8071233856191622</v>
      </c>
    </row>
    <row r="224" spans="1:7">
      <c r="A224">
        <f>'2020_5-2-2_Download'!B24</f>
        <v>251</v>
      </c>
      <c r="B224">
        <f>'2020_5-2-2_Download'!$K$5</f>
        <v>2019</v>
      </c>
      <c r="C224" t="str">
        <f>VLOOKUP(A1628,[1]Tabelle1!$A$1:$B$68,2,FALSE)</f>
        <v>Diepholz</v>
      </c>
      <c r="D224" t="str">
        <f>'2020_5-2-2_Download'!$N$7</f>
        <v>hoch</v>
      </c>
      <c r="E224" t="s">
        <v>362</v>
      </c>
      <c r="F224" t="str">
        <f>VLOOKUP(A1628,[2]Kreise!$A$2:$C$53,3,FALSE)</f>
        <v>K03251</v>
      </c>
      <c r="G224">
        <f>'2020_5-2-2_Download'!N24</f>
        <v>7.0395371263259401</v>
      </c>
    </row>
    <row r="225" spans="1:7">
      <c r="A225">
        <f>'2020_5-2-2_Download'!B25</f>
        <v>252</v>
      </c>
      <c r="B225">
        <f>'2020_5-2-2_Download'!$K$5</f>
        <v>2019</v>
      </c>
      <c r="C225" t="str">
        <f>VLOOKUP(A1629,[1]Tabelle1!$A$1:$B$68,2,FALSE)</f>
        <v>Hameln-Pyrmont</v>
      </c>
      <c r="D225" t="str">
        <f>'2020_5-2-2_Download'!$N$7</f>
        <v>hoch</v>
      </c>
      <c r="E225" t="s">
        <v>362</v>
      </c>
      <c r="F225" t="str">
        <f>VLOOKUP(A1629,[2]Kreise!$A$2:$C$53,3,FALSE)</f>
        <v>K03252</v>
      </c>
      <c r="G225">
        <f>'2020_5-2-2_Download'!N25</f>
        <v>10.784797630799606</v>
      </c>
    </row>
    <row r="226" spans="1:7">
      <c r="A226">
        <f>'2020_5-2-2_Download'!B26</f>
        <v>254</v>
      </c>
      <c r="B226">
        <f>'2020_5-2-2_Download'!$K$5</f>
        <v>2019</v>
      </c>
      <c r="C226" t="str">
        <f>VLOOKUP(A1630,[1]Tabelle1!$A$1:$B$68,2,FALSE)</f>
        <v>Hildesheim</v>
      </c>
      <c r="D226" t="str">
        <f>'2020_5-2-2_Download'!$N$7</f>
        <v>hoch</v>
      </c>
      <c r="E226" t="s">
        <v>362</v>
      </c>
      <c r="F226" t="str">
        <f>VLOOKUP(A1630,[2]Kreise!$A$2:$C$53,3,FALSE)</f>
        <v>K03254</v>
      </c>
      <c r="G226">
        <f>'2020_5-2-2_Download'!N26</f>
        <v>16.739025566811385</v>
      </c>
    </row>
    <row r="227" spans="1:7">
      <c r="A227">
        <f>'2020_5-2-2_Download'!B27</f>
        <v>255</v>
      </c>
      <c r="B227">
        <f>'2020_5-2-2_Download'!$K$5</f>
        <v>2019</v>
      </c>
      <c r="C227" t="str">
        <f>VLOOKUP(A1631,[1]Tabelle1!$A$1:$B$68,2,FALSE)</f>
        <v>Holzminden</v>
      </c>
      <c r="D227" t="str">
        <f>'2020_5-2-2_Download'!$N$7</f>
        <v>hoch</v>
      </c>
      <c r="E227" t="s">
        <v>362</v>
      </c>
      <c r="F227" t="str">
        <f>VLOOKUP(A1631,[2]Kreise!$A$2:$C$53,3,FALSE)</f>
        <v>K03255</v>
      </c>
      <c r="G227">
        <f>'2020_5-2-2_Download'!N27</f>
        <v>12.737508796622096</v>
      </c>
    </row>
    <row r="228" spans="1:7">
      <c r="A228">
        <f>'2020_5-2-2_Download'!B28</f>
        <v>256</v>
      </c>
      <c r="B228">
        <f>'2020_5-2-2_Download'!$K$5</f>
        <v>2019</v>
      </c>
      <c r="C228" t="str">
        <f>VLOOKUP(A1632,[1]Tabelle1!$A$1:$B$68,2,FALSE)</f>
        <v>Nienburg (Weser)</v>
      </c>
      <c r="D228" t="str">
        <f>'2020_5-2-2_Download'!$N$7</f>
        <v>hoch</v>
      </c>
      <c r="E228" t="s">
        <v>362</v>
      </c>
      <c r="F228" t="str">
        <f>VLOOKUP(A1632,[2]Kreise!$A$2:$C$53,3,FALSE)</f>
        <v>K03256</v>
      </c>
      <c r="G228">
        <f>'2020_5-2-2_Download'!N28</f>
        <v>5.7732926543065011</v>
      </c>
    </row>
    <row r="229" spans="1:7">
      <c r="A229">
        <f>'2020_5-2-2_Download'!B29</f>
        <v>257</v>
      </c>
      <c r="B229">
        <f>'2020_5-2-2_Download'!$K$5</f>
        <v>2019</v>
      </c>
      <c r="C229" t="str">
        <f>VLOOKUP(A1633,[1]Tabelle1!$A$1:$B$68,2,FALSE)</f>
        <v>Schaumburg</v>
      </c>
      <c r="D229" t="str">
        <f>'2020_5-2-2_Download'!$N$7</f>
        <v>hoch</v>
      </c>
      <c r="E229" t="s">
        <v>362</v>
      </c>
      <c r="F229" t="str">
        <f>VLOOKUP(A1633,[2]Kreise!$A$2:$C$53,3,FALSE)</f>
        <v>K03257</v>
      </c>
      <c r="G229">
        <f>'2020_5-2-2_Download'!N29</f>
        <v>8.6473298997018162</v>
      </c>
    </row>
    <row r="230" spans="1:7">
      <c r="A230">
        <f>'2020_5-2-2_Download'!B30</f>
        <v>2</v>
      </c>
      <c r="B230">
        <f>'2020_5-2-2_Download'!$K$5</f>
        <v>2019</v>
      </c>
      <c r="C230" t="str">
        <f>VLOOKUP(A1634,[1]Tabelle1!$A$1:$B$68,2,FALSE)</f>
        <v>Stat. Region Hannover</v>
      </c>
      <c r="D230" t="str">
        <f>'2020_5-2-2_Download'!$N$7</f>
        <v>hoch</v>
      </c>
      <c r="E230" t="s">
        <v>362</v>
      </c>
      <c r="F230" t="str">
        <f>VLOOKUP(A1634,[2]Kreise!$A$2:$C$53,3,FALSE)</f>
        <v>K032</v>
      </c>
      <c r="G230">
        <f>'2020_5-2-2_Download'!N30</f>
        <v>12.373991062458863</v>
      </c>
    </row>
    <row r="231" spans="1:7">
      <c r="A231">
        <f>'2020_5-2-2_Download'!B31</f>
        <v>351</v>
      </c>
      <c r="B231">
        <f>'2020_5-2-2_Download'!$K$5</f>
        <v>2019</v>
      </c>
      <c r="C231" t="str">
        <f>VLOOKUP(A1635,[1]Tabelle1!$A$1:$B$68,2,FALSE)</f>
        <v>Celle</v>
      </c>
      <c r="D231" t="str">
        <f>'2020_5-2-2_Download'!$N$7</f>
        <v>hoch</v>
      </c>
      <c r="E231" t="s">
        <v>362</v>
      </c>
      <c r="F231" t="str">
        <f>VLOOKUP(A1635,[2]Kreise!$A$2:$C$53,3,FALSE)</f>
        <v>K03351</v>
      </c>
      <c r="G231">
        <f>'2020_5-2-2_Download'!N31</f>
        <v>14.088900441902782</v>
      </c>
    </row>
    <row r="232" spans="1:7">
      <c r="A232">
        <f>'2020_5-2-2_Download'!B32</f>
        <v>352</v>
      </c>
      <c r="B232">
        <f>'2020_5-2-2_Download'!$K$5</f>
        <v>2019</v>
      </c>
      <c r="C232" t="str">
        <f>VLOOKUP(A1636,[1]Tabelle1!$A$1:$B$68,2,FALSE)</f>
        <v>Cuxhaven</v>
      </c>
      <c r="D232" t="str">
        <f>'2020_5-2-2_Download'!$N$7</f>
        <v>hoch</v>
      </c>
      <c r="E232" t="s">
        <v>362</v>
      </c>
      <c r="F232" t="str">
        <f>VLOOKUP(A1636,[2]Kreise!$A$2:$C$53,3,FALSE)</f>
        <v>K03352</v>
      </c>
      <c r="G232">
        <f>'2020_5-2-2_Download'!N32</f>
        <v>6.4289066166119193</v>
      </c>
    </row>
    <row r="233" spans="1:7">
      <c r="A233">
        <f>'2020_5-2-2_Download'!B33</f>
        <v>353</v>
      </c>
      <c r="B233">
        <f>'2020_5-2-2_Download'!$K$5</f>
        <v>2019</v>
      </c>
      <c r="C233" t="str">
        <f>VLOOKUP(A1637,[1]Tabelle1!$A$1:$B$68,2,FALSE)</f>
        <v>Harburg</v>
      </c>
      <c r="D233" t="str">
        <f>'2020_5-2-2_Download'!$N$7</f>
        <v>hoch</v>
      </c>
      <c r="E233" t="s">
        <v>362</v>
      </c>
      <c r="F233" t="str">
        <f>VLOOKUP(A1637,[2]Kreise!$A$2:$C$53,3,FALSE)</f>
        <v>K03353</v>
      </c>
      <c r="G233">
        <f>'2020_5-2-2_Download'!N33</f>
        <v>7.0402298850574709</v>
      </c>
    </row>
    <row r="234" spans="1:7">
      <c r="A234">
        <f>'2020_5-2-2_Download'!B34</f>
        <v>354</v>
      </c>
      <c r="B234">
        <f>'2020_5-2-2_Download'!$K$5</f>
        <v>2019</v>
      </c>
      <c r="C234" t="str">
        <f>VLOOKUP(A1638,[1]Tabelle1!$A$1:$B$68,2,FALSE)</f>
        <v>Lüchow-Dannenberg</v>
      </c>
      <c r="D234" t="str">
        <f>'2020_5-2-2_Download'!$N$7</f>
        <v>hoch</v>
      </c>
      <c r="E234" t="s">
        <v>362</v>
      </c>
      <c r="F234" t="str">
        <f>VLOOKUP(A1638,[2]Kreise!$A$2:$C$53,3,FALSE)</f>
        <v>K03354</v>
      </c>
      <c r="G234">
        <f>'2020_5-2-2_Download'!N34</f>
        <v>9.5371669004207575</v>
      </c>
    </row>
    <row r="235" spans="1:7">
      <c r="A235">
        <f>'2020_5-2-2_Download'!B35</f>
        <v>355</v>
      </c>
      <c r="B235">
        <f>'2020_5-2-2_Download'!$K$5</f>
        <v>2019</v>
      </c>
      <c r="C235" t="str">
        <f>VLOOKUP(A1639,[1]Tabelle1!$A$1:$B$68,2,FALSE)</f>
        <v>Lüneburg</v>
      </c>
      <c r="D235" t="str">
        <f>'2020_5-2-2_Download'!$N$7</f>
        <v>hoch</v>
      </c>
      <c r="E235" t="s">
        <v>362</v>
      </c>
      <c r="F235" t="str">
        <f>VLOOKUP(A1639,[2]Kreise!$A$2:$C$53,3,FALSE)</f>
        <v>K03355</v>
      </c>
      <c r="G235">
        <f>'2020_5-2-2_Download'!N35</f>
        <v>13.553676658980272</v>
      </c>
    </row>
    <row r="236" spans="1:7">
      <c r="A236">
        <f>'2020_5-2-2_Download'!B36</f>
        <v>356</v>
      </c>
      <c r="B236">
        <f>'2020_5-2-2_Download'!$K$5</f>
        <v>2019</v>
      </c>
      <c r="C236" t="str">
        <f>VLOOKUP(A1640,[1]Tabelle1!$A$1:$B$68,2,FALSE)</f>
        <v>Osterholz</v>
      </c>
      <c r="D236" t="str">
        <f>'2020_5-2-2_Download'!$N$7</f>
        <v>hoch</v>
      </c>
      <c r="E236" t="s">
        <v>362</v>
      </c>
      <c r="F236" t="str">
        <f>VLOOKUP(A1640,[2]Kreise!$A$2:$C$53,3,FALSE)</f>
        <v>K03356</v>
      </c>
      <c r="G236">
        <f>'2020_5-2-2_Download'!N36</f>
        <v>9.4206549118387901</v>
      </c>
    </row>
    <row r="237" spans="1:7">
      <c r="A237">
        <f>'2020_5-2-2_Download'!B37</f>
        <v>357</v>
      </c>
      <c r="B237">
        <f>'2020_5-2-2_Download'!$K$5</f>
        <v>2019</v>
      </c>
      <c r="C237" t="str">
        <f>VLOOKUP(A1641,[1]Tabelle1!$A$1:$B$68,2,FALSE)</f>
        <v>Rotenburg (Wümme)</v>
      </c>
      <c r="D237" t="str">
        <f>'2020_5-2-2_Download'!$N$7</f>
        <v>hoch</v>
      </c>
      <c r="E237" t="s">
        <v>362</v>
      </c>
      <c r="F237" t="str">
        <f>VLOOKUP(A1641,[2]Kreise!$A$2:$C$53,3,FALSE)</f>
        <v>K03357</v>
      </c>
      <c r="G237">
        <f>'2020_5-2-2_Download'!N37</f>
        <v>8.878618341036244</v>
      </c>
    </row>
    <row r="238" spans="1:7">
      <c r="A238">
        <f>'2020_5-2-2_Download'!B38</f>
        <v>358</v>
      </c>
      <c r="B238">
        <f>'2020_5-2-2_Download'!$K$5</f>
        <v>2019</v>
      </c>
      <c r="C238" t="str">
        <f>VLOOKUP(A1642,[1]Tabelle1!$A$1:$B$68,2,FALSE)</f>
        <v>Heidekreis</v>
      </c>
      <c r="D238" t="str">
        <f>'2020_5-2-2_Download'!$N$7</f>
        <v>hoch</v>
      </c>
      <c r="E238" t="s">
        <v>362</v>
      </c>
      <c r="F238" t="str">
        <f>VLOOKUP(A1642,[2]Kreise!$A$2:$C$53,3,FALSE)</f>
        <v>K03358</v>
      </c>
      <c r="G238">
        <f>'2020_5-2-2_Download'!N38</f>
        <v>7.4676089517078914</v>
      </c>
    </row>
    <row r="239" spans="1:7">
      <c r="A239">
        <f>'2020_5-2-2_Download'!B39</f>
        <v>359</v>
      </c>
      <c r="B239">
        <f>'2020_5-2-2_Download'!$K$5</f>
        <v>2019</v>
      </c>
      <c r="C239" t="str">
        <f>VLOOKUP(A1643,[1]Tabelle1!$A$1:$B$68,2,FALSE)</f>
        <v>Stade</v>
      </c>
      <c r="D239" t="str">
        <f>'2020_5-2-2_Download'!$N$7</f>
        <v>hoch</v>
      </c>
      <c r="E239" t="s">
        <v>362</v>
      </c>
      <c r="F239" t="str">
        <f>VLOOKUP(A1643,[2]Kreise!$A$2:$C$53,3,FALSE)</f>
        <v>K03359</v>
      </c>
      <c r="G239">
        <f>'2020_5-2-2_Download'!N39</f>
        <v>8.2904313864725729</v>
      </c>
    </row>
    <row r="240" spans="1:7">
      <c r="A240">
        <f>'2020_5-2-2_Download'!B40</f>
        <v>360</v>
      </c>
      <c r="B240">
        <f>'2020_5-2-2_Download'!$K$5</f>
        <v>2019</v>
      </c>
      <c r="C240" t="str">
        <f>VLOOKUP(A1644,[1]Tabelle1!$A$1:$B$68,2,FALSE)</f>
        <v>Uelzen</v>
      </c>
      <c r="D240" t="str">
        <f>'2020_5-2-2_Download'!$N$7</f>
        <v>hoch</v>
      </c>
      <c r="E240" t="s">
        <v>362</v>
      </c>
      <c r="F240" t="str">
        <f>VLOOKUP(A1644,[2]Kreise!$A$2:$C$53,3,FALSE)</f>
        <v>K03360</v>
      </c>
      <c r="G240">
        <f>'2020_5-2-2_Download'!N40</f>
        <v>14.489164086687307</v>
      </c>
    </row>
    <row r="241" spans="1:7">
      <c r="A241">
        <f>'2020_5-2-2_Download'!B41</f>
        <v>361</v>
      </c>
      <c r="B241">
        <f>'2020_5-2-2_Download'!$K$5</f>
        <v>2019</v>
      </c>
      <c r="C241" t="str">
        <f>VLOOKUP(A1645,[1]Tabelle1!$A$1:$B$68,2,FALSE)</f>
        <v>Verden</v>
      </c>
      <c r="D241" t="str">
        <f>'2020_5-2-2_Download'!$N$7</f>
        <v>hoch</v>
      </c>
      <c r="E241" t="s">
        <v>362</v>
      </c>
      <c r="F241" t="str">
        <f>VLOOKUP(A1645,[2]Kreise!$A$2:$C$53,3,FALSE)</f>
        <v>K03361</v>
      </c>
      <c r="G241">
        <f>'2020_5-2-2_Download'!N41</f>
        <v>8.1186094069529648</v>
      </c>
    </row>
    <row r="242" spans="1:7">
      <c r="A242">
        <f>'2020_5-2-2_Download'!B42</f>
        <v>3</v>
      </c>
      <c r="B242">
        <f>'2020_5-2-2_Download'!$K$5</f>
        <v>2019</v>
      </c>
      <c r="C242" t="str">
        <f>VLOOKUP(A1646,[1]Tabelle1!$A$1:$B$68,2,FALSE)</f>
        <v>Stat. Region Lüneburg</v>
      </c>
      <c r="D242" t="str">
        <f>'2020_5-2-2_Download'!$N$7</f>
        <v>hoch</v>
      </c>
      <c r="E242" t="s">
        <v>362</v>
      </c>
      <c r="F242" t="str">
        <f>VLOOKUP(A1646,[2]Kreise!$A$2:$C$53,3,FALSE)</f>
        <v>K033</v>
      </c>
      <c r="G242">
        <f>'2020_5-2-2_Download'!N42</f>
        <v>9.0775558166862513</v>
      </c>
    </row>
    <row r="243" spans="1:7">
      <c r="A243">
        <f>'2020_5-2-2_Download'!B43</f>
        <v>401</v>
      </c>
      <c r="B243">
        <f>'2020_5-2-2_Download'!$K$5</f>
        <v>2019</v>
      </c>
      <c r="C243" t="str">
        <f>VLOOKUP(A1647,[1]Tabelle1!$A$1:$B$68,2,FALSE)</f>
        <v>Delmenhorst  Stadt</v>
      </c>
      <c r="D243" t="str">
        <f>'2020_5-2-2_Download'!$N$7</f>
        <v>hoch</v>
      </c>
      <c r="E243" t="s">
        <v>362</v>
      </c>
      <c r="F243" t="str">
        <f>VLOOKUP(A1647,[2]Kreise!$A$2:$C$53,3,FALSE)</f>
        <v>K03401</v>
      </c>
      <c r="G243">
        <f>'2020_5-2-2_Download'!N43</f>
        <v>9.3229744728079904</v>
      </c>
    </row>
    <row r="244" spans="1:7">
      <c r="A244">
        <f>'2020_5-2-2_Download'!B44</f>
        <v>402</v>
      </c>
      <c r="B244">
        <f>'2020_5-2-2_Download'!$K$5</f>
        <v>2019</v>
      </c>
      <c r="C244" t="str">
        <f>VLOOKUP(A1648,[1]Tabelle1!$A$1:$B$68,2,FALSE)</f>
        <v>Emden  Stadt</v>
      </c>
      <c r="D244" t="str">
        <f>'2020_5-2-2_Download'!$N$7</f>
        <v>hoch</v>
      </c>
      <c r="E244" t="s">
        <v>362</v>
      </c>
      <c r="F244" t="str">
        <f>VLOOKUP(A1648,[2]Kreise!$A$2:$C$53,3,FALSE)</f>
        <v>K03402</v>
      </c>
      <c r="G244">
        <f>'2020_5-2-2_Download'!N44</f>
        <v>9.2371562013492472</v>
      </c>
    </row>
    <row r="245" spans="1:7">
      <c r="A245">
        <f>'2020_5-2-2_Download'!B45</f>
        <v>403</v>
      </c>
      <c r="B245">
        <f>'2020_5-2-2_Download'!$K$5</f>
        <v>2019</v>
      </c>
      <c r="C245" t="str">
        <f>VLOOKUP(A1649,[1]Tabelle1!$A$1:$B$68,2,FALSE)</f>
        <v>Oldenburg(Oldb)  Stadt</v>
      </c>
      <c r="D245" t="str">
        <f>'2020_5-2-2_Download'!$N$7</f>
        <v>hoch</v>
      </c>
      <c r="E245" t="s">
        <v>362</v>
      </c>
      <c r="F245" t="str">
        <f>VLOOKUP(A1649,[2]Kreise!$A$2:$C$53,3,FALSE)</f>
        <v>K03403</v>
      </c>
      <c r="G245">
        <f>'2020_5-2-2_Download'!N45</f>
        <v>17.710986585158771</v>
      </c>
    </row>
    <row r="246" spans="1:7">
      <c r="A246">
        <f>'2020_5-2-2_Download'!B46</f>
        <v>404</v>
      </c>
      <c r="B246">
        <f>'2020_5-2-2_Download'!$K$5</f>
        <v>2019</v>
      </c>
      <c r="C246" t="str">
        <f>VLOOKUP(A1650,[1]Tabelle1!$A$1:$B$68,2,FALSE)</f>
        <v>Osnabrück  Stadt</v>
      </c>
      <c r="D246" t="str">
        <f>'2020_5-2-2_Download'!$N$7</f>
        <v>hoch</v>
      </c>
      <c r="E246" t="s">
        <v>362</v>
      </c>
      <c r="F246" t="str">
        <f>VLOOKUP(A1650,[2]Kreise!$A$2:$C$53,3,FALSE)</f>
        <v>K03404</v>
      </c>
      <c r="G246">
        <f>'2020_5-2-2_Download'!N46</f>
        <v>10.791700475252116</v>
      </c>
    </row>
    <row r="247" spans="1:7">
      <c r="A247">
        <f>'2020_5-2-2_Download'!B47</f>
        <v>405</v>
      </c>
      <c r="B247">
        <f>'2020_5-2-2_Download'!$K$5</f>
        <v>2019</v>
      </c>
      <c r="C247" t="str">
        <f>VLOOKUP(A1651,[1]Tabelle1!$A$1:$B$68,2,FALSE)</f>
        <v>Wilhelmshaven  Stadt</v>
      </c>
      <c r="D247" t="str">
        <f>'2020_5-2-2_Download'!$N$7</f>
        <v>hoch</v>
      </c>
      <c r="E247" t="s">
        <v>362</v>
      </c>
      <c r="F247" t="str">
        <f>VLOOKUP(A1651,[2]Kreise!$A$2:$C$53,3,FALSE)</f>
        <v>K03405</v>
      </c>
      <c r="G247">
        <f>'2020_5-2-2_Download'!N47</f>
        <v>15.210751374465486</v>
      </c>
    </row>
    <row r="248" spans="1:7">
      <c r="A248">
        <f>'2020_5-2-2_Download'!B48</f>
        <v>451</v>
      </c>
      <c r="B248">
        <f>'2020_5-2-2_Download'!$K$5</f>
        <v>2019</v>
      </c>
      <c r="C248" t="str">
        <f>VLOOKUP(A1652,[1]Tabelle1!$A$1:$B$68,2,FALSE)</f>
        <v>Ammerland</v>
      </c>
      <c r="D248" t="str">
        <f>'2020_5-2-2_Download'!$N$7</f>
        <v>hoch</v>
      </c>
      <c r="E248" t="s">
        <v>362</v>
      </c>
      <c r="F248" t="str">
        <f>VLOOKUP(A1652,[2]Kreise!$A$2:$C$53,3,FALSE)</f>
        <v>K03451</v>
      </c>
      <c r="G248">
        <f>'2020_5-2-2_Download'!N48</f>
        <v>6.8692206076618234</v>
      </c>
    </row>
    <row r="249" spans="1:7">
      <c r="A249">
        <f>'2020_5-2-2_Download'!B49</f>
        <v>452</v>
      </c>
      <c r="B249">
        <f>'2020_5-2-2_Download'!$K$5</f>
        <v>2019</v>
      </c>
      <c r="C249" t="str">
        <f>VLOOKUP(A1653,[1]Tabelle1!$A$1:$B$68,2,FALSE)</f>
        <v>Aurich</v>
      </c>
      <c r="D249" t="str">
        <f>'2020_5-2-2_Download'!$N$7</f>
        <v>hoch</v>
      </c>
      <c r="E249" t="s">
        <v>362</v>
      </c>
      <c r="F249" t="str">
        <f>VLOOKUP(A1653,[2]Kreise!$A$2:$C$53,3,FALSE)</f>
        <v>K03452</v>
      </c>
      <c r="G249">
        <f>'2020_5-2-2_Download'!N49</f>
        <v>8.1824432729773093</v>
      </c>
    </row>
    <row r="250" spans="1:7">
      <c r="A250">
        <f>'2020_5-2-2_Download'!B50</f>
        <v>453</v>
      </c>
      <c r="B250">
        <f>'2020_5-2-2_Download'!$K$5</f>
        <v>2019</v>
      </c>
      <c r="C250" t="str">
        <f>VLOOKUP(A1654,[1]Tabelle1!$A$1:$B$68,2,FALSE)</f>
        <v>Cloppenburg</v>
      </c>
      <c r="D250" t="str">
        <f>'2020_5-2-2_Download'!$N$7</f>
        <v>hoch</v>
      </c>
      <c r="E250" t="s">
        <v>362</v>
      </c>
      <c r="F250" t="str">
        <f>VLOOKUP(A1654,[2]Kreise!$A$2:$C$53,3,FALSE)</f>
        <v>K03453</v>
      </c>
      <c r="G250">
        <f>'2020_5-2-2_Download'!N50</f>
        <v>3.1306081754735793</v>
      </c>
    </row>
    <row r="251" spans="1:7">
      <c r="A251">
        <f>'2020_5-2-2_Download'!B51</f>
        <v>454</v>
      </c>
      <c r="B251">
        <f>'2020_5-2-2_Download'!$K$5</f>
        <v>2019</v>
      </c>
      <c r="C251" t="str">
        <f>VLOOKUP(A1655,[1]Tabelle1!$A$1:$B$68,2,FALSE)</f>
        <v>Emsland</v>
      </c>
      <c r="D251" t="str">
        <f>'2020_5-2-2_Download'!$N$7</f>
        <v>hoch</v>
      </c>
      <c r="E251" t="s">
        <v>362</v>
      </c>
      <c r="F251" t="str">
        <f>VLOOKUP(A1655,[2]Kreise!$A$2:$C$53,3,FALSE)</f>
        <v>K03454</v>
      </c>
      <c r="G251">
        <f>'2020_5-2-2_Download'!N51</f>
        <v>6.6182811152630068</v>
      </c>
    </row>
    <row r="252" spans="1:7">
      <c r="A252">
        <f>'2020_5-2-2_Download'!B52</f>
        <v>455</v>
      </c>
      <c r="B252">
        <f>'2020_5-2-2_Download'!$K$5</f>
        <v>2019</v>
      </c>
      <c r="C252" t="str">
        <f>VLOOKUP(A1656,[1]Tabelle1!$A$1:$B$68,2,FALSE)</f>
        <v>Friesland</v>
      </c>
      <c r="D252" t="str">
        <f>'2020_5-2-2_Download'!$N$7</f>
        <v>hoch</v>
      </c>
      <c r="E252" t="s">
        <v>362</v>
      </c>
      <c r="F252" t="str">
        <f>VLOOKUP(A1656,[2]Kreise!$A$2:$C$53,3,FALSE)</f>
        <v>K03455</v>
      </c>
      <c r="G252">
        <f>'2020_5-2-2_Download'!N52</f>
        <v>10.803127221037668</v>
      </c>
    </row>
    <row r="253" spans="1:7">
      <c r="A253">
        <f>'2020_5-2-2_Download'!B53</f>
        <v>456</v>
      </c>
      <c r="B253">
        <f>'2020_5-2-2_Download'!$K$5</f>
        <v>2019</v>
      </c>
      <c r="C253" t="str">
        <f>VLOOKUP(A1657,[1]Tabelle1!$A$1:$B$68,2,FALSE)</f>
        <v>Grafschaft Bentheim</v>
      </c>
      <c r="D253" t="str">
        <f>'2020_5-2-2_Download'!$N$7</f>
        <v>hoch</v>
      </c>
      <c r="E253" t="s">
        <v>362</v>
      </c>
      <c r="F253" t="str">
        <f>VLOOKUP(A1657,[2]Kreise!$A$2:$C$53,3,FALSE)</f>
        <v>K03456</v>
      </c>
      <c r="G253">
        <f>'2020_5-2-2_Download'!N53</f>
        <v>6.8928950159066806</v>
      </c>
    </row>
    <row r="254" spans="1:7">
      <c r="A254">
        <f>'2020_5-2-2_Download'!B54</f>
        <v>457</v>
      </c>
      <c r="B254">
        <f>'2020_5-2-2_Download'!$K$5</f>
        <v>2019</v>
      </c>
      <c r="C254" t="str">
        <f>VLOOKUP(A1658,[1]Tabelle1!$A$1:$B$68,2,FALSE)</f>
        <v>Leer</v>
      </c>
      <c r="D254" t="str">
        <f>'2020_5-2-2_Download'!$N$7</f>
        <v>hoch</v>
      </c>
      <c r="E254" t="s">
        <v>362</v>
      </c>
      <c r="F254" t="str">
        <f>VLOOKUP(A1658,[2]Kreise!$A$2:$C$53,3,FALSE)</f>
        <v>K03457</v>
      </c>
      <c r="G254">
        <f>'2020_5-2-2_Download'!N54</f>
        <v>8.1146223888591322</v>
      </c>
    </row>
    <row r="255" spans="1:7">
      <c r="A255">
        <f>'2020_5-2-2_Download'!B55</f>
        <v>458</v>
      </c>
      <c r="B255">
        <f>'2020_5-2-2_Download'!$K$5</f>
        <v>2019</v>
      </c>
      <c r="C255" t="str">
        <f>VLOOKUP(A1659,[1]Tabelle1!$A$1:$B$68,2,FALSE)</f>
        <v>Oldenburg</v>
      </c>
      <c r="D255" t="str">
        <f>'2020_5-2-2_Download'!$N$7</f>
        <v>hoch</v>
      </c>
      <c r="E255" t="s">
        <v>362</v>
      </c>
      <c r="F255" t="str">
        <f>VLOOKUP(A1659,[2]Kreise!$A$2:$C$53,3,FALSE)</f>
        <v>K03458</v>
      </c>
      <c r="G255">
        <f>'2020_5-2-2_Download'!N55</f>
        <v>4.4204851752021561</v>
      </c>
    </row>
    <row r="256" spans="1:7">
      <c r="A256">
        <f>'2020_5-2-2_Download'!B56</f>
        <v>459</v>
      </c>
      <c r="B256">
        <f>'2020_5-2-2_Download'!$K$5</f>
        <v>2019</v>
      </c>
      <c r="C256" t="str">
        <f>VLOOKUP(A1660,[1]Tabelle1!$A$1:$B$68,2,FALSE)</f>
        <v>Osnabrück</v>
      </c>
      <c r="D256" t="str">
        <f>'2020_5-2-2_Download'!$N$7</f>
        <v>hoch</v>
      </c>
      <c r="E256" t="s">
        <v>362</v>
      </c>
      <c r="F256" t="str">
        <f>VLOOKUP(A1660,[2]Kreise!$A$2:$C$53,3,FALSE)</f>
        <v>K03459</v>
      </c>
      <c r="G256">
        <f>'2020_5-2-2_Download'!N56</f>
        <v>4.196042756424835</v>
      </c>
    </row>
    <row r="257" spans="1:7">
      <c r="A257">
        <f>'2020_5-2-2_Download'!B57</f>
        <v>460</v>
      </c>
      <c r="B257">
        <f>'2020_5-2-2_Download'!$K$5</f>
        <v>2019</v>
      </c>
      <c r="C257" t="str">
        <f>VLOOKUP(A1661,[1]Tabelle1!$A$1:$B$68,2,FALSE)</f>
        <v>Vechta</v>
      </c>
      <c r="D257" t="str">
        <f>'2020_5-2-2_Download'!$N$7</f>
        <v>hoch</v>
      </c>
      <c r="E257" t="s">
        <v>362</v>
      </c>
      <c r="F257" t="str">
        <f>VLOOKUP(A1661,[2]Kreise!$A$2:$C$53,3,FALSE)</f>
        <v>K03460</v>
      </c>
      <c r="G257">
        <f>'2020_5-2-2_Download'!N57</f>
        <v>4.4123134328358207</v>
      </c>
    </row>
    <row r="258" spans="1:7">
      <c r="A258">
        <f>'2020_5-2-2_Download'!B58</f>
        <v>461</v>
      </c>
      <c r="B258">
        <f>'2020_5-2-2_Download'!$K$5</f>
        <v>2019</v>
      </c>
      <c r="C258" t="str">
        <f>VLOOKUP(A1662,[1]Tabelle1!$A$1:$B$68,2,FALSE)</f>
        <v>Wesermarsch</v>
      </c>
      <c r="D258" t="str">
        <f>'2020_5-2-2_Download'!$N$7</f>
        <v>hoch</v>
      </c>
      <c r="E258" t="s">
        <v>362</v>
      </c>
      <c r="F258" t="str">
        <f>VLOOKUP(A1662,[2]Kreise!$A$2:$C$53,3,FALSE)</f>
        <v>K03461</v>
      </c>
      <c r="G258">
        <f>'2020_5-2-2_Download'!N58</f>
        <v>6.2274005624748892</v>
      </c>
    </row>
    <row r="259" spans="1:7">
      <c r="A259">
        <f>'2020_5-2-2_Download'!B59</f>
        <v>462</v>
      </c>
      <c r="B259">
        <f>'2020_5-2-2_Download'!$K$5</f>
        <v>2019</v>
      </c>
      <c r="C259" t="str">
        <f>VLOOKUP(A1663,[1]Tabelle1!$A$1:$B$68,2,FALSE)</f>
        <v>Wittmund</v>
      </c>
      <c r="D259" t="str">
        <f>'2020_5-2-2_Download'!$N$7</f>
        <v>hoch</v>
      </c>
      <c r="E259" t="s">
        <v>362</v>
      </c>
      <c r="F259" t="str">
        <f>VLOOKUP(A1663,[2]Kreise!$A$2:$C$53,3,FALSE)</f>
        <v>K03462</v>
      </c>
      <c r="G259">
        <f>'2020_5-2-2_Download'!N59</f>
        <v>5.8704453441295543</v>
      </c>
    </row>
    <row r="260" spans="1:7">
      <c r="A260">
        <f>'2020_5-2-2_Download'!B60</f>
        <v>4</v>
      </c>
      <c r="B260">
        <f>'2020_5-2-2_Download'!$K$5</f>
        <v>2019</v>
      </c>
      <c r="C260" t="str">
        <f>VLOOKUP(A1664,[1]Tabelle1!$A$1:$B$68,2,FALSE)</f>
        <v>Stat. Region Weser-Ems</v>
      </c>
      <c r="D260" t="str">
        <f>'2020_5-2-2_Download'!$N$7</f>
        <v>hoch</v>
      </c>
      <c r="E260" t="s">
        <v>362</v>
      </c>
      <c r="F260" t="str">
        <f>VLOOKUP(A1664,[2]Kreise!$A$2:$C$53,3,FALSE)</f>
        <v>K034</v>
      </c>
      <c r="G260">
        <f>'2020_5-2-2_Download'!N60</f>
        <v>6.9746616464841766</v>
      </c>
    </row>
    <row r="261" spans="1:7">
      <c r="A261">
        <f>'2020_5-2-2_Download'!B61</f>
        <v>0</v>
      </c>
      <c r="B261">
        <f>'2020_5-2-2_Download'!$K$5</f>
        <v>2019</v>
      </c>
      <c r="C261" t="str">
        <f>VLOOKUP(A1665,[1]Tabelle1!$A$1:$B$68,2,FALSE)</f>
        <v>Niedersachsen</v>
      </c>
      <c r="D261" t="str">
        <f>'2020_5-2-2_Download'!$N$7</f>
        <v>hoch</v>
      </c>
      <c r="E261" t="s">
        <v>362</v>
      </c>
      <c r="F261" t="str">
        <f>VLOOKUP(A1665,[2]Kreise!$A$2:$C$53,3,FALSE)</f>
        <v>K030</v>
      </c>
      <c r="G261">
        <f>'2020_5-2-2_Download'!N61</f>
        <v>11.298843327313078</v>
      </c>
    </row>
    <row r="262" spans="1:7">
      <c r="A262">
        <f>'2020_5-2-2_Download'!B10</f>
        <v>101</v>
      </c>
      <c r="B262">
        <f>'2020_5-2-2_Download'!$K$5</f>
        <v>2019</v>
      </c>
      <c r="C262" t="str">
        <f>VLOOKUP(A1666,[1]Tabelle1!$A$1:$B$68,2,FALSE)</f>
        <v>Braunschweig  Stadt</v>
      </c>
      <c r="D262" t="str">
        <f>'2020_5-2-2_Download'!$O$7</f>
        <v>mittel</v>
      </c>
      <c r="E262" t="s">
        <v>362</v>
      </c>
      <c r="F262" t="str">
        <f>VLOOKUP(A1666,[2]Kreise!$A$2:$C$53,3,FALSE)</f>
        <v>K03101</v>
      </c>
      <c r="G262">
        <f>'2020_5-2-2_Download'!O10</f>
        <v>27.686654118490633</v>
      </c>
    </row>
    <row r="263" spans="1:7">
      <c r="A263">
        <f>'2020_5-2-2_Download'!B11</f>
        <v>102</v>
      </c>
      <c r="B263">
        <f>'2020_5-2-2_Download'!$K$5</f>
        <v>2019</v>
      </c>
      <c r="C263" t="str">
        <f>VLOOKUP(A1667,[1]Tabelle1!$A$1:$B$68,2,FALSE)</f>
        <v>Salzgitter  Stadt</v>
      </c>
      <c r="D263" t="str">
        <f>'2020_5-2-2_Download'!$O$7</f>
        <v>mittel</v>
      </c>
      <c r="E263" t="s">
        <v>362</v>
      </c>
      <c r="F263" t="str">
        <f>VLOOKUP(A1667,[2]Kreise!$A$2:$C$53,3,FALSE)</f>
        <v>K03102</v>
      </c>
      <c r="G263">
        <f>'2020_5-2-2_Download'!O11</f>
        <v>41.036444069938909</v>
      </c>
    </row>
    <row r="264" spans="1:7">
      <c r="A264">
        <f>'2020_5-2-2_Download'!B12</f>
        <v>103</v>
      </c>
      <c r="B264">
        <f>'2020_5-2-2_Download'!$K$5</f>
        <v>2019</v>
      </c>
      <c r="C264" t="str">
        <f>VLOOKUP(A1668,[1]Tabelle1!$A$1:$B$68,2,FALSE)</f>
        <v>Wolfsburg  Stadt</v>
      </c>
      <c r="D264" t="str">
        <f>'2020_5-2-2_Download'!$O$7</f>
        <v>mittel</v>
      </c>
      <c r="E264" t="s">
        <v>362</v>
      </c>
      <c r="F264" t="str">
        <f>VLOOKUP(A1668,[2]Kreise!$A$2:$C$53,3,FALSE)</f>
        <v>K03103</v>
      </c>
      <c r="G264">
        <f>'2020_5-2-2_Download'!O12</f>
        <v>33.009331259720064</v>
      </c>
    </row>
    <row r="265" spans="1:7">
      <c r="A265">
        <f>'2020_5-2-2_Download'!B13</f>
        <v>151</v>
      </c>
      <c r="B265">
        <f>'2020_5-2-2_Download'!$K$5</f>
        <v>2019</v>
      </c>
      <c r="C265" t="str">
        <f>VLOOKUP(A1669,[1]Tabelle1!$A$1:$B$68,2,FALSE)</f>
        <v>Gifhorn</v>
      </c>
      <c r="D265" t="str">
        <f>'2020_5-2-2_Download'!$O$7</f>
        <v>mittel</v>
      </c>
      <c r="E265" t="s">
        <v>362</v>
      </c>
      <c r="F265" t="str">
        <f>VLOOKUP(A1669,[2]Kreise!$A$2:$C$53,3,FALSE)</f>
        <v>K03151</v>
      </c>
      <c r="G265">
        <f>'2020_5-2-2_Download'!O13</f>
        <v>25.986842105263158</v>
      </c>
    </row>
    <row r="266" spans="1:7">
      <c r="A266">
        <f>'2020_5-2-2_Download'!B14</f>
        <v>153</v>
      </c>
      <c r="B266">
        <f>'2020_5-2-2_Download'!$K$5</f>
        <v>2019</v>
      </c>
      <c r="C266" t="str">
        <f>VLOOKUP(A1670,[1]Tabelle1!$A$1:$B$68,2,FALSE)</f>
        <v>Goslar</v>
      </c>
      <c r="D266" t="str">
        <f>'2020_5-2-2_Download'!$O$7</f>
        <v>mittel</v>
      </c>
      <c r="E266" t="s">
        <v>362</v>
      </c>
      <c r="F266" t="str">
        <f>VLOOKUP(A1670,[2]Kreise!$A$2:$C$53,3,FALSE)</f>
        <v>K03153</v>
      </c>
      <c r="G266">
        <f>'2020_5-2-2_Download'!O14</f>
        <v>30.522603398525167</v>
      </c>
    </row>
    <row r="267" spans="1:7">
      <c r="A267">
        <f>'2020_5-2-2_Download'!B15</f>
        <v>154</v>
      </c>
      <c r="B267">
        <f>'2020_5-2-2_Download'!$K$5</f>
        <v>2019</v>
      </c>
      <c r="C267" t="str">
        <f>VLOOKUP(A1671,[1]Tabelle1!$A$1:$B$68,2,FALSE)</f>
        <v>Helmstedt</v>
      </c>
      <c r="D267" t="str">
        <f>'2020_5-2-2_Download'!$O$7</f>
        <v>mittel</v>
      </c>
      <c r="E267" t="s">
        <v>362</v>
      </c>
      <c r="F267" t="str">
        <f>VLOOKUP(A1671,[2]Kreise!$A$2:$C$53,3,FALSE)</f>
        <v>K03154</v>
      </c>
      <c r="G267">
        <f>'2020_5-2-2_Download'!O15</f>
        <v>42.260757867694281</v>
      </c>
    </row>
    <row r="268" spans="1:7">
      <c r="A268">
        <f>'2020_5-2-2_Download'!B16</f>
        <v>155</v>
      </c>
      <c r="B268">
        <f>'2020_5-2-2_Download'!$K$5</f>
        <v>2019</v>
      </c>
      <c r="C268" t="str">
        <f>VLOOKUP(A1672,[1]Tabelle1!$A$1:$B$68,2,FALSE)</f>
        <v>Northeim</v>
      </c>
      <c r="D268" t="str">
        <f>'2020_5-2-2_Download'!$O$7</f>
        <v>mittel</v>
      </c>
      <c r="E268" t="s">
        <v>362</v>
      </c>
      <c r="F268" t="str">
        <f>VLOOKUP(A1672,[2]Kreise!$A$2:$C$53,3,FALSE)</f>
        <v>K03155</v>
      </c>
      <c r="G268">
        <f>'2020_5-2-2_Download'!O16</f>
        <v>44.151613858454247</v>
      </c>
    </row>
    <row r="269" spans="1:7">
      <c r="A269">
        <f>'2020_5-2-2_Download'!B17</f>
        <v>157</v>
      </c>
      <c r="B269">
        <f>'2020_5-2-2_Download'!$K$5</f>
        <v>2019</v>
      </c>
      <c r="C269" t="str">
        <f>VLOOKUP(A1673,[1]Tabelle1!$A$1:$B$68,2,FALSE)</f>
        <v>Peine</v>
      </c>
      <c r="D269" t="str">
        <f>'2020_5-2-2_Download'!$O$7</f>
        <v>mittel</v>
      </c>
      <c r="E269" t="s">
        <v>362</v>
      </c>
      <c r="F269" t="str">
        <f>VLOOKUP(A1673,[2]Kreise!$A$2:$C$53,3,FALSE)</f>
        <v>K03157</v>
      </c>
      <c r="G269">
        <f>'2020_5-2-2_Download'!O17</f>
        <v>29.364368845120861</v>
      </c>
    </row>
    <row r="270" spans="1:7">
      <c r="A270">
        <f>'2020_5-2-2_Download'!B18</f>
        <v>158</v>
      </c>
      <c r="B270">
        <f>'2020_5-2-2_Download'!$K$5</f>
        <v>2019</v>
      </c>
      <c r="C270" t="str">
        <f>VLOOKUP(A1674,[1]Tabelle1!$A$1:$B$68,2,FALSE)</f>
        <v>Wolfenbüttel</v>
      </c>
      <c r="D270" t="str">
        <f>'2020_5-2-2_Download'!$O$7</f>
        <v>mittel</v>
      </c>
      <c r="E270" t="s">
        <v>362</v>
      </c>
      <c r="F270" t="str">
        <f>VLOOKUP(A1674,[2]Kreise!$A$2:$C$53,3,FALSE)</f>
        <v>K03158</v>
      </c>
      <c r="G270">
        <f>'2020_5-2-2_Download'!O18</f>
        <v>40.662251655629142</v>
      </c>
    </row>
    <row r="271" spans="1:7">
      <c r="A271">
        <f>'2020_5-2-2_Download'!B19</f>
        <v>159</v>
      </c>
      <c r="B271">
        <f>'2020_5-2-2_Download'!$K$5</f>
        <v>2019</v>
      </c>
      <c r="C271" t="str">
        <f>VLOOKUP(A1675,[1]Tabelle1!$A$1:$B$68,2,FALSE)</f>
        <v>Göttingen</v>
      </c>
      <c r="D271" t="str">
        <f>'2020_5-2-2_Download'!$O$7</f>
        <v>mittel</v>
      </c>
      <c r="E271" t="s">
        <v>362</v>
      </c>
      <c r="F271" t="str">
        <f>VLOOKUP(A1675,[2]Kreise!$A$2:$C$53,3,FALSE)</f>
        <v>K03159</v>
      </c>
      <c r="G271">
        <f>'2020_5-2-2_Download'!O19</f>
        <v>28.264550264550266</v>
      </c>
    </row>
    <row r="272" spans="1:7">
      <c r="A272">
        <f>'2020_5-2-2_Download'!B20</f>
        <v>1</v>
      </c>
      <c r="B272">
        <f>'2020_5-2-2_Download'!$K$5</f>
        <v>2019</v>
      </c>
      <c r="C272" t="str">
        <f>VLOOKUP(A1676,[1]Tabelle1!$A$1:$B$68,2,FALSE)</f>
        <v>Stat. Region Braunschweig</v>
      </c>
      <c r="D272" t="str">
        <f>'2020_5-2-2_Download'!$O$7</f>
        <v>mittel</v>
      </c>
      <c r="E272" t="s">
        <v>362</v>
      </c>
      <c r="F272" t="str">
        <f>VLOOKUP(A1676,[2]Kreise!$A$2:$C$53,3,FALSE)</f>
        <v>K031</v>
      </c>
      <c r="G272">
        <f>'2020_5-2-2_Download'!O20</f>
        <v>32.159469726335374</v>
      </c>
    </row>
    <row r="273" spans="1:7">
      <c r="A273">
        <f>'2020_5-2-2_Download'!B21</f>
        <v>241</v>
      </c>
      <c r="B273">
        <f>'2020_5-2-2_Download'!$K$5</f>
        <v>2019</v>
      </c>
      <c r="C273" t="str">
        <f>VLOOKUP(A1677,[1]Tabelle1!$A$1:$B$68,2,FALSE)</f>
        <v>Hannover  Region</v>
      </c>
      <c r="D273" t="str">
        <f>'2020_5-2-2_Download'!$O$7</f>
        <v>mittel</v>
      </c>
      <c r="E273" t="s">
        <v>362</v>
      </c>
      <c r="F273" t="str">
        <f>VLOOKUP(A1677,[2]Kreise!$A$2:$C$53,3,FALSE)</f>
        <v>K03241</v>
      </c>
      <c r="G273">
        <f>'2020_5-2-2_Download'!O21</f>
        <v>32.5057213889392</v>
      </c>
    </row>
    <row r="274" spans="1:7">
      <c r="A274">
        <f>'2020_5-2-2_Download'!B22</f>
        <v>241001</v>
      </c>
      <c r="B274">
        <f>'2020_5-2-2_Download'!$K$5</f>
        <v>2019</v>
      </c>
      <c r="C274" t="str">
        <f>VLOOKUP(A1678,[1]Tabelle1!$A$1:$B$68,2,FALSE)</f>
        <v>dav. Hannover  Lhst.</v>
      </c>
      <c r="D274" t="str">
        <f>'2020_5-2-2_Download'!$O$7</f>
        <v>mittel</v>
      </c>
      <c r="E274" t="s">
        <v>362</v>
      </c>
      <c r="F274" t="str">
        <f>VLOOKUP(A1678,[2]Kreise!$A$2:$C$53,3,FALSE)</f>
        <v>K03241001</v>
      </c>
      <c r="G274">
        <f>'2020_5-2-2_Download'!O22</f>
        <v>31.850886339937436</v>
      </c>
    </row>
    <row r="275" spans="1:7">
      <c r="A275">
        <f>'2020_5-2-2_Download'!B23</f>
        <v>241999</v>
      </c>
      <c r="B275">
        <f>'2020_5-2-2_Download'!$K$5</f>
        <v>2019</v>
      </c>
      <c r="C275" t="str">
        <f>VLOOKUP(A1679,[1]Tabelle1!$A$1:$B$68,2,FALSE)</f>
        <v>dav. Hannover  Umland</v>
      </c>
      <c r="D275" t="str">
        <f>'2020_5-2-2_Download'!$O$7</f>
        <v>mittel</v>
      </c>
      <c r="E275" t="s">
        <v>362</v>
      </c>
      <c r="F275" t="str">
        <f>VLOOKUP(A1679,[2]Kreise!$A$2:$C$53,3,FALSE)</f>
        <v>K03241999</v>
      </c>
      <c r="G275">
        <f>'2020_5-2-2_Download'!O23</f>
        <v>33.628279036510705</v>
      </c>
    </row>
    <row r="276" spans="1:7">
      <c r="A276">
        <f>'2020_5-2-2_Download'!B24</f>
        <v>251</v>
      </c>
      <c r="B276">
        <f>'2020_5-2-2_Download'!$K$5</f>
        <v>2019</v>
      </c>
      <c r="C276" t="str">
        <f>VLOOKUP(A1680,[1]Tabelle1!$A$1:$B$68,2,FALSE)</f>
        <v>Diepholz</v>
      </c>
      <c r="D276" t="str">
        <f>'2020_5-2-2_Download'!$O$7</f>
        <v>mittel</v>
      </c>
      <c r="E276" t="s">
        <v>362</v>
      </c>
      <c r="F276" t="str">
        <f>VLOOKUP(A1680,[2]Kreise!$A$2:$C$53,3,FALSE)</f>
        <v>K03251</v>
      </c>
      <c r="G276">
        <f>'2020_5-2-2_Download'!O24</f>
        <v>31.870781099324976</v>
      </c>
    </row>
    <row r="277" spans="1:7">
      <c r="A277">
        <f>'2020_5-2-2_Download'!B25</f>
        <v>252</v>
      </c>
      <c r="B277">
        <f>'2020_5-2-2_Download'!$K$5</f>
        <v>2019</v>
      </c>
      <c r="C277" t="str">
        <f>VLOOKUP(A1681,[1]Tabelle1!$A$1:$B$68,2,FALSE)</f>
        <v>Hameln-Pyrmont</v>
      </c>
      <c r="D277" t="str">
        <f>'2020_5-2-2_Download'!$O$7</f>
        <v>mittel</v>
      </c>
      <c r="E277" t="s">
        <v>362</v>
      </c>
      <c r="F277" t="str">
        <f>VLOOKUP(A1681,[2]Kreise!$A$2:$C$53,3,FALSE)</f>
        <v>K03252</v>
      </c>
      <c r="G277">
        <f>'2020_5-2-2_Download'!O25</f>
        <v>36.994076999012833</v>
      </c>
    </row>
    <row r="278" spans="1:7">
      <c r="A278">
        <f>'2020_5-2-2_Download'!B26</f>
        <v>254</v>
      </c>
      <c r="B278">
        <f>'2020_5-2-2_Download'!$K$5</f>
        <v>2019</v>
      </c>
      <c r="C278" t="str">
        <f>VLOOKUP(A1682,[1]Tabelle1!$A$1:$B$68,2,FALSE)</f>
        <v>Hildesheim</v>
      </c>
      <c r="D278" t="str">
        <f>'2020_5-2-2_Download'!$O$7</f>
        <v>mittel</v>
      </c>
      <c r="E278" t="s">
        <v>362</v>
      </c>
      <c r="F278" t="str">
        <f>VLOOKUP(A1682,[2]Kreise!$A$2:$C$53,3,FALSE)</f>
        <v>K03254</v>
      </c>
      <c r="G278">
        <f>'2020_5-2-2_Download'!O26</f>
        <v>34.651873291525966</v>
      </c>
    </row>
    <row r="279" spans="1:7">
      <c r="A279">
        <f>'2020_5-2-2_Download'!B27</f>
        <v>255</v>
      </c>
      <c r="B279">
        <f>'2020_5-2-2_Download'!$K$5</f>
        <v>2019</v>
      </c>
      <c r="C279" t="str">
        <f>VLOOKUP(A1683,[1]Tabelle1!$A$1:$B$68,2,FALSE)</f>
        <v>Holzminden</v>
      </c>
      <c r="D279" t="str">
        <f>'2020_5-2-2_Download'!$O$7</f>
        <v>mittel</v>
      </c>
      <c r="E279" t="s">
        <v>362</v>
      </c>
      <c r="F279" t="str">
        <f>VLOOKUP(A1683,[2]Kreise!$A$2:$C$53,3,FALSE)</f>
        <v>K03255</v>
      </c>
      <c r="G279">
        <f>'2020_5-2-2_Download'!O27</f>
        <v>32.582688247712881</v>
      </c>
    </row>
    <row r="280" spans="1:7">
      <c r="A280">
        <f>'2020_5-2-2_Download'!B28</f>
        <v>256</v>
      </c>
      <c r="B280">
        <f>'2020_5-2-2_Download'!$K$5</f>
        <v>2019</v>
      </c>
      <c r="C280" t="str">
        <f>VLOOKUP(A1684,[1]Tabelle1!$A$1:$B$68,2,FALSE)</f>
        <v>Nienburg (Weser)</v>
      </c>
      <c r="D280" t="str">
        <f>'2020_5-2-2_Download'!$O$7</f>
        <v>mittel</v>
      </c>
      <c r="E280" t="s">
        <v>362</v>
      </c>
      <c r="F280" t="str">
        <f>VLOOKUP(A1684,[2]Kreise!$A$2:$C$53,3,FALSE)</f>
        <v>K03256</v>
      </c>
      <c r="G280">
        <f>'2020_5-2-2_Download'!O28</f>
        <v>24.524759446139402</v>
      </c>
    </row>
    <row r="281" spans="1:7">
      <c r="A281">
        <f>'2020_5-2-2_Download'!B29</f>
        <v>257</v>
      </c>
      <c r="B281">
        <f>'2020_5-2-2_Download'!$K$5</f>
        <v>2019</v>
      </c>
      <c r="C281" t="str">
        <f>VLOOKUP(A1685,[1]Tabelle1!$A$1:$B$68,2,FALSE)</f>
        <v>Schaumburg</v>
      </c>
      <c r="D281" t="str">
        <f>'2020_5-2-2_Download'!$O$7</f>
        <v>mittel</v>
      </c>
      <c r="E281" t="s">
        <v>362</v>
      </c>
      <c r="F281" t="str">
        <f>VLOOKUP(A1685,[2]Kreise!$A$2:$C$53,3,FALSE)</f>
        <v>K03257</v>
      </c>
      <c r="G281">
        <f>'2020_5-2-2_Download'!O29</f>
        <v>43.345079967470859</v>
      </c>
    </row>
    <row r="282" spans="1:7">
      <c r="A282">
        <f>'2020_5-2-2_Download'!B30</f>
        <v>2</v>
      </c>
      <c r="B282">
        <f>'2020_5-2-2_Download'!$K$5</f>
        <v>2019</v>
      </c>
      <c r="C282" t="str">
        <f>VLOOKUP(A1686,[1]Tabelle1!$A$1:$B$68,2,FALSE)</f>
        <v>Stat. Region Hannover</v>
      </c>
      <c r="D282" t="str">
        <f>'2020_5-2-2_Download'!$O$7</f>
        <v>mittel</v>
      </c>
      <c r="E282" t="s">
        <v>362</v>
      </c>
      <c r="F282" t="str">
        <f>VLOOKUP(A1686,[2]Kreise!$A$2:$C$53,3,FALSE)</f>
        <v>K032</v>
      </c>
      <c r="G282">
        <f>'2020_5-2-2_Download'!O30</f>
        <v>32.894539324026283</v>
      </c>
    </row>
    <row r="283" spans="1:7">
      <c r="A283">
        <f>'2020_5-2-2_Download'!B31</f>
        <v>351</v>
      </c>
      <c r="B283">
        <f>'2020_5-2-2_Download'!$K$5</f>
        <v>2019</v>
      </c>
      <c r="C283" t="str">
        <f>VLOOKUP(A1687,[1]Tabelle1!$A$1:$B$68,2,FALSE)</f>
        <v>Celle</v>
      </c>
      <c r="D283" t="str">
        <f>'2020_5-2-2_Download'!$O$7</f>
        <v>mittel</v>
      </c>
      <c r="E283" t="s">
        <v>362</v>
      </c>
      <c r="F283" t="str">
        <f>VLOOKUP(A1687,[2]Kreise!$A$2:$C$53,3,FALSE)</f>
        <v>K03351</v>
      </c>
      <c r="G283">
        <f>'2020_5-2-2_Download'!O31</f>
        <v>31.089160384715363</v>
      </c>
    </row>
    <row r="284" spans="1:7">
      <c r="A284">
        <f>'2020_5-2-2_Download'!B32</f>
        <v>352</v>
      </c>
      <c r="B284">
        <f>'2020_5-2-2_Download'!$K$5</f>
        <v>2019</v>
      </c>
      <c r="C284" t="str">
        <f>VLOOKUP(A1688,[1]Tabelle1!$A$1:$B$68,2,FALSE)</f>
        <v>Cuxhaven</v>
      </c>
      <c r="D284" t="str">
        <f>'2020_5-2-2_Download'!$O$7</f>
        <v>mittel</v>
      </c>
      <c r="E284" t="s">
        <v>362</v>
      </c>
      <c r="F284" t="str">
        <f>VLOOKUP(A1688,[2]Kreise!$A$2:$C$53,3,FALSE)</f>
        <v>K03352</v>
      </c>
      <c r="G284">
        <f>'2020_5-2-2_Download'!O32</f>
        <v>29.892069450961991</v>
      </c>
    </row>
    <row r="285" spans="1:7">
      <c r="A285">
        <f>'2020_5-2-2_Download'!B33</f>
        <v>353</v>
      </c>
      <c r="B285">
        <f>'2020_5-2-2_Download'!$K$5</f>
        <v>2019</v>
      </c>
      <c r="C285" t="str">
        <f>VLOOKUP(A1689,[1]Tabelle1!$A$1:$B$68,2,FALSE)</f>
        <v>Harburg</v>
      </c>
      <c r="D285" t="str">
        <f>'2020_5-2-2_Download'!$O$7</f>
        <v>mittel</v>
      </c>
      <c r="E285" t="s">
        <v>362</v>
      </c>
      <c r="F285" t="str">
        <f>VLOOKUP(A1689,[2]Kreise!$A$2:$C$53,3,FALSE)</f>
        <v>K03353</v>
      </c>
      <c r="G285">
        <f>'2020_5-2-2_Download'!O33</f>
        <v>26.790450928381961</v>
      </c>
    </row>
    <row r="286" spans="1:7">
      <c r="A286">
        <f>'2020_5-2-2_Download'!B34</f>
        <v>354</v>
      </c>
      <c r="B286">
        <f>'2020_5-2-2_Download'!$K$5</f>
        <v>2019</v>
      </c>
      <c r="C286" t="str">
        <f>VLOOKUP(A1690,[1]Tabelle1!$A$1:$B$68,2,FALSE)</f>
        <v>Lüchow-Dannenberg</v>
      </c>
      <c r="D286" t="str">
        <f>'2020_5-2-2_Download'!$O$7</f>
        <v>mittel</v>
      </c>
      <c r="E286" t="s">
        <v>362</v>
      </c>
      <c r="F286" t="str">
        <f>VLOOKUP(A1690,[2]Kreise!$A$2:$C$53,3,FALSE)</f>
        <v>K03354</v>
      </c>
      <c r="G286">
        <f>'2020_5-2-2_Download'!O34</f>
        <v>32.258064516129032</v>
      </c>
    </row>
    <row r="287" spans="1:7">
      <c r="A287">
        <f>'2020_5-2-2_Download'!B35</f>
        <v>355</v>
      </c>
      <c r="B287">
        <f>'2020_5-2-2_Download'!$K$5</f>
        <v>2019</v>
      </c>
      <c r="C287" t="str">
        <f>VLOOKUP(A1691,[1]Tabelle1!$A$1:$B$68,2,FALSE)</f>
        <v>Lüneburg</v>
      </c>
      <c r="D287" t="str">
        <f>'2020_5-2-2_Download'!$O$7</f>
        <v>mittel</v>
      </c>
      <c r="E287" t="s">
        <v>362</v>
      </c>
      <c r="F287" t="str">
        <f>VLOOKUP(A1691,[2]Kreise!$A$2:$C$53,3,FALSE)</f>
        <v>K03355</v>
      </c>
      <c r="G287">
        <f>'2020_5-2-2_Download'!O35</f>
        <v>31.206764027671021</v>
      </c>
    </row>
    <row r="288" spans="1:7">
      <c r="A288">
        <f>'2020_5-2-2_Download'!B36</f>
        <v>356</v>
      </c>
      <c r="B288">
        <f>'2020_5-2-2_Download'!$K$5</f>
        <v>2019</v>
      </c>
      <c r="C288" t="str">
        <f>VLOOKUP(A1692,[1]Tabelle1!$A$1:$B$68,2,FALSE)</f>
        <v>Osterholz</v>
      </c>
      <c r="D288" t="str">
        <f>'2020_5-2-2_Download'!$O$7</f>
        <v>mittel</v>
      </c>
      <c r="E288" t="s">
        <v>362</v>
      </c>
      <c r="F288" t="str">
        <f>VLOOKUP(A1692,[2]Kreise!$A$2:$C$53,3,FALSE)</f>
        <v>K03356</v>
      </c>
      <c r="G288">
        <f>'2020_5-2-2_Download'!O36</f>
        <v>32.695214105793454</v>
      </c>
    </row>
    <row r="289" spans="1:7">
      <c r="A289">
        <f>'2020_5-2-2_Download'!B37</f>
        <v>357</v>
      </c>
      <c r="B289">
        <f>'2020_5-2-2_Download'!$K$5</f>
        <v>2019</v>
      </c>
      <c r="C289" t="str">
        <f>VLOOKUP(A1693,[1]Tabelle1!$A$1:$B$68,2,FALSE)</f>
        <v>Rotenburg (Wümme)</v>
      </c>
      <c r="D289" t="str">
        <f>'2020_5-2-2_Download'!$O$7</f>
        <v>mittel</v>
      </c>
      <c r="E289" t="s">
        <v>362</v>
      </c>
      <c r="F289" t="str">
        <f>VLOOKUP(A1693,[2]Kreise!$A$2:$C$53,3,FALSE)</f>
        <v>K03357</v>
      </c>
      <c r="G289">
        <f>'2020_5-2-2_Download'!O37</f>
        <v>35.879348090488932</v>
      </c>
    </row>
    <row r="290" spans="1:7">
      <c r="A290">
        <f>'2020_5-2-2_Download'!B38</f>
        <v>358</v>
      </c>
      <c r="B290">
        <f>'2020_5-2-2_Download'!$K$5</f>
        <v>2019</v>
      </c>
      <c r="C290" t="str">
        <f>VLOOKUP(A1694,[1]Tabelle1!$A$1:$B$68,2,FALSE)</f>
        <v>Heidekreis</v>
      </c>
      <c r="D290" t="str">
        <f>'2020_5-2-2_Download'!$O$7</f>
        <v>mittel</v>
      </c>
      <c r="E290" t="s">
        <v>362</v>
      </c>
      <c r="F290" t="str">
        <f>VLOOKUP(A1694,[2]Kreise!$A$2:$C$53,3,FALSE)</f>
        <v>K03358</v>
      </c>
      <c r="G290">
        <f>'2020_5-2-2_Download'!O38</f>
        <v>35.948174322732626</v>
      </c>
    </row>
    <row r="291" spans="1:7">
      <c r="A291">
        <f>'2020_5-2-2_Download'!B39</f>
        <v>359</v>
      </c>
      <c r="B291">
        <f>'2020_5-2-2_Download'!$K$5</f>
        <v>2019</v>
      </c>
      <c r="C291" t="str">
        <f>VLOOKUP(A1695,[1]Tabelle1!$A$1:$B$68,2,FALSE)</f>
        <v>Stade</v>
      </c>
      <c r="D291" t="str">
        <f>'2020_5-2-2_Download'!$O$7</f>
        <v>mittel</v>
      </c>
      <c r="E291" t="s">
        <v>362</v>
      </c>
      <c r="F291" t="str">
        <f>VLOOKUP(A1695,[2]Kreise!$A$2:$C$53,3,FALSE)</f>
        <v>K03359</v>
      </c>
      <c r="G291">
        <f>'2020_5-2-2_Download'!O39</f>
        <v>24.729273921533817</v>
      </c>
    </row>
    <row r="292" spans="1:7">
      <c r="A292">
        <f>'2020_5-2-2_Download'!B40</f>
        <v>360</v>
      </c>
      <c r="B292">
        <f>'2020_5-2-2_Download'!$K$5</f>
        <v>2019</v>
      </c>
      <c r="C292" t="str">
        <f>VLOOKUP(A1696,[1]Tabelle1!$A$1:$B$68,2,FALSE)</f>
        <v>Uelzen</v>
      </c>
      <c r="D292" t="str">
        <f>'2020_5-2-2_Download'!$O$7</f>
        <v>mittel</v>
      </c>
      <c r="E292" t="s">
        <v>362</v>
      </c>
      <c r="F292" t="str">
        <f>VLOOKUP(A1696,[2]Kreise!$A$2:$C$53,3,FALSE)</f>
        <v>K03360</v>
      </c>
      <c r="G292">
        <f>'2020_5-2-2_Download'!O40</f>
        <v>35.60371517027864</v>
      </c>
    </row>
    <row r="293" spans="1:7">
      <c r="A293">
        <f>'2020_5-2-2_Download'!B41</f>
        <v>361</v>
      </c>
      <c r="B293">
        <f>'2020_5-2-2_Download'!$K$5</f>
        <v>2019</v>
      </c>
      <c r="C293" t="str">
        <f>VLOOKUP(A1697,[1]Tabelle1!$A$1:$B$68,2,FALSE)</f>
        <v>Verden</v>
      </c>
      <c r="D293" t="str">
        <f>'2020_5-2-2_Download'!$O$7</f>
        <v>mittel</v>
      </c>
      <c r="E293" t="s">
        <v>362</v>
      </c>
      <c r="F293" t="str">
        <f>VLOOKUP(A1697,[2]Kreise!$A$2:$C$53,3,FALSE)</f>
        <v>K03361</v>
      </c>
      <c r="G293">
        <f>'2020_5-2-2_Download'!O41</f>
        <v>26.400817995910021</v>
      </c>
    </row>
    <row r="294" spans="1:7">
      <c r="A294">
        <f>'2020_5-2-2_Download'!B42</f>
        <v>3</v>
      </c>
      <c r="B294">
        <f>'2020_5-2-2_Download'!$K$5</f>
        <v>2019</v>
      </c>
      <c r="C294" t="str">
        <f>VLOOKUP(A1698,[1]Tabelle1!$A$1:$B$68,2,FALSE)</f>
        <v>Stat. Region Lüneburg</v>
      </c>
      <c r="D294" t="str">
        <f>'2020_5-2-2_Download'!$O$7</f>
        <v>mittel</v>
      </c>
      <c r="E294" t="s">
        <v>362</v>
      </c>
      <c r="F294" t="str">
        <f>VLOOKUP(A1698,[2]Kreise!$A$2:$C$53,3,FALSE)</f>
        <v>K033</v>
      </c>
      <c r="G294">
        <f>'2020_5-2-2_Download'!O42</f>
        <v>29.944409292235378</v>
      </c>
    </row>
    <row r="295" spans="1:7">
      <c r="A295">
        <f>'2020_5-2-2_Download'!B43</f>
        <v>401</v>
      </c>
      <c r="B295">
        <f>'2020_5-2-2_Download'!$K$5</f>
        <v>2019</v>
      </c>
      <c r="C295" t="str">
        <f>VLOOKUP(A1699,[1]Tabelle1!$A$1:$B$68,2,FALSE)</f>
        <v>Delmenhorst  Stadt</v>
      </c>
      <c r="D295" t="str">
        <f>'2020_5-2-2_Download'!$O$7</f>
        <v>mittel</v>
      </c>
      <c r="E295" t="s">
        <v>362</v>
      </c>
      <c r="F295" t="str">
        <f>VLOOKUP(A1699,[2]Kreise!$A$2:$C$53,3,FALSE)</f>
        <v>K03401</v>
      </c>
      <c r="G295">
        <f>'2020_5-2-2_Download'!O43</f>
        <v>30.965593784683684</v>
      </c>
    </row>
    <row r="296" spans="1:7">
      <c r="A296">
        <f>'2020_5-2-2_Download'!B44</f>
        <v>402</v>
      </c>
      <c r="B296">
        <f>'2020_5-2-2_Download'!$K$5</f>
        <v>2019</v>
      </c>
      <c r="C296" t="str">
        <f>VLOOKUP(A1700,[1]Tabelle1!$A$1:$B$68,2,FALSE)</f>
        <v>Emden  Stadt</v>
      </c>
      <c r="D296" t="str">
        <f>'2020_5-2-2_Download'!$O$7</f>
        <v>mittel</v>
      </c>
      <c r="E296" t="s">
        <v>362</v>
      </c>
      <c r="F296" t="str">
        <f>VLOOKUP(A1700,[2]Kreise!$A$2:$C$53,3,FALSE)</f>
        <v>K03402</v>
      </c>
      <c r="G296">
        <f>'2020_5-2-2_Download'!O44</f>
        <v>33.834976647638818</v>
      </c>
    </row>
    <row r="297" spans="1:7">
      <c r="A297">
        <f>'2020_5-2-2_Download'!B45</f>
        <v>403</v>
      </c>
      <c r="B297">
        <f>'2020_5-2-2_Download'!$K$5</f>
        <v>2019</v>
      </c>
      <c r="C297" t="str">
        <f>VLOOKUP(A1701,[1]Tabelle1!$A$1:$B$68,2,FALSE)</f>
        <v>Oldenburg(Oldb)  Stadt</v>
      </c>
      <c r="D297" t="str">
        <f>'2020_5-2-2_Download'!$O$7</f>
        <v>mittel</v>
      </c>
      <c r="E297" t="s">
        <v>362</v>
      </c>
      <c r="F297" t="str">
        <f>VLOOKUP(A1701,[2]Kreise!$A$2:$C$53,3,FALSE)</f>
        <v>K03403</v>
      </c>
      <c r="G297">
        <f>'2020_5-2-2_Download'!O45</f>
        <v>24.961793173713705</v>
      </c>
    </row>
    <row r="298" spans="1:7">
      <c r="A298">
        <f>'2020_5-2-2_Download'!B46</f>
        <v>404</v>
      </c>
      <c r="B298">
        <f>'2020_5-2-2_Download'!$K$5</f>
        <v>2019</v>
      </c>
      <c r="C298" t="str">
        <f>VLOOKUP(A1702,[1]Tabelle1!$A$1:$B$68,2,FALSE)</f>
        <v>Osnabrück  Stadt</v>
      </c>
      <c r="D298" t="str">
        <f>'2020_5-2-2_Download'!$O$7</f>
        <v>mittel</v>
      </c>
      <c r="E298" t="s">
        <v>362</v>
      </c>
      <c r="F298" t="str">
        <f>VLOOKUP(A1702,[2]Kreise!$A$2:$C$53,3,FALSE)</f>
        <v>K03404</v>
      </c>
      <c r="G298">
        <f>'2020_5-2-2_Download'!O46</f>
        <v>29.500405703025386</v>
      </c>
    </row>
    <row r="299" spans="1:7">
      <c r="A299">
        <f>'2020_5-2-2_Download'!B47</f>
        <v>405</v>
      </c>
      <c r="B299">
        <f>'2020_5-2-2_Download'!$K$5</f>
        <v>2019</v>
      </c>
      <c r="C299" t="str">
        <f>VLOOKUP(A1703,[1]Tabelle1!$A$1:$B$68,2,FALSE)</f>
        <v>Wilhelmshaven  Stadt</v>
      </c>
      <c r="D299" t="str">
        <f>'2020_5-2-2_Download'!$O$7</f>
        <v>mittel</v>
      </c>
      <c r="E299" t="s">
        <v>362</v>
      </c>
      <c r="F299" t="str">
        <f>VLOOKUP(A1703,[2]Kreise!$A$2:$C$53,3,FALSE)</f>
        <v>K03405</v>
      </c>
      <c r="G299">
        <f>'2020_5-2-2_Download'!O47</f>
        <v>29.138668295662796</v>
      </c>
    </row>
    <row r="300" spans="1:7">
      <c r="A300">
        <f>'2020_5-2-2_Download'!B48</f>
        <v>451</v>
      </c>
      <c r="B300">
        <f>'2020_5-2-2_Download'!$K$5</f>
        <v>2019</v>
      </c>
      <c r="C300" t="str">
        <f>VLOOKUP(A1704,[1]Tabelle1!$A$1:$B$68,2,FALSE)</f>
        <v>Ammerland</v>
      </c>
      <c r="D300" t="str">
        <f>'2020_5-2-2_Download'!$O$7</f>
        <v>mittel</v>
      </c>
      <c r="E300" t="s">
        <v>362</v>
      </c>
      <c r="F300" t="str">
        <f>VLOOKUP(A1704,[2]Kreise!$A$2:$C$53,3,FALSE)</f>
        <v>K03451</v>
      </c>
      <c r="G300">
        <f>'2020_5-2-2_Download'!O48</f>
        <v>26.182298546895641</v>
      </c>
    </row>
    <row r="301" spans="1:7">
      <c r="A301">
        <f>'2020_5-2-2_Download'!B49</f>
        <v>452</v>
      </c>
      <c r="B301">
        <f>'2020_5-2-2_Download'!$K$5</f>
        <v>2019</v>
      </c>
      <c r="C301" t="str">
        <f>VLOOKUP(A1705,[1]Tabelle1!$A$1:$B$68,2,FALSE)</f>
        <v>Aurich</v>
      </c>
      <c r="D301" t="str">
        <f>'2020_5-2-2_Download'!$O$7</f>
        <v>mittel</v>
      </c>
      <c r="E301" t="s">
        <v>362</v>
      </c>
      <c r="F301" t="str">
        <f>VLOOKUP(A1705,[2]Kreise!$A$2:$C$53,3,FALSE)</f>
        <v>K03452</v>
      </c>
      <c r="G301">
        <f>'2020_5-2-2_Download'!O49</f>
        <v>26.816410726564289</v>
      </c>
    </row>
    <row r="302" spans="1:7">
      <c r="A302">
        <f>'2020_5-2-2_Download'!B50</f>
        <v>453</v>
      </c>
      <c r="B302">
        <f>'2020_5-2-2_Download'!$K$5</f>
        <v>2019</v>
      </c>
      <c r="C302" t="str">
        <f>VLOOKUP(A1706,[1]Tabelle1!$A$1:$B$68,2,FALSE)</f>
        <v>Cloppenburg</v>
      </c>
      <c r="D302" t="str">
        <f>'2020_5-2-2_Download'!$O$7</f>
        <v>mittel</v>
      </c>
      <c r="E302" t="s">
        <v>362</v>
      </c>
      <c r="F302" t="str">
        <f>VLOOKUP(A1706,[2]Kreise!$A$2:$C$53,3,FALSE)</f>
        <v>K03453</v>
      </c>
      <c r="G302">
        <f>'2020_5-2-2_Download'!O50</f>
        <v>20.508474576271187</v>
      </c>
    </row>
    <row r="303" spans="1:7">
      <c r="A303">
        <f>'2020_5-2-2_Download'!B51</f>
        <v>454</v>
      </c>
      <c r="B303">
        <f>'2020_5-2-2_Download'!$K$5</f>
        <v>2019</v>
      </c>
      <c r="C303" t="str">
        <f>VLOOKUP(A1707,[1]Tabelle1!$A$1:$B$68,2,FALSE)</f>
        <v>Emsland</v>
      </c>
      <c r="D303" t="str">
        <f>'2020_5-2-2_Download'!$O$7</f>
        <v>mittel</v>
      </c>
      <c r="E303" t="s">
        <v>362</v>
      </c>
      <c r="F303" t="str">
        <f>VLOOKUP(A1707,[2]Kreise!$A$2:$C$53,3,FALSE)</f>
        <v>K03454</v>
      </c>
      <c r="G303">
        <f>'2020_5-2-2_Download'!O51</f>
        <v>28.377407300948548</v>
      </c>
    </row>
    <row r="304" spans="1:7">
      <c r="A304">
        <f>'2020_5-2-2_Download'!B52</f>
        <v>455</v>
      </c>
      <c r="B304">
        <f>'2020_5-2-2_Download'!$K$5</f>
        <v>2019</v>
      </c>
      <c r="C304" t="str">
        <f>VLOOKUP(A1708,[1]Tabelle1!$A$1:$B$68,2,FALSE)</f>
        <v>Friesland</v>
      </c>
      <c r="D304" t="str">
        <f>'2020_5-2-2_Download'!$O$7</f>
        <v>mittel</v>
      </c>
      <c r="E304" t="s">
        <v>362</v>
      </c>
      <c r="F304" t="str">
        <f>VLOOKUP(A1708,[2]Kreise!$A$2:$C$53,3,FALSE)</f>
        <v>K03455</v>
      </c>
      <c r="G304">
        <f>'2020_5-2-2_Download'!O52</f>
        <v>30.063965884861407</v>
      </c>
    </row>
    <row r="305" spans="1:7">
      <c r="A305">
        <f>'2020_5-2-2_Download'!B53</f>
        <v>456</v>
      </c>
      <c r="B305">
        <f>'2020_5-2-2_Download'!$K$5</f>
        <v>2019</v>
      </c>
      <c r="C305" t="str">
        <f>VLOOKUP(A1709,[1]Tabelle1!$A$1:$B$68,2,FALSE)</f>
        <v>Grafschaft Bentheim</v>
      </c>
      <c r="D305" t="str">
        <f>'2020_5-2-2_Download'!$O$7</f>
        <v>mittel</v>
      </c>
      <c r="E305" t="s">
        <v>362</v>
      </c>
      <c r="F305" t="str">
        <f>VLOOKUP(A1709,[2]Kreise!$A$2:$C$53,3,FALSE)</f>
        <v>K03456</v>
      </c>
      <c r="G305">
        <f>'2020_5-2-2_Download'!O53</f>
        <v>37.345351714386709</v>
      </c>
    </row>
    <row r="306" spans="1:7">
      <c r="A306">
        <f>'2020_5-2-2_Download'!B54</f>
        <v>457</v>
      </c>
      <c r="B306">
        <f>'2020_5-2-2_Download'!$K$5</f>
        <v>2019</v>
      </c>
      <c r="C306" t="str">
        <f>VLOOKUP(A1710,[1]Tabelle1!$A$1:$B$68,2,FALSE)</f>
        <v>Leer</v>
      </c>
      <c r="D306" t="str">
        <f>'2020_5-2-2_Download'!$O$7</f>
        <v>mittel</v>
      </c>
      <c r="E306" t="s">
        <v>362</v>
      </c>
      <c r="F306" t="str">
        <f>VLOOKUP(A1710,[2]Kreise!$A$2:$C$53,3,FALSE)</f>
        <v>K03457</v>
      </c>
      <c r="G306">
        <f>'2020_5-2-2_Download'!O54</f>
        <v>29.539367970005355</v>
      </c>
    </row>
    <row r="307" spans="1:7">
      <c r="A307">
        <f>'2020_5-2-2_Download'!B55</f>
        <v>458</v>
      </c>
      <c r="B307">
        <f>'2020_5-2-2_Download'!$K$5</f>
        <v>2019</v>
      </c>
      <c r="C307" t="str">
        <f>VLOOKUP(A1711,[1]Tabelle1!$A$1:$B$68,2,FALSE)</f>
        <v>Oldenburg</v>
      </c>
      <c r="D307" t="str">
        <f>'2020_5-2-2_Download'!$O$7</f>
        <v>mittel</v>
      </c>
      <c r="E307" t="s">
        <v>362</v>
      </c>
      <c r="F307" t="str">
        <f>VLOOKUP(A1711,[2]Kreise!$A$2:$C$53,3,FALSE)</f>
        <v>K03458</v>
      </c>
      <c r="G307">
        <f>'2020_5-2-2_Download'!O55</f>
        <v>25.525606469002696</v>
      </c>
    </row>
    <row r="308" spans="1:7">
      <c r="A308">
        <f>'2020_5-2-2_Download'!B56</f>
        <v>459</v>
      </c>
      <c r="B308">
        <f>'2020_5-2-2_Download'!$K$5</f>
        <v>2019</v>
      </c>
      <c r="C308" t="str">
        <f>VLOOKUP(A1712,[1]Tabelle1!$A$1:$B$68,2,FALSE)</f>
        <v>Osnabrück</v>
      </c>
      <c r="D308" t="str">
        <f>'2020_5-2-2_Download'!$O$7</f>
        <v>mittel</v>
      </c>
      <c r="E308" t="s">
        <v>362</v>
      </c>
      <c r="F308" t="str">
        <f>VLOOKUP(A1712,[2]Kreise!$A$2:$C$53,3,FALSE)</f>
        <v>K03459</v>
      </c>
      <c r="G308">
        <f>'2020_5-2-2_Download'!O56</f>
        <v>22.174209688423925</v>
      </c>
    </row>
    <row r="309" spans="1:7">
      <c r="A309">
        <f>'2020_5-2-2_Download'!B57</f>
        <v>460</v>
      </c>
      <c r="B309">
        <f>'2020_5-2-2_Download'!$K$5</f>
        <v>2019</v>
      </c>
      <c r="C309" t="str">
        <f>VLOOKUP(A1713,[1]Tabelle1!$A$1:$B$68,2,FALSE)</f>
        <v>Vechta</v>
      </c>
      <c r="D309" t="str">
        <f>'2020_5-2-2_Download'!$O$7</f>
        <v>mittel</v>
      </c>
      <c r="E309" t="s">
        <v>362</v>
      </c>
      <c r="F309" t="str">
        <f>VLOOKUP(A1713,[2]Kreise!$A$2:$C$53,3,FALSE)</f>
        <v>K03460</v>
      </c>
      <c r="G309">
        <f>'2020_5-2-2_Download'!O57</f>
        <v>21.128731343283583</v>
      </c>
    </row>
    <row r="310" spans="1:7">
      <c r="A310">
        <f>'2020_5-2-2_Download'!B58</f>
        <v>461</v>
      </c>
      <c r="B310">
        <f>'2020_5-2-2_Download'!$K$5</f>
        <v>2019</v>
      </c>
      <c r="C310" t="str">
        <f>VLOOKUP(A1714,[1]Tabelle1!$A$1:$B$68,2,FALSE)</f>
        <v>Wesermarsch</v>
      </c>
      <c r="D310" t="str">
        <f>'2020_5-2-2_Download'!$O$7</f>
        <v>mittel</v>
      </c>
      <c r="E310" t="s">
        <v>362</v>
      </c>
      <c r="F310" t="str">
        <f>VLOOKUP(A1714,[2]Kreise!$A$2:$C$53,3,FALSE)</f>
        <v>K03461</v>
      </c>
      <c r="G310">
        <f>'2020_5-2-2_Download'!O58</f>
        <v>35.074327038971475</v>
      </c>
    </row>
    <row r="311" spans="1:7">
      <c r="A311">
        <f>'2020_5-2-2_Download'!B59</f>
        <v>462</v>
      </c>
      <c r="B311">
        <f>'2020_5-2-2_Download'!$K$5</f>
        <v>2019</v>
      </c>
      <c r="C311" t="str">
        <f>VLOOKUP(A1715,[1]Tabelle1!$A$1:$B$68,2,FALSE)</f>
        <v>Wittmund</v>
      </c>
      <c r="D311" t="str">
        <f>'2020_5-2-2_Download'!$O$7</f>
        <v>mittel</v>
      </c>
      <c r="E311" t="s">
        <v>362</v>
      </c>
      <c r="F311" t="str">
        <f>VLOOKUP(A1715,[2]Kreise!$A$2:$C$53,3,FALSE)</f>
        <v>K03462</v>
      </c>
      <c r="G311">
        <f>'2020_5-2-2_Download'!O59</f>
        <v>22.267206477732792</v>
      </c>
    </row>
    <row r="312" spans="1:7">
      <c r="A312">
        <f>'2020_5-2-2_Download'!B60</f>
        <v>4</v>
      </c>
      <c r="B312">
        <f>'2020_5-2-2_Download'!$K$5</f>
        <v>2019</v>
      </c>
      <c r="C312" t="str">
        <f>VLOOKUP(A1716,[1]Tabelle1!$A$1:$B$68,2,FALSE)</f>
        <v>Stat. Region Weser-Ems</v>
      </c>
      <c r="D312" t="str">
        <f>'2020_5-2-2_Download'!$O$7</f>
        <v>mittel</v>
      </c>
      <c r="E312" t="s">
        <v>362</v>
      </c>
      <c r="F312" t="str">
        <f>VLOOKUP(A1716,[2]Kreise!$A$2:$C$53,3,FALSE)</f>
        <v>K034</v>
      </c>
      <c r="G312">
        <f>'2020_5-2-2_Download'!O60</f>
        <v>26.165666022183778</v>
      </c>
    </row>
    <row r="313" spans="1:7">
      <c r="A313">
        <f>'2020_5-2-2_Download'!B61</f>
        <v>0</v>
      </c>
      <c r="B313">
        <f>'2020_5-2-2_Download'!$K$5</f>
        <v>2019</v>
      </c>
      <c r="C313" t="str">
        <f>VLOOKUP(A1717,[1]Tabelle1!$A$1:$B$68,2,FALSE)</f>
        <v>Niedersachsen</v>
      </c>
      <c r="D313" t="str">
        <f>'2020_5-2-2_Download'!$O$7</f>
        <v>mittel</v>
      </c>
      <c r="E313" t="s">
        <v>362</v>
      </c>
      <c r="F313" t="str">
        <f>VLOOKUP(A1717,[2]Kreise!$A$2:$C$53,3,FALSE)</f>
        <v>K030</v>
      </c>
      <c r="G313">
        <f>'2020_5-2-2_Download'!O61</f>
        <v>29.938835632785811</v>
      </c>
    </row>
    <row r="314" spans="1:7">
      <c r="A314">
        <f>'2020_5-2-2_Download'!B10</f>
        <v>101</v>
      </c>
      <c r="B314">
        <f>'2020_5-2-2_Download'!$K$5</f>
        <v>2019</v>
      </c>
      <c r="C314" t="str">
        <f>VLOOKUP(A1718,[1]Tabelle1!$A$1:$B$68,2,FALSE)</f>
        <v>Braunschweig  Stadt</v>
      </c>
      <c r="D314" t="str">
        <f>'2020_5-2-2_Download'!$P$7</f>
        <v>niedrig</v>
      </c>
      <c r="E314" t="s">
        <v>362</v>
      </c>
      <c r="F314" t="str">
        <f>VLOOKUP(A1718,[2]Kreise!$A$2:$C$53,3,FALSE)</f>
        <v>K03101</v>
      </c>
      <c r="G314">
        <f>'2020_5-2-2_Download'!P10</f>
        <v>23.877386394191987</v>
      </c>
    </row>
    <row r="315" spans="1:7">
      <c r="A315">
        <f>'2020_5-2-2_Download'!B11</f>
        <v>102</v>
      </c>
      <c r="B315">
        <f>'2020_5-2-2_Download'!$K$5</f>
        <v>2019</v>
      </c>
      <c r="C315" t="str">
        <f>VLOOKUP(A1719,[1]Tabelle1!$A$1:$B$68,2,FALSE)</f>
        <v>Salzgitter  Stadt</v>
      </c>
      <c r="D315" t="str">
        <f>'2020_5-2-2_Download'!$P$7</f>
        <v>niedrig</v>
      </c>
      <c r="E315" t="s">
        <v>362</v>
      </c>
      <c r="F315" t="str">
        <f>VLOOKUP(A1719,[2]Kreise!$A$2:$C$53,3,FALSE)</f>
        <v>K03102</v>
      </c>
      <c r="G315">
        <f>'2020_5-2-2_Download'!P11</f>
        <v>22.793343164103643</v>
      </c>
    </row>
    <row r="316" spans="1:7">
      <c r="A316">
        <f>'2020_5-2-2_Download'!B12</f>
        <v>103</v>
      </c>
      <c r="B316">
        <f>'2020_5-2-2_Download'!$K$5</f>
        <v>2019</v>
      </c>
      <c r="C316" t="str">
        <f>VLOOKUP(A1720,[1]Tabelle1!$A$1:$B$68,2,FALSE)</f>
        <v>Wolfsburg  Stadt</v>
      </c>
      <c r="D316" t="str">
        <f>'2020_5-2-2_Download'!$P$7</f>
        <v>niedrig</v>
      </c>
      <c r="E316" t="s">
        <v>362</v>
      </c>
      <c r="F316" t="str">
        <f>VLOOKUP(A1720,[2]Kreise!$A$2:$C$53,3,FALSE)</f>
        <v>K03103</v>
      </c>
      <c r="G316">
        <f>'2020_5-2-2_Download'!P12</f>
        <v>14.725894245723172</v>
      </c>
    </row>
    <row r="317" spans="1:7">
      <c r="A317">
        <f>'2020_5-2-2_Download'!B13</f>
        <v>151</v>
      </c>
      <c r="B317">
        <f>'2020_5-2-2_Download'!$K$5</f>
        <v>2019</v>
      </c>
      <c r="C317" t="str">
        <f>VLOOKUP(A1721,[1]Tabelle1!$A$1:$B$68,2,FALSE)</f>
        <v>Gifhorn</v>
      </c>
      <c r="D317" t="str">
        <f>'2020_5-2-2_Download'!$P$7</f>
        <v>niedrig</v>
      </c>
      <c r="E317" t="s">
        <v>362</v>
      </c>
      <c r="F317" t="str">
        <f>VLOOKUP(A1721,[2]Kreise!$A$2:$C$53,3,FALSE)</f>
        <v>K03151</v>
      </c>
      <c r="G317">
        <f>'2020_5-2-2_Download'!P13</f>
        <v>24.638157894736842</v>
      </c>
    </row>
    <row r="318" spans="1:7">
      <c r="A318">
        <f>'2020_5-2-2_Download'!B14</f>
        <v>153</v>
      </c>
      <c r="B318">
        <f>'2020_5-2-2_Download'!$K$5</f>
        <v>2019</v>
      </c>
      <c r="C318" t="str">
        <f>VLOOKUP(A1722,[1]Tabelle1!$A$1:$B$68,2,FALSE)</f>
        <v>Goslar</v>
      </c>
      <c r="D318" t="str">
        <f>'2020_5-2-2_Download'!$P$7</f>
        <v>niedrig</v>
      </c>
      <c r="E318" t="s">
        <v>362</v>
      </c>
      <c r="F318" t="str">
        <f>VLOOKUP(A1722,[2]Kreise!$A$2:$C$53,3,FALSE)</f>
        <v>K03153</v>
      </c>
      <c r="G318">
        <f>'2020_5-2-2_Download'!P14</f>
        <v>25.553061878807309</v>
      </c>
    </row>
    <row r="319" spans="1:7">
      <c r="A319">
        <f>'2020_5-2-2_Download'!B15</f>
        <v>154</v>
      </c>
      <c r="B319">
        <f>'2020_5-2-2_Download'!$K$5</f>
        <v>2019</v>
      </c>
      <c r="C319" t="str">
        <f>VLOOKUP(A1723,[1]Tabelle1!$A$1:$B$68,2,FALSE)</f>
        <v>Helmstedt</v>
      </c>
      <c r="D319" t="str">
        <f>'2020_5-2-2_Download'!$P$7</f>
        <v>niedrig</v>
      </c>
      <c r="E319" t="s">
        <v>362</v>
      </c>
      <c r="F319" t="str">
        <f>VLOOKUP(A1723,[2]Kreise!$A$2:$C$53,3,FALSE)</f>
        <v>K03154</v>
      </c>
      <c r="G319">
        <f>'2020_5-2-2_Download'!P15</f>
        <v>22.414900449582529</v>
      </c>
    </row>
    <row r="320" spans="1:7">
      <c r="A320">
        <f>'2020_5-2-2_Download'!B16</f>
        <v>155</v>
      </c>
      <c r="B320">
        <f>'2020_5-2-2_Download'!$K$5</f>
        <v>2019</v>
      </c>
      <c r="C320" t="str">
        <f>VLOOKUP(A1724,[1]Tabelle1!$A$1:$B$68,2,FALSE)</f>
        <v>Northeim</v>
      </c>
      <c r="D320" t="str">
        <f>'2020_5-2-2_Download'!$P$7</f>
        <v>niedrig</v>
      </c>
      <c r="E320" t="s">
        <v>362</v>
      </c>
      <c r="F320" t="str">
        <f>VLOOKUP(A1724,[2]Kreise!$A$2:$C$53,3,FALSE)</f>
        <v>K03155</v>
      </c>
      <c r="G320">
        <f>'2020_5-2-2_Download'!P16</f>
        <v>23.097423748889547</v>
      </c>
    </row>
    <row r="321" spans="1:7">
      <c r="A321">
        <f>'2020_5-2-2_Download'!B17</f>
        <v>157</v>
      </c>
      <c r="B321">
        <f>'2020_5-2-2_Download'!$K$5</f>
        <v>2019</v>
      </c>
      <c r="C321" t="str">
        <f>VLOOKUP(A1725,[1]Tabelle1!$A$1:$B$68,2,FALSE)</f>
        <v>Peine</v>
      </c>
      <c r="D321" t="str">
        <f>'2020_5-2-2_Download'!$P$7</f>
        <v>niedrig</v>
      </c>
      <c r="E321" t="s">
        <v>362</v>
      </c>
      <c r="F321" t="str">
        <f>VLOOKUP(A1725,[2]Kreise!$A$2:$C$53,3,FALSE)</f>
        <v>K03157</v>
      </c>
      <c r="G321">
        <f>'2020_5-2-2_Download'!P17</f>
        <v>28.91674127126231</v>
      </c>
    </row>
    <row r="322" spans="1:7">
      <c r="A322">
        <f>'2020_5-2-2_Download'!B18</f>
        <v>158</v>
      </c>
      <c r="B322">
        <f>'2020_5-2-2_Download'!$K$5</f>
        <v>2019</v>
      </c>
      <c r="C322" t="str">
        <f>VLOOKUP(A1726,[1]Tabelle1!$A$1:$B$68,2,FALSE)</f>
        <v>Wolfenbüttel</v>
      </c>
      <c r="D322" t="str">
        <f>'2020_5-2-2_Download'!$P$7</f>
        <v>niedrig</v>
      </c>
      <c r="E322" t="s">
        <v>362</v>
      </c>
      <c r="F322" t="str">
        <f>VLOOKUP(A1726,[2]Kreise!$A$2:$C$53,3,FALSE)</f>
        <v>K03158</v>
      </c>
      <c r="G322">
        <f>'2020_5-2-2_Download'!P18</f>
        <v>22.715231788079471</v>
      </c>
    </row>
    <row r="323" spans="1:7">
      <c r="A323">
        <f>'2020_5-2-2_Download'!B19</f>
        <v>159</v>
      </c>
      <c r="B323">
        <f>'2020_5-2-2_Download'!$K$5</f>
        <v>2019</v>
      </c>
      <c r="C323" t="str">
        <f>VLOOKUP(A1727,[1]Tabelle1!$A$1:$B$68,2,FALSE)</f>
        <v>Göttingen</v>
      </c>
      <c r="D323" t="str">
        <f>'2020_5-2-2_Download'!$P$7</f>
        <v>niedrig</v>
      </c>
      <c r="E323" t="s">
        <v>362</v>
      </c>
      <c r="F323" t="str">
        <f>VLOOKUP(A1727,[2]Kreise!$A$2:$C$53,3,FALSE)</f>
        <v>K03159</v>
      </c>
      <c r="G323">
        <f>'2020_5-2-2_Download'!P19</f>
        <v>24.825396825396826</v>
      </c>
    </row>
    <row r="324" spans="1:7">
      <c r="A324">
        <f>'2020_5-2-2_Download'!B20</f>
        <v>1</v>
      </c>
      <c r="B324">
        <f>'2020_5-2-2_Download'!$K$5</f>
        <v>2019</v>
      </c>
      <c r="C324" t="str">
        <f>VLOOKUP(A1728,[1]Tabelle1!$A$1:$B$68,2,FALSE)</f>
        <v>Stat. Region Braunschweig</v>
      </c>
      <c r="D324" t="str">
        <f>'2020_5-2-2_Download'!$P$7</f>
        <v>niedrig</v>
      </c>
      <c r="E324" t="s">
        <v>362</v>
      </c>
      <c r="F324" t="str">
        <f>VLOOKUP(A1728,[2]Kreise!$A$2:$C$53,3,FALSE)</f>
        <v>K031</v>
      </c>
      <c r="G324">
        <f>'2020_5-2-2_Download'!P20</f>
        <v>22.470734165439183</v>
      </c>
    </row>
    <row r="325" spans="1:7">
      <c r="A325">
        <f>'2020_5-2-2_Download'!B21</f>
        <v>241</v>
      </c>
      <c r="B325">
        <f>'2020_5-2-2_Download'!$K$5</f>
        <v>2019</v>
      </c>
      <c r="C325" t="str">
        <f>VLOOKUP(A1729,[1]Tabelle1!$A$1:$B$68,2,FALSE)</f>
        <v>Hannover  Region</v>
      </c>
      <c r="D325" t="str">
        <f>'2020_5-2-2_Download'!$P$7</f>
        <v>niedrig</v>
      </c>
      <c r="E325" t="s">
        <v>362</v>
      </c>
      <c r="F325" t="str">
        <f>VLOOKUP(A1729,[2]Kreise!$A$2:$C$53,3,FALSE)</f>
        <v>K03241</v>
      </c>
      <c r="G325">
        <f>'2020_5-2-2_Download'!P21</f>
        <v>27.582857236939592</v>
      </c>
    </row>
    <row r="326" spans="1:7">
      <c r="A326">
        <f>'2020_5-2-2_Download'!B22</f>
        <v>241001</v>
      </c>
      <c r="B326">
        <f>'2020_5-2-2_Download'!$K$5</f>
        <v>2019</v>
      </c>
      <c r="C326" t="str">
        <f>VLOOKUP(A1730,[1]Tabelle1!$A$1:$B$68,2,FALSE)</f>
        <v>dav. Hannover  Lhst.</v>
      </c>
      <c r="D326" t="str">
        <f>'2020_5-2-2_Download'!$P$7</f>
        <v>niedrig</v>
      </c>
      <c r="E326" t="s">
        <v>362</v>
      </c>
      <c r="F326" t="str">
        <f>VLOOKUP(A1730,[2]Kreise!$A$2:$C$53,3,FALSE)</f>
        <v>K03241001</v>
      </c>
      <c r="G326">
        <f>'2020_5-2-2_Download'!P22</f>
        <v>26.736183524504693</v>
      </c>
    </row>
    <row r="327" spans="1:7">
      <c r="A327">
        <f>'2020_5-2-2_Download'!B23</f>
        <v>241999</v>
      </c>
      <c r="B327">
        <f>'2020_5-2-2_Download'!$K$5</f>
        <v>2019</v>
      </c>
      <c r="C327" t="str">
        <f>VLOOKUP(A1731,[1]Tabelle1!$A$1:$B$68,2,FALSE)</f>
        <v>dav. Hannover  Umland</v>
      </c>
      <c r="D327" t="str">
        <f>'2020_5-2-2_Download'!$P$7</f>
        <v>niedrig</v>
      </c>
      <c r="E327" t="s">
        <v>362</v>
      </c>
      <c r="F327" t="str">
        <f>VLOOKUP(A1731,[2]Kreise!$A$2:$C$53,3,FALSE)</f>
        <v>K03241999</v>
      </c>
      <c r="G327">
        <f>'2020_5-2-2_Download'!P23</f>
        <v>29.034276265808646</v>
      </c>
    </row>
    <row r="328" spans="1:7">
      <c r="A328">
        <f>'2020_5-2-2_Download'!B24</f>
        <v>251</v>
      </c>
      <c r="B328">
        <f>'2020_5-2-2_Download'!$K$5</f>
        <v>2019</v>
      </c>
      <c r="C328" t="str">
        <f>VLOOKUP(A1732,[1]Tabelle1!$A$1:$B$68,2,FALSE)</f>
        <v>Diepholz</v>
      </c>
      <c r="D328" t="str">
        <f>'2020_5-2-2_Download'!$P$7</f>
        <v>niedrig</v>
      </c>
      <c r="E328" t="s">
        <v>362</v>
      </c>
      <c r="F328" t="str">
        <f>VLOOKUP(A1732,[2]Kreise!$A$2:$C$53,3,FALSE)</f>
        <v>K03251</v>
      </c>
      <c r="G328">
        <f>'2020_5-2-2_Download'!P24</f>
        <v>25.281260045001606</v>
      </c>
    </row>
    <row r="329" spans="1:7">
      <c r="A329">
        <f>'2020_5-2-2_Download'!B25</f>
        <v>252</v>
      </c>
      <c r="B329">
        <f>'2020_5-2-2_Download'!$K$5</f>
        <v>2019</v>
      </c>
      <c r="C329" t="str">
        <f>VLOOKUP(A1733,[1]Tabelle1!$A$1:$B$68,2,FALSE)</f>
        <v>Hameln-Pyrmont</v>
      </c>
      <c r="D329" t="str">
        <f>'2020_5-2-2_Download'!$P$7</f>
        <v>niedrig</v>
      </c>
      <c r="E329" t="s">
        <v>362</v>
      </c>
      <c r="F329" t="str">
        <f>VLOOKUP(A1733,[2]Kreise!$A$2:$C$53,3,FALSE)</f>
        <v>K03252</v>
      </c>
      <c r="G329">
        <f>'2020_5-2-2_Download'!P25</f>
        <v>27.665350444225073</v>
      </c>
    </row>
    <row r="330" spans="1:7">
      <c r="A330">
        <f>'2020_5-2-2_Download'!B26</f>
        <v>254</v>
      </c>
      <c r="B330">
        <f>'2020_5-2-2_Download'!$K$5</f>
        <v>2019</v>
      </c>
      <c r="C330" t="str">
        <f>VLOOKUP(A1734,[1]Tabelle1!$A$1:$B$68,2,FALSE)</f>
        <v>Hildesheim</v>
      </c>
      <c r="D330" t="str">
        <f>'2020_5-2-2_Download'!$P$7</f>
        <v>niedrig</v>
      </c>
      <c r="E330" t="s">
        <v>362</v>
      </c>
      <c r="F330" t="str">
        <f>VLOOKUP(A1734,[2]Kreise!$A$2:$C$53,3,FALSE)</f>
        <v>K03254</v>
      </c>
      <c r="G330">
        <f>'2020_5-2-2_Download'!P26</f>
        <v>25.373854317414374</v>
      </c>
    </row>
    <row r="331" spans="1:7">
      <c r="A331">
        <f>'2020_5-2-2_Download'!B27</f>
        <v>255</v>
      </c>
      <c r="B331">
        <f>'2020_5-2-2_Download'!$K$5</f>
        <v>2019</v>
      </c>
      <c r="C331" t="str">
        <f>VLOOKUP(A1735,[1]Tabelle1!$A$1:$B$68,2,FALSE)</f>
        <v>Holzminden</v>
      </c>
      <c r="D331" t="str">
        <f>'2020_5-2-2_Download'!$P$7</f>
        <v>niedrig</v>
      </c>
      <c r="E331" t="s">
        <v>362</v>
      </c>
      <c r="F331" t="str">
        <f>VLOOKUP(A1735,[2]Kreise!$A$2:$C$53,3,FALSE)</f>
        <v>K03255</v>
      </c>
      <c r="G331">
        <f>'2020_5-2-2_Download'!P27</f>
        <v>27.867698803659394</v>
      </c>
    </row>
    <row r="332" spans="1:7">
      <c r="A332">
        <f>'2020_5-2-2_Download'!B28</f>
        <v>256</v>
      </c>
      <c r="B332">
        <f>'2020_5-2-2_Download'!$K$5</f>
        <v>2019</v>
      </c>
      <c r="C332" t="str">
        <f>VLOOKUP(A1736,[1]Tabelle1!$A$1:$B$68,2,FALSE)</f>
        <v>Nienburg (Weser)</v>
      </c>
      <c r="D332" t="str">
        <f>'2020_5-2-2_Download'!$P$7</f>
        <v>niedrig</v>
      </c>
      <c r="E332" t="s">
        <v>362</v>
      </c>
      <c r="F332" t="str">
        <f>VLOOKUP(A1736,[2]Kreise!$A$2:$C$53,3,FALSE)</f>
        <v>K03256</v>
      </c>
      <c r="G332">
        <f>'2020_5-2-2_Download'!P28</f>
        <v>24.689040131424548</v>
      </c>
    </row>
    <row r="333" spans="1:7">
      <c r="A333">
        <f>'2020_5-2-2_Download'!B29</f>
        <v>257</v>
      </c>
      <c r="B333">
        <f>'2020_5-2-2_Download'!$K$5</f>
        <v>2019</v>
      </c>
      <c r="C333" t="str">
        <f>VLOOKUP(A1737,[1]Tabelle1!$A$1:$B$68,2,FALSE)</f>
        <v>Schaumburg</v>
      </c>
      <c r="D333" t="str">
        <f>'2020_5-2-2_Download'!$P$7</f>
        <v>niedrig</v>
      </c>
      <c r="E333" t="s">
        <v>362</v>
      </c>
      <c r="F333" t="str">
        <f>VLOOKUP(A1737,[2]Kreise!$A$2:$C$53,3,FALSE)</f>
        <v>K03257</v>
      </c>
      <c r="G333">
        <f>'2020_5-2-2_Download'!P29</f>
        <v>26.24017348875034</v>
      </c>
    </row>
    <row r="334" spans="1:7">
      <c r="A334">
        <f>'2020_5-2-2_Download'!B30</f>
        <v>2</v>
      </c>
      <c r="B334">
        <f>'2020_5-2-2_Download'!$K$5</f>
        <v>2019</v>
      </c>
      <c r="C334" t="str">
        <f>VLOOKUP(A1738,[1]Tabelle1!$A$1:$B$68,2,FALSE)</f>
        <v>Stat. Region Hannover</v>
      </c>
      <c r="D334" t="str">
        <f>'2020_5-2-2_Download'!$P$7</f>
        <v>niedrig</v>
      </c>
      <c r="E334" t="s">
        <v>362</v>
      </c>
      <c r="F334" t="str">
        <f>VLOOKUP(A1738,[2]Kreise!$A$2:$C$53,3,FALSE)</f>
        <v>K032</v>
      </c>
      <c r="G334">
        <f>'2020_5-2-2_Download'!P30</f>
        <v>27.067816768859483</v>
      </c>
    </row>
    <row r="335" spans="1:7">
      <c r="A335">
        <f>'2020_5-2-2_Download'!B31</f>
        <v>351</v>
      </c>
      <c r="B335">
        <f>'2020_5-2-2_Download'!$K$5</f>
        <v>2019</v>
      </c>
      <c r="C335" t="str">
        <f>VLOOKUP(A1739,[1]Tabelle1!$A$1:$B$68,2,FALSE)</f>
        <v>Celle</v>
      </c>
      <c r="D335" t="str">
        <f>'2020_5-2-2_Download'!$P$7</f>
        <v>niedrig</v>
      </c>
      <c r="E335" t="s">
        <v>362</v>
      </c>
      <c r="F335" t="str">
        <f>VLOOKUP(A1739,[2]Kreise!$A$2:$C$53,3,FALSE)</f>
        <v>K03351</v>
      </c>
      <c r="G335">
        <f>'2020_5-2-2_Download'!P31</f>
        <v>30.387314790746036</v>
      </c>
    </row>
    <row r="336" spans="1:7">
      <c r="A336">
        <f>'2020_5-2-2_Download'!B32</f>
        <v>352</v>
      </c>
      <c r="B336">
        <f>'2020_5-2-2_Download'!$K$5</f>
        <v>2019</v>
      </c>
      <c r="C336" t="str">
        <f>VLOOKUP(A1740,[1]Tabelle1!$A$1:$B$68,2,FALSE)</f>
        <v>Cuxhaven</v>
      </c>
      <c r="D336" t="str">
        <f>'2020_5-2-2_Download'!$P$7</f>
        <v>niedrig</v>
      </c>
      <c r="E336" t="s">
        <v>362</v>
      </c>
      <c r="F336" t="str">
        <f>VLOOKUP(A1740,[2]Kreise!$A$2:$C$53,3,FALSE)</f>
        <v>K03352</v>
      </c>
      <c r="G336">
        <f>'2020_5-2-2_Download'!P32</f>
        <v>25.668700140778977</v>
      </c>
    </row>
    <row r="337" spans="1:7">
      <c r="A337">
        <f>'2020_5-2-2_Download'!B33</f>
        <v>353</v>
      </c>
      <c r="B337">
        <f>'2020_5-2-2_Download'!$K$5</f>
        <v>2019</v>
      </c>
      <c r="C337" t="str">
        <f>VLOOKUP(A1741,[1]Tabelle1!$A$1:$B$68,2,FALSE)</f>
        <v>Harburg</v>
      </c>
      <c r="D337" t="str">
        <f>'2020_5-2-2_Download'!$P$7</f>
        <v>niedrig</v>
      </c>
      <c r="E337" t="s">
        <v>362</v>
      </c>
      <c r="F337" t="str">
        <f>VLOOKUP(A1741,[2]Kreise!$A$2:$C$53,3,FALSE)</f>
        <v>K03353</v>
      </c>
      <c r="G337">
        <f>'2020_5-2-2_Download'!P33</f>
        <v>28.547745358090186</v>
      </c>
    </row>
    <row r="338" spans="1:7">
      <c r="A338">
        <f>'2020_5-2-2_Download'!B34</f>
        <v>354</v>
      </c>
      <c r="B338">
        <f>'2020_5-2-2_Download'!$K$5</f>
        <v>2019</v>
      </c>
      <c r="C338" t="str">
        <f>VLOOKUP(A1742,[1]Tabelle1!$A$1:$B$68,2,FALSE)</f>
        <v>Lüchow-Dannenberg</v>
      </c>
      <c r="D338" t="str">
        <f>'2020_5-2-2_Download'!$P$7</f>
        <v>niedrig</v>
      </c>
      <c r="E338" t="s">
        <v>362</v>
      </c>
      <c r="F338" t="str">
        <f>VLOOKUP(A1742,[2]Kreise!$A$2:$C$53,3,FALSE)</f>
        <v>K03354</v>
      </c>
      <c r="G338">
        <f>'2020_5-2-2_Download'!P34</f>
        <v>17.391304347826086</v>
      </c>
    </row>
    <row r="339" spans="1:7">
      <c r="A339">
        <f>'2020_5-2-2_Download'!B35</f>
        <v>355</v>
      </c>
      <c r="B339">
        <f>'2020_5-2-2_Download'!$K$5</f>
        <v>2019</v>
      </c>
      <c r="C339" t="str">
        <f>VLOOKUP(A1743,[1]Tabelle1!$A$1:$B$68,2,FALSE)</f>
        <v>Lüneburg</v>
      </c>
      <c r="D339" t="str">
        <f>'2020_5-2-2_Download'!$P$7</f>
        <v>niedrig</v>
      </c>
      <c r="E339" t="s">
        <v>362</v>
      </c>
      <c r="F339" t="str">
        <f>VLOOKUP(A1743,[2]Kreise!$A$2:$C$53,3,FALSE)</f>
        <v>K03355</v>
      </c>
      <c r="G339">
        <f>'2020_5-2-2_Download'!P35</f>
        <v>27.363566487317449</v>
      </c>
    </row>
    <row r="340" spans="1:7">
      <c r="A340">
        <f>'2020_5-2-2_Download'!B36</f>
        <v>356</v>
      </c>
      <c r="B340">
        <f>'2020_5-2-2_Download'!$K$5</f>
        <v>2019</v>
      </c>
      <c r="C340" t="str">
        <f>VLOOKUP(A1744,[1]Tabelle1!$A$1:$B$68,2,FALSE)</f>
        <v>Osterholz</v>
      </c>
      <c r="D340" t="str">
        <f>'2020_5-2-2_Download'!$P$7</f>
        <v>niedrig</v>
      </c>
      <c r="E340" t="s">
        <v>362</v>
      </c>
      <c r="F340" t="str">
        <f>VLOOKUP(A1744,[2]Kreise!$A$2:$C$53,3,FALSE)</f>
        <v>K03356</v>
      </c>
      <c r="G340">
        <f>'2020_5-2-2_Download'!P36</f>
        <v>26.347607052896727</v>
      </c>
    </row>
    <row r="341" spans="1:7">
      <c r="A341">
        <f>'2020_5-2-2_Download'!B37</f>
        <v>357</v>
      </c>
      <c r="B341">
        <f>'2020_5-2-2_Download'!$K$5</f>
        <v>2019</v>
      </c>
      <c r="C341" t="str">
        <f>VLOOKUP(A1745,[1]Tabelle1!$A$1:$B$68,2,FALSE)</f>
        <v>Rotenburg (Wümme)</v>
      </c>
      <c r="D341" t="str">
        <f>'2020_5-2-2_Download'!$P$7</f>
        <v>niedrig</v>
      </c>
      <c r="E341" t="s">
        <v>362</v>
      </c>
      <c r="F341" t="str">
        <f>VLOOKUP(A1745,[2]Kreise!$A$2:$C$53,3,FALSE)</f>
        <v>K03357</v>
      </c>
      <c r="G341">
        <f>'2020_5-2-2_Download'!P37</f>
        <v>23.960107029919726</v>
      </c>
    </row>
    <row r="342" spans="1:7">
      <c r="A342">
        <f>'2020_5-2-2_Download'!B38</f>
        <v>358</v>
      </c>
      <c r="B342">
        <f>'2020_5-2-2_Download'!$K$5</f>
        <v>2019</v>
      </c>
      <c r="C342" t="str">
        <f>VLOOKUP(A1746,[1]Tabelle1!$A$1:$B$68,2,FALSE)</f>
        <v>Heidekreis</v>
      </c>
      <c r="D342" t="str">
        <f>'2020_5-2-2_Download'!$P$7</f>
        <v>niedrig</v>
      </c>
      <c r="E342" t="s">
        <v>362</v>
      </c>
      <c r="F342" t="str">
        <f>VLOOKUP(A1746,[2]Kreise!$A$2:$C$53,3,FALSE)</f>
        <v>K03358</v>
      </c>
      <c r="G342">
        <f>'2020_5-2-2_Download'!P38</f>
        <v>21.43698468786808</v>
      </c>
    </row>
    <row r="343" spans="1:7">
      <c r="A343">
        <f>'2020_5-2-2_Download'!B39</f>
        <v>359</v>
      </c>
      <c r="B343">
        <f>'2020_5-2-2_Download'!$K$5</f>
        <v>2019</v>
      </c>
      <c r="C343" t="str">
        <f>VLOOKUP(A1747,[1]Tabelle1!$A$1:$B$68,2,FALSE)</f>
        <v>Stade</v>
      </c>
      <c r="D343" t="str">
        <f>'2020_5-2-2_Download'!$P$7</f>
        <v>niedrig</v>
      </c>
      <c r="E343" t="s">
        <v>362</v>
      </c>
      <c r="F343" t="str">
        <f>VLOOKUP(A1747,[2]Kreise!$A$2:$C$53,3,FALSE)</f>
        <v>K03359</v>
      </c>
      <c r="G343">
        <f>'2020_5-2-2_Download'!P39</f>
        <v>22.048641931475235</v>
      </c>
    </row>
    <row r="344" spans="1:7">
      <c r="A344">
        <f>'2020_5-2-2_Download'!B40</f>
        <v>360</v>
      </c>
      <c r="B344">
        <f>'2020_5-2-2_Download'!$K$5</f>
        <v>2019</v>
      </c>
      <c r="C344" t="str">
        <f>VLOOKUP(A1748,[1]Tabelle1!$A$1:$B$68,2,FALSE)</f>
        <v>Uelzen</v>
      </c>
      <c r="D344" t="str">
        <f>'2020_5-2-2_Download'!$P$7</f>
        <v>niedrig</v>
      </c>
      <c r="E344" t="s">
        <v>362</v>
      </c>
      <c r="F344" t="str">
        <f>VLOOKUP(A1748,[2]Kreise!$A$2:$C$53,3,FALSE)</f>
        <v>K03360</v>
      </c>
      <c r="G344">
        <f>'2020_5-2-2_Download'!P40</f>
        <v>22.229102167182663</v>
      </c>
    </row>
    <row r="345" spans="1:7">
      <c r="A345">
        <f>'2020_5-2-2_Download'!B41</f>
        <v>361</v>
      </c>
      <c r="B345">
        <f>'2020_5-2-2_Download'!$K$5</f>
        <v>2019</v>
      </c>
      <c r="C345" t="str">
        <f>VLOOKUP(A1749,[1]Tabelle1!$A$1:$B$68,2,FALSE)</f>
        <v>Verden</v>
      </c>
      <c r="D345" t="str">
        <f>'2020_5-2-2_Download'!$P$7</f>
        <v>niedrig</v>
      </c>
      <c r="E345" t="s">
        <v>362</v>
      </c>
      <c r="F345" t="str">
        <f>VLOOKUP(A1749,[2]Kreise!$A$2:$C$53,3,FALSE)</f>
        <v>K03361</v>
      </c>
      <c r="G345">
        <f>'2020_5-2-2_Download'!P41</f>
        <v>26.012269938650306</v>
      </c>
    </row>
    <row r="346" spans="1:7">
      <c r="A346">
        <f>'2020_5-2-2_Download'!B42</f>
        <v>3</v>
      </c>
      <c r="B346">
        <f>'2020_5-2-2_Download'!$K$5</f>
        <v>2019</v>
      </c>
      <c r="C346" t="str">
        <f>VLOOKUP(A1750,[1]Tabelle1!$A$1:$B$68,2,FALSE)</f>
        <v>Stat. Region Lüneburg</v>
      </c>
      <c r="D346" t="str">
        <f>'2020_5-2-2_Download'!$P$7</f>
        <v>niedrig</v>
      </c>
      <c r="E346" t="s">
        <v>362</v>
      </c>
      <c r="F346" t="str">
        <f>VLOOKUP(A1750,[2]Kreise!$A$2:$C$53,3,FALSE)</f>
        <v>K033</v>
      </c>
      <c r="G346">
        <f>'2020_5-2-2_Download'!P42</f>
        <v>25.601102775015818</v>
      </c>
    </row>
    <row r="347" spans="1:7">
      <c r="A347">
        <f>'2020_5-2-2_Download'!B43</f>
        <v>401</v>
      </c>
      <c r="B347">
        <f>'2020_5-2-2_Download'!$K$5</f>
        <v>2019</v>
      </c>
      <c r="C347" t="str">
        <f>VLOOKUP(A1751,[1]Tabelle1!$A$1:$B$68,2,FALSE)</f>
        <v>Delmenhorst  Stadt</v>
      </c>
      <c r="D347" t="str">
        <f>'2020_5-2-2_Download'!$P$7</f>
        <v>niedrig</v>
      </c>
      <c r="E347" t="s">
        <v>362</v>
      </c>
      <c r="F347" t="str">
        <f>VLOOKUP(A1751,[2]Kreise!$A$2:$C$53,3,FALSE)</f>
        <v>K03401</v>
      </c>
      <c r="G347">
        <f>'2020_5-2-2_Download'!P43</f>
        <v>28.856825749167591</v>
      </c>
    </row>
    <row r="348" spans="1:7">
      <c r="A348">
        <f>'2020_5-2-2_Download'!B44</f>
        <v>402</v>
      </c>
      <c r="B348">
        <f>'2020_5-2-2_Download'!$K$5</f>
        <v>2019</v>
      </c>
      <c r="C348" t="str">
        <f>VLOOKUP(A1752,[1]Tabelle1!$A$1:$B$68,2,FALSE)</f>
        <v>Emden  Stadt</v>
      </c>
      <c r="D348" t="str">
        <f>'2020_5-2-2_Download'!$P$7</f>
        <v>niedrig</v>
      </c>
      <c r="E348" t="s">
        <v>362</v>
      </c>
      <c r="F348" t="str">
        <f>VLOOKUP(A1752,[2]Kreise!$A$2:$C$53,3,FALSE)</f>
        <v>K03402</v>
      </c>
      <c r="G348">
        <f>'2020_5-2-2_Download'!P44</f>
        <v>26.466009340944474</v>
      </c>
    </row>
    <row r="349" spans="1:7">
      <c r="A349">
        <f>'2020_5-2-2_Download'!B45</f>
        <v>403</v>
      </c>
      <c r="B349">
        <f>'2020_5-2-2_Download'!$K$5</f>
        <v>2019</v>
      </c>
      <c r="C349" t="str">
        <f>VLOOKUP(A1753,[1]Tabelle1!$A$1:$B$68,2,FALSE)</f>
        <v>Oldenburg(Oldb)  Stadt</v>
      </c>
      <c r="D349" t="str">
        <f>'2020_5-2-2_Download'!$P$7</f>
        <v>niedrig</v>
      </c>
      <c r="E349" t="s">
        <v>362</v>
      </c>
      <c r="F349" t="str">
        <f>VLOOKUP(A1753,[2]Kreise!$A$2:$C$53,3,FALSE)</f>
        <v>K03403</v>
      </c>
      <c r="G349">
        <f>'2020_5-2-2_Download'!P45</f>
        <v>27.576838172864662</v>
      </c>
    </row>
    <row r="350" spans="1:7">
      <c r="A350">
        <f>'2020_5-2-2_Download'!B46</f>
        <v>404</v>
      </c>
      <c r="B350">
        <f>'2020_5-2-2_Download'!$K$5</f>
        <v>2019</v>
      </c>
      <c r="C350" t="str">
        <f>VLOOKUP(A1754,[1]Tabelle1!$A$1:$B$68,2,FALSE)</f>
        <v>Osnabrück  Stadt</v>
      </c>
      <c r="D350" t="str">
        <f>'2020_5-2-2_Download'!$P$7</f>
        <v>niedrig</v>
      </c>
      <c r="E350" t="s">
        <v>362</v>
      </c>
      <c r="F350" t="str">
        <f>VLOOKUP(A1754,[2]Kreise!$A$2:$C$53,3,FALSE)</f>
        <v>K03404</v>
      </c>
      <c r="G350">
        <f>'2020_5-2-2_Download'!P46</f>
        <v>32.050539005448009</v>
      </c>
    </row>
    <row r="351" spans="1:7">
      <c r="A351">
        <f>'2020_5-2-2_Download'!B47</f>
        <v>405</v>
      </c>
      <c r="B351">
        <f>'2020_5-2-2_Download'!$K$5</f>
        <v>2019</v>
      </c>
      <c r="C351" t="str">
        <f>VLOOKUP(A1755,[1]Tabelle1!$A$1:$B$68,2,FALSE)</f>
        <v>Wilhelmshaven  Stadt</v>
      </c>
      <c r="D351" t="str">
        <f>'2020_5-2-2_Download'!$P$7</f>
        <v>niedrig</v>
      </c>
      <c r="E351" t="s">
        <v>362</v>
      </c>
      <c r="F351" t="str">
        <f>VLOOKUP(A1755,[2]Kreise!$A$2:$C$53,3,FALSE)</f>
        <v>K03405</v>
      </c>
      <c r="G351">
        <f>'2020_5-2-2_Download'!P47</f>
        <v>30.726939523518631</v>
      </c>
    </row>
    <row r="352" spans="1:7">
      <c r="A352">
        <f>'2020_5-2-2_Download'!B48</f>
        <v>451</v>
      </c>
      <c r="B352">
        <f>'2020_5-2-2_Download'!$K$5</f>
        <v>2019</v>
      </c>
      <c r="C352" t="str">
        <f>VLOOKUP(A1756,[1]Tabelle1!$A$1:$B$68,2,FALSE)</f>
        <v>Ammerland</v>
      </c>
      <c r="D352" t="str">
        <f>'2020_5-2-2_Download'!$P$7</f>
        <v>niedrig</v>
      </c>
      <c r="E352" t="s">
        <v>362</v>
      </c>
      <c r="F352" t="str">
        <f>VLOOKUP(A1756,[2]Kreise!$A$2:$C$53,3,FALSE)</f>
        <v>K03451</v>
      </c>
      <c r="G352">
        <f>'2020_5-2-2_Download'!P48</f>
        <v>24.861294583883751</v>
      </c>
    </row>
    <row r="353" spans="1:7">
      <c r="A353">
        <f>'2020_5-2-2_Download'!B49</f>
        <v>452</v>
      </c>
      <c r="B353">
        <f>'2020_5-2-2_Download'!$K$5</f>
        <v>2019</v>
      </c>
      <c r="C353" t="str">
        <f>VLOOKUP(A1757,[1]Tabelle1!$A$1:$B$68,2,FALSE)</f>
        <v>Aurich</v>
      </c>
      <c r="D353" t="str">
        <f>'2020_5-2-2_Download'!$P$7</f>
        <v>niedrig</v>
      </c>
      <c r="E353" t="s">
        <v>362</v>
      </c>
      <c r="F353" t="str">
        <f>VLOOKUP(A1757,[2]Kreise!$A$2:$C$53,3,FALSE)</f>
        <v>K03452</v>
      </c>
      <c r="G353">
        <f>'2020_5-2-2_Download'!P49</f>
        <v>26.335090534036215</v>
      </c>
    </row>
    <row r="354" spans="1:7">
      <c r="A354">
        <f>'2020_5-2-2_Download'!B50</f>
        <v>453</v>
      </c>
      <c r="B354">
        <f>'2020_5-2-2_Download'!$K$5</f>
        <v>2019</v>
      </c>
      <c r="C354" t="str">
        <f>VLOOKUP(A1758,[1]Tabelle1!$A$1:$B$68,2,FALSE)</f>
        <v>Cloppenburg</v>
      </c>
      <c r="D354" t="str">
        <f>'2020_5-2-2_Download'!$P$7</f>
        <v>niedrig</v>
      </c>
      <c r="E354" t="s">
        <v>362</v>
      </c>
      <c r="F354" t="str">
        <f>VLOOKUP(A1758,[2]Kreise!$A$2:$C$53,3,FALSE)</f>
        <v>K03453</v>
      </c>
      <c r="G354">
        <f>'2020_5-2-2_Download'!P50</f>
        <v>28.005982053838483</v>
      </c>
    </row>
    <row r="355" spans="1:7">
      <c r="A355">
        <f>'2020_5-2-2_Download'!B51</f>
        <v>454</v>
      </c>
      <c r="B355">
        <f>'2020_5-2-2_Download'!$K$5</f>
        <v>2019</v>
      </c>
      <c r="C355" t="str">
        <f>VLOOKUP(A1759,[1]Tabelle1!$A$1:$B$68,2,FALSE)</f>
        <v>Emsland</v>
      </c>
      <c r="D355" t="str">
        <f>'2020_5-2-2_Download'!$P$7</f>
        <v>niedrig</v>
      </c>
      <c r="E355" t="s">
        <v>362</v>
      </c>
      <c r="F355" t="str">
        <f>VLOOKUP(A1759,[2]Kreise!$A$2:$C$53,3,FALSE)</f>
        <v>K03454</v>
      </c>
      <c r="G355">
        <f>'2020_5-2-2_Download'!P51</f>
        <v>19.186547858580052</v>
      </c>
    </row>
    <row r="356" spans="1:7">
      <c r="A356">
        <f>'2020_5-2-2_Download'!B52</f>
        <v>455</v>
      </c>
      <c r="B356">
        <f>'2020_5-2-2_Download'!$K$5</f>
        <v>2019</v>
      </c>
      <c r="C356" t="str">
        <f>VLOOKUP(A1760,[1]Tabelle1!$A$1:$B$68,2,FALSE)</f>
        <v>Friesland</v>
      </c>
      <c r="D356" t="str">
        <f>'2020_5-2-2_Download'!$P$7</f>
        <v>niedrig</v>
      </c>
      <c r="E356" t="s">
        <v>362</v>
      </c>
      <c r="F356" t="str">
        <f>VLOOKUP(A1760,[2]Kreise!$A$2:$C$53,3,FALSE)</f>
        <v>K03455</v>
      </c>
      <c r="G356">
        <f>'2020_5-2-2_Download'!P52</f>
        <v>22.316986496090973</v>
      </c>
    </row>
    <row r="357" spans="1:7">
      <c r="A357">
        <f>'2020_5-2-2_Download'!B53</f>
        <v>456</v>
      </c>
      <c r="B357">
        <f>'2020_5-2-2_Download'!$K$5</f>
        <v>2019</v>
      </c>
      <c r="C357" t="str">
        <f>VLOOKUP(A1761,[1]Tabelle1!$A$1:$B$68,2,FALSE)</f>
        <v>Grafschaft Bentheim</v>
      </c>
      <c r="D357" t="str">
        <f>'2020_5-2-2_Download'!$P$7</f>
        <v>niedrig</v>
      </c>
      <c r="E357" t="s">
        <v>362</v>
      </c>
      <c r="F357" t="str">
        <f>VLOOKUP(A1761,[2]Kreise!$A$2:$C$53,3,FALSE)</f>
        <v>K03456</v>
      </c>
      <c r="G357">
        <f>'2020_5-2-2_Download'!P53</f>
        <v>21.50936726758572</v>
      </c>
    </row>
    <row r="358" spans="1:7">
      <c r="A358">
        <f>'2020_5-2-2_Download'!B54</f>
        <v>457</v>
      </c>
      <c r="B358">
        <f>'2020_5-2-2_Download'!$K$5</f>
        <v>2019</v>
      </c>
      <c r="C358" t="str">
        <f>VLOOKUP(A1762,[1]Tabelle1!$A$1:$B$68,2,FALSE)</f>
        <v>Leer</v>
      </c>
      <c r="D358" t="str">
        <f>'2020_5-2-2_Download'!$P$7</f>
        <v>niedrig</v>
      </c>
      <c r="E358" t="s">
        <v>362</v>
      </c>
      <c r="F358" t="str">
        <f>VLOOKUP(A1762,[2]Kreise!$A$2:$C$53,3,FALSE)</f>
        <v>K03457</v>
      </c>
      <c r="G358">
        <f>'2020_5-2-2_Download'!P54</f>
        <v>16.952329941081949</v>
      </c>
    </row>
    <row r="359" spans="1:7">
      <c r="A359">
        <f>'2020_5-2-2_Download'!B55</f>
        <v>458</v>
      </c>
      <c r="B359">
        <f>'2020_5-2-2_Download'!$K$5</f>
        <v>2019</v>
      </c>
      <c r="C359" t="str">
        <f>VLOOKUP(A1763,[1]Tabelle1!$A$1:$B$68,2,FALSE)</f>
        <v>Oldenburg</v>
      </c>
      <c r="D359" t="str">
        <f>'2020_5-2-2_Download'!$P$7</f>
        <v>niedrig</v>
      </c>
      <c r="E359" t="s">
        <v>362</v>
      </c>
      <c r="F359" t="str">
        <f>VLOOKUP(A1763,[2]Kreise!$A$2:$C$53,3,FALSE)</f>
        <v>K03458</v>
      </c>
      <c r="G359">
        <f>'2020_5-2-2_Download'!P55</f>
        <v>27.035040431266847</v>
      </c>
    </row>
    <row r="360" spans="1:7">
      <c r="A360">
        <f>'2020_5-2-2_Download'!B56</f>
        <v>459</v>
      </c>
      <c r="B360">
        <f>'2020_5-2-2_Download'!$K$5</f>
        <v>2019</v>
      </c>
      <c r="C360" t="str">
        <f>VLOOKUP(A1764,[1]Tabelle1!$A$1:$B$68,2,FALSE)</f>
        <v>Osnabrück</v>
      </c>
      <c r="D360" t="str">
        <f>'2020_5-2-2_Download'!$P$7</f>
        <v>niedrig</v>
      </c>
      <c r="E360" t="s">
        <v>362</v>
      </c>
      <c r="F360" t="str">
        <f>VLOOKUP(A1764,[2]Kreise!$A$2:$C$53,3,FALSE)</f>
        <v>K03459</v>
      </c>
      <c r="G360">
        <f>'2020_5-2-2_Download'!P56</f>
        <v>24.55651580623152</v>
      </c>
    </row>
    <row r="361" spans="1:7">
      <c r="A361">
        <f>'2020_5-2-2_Download'!B57</f>
        <v>460</v>
      </c>
      <c r="B361">
        <f>'2020_5-2-2_Download'!$K$5</f>
        <v>2019</v>
      </c>
      <c r="C361" t="str">
        <f>VLOOKUP(A1765,[1]Tabelle1!$A$1:$B$68,2,FALSE)</f>
        <v>Vechta</v>
      </c>
      <c r="D361" t="str">
        <f>'2020_5-2-2_Download'!$P$7</f>
        <v>niedrig</v>
      </c>
      <c r="E361" t="s">
        <v>362</v>
      </c>
      <c r="F361" t="str">
        <f>VLOOKUP(A1765,[2]Kreise!$A$2:$C$53,3,FALSE)</f>
        <v>K03460</v>
      </c>
      <c r="G361">
        <f>'2020_5-2-2_Download'!P57</f>
        <v>27.406716417910449</v>
      </c>
    </row>
    <row r="362" spans="1:7">
      <c r="A362">
        <f>'2020_5-2-2_Download'!B58</f>
        <v>461</v>
      </c>
      <c r="B362">
        <f>'2020_5-2-2_Download'!$K$5</f>
        <v>2019</v>
      </c>
      <c r="C362" t="str">
        <f>VLOOKUP(A1766,[1]Tabelle1!$A$1:$B$68,2,FALSE)</f>
        <v>Wesermarsch</v>
      </c>
      <c r="D362" t="str">
        <f>'2020_5-2-2_Download'!$P$7</f>
        <v>niedrig</v>
      </c>
      <c r="E362" t="s">
        <v>362</v>
      </c>
      <c r="F362" t="str">
        <f>VLOOKUP(A1766,[2]Kreise!$A$2:$C$53,3,FALSE)</f>
        <v>K03461</v>
      </c>
      <c r="G362">
        <f>'2020_5-2-2_Download'!P58</f>
        <v>20.36962635596625</v>
      </c>
    </row>
    <row r="363" spans="1:7">
      <c r="A363">
        <f>'2020_5-2-2_Download'!B59</f>
        <v>462</v>
      </c>
      <c r="B363">
        <f>'2020_5-2-2_Download'!$K$5</f>
        <v>2019</v>
      </c>
      <c r="C363" t="str">
        <f>VLOOKUP(A1767,[1]Tabelle1!$A$1:$B$68,2,FALSE)</f>
        <v>Wittmund</v>
      </c>
      <c r="D363" t="str">
        <f>'2020_5-2-2_Download'!$P$7</f>
        <v>niedrig</v>
      </c>
      <c r="E363" t="s">
        <v>362</v>
      </c>
      <c r="F363" t="str">
        <f>VLOOKUP(A1767,[2]Kreise!$A$2:$C$53,3,FALSE)</f>
        <v>K03462</v>
      </c>
      <c r="G363">
        <f>'2020_5-2-2_Download'!P59</f>
        <v>18.623481781376519</v>
      </c>
    </row>
    <row r="364" spans="1:7">
      <c r="A364">
        <f>'2020_5-2-2_Download'!B60</f>
        <v>4</v>
      </c>
      <c r="B364">
        <f>'2020_5-2-2_Download'!$K$5</f>
        <v>2019</v>
      </c>
      <c r="C364" t="str">
        <f>VLOOKUP(A1768,[1]Tabelle1!$A$1:$B$68,2,FALSE)</f>
        <v>Stat. Region Weser-Ems</v>
      </c>
      <c r="D364" t="str">
        <f>'2020_5-2-2_Download'!$P$7</f>
        <v>niedrig</v>
      </c>
      <c r="E364" t="s">
        <v>362</v>
      </c>
      <c r="F364" t="str">
        <f>VLOOKUP(A1768,[2]Kreise!$A$2:$C$53,3,FALSE)</f>
        <v>K034</v>
      </c>
      <c r="G364">
        <f>'2020_5-2-2_Download'!P60</f>
        <v>25.039177775516436</v>
      </c>
    </row>
    <row r="365" spans="1:7">
      <c r="A365">
        <f>'2020_5-2-2_Download'!B61</f>
        <v>0</v>
      </c>
      <c r="B365">
        <f>'2020_5-2-2_Download'!$K$5</f>
        <v>2019</v>
      </c>
      <c r="C365" t="str">
        <f>VLOOKUP(A1769,[1]Tabelle1!$A$1:$B$68,2,FALSE)</f>
        <v>Niedersachsen</v>
      </c>
      <c r="D365" t="str">
        <f>'2020_5-2-2_Download'!$P$7</f>
        <v>niedrig</v>
      </c>
      <c r="E365" t="s">
        <v>362</v>
      </c>
      <c r="F365" t="str">
        <f>VLOOKUP(A1769,[2]Kreise!$A$2:$C$53,3,FALSE)</f>
        <v>K030</v>
      </c>
      <c r="G365">
        <f>'2020_5-2-2_Download'!P61</f>
        <v>25.281509267274391</v>
      </c>
    </row>
    <row r="366" spans="1:7">
      <c r="A366">
        <f>'2020_5-2-2_Download'!B10</f>
        <v>101</v>
      </c>
      <c r="B366">
        <f>'2020_5-2-2_Download'!$K$5</f>
        <v>2019</v>
      </c>
      <c r="C366" t="str">
        <f>VLOOKUP(A1770,[1]Tabelle1!$A$1:$B$68,2,FALSE)</f>
        <v>Braunschweig  Stadt</v>
      </c>
      <c r="D366" t="str">
        <f>'2020_5-2-2_Download'!$Q$7</f>
        <v>unbekannt</v>
      </c>
      <c r="E366" t="s">
        <v>362</v>
      </c>
      <c r="F366" t="str">
        <f>VLOOKUP(A1770,[2]Kreise!$A$2:$C$53,3,FALSE)</f>
        <v>K03101</v>
      </c>
      <c r="G366">
        <f>'2020_5-2-2_Download'!Q10</f>
        <v>24.997759254279824</v>
      </c>
    </row>
    <row r="367" spans="1:7">
      <c r="A367">
        <f>'2020_5-2-2_Download'!B11</f>
        <v>102</v>
      </c>
      <c r="B367">
        <f>'2020_5-2-2_Download'!$K$5</f>
        <v>2019</v>
      </c>
      <c r="C367" t="str">
        <f>VLOOKUP(A1771,[1]Tabelle1!$A$1:$B$68,2,FALSE)</f>
        <v>Salzgitter  Stadt</v>
      </c>
      <c r="D367" t="str">
        <f>'2020_5-2-2_Download'!$Q$7</f>
        <v>unbekannt</v>
      </c>
      <c r="E367" t="s">
        <v>362</v>
      </c>
      <c r="F367" t="str">
        <f>VLOOKUP(A1771,[2]Kreise!$A$2:$C$53,3,FALSE)</f>
        <v>K03102</v>
      </c>
      <c r="G367">
        <f>'2020_5-2-2_Download'!Q11</f>
        <v>27.638508531704232</v>
      </c>
    </row>
    <row r="368" spans="1:7">
      <c r="A368">
        <f>'2020_5-2-2_Download'!B12</f>
        <v>103</v>
      </c>
      <c r="B368">
        <f>'2020_5-2-2_Download'!$K$5</f>
        <v>2019</v>
      </c>
      <c r="C368" t="str">
        <f>VLOOKUP(A1772,[1]Tabelle1!$A$1:$B$68,2,FALSE)</f>
        <v>Wolfsburg  Stadt</v>
      </c>
      <c r="D368" t="str">
        <f>'2020_5-2-2_Download'!$Q$7</f>
        <v>unbekannt</v>
      </c>
      <c r="E368" t="s">
        <v>362</v>
      </c>
      <c r="F368" t="str">
        <f>VLOOKUP(A1772,[2]Kreise!$A$2:$C$53,3,FALSE)</f>
        <v>K03103</v>
      </c>
      <c r="G368">
        <f>'2020_5-2-2_Download'!Q12</f>
        <v>28.333981337480559</v>
      </c>
    </row>
    <row r="369" spans="1:7">
      <c r="A369">
        <f>'2020_5-2-2_Download'!B13</f>
        <v>151</v>
      </c>
      <c r="B369">
        <f>'2020_5-2-2_Download'!$K$5</f>
        <v>2019</v>
      </c>
      <c r="C369" t="str">
        <f>VLOOKUP(A1773,[1]Tabelle1!$A$1:$B$68,2,FALSE)</f>
        <v>Gifhorn</v>
      </c>
      <c r="D369" t="str">
        <f>'2020_5-2-2_Download'!$Q$7</f>
        <v>unbekannt</v>
      </c>
      <c r="E369" t="s">
        <v>362</v>
      </c>
      <c r="F369" t="str">
        <f>VLOOKUP(A1773,[2]Kreise!$A$2:$C$53,3,FALSE)</f>
        <v>K03151</v>
      </c>
      <c r="G369">
        <f>'2020_5-2-2_Download'!Q13</f>
        <v>32.664473684210527</v>
      </c>
    </row>
    <row r="370" spans="1:7">
      <c r="A370">
        <f>'2020_5-2-2_Download'!B14</f>
        <v>153</v>
      </c>
      <c r="B370">
        <f>'2020_5-2-2_Download'!$K$5</f>
        <v>2019</v>
      </c>
      <c r="C370" t="str">
        <f>VLOOKUP(A1774,[1]Tabelle1!$A$1:$B$68,2,FALSE)</f>
        <v>Goslar</v>
      </c>
      <c r="D370" t="str">
        <f>'2020_5-2-2_Download'!$Q$7</f>
        <v>unbekannt</v>
      </c>
      <c r="E370" t="s">
        <v>362</v>
      </c>
      <c r="F370" t="str">
        <f>VLOOKUP(A1774,[2]Kreise!$A$2:$C$53,3,FALSE)</f>
        <v>K03153</v>
      </c>
      <c r="G370">
        <f>'2020_5-2-2_Download'!Q14</f>
        <v>27.2523244629689</v>
      </c>
    </row>
    <row r="371" spans="1:7">
      <c r="A371">
        <f>'2020_5-2-2_Download'!B15</f>
        <v>154</v>
      </c>
      <c r="B371">
        <f>'2020_5-2-2_Download'!$K$5</f>
        <v>2019</v>
      </c>
      <c r="C371" t="str">
        <f>VLOOKUP(A1775,[1]Tabelle1!$A$1:$B$68,2,FALSE)</f>
        <v>Helmstedt</v>
      </c>
      <c r="D371" t="str">
        <f>'2020_5-2-2_Download'!$Q$7</f>
        <v>unbekannt</v>
      </c>
      <c r="E371" t="s">
        <v>362</v>
      </c>
      <c r="F371" t="str">
        <f>VLOOKUP(A1775,[2]Kreise!$A$2:$C$53,3,FALSE)</f>
        <v>K03154</v>
      </c>
      <c r="G371">
        <f>'2020_5-2-2_Download'!Q15</f>
        <v>22.543352601156069</v>
      </c>
    </row>
    <row r="372" spans="1:7">
      <c r="A372">
        <f>'2020_5-2-2_Download'!B16</f>
        <v>155</v>
      </c>
      <c r="B372">
        <f>'2020_5-2-2_Download'!$K$5</f>
        <v>2019</v>
      </c>
      <c r="C372" t="str">
        <f>VLOOKUP(A1776,[1]Tabelle1!$A$1:$B$68,2,FALSE)</f>
        <v>Northeim</v>
      </c>
      <c r="D372" t="str">
        <f>'2020_5-2-2_Download'!$Q$7</f>
        <v>unbekannt</v>
      </c>
      <c r="E372" t="s">
        <v>362</v>
      </c>
      <c r="F372" t="str">
        <f>VLOOKUP(A1776,[2]Kreise!$A$2:$C$53,3,FALSE)</f>
        <v>K03155</v>
      </c>
      <c r="G372">
        <f>'2020_5-2-2_Download'!Q16</f>
        <v>23.127035830618894</v>
      </c>
    </row>
    <row r="373" spans="1:7">
      <c r="A373">
        <f>'2020_5-2-2_Download'!B17</f>
        <v>157</v>
      </c>
      <c r="B373">
        <f>'2020_5-2-2_Download'!$K$5</f>
        <v>2019</v>
      </c>
      <c r="C373" t="str">
        <f>VLOOKUP(A1777,[1]Tabelle1!$A$1:$B$68,2,FALSE)</f>
        <v>Peine</v>
      </c>
      <c r="D373" t="str">
        <f>'2020_5-2-2_Download'!$Q$7</f>
        <v>unbekannt</v>
      </c>
      <c r="E373" t="s">
        <v>362</v>
      </c>
      <c r="F373" t="str">
        <f>VLOOKUP(A1777,[2]Kreise!$A$2:$C$53,3,FALSE)</f>
        <v>K03157</v>
      </c>
      <c r="G373">
        <f>'2020_5-2-2_Download'!Q17</f>
        <v>35.660996717397794</v>
      </c>
    </row>
    <row r="374" spans="1:7">
      <c r="A374">
        <f>'2020_5-2-2_Download'!B18</f>
        <v>158</v>
      </c>
      <c r="B374">
        <f>'2020_5-2-2_Download'!$K$5</f>
        <v>2019</v>
      </c>
      <c r="C374" t="str">
        <f>VLOOKUP(A1778,[1]Tabelle1!$A$1:$B$68,2,FALSE)</f>
        <v>Wolfenbüttel</v>
      </c>
      <c r="D374" t="str">
        <f>'2020_5-2-2_Download'!$Q$7</f>
        <v>unbekannt</v>
      </c>
      <c r="E374" t="s">
        <v>362</v>
      </c>
      <c r="F374" t="str">
        <f>VLOOKUP(A1778,[2]Kreise!$A$2:$C$53,3,FALSE)</f>
        <v>K03158</v>
      </c>
      <c r="G374">
        <f>'2020_5-2-2_Download'!Q18</f>
        <v>23.841059602649008</v>
      </c>
    </row>
    <row r="375" spans="1:7">
      <c r="A375">
        <f>'2020_5-2-2_Download'!B19</f>
        <v>159</v>
      </c>
      <c r="B375">
        <f>'2020_5-2-2_Download'!$K$5</f>
        <v>2019</v>
      </c>
      <c r="C375" t="str">
        <f>VLOOKUP(A1779,[1]Tabelle1!$A$1:$B$68,2,FALSE)</f>
        <v>Göttingen</v>
      </c>
      <c r="D375" t="str">
        <f>'2020_5-2-2_Download'!$Q$7</f>
        <v>unbekannt</v>
      </c>
      <c r="E375" t="s">
        <v>362</v>
      </c>
      <c r="F375" t="str">
        <f>VLOOKUP(A1779,[2]Kreise!$A$2:$C$53,3,FALSE)</f>
        <v>K03159</v>
      </c>
      <c r="G375">
        <f>'2020_5-2-2_Download'!Q19</f>
        <v>18.328042328042329</v>
      </c>
    </row>
    <row r="376" spans="1:7">
      <c r="A376">
        <f>'2020_5-2-2_Download'!B20</f>
        <v>1</v>
      </c>
      <c r="B376">
        <f>'2020_5-2-2_Download'!$K$5</f>
        <v>2019</v>
      </c>
      <c r="C376" t="str">
        <f>VLOOKUP(A1780,[1]Tabelle1!$A$1:$B$68,2,FALSE)</f>
        <v>Stat. Region Braunschweig</v>
      </c>
      <c r="D376" t="str">
        <f>'2020_5-2-2_Download'!$Q$7</f>
        <v>unbekannt</v>
      </c>
      <c r="E376" t="s">
        <v>362</v>
      </c>
      <c r="F376" t="str">
        <f>VLOOKUP(A1780,[2]Kreise!$A$2:$C$53,3,FALSE)</f>
        <v>K031</v>
      </c>
      <c r="G376">
        <f>'2020_5-2-2_Download'!Q20</f>
        <v>25.734553066129159</v>
      </c>
    </row>
    <row r="377" spans="1:7">
      <c r="A377">
        <f>'2020_5-2-2_Download'!B21</f>
        <v>241</v>
      </c>
      <c r="B377">
        <f>'2020_5-2-2_Download'!$K$5</f>
        <v>2019</v>
      </c>
      <c r="C377" t="str">
        <f>VLOOKUP(A1781,[1]Tabelle1!$A$1:$B$68,2,FALSE)</f>
        <v>Hannover  Region</v>
      </c>
      <c r="D377" t="str">
        <f>'2020_5-2-2_Download'!$Q$7</f>
        <v>unbekannt</v>
      </c>
      <c r="E377" t="s">
        <v>362</v>
      </c>
      <c r="F377" t="str">
        <f>VLOOKUP(A1781,[2]Kreise!$A$2:$C$53,3,FALSE)</f>
        <v>K03241</v>
      </c>
      <c r="G377">
        <f>'2020_5-2-2_Download'!Q21</f>
        <v>26.650970578066087</v>
      </c>
    </row>
    <row r="378" spans="1:7">
      <c r="A378">
        <f>'2020_5-2-2_Download'!B22</f>
        <v>241001</v>
      </c>
      <c r="B378">
        <f>'2020_5-2-2_Download'!$K$5</f>
        <v>2019</v>
      </c>
      <c r="C378" t="str">
        <f>VLOOKUP(A1782,[1]Tabelle1!$A$1:$B$68,2,FALSE)</f>
        <v>dav. Hannover  Lhst.</v>
      </c>
      <c r="D378" t="str">
        <f>'2020_5-2-2_Download'!$Q$7</f>
        <v>unbekannt</v>
      </c>
      <c r="E378" t="s">
        <v>362</v>
      </c>
      <c r="F378" t="str">
        <f>VLOOKUP(A1782,[2]Kreise!$A$2:$C$53,3,FALSE)</f>
        <v>K03241001</v>
      </c>
      <c r="G378">
        <f>'2020_5-2-2_Download'!Q22</f>
        <v>24.971324296141812</v>
      </c>
    </row>
    <row r="379" spans="1:7">
      <c r="A379">
        <f>'2020_5-2-2_Download'!B23</f>
        <v>241999</v>
      </c>
      <c r="B379">
        <f>'2020_5-2-2_Download'!$K$5</f>
        <v>2019</v>
      </c>
      <c r="C379" t="str">
        <f>VLOOKUP(A1783,[1]Tabelle1!$A$1:$B$68,2,FALSE)</f>
        <v>dav. Hannover  Umland</v>
      </c>
      <c r="D379" t="str">
        <f>'2020_5-2-2_Download'!$Q$7</f>
        <v>unbekannt</v>
      </c>
      <c r="E379" t="s">
        <v>362</v>
      </c>
      <c r="F379" t="str">
        <f>VLOOKUP(A1783,[2]Kreise!$A$2:$C$53,3,FALSE)</f>
        <v>K03241999</v>
      </c>
      <c r="G379">
        <f>'2020_5-2-2_Download'!Q23</f>
        <v>29.530321312061492</v>
      </c>
    </row>
    <row r="380" spans="1:7">
      <c r="A380">
        <f>'2020_5-2-2_Download'!B24</f>
        <v>251</v>
      </c>
      <c r="B380">
        <f>'2020_5-2-2_Download'!$K$5</f>
        <v>2019</v>
      </c>
      <c r="C380" t="str">
        <f>VLOOKUP(A1784,[1]Tabelle1!$A$1:$B$68,2,FALSE)</f>
        <v>Diepholz</v>
      </c>
      <c r="D380" t="str">
        <f>'2020_5-2-2_Download'!$Q$7</f>
        <v>unbekannt</v>
      </c>
      <c r="E380" t="s">
        <v>362</v>
      </c>
      <c r="F380" t="str">
        <f>VLOOKUP(A1784,[2]Kreise!$A$2:$C$53,3,FALSE)</f>
        <v>K03251</v>
      </c>
      <c r="G380">
        <f>'2020_5-2-2_Download'!Q24</f>
        <v>35.808421729347479</v>
      </c>
    </row>
    <row r="381" spans="1:7">
      <c r="A381">
        <f>'2020_5-2-2_Download'!B25</f>
        <v>252</v>
      </c>
      <c r="B381">
        <f>'2020_5-2-2_Download'!$K$5</f>
        <v>2019</v>
      </c>
      <c r="C381" t="str">
        <f>VLOOKUP(A1785,[1]Tabelle1!$A$1:$B$68,2,FALSE)</f>
        <v>Hameln-Pyrmont</v>
      </c>
      <c r="D381" t="str">
        <f>'2020_5-2-2_Download'!$Q$7</f>
        <v>unbekannt</v>
      </c>
      <c r="E381" t="s">
        <v>362</v>
      </c>
      <c r="F381" t="str">
        <f>VLOOKUP(A1785,[2]Kreise!$A$2:$C$53,3,FALSE)</f>
        <v>K03252</v>
      </c>
      <c r="G381">
        <f>'2020_5-2-2_Download'!Q25</f>
        <v>24.555774925962488</v>
      </c>
    </row>
    <row r="382" spans="1:7">
      <c r="A382">
        <f>'2020_5-2-2_Download'!B26</f>
        <v>254</v>
      </c>
      <c r="B382">
        <f>'2020_5-2-2_Download'!$K$5</f>
        <v>2019</v>
      </c>
      <c r="C382" t="str">
        <f>VLOOKUP(A1786,[1]Tabelle1!$A$1:$B$68,2,FALSE)</f>
        <v>Hildesheim</v>
      </c>
      <c r="D382" t="str">
        <f>'2020_5-2-2_Download'!$Q$7</f>
        <v>unbekannt</v>
      </c>
      <c r="E382" t="s">
        <v>362</v>
      </c>
      <c r="F382" t="str">
        <f>VLOOKUP(A1786,[2]Kreise!$A$2:$C$53,3,FALSE)</f>
        <v>K03254</v>
      </c>
      <c r="G382">
        <f>'2020_5-2-2_Download'!Q26</f>
        <v>23.235246824248271</v>
      </c>
    </row>
    <row r="383" spans="1:7">
      <c r="A383">
        <f>'2020_5-2-2_Download'!B27</f>
        <v>255</v>
      </c>
      <c r="B383">
        <f>'2020_5-2-2_Download'!$K$5</f>
        <v>2019</v>
      </c>
      <c r="C383" t="str">
        <f>VLOOKUP(A1787,[1]Tabelle1!$A$1:$B$68,2,FALSE)</f>
        <v>Holzminden</v>
      </c>
      <c r="D383" t="str">
        <f>'2020_5-2-2_Download'!$Q$7</f>
        <v>unbekannt</v>
      </c>
      <c r="E383" t="s">
        <v>362</v>
      </c>
      <c r="F383" t="str">
        <f>VLOOKUP(A1787,[2]Kreise!$A$2:$C$53,3,FALSE)</f>
        <v>K03255</v>
      </c>
      <c r="G383">
        <f>'2020_5-2-2_Download'!Q27</f>
        <v>26.812104152005631</v>
      </c>
    </row>
    <row r="384" spans="1:7">
      <c r="A384">
        <f>'2020_5-2-2_Download'!B28</f>
        <v>256</v>
      </c>
      <c r="B384">
        <f>'2020_5-2-2_Download'!$K$5</f>
        <v>2019</v>
      </c>
      <c r="C384" t="str">
        <f>VLOOKUP(A1788,[1]Tabelle1!$A$1:$B$68,2,FALSE)</f>
        <v>Nienburg (Weser)</v>
      </c>
      <c r="D384" t="str">
        <f>'2020_5-2-2_Download'!$Q$7</f>
        <v>unbekannt</v>
      </c>
      <c r="E384" t="s">
        <v>362</v>
      </c>
      <c r="F384" t="str">
        <f>VLOOKUP(A1788,[2]Kreise!$A$2:$C$53,3,FALSE)</f>
        <v>K03256</v>
      </c>
      <c r="G384">
        <f>'2020_5-2-2_Download'!Q28</f>
        <v>45.012907768129544</v>
      </c>
    </row>
    <row r="385" spans="1:7">
      <c r="A385">
        <f>'2020_5-2-2_Download'!B29</f>
        <v>257</v>
      </c>
      <c r="B385">
        <f>'2020_5-2-2_Download'!$K$5</f>
        <v>2019</v>
      </c>
      <c r="C385" t="str">
        <f>VLOOKUP(A1789,[1]Tabelle1!$A$1:$B$68,2,FALSE)</f>
        <v>Schaumburg</v>
      </c>
      <c r="D385" t="str">
        <f>'2020_5-2-2_Download'!$Q$7</f>
        <v>unbekannt</v>
      </c>
      <c r="E385" t="s">
        <v>362</v>
      </c>
      <c r="F385" t="str">
        <f>VLOOKUP(A1789,[2]Kreise!$A$2:$C$53,3,FALSE)</f>
        <v>K03257</v>
      </c>
      <c r="G385">
        <f>'2020_5-2-2_Download'!Q29</f>
        <v>21.767416644076985</v>
      </c>
    </row>
    <row r="386" spans="1:7">
      <c r="A386">
        <f>'2020_5-2-2_Download'!B30</f>
        <v>2</v>
      </c>
      <c r="B386">
        <f>'2020_5-2-2_Download'!$K$5</f>
        <v>2019</v>
      </c>
      <c r="C386" t="str">
        <f>VLOOKUP(A1790,[1]Tabelle1!$A$1:$B$68,2,FALSE)</f>
        <v>Stat. Region Hannover</v>
      </c>
      <c r="D386" t="str">
        <f>'2020_5-2-2_Download'!$Q$7</f>
        <v>unbekannt</v>
      </c>
      <c r="E386" t="s">
        <v>362</v>
      </c>
      <c r="F386" t="str">
        <f>VLOOKUP(A1790,[2]Kreise!$A$2:$C$53,3,FALSE)</f>
        <v>K032</v>
      </c>
      <c r="G386">
        <f>'2020_5-2-2_Download'!Q30</f>
        <v>27.663652844655374</v>
      </c>
    </row>
    <row r="387" spans="1:7">
      <c r="A387">
        <f>'2020_5-2-2_Download'!B31</f>
        <v>351</v>
      </c>
      <c r="B387">
        <f>'2020_5-2-2_Download'!$K$5</f>
        <v>2019</v>
      </c>
      <c r="C387" t="str">
        <f>VLOOKUP(A1791,[1]Tabelle1!$A$1:$B$68,2,FALSE)</f>
        <v>Celle</v>
      </c>
      <c r="D387" t="str">
        <f>'2020_5-2-2_Download'!$Q$7</f>
        <v>unbekannt</v>
      </c>
      <c r="E387" t="s">
        <v>362</v>
      </c>
      <c r="F387" t="str">
        <f>VLOOKUP(A1791,[2]Kreise!$A$2:$C$53,3,FALSE)</f>
        <v>K03351</v>
      </c>
      <c r="G387">
        <f>'2020_5-2-2_Download'!Q31</f>
        <v>24.434624382635821</v>
      </c>
    </row>
    <row r="388" spans="1:7">
      <c r="A388">
        <f>'2020_5-2-2_Download'!B32</f>
        <v>352</v>
      </c>
      <c r="B388">
        <f>'2020_5-2-2_Download'!$K$5</f>
        <v>2019</v>
      </c>
      <c r="C388" t="str">
        <f>VLOOKUP(A1792,[1]Tabelle1!$A$1:$B$68,2,FALSE)</f>
        <v>Cuxhaven</v>
      </c>
      <c r="D388" t="str">
        <f>'2020_5-2-2_Download'!$Q$7</f>
        <v>unbekannt</v>
      </c>
      <c r="E388" t="s">
        <v>362</v>
      </c>
      <c r="F388" t="str">
        <f>VLOOKUP(A1792,[2]Kreise!$A$2:$C$53,3,FALSE)</f>
        <v>K03352</v>
      </c>
      <c r="G388">
        <f>'2020_5-2-2_Download'!Q32</f>
        <v>38.010323791647117</v>
      </c>
    </row>
    <row r="389" spans="1:7">
      <c r="A389">
        <f>'2020_5-2-2_Download'!B33</f>
        <v>353</v>
      </c>
      <c r="B389">
        <f>'2020_5-2-2_Download'!$K$5</f>
        <v>2019</v>
      </c>
      <c r="C389" t="str">
        <f>VLOOKUP(A1793,[1]Tabelle1!$A$1:$B$68,2,FALSE)</f>
        <v>Harburg</v>
      </c>
      <c r="D389" t="str">
        <f>'2020_5-2-2_Download'!$Q$7</f>
        <v>unbekannt</v>
      </c>
      <c r="E389" t="s">
        <v>362</v>
      </c>
      <c r="F389" t="str">
        <f>VLOOKUP(A1793,[2]Kreise!$A$2:$C$53,3,FALSE)</f>
        <v>K03353</v>
      </c>
      <c r="G389">
        <f>'2020_5-2-2_Download'!Q33</f>
        <v>37.621573828470382</v>
      </c>
    </row>
    <row r="390" spans="1:7">
      <c r="A390">
        <f>'2020_5-2-2_Download'!B34</f>
        <v>354</v>
      </c>
      <c r="B390">
        <f>'2020_5-2-2_Download'!$K$5</f>
        <v>2019</v>
      </c>
      <c r="C390" t="str">
        <f>VLOOKUP(A1794,[1]Tabelle1!$A$1:$B$68,2,FALSE)</f>
        <v>Lüchow-Dannenberg</v>
      </c>
      <c r="D390" t="str">
        <f>'2020_5-2-2_Download'!$Q$7</f>
        <v>unbekannt</v>
      </c>
      <c r="E390" t="s">
        <v>362</v>
      </c>
      <c r="F390" t="str">
        <f>VLOOKUP(A1794,[2]Kreise!$A$2:$C$53,3,FALSE)</f>
        <v>K03354</v>
      </c>
      <c r="G390">
        <f>'2020_5-2-2_Download'!Q34</f>
        <v>40.813464235624124</v>
      </c>
    </row>
    <row r="391" spans="1:7">
      <c r="A391">
        <f>'2020_5-2-2_Download'!B35</f>
        <v>355</v>
      </c>
      <c r="B391">
        <f>'2020_5-2-2_Download'!$K$5</f>
        <v>2019</v>
      </c>
      <c r="C391" t="str">
        <f>VLOOKUP(A1795,[1]Tabelle1!$A$1:$B$68,2,FALSE)</f>
        <v>Lüneburg</v>
      </c>
      <c r="D391" t="str">
        <f>'2020_5-2-2_Download'!$Q$7</f>
        <v>unbekannt</v>
      </c>
      <c r="E391" t="s">
        <v>362</v>
      </c>
      <c r="F391" t="str">
        <f>VLOOKUP(A1795,[2]Kreise!$A$2:$C$53,3,FALSE)</f>
        <v>K03355</v>
      </c>
      <c r="G391">
        <f>'2020_5-2-2_Download'!Q35</f>
        <v>27.875992826031258</v>
      </c>
    </row>
    <row r="392" spans="1:7">
      <c r="A392">
        <f>'2020_5-2-2_Download'!B36</f>
        <v>356</v>
      </c>
      <c r="B392">
        <f>'2020_5-2-2_Download'!$K$5</f>
        <v>2019</v>
      </c>
      <c r="C392" t="str">
        <f>VLOOKUP(A1796,[1]Tabelle1!$A$1:$B$68,2,FALSE)</f>
        <v>Osterholz</v>
      </c>
      <c r="D392" t="str">
        <f>'2020_5-2-2_Download'!$Q$7</f>
        <v>unbekannt</v>
      </c>
      <c r="E392" t="s">
        <v>362</v>
      </c>
      <c r="F392" t="str">
        <f>VLOOKUP(A1796,[2]Kreise!$A$2:$C$53,3,FALSE)</f>
        <v>K03356</v>
      </c>
      <c r="G392">
        <f>'2020_5-2-2_Download'!Q36</f>
        <v>31.536523929471034</v>
      </c>
    </row>
    <row r="393" spans="1:7">
      <c r="A393">
        <f>'2020_5-2-2_Download'!B37</f>
        <v>357</v>
      </c>
      <c r="B393">
        <f>'2020_5-2-2_Download'!$K$5</f>
        <v>2019</v>
      </c>
      <c r="C393" t="str">
        <f>VLOOKUP(A1797,[1]Tabelle1!$A$1:$B$68,2,FALSE)</f>
        <v>Rotenburg (Wümme)</v>
      </c>
      <c r="D393" t="str">
        <f>'2020_5-2-2_Download'!$Q$7</f>
        <v>unbekannt</v>
      </c>
      <c r="E393" t="s">
        <v>362</v>
      </c>
      <c r="F393" t="str">
        <f>VLOOKUP(A1797,[2]Kreise!$A$2:$C$53,3,FALSE)</f>
        <v>K03357</v>
      </c>
      <c r="G393">
        <f>'2020_5-2-2_Download'!Q37</f>
        <v>31.281926538555098</v>
      </c>
    </row>
    <row r="394" spans="1:7">
      <c r="A394">
        <f>'2020_5-2-2_Download'!B38</f>
        <v>358</v>
      </c>
      <c r="B394">
        <f>'2020_5-2-2_Download'!$K$5</f>
        <v>2019</v>
      </c>
      <c r="C394" t="str">
        <f>VLOOKUP(A1798,[1]Tabelle1!$A$1:$B$68,2,FALSE)</f>
        <v>Heidekreis</v>
      </c>
      <c r="D394" t="str">
        <f>'2020_5-2-2_Download'!$Q$7</f>
        <v>unbekannt</v>
      </c>
      <c r="E394" t="s">
        <v>362</v>
      </c>
      <c r="F394" t="str">
        <f>VLOOKUP(A1798,[2]Kreise!$A$2:$C$53,3,FALSE)</f>
        <v>K03358</v>
      </c>
      <c r="G394">
        <f>'2020_5-2-2_Download'!Q38</f>
        <v>35.147232037691403</v>
      </c>
    </row>
    <row r="395" spans="1:7">
      <c r="A395">
        <f>'2020_5-2-2_Download'!B39</f>
        <v>359</v>
      </c>
      <c r="B395">
        <f>'2020_5-2-2_Download'!$K$5</f>
        <v>2019</v>
      </c>
      <c r="C395" t="str">
        <f>VLOOKUP(A1799,[1]Tabelle1!$A$1:$B$68,2,FALSE)</f>
        <v>Stade</v>
      </c>
      <c r="D395" t="str">
        <f>'2020_5-2-2_Download'!$Q$7</f>
        <v>unbekannt</v>
      </c>
      <c r="E395" t="s">
        <v>362</v>
      </c>
      <c r="F395" t="str">
        <f>VLOOKUP(A1799,[2]Kreise!$A$2:$C$53,3,FALSE)</f>
        <v>K03359</v>
      </c>
      <c r="G395">
        <f>'2020_5-2-2_Download'!Q39</f>
        <v>44.931652760518375</v>
      </c>
    </row>
    <row r="396" spans="1:7">
      <c r="A396">
        <f>'2020_5-2-2_Download'!B40</f>
        <v>360</v>
      </c>
      <c r="B396">
        <f>'2020_5-2-2_Download'!$K$5</f>
        <v>2019</v>
      </c>
      <c r="C396" t="str">
        <f>VLOOKUP(A1800,[1]Tabelle1!$A$1:$B$68,2,FALSE)</f>
        <v>Uelzen</v>
      </c>
      <c r="D396" t="str">
        <f>'2020_5-2-2_Download'!$Q$7</f>
        <v>unbekannt</v>
      </c>
      <c r="E396" t="s">
        <v>362</v>
      </c>
      <c r="F396" t="str">
        <f>VLOOKUP(A1800,[2]Kreise!$A$2:$C$53,3,FALSE)</f>
        <v>K03360</v>
      </c>
      <c r="G396">
        <f>'2020_5-2-2_Download'!Q40</f>
        <v>27.678018575851393</v>
      </c>
    </row>
    <row r="397" spans="1:7">
      <c r="A397">
        <f>'2020_5-2-2_Download'!B41</f>
        <v>361</v>
      </c>
      <c r="B397">
        <f>'2020_5-2-2_Download'!$K$5</f>
        <v>2019</v>
      </c>
      <c r="C397" t="str">
        <f>VLOOKUP(A1801,[1]Tabelle1!$A$1:$B$68,2,FALSE)</f>
        <v>Verden</v>
      </c>
      <c r="D397" t="str">
        <f>'2020_5-2-2_Download'!$Q$7</f>
        <v>unbekannt</v>
      </c>
      <c r="E397" t="s">
        <v>362</v>
      </c>
      <c r="F397" t="str">
        <f>VLOOKUP(A1801,[2]Kreise!$A$2:$C$53,3,FALSE)</f>
        <v>K03361</v>
      </c>
      <c r="G397">
        <f>'2020_5-2-2_Download'!Q41</f>
        <v>39.468302658486706</v>
      </c>
    </row>
    <row r="398" spans="1:7">
      <c r="A398">
        <f>'2020_5-2-2_Download'!B42</f>
        <v>3</v>
      </c>
      <c r="B398">
        <f>'2020_5-2-2_Download'!$K$5</f>
        <v>2019</v>
      </c>
      <c r="C398" t="str">
        <f>VLOOKUP(A1802,[1]Tabelle1!$A$1:$B$68,2,FALSE)</f>
        <v>Stat. Region Lüneburg</v>
      </c>
      <c r="D398" t="str">
        <f>'2020_5-2-2_Download'!$Q$7</f>
        <v>unbekannt</v>
      </c>
      <c r="E398" t="s">
        <v>362</v>
      </c>
      <c r="F398" t="str">
        <f>VLOOKUP(A1802,[2]Kreise!$A$2:$C$53,3,FALSE)</f>
        <v>K033</v>
      </c>
      <c r="G398">
        <f>'2020_5-2-2_Download'!Q42</f>
        <v>35.376932116062548</v>
      </c>
    </row>
    <row r="399" spans="1:7">
      <c r="A399">
        <f>'2020_5-2-2_Download'!B43</f>
        <v>401</v>
      </c>
      <c r="B399">
        <f>'2020_5-2-2_Download'!$K$5</f>
        <v>2019</v>
      </c>
      <c r="C399" t="str">
        <f>VLOOKUP(A1803,[1]Tabelle1!$A$1:$B$68,2,FALSE)</f>
        <v>Delmenhorst  Stadt</v>
      </c>
      <c r="D399" t="str">
        <f>'2020_5-2-2_Download'!$Q$7</f>
        <v>unbekannt</v>
      </c>
      <c r="E399" t="s">
        <v>362</v>
      </c>
      <c r="F399" t="str">
        <f>VLOOKUP(A1803,[2]Kreise!$A$2:$C$53,3,FALSE)</f>
        <v>K03401</v>
      </c>
      <c r="G399">
        <f>'2020_5-2-2_Download'!Q43</f>
        <v>30.854605993340734</v>
      </c>
    </row>
    <row r="400" spans="1:7">
      <c r="A400">
        <f>'2020_5-2-2_Download'!B44</f>
        <v>402</v>
      </c>
      <c r="B400">
        <f>'2020_5-2-2_Download'!$K$5</f>
        <v>2019</v>
      </c>
      <c r="C400" t="str">
        <f>VLOOKUP(A1804,[1]Tabelle1!$A$1:$B$68,2,FALSE)</f>
        <v>Emden  Stadt</v>
      </c>
      <c r="D400" t="str">
        <f>'2020_5-2-2_Download'!$Q$7</f>
        <v>unbekannt</v>
      </c>
      <c r="E400" t="s">
        <v>362</v>
      </c>
      <c r="F400" t="str">
        <f>VLOOKUP(A1804,[2]Kreise!$A$2:$C$53,3,FALSE)</f>
        <v>K03402</v>
      </c>
      <c r="G400">
        <f>'2020_5-2-2_Download'!Q44</f>
        <v>30.461857810067464</v>
      </c>
    </row>
    <row r="401" spans="1:7">
      <c r="A401">
        <f>'2020_5-2-2_Download'!B45</f>
        <v>403</v>
      </c>
      <c r="B401">
        <f>'2020_5-2-2_Download'!$K$5</f>
        <v>2019</v>
      </c>
      <c r="C401" t="str">
        <f>VLOOKUP(A1805,[1]Tabelle1!$A$1:$B$68,2,FALSE)</f>
        <v>Oldenburg(Oldb)  Stadt</v>
      </c>
      <c r="D401" t="str">
        <f>'2020_5-2-2_Download'!$Q$7</f>
        <v>unbekannt</v>
      </c>
      <c r="E401" t="s">
        <v>362</v>
      </c>
      <c r="F401" t="str">
        <f>VLOOKUP(A1805,[2]Kreise!$A$2:$C$53,3,FALSE)</f>
        <v>K03403</v>
      </c>
      <c r="G401">
        <f>'2020_5-2-2_Download'!Q45</f>
        <v>29.750382068262862</v>
      </c>
    </row>
    <row r="402" spans="1:7">
      <c r="A402">
        <f>'2020_5-2-2_Download'!B46</f>
        <v>404</v>
      </c>
      <c r="B402">
        <f>'2020_5-2-2_Download'!$K$5</f>
        <v>2019</v>
      </c>
      <c r="C402" t="str">
        <f>VLOOKUP(A1806,[1]Tabelle1!$A$1:$B$68,2,FALSE)</f>
        <v>Osnabrück  Stadt</v>
      </c>
      <c r="D402" t="str">
        <f>'2020_5-2-2_Download'!$Q$7</f>
        <v>unbekannt</v>
      </c>
      <c r="E402" t="s">
        <v>362</v>
      </c>
      <c r="F402" t="str">
        <f>VLOOKUP(A1806,[2]Kreise!$A$2:$C$53,3,FALSE)</f>
        <v>K03404</v>
      </c>
      <c r="G402">
        <f>'2020_5-2-2_Download'!Q46</f>
        <v>27.657354816274488</v>
      </c>
    </row>
    <row r="403" spans="1:7">
      <c r="A403">
        <f>'2020_5-2-2_Download'!B47</f>
        <v>405</v>
      </c>
      <c r="B403">
        <f>'2020_5-2-2_Download'!$K$5</f>
        <v>2019</v>
      </c>
      <c r="C403" t="str">
        <f>VLOOKUP(A1807,[1]Tabelle1!$A$1:$B$68,2,FALSE)</f>
        <v>Wilhelmshaven  Stadt</v>
      </c>
      <c r="D403" t="str">
        <f>'2020_5-2-2_Download'!$Q$7</f>
        <v>unbekannt</v>
      </c>
      <c r="E403" t="s">
        <v>362</v>
      </c>
      <c r="F403" t="str">
        <f>VLOOKUP(A1807,[2]Kreise!$A$2:$C$53,3,FALSE)</f>
        <v>K03405</v>
      </c>
      <c r="G403">
        <f>'2020_5-2-2_Download'!Q47</f>
        <v>24.923640806353085</v>
      </c>
    </row>
    <row r="404" spans="1:7">
      <c r="A404">
        <f>'2020_5-2-2_Download'!B48</f>
        <v>451</v>
      </c>
      <c r="B404">
        <f>'2020_5-2-2_Download'!$K$5</f>
        <v>2019</v>
      </c>
      <c r="C404" t="str">
        <f>VLOOKUP(A1808,[1]Tabelle1!$A$1:$B$68,2,FALSE)</f>
        <v>Ammerland</v>
      </c>
      <c r="D404" t="str">
        <f>'2020_5-2-2_Download'!$Q$7</f>
        <v>unbekannt</v>
      </c>
      <c r="E404" t="s">
        <v>362</v>
      </c>
      <c r="F404" t="str">
        <f>VLOOKUP(A1808,[2]Kreise!$A$2:$C$53,3,FALSE)</f>
        <v>K03451</v>
      </c>
      <c r="G404">
        <f>'2020_5-2-2_Download'!Q48</f>
        <v>42.087186261558784</v>
      </c>
    </row>
    <row r="405" spans="1:7">
      <c r="A405">
        <f>'2020_5-2-2_Download'!B49</f>
        <v>452</v>
      </c>
      <c r="B405">
        <f>'2020_5-2-2_Download'!$K$5</f>
        <v>2019</v>
      </c>
      <c r="C405" t="str">
        <f>VLOOKUP(A1809,[1]Tabelle1!$A$1:$B$68,2,FALSE)</f>
        <v>Aurich</v>
      </c>
      <c r="D405" t="str">
        <f>'2020_5-2-2_Download'!$Q$7</f>
        <v>unbekannt</v>
      </c>
      <c r="E405" t="s">
        <v>362</v>
      </c>
      <c r="F405" t="str">
        <f>VLOOKUP(A1809,[2]Kreise!$A$2:$C$53,3,FALSE)</f>
        <v>K03452</v>
      </c>
      <c r="G405">
        <f>'2020_5-2-2_Download'!Q49</f>
        <v>38.666055466422186</v>
      </c>
    </row>
    <row r="406" spans="1:7">
      <c r="A406">
        <f>'2020_5-2-2_Download'!B50</f>
        <v>453</v>
      </c>
      <c r="B406">
        <f>'2020_5-2-2_Download'!$K$5</f>
        <v>2019</v>
      </c>
      <c r="C406" t="str">
        <f>VLOOKUP(A1810,[1]Tabelle1!$A$1:$B$68,2,FALSE)</f>
        <v>Cloppenburg</v>
      </c>
      <c r="D406" t="str">
        <f>'2020_5-2-2_Download'!$Q$7</f>
        <v>unbekannt</v>
      </c>
      <c r="E406" t="s">
        <v>362</v>
      </c>
      <c r="F406" t="str">
        <f>VLOOKUP(A1810,[2]Kreise!$A$2:$C$53,3,FALSE)</f>
        <v>K03453</v>
      </c>
      <c r="G406">
        <f>'2020_5-2-2_Download'!Q50</f>
        <v>48.354935194416747</v>
      </c>
    </row>
    <row r="407" spans="1:7">
      <c r="A407">
        <f>'2020_5-2-2_Download'!B51</f>
        <v>454</v>
      </c>
      <c r="B407">
        <f>'2020_5-2-2_Download'!$K$5</f>
        <v>2019</v>
      </c>
      <c r="C407" t="str">
        <f>VLOOKUP(A1811,[1]Tabelle1!$A$1:$B$68,2,FALSE)</f>
        <v>Emsland</v>
      </c>
      <c r="D407" t="str">
        <f>'2020_5-2-2_Download'!$Q$7</f>
        <v>unbekannt</v>
      </c>
      <c r="E407" t="s">
        <v>362</v>
      </c>
      <c r="F407" t="str">
        <f>VLOOKUP(A1811,[2]Kreise!$A$2:$C$53,3,FALSE)</f>
        <v>K03454</v>
      </c>
      <c r="G407">
        <f>'2020_5-2-2_Download'!Q51</f>
        <v>45.817763725208394</v>
      </c>
    </row>
    <row r="408" spans="1:7">
      <c r="A408">
        <f>'2020_5-2-2_Download'!B52</f>
        <v>455</v>
      </c>
      <c r="B408">
        <f>'2020_5-2-2_Download'!$K$5</f>
        <v>2019</v>
      </c>
      <c r="C408" t="str">
        <f>VLOOKUP(A1812,[1]Tabelle1!$A$1:$B$68,2,FALSE)</f>
        <v>Friesland</v>
      </c>
      <c r="D408" t="str">
        <f>'2020_5-2-2_Download'!$Q$7</f>
        <v>unbekannt</v>
      </c>
      <c r="E408" t="s">
        <v>362</v>
      </c>
      <c r="F408" t="str">
        <f>VLOOKUP(A1812,[2]Kreise!$A$2:$C$53,3,FALSE)</f>
        <v>K03455</v>
      </c>
      <c r="G408">
        <f>'2020_5-2-2_Download'!Q52</f>
        <v>36.815920398009951</v>
      </c>
    </row>
    <row r="409" spans="1:7">
      <c r="A409">
        <f>'2020_5-2-2_Download'!B53</f>
        <v>456</v>
      </c>
      <c r="B409">
        <f>'2020_5-2-2_Download'!$K$5</f>
        <v>2019</v>
      </c>
      <c r="C409" t="str">
        <f>VLOOKUP(A1813,[1]Tabelle1!$A$1:$B$68,2,FALSE)</f>
        <v>Grafschaft Bentheim</v>
      </c>
      <c r="D409" t="str">
        <f>'2020_5-2-2_Download'!$Q$7</f>
        <v>unbekannt</v>
      </c>
      <c r="E409" t="s">
        <v>362</v>
      </c>
      <c r="F409" t="str">
        <f>VLOOKUP(A1813,[2]Kreise!$A$2:$C$53,3,FALSE)</f>
        <v>K03456</v>
      </c>
      <c r="G409">
        <f>'2020_5-2-2_Download'!Q53</f>
        <v>34.252386002120893</v>
      </c>
    </row>
    <row r="410" spans="1:7">
      <c r="A410">
        <f>'2020_5-2-2_Download'!B54</f>
        <v>457</v>
      </c>
      <c r="B410">
        <f>'2020_5-2-2_Download'!$K$5</f>
        <v>2019</v>
      </c>
      <c r="C410" t="str">
        <f>VLOOKUP(A1814,[1]Tabelle1!$A$1:$B$68,2,FALSE)</f>
        <v>Leer</v>
      </c>
      <c r="D410" t="str">
        <f>'2020_5-2-2_Download'!$Q$7</f>
        <v>unbekannt</v>
      </c>
      <c r="E410" t="s">
        <v>362</v>
      </c>
      <c r="F410" t="str">
        <f>VLOOKUP(A1814,[2]Kreise!$A$2:$C$53,3,FALSE)</f>
        <v>K03457</v>
      </c>
      <c r="G410">
        <f>'2020_5-2-2_Download'!Q54</f>
        <v>45.393679700053561</v>
      </c>
    </row>
    <row r="411" spans="1:7">
      <c r="A411">
        <f>'2020_5-2-2_Download'!B55</f>
        <v>458</v>
      </c>
      <c r="B411">
        <f>'2020_5-2-2_Download'!$K$5</f>
        <v>2019</v>
      </c>
      <c r="C411" t="str">
        <f>VLOOKUP(A1815,[1]Tabelle1!$A$1:$B$68,2,FALSE)</f>
        <v>Oldenburg</v>
      </c>
      <c r="D411" t="str">
        <f>'2020_5-2-2_Download'!$Q$7</f>
        <v>unbekannt</v>
      </c>
      <c r="E411" t="s">
        <v>362</v>
      </c>
      <c r="F411" t="str">
        <f>VLOOKUP(A1815,[2]Kreise!$A$2:$C$53,3,FALSE)</f>
        <v>K03458</v>
      </c>
      <c r="G411">
        <f>'2020_5-2-2_Download'!Q55</f>
        <v>43.018867924528301</v>
      </c>
    </row>
    <row r="412" spans="1:7">
      <c r="A412">
        <f>'2020_5-2-2_Download'!B56</f>
        <v>459</v>
      </c>
      <c r="B412">
        <f>'2020_5-2-2_Download'!$K$5</f>
        <v>2019</v>
      </c>
      <c r="C412" t="str">
        <f>VLOOKUP(A1816,[1]Tabelle1!$A$1:$B$68,2,FALSE)</f>
        <v>Osnabrück</v>
      </c>
      <c r="D412" t="str">
        <f>'2020_5-2-2_Download'!$Q$7</f>
        <v>unbekannt</v>
      </c>
      <c r="E412" t="s">
        <v>362</v>
      </c>
      <c r="F412" t="str">
        <f>VLOOKUP(A1816,[2]Kreise!$A$2:$C$53,3,FALSE)</f>
        <v>K03459</v>
      </c>
      <c r="G412">
        <f>'2020_5-2-2_Download'!Q56</f>
        <v>49.073231748919717</v>
      </c>
    </row>
    <row r="413" spans="1:7">
      <c r="A413">
        <f>'2020_5-2-2_Download'!B57</f>
        <v>460</v>
      </c>
      <c r="B413">
        <f>'2020_5-2-2_Download'!$K$5</f>
        <v>2019</v>
      </c>
      <c r="C413" t="str">
        <f>VLOOKUP(A1817,[1]Tabelle1!$A$1:$B$68,2,FALSE)</f>
        <v>Vechta</v>
      </c>
      <c r="D413" t="str">
        <f>'2020_5-2-2_Download'!$Q$7</f>
        <v>unbekannt</v>
      </c>
      <c r="E413" t="s">
        <v>362</v>
      </c>
      <c r="F413" t="str">
        <f>VLOOKUP(A1817,[2]Kreise!$A$2:$C$53,3,FALSE)</f>
        <v>K03460</v>
      </c>
      <c r="G413">
        <f>'2020_5-2-2_Download'!Q57</f>
        <v>47.052238805970148</v>
      </c>
    </row>
    <row r="414" spans="1:7">
      <c r="A414">
        <f>'2020_5-2-2_Download'!B58</f>
        <v>461</v>
      </c>
      <c r="B414">
        <f>'2020_5-2-2_Download'!$K$5</f>
        <v>2019</v>
      </c>
      <c r="C414" t="str">
        <f>VLOOKUP(A1818,[1]Tabelle1!$A$1:$B$68,2,FALSE)</f>
        <v>Wesermarsch</v>
      </c>
      <c r="D414" t="str">
        <f>'2020_5-2-2_Download'!$Q$7</f>
        <v>unbekannt</v>
      </c>
      <c r="E414" t="s">
        <v>362</v>
      </c>
      <c r="F414" t="str">
        <f>VLOOKUP(A1818,[2]Kreise!$A$2:$C$53,3,FALSE)</f>
        <v>K03461</v>
      </c>
      <c r="G414">
        <f>'2020_5-2-2_Download'!Q58</f>
        <v>38.328646042587387</v>
      </c>
    </row>
    <row r="415" spans="1:7">
      <c r="A415">
        <f>'2020_5-2-2_Download'!B59</f>
        <v>462</v>
      </c>
      <c r="B415">
        <f>'2020_5-2-2_Download'!$K$5</f>
        <v>2019</v>
      </c>
      <c r="C415" t="str">
        <f>VLOOKUP(A1819,[1]Tabelle1!$A$1:$B$68,2,FALSE)</f>
        <v>Wittmund</v>
      </c>
      <c r="D415" t="str">
        <f>'2020_5-2-2_Download'!$Q$7</f>
        <v>unbekannt</v>
      </c>
      <c r="E415" t="s">
        <v>362</v>
      </c>
      <c r="F415" t="str">
        <f>VLOOKUP(A1819,[2]Kreise!$A$2:$C$53,3,FALSE)</f>
        <v>K03462</v>
      </c>
      <c r="G415">
        <f>'2020_5-2-2_Download'!Q59</f>
        <v>53.238866396761132</v>
      </c>
    </row>
    <row r="416" spans="1:7">
      <c r="A416">
        <f>'2020_5-2-2_Download'!B60</f>
        <v>4</v>
      </c>
      <c r="B416">
        <f>'2020_5-2-2_Download'!$K$5</f>
        <v>2019</v>
      </c>
      <c r="C416" t="str">
        <f>VLOOKUP(A1820,[1]Tabelle1!$A$1:$B$68,2,FALSE)</f>
        <v>Stat. Region Weser-Ems</v>
      </c>
      <c r="D416" t="str">
        <f>'2020_5-2-2_Download'!$Q$7</f>
        <v>unbekannt</v>
      </c>
      <c r="E416" t="s">
        <v>362</v>
      </c>
      <c r="F416" t="str">
        <f>VLOOKUP(A1820,[2]Kreise!$A$2:$C$53,3,FALSE)</f>
        <v>K034</v>
      </c>
      <c r="G416">
        <f>'2020_5-2-2_Download'!Q60</f>
        <v>41.820494555815607</v>
      </c>
    </row>
    <row r="417" spans="1:7">
      <c r="A417">
        <f>'2020_5-2-2_Download'!B61</f>
        <v>0</v>
      </c>
      <c r="B417">
        <f>'2020_5-2-2_Download'!$K$5</f>
        <v>2019</v>
      </c>
      <c r="C417" t="str">
        <f>VLOOKUP(A1821,[1]Tabelle1!$A$1:$B$68,2,FALSE)</f>
        <v>Niedersachsen</v>
      </c>
      <c r="D417" t="str">
        <f>'2020_5-2-2_Download'!$Q$7</f>
        <v>unbekannt</v>
      </c>
      <c r="E417" t="s">
        <v>362</v>
      </c>
      <c r="F417" t="str">
        <f>VLOOKUP(A1821,[2]Kreise!$A$2:$C$53,3,FALSE)</f>
        <v>K030</v>
      </c>
      <c r="G417">
        <f>'2020_5-2-2_Download'!Q61</f>
        <v>33.480811772626723</v>
      </c>
    </row>
    <row r="418" spans="1:7">
      <c r="A418">
        <f>'2020_5-2-2_Download'!B10</f>
        <v>101</v>
      </c>
      <c r="B418">
        <f>'2020_5-2-2_Download'!$R$5</f>
        <v>2018</v>
      </c>
      <c r="C418" t="str">
        <f>VLOOKUP(A1822,[1]Tabelle1!$A$1:$B$68,2,FALSE)</f>
        <v>Braunschweig  Stadt</v>
      </c>
      <c r="D418" t="str">
        <f>'2020_5-2-2_Download'!$U$7</f>
        <v>hoch</v>
      </c>
      <c r="E418" t="s">
        <v>362</v>
      </c>
      <c r="F418" t="str">
        <f>VLOOKUP(A1822,[2]Kreise!$A$2:$C$53,3,FALSE)</f>
        <v>K03101</v>
      </c>
      <c r="G418">
        <f>'2020_5-2-2_Download'!U10</f>
        <v>22.897890462513619</v>
      </c>
    </row>
    <row r="419" spans="1:7">
      <c r="A419">
        <f>'2020_5-2-2_Download'!B11</f>
        <v>102</v>
      </c>
      <c r="B419">
        <f>'2020_5-2-2_Download'!$R$5</f>
        <v>2018</v>
      </c>
      <c r="C419" t="str">
        <f>VLOOKUP(A1823,[1]Tabelle1!$A$1:$B$68,2,FALSE)</f>
        <v>Salzgitter  Stadt</v>
      </c>
      <c r="D419" t="str">
        <f>'2020_5-2-2_Download'!$U$7</f>
        <v>hoch</v>
      </c>
      <c r="E419" t="s">
        <v>362</v>
      </c>
      <c r="F419" t="str">
        <f>VLOOKUP(A1823,[2]Kreise!$A$2:$C$53,3,FALSE)</f>
        <v>K03102</v>
      </c>
      <c r="G419">
        <f>'2020_5-2-2_Download'!U11</f>
        <v>7.8196872125115</v>
      </c>
    </row>
    <row r="420" spans="1:7">
      <c r="A420">
        <f>'2020_5-2-2_Download'!B12</f>
        <v>103</v>
      </c>
      <c r="B420">
        <f>'2020_5-2-2_Download'!$R$5</f>
        <v>2018</v>
      </c>
      <c r="C420" t="str">
        <f>VLOOKUP(A1824,[1]Tabelle1!$A$1:$B$68,2,FALSE)</f>
        <v>Wolfsburg  Stadt</v>
      </c>
      <c r="D420" t="str">
        <f>'2020_5-2-2_Download'!$U$7</f>
        <v>hoch</v>
      </c>
      <c r="E420" t="s">
        <v>362</v>
      </c>
      <c r="F420" t="str">
        <f>VLOOKUP(A1824,[2]Kreise!$A$2:$C$53,3,FALSE)</f>
        <v>K03103</v>
      </c>
      <c r="G420">
        <f>'2020_5-2-2_Download'!U12</f>
        <v>21.965666097781348</v>
      </c>
    </row>
    <row r="421" spans="1:7">
      <c r="A421">
        <f>'2020_5-2-2_Download'!B13</f>
        <v>151</v>
      </c>
      <c r="B421">
        <f>'2020_5-2-2_Download'!$R$5</f>
        <v>2018</v>
      </c>
      <c r="C421" t="str">
        <f>VLOOKUP(A1825,[1]Tabelle1!$A$1:$B$68,2,FALSE)</f>
        <v>Gifhorn</v>
      </c>
      <c r="D421" t="str">
        <f>'2020_5-2-2_Download'!$U$7</f>
        <v>hoch</v>
      </c>
      <c r="E421" t="s">
        <v>362</v>
      </c>
      <c r="F421" t="str">
        <f>VLOOKUP(A1825,[2]Kreise!$A$2:$C$53,3,FALSE)</f>
        <v>K03151</v>
      </c>
      <c r="G421">
        <f>'2020_5-2-2_Download'!U13</f>
        <v>15.396058014131647</v>
      </c>
    </row>
    <row r="422" spans="1:7">
      <c r="A422">
        <f>'2020_5-2-2_Download'!B14</f>
        <v>153</v>
      </c>
      <c r="B422">
        <f>'2020_5-2-2_Download'!$R$5</f>
        <v>2018</v>
      </c>
      <c r="C422" t="str">
        <f>VLOOKUP(A1826,[1]Tabelle1!$A$1:$B$68,2,FALSE)</f>
        <v>Goslar</v>
      </c>
      <c r="D422" t="str">
        <f>'2020_5-2-2_Download'!$U$7</f>
        <v>hoch</v>
      </c>
      <c r="E422" t="s">
        <v>362</v>
      </c>
      <c r="F422" t="str">
        <f>VLOOKUP(A1826,[2]Kreise!$A$2:$C$53,3,FALSE)</f>
        <v>K03153</v>
      </c>
      <c r="G422">
        <f>'2020_5-2-2_Download'!U14</f>
        <v>16.618392469225199</v>
      </c>
    </row>
    <row r="423" spans="1:7">
      <c r="A423">
        <f>'2020_5-2-2_Download'!B15</f>
        <v>154</v>
      </c>
      <c r="B423">
        <f>'2020_5-2-2_Download'!$R$5</f>
        <v>2018</v>
      </c>
      <c r="C423" t="str">
        <f>VLOOKUP(A1827,[1]Tabelle1!$A$1:$B$68,2,FALSE)</f>
        <v>Helmstedt</v>
      </c>
      <c r="D423" t="str">
        <f>'2020_5-2-2_Download'!$U$7</f>
        <v>hoch</v>
      </c>
      <c r="E423" t="s">
        <v>362</v>
      </c>
      <c r="F423" t="str">
        <f>VLOOKUP(A1827,[2]Kreise!$A$2:$C$53,3,FALSE)</f>
        <v>K03154</v>
      </c>
      <c r="G423">
        <f>'2020_5-2-2_Download'!U15</f>
        <v>12.718378756114603</v>
      </c>
    </row>
    <row r="424" spans="1:7">
      <c r="A424">
        <f>'2020_5-2-2_Download'!B16</f>
        <v>155</v>
      </c>
      <c r="B424">
        <f>'2020_5-2-2_Download'!$R$5</f>
        <v>2018</v>
      </c>
      <c r="C424" t="str">
        <f>VLOOKUP(A1828,[1]Tabelle1!$A$1:$B$68,2,FALSE)</f>
        <v>Northeim</v>
      </c>
      <c r="D424" t="str">
        <f>'2020_5-2-2_Download'!$U$7</f>
        <v>hoch</v>
      </c>
      <c r="E424" t="s">
        <v>362</v>
      </c>
      <c r="F424" t="str">
        <f>VLOOKUP(A1828,[2]Kreise!$A$2:$C$53,3,FALSE)</f>
        <v>K03155</v>
      </c>
      <c r="G424">
        <f>'2020_5-2-2_Download'!U16</f>
        <v>8.1809432146294512</v>
      </c>
    </row>
    <row r="425" spans="1:7">
      <c r="A425">
        <f>'2020_5-2-2_Download'!B17</f>
        <v>157</v>
      </c>
      <c r="B425">
        <f>'2020_5-2-2_Download'!$R$5</f>
        <v>2018</v>
      </c>
      <c r="C425" t="str">
        <f>VLOOKUP(A1829,[1]Tabelle1!$A$1:$B$68,2,FALSE)</f>
        <v>Peine</v>
      </c>
      <c r="D425" t="str">
        <f>'2020_5-2-2_Download'!$U$7</f>
        <v>hoch</v>
      </c>
      <c r="E425" t="s">
        <v>362</v>
      </c>
      <c r="F425" t="str">
        <f>VLOOKUP(A1829,[2]Kreise!$A$2:$C$53,3,FALSE)</f>
        <v>K03157</v>
      </c>
      <c r="G425">
        <f>'2020_5-2-2_Download'!U17</f>
        <v>6.8725868725868722</v>
      </c>
    </row>
    <row r="426" spans="1:7">
      <c r="A426">
        <f>'2020_5-2-2_Download'!B18</f>
        <v>158</v>
      </c>
      <c r="B426">
        <f>'2020_5-2-2_Download'!$R$5</f>
        <v>2018</v>
      </c>
      <c r="C426" t="str">
        <f>VLOOKUP(A1830,[1]Tabelle1!$A$1:$B$68,2,FALSE)</f>
        <v>Wolfenbüttel</v>
      </c>
      <c r="D426" t="str">
        <f>'2020_5-2-2_Download'!$U$7</f>
        <v>hoch</v>
      </c>
      <c r="E426" t="s">
        <v>362</v>
      </c>
      <c r="F426" t="str">
        <f>VLOOKUP(A1830,[2]Kreise!$A$2:$C$53,3,FALSE)</f>
        <v>K03158</v>
      </c>
      <c r="G426">
        <f>'2020_5-2-2_Download'!U18</f>
        <v>12.110481586402265</v>
      </c>
    </row>
    <row r="427" spans="1:7">
      <c r="A427">
        <f>'2020_5-2-2_Download'!B19</f>
        <v>159</v>
      </c>
      <c r="B427">
        <f>'2020_5-2-2_Download'!$R$5</f>
        <v>2018</v>
      </c>
      <c r="C427" t="str">
        <f>VLOOKUP(A1831,[1]Tabelle1!$A$1:$B$68,2,FALSE)</f>
        <v>Göttingen</v>
      </c>
      <c r="D427" t="str">
        <f>'2020_5-2-2_Download'!$U$7</f>
        <v>hoch</v>
      </c>
      <c r="E427" t="s">
        <v>362</v>
      </c>
      <c r="F427" t="str">
        <f>VLOOKUP(A1831,[2]Kreise!$A$2:$C$53,3,FALSE)</f>
        <v>K03159</v>
      </c>
      <c r="G427">
        <f>'2020_5-2-2_Download'!U19</f>
        <v>29.114216422219659</v>
      </c>
    </row>
    <row r="428" spans="1:7">
      <c r="A428">
        <f>'2020_5-2-2_Download'!B20</f>
        <v>1</v>
      </c>
      <c r="B428">
        <f>'2020_5-2-2_Download'!$R$5</f>
        <v>2018</v>
      </c>
      <c r="C428" t="str">
        <f>VLOOKUP(A1832,[1]Tabelle1!$A$1:$B$68,2,FALSE)</f>
        <v>Stat. Region Braunschweig</v>
      </c>
      <c r="D428" t="str">
        <f>'2020_5-2-2_Download'!$U$7</f>
        <v>hoch</v>
      </c>
      <c r="E428" t="s">
        <v>362</v>
      </c>
      <c r="F428" t="str">
        <f>VLOOKUP(A1832,[2]Kreise!$A$2:$C$53,3,FALSE)</f>
        <v>K031</v>
      </c>
      <c r="G428">
        <f>'2020_5-2-2_Download'!U20</f>
        <v>19.164577401946204</v>
      </c>
    </row>
    <row r="429" spans="1:7">
      <c r="A429">
        <f>'2020_5-2-2_Download'!B21</f>
        <v>241</v>
      </c>
      <c r="B429">
        <f>'2020_5-2-2_Download'!$R$5</f>
        <v>2018</v>
      </c>
      <c r="C429" t="str">
        <f>VLOOKUP(A1833,[1]Tabelle1!$A$1:$B$68,2,FALSE)</f>
        <v>Hannover  Region</v>
      </c>
      <c r="D429" t="str">
        <f>'2020_5-2-2_Download'!$U$7</f>
        <v>hoch</v>
      </c>
      <c r="E429" t="s">
        <v>362</v>
      </c>
      <c r="F429" t="str">
        <f>VLOOKUP(A1833,[2]Kreise!$A$2:$C$53,3,FALSE)</f>
        <v>K03241</v>
      </c>
      <c r="G429">
        <f>'2020_5-2-2_Download'!U21</f>
        <v>12.773112234004696</v>
      </c>
    </row>
    <row r="430" spans="1:7">
      <c r="A430">
        <f>'2020_5-2-2_Download'!B22</f>
        <v>241001</v>
      </c>
      <c r="B430">
        <f>'2020_5-2-2_Download'!$R$5</f>
        <v>2018</v>
      </c>
      <c r="C430" t="str">
        <f>VLOOKUP(A1834,[1]Tabelle1!$A$1:$B$68,2,FALSE)</f>
        <v>dav. Hannover  Lhst.</v>
      </c>
      <c r="D430" t="str">
        <f>'2020_5-2-2_Download'!$U$7</f>
        <v>hoch</v>
      </c>
      <c r="E430" t="s">
        <v>362</v>
      </c>
      <c r="F430" t="str">
        <f>VLOOKUP(A1834,[2]Kreise!$A$2:$C$53,3,FALSE)</f>
        <v>K03241001</v>
      </c>
      <c r="G430">
        <f>'2020_5-2-2_Download'!U22</f>
        <v>15.644649713427189</v>
      </c>
    </row>
    <row r="431" spans="1:7">
      <c r="A431">
        <f>'2020_5-2-2_Download'!B23</f>
        <v>241999</v>
      </c>
      <c r="B431">
        <f>'2020_5-2-2_Download'!$R$5</f>
        <v>2018</v>
      </c>
      <c r="C431" t="str">
        <f>VLOOKUP(A1835,[1]Tabelle1!$A$1:$B$68,2,FALSE)</f>
        <v>dav. Hannover  Umland</v>
      </c>
      <c r="D431" t="str">
        <f>'2020_5-2-2_Download'!$U$7</f>
        <v>hoch</v>
      </c>
      <c r="E431" t="s">
        <v>362</v>
      </c>
      <c r="F431" t="str">
        <f>VLOOKUP(A1835,[2]Kreise!$A$2:$C$53,3,FALSE)</f>
        <v>K03241999</v>
      </c>
      <c r="G431">
        <f>'2020_5-2-2_Download'!U23</f>
        <v>7.6793998618102846</v>
      </c>
    </row>
    <row r="432" spans="1:7">
      <c r="A432">
        <f>'2020_5-2-2_Download'!B24</f>
        <v>251</v>
      </c>
      <c r="B432">
        <f>'2020_5-2-2_Download'!$R$5</f>
        <v>2018</v>
      </c>
      <c r="C432" t="str">
        <f>VLOOKUP(A1836,[1]Tabelle1!$A$1:$B$68,2,FALSE)</f>
        <v>Diepholz</v>
      </c>
      <c r="D432" t="str">
        <f>'2020_5-2-2_Download'!$U$7</f>
        <v>hoch</v>
      </c>
      <c r="E432" t="s">
        <v>362</v>
      </c>
      <c r="F432" t="str">
        <f>VLOOKUP(A1836,[2]Kreise!$A$2:$C$53,3,FALSE)</f>
        <v>K03251</v>
      </c>
      <c r="G432">
        <f>'2020_5-2-2_Download'!U24</f>
        <v>6.785967399007796</v>
      </c>
    </row>
    <row r="433" spans="1:7">
      <c r="A433">
        <f>'2020_5-2-2_Download'!B25</f>
        <v>252</v>
      </c>
      <c r="B433">
        <f>'2020_5-2-2_Download'!$R$5</f>
        <v>2018</v>
      </c>
      <c r="C433" t="str">
        <f>VLOOKUP(A1837,[1]Tabelle1!$A$1:$B$68,2,FALSE)</f>
        <v>Hameln-Pyrmont</v>
      </c>
      <c r="D433" t="str">
        <f>'2020_5-2-2_Download'!$U$7</f>
        <v>hoch</v>
      </c>
      <c r="E433" t="s">
        <v>362</v>
      </c>
      <c r="F433" t="str">
        <f>VLOOKUP(A1837,[2]Kreise!$A$2:$C$53,3,FALSE)</f>
        <v>K03252</v>
      </c>
      <c r="G433">
        <f>'2020_5-2-2_Download'!U25</f>
        <v>10.60358890701468</v>
      </c>
    </row>
    <row r="434" spans="1:7">
      <c r="A434">
        <f>'2020_5-2-2_Download'!B26</f>
        <v>254</v>
      </c>
      <c r="B434">
        <f>'2020_5-2-2_Download'!$R$5</f>
        <v>2018</v>
      </c>
      <c r="C434" t="str">
        <f>VLOOKUP(A1838,[1]Tabelle1!$A$1:$B$68,2,FALSE)</f>
        <v>Hildesheim</v>
      </c>
      <c r="D434" t="str">
        <f>'2020_5-2-2_Download'!$U$7</f>
        <v>hoch</v>
      </c>
      <c r="E434" t="s">
        <v>362</v>
      </c>
      <c r="F434" t="str">
        <f>VLOOKUP(A1838,[2]Kreise!$A$2:$C$53,3,FALSE)</f>
        <v>K03254</v>
      </c>
      <c r="G434">
        <f>'2020_5-2-2_Download'!U26</f>
        <v>15.638575152041703</v>
      </c>
    </row>
    <row r="435" spans="1:7">
      <c r="A435">
        <f>'2020_5-2-2_Download'!B27</f>
        <v>255</v>
      </c>
      <c r="B435">
        <f>'2020_5-2-2_Download'!$R$5</f>
        <v>2018</v>
      </c>
      <c r="C435" t="str">
        <f>VLOOKUP(A1839,[1]Tabelle1!$A$1:$B$68,2,FALSE)</f>
        <v>Holzminden</v>
      </c>
      <c r="D435" t="str">
        <f>'2020_5-2-2_Download'!$U$7</f>
        <v>hoch</v>
      </c>
      <c r="E435" t="s">
        <v>362</v>
      </c>
      <c r="F435" t="str">
        <f>VLOOKUP(A1839,[2]Kreise!$A$2:$C$53,3,FALSE)</f>
        <v>K03255</v>
      </c>
      <c r="G435">
        <f>'2020_5-2-2_Download'!U27</f>
        <v>11.190476190476192</v>
      </c>
    </row>
    <row r="436" spans="1:7">
      <c r="A436">
        <f>'2020_5-2-2_Download'!B28</f>
        <v>256</v>
      </c>
      <c r="B436">
        <f>'2020_5-2-2_Download'!$R$5</f>
        <v>2018</v>
      </c>
      <c r="C436" t="str">
        <f>VLOOKUP(A1840,[1]Tabelle1!$A$1:$B$68,2,FALSE)</f>
        <v>Nienburg (Weser)</v>
      </c>
      <c r="D436" t="str">
        <f>'2020_5-2-2_Download'!$U$7</f>
        <v>hoch</v>
      </c>
      <c r="E436" t="s">
        <v>362</v>
      </c>
      <c r="F436" t="str">
        <f>VLOOKUP(A1840,[2]Kreise!$A$2:$C$53,3,FALSE)</f>
        <v>K03256</v>
      </c>
      <c r="G436">
        <f>'2020_5-2-2_Download'!U28</f>
        <v>6.2463683904706562</v>
      </c>
    </row>
    <row r="437" spans="1:7">
      <c r="A437">
        <f>'2020_5-2-2_Download'!B29</f>
        <v>257</v>
      </c>
      <c r="B437">
        <f>'2020_5-2-2_Download'!$R$5</f>
        <v>2018</v>
      </c>
      <c r="C437" t="str">
        <f>VLOOKUP(A1841,[1]Tabelle1!$A$1:$B$68,2,FALSE)</f>
        <v>Schaumburg</v>
      </c>
      <c r="D437" t="str">
        <f>'2020_5-2-2_Download'!$U$7</f>
        <v>hoch</v>
      </c>
      <c r="E437" t="s">
        <v>362</v>
      </c>
      <c r="F437" t="str">
        <f>VLOOKUP(A1841,[2]Kreise!$A$2:$C$53,3,FALSE)</f>
        <v>K03257</v>
      </c>
      <c r="G437">
        <f>'2020_5-2-2_Download'!U29</f>
        <v>8.0931586608442512</v>
      </c>
    </row>
    <row r="438" spans="1:7">
      <c r="A438">
        <f>'2020_5-2-2_Download'!B30</f>
        <v>2</v>
      </c>
      <c r="B438">
        <f>'2020_5-2-2_Download'!$R$5</f>
        <v>2018</v>
      </c>
      <c r="C438" t="str">
        <f>VLOOKUP(A1842,[1]Tabelle1!$A$1:$B$68,2,FALSE)</f>
        <v>Stat. Region Hannover</v>
      </c>
      <c r="D438" t="str">
        <f>'2020_5-2-2_Download'!$U$7</f>
        <v>hoch</v>
      </c>
      <c r="E438" t="s">
        <v>362</v>
      </c>
      <c r="F438" t="str">
        <f>VLOOKUP(A1842,[2]Kreise!$A$2:$C$53,3,FALSE)</f>
        <v>K032</v>
      </c>
      <c r="G438">
        <f>'2020_5-2-2_Download'!U30</f>
        <v>11.944395477095872</v>
      </c>
    </row>
    <row r="439" spans="1:7">
      <c r="A439">
        <f>'2020_5-2-2_Download'!B31</f>
        <v>351</v>
      </c>
      <c r="B439">
        <f>'2020_5-2-2_Download'!$R$5</f>
        <v>2018</v>
      </c>
      <c r="C439" t="str">
        <f>VLOOKUP(A1843,[1]Tabelle1!$A$1:$B$68,2,FALSE)</f>
        <v>Celle</v>
      </c>
      <c r="D439" t="str">
        <f>'2020_5-2-2_Download'!$U$7</f>
        <v>hoch</v>
      </c>
      <c r="E439" t="s">
        <v>362</v>
      </c>
      <c r="F439" t="str">
        <f>VLOOKUP(A1843,[2]Kreise!$A$2:$C$53,3,FALSE)</f>
        <v>K03351</v>
      </c>
      <c r="G439">
        <f>'2020_5-2-2_Download'!U31</f>
        <v>13.554392088423503</v>
      </c>
    </row>
    <row r="440" spans="1:7">
      <c r="A440">
        <f>'2020_5-2-2_Download'!B32</f>
        <v>352</v>
      </c>
      <c r="B440">
        <f>'2020_5-2-2_Download'!$R$5</f>
        <v>2018</v>
      </c>
      <c r="C440" t="str">
        <f>VLOOKUP(A1844,[1]Tabelle1!$A$1:$B$68,2,FALSE)</f>
        <v>Cuxhaven</v>
      </c>
      <c r="D440" t="str">
        <f>'2020_5-2-2_Download'!$U$7</f>
        <v>hoch</v>
      </c>
      <c r="E440" t="s">
        <v>362</v>
      </c>
      <c r="F440" t="str">
        <f>VLOOKUP(A1844,[2]Kreise!$A$2:$C$53,3,FALSE)</f>
        <v>K03352</v>
      </c>
      <c r="G440">
        <f>'2020_5-2-2_Download'!U32</f>
        <v>6.3041385948026951</v>
      </c>
    </row>
    <row r="441" spans="1:7">
      <c r="A441">
        <f>'2020_5-2-2_Download'!B33</f>
        <v>353</v>
      </c>
      <c r="B441">
        <f>'2020_5-2-2_Download'!$R$5</f>
        <v>2018</v>
      </c>
      <c r="C441" t="str">
        <f>VLOOKUP(A1845,[1]Tabelle1!$A$1:$B$68,2,FALSE)</f>
        <v>Harburg</v>
      </c>
      <c r="D441" t="str">
        <f>'2020_5-2-2_Download'!$U$7</f>
        <v>hoch</v>
      </c>
      <c r="E441" t="s">
        <v>362</v>
      </c>
      <c r="F441" t="str">
        <f>VLOOKUP(A1845,[2]Kreise!$A$2:$C$53,3,FALSE)</f>
        <v>K03353</v>
      </c>
      <c r="G441">
        <f>'2020_5-2-2_Download'!U33</f>
        <v>6.7604581673306772</v>
      </c>
    </row>
    <row r="442" spans="1:7">
      <c r="A442">
        <f>'2020_5-2-2_Download'!B34</f>
        <v>354</v>
      </c>
      <c r="B442">
        <f>'2020_5-2-2_Download'!$R$5</f>
        <v>2018</v>
      </c>
      <c r="C442" t="str">
        <f>VLOOKUP(A1846,[1]Tabelle1!$A$1:$B$68,2,FALSE)</f>
        <v>Lüchow-Dannenberg</v>
      </c>
      <c r="D442" t="str">
        <f>'2020_5-2-2_Download'!$U$7</f>
        <v>hoch</v>
      </c>
      <c r="E442" t="s">
        <v>362</v>
      </c>
      <c r="F442" t="str">
        <f>VLOOKUP(A1846,[2]Kreise!$A$2:$C$53,3,FALSE)</f>
        <v>K03354</v>
      </c>
      <c r="G442">
        <f>'2020_5-2-2_Download'!U34</f>
        <v>8.862629246676514</v>
      </c>
    </row>
    <row r="443" spans="1:7">
      <c r="A443">
        <f>'2020_5-2-2_Download'!B35</f>
        <v>355</v>
      </c>
      <c r="B443">
        <f>'2020_5-2-2_Download'!$R$5</f>
        <v>2018</v>
      </c>
      <c r="C443" t="str">
        <f>VLOOKUP(A1847,[1]Tabelle1!$A$1:$B$68,2,FALSE)</f>
        <v>Lüneburg</v>
      </c>
      <c r="D443" t="str">
        <f>'2020_5-2-2_Download'!$U$7</f>
        <v>hoch</v>
      </c>
      <c r="E443" t="s">
        <v>362</v>
      </c>
      <c r="F443" t="str">
        <f>VLOOKUP(A1847,[2]Kreise!$A$2:$C$53,3,FALSE)</f>
        <v>K03355</v>
      </c>
      <c r="G443">
        <f>'2020_5-2-2_Download'!U35</f>
        <v>13.85921665297179</v>
      </c>
    </row>
    <row r="444" spans="1:7">
      <c r="A444">
        <f>'2020_5-2-2_Download'!B36</f>
        <v>356</v>
      </c>
      <c r="B444">
        <f>'2020_5-2-2_Download'!$R$5</f>
        <v>2018</v>
      </c>
      <c r="C444" t="str">
        <f>VLOOKUP(A1848,[1]Tabelle1!$A$1:$B$68,2,FALSE)</f>
        <v>Osterholz</v>
      </c>
      <c r="D444" t="str">
        <f>'2020_5-2-2_Download'!$U$7</f>
        <v>hoch</v>
      </c>
      <c r="E444" t="s">
        <v>362</v>
      </c>
      <c r="F444" t="str">
        <f>VLOOKUP(A1848,[2]Kreise!$A$2:$C$53,3,FALSE)</f>
        <v>K03356</v>
      </c>
      <c r="G444">
        <f>'2020_5-2-2_Download'!U36</f>
        <v>9.9823840281855549</v>
      </c>
    </row>
    <row r="445" spans="1:7">
      <c r="A445">
        <f>'2020_5-2-2_Download'!B37</f>
        <v>357</v>
      </c>
      <c r="B445">
        <f>'2020_5-2-2_Download'!$R$5</f>
        <v>2018</v>
      </c>
      <c r="C445" t="str">
        <f>VLOOKUP(A1849,[1]Tabelle1!$A$1:$B$68,2,FALSE)</f>
        <v>Rotenburg (Wümme)</v>
      </c>
      <c r="D445" t="str">
        <f>'2020_5-2-2_Download'!$U$7</f>
        <v>hoch</v>
      </c>
      <c r="E445" t="s">
        <v>362</v>
      </c>
      <c r="F445" t="str">
        <f>VLOOKUP(A1849,[2]Kreise!$A$2:$C$53,3,FALSE)</f>
        <v>K03357</v>
      </c>
      <c r="G445">
        <f>'2020_5-2-2_Download'!U37</f>
        <v>8.7077093732667787</v>
      </c>
    </row>
    <row r="446" spans="1:7">
      <c r="A446">
        <f>'2020_5-2-2_Download'!B38</f>
        <v>358</v>
      </c>
      <c r="B446">
        <f>'2020_5-2-2_Download'!$R$5</f>
        <v>2018</v>
      </c>
      <c r="C446" t="str">
        <f>VLOOKUP(A1850,[1]Tabelle1!$A$1:$B$68,2,FALSE)</f>
        <v>Heidekreis</v>
      </c>
      <c r="D446" t="str">
        <f>'2020_5-2-2_Download'!$U$7</f>
        <v>hoch</v>
      </c>
      <c r="E446" t="s">
        <v>362</v>
      </c>
      <c r="F446" t="str">
        <f>VLOOKUP(A1850,[2]Kreise!$A$2:$C$53,3,FALSE)</f>
        <v>K03358</v>
      </c>
      <c r="G446">
        <f>'2020_5-2-2_Download'!U38</f>
        <v>7.3742428232815378</v>
      </c>
    </row>
    <row r="447" spans="1:7">
      <c r="A447">
        <f>'2020_5-2-2_Download'!B39</f>
        <v>359</v>
      </c>
      <c r="B447">
        <f>'2020_5-2-2_Download'!$R$5</f>
        <v>2018</v>
      </c>
      <c r="C447" t="str">
        <f>VLOOKUP(A1851,[1]Tabelle1!$A$1:$B$68,2,FALSE)</f>
        <v>Stade</v>
      </c>
      <c r="D447" t="str">
        <f>'2020_5-2-2_Download'!$U$7</f>
        <v>hoch</v>
      </c>
      <c r="E447" t="s">
        <v>362</v>
      </c>
      <c r="F447" t="str">
        <f>VLOOKUP(A1851,[2]Kreise!$A$2:$C$53,3,FALSE)</f>
        <v>K03359</v>
      </c>
      <c r="G447">
        <f>'2020_5-2-2_Download'!U39</f>
        <v>7.7137176938369789</v>
      </c>
    </row>
    <row r="448" spans="1:7">
      <c r="A448">
        <f>'2020_5-2-2_Download'!B40</f>
        <v>360</v>
      </c>
      <c r="B448">
        <f>'2020_5-2-2_Download'!$R$5</f>
        <v>2018</v>
      </c>
      <c r="C448" t="str">
        <f>VLOOKUP(A1852,[1]Tabelle1!$A$1:$B$68,2,FALSE)</f>
        <v>Uelzen</v>
      </c>
      <c r="D448" t="str">
        <f>'2020_5-2-2_Download'!$U$7</f>
        <v>hoch</v>
      </c>
      <c r="E448" t="s">
        <v>362</v>
      </c>
      <c r="F448" t="str">
        <f>VLOOKUP(A1852,[2]Kreise!$A$2:$C$53,3,FALSE)</f>
        <v>K03360</v>
      </c>
      <c r="G448">
        <f>'2020_5-2-2_Download'!U40</f>
        <v>14.578910120311395</v>
      </c>
    </row>
    <row r="449" spans="1:7">
      <c r="A449">
        <f>'2020_5-2-2_Download'!B41</f>
        <v>361</v>
      </c>
      <c r="B449">
        <f>'2020_5-2-2_Download'!$R$5</f>
        <v>2018</v>
      </c>
      <c r="C449" t="str">
        <f>VLOOKUP(A1853,[1]Tabelle1!$A$1:$B$68,2,FALSE)</f>
        <v>Verden</v>
      </c>
      <c r="D449" t="str">
        <f>'2020_5-2-2_Download'!$U$7</f>
        <v>hoch</v>
      </c>
      <c r="E449" t="s">
        <v>362</v>
      </c>
      <c r="F449" t="str">
        <f>VLOOKUP(A1853,[2]Kreise!$A$2:$C$53,3,FALSE)</f>
        <v>K03361</v>
      </c>
      <c r="G449">
        <f>'2020_5-2-2_Download'!U41</f>
        <v>8.2403824265877521</v>
      </c>
    </row>
    <row r="450" spans="1:7">
      <c r="A450">
        <f>'2020_5-2-2_Download'!B42</f>
        <v>3</v>
      </c>
      <c r="B450">
        <f>'2020_5-2-2_Download'!$R$5</f>
        <v>2018</v>
      </c>
      <c r="C450" t="str">
        <f>VLOOKUP(A1854,[1]Tabelle1!$A$1:$B$68,2,FALSE)</f>
        <v>Stat. Region Lüneburg</v>
      </c>
      <c r="D450" t="str">
        <f>'2020_5-2-2_Download'!$U$7</f>
        <v>hoch</v>
      </c>
      <c r="E450" t="s">
        <v>362</v>
      </c>
      <c r="F450" t="str">
        <f>VLOOKUP(A1854,[2]Kreise!$A$2:$C$53,3,FALSE)</f>
        <v>K033</v>
      </c>
      <c r="G450">
        <f>'2020_5-2-2_Download'!U42</f>
        <v>8.9156807700020053</v>
      </c>
    </row>
    <row r="451" spans="1:7">
      <c r="A451">
        <f>'2020_5-2-2_Download'!B43</f>
        <v>401</v>
      </c>
      <c r="B451">
        <f>'2020_5-2-2_Download'!$R$5</f>
        <v>2018</v>
      </c>
      <c r="C451" t="str">
        <f>VLOOKUP(A1855,[1]Tabelle1!$A$1:$B$68,2,FALSE)</f>
        <v>Delmenhorst  Stadt</v>
      </c>
      <c r="D451" t="str">
        <f>'2020_5-2-2_Download'!$U$7</f>
        <v>hoch</v>
      </c>
      <c r="E451" t="s">
        <v>362</v>
      </c>
      <c r="F451" t="str">
        <f>VLOOKUP(A1855,[2]Kreise!$A$2:$C$53,3,FALSE)</f>
        <v>K03401</v>
      </c>
      <c r="G451">
        <f>'2020_5-2-2_Download'!U43</f>
        <v>8.9630931458699479</v>
      </c>
    </row>
    <row r="452" spans="1:7">
      <c r="A452">
        <f>'2020_5-2-2_Download'!B44</f>
        <v>402</v>
      </c>
      <c r="B452">
        <f>'2020_5-2-2_Download'!$R$5</f>
        <v>2018</v>
      </c>
      <c r="C452" t="str">
        <f>VLOOKUP(A1856,[1]Tabelle1!$A$1:$B$68,2,FALSE)</f>
        <v>Emden  Stadt</v>
      </c>
      <c r="D452" t="str">
        <f>'2020_5-2-2_Download'!$U$7</f>
        <v>hoch</v>
      </c>
      <c r="E452" t="s">
        <v>362</v>
      </c>
      <c r="F452" t="str">
        <f>VLOOKUP(A1856,[2]Kreise!$A$2:$C$53,3,FALSE)</f>
        <v>K03402</v>
      </c>
      <c r="G452">
        <f>'2020_5-2-2_Download'!U44</f>
        <v>8.9716684155299049</v>
      </c>
    </row>
    <row r="453" spans="1:7">
      <c r="A453">
        <f>'2020_5-2-2_Download'!B45</f>
        <v>403</v>
      </c>
      <c r="B453">
        <f>'2020_5-2-2_Download'!$R$5</f>
        <v>2018</v>
      </c>
      <c r="C453" t="str">
        <f>VLOOKUP(A1857,[1]Tabelle1!$A$1:$B$68,2,FALSE)</f>
        <v>Oldenburg(Oldb)  Stadt</v>
      </c>
      <c r="D453" t="str">
        <f>'2020_5-2-2_Download'!$U$7</f>
        <v>hoch</v>
      </c>
      <c r="E453" t="s">
        <v>362</v>
      </c>
      <c r="F453" t="str">
        <f>VLOOKUP(A1857,[2]Kreise!$A$2:$C$53,3,FALSE)</f>
        <v>K03403</v>
      </c>
      <c r="G453">
        <f>'2020_5-2-2_Download'!U45</f>
        <v>18.664488462323874</v>
      </c>
    </row>
    <row r="454" spans="1:7">
      <c r="A454">
        <f>'2020_5-2-2_Download'!B46</f>
        <v>404</v>
      </c>
      <c r="B454">
        <f>'2020_5-2-2_Download'!$R$5</f>
        <v>2018</v>
      </c>
      <c r="C454" t="str">
        <f>VLOOKUP(A1858,[1]Tabelle1!$A$1:$B$68,2,FALSE)</f>
        <v>Osnabrück  Stadt</v>
      </c>
      <c r="D454" t="str">
        <f>'2020_5-2-2_Download'!$U$7</f>
        <v>hoch</v>
      </c>
      <c r="E454" t="s">
        <v>362</v>
      </c>
      <c r="F454" t="str">
        <f>VLOOKUP(A1858,[2]Kreise!$A$2:$C$53,3,FALSE)</f>
        <v>K03404</v>
      </c>
      <c r="G454">
        <f>'2020_5-2-2_Download'!U46</f>
        <v>10.994833752814943</v>
      </c>
    </row>
    <row r="455" spans="1:7">
      <c r="A455">
        <f>'2020_5-2-2_Download'!B47</f>
        <v>405</v>
      </c>
      <c r="B455">
        <f>'2020_5-2-2_Download'!$R$5</f>
        <v>2018</v>
      </c>
      <c r="C455" t="str">
        <f>VLOOKUP(A1859,[1]Tabelle1!$A$1:$B$68,2,FALSE)</f>
        <v>Wilhelmshaven  Stadt</v>
      </c>
      <c r="D455" t="str">
        <f>'2020_5-2-2_Download'!$U$7</f>
        <v>hoch</v>
      </c>
      <c r="E455" t="s">
        <v>362</v>
      </c>
      <c r="F455" t="str">
        <f>VLOOKUP(A1859,[2]Kreise!$A$2:$C$53,3,FALSE)</f>
        <v>K03405</v>
      </c>
      <c r="G455">
        <f>'2020_5-2-2_Download'!U47</f>
        <v>13.782252989301448</v>
      </c>
    </row>
    <row r="456" spans="1:7">
      <c r="A456">
        <f>'2020_5-2-2_Download'!B48</f>
        <v>451</v>
      </c>
      <c r="B456">
        <f>'2020_5-2-2_Download'!$R$5</f>
        <v>2018</v>
      </c>
      <c r="C456" t="str">
        <f>VLOOKUP(A1860,[1]Tabelle1!$A$1:$B$68,2,FALSE)</f>
        <v>Ammerland</v>
      </c>
      <c r="D456" t="str">
        <f>'2020_5-2-2_Download'!$U$7</f>
        <v>hoch</v>
      </c>
      <c r="E456" t="s">
        <v>362</v>
      </c>
      <c r="F456" t="str">
        <f>VLOOKUP(A1860,[2]Kreise!$A$2:$C$53,3,FALSE)</f>
        <v>K03451</v>
      </c>
      <c r="G456">
        <f>'2020_5-2-2_Download'!U48</f>
        <v>5.8051341890315049</v>
      </c>
    </row>
    <row r="457" spans="1:7">
      <c r="A457">
        <f>'2020_5-2-2_Download'!B49</f>
        <v>452</v>
      </c>
      <c r="B457">
        <f>'2020_5-2-2_Download'!$R$5</f>
        <v>2018</v>
      </c>
      <c r="C457" t="str">
        <f>VLOOKUP(A1861,[1]Tabelle1!$A$1:$B$68,2,FALSE)</f>
        <v>Aurich</v>
      </c>
      <c r="D457" t="str">
        <f>'2020_5-2-2_Download'!$U$7</f>
        <v>hoch</v>
      </c>
      <c r="E457" t="s">
        <v>362</v>
      </c>
      <c r="F457" t="str">
        <f>VLOOKUP(A1861,[2]Kreise!$A$2:$C$53,3,FALSE)</f>
        <v>K03452</v>
      </c>
      <c r="G457">
        <f>'2020_5-2-2_Download'!U49</f>
        <v>8.2466918714555764</v>
      </c>
    </row>
    <row r="458" spans="1:7">
      <c r="A458">
        <f>'2020_5-2-2_Download'!B50</f>
        <v>453</v>
      </c>
      <c r="B458">
        <f>'2020_5-2-2_Download'!$R$5</f>
        <v>2018</v>
      </c>
      <c r="C458" t="str">
        <f>VLOOKUP(A1862,[1]Tabelle1!$A$1:$B$68,2,FALSE)</f>
        <v>Cloppenburg</v>
      </c>
      <c r="D458" t="str">
        <f>'2020_5-2-2_Download'!$U$7</f>
        <v>hoch</v>
      </c>
      <c r="E458" t="s">
        <v>362</v>
      </c>
      <c r="F458" t="str">
        <f>VLOOKUP(A1862,[2]Kreise!$A$2:$C$53,3,FALSE)</f>
        <v>K03453</v>
      </c>
      <c r="G458">
        <f>'2020_5-2-2_Download'!U50</f>
        <v>2.9102844638949672</v>
      </c>
    </row>
    <row r="459" spans="1:7">
      <c r="A459">
        <f>'2020_5-2-2_Download'!B51</f>
        <v>454</v>
      </c>
      <c r="B459">
        <f>'2020_5-2-2_Download'!$R$5</f>
        <v>2018</v>
      </c>
      <c r="C459" t="str">
        <f>VLOOKUP(A1863,[1]Tabelle1!$A$1:$B$68,2,FALSE)</f>
        <v>Emsland</v>
      </c>
      <c r="D459" t="str">
        <f>'2020_5-2-2_Download'!$U$7</f>
        <v>hoch</v>
      </c>
      <c r="E459" t="s">
        <v>362</v>
      </c>
      <c r="F459" t="str">
        <f>VLOOKUP(A1863,[2]Kreise!$A$2:$C$53,3,FALSE)</f>
        <v>K03454</v>
      </c>
      <c r="G459">
        <f>'2020_5-2-2_Download'!U51</f>
        <v>6.5376864167674329</v>
      </c>
    </row>
    <row r="460" spans="1:7">
      <c r="A460">
        <f>'2020_5-2-2_Download'!B52</f>
        <v>455</v>
      </c>
      <c r="B460">
        <f>'2020_5-2-2_Download'!$R$5</f>
        <v>2018</v>
      </c>
      <c r="C460" t="str">
        <f>VLOOKUP(A1864,[1]Tabelle1!$A$1:$B$68,2,FALSE)</f>
        <v>Friesland</v>
      </c>
      <c r="D460" t="str">
        <f>'2020_5-2-2_Download'!$U$7</f>
        <v>hoch</v>
      </c>
      <c r="E460" t="s">
        <v>362</v>
      </c>
      <c r="F460" t="str">
        <f>VLOOKUP(A1864,[2]Kreise!$A$2:$C$53,3,FALSE)</f>
        <v>K03455</v>
      </c>
      <c r="G460">
        <f>'2020_5-2-2_Download'!U52</f>
        <v>11.837048424289009</v>
      </c>
    </row>
    <row r="461" spans="1:7">
      <c r="A461">
        <f>'2020_5-2-2_Download'!B53</f>
        <v>456</v>
      </c>
      <c r="B461">
        <f>'2020_5-2-2_Download'!$R$5</f>
        <v>2018</v>
      </c>
      <c r="C461" t="str">
        <f>VLOOKUP(A1865,[1]Tabelle1!$A$1:$B$68,2,FALSE)</f>
        <v>Grafschaft Bentheim</v>
      </c>
      <c r="D461" t="str">
        <f>'2020_5-2-2_Download'!$U$7</f>
        <v>hoch</v>
      </c>
      <c r="E461" t="s">
        <v>362</v>
      </c>
      <c r="F461" t="str">
        <f>VLOOKUP(A1865,[2]Kreise!$A$2:$C$53,3,FALSE)</f>
        <v>K03456</v>
      </c>
      <c r="G461">
        <f>'2020_5-2-2_Download'!U53</f>
        <v>6.5814943863724356</v>
      </c>
    </row>
    <row r="462" spans="1:7">
      <c r="A462">
        <f>'2020_5-2-2_Download'!B54</f>
        <v>457</v>
      </c>
      <c r="B462">
        <f>'2020_5-2-2_Download'!$R$5</f>
        <v>2018</v>
      </c>
      <c r="C462" t="str">
        <f>VLOOKUP(A1866,[1]Tabelle1!$A$1:$B$68,2,FALSE)</f>
        <v>Leer</v>
      </c>
      <c r="D462" t="str">
        <f>'2020_5-2-2_Download'!$U$7</f>
        <v>hoch</v>
      </c>
      <c r="E462" t="s">
        <v>362</v>
      </c>
      <c r="F462" t="str">
        <f>VLOOKUP(A1866,[2]Kreise!$A$2:$C$53,3,FALSE)</f>
        <v>K03457</v>
      </c>
      <c r="G462">
        <f>'2020_5-2-2_Download'!U54</f>
        <v>8.6263901412684092</v>
      </c>
    </row>
    <row r="463" spans="1:7">
      <c r="A463">
        <f>'2020_5-2-2_Download'!B55</f>
        <v>458</v>
      </c>
      <c r="B463">
        <f>'2020_5-2-2_Download'!$R$5</f>
        <v>2018</v>
      </c>
      <c r="C463" t="str">
        <f>VLOOKUP(A1867,[1]Tabelle1!$A$1:$B$68,2,FALSE)</f>
        <v>Oldenburg</v>
      </c>
      <c r="D463" t="str">
        <f>'2020_5-2-2_Download'!$U$7</f>
        <v>hoch</v>
      </c>
      <c r="E463" t="s">
        <v>362</v>
      </c>
      <c r="F463" t="str">
        <f>VLOOKUP(A1867,[2]Kreise!$A$2:$C$53,3,FALSE)</f>
        <v>K03458</v>
      </c>
      <c r="G463">
        <f>'2020_5-2-2_Download'!U55</f>
        <v>4.20954162768943</v>
      </c>
    </row>
    <row r="464" spans="1:7">
      <c r="A464">
        <f>'2020_5-2-2_Download'!B56</f>
        <v>459</v>
      </c>
      <c r="B464">
        <f>'2020_5-2-2_Download'!$R$5</f>
        <v>2018</v>
      </c>
      <c r="C464" t="str">
        <f>VLOOKUP(A1868,[1]Tabelle1!$A$1:$B$68,2,FALSE)</f>
        <v>Osnabrück</v>
      </c>
      <c r="D464" t="str">
        <f>'2020_5-2-2_Download'!$U$7</f>
        <v>hoch</v>
      </c>
      <c r="E464" t="s">
        <v>362</v>
      </c>
      <c r="F464" t="str">
        <f>VLOOKUP(A1868,[2]Kreise!$A$2:$C$53,3,FALSE)</f>
        <v>K03459</v>
      </c>
      <c r="G464">
        <f>'2020_5-2-2_Download'!U56</f>
        <v>3.9975247524752477</v>
      </c>
    </row>
    <row r="465" spans="1:7">
      <c r="A465">
        <f>'2020_5-2-2_Download'!B57</f>
        <v>460</v>
      </c>
      <c r="B465">
        <f>'2020_5-2-2_Download'!$R$5</f>
        <v>2018</v>
      </c>
      <c r="C465" t="str">
        <f>VLOOKUP(A1869,[1]Tabelle1!$A$1:$B$68,2,FALSE)</f>
        <v>Vechta</v>
      </c>
      <c r="D465" t="str">
        <f>'2020_5-2-2_Download'!$U$7</f>
        <v>hoch</v>
      </c>
      <c r="E465" t="s">
        <v>362</v>
      </c>
      <c r="F465" t="str">
        <f>VLOOKUP(A1869,[2]Kreise!$A$2:$C$53,3,FALSE)</f>
        <v>K03460</v>
      </c>
      <c r="G465">
        <f>'2020_5-2-2_Download'!U57</f>
        <v>4.1569026999490575</v>
      </c>
    </row>
    <row r="466" spans="1:7">
      <c r="A466">
        <f>'2020_5-2-2_Download'!B58</f>
        <v>461</v>
      </c>
      <c r="B466">
        <f>'2020_5-2-2_Download'!$R$5</f>
        <v>2018</v>
      </c>
      <c r="C466" t="str">
        <f>VLOOKUP(A1870,[1]Tabelle1!$A$1:$B$68,2,FALSE)</f>
        <v>Wesermarsch</v>
      </c>
      <c r="D466" t="str">
        <f>'2020_5-2-2_Download'!$U$7</f>
        <v>hoch</v>
      </c>
      <c r="E466" t="s">
        <v>362</v>
      </c>
      <c r="F466" t="str">
        <f>VLOOKUP(A1870,[2]Kreise!$A$2:$C$53,3,FALSE)</f>
        <v>K03461</v>
      </c>
      <c r="G466">
        <f>'2020_5-2-2_Download'!U58</f>
        <v>5.6619144602851321</v>
      </c>
    </row>
    <row r="467" spans="1:7">
      <c r="A467">
        <f>'2020_5-2-2_Download'!B59</f>
        <v>462</v>
      </c>
      <c r="B467">
        <f>'2020_5-2-2_Download'!$R$5</f>
        <v>2018</v>
      </c>
      <c r="C467" t="str">
        <f>VLOOKUP(A1871,[1]Tabelle1!$A$1:$B$68,2,FALSE)</f>
        <v>Wittmund</v>
      </c>
      <c r="D467" t="str">
        <f>'2020_5-2-2_Download'!$U$7</f>
        <v>hoch</v>
      </c>
      <c r="E467" t="s">
        <v>362</v>
      </c>
      <c r="F467" t="str">
        <f>VLOOKUP(A1871,[2]Kreise!$A$2:$C$53,3,FALSE)</f>
        <v>K03462</v>
      </c>
      <c r="G467">
        <f>'2020_5-2-2_Download'!U59</f>
        <v>5.9649122807017543</v>
      </c>
    </row>
    <row r="468" spans="1:7">
      <c r="A468">
        <f>'2020_5-2-2_Download'!B60</f>
        <v>4</v>
      </c>
      <c r="B468">
        <f>'2020_5-2-2_Download'!$R$5</f>
        <v>2018</v>
      </c>
      <c r="C468" t="str">
        <f>VLOOKUP(A1872,[1]Tabelle1!$A$1:$B$68,2,FALSE)</f>
        <v>Stat. Region Weser-Ems</v>
      </c>
      <c r="D468" t="str">
        <f>'2020_5-2-2_Download'!$U$7</f>
        <v>hoch</v>
      </c>
      <c r="E468" t="s">
        <v>362</v>
      </c>
      <c r="F468" t="str">
        <f>VLOOKUP(A1872,[2]Kreise!$A$2:$C$53,3,FALSE)</f>
        <v>K034</v>
      </c>
      <c r="G468">
        <f>'2020_5-2-2_Download'!U60</f>
        <v>6.8118332043213412</v>
      </c>
    </row>
    <row r="469" spans="1:7">
      <c r="A469">
        <f>'2020_5-2-2_Download'!B61</f>
        <v>0</v>
      </c>
      <c r="B469">
        <f>'2020_5-2-2_Download'!$R$5</f>
        <v>2018</v>
      </c>
      <c r="C469" t="str">
        <f>VLOOKUP(A1873,[1]Tabelle1!$A$1:$B$68,2,FALSE)</f>
        <v>Niedersachsen</v>
      </c>
      <c r="D469" t="str">
        <f>'2020_5-2-2_Download'!$U$7</f>
        <v>hoch</v>
      </c>
      <c r="E469" t="s">
        <v>362</v>
      </c>
      <c r="F469" t="str">
        <f>VLOOKUP(A1873,[2]Kreise!$A$2:$C$53,3,FALSE)</f>
        <v>K030</v>
      </c>
      <c r="G469">
        <f>'2020_5-2-2_Download'!U61</f>
        <v>11.010922866792685</v>
      </c>
    </row>
    <row r="470" spans="1:7">
      <c r="A470">
        <f>'2020_5-2-2_Download'!B10</f>
        <v>101</v>
      </c>
      <c r="B470">
        <f>'2020_5-2-2_Download'!$R$5</f>
        <v>2018</v>
      </c>
      <c r="C470" t="str">
        <f>VLOOKUP(A1874,[1]Tabelle1!$A$1:$B$68,2,FALSE)</f>
        <v>Niedersachsen</v>
      </c>
      <c r="D470" t="str">
        <f>'2020_5-2-2_Download'!$V$7</f>
        <v>mittel</v>
      </c>
      <c r="E470" t="s">
        <v>362</v>
      </c>
      <c r="F470" t="str">
        <f>VLOOKUP(A1874,[2]Kreise!$A$2:$C$53,3,FALSE)</f>
        <v>K030</v>
      </c>
      <c r="G470">
        <f>'2020_5-2-2_Download'!V10</f>
        <v>28.335149054174508</v>
      </c>
    </row>
    <row r="471" spans="1:7">
      <c r="A471">
        <f>'2020_5-2-2_Download'!B11</f>
        <v>102</v>
      </c>
      <c r="B471">
        <f>'2020_5-2-2_Download'!$R$5</f>
        <v>2018</v>
      </c>
      <c r="C471" t="str">
        <f>VLOOKUP(A1875,[1]Tabelle1!$A$1:$B$68,2,FALSE)</f>
        <v>Niedersachsen</v>
      </c>
      <c r="D471" t="str">
        <f>'2020_5-2-2_Download'!$V$7</f>
        <v>mittel</v>
      </c>
      <c r="E471" t="s">
        <v>362</v>
      </c>
      <c r="F471" t="str">
        <f>VLOOKUP(A1875,[2]Kreise!$A$2:$C$53,3,FALSE)</f>
        <v>K030</v>
      </c>
      <c r="G471">
        <f>'2020_5-2-2_Download'!V11</f>
        <v>41.283348666053357</v>
      </c>
    </row>
    <row r="472" spans="1:7">
      <c r="A472">
        <f>'2020_5-2-2_Download'!B12</f>
        <v>103</v>
      </c>
      <c r="B472">
        <f>'2020_5-2-2_Download'!$R$5</f>
        <v>2018</v>
      </c>
      <c r="C472" t="str">
        <f>VLOOKUP(A1876,[1]Tabelle1!$A$1:$B$68,2,FALSE)</f>
        <v>Niedersachsen</v>
      </c>
      <c r="D472" t="str">
        <f>'2020_5-2-2_Download'!$V$7</f>
        <v>mittel</v>
      </c>
      <c r="E472" t="s">
        <v>362</v>
      </c>
      <c r="F472" t="str">
        <f>VLOOKUP(A1876,[2]Kreise!$A$2:$C$53,3,FALSE)</f>
        <v>K030</v>
      </c>
      <c r="G472">
        <f>'2020_5-2-2_Download'!V12</f>
        <v>33.982531874309807</v>
      </c>
    </row>
    <row r="473" spans="1:7">
      <c r="A473">
        <f>'2020_5-2-2_Download'!B13</f>
        <v>151</v>
      </c>
      <c r="B473">
        <f>'2020_5-2-2_Download'!$R$5</f>
        <v>2018</v>
      </c>
      <c r="C473" t="str">
        <f>VLOOKUP(A1877,[1]Tabelle1!$A$1:$B$68,2,FALSE)</f>
        <v>Niedersachsen</v>
      </c>
      <c r="D473" t="str">
        <f>'2020_5-2-2_Download'!$V$7</f>
        <v>mittel</v>
      </c>
      <c r="E473" t="s">
        <v>362</v>
      </c>
      <c r="F473" t="str">
        <f>VLOOKUP(A1877,[2]Kreise!$A$2:$C$53,3,FALSE)</f>
        <v>K030</v>
      </c>
      <c r="G473">
        <f>'2020_5-2-2_Download'!V13</f>
        <v>26.887318705838602</v>
      </c>
    </row>
    <row r="474" spans="1:7">
      <c r="A474">
        <f>'2020_5-2-2_Download'!B14</f>
        <v>153</v>
      </c>
      <c r="B474">
        <f>'2020_5-2-2_Download'!$R$5</f>
        <v>2018</v>
      </c>
      <c r="C474" t="str">
        <f>VLOOKUP(A1878,[1]Tabelle1!$A$1:$B$68,2,FALSE)</f>
        <v>Niedersachsen</v>
      </c>
      <c r="D474" t="str">
        <f>'2020_5-2-2_Download'!$V$7</f>
        <v>mittel</v>
      </c>
      <c r="E474" t="s">
        <v>362</v>
      </c>
      <c r="F474" t="str">
        <f>VLOOKUP(A1878,[2]Kreise!$A$2:$C$53,3,FALSE)</f>
        <v>K030</v>
      </c>
      <c r="G474">
        <f>'2020_5-2-2_Download'!V14</f>
        <v>31.788559015206374</v>
      </c>
    </row>
    <row r="475" spans="1:7">
      <c r="A475">
        <f>'2020_5-2-2_Download'!B15</f>
        <v>154</v>
      </c>
      <c r="B475">
        <f>'2020_5-2-2_Download'!$R$5</f>
        <v>2018</v>
      </c>
      <c r="C475" t="str">
        <f>VLOOKUP(A1879,[1]Tabelle1!$A$1:$B$68,2,FALSE)</f>
        <v>Niedersachsen</v>
      </c>
      <c r="D475" t="str">
        <f>'2020_5-2-2_Download'!$V$7</f>
        <v>mittel</v>
      </c>
      <c r="E475" t="s">
        <v>362</v>
      </c>
      <c r="F475" t="str">
        <f>VLOOKUP(A1879,[2]Kreise!$A$2:$C$53,3,FALSE)</f>
        <v>K030</v>
      </c>
      <c r="G475">
        <f>'2020_5-2-2_Download'!V15</f>
        <v>42.348008385744237</v>
      </c>
    </row>
    <row r="476" spans="1:7">
      <c r="A476">
        <f>'2020_5-2-2_Download'!B16</f>
        <v>155</v>
      </c>
      <c r="B476">
        <f>'2020_5-2-2_Download'!$R$5</f>
        <v>2018</v>
      </c>
      <c r="C476" t="str">
        <f>VLOOKUP(A1880,[1]Tabelle1!$A$1:$B$68,2,FALSE)</f>
        <v>Niedersachsen</v>
      </c>
      <c r="D476" t="str">
        <f>'2020_5-2-2_Download'!$V$7</f>
        <v>mittel</v>
      </c>
      <c r="E476" t="s">
        <v>362</v>
      </c>
      <c r="F476" t="str">
        <f>VLOOKUP(A1880,[2]Kreise!$A$2:$C$53,3,FALSE)</f>
        <v>K030</v>
      </c>
      <c r="G476">
        <f>'2020_5-2-2_Download'!V16</f>
        <v>45.299967917869751</v>
      </c>
    </row>
    <row r="477" spans="1:7">
      <c r="A477">
        <f>'2020_5-2-2_Download'!B17</f>
        <v>157</v>
      </c>
      <c r="B477">
        <f>'2020_5-2-2_Download'!$R$5</f>
        <v>2018</v>
      </c>
      <c r="C477" t="str">
        <f>VLOOKUP(A1881,[1]Tabelle1!$A$1:$B$68,2,FALSE)</f>
        <v>Niedersachsen</v>
      </c>
      <c r="D477" t="str">
        <f>'2020_5-2-2_Download'!$V$7</f>
        <v>mittel</v>
      </c>
      <c r="E477" t="s">
        <v>362</v>
      </c>
      <c r="F477" t="str">
        <f>VLOOKUP(A1881,[2]Kreise!$A$2:$C$53,3,FALSE)</f>
        <v>K030</v>
      </c>
      <c r="G477">
        <f>'2020_5-2-2_Download'!V17</f>
        <v>33.320463320463325</v>
      </c>
    </row>
    <row r="478" spans="1:7">
      <c r="A478">
        <f>'2020_5-2-2_Download'!B18</f>
        <v>158</v>
      </c>
      <c r="B478">
        <f>'2020_5-2-2_Download'!$R$5</f>
        <v>2018</v>
      </c>
      <c r="C478" t="str">
        <f>VLOOKUP(A1882,[1]Tabelle1!$A$1:$B$68,2,FALSE)</f>
        <v>Niedersachsen</v>
      </c>
      <c r="D478" t="str">
        <f>'2020_5-2-2_Download'!$V$7</f>
        <v>mittel</v>
      </c>
      <c r="E478" t="s">
        <v>362</v>
      </c>
      <c r="F478" t="str">
        <f>VLOOKUP(A1882,[2]Kreise!$A$2:$C$53,3,FALSE)</f>
        <v>K030</v>
      </c>
      <c r="G478">
        <f>'2020_5-2-2_Download'!V18</f>
        <v>40.226628895184135</v>
      </c>
    </row>
    <row r="479" spans="1:7">
      <c r="A479">
        <f>'2020_5-2-2_Download'!B19</f>
        <v>159</v>
      </c>
      <c r="B479">
        <f>'2020_5-2-2_Download'!$R$5</f>
        <v>2018</v>
      </c>
      <c r="C479" t="str">
        <f>VLOOKUP(A1883,[1]Tabelle1!$A$1:$B$68,2,FALSE)</f>
        <v>Niedersachsen</v>
      </c>
      <c r="D479" t="str">
        <f>'2020_5-2-2_Download'!$V$7</f>
        <v>mittel</v>
      </c>
      <c r="E479" t="s">
        <v>362</v>
      </c>
      <c r="F479" t="str">
        <f>VLOOKUP(A1883,[2]Kreise!$A$2:$C$53,3,FALSE)</f>
        <v>K030</v>
      </c>
      <c r="G479">
        <f>'2020_5-2-2_Download'!V19</f>
        <v>29.322092620394962</v>
      </c>
    </row>
    <row r="480" spans="1:7">
      <c r="A480">
        <f>'2020_5-2-2_Download'!B20</f>
        <v>1</v>
      </c>
      <c r="B480">
        <f>'2020_5-2-2_Download'!$R$5</f>
        <v>2018</v>
      </c>
      <c r="C480" t="str">
        <f>VLOOKUP(A1884,[1]Tabelle1!$A$1:$B$68,2,FALSE)</f>
        <v>Niedersachsen</v>
      </c>
      <c r="D480" t="str">
        <f>'2020_5-2-2_Download'!$V$7</f>
        <v>mittel</v>
      </c>
      <c r="E480" t="s">
        <v>362</v>
      </c>
      <c r="F480" t="str">
        <f>VLOOKUP(A1884,[2]Kreise!$A$2:$C$53,3,FALSE)</f>
        <v>K030</v>
      </c>
      <c r="G480">
        <f>'2020_5-2-2_Download'!V20</f>
        <v>33.208685675434495</v>
      </c>
    </row>
    <row r="481" spans="1:7">
      <c r="A481">
        <f>'2020_5-2-2_Download'!B21</f>
        <v>241</v>
      </c>
      <c r="B481">
        <f>'2020_5-2-2_Download'!$R$5</f>
        <v>2018</v>
      </c>
      <c r="C481" t="str">
        <f>VLOOKUP(A1885,[1]Tabelle1!$A$1:$B$68,2,FALSE)</f>
        <v>Niedersachsen</v>
      </c>
      <c r="D481" t="str">
        <f>'2020_5-2-2_Download'!$V$7</f>
        <v>mittel</v>
      </c>
      <c r="E481" t="s">
        <v>362</v>
      </c>
      <c r="F481" t="str">
        <f>VLOOKUP(A1885,[2]Kreise!$A$2:$C$53,3,FALSE)</f>
        <v>K030</v>
      </c>
      <c r="G481">
        <f>'2020_5-2-2_Download'!V21</f>
        <v>32.485232367803</v>
      </c>
    </row>
    <row r="482" spans="1:7">
      <c r="A482">
        <f>'2020_5-2-2_Download'!B22</f>
        <v>241001</v>
      </c>
      <c r="B482">
        <f>'2020_5-2-2_Download'!$R$5</f>
        <v>2018</v>
      </c>
      <c r="C482" t="str">
        <f>VLOOKUP(A1886,[1]Tabelle1!$A$1:$B$68,2,FALSE)</f>
        <v>Niedersachsen</v>
      </c>
      <c r="D482" t="str">
        <f>'2020_5-2-2_Download'!$V$7</f>
        <v>mittel</v>
      </c>
      <c r="E482" t="s">
        <v>362</v>
      </c>
      <c r="F482" t="str">
        <f>VLOOKUP(A1886,[2]Kreise!$A$2:$C$53,3,FALSE)</f>
        <v>K030</v>
      </c>
      <c r="G482">
        <f>'2020_5-2-2_Download'!V22</f>
        <v>32.073896833787771</v>
      </c>
    </row>
    <row r="483" spans="1:7">
      <c r="A483">
        <f>'2020_5-2-2_Download'!B23</f>
        <v>241999</v>
      </c>
      <c r="B483">
        <f>'2020_5-2-2_Download'!$R$5</f>
        <v>2018</v>
      </c>
      <c r="C483" t="str">
        <f>VLOOKUP(A1887,[1]Tabelle1!$A$1:$B$68,2,FALSE)</f>
        <v>Niedersachsen</v>
      </c>
      <c r="D483" t="str">
        <f>'2020_5-2-2_Download'!$V$7</f>
        <v>mittel</v>
      </c>
      <c r="E483" t="s">
        <v>362</v>
      </c>
      <c r="F483" t="str">
        <f>VLOOKUP(A1887,[2]Kreise!$A$2:$C$53,3,FALSE)</f>
        <v>K030</v>
      </c>
      <c r="G483">
        <f>'2020_5-2-2_Download'!V23</f>
        <v>33.214885006415948</v>
      </c>
    </row>
    <row r="484" spans="1:7">
      <c r="A484">
        <f>'2020_5-2-2_Download'!B24</f>
        <v>251</v>
      </c>
      <c r="B484">
        <f>'2020_5-2-2_Download'!$R$5</f>
        <v>2018</v>
      </c>
      <c r="C484" t="str">
        <f>VLOOKUP(A1888,[1]Tabelle1!$A$1:$B$68,2,FALSE)</f>
        <v>Niedersachsen</v>
      </c>
      <c r="D484" t="str">
        <f>'2020_5-2-2_Download'!$V$7</f>
        <v>mittel</v>
      </c>
      <c r="E484" t="s">
        <v>362</v>
      </c>
      <c r="F484" t="str">
        <f>VLOOKUP(A1888,[2]Kreise!$A$2:$C$53,3,FALSE)</f>
        <v>K030</v>
      </c>
      <c r="G484">
        <f>'2020_5-2-2_Download'!V24</f>
        <v>32.246633593196314</v>
      </c>
    </row>
    <row r="485" spans="1:7">
      <c r="A485">
        <f>'2020_5-2-2_Download'!B25</f>
        <v>252</v>
      </c>
      <c r="B485">
        <f>'2020_5-2-2_Download'!$R$5</f>
        <v>2018</v>
      </c>
      <c r="C485" t="str">
        <f>VLOOKUP(A1889,[1]Tabelle1!$A$1:$B$68,2,FALSE)</f>
        <v>Niedersachsen</v>
      </c>
      <c r="D485" t="str">
        <f>'2020_5-2-2_Download'!$V$7</f>
        <v>mittel</v>
      </c>
      <c r="E485" t="s">
        <v>362</v>
      </c>
      <c r="F485" t="str">
        <f>VLOOKUP(A1889,[2]Kreise!$A$2:$C$53,3,FALSE)</f>
        <v>K030</v>
      </c>
      <c r="G485">
        <f>'2020_5-2-2_Download'!V25</f>
        <v>37.629146275149537</v>
      </c>
    </row>
    <row r="486" spans="1:7">
      <c r="A486">
        <f>'2020_5-2-2_Download'!B26</f>
        <v>254</v>
      </c>
      <c r="B486">
        <f>'2020_5-2-2_Download'!$R$5</f>
        <v>2018</v>
      </c>
      <c r="C486" t="str">
        <f>VLOOKUP(A1890,[1]Tabelle1!$A$1:$B$68,2,FALSE)</f>
        <v>Niedersachsen</v>
      </c>
      <c r="D486" t="str">
        <f>'2020_5-2-2_Download'!$V$7</f>
        <v>mittel</v>
      </c>
      <c r="E486" t="s">
        <v>362</v>
      </c>
      <c r="F486" t="str">
        <f>VLOOKUP(A1890,[2]Kreise!$A$2:$C$53,3,FALSE)</f>
        <v>K030</v>
      </c>
      <c r="G486">
        <f>'2020_5-2-2_Download'!V26</f>
        <v>35.499565595134662</v>
      </c>
    </row>
    <row r="487" spans="1:7">
      <c r="A487">
        <f>'2020_5-2-2_Download'!B27</f>
        <v>255</v>
      </c>
      <c r="B487">
        <f>'2020_5-2-2_Download'!$R$5</f>
        <v>2018</v>
      </c>
      <c r="C487" t="str">
        <f>VLOOKUP(A1891,[1]Tabelle1!$A$1:$B$68,2,FALSE)</f>
        <v>Niedersachsen</v>
      </c>
      <c r="D487" t="str">
        <f>'2020_5-2-2_Download'!$V$7</f>
        <v>mittel</v>
      </c>
      <c r="E487" t="s">
        <v>362</v>
      </c>
      <c r="F487" t="str">
        <f>VLOOKUP(A1891,[2]Kreise!$A$2:$C$53,3,FALSE)</f>
        <v>K030</v>
      </c>
      <c r="G487">
        <f>'2020_5-2-2_Download'!V27</f>
        <v>35.079365079365076</v>
      </c>
    </row>
    <row r="488" spans="1:7">
      <c r="A488">
        <f>'2020_5-2-2_Download'!B28</f>
        <v>256</v>
      </c>
      <c r="B488">
        <f>'2020_5-2-2_Download'!$R$5</f>
        <v>2018</v>
      </c>
      <c r="C488" t="str">
        <f>VLOOKUP(A1892,[1]Tabelle1!$A$1:$B$68,2,FALSE)</f>
        <v>Niedersachsen</v>
      </c>
      <c r="D488" t="str">
        <f>'2020_5-2-2_Download'!$V$7</f>
        <v>mittel</v>
      </c>
      <c r="E488" t="s">
        <v>362</v>
      </c>
      <c r="F488" t="str">
        <f>VLOOKUP(A1892,[2]Kreise!$A$2:$C$53,3,FALSE)</f>
        <v>K030</v>
      </c>
      <c r="G488">
        <f>'2020_5-2-2_Download'!V28</f>
        <v>26.263800116211506</v>
      </c>
    </row>
    <row r="489" spans="1:7">
      <c r="A489">
        <f>'2020_5-2-2_Download'!B29</f>
        <v>257</v>
      </c>
      <c r="B489">
        <f>'2020_5-2-2_Download'!$R$5</f>
        <v>2018</v>
      </c>
      <c r="C489" t="str">
        <f>VLOOKUP(A1893,[1]Tabelle1!$A$1:$B$68,2,FALSE)</f>
        <v>Niedersachsen</v>
      </c>
      <c r="D489" t="str">
        <f>'2020_5-2-2_Download'!$V$7</f>
        <v>mittel</v>
      </c>
      <c r="E489" t="s">
        <v>362</v>
      </c>
      <c r="F489" t="str">
        <f>VLOOKUP(A1893,[2]Kreise!$A$2:$C$53,3,FALSE)</f>
        <v>K030</v>
      </c>
      <c r="G489">
        <f>'2020_5-2-2_Download'!V29</f>
        <v>43.522561863173216</v>
      </c>
    </row>
    <row r="490" spans="1:7">
      <c r="A490">
        <f>'2020_5-2-2_Download'!B30</f>
        <v>2</v>
      </c>
      <c r="B490">
        <f>'2020_5-2-2_Download'!$R$5</f>
        <v>2018</v>
      </c>
      <c r="C490" t="str">
        <f>VLOOKUP(A1894,[1]Tabelle1!$A$1:$B$68,2,FALSE)</f>
        <v>Niedersachsen</v>
      </c>
      <c r="D490" t="str">
        <f>'2020_5-2-2_Download'!$V$7</f>
        <v>mittel</v>
      </c>
      <c r="E490" t="s">
        <v>362</v>
      </c>
      <c r="F490" t="str">
        <f>VLOOKUP(A1894,[2]Kreise!$A$2:$C$53,3,FALSE)</f>
        <v>K030</v>
      </c>
      <c r="G490">
        <f>'2020_5-2-2_Download'!V30</f>
        <v>33.173839683698908</v>
      </c>
    </row>
    <row r="491" spans="1:7">
      <c r="A491">
        <f>'2020_5-2-2_Download'!B31</f>
        <v>351</v>
      </c>
      <c r="B491">
        <f>'2020_5-2-2_Download'!$R$5</f>
        <v>2018</v>
      </c>
      <c r="C491" t="str">
        <f>VLOOKUP(A1895,[1]Tabelle1!$A$1:$B$68,2,FALSE)</f>
        <v>Niedersachsen</v>
      </c>
      <c r="D491" t="str">
        <f>'2020_5-2-2_Download'!$V$7</f>
        <v>mittel</v>
      </c>
      <c r="E491" t="s">
        <v>362</v>
      </c>
      <c r="F491" t="str">
        <f>VLOOKUP(A1895,[2]Kreise!$A$2:$C$53,3,FALSE)</f>
        <v>K030</v>
      </c>
      <c r="G491">
        <f>'2020_5-2-2_Download'!V31</f>
        <v>33.216986620127983</v>
      </c>
    </row>
    <row r="492" spans="1:7">
      <c r="A492">
        <f>'2020_5-2-2_Download'!B32</f>
        <v>352</v>
      </c>
      <c r="B492">
        <f>'2020_5-2-2_Download'!$R$5</f>
        <v>2018</v>
      </c>
      <c r="C492" t="str">
        <f>VLOOKUP(A1896,[1]Tabelle1!$A$1:$B$68,2,FALSE)</f>
        <v>Niedersachsen</v>
      </c>
      <c r="D492" t="str">
        <f>'2020_5-2-2_Download'!$V$7</f>
        <v>mittel</v>
      </c>
      <c r="E492" t="s">
        <v>362</v>
      </c>
      <c r="F492" t="str">
        <f>VLOOKUP(A1896,[2]Kreise!$A$2:$C$53,3,FALSE)</f>
        <v>K030</v>
      </c>
      <c r="G492">
        <f>'2020_5-2-2_Download'!V32</f>
        <v>28.946102021174209</v>
      </c>
    </row>
    <row r="493" spans="1:7">
      <c r="A493">
        <f>'2020_5-2-2_Download'!B33</f>
        <v>353</v>
      </c>
      <c r="B493">
        <f>'2020_5-2-2_Download'!$R$5</f>
        <v>2018</v>
      </c>
      <c r="C493" t="str">
        <f>VLOOKUP(A1897,[1]Tabelle1!$A$1:$B$68,2,FALSE)</f>
        <v>Niedersachsen</v>
      </c>
      <c r="D493" t="str">
        <f>'2020_5-2-2_Download'!$V$7</f>
        <v>mittel</v>
      </c>
      <c r="E493" t="s">
        <v>362</v>
      </c>
      <c r="F493" t="str">
        <f>VLOOKUP(A1897,[2]Kreise!$A$2:$C$53,3,FALSE)</f>
        <v>K030</v>
      </c>
      <c r="G493">
        <f>'2020_5-2-2_Download'!V33</f>
        <v>28.212151394422314</v>
      </c>
    </row>
    <row r="494" spans="1:7">
      <c r="A494">
        <f>'2020_5-2-2_Download'!B34</f>
        <v>354</v>
      </c>
      <c r="B494">
        <f>'2020_5-2-2_Download'!$R$5</f>
        <v>2018</v>
      </c>
      <c r="C494" t="str">
        <f>VLOOKUP(A1898,[1]Tabelle1!$A$1:$B$68,2,FALSE)</f>
        <v>Niedersachsen</v>
      </c>
      <c r="D494" t="str">
        <f>'2020_5-2-2_Download'!$V$7</f>
        <v>mittel</v>
      </c>
      <c r="E494" t="s">
        <v>362</v>
      </c>
      <c r="F494" t="str">
        <f>VLOOKUP(A1898,[2]Kreise!$A$2:$C$53,3,FALSE)</f>
        <v>K030</v>
      </c>
      <c r="G494">
        <f>'2020_5-2-2_Download'!V34</f>
        <v>28.80354505169867</v>
      </c>
    </row>
    <row r="495" spans="1:7">
      <c r="A495">
        <f>'2020_5-2-2_Download'!B35</f>
        <v>355</v>
      </c>
      <c r="B495">
        <f>'2020_5-2-2_Download'!$R$5</f>
        <v>2018</v>
      </c>
      <c r="C495" t="str">
        <f>VLOOKUP(A1899,[1]Tabelle1!$A$1:$B$68,2,FALSE)</f>
        <v>Niedersachsen</v>
      </c>
      <c r="D495" t="str">
        <f>'2020_5-2-2_Download'!$V$7</f>
        <v>mittel</v>
      </c>
      <c r="E495" t="s">
        <v>362</v>
      </c>
      <c r="F495" t="str">
        <f>VLOOKUP(A1899,[2]Kreise!$A$2:$C$53,3,FALSE)</f>
        <v>K030</v>
      </c>
      <c r="G495">
        <f>'2020_5-2-2_Download'!V35</f>
        <v>31.55299917830731</v>
      </c>
    </row>
    <row r="496" spans="1:7">
      <c r="A496">
        <f>'2020_5-2-2_Download'!B36</f>
        <v>356</v>
      </c>
      <c r="B496">
        <f>'2020_5-2-2_Download'!$R$5</f>
        <v>2018</v>
      </c>
      <c r="C496" t="str">
        <f>VLOOKUP(A1900,[1]Tabelle1!$A$1:$B$68,2,FALSE)</f>
        <v>Niedersachsen</v>
      </c>
      <c r="D496" t="str">
        <f>'2020_5-2-2_Download'!$V$7</f>
        <v>mittel</v>
      </c>
      <c r="E496" t="s">
        <v>362</v>
      </c>
      <c r="F496" t="str">
        <f>VLOOKUP(A1900,[2]Kreise!$A$2:$C$53,3,FALSE)</f>
        <v>K030</v>
      </c>
      <c r="G496">
        <f>'2020_5-2-2_Download'!V36</f>
        <v>33.352906635349385</v>
      </c>
    </row>
    <row r="497" spans="1:7">
      <c r="A497">
        <f>'2020_5-2-2_Download'!B37</f>
        <v>357</v>
      </c>
      <c r="B497">
        <f>'2020_5-2-2_Download'!$R$5</f>
        <v>2018</v>
      </c>
      <c r="C497" t="str">
        <f>VLOOKUP(A1901,[1]Tabelle1!$A$1:$B$68,2,FALSE)</f>
        <v>Niedersachsen</v>
      </c>
      <c r="D497" t="str">
        <f>'2020_5-2-2_Download'!$V$7</f>
        <v>mittel</v>
      </c>
      <c r="E497" t="s">
        <v>362</v>
      </c>
      <c r="F497" t="str">
        <f>VLOOKUP(A1901,[2]Kreise!$A$2:$C$53,3,FALSE)</f>
        <v>K030</v>
      </c>
      <c r="G497">
        <f>'2020_5-2-2_Download'!V37</f>
        <v>34.803105934553521</v>
      </c>
    </row>
    <row r="498" spans="1:7">
      <c r="A498">
        <f>'2020_5-2-2_Download'!B38</f>
        <v>358</v>
      </c>
      <c r="B498">
        <f>'2020_5-2-2_Download'!$R$5</f>
        <v>2018</v>
      </c>
      <c r="C498" t="str">
        <f>VLOOKUP(A1902,[1]Tabelle1!$A$1:$B$68,2,FALSE)</f>
        <v>Niedersachsen</v>
      </c>
      <c r="D498" t="str">
        <f>'2020_5-2-2_Download'!$V$7</f>
        <v>mittel</v>
      </c>
      <c r="E498" t="s">
        <v>362</v>
      </c>
      <c r="F498" t="str">
        <f>VLOOKUP(A1902,[2]Kreise!$A$2:$C$53,3,FALSE)</f>
        <v>K030</v>
      </c>
      <c r="G498">
        <f>'2020_5-2-2_Download'!V38</f>
        <v>36.792204371872536</v>
      </c>
    </row>
    <row r="499" spans="1:7">
      <c r="A499">
        <f>'2020_5-2-2_Download'!B39</f>
        <v>359</v>
      </c>
      <c r="B499">
        <f>'2020_5-2-2_Download'!$R$5</f>
        <v>2018</v>
      </c>
      <c r="C499" t="str">
        <f>VLOOKUP(A1903,[1]Tabelle1!$A$1:$B$68,2,FALSE)</f>
        <v>Niedersachsen</v>
      </c>
      <c r="D499" t="str">
        <f>'2020_5-2-2_Download'!$V$7</f>
        <v>mittel</v>
      </c>
      <c r="E499" t="s">
        <v>362</v>
      </c>
      <c r="F499" t="str">
        <f>VLOOKUP(A1903,[2]Kreise!$A$2:$C$53,3,FALSE)</f>
        <v>K030</v>
      </c>
      <c r="G499">
        <f>'2020_5-2-2_Download'!V39</f>
        <v>25.347912524850898</v>
      </c>
    </row>
    <row r="500" spans="1:7">
      <c r="A500">
        <f>'2020_5-2-2_Download'!B40</f>
        <v>360</v>
      </c>
      <c r="B500">
        <f>'2020_5-2-2_Download'!$R$5</f>
        <v>2018</v>
      </c>
      <c r="C500" t="str">
        <f>VLOOKUP(A1904,[1]Tabelle1!$A$1:$B$68,2,FALSE)</f>
        <v>Niedersachsen</v>
      </c>
      <c r="D500" t="str">
        <f>'2020_5-2-2_Download'!$V$7</f>
        <v>mittel</v>
      </c>
      <c r="E500" t="s">
        <v>362</v>
      </c>
      <c r="F500" t="str">
        <f>VLOOKUP(A1904,[2]Kreise!$A$2:$C$53,3,FALSE)</f>
        <v>K030</v>
      </c>
      <c r="G500">
        <f>'2020_5-2-2_Download'!V40</f>
        <v>34.748761500353858</v>
      </c>
    </row>
    <row r="501" spans="1:7">
      <c r="A501">
        <f>'2020_5-2-2_Download'!B41</f>
        <v>361</v>
      </c>
      <c r="B501">
        <f>'2020_5-2-2_Download'!$R$5</f>
        <v>2018</v>
      </c>
      <c r="C501" t="str">
        <f>VLOOKUP(A1905,[1]Tabelle1!$A$1:$B$68,2,FALSE)</f>
        <v>Niedersachsen</v>
      </c>
      <c r="D501" t="str">
        <f>'2020_5-2-2_Download'!$V$7</f>
        <v>mittel</v>
      </c>
      <c r="E501" t="s">
        <v>362</v>
      </c>
      <c r="F501" t="str">
        <f>VLOOKUP(A1905,[2]Kreise!$A$2:$C$53,3,FALSE)</f>
        <v>K030</v>
      </c>
      <c r="G501">
        <f>'2020_5-2-2_Download'!V41</f>
        <v>26.178010471204189</v>
      </c>
    </row>
    <row r="502" spans="1:7">
      <c r="A502">
        <f>'2020_5-2-2_Download'!B42</f>
        <v>3</v>
      </c>
      <c r="B502">
        <f>'2020_5-2-2_Download'!$R$5</f>
        <v>2018</v>
      </c>
      <c r="C502" t="str">
        <f>VLOOKUP(A1906,[1]Tabelle1!$A$1:$B$68,2,FALSE)</f>
        <v>Niedersachsen</v>
      </c>
      <c r="D502" t="str">
        <f>'2020_5-2-2_Download'!$V$7</f>
        <v>mittel</v>
      </c>
      <c r="E502" t="s">
        <v>362</v>
      </c>
      <c r="F502" t="str">
        <f>VLOOKUP(A1906,[2]Kreise!$A$2:$C$53,3,FALSE)</f>
        <v>K030</v>
      </c>
      <c r="G502">
        <f>'2020_5-2-2_Download'!V42</f>
        <v>30.313815921395626</v>
      </c>
    </row>
    <row r="503" spans="1:7">
      <c r="A503">
        <f>'2020_5-2-2_Download'!B43</f>
        <v>401</v>
      </c>
      <c r="B503">
        <f>'2020_5-2-2_Download'!$R$5</f>
        <v>2018</v>
      </c>
      <c r="C503" t="str">
        <f>VLOOKUP(A1907,[1]Tabelle1!$A$1:$B$68,2,FALSE)</f>
        <v>Niedersachsen</v>
      </c>
      <c r="D503" t="str">
        <f>'2020_5-2-2_Download'!$V$7</f>
        <v>mittel</v>
      </c>
      <c r="E503" t="s">
        <v>362</v>
      </c>
      <c r="F503" t="str">
        <f>VLOOKUP(A1907,[2]Kreise!$A$2:$C$53,3,FALSE)</f>
        <v>K030</v>
      </c>
      <c r="G503">
        <f>'2020_5-2-2_Download'!V43</f>
        <v>30.228471001757466</v>
      </c>
    </row>
    <row r="504" spans="1:7">
      <c r="A504">
        <f>'2020_5-2-2_Download'!B44</f>
        <v>402</v>
      </c>
      <c r="B504">
        <f>'2020_5-2-2_Download'!$R$5</f>
        <v>2018</v>
      </c>
      <c r="C504" t="str">
        <f>VLOOKUP(A1908,[1]Tabelle1!$A$1:$B$68,2,FALSE)</f>
        <v>Niedersachsen</v>
      </c>
      <c r="D504" t="str">
        <f>'2020_5-2-2_Download'!$V$7</f>
        <v>mittel</v>
      </c>
      <c r="E504" t="s">
        <v>362</v>
      </c>
      <c r="F504" t="str">
        <f>VLOOKUP(A1908,[2]Kreise!$A$2:$C$53,3,FALSE)</f>
        <v>K030</v>
      </c>
      <c r="G504">
        <f>'2020_5-2-2_Download'!V44</f>
        <v>35.88667366211962</v>
      </c>
    </row>
    <row r="505" spans="1:7">
      <c r="A505">
        <f>'2020_5-2-2_Download'!B45</f>
        <v>403</v>
      </c>
      <c r="B505">
        <f>'2020_5-2-2_Download'!$R$5</f>
        <v>2018</v>
      </c>
      <c r="C505" t="str">
        <f>VLOOKUP(A1909,[1]Tabelle1!$A$1:$B$68,2,FALSE)</f>
        <v>Niedersachsen</v>
      </c>
      <c r="D505" t="str">
        <f>'2020_5-2-2_Download'!$V$7</f>
        <v>mittel</v>
      </c>
      <c r="E505" t="s">
        <v>362</v>
      </c>
      <c r="F505" t="str">
        <f>VLOOKUP(A1909,[2]Kreise!$A$2:$C$53,3,FALSE)</f>
        <v>K030</v>
      </c>
      <c r="G505">
        <f>'2020_5-2-2_Download'!V45</f>
        <v>26.608127424954052</v>
      </c>
    </row>
    <row r="506" spans="1:7">
      <c r="A506">
        <f>'2020_5-2-2_Download'!B46</f>
        <v>404</v>
      </c>
      <c r="B506">
        <f>'2020_5-2-2_Download'!$R$5</f>
        <v>2018</v>
      </c>
      <c r="C506" t="str">
        <f>VLOOKUP(A1910,[1]Tabelle1!$A$1:$B$68,2,FALSE)</f>
        <v>Niedersachsen</v>
      </c>
      <c r="D506" t="str">
        <f>'2020_5-2-2_Download'!$V$7</f>
        <v>mittel</v>
      </c>
      <c r="E506" t="s">
        <v>362</v>
      </c>
      <c r="F506" t="str">
        <f>VLOOKUP(A1910,[2]Kreise!$A$2:$C$53,3,FALSE)</f>
        <v>K030</v>
      </c>
      <c r="G506">
        <f>'2020_5-2-2_Download'!V46</f>
        <v>30.600079480725924</v>
      </c>
    </row>
    <row r="507" spans="1:7">
      <c r="A507">
        <f>'2020_5-2-2_Download'!B47</f>
        <v>405</v>
      </c>
      <c r="B507">
        <f>'2020_5-2-2_Download'!$R$5</f>
        <v>2018</v>
      </c>
      <c r="C507" t="str">
        <f>VLOOKUP(A1911,[1]Tabelle1!$A$1:$B$68,2,FALSE)</f>
        <v>Niedersachsen</v>
      </c>
      <c r="D507" t="str">
        <f>'2020_5-2-2_Download'!$V$7</f>
        <v>mittel</v>
      </c>
      <c r="E507" t="s">
        <v>362</v>
      </c>
      <c r="F507" t="str">
        <f>VLOOKUP(A1911,[2]Kreise!$A$2:$C$53,3,FALSE)</f>
        <v>K030</v>
      </c>
      <c r="G507">
        <f>'2020_5-2-2_Download'!V47</f>
        <v>28.382630585273755</v>
      </c>
    </row>
    <row r="508" spans="1:7">
      <c r="A508">
        <f>'2020_5-2-2_Download'!B48</f>
        <v>451</v>
      </c>
      <c r="B508">
        <f>'2020_5-2-2_Download'!$R$5</f>
        <v>2018</v>
      </c>
      <c r="C508" t="str">
        <f>VLOOKUP(A1912,[1]Tabelle1!$A$1:$B$68,2,FALSE)</f>
        <v>Niedersachsen</v>
      </c>
      <c r="D508" t="str">
        <f>'2020_5-2-2_Download'!$V$7</f>
        <v>mittel</v>
      </c>
      <c r="E508" t="s">
        <v>362</v>
      </c>
      <c r="F508" t="str">
        <f>VLOOKUP(A1912,[2]Kreise!$A$2:$C$53,3,FALSE)</f>
        <v>K030</v>
      </c>
      <c r="G508">
        <f>'2020_5-2-2_Download'!V48</f>
        <v>26.983663943990667</v>
      </c>
    </row>
    <row r="509" spans="1:7">
      <c r="A509">
        <f>'2020_5-2-2_Download'!B49</f>
        <v>452</v>
      </c>
      <c r="B509">
        <f>'2020_5-2-2_Download'!$R$5</f>
        <v>2018</v>
      </c>
      <c r="C509" t="str">
        <f>VLOOKUP(A1913,[1]Tabelle1!$A$1:$B$68,2,FALSE)</f>
        <v>Niedersachsen</v>
      </c>
      <c r="D509" t="str">
        <f>'2020_5-2-2_Download'!$V$7</f>
        <v>mittel</v>
      </c>
      <c r="E509" t="s">
        <v>362</v>
      </c>
      <c r="F509" t="str">
        <f>VLOOKUP(A1913,[2]Kreise!$A$2:$C$53,3,FALSE)</f>
        <v>K030</v>
      </c>
      <c r="G509">
        <f>'2020_5-2-2_Download'!V49</f>
        <v>27.882797731568999</v>
      </c>
    </row>
    <row r="510" spans="1:7">
      <c r="A510">
        <f>'2020_5-2-2_Download'!B50</f>
        <v>453</v>
      </c>
      <c r="B510">
        <f>'2020_5-2-2_Download'!$R$5</f>
        <v>2018</v>
      </c>
      <c r="C510" t="str">
        <f>VLOOKUP(A1914,[1]Tabelle1!$A$1:$B$68,2,FALSE)</f>
        <v>Niedersachsen</v>
      </c>
      <c r="D510" t="str">
        <f>'2020_5-2-2_Download'!$V$7</f>
        <v>mittel</v>
      </c>
      <c r="E510" t="s">
        <v>362</v>
      </c>
      <c r="F510" t="str">
        <f>VLOOKUP(A1914,[2]Kreise!$A$2:$C$53,3,FALSE)</f>
        <v>K030</v>
      </c>
      <c r="G510">
        <f>'2020_5-2-2_Download'!V50</f>
        <v>19.277899343544856</v>
      </c>
    </row>
    <row r="511" spans="1:7">
      <c r="A511">
        <f>'2020_5-2-2_Download'!B51</f>
        <v>454</v>
      </c>
      <c r="B511">
        <f>'2020_5-2-2_Download'!$R$5</f>
        <v>2018</v>
      </c>
      <c r="C511" t="str">
        <f>VLOOKUP(A1915,[1]Tabelle1!$A$1:$B$68,2,FALSE)</f>
        <v>Niedersachsen</v>
      </c>
      <c r="D511" t="str">
        <f>'2020_5-2-2_Download'!$V$7</f>
        <v>mittel</v>
      </c>
      <c r="E511" t="s">
        <v>362</v>
      </c>
      <c r="F511" t="str">
        <f>VLOOKUP(A1915,[2]Kreise!$A$2:$C$53,3,FALSE)</f>
        <v>K030</v>
      </c>
      <c r="G511">
        <f>'2020_5-2-2_Download'!V51</f>
        <v>30.100765820233775</v>
      </c>
    </row>
    <row r="512" spans="1:7">
      <c r="A512">
        <f>'2020_5-2-2_Download'!B52</f>
        <v>455</v>
      </c>
      <c r="B512">
        <f>'2020_5-2-2_Download'!$R$5</f>
        <v>2018</v>
      </c>
      <c r="C512" t="str">
        <f>VLOOKUP(A1916,[1]Tabelle1!$A$1:$B$68,2,FALSE)</f>
        <v>Niedersachsen</v>
      </c>
      <c r="D512" t="str">
        <f>'2020_5-2-2_Download'!$V$7</f>
        <v>mittel</v>
      </c>
      <c r="E512" t="s">
        <v>362</v>
      </c>
      <c r="F512" t="str">
        <f>VLOOKUP(A1916,[2]Kreise!$A$2:$C$53,3,FALSE)</f>
        <v>K030</v>
      </c>
      <c r="G512">
        <f>'2020_5-2-2_Download'!V52</f>
        <v>30.822444273635664</v>
      </c>
    </row>
    <row r="513" spans="1:7">
      <c r="A513">
        <f>'2020_5-2-2_Download'!B53</f>
        <v>456</v>
      </c>
      <c r="B513">
        <f>'2020_5-2-2_Download'!$R$5</f>
        <v>2018</v>
      </c>
      <c r="C513" t="str">
        <f>VLOOKUP(A1917,[1]Tabelle1!$A$1:$B$68,2,FALSE)</f>
        <v>Niedersachsen</v>
      </c>
      <c r="D513" t="str">
        <f>'2020_5-2-2_Download'!$V$7</f>
        <v>mittel</v>
      </c>
      <c r="E513" t="s">
        <v>362</v>
      </c>
      <c r="F513" t="str">
        <f>VLOOKUP(A1917,[2]Kreise!$A$2:$C$53,3,FALSE)</f>
        <v>K030</v>
      </c>
      <c r="G513">
        <f>'2020_5-2-2_Download'!V53</f>
        <v>38.559814169570267</v>
      </c>
    </row>
    <row r="514" spans="1:7">
      <c r="A514">
        <f>'2020_5-2-2_Download'!B54</f>
        <v>457</v>
      </c>
      <c r="B514">
        <f>'2020_5-2-2_Download'!$R$5</f>
        <v>2018</v>
      </c>
      <c r="C514" t="str">
        <f>VLOOKUP(A1918,[1]Tabelle1!$A$1:$B$68,2,FALSE)</f>
        <v>Niedersachsen</v>
      </c>
      <c r="D514" t="str">
        <f>'2020_5-2-2_Download'!$V$7</f>
        <v>mittel</v>
      </c>
      <c r="E514" t="s">
        <v>362</v>
      </c>
      <c r="F514" t="str">
        <f>VLOOKUP(A1918,[2]Kreise!$A$2:$C$53,3,FALSE)</f>
        <v>K030</v>
      </c>
      <c r="G514">
        <f>'2020_5-2-2_Download'!V54</f>
        <v>29.636308987075445</v>
      </c>
    </row>
    <row r="515" spans="1:7">
      <c r="A515">
        <f>'2020_5-2-2_Download'!B55</f>
        <v>458</v>
      </c>
      <c r="B515">
        <f>'2020_5-2-2_Download'!$R$5</f>
        <v>2018</v>
      </c>
      <c r="C515" t="str">
        <f>VLOOKUP(A1919,[1]Tabelle1!$A$1:$B$68,2,FALSE)</f>
        <v>Niedersachsen</v>
      </c>
      <c r="D515" t="str">
        <f>'2020_5-2-2_Download'!$V$7</f>
        <v>mittel</v>
      </c>
      <c r="E515" t="s">
        <v>362</v>
      </c>
      <c r="F515" t="str">
        <f>VLOOKUP(A1919,[2]Kreise!$A$2:$C$53,3,FALSE)</f>
        <v>K030</v>
      </c>
      <c r="G515">
        <f>'2020_5-2-2_Download'!V55</f>
        <v>25.101340816962892</v>
      </c>
    </row>
    <row r="516" spans="1:7">
      <c r="A516">
        <f>'2020_5-2-2_Download'!B56</f>
        <v>459</v>
      </c>
      <c r="B516">
        <f>'2020_5-2-2_Download'!$R$5</f>
        <v>2018</v>
      </c>
      <c r="C516" t="str">
        <f>VLOOKUP(A1920,[1]Tabelle1!$A$1:$B$68,2,FALSE)</f>
        <v>Niedersachsen</v>
      </c>
      <c r="D516" t="str">
        <f>'2020_5-2-2_Download'!$V$7</f>
        <v>mittel</v>
      </c>
      <c r="E516" t="s">
        <v>362</v>
      </c>
      <c r="F516" t="str">
        <f>VLOOKUP(A1920,[2]Kreise!$A$2:$C$53,3,FALSE)</f>
        <v>K030</v>
      </c>
      <c r="G516">
        <f>'2020_5-2-2_Download'!V56</f>
        <v>21.998762376237625</v>
      </c>
    </row>
    <row r="517" spans="1:7">
      <c r="A517">
        <f>'2020_5-2-2_Download'!B57</f>
        <v>460</v>
      </c>
      <c r="B517">
        <f>'2020_5-2-2_Download'!$R$5</f>
        <v>2018</v>
      </c>
      <c r="C517" t="str">
        <f>VLOOKUP(A1921,[1]Tabelle1!$A$1:$B$68,2,FALSE)</f>
        <v>Niedersachsen</v>
      </c>
      <c r="D517" t="str">
        <f>'2020_5-2-2_Download'!$V$7</f>
        <v>mittel</v>
      </c>
      <c r="E517" t="s">
        <v>362</v>
      </c>
      <c r="F517" t="str">
        <f>VLOOKUP(A1921,[2]Kreise!$A$2:$C$53,3,FALSE)</f>
        <v>K030</v>
      </c>
      <c r="G517">
        <f>'2020_5-2-2_Download'!V57</f>
        <v>22.027508914926134</v>
      </c>
    </row>
    <row r="518" spans="1:7">
      <c r="A518">
        <f>'2020_5-2-2_Download'!B58</f>
        <v>461</v>
      </c>
      <c r="B518">
        <f>'2020_5-2-2_Download'!$R$5</f>
        <v>2018</v>
      </c>
      <c r="C518" t="str">
        <f>VLOOKUP(A1922,[1]Tabelle1!$A$1:$B$68,2,FALSE)</f>
        <v>Niedersachsen</v>
      </c>
      <c r="D518" t="str">
        <f>'2020_5-2-2_Download'!$V$7</f>
        <v>mittel</v>
      </c>
      <c r="E518" t="s">
        <v>362</v>
      </c>
      <c r="F518" t="str">
        <f>VLOOKUP(A1922,[2]Kreise!$A$2:$C$53,3,FALSE)</f>
        <v>K030</v>
      </c>
      <c r="G518">
        <f>'2020_5-2-2_Download'!V58</f>
        <v>34.501018329938901</v>
      </c>
    </row>
    <row r="519" spans="1:7">
      <c r="A519">
        <f>'2020_5-2-2_Download'!B59</f>
        <v>462</v>
      </c>
      <c r="B519">
        <f>'2020_5-2-2_Download'!$R$5</f>
        <v>2018</v>
      </c>
      <c r="C519" t="str">
        <f>VLOOKUP(A1923,[1]Tabelle1!$A$1:$B$68,2,FALSE)</f>
        <v>Niedersachsen</v>
      </c>
      <c r="D519" t="str">
        <f>'2020_5-2-2_Download'!$V$7</f>
        <v>mittel</v>
      </c>
      <c r="E519" t="s">
        <v>362</v>
      </c>
      <c r="F519" t="str">
        <f>VLOOKUP(A1923,[2]Kreise!$A$2:$C$53,3,FALSE)</f>
        <v>K030</v>
      </c>
      <c r="G519">
        <f>'2020_5-2-2_Download'!V59</f>
        <v>22.807017543859647</v>
      </c>
    </row>
    <row r="520" spans="1:7">
      <c r="A520">
        <f>'2020_5-2-2_Download'!B60</f>
        <v>4</v>
      </c>
      <c r="B520">
        <f>'2020_5-2-2_Download'!$R$5</f>
        <v>2018</v>
      </c>
      <c r="C520" t="str">
        <f>VLOOKUP(A1924,[1]Tabelle1!$A$1:$B$68,2,FALSE)</f>
        <v>Niedersachsen</v>
      </c>
      <c r="D520" t="str">
        <f>'2020_5-2-2_Download'!$V$7</f>
        <v>mittel</v>
      </c>
      <c r="E520" t="s">
        <v>362</v>
      </c>
      <c r="F520" t="str">
        <f>VLOOKUP(A1924,[2]Kreise!$A$2:$C$53,3,FALSE)</f>
        <v>K030</v>
      </c>
      <c r="G520">
        <f>'2020_5-2-2_Download'!V60</f>
        <v>26.708847978999088</v>
      </c>
    </row>
    <row r="521" spans="1:7">
      <c r="A521">
        <f>'2020_5-2-2_Download'!B61</f>
        <v>0</v>
      </c>
      <c r="B521">
        <f>'2020_5-2-2_Download'!$R$5</f>
        <v>2018</v>
      </c>
      <c r="C521" t="str">
        <f>VLOOKUP(A1925,[1]Tabelle1!$A$1:$B$68,2,FALSE)</f>
        <v>Niedersachsen</v>
      </c>
      <c r="D521" t="str">
        <f>'2020_5-2-2_Download'!$V$7</f>
        <v>mittel</v>
      </c>
      <c r="E521" t="s">
        <v>362</v>
      </c>
      <c r="F521" t="str">
        <f>VLOOKUP(A1925,[2]Kreise!$A$2:$C$53,3,FALSE)</f>
        <v>K030</v>
      </c>
      <c r="G521">
        <f>'2020_5-2-2_Download'!V61</f>
        <v>30.478359730587552</v>
      </c>
    </row>
    <row r="522" spans="1:7">
      <c r="A522">
        <f>'2020_5-2-2_Download'!B10</f>
        <v>101</v>
      </c>
      <c r="B522">
        <f>'2020_5-2-2_Download'!$R$5</f>
        <v>2018</v>
      </c>
      <c r="C522" t="str">
        <f>VLOOKUP(A1926,[1]Tabelle1!$A$1:$B$68,2,FALSE)</f>
        <v>Niedersachsen</v>
      </c>
      <c r="D522" t="str">
        <f>'2020_5-2-2_Download'!$W$7</f>
        <v>niedrig</v>
      </c>
      <c r="E522" t="s">
        <v>362</v>
      </c>
      <c r="F522" t="str">
        <f>VLOOKUP(A1926,[2]Kreise!$A$2:$C$53,3,FALSE)</f>
        <v>K030</v>
      </c>
      <c r="G522">
        <f>'2020_5-2-2_Download'!W10</f>
        <v>23.37327919183916</v>
      </c>
    </row>
    <row r="523" spans="1:7">
      <c r="A523">
        <f>'2020_5-2-2_Download'!B11</f>
        <v>102</v>
      </c>
      <c r="B523">
        <f>'2020_5-2-2_Download'!$R$5</f>
        <v>2018</v>
      </c>
      <c r="C523" t="str">
        <f>VLOOKUP(A1927,[1]Tabelle1!$A$1:$B$68,2,FALSE)</f>
        <v>Niedersachsen</v>
      </c>
      <c r="D523" t="str">
        <f>'2020_5-2-2_Download'!$W$7</f>
        <v>niedrig</v>
      </c>
      <c r="E523" t="s">
        <v>362</v>
      </c>
      <c r="F523" t="str">
        <f>VLOOKUP(A1927,[2]Kreise!$A$2:$C$53,3,FALSE)</f>
        <v>K030</v>
      </c>
      <c r="G523">
        <f>'2020_5-2-2_Download'!W11</f>
        <v>23.344066237350507</v>
      </c>
    </row>
    <row r="524" spans="1:7">
      <c r="A524">
        <f>'2020_5-2-2_Download'!B12</f>
        <v>103</v>
      </c>
      <c r="B524">
        <f>'2020_5-2-2_Download'!$R$5</f>
        <v>2018</v>
      </c>
      <c r="C524" t="str">
        <f>VLOOKUP(A1928,[1]Tabelle1!$A$1:$B$68,2,FALSE)</f>
        <v>Niedersachsen</v>
      </c>
      <c r="D524" t="str">
        <f>'2020_5-2-2_Download'!$W$7</f>
        <v>niedrig</v>
      </c>
      <c r="E524" t="s">
        <v>362</v>
      </c>
      <c r="F524" t="str">
        <f>VLOOKUP(A1928,[2]Kreise!$A$2:$C$53,3,FALSE)</f>
        <v>K030</v>
      </c>
      <c r="G524">
        <f>'2020_5-2-2_Download'!W12</f>
        <v>14.165244453368137</v>
      </c>
    </row>
    <row r="525" spans="1:7">
      <c r="A525">
        <f>'2020_5-2-2_Download'!B13</f>
        <v>151</v>
      </c>
      <c r="B525">
        <f>'2020_5-2-2_Download'!$R$5</f>
        <v>2018</v>
      </c>
      <c r="C525" t="str">
        <f>VLOOKUP(A1929,[1]Tabelle1!$A$1:$B$68,2,FALSE)</f>
        <v>Niedersachsen</v>
      </c>
      <c r="D525" t="str">
        <f>'2020_5-2-2_Download'!$W$7</f>
        <v>niedrig</v>
      </c>
      <c r="E525" t="s">
        <v>362</v>
      </c>
      <c r="F525" t="str">
        <f>VLOOKUP(A1929,[2]Kreise!$A$2:$C$53,3,FALSE)</f>
        <v>K030</v>
      </c>
      <c r="G525">
        <f>'2020_5-2-2_Download'!W13</f>
        <v>25.883227965786539</v>
      </c>
    </row>
    <row r="526" spans="1:7">
      <c r="A526">
        <f>'2020_5-2-2_Download'!B14</f>
        <v>153</v>
      </c>
      <c r="B526">
        <f>'2020_5-2-2_Download'!$R$5</f>
        <v>2018</v>
      </c>
      <c r="C526" t="str">
        <f>VLOOKUP(A1930,[1]Tabelle1!$A$1:$B$68,2,FALSE)</f>
        <v>Niedersachsen</v>
      </c>
      <c r="D526" t="str">
        <f>'2020_5-2-2_Download'!$W$7</f>
        <v>niedrig</v>
      </c>
      <c r="E526" t="s">
        <v>362</v>
      </c>
      <c r="F526" t="str">
        <f>VLOOKUP(A1930,[2]Kreise!$A$2:$C$53,3,FALSE)</f>
        <v>K030</v>
      </c>
      <c r="G526">
        <f>'2020_5-2-2_Download'!W14</f>
        <v>23.859522085445327</v>
      </c>
    </row>
    <row r="527" spans="1:7">
      <c r="A527">
        <f>'2020_5-2-2_Download'!B15</f>
        <v>154</v>
      </c>
      <c r="B527">
        <f>'2020_5-2-2_Download'!$R$5</f>
        <v>2018</v>
      </c>
      <c r="C527" t="str">
        <f>VLOOKUP(A1931,[1]Tabelle1!$A$1:$B$68,2,FALSE)</f>
        <v>Niedersachsen</v>
      </c>
      <c r="D527" t="str">
        <f>'2020_5-2-2_Download'!$W$7</f>
        <v>niedrig</v>
      </c>
      <c r="E527" t="s">
        <v>362</v>
      </c>
      <c r="F527" t="str">
        <f>VLOOKUP(A1931,[2]Kreise!$A$2:$C$53,3,FALSE)</f>
        <v>K030</v>
      </c>
      <c r="G527">
        <f>'2020_5-2-2_Download'!W15</f>
        <v>21.313766596785463</v>
      </c>
    </row>
    <row r="528" spans="1:7">
      <c r="A528">
        <f>'2020_5-2-2_Download'!B16</f>
        <v>155</v>
      </c>
      <c r="B528">
        <f>'2020_5-2-2_Download'!$R$5</f>
        <v>2018</v>
      </c>
      <c r="C528" t="str">
        <f>VLOOKUP(A1932,[1]Tabelle1!$A$1:$B$68,2,FALSE)</f>
        <v>Niedersachsen</v>
      </c>
      <c r="D528" t="str">
        <f>'2020_5-2-2_Download'!$W$7</f>
        <v>niedrig</v>
      </c>
      <c r="E528" t="s">
        <v>362</v>
      </c>
      <c r="F528" t="str">
        <f>VLOOKUP(A1932,[2]Kreise!$A$2:$C$53,3,FALSE)</f>
        <v>K030</v>
      </c>
      <c r="G528">
        <f>'2020_5-2-2_Download'!W16</f>
        <v>22.48957330766763</v>
      </c>
    </row>
    <row r="529" spans="1:7">
      <c r="A529">
        <f>'2020_5-2-2_Download'!B17</f>
        <v>157</v>
      </c>
      <c r="B529">
        <f>'2020_5-2-2_Download'!$R$5</f>
        <v>2018</v>
      </c>
      <c r="C529" t="str">
        <f>VLOOKUP(A1933,[1]Tabelle1!$A$1:$B$68,2,FALSE)</f>
        <v>Niedersachsen</v>
      </c>
      <c r="D529" t="str">
        <f>'2020_5-2-2_Download'!$W$7</f>
        <v>niedrig</v>
      </c>
      <c r="E529" t="s">
        <v>362</v>
      </c>
      <c r="F529" t="str">
        <f>VLOOKUP(A1933,[2]Kreise!$A$2:$C$53,3,FALSE)</f>
        <v>K030</v>
      </c>
      <c r="G529">
        <f>'2020_5-2-2_Download'!W17</f>
        <v>30.386100386100384</v>
      </c>
    </row>
    <row r="530" spans="1:7">
      <c r="A530">
        <f>'2020_5-2-2_Download'!B18</f>
        <v>158</v>
      </c>
      <c r="B530">
        <f>'2020_5-2-2_Download'!$R$5</f>
        <v>2018</v>
      </c>
      <c r="C530" t="str">
        <f>VLOOKUP(A1934,[1]Tabelle1!$A$1:$B$68,2,FALSE)</f>
        <v>Niedersachsen</v>
      </c>
      <c r="D530" t="str">
        <f>'2020_5-2-2_Download'!$W$7</f>
        <v>niedrig</v>
      </c>
      <c r="E530" t="s">
        <v>362</v>
      </c>
      <c r="F530" t="str">
        <f>VLOOKUP(A1934,[2]Kreise!$A$2:$C$53,3,FALSE)</f>
        <v>K030</v>
      </c>
      <c r="G530">
        <f>'2020_5-2-2_Download'!W18</f>
        <v>22.592067988668553</v>
      </c>
    </row>
    <row r="531" spans="1:7">
      <c r="A531">
        <f>'2020_5-2-2_Download'!B19</f>
        <v>159</v>
      </c>
      <c r="B531">
        <f>'2020_5-2-2_Download'!$R$5</f>
        <v>2018</v>
      </c>
      <c r="C531" t="str">
        <f>VLOOKUP(A1935,[1]Tabelle1!$A$1:$B$68,2,FALSE)</f>
        <v>Niedersachsen</v>
      </c>
      <c r="D531" t="str">
        <f>'2020_5-2-2_Download'!$W$7</f>
        <v>niedrig</v>
      </c>
      <c r="E531" t="s">
        <v>362</v>
      </c>
      <c r="F531" t="str">
        <f>VLOOKUP(A1935,[2]Kreise!$A$2:$C$53,3,FALSE)</f>
        <v>K030</v>
      </c>
      <c r="G531">
        <f>'2020_5-2-2_Download'!W19</f>
        <v>23.33987758401663</v>
      </c>
    </row>
    <row r="532" spans="1:7">
      <c r="A532">
        <f>'2020_5-2-2_Download'!B20</f>
        <v>1</v>
      </c>
      <c r="B532">
        <f>'2020_5-2-2_Download'!$R$5</f>
        <v>2018</v>
      </c>
      <c r="C532" t="str">
        <f>VLOOKUP(A1936,[1]Tabelle1!$A$1:$B$68,2,FALSE)</f>
        <v>Niedersachsen</v>
      </c>
      <c r="D532" t="str">
        <f>'2020_5-2-2_Download'!$W$7</f>
        <v>niedrig</v>
      </c>
      <c r="E532" t="s">
        <v>362</v>
      </c>
      <c r="F532" t="str">
        <f>VLOOKUP(A1936,[2]Kreise!$A$2:$C$53,3,FALSE)</f>
        <v>K030</v>
      </c>
      <c r="G532">
        <f>'2020_5-2-2_Download'!W20</f>
        <v>21.828921089533846</v>
      </c>
    </row>
    <row r="533" spans="1:7">
      <c r="A533">
        <f>'2020_5-2-2_Download'!B21</f>
        <v>241</v>
      </c>
      <c r="B533">
        <f>'2020_5-2-2_Download'!$R$5</f>
        <v>2018</v>
      </c>
      <c r="C533" t="str">
        <f>VLOOKUP(A1937,[1]Tabelle1!$A$1:$B$68,2,FALSE)</f>
        <v>Niedersachsen</v>
      </c>
      <c r="D533" t="str">
        <f>'2020_5-2-2_Download'!$W$7</f>
        <v>niedrig</v>
      </c>
      <c r="E533" t="s">
        <v>362</v>
      </c>
      <c r="F533" t="str">
        <f>VLOOKUP(A1937,[2]Kreise!$A$2:$C$53,3,FALSE)</f>
        <v>K030</v>
      </c>
      <c r="G533">
        <f>'2020_5-2-2_Download'!W21</f>
        <v>26.638673404028186</v>
      </c>
    </row>
    <row r="534" spans="1:7">
      <c r="A534">
        <f>'2020_5-2-2_Download'!B22</f>
        <v>241001</v>
      </c>
      <c r="B534">
        <f>'2020_5-2-2_Download'!$R$5</f>
        <v>2018</v>
      </c>
      <c r="C534" t="str">
        <f>VLOOKUP(A1938,[1]Tabelle1!$A$1:$B$68,2,FALSE)</f>
        <v>Niedersachsen</v>
      </c>
      <c r="D534" t="str">
        <f>'2020_5-2-2_Download'!$W$7</f>
        <v>niedrig</v>
      </c>
      <c r="E534" t="s">
        <v>362</v>
      </c>
      <c r="F534" t="str">
        <f>VLOOKUP(A1938,[2]Kreise!$A$2:$C$53,3,FALSE)</f>
        <v>K030</v>
      </c>
      <c r="G534">
        <f>'2020_5-2-2_Download'!W22</f>
        <v>25.699738467531024</v>
      </c>
    </row>
    <row r="535" spans="1:7">
      <c r="A535">
        <f>'2020_5-2-2_Download'!B23</f>
        <v>241999</v>
      </c>
      <c r="B535">
        <f>'2020_5-2-2_Download'!$R$5</f>
        <v>2018</v>
      </c>
      <c r="C535" t="str">
        <f>VLOOKUP(A1939,[1]Tabelle1!$A$1:$B$68,2,FALSE)</f>
        <v>Niedersachsen</v>
      </c>
      <c r="D535" t="str">
        <f>'2020_5-2-2_Download'!$W$7</f>
        <v>niedrig</v>
      </c>
      <c r="E535" t="s">
        <v>362</v>
      </c>
      <c r="F535" t="str">
        <f>VLOOKUP(A1939,[2]Kreise!$A$2:$C$53,3,FALSE)</f>
        <v>K030</v>
      </c>
      <c r="G535">
        <f>'2020_5-2-2_Download'!W23</f>
        <v>28.304214786299475</v>
      </c>
    </row>
    <row r="536" spans="1:7">
      <c r="A536">
        <f>'2020_5-2-2_Download'!B24</f>
        <v>251</v>
      </c>
      <c r="B536">
        <f>'2020_5-2-2_Download'!$R$5</f>
        <v>2018</v>
      </c>
      <c r="C536" t="str">
        <f>VLOOKUP(A1940,[1]Tabelle1!$A$1:$B$68,2,FALSE)</f>
        <v>Niedersachsen</v>
      </c>
      <c r="D536" t="str">
        <f>'2020_5-2-2_Download'!$W$7</f>
        <v>niedrig</v>
      </c>
      <c r="E536" t="s">
        <v>362</v>
      </c>
      <c r="F536" t="str">
        <f>VLOOKUP(A1940,[2]Kreise!$A$2:$C$53,3,FALSE)</f>
        <v>K030</v>
      </c>
      <c r="G536">
        <f>'2020_5-2-2_Download'!W24</f>
        <v>23.493975903614459</v>
      </c>
    </row>
    <row r="537" spans="1:7">
      <c r="A537">
        <f>'2020_5-2-2_Download'!B25</f>
        <v>252</v>
      </c>
      <c r="B537">
        <f>'2020_5-2-2_Download'!$R$5</f>
        <v>2018</v>
      </c>
      <c r="C537" t="str">
        <f>VLOOKUP(A1941,[1]Tabelle1!$A$1:$B$68,2,FALSE)</f>
        <v>Niedersachsen</v>
      </c>
      <c r="D537" t="str">
        <f>'2020_5-2-2_Download'!$W$7</f>
        <v>niedrig</v>
      </c>
      <c r="E537" t="s">
        <v>362</v>
      </c>
      <c r="F537" t="str">
        <f>VLOOKUP(A1941,[2]Kreise!$A$2:$C$53,3,FALSE)</f>
        <v>K030</v>
      </c>
      <c r="G537">
        <f>'2020_5-2-2_Download'!W25</f>
        <v>26.318651441000547</v>
      </c>
    </row>
    <row r="538" spans="1:7">
      <c r="A538">
        <f>'2020_5-2-2_Download'!B26</f>
        <v>254</v>
      </c>
      <c r="B538">
        <f>'2020_5-2-2_Download'!$R$5</f>
        <v>2018</v>
      </c>
      <c r="C538" t="str">
        <f>VLOOKUP(A1942,[1]Tabelle1!$A$1:$B$68,2,FALSE)</f>
        <v>Niedersachsen</v>
      </c>
      <c r="D538" t="str">
        <f>'2020_5-2-2_Download'!$W$7</f>
        <v>niedrig</v>
      </c>
      <c r="E538" t="s">
        <v>362</v>
      </c>
      <c r="F538" t="str">
        <f>VLOOKUP(A1942,[2]Kreise!$A$2:$C$53,3,FALSE)</f>
        <v>K030</v>
      </c>
      <c r="G538">
        <f>'2020_5-2-2_Download'!W26</f>
        <v>24.969591659426584</v>
      </c>
    </row>
    <row r="539" spans="1:7">
      <c r="A539">
        <f>'2020_5-2-2_Download'!B27</f>
        <v>255</v>
      </c>
      <c r="B539">
        <f>'2020_5-2-2_Download'!$R$5</f>
        <v>2018</v>
      </c>
      <c r="C539" t="str">
        <f>VLOOKUP(A1943,[1]Tabelle1!$A$1:$B$68,2,FALSE)</f>
        <v>Niedersachsen</v>
      </c>
      <c r="D539" t="str">
        <f>'2020_5-2-2_Download'!$W$7</f>
        <v>niedrig</v>
      </c>
      <c r="E539" t="s">
        <v>362</v>
      </c>
      <c r="F539" t="str">
        <f>VLOOKUP(A1943,[2]Kreise!$A$2:$C$53,3,FALSE)</f>
        <v>K030</v>
      </c>
      <c r="G539">
        <f>'2020_5-2-2_Download'!W27</f>
        <v>28.571428571428569</v>
      </c>
    </row>
    <row r="540" spans="1:7">
      <c r="A540">
        <f>'2020_5-2-2_Download'!B28</f>
        <v>256</v>
      </c>
      <c r="B540">
        <f>'2020_5-2-2_Download'!$R$5</f>
        <v>2018</v>
      </c>
      <c r="C540" t="str">
        <f>VLOOKUP(A1944,[1]Tabelle1!$A$1:$B$68,2,FALSE)</f>
        <v>Niedersachsen</v>
      </c>
      <c r="D540" t="str">
        <f>'2020_5-2-2_Download'!$W$7</f>
        <v>niedrig</v>
      </c>
      <c r="E540" t="s">
        <v>362</v>
      </c>
      <c r="F540" t="str">
        <f>VLOOKUP(A1944,[2]Kreise!$A$2:$C$53,3,FALSE)</f>
        <v>K030</v>
      </c>
      <c r="G540">
        <f>'2020_5-2-2_Download'!W28</f>
        <v>27.309703660662404</v>
      </c>
    </row>
    <row r="541" spans="1:7">
      <c r="A541">
        <f>'2020_5-2-2_Download'!B29</f>
        <v>257</v>
      </c>
      <c r="B541">
        <f>'2020_5-2-2_Download'!$R$5</f>
        <v>2018</v>
      </c>
      <c r="C541" t="str">
        <f>VLOOKUP(A1945,[1]Tabelle1!$A$1:$B$68,2,FALSE)</f>
        <v>Niedersachsen</v>
      </c>
      <c r="D541" t="str">
        <f>'2020_5-2-2_Download'!$W$7</f>
        <v>niedrig</v>
      </c>
      <c r="E541" t="s">
        <v>362</v>
      </c>
      <c r="F541" t="str">
        <f>VLOOKUP(A1945,[2]Kreise!$A$2:$C$53,3,FALSE)</f>
        <v>K030</v>
      </c>
      <c r="G541">
        <f>'2020_5-2-2_Download'!W29</f>
        <v>26.22998544395924</v>
      </c>
    </row>
    <row r="542" spans="1:7">
      <c r="A542">
        <f>'2020_5-2-2_Download'!B30</f>
        <v>2</v>
      </c>
      <c r="B542">
        <f>'2020_5-2-2_Download'!$R$5</f>
        <v>2018</v>
      </c>
      <c r="C542" t="str">
        <f>VLOOKUP(A1946,[1]Tabelle1!$A$1:$B$68,2,FALSE)</f>
        <v>Niedersachsen</v>
      </c>
      <c r="D542" t="str">
        <f>'2020_5-2-2_Download'!$W$7</f>
        <v>niedrig</v>
      </c>
      <c r="E542" t="s">
        <v>362</v>
      </c>
      <c r="F542" t="str">
        <f>VLOOKUP(A1946,[2]Kreise!$A$2:$C$53,3,FALSE)</f>
        <v>K030</v>
      </c>
      <c r="G542">
        <f>'2020_5-2-2_Download'!W30</f>
        <v>26.321488831247326</v>
      </c>
    </row>
    <row r="543" spans="1:7">
      <c r="A543">
        <f>'2020_5-2-2_Download'!B31</f>
        <v>351</v>
      </c>
      <c r="B543">
        <f>'2020_5-2-2_Download'!$R$5</f>
        <v>2018</v>
      </c>
      <c r="C543" t="str">
        <f>VLOOKUP(A1947,[1]Tabelle1!$A$1:$B$68,2,FALSE)</f>
        <v>Niedersachsen</v>
      </c>
      <c r="D543" t="str">
        <f>'2020_5-2-2_Download'!$W$7</f>
        <v>niedrig</v>
      </c>
      <c r="E543" t="s">
        <v>362</v>
      </c>
      <c r="F543" t="str">
        <f>VLOOKUP(A1947,[2]Kreise!$A$2:$C$53,3,FALSE)</f>
        <v>K030</v>
      </c>
      <c r="G543">
        <f>'2020_5-2-2_Download'!W31</f>
        <v>29.086678301337987</v>
      </c>
    </row>
    <row r="544" spans="1:7">
      <c r="A544">
        <f>'2020_5-2-2_Download'!B32</f>
        <v>352</v>
      </c>
      <c r="B544">
        <f>'2020_5-2-2_Download'!$R$5</f>
        <v>2018</v>
      </c>
      <c r="C544" t="str">
        <f>VLOOKUP(A1948,[1]Tabelle1!$A$1:$B$68,2,FALSE)</f>
        <v>Niedersachsen</v>
      </c>
      <c r="D544" t="str">
        <f>'2020_5-2-2_Download'!$W$7</f>
        <v>niedrig</v>
      </c>
      <c r="E544" t="s">
        <v>362</v>
      </c>
      <c r="F544" t="str">
        <f>VLOOKUP(A1948,[2]Kreise!$A$2:$C$53,3,FALSE)</f>
        <v>K030</v>
      </c>
      <c r="G544">
        <f>'2020_5-2-2_Download'!W32</f>
        <v>23.796920115495666</v>
      </c>
    </row>
    <row r="545" spans="1:7">
      <c r="A545">
        <f>'2020_5-2-2_Download'!B33</f>
        <v>353</v>
      </c>
      <c r="B545">
        <f>'2020_5-2-2_Download'!$R$5</f>
        <v>2018</v>
      </c>
      <c r="C545" t="str">
        <f>VLOOKUP(A1949,[1]Tabelle1!$A$1:$B$68,2,FALSE)</f>
        <v>Niedersachsen</v>
      </c>
      <c r="D545" t="str">
        <f>'2020_5-2-2_Download'!$W$7</f>
        <v>niedrig</v>
      </c>
      <c r="E545" t="s">
        <v>362</v>
      </c>
      <c r="F545" t="str">
        <f>VLOOKUP(A1949,[2]Kreise!$A$2:$C$53,3,FALSE)</f>
        <v>K030</v>
      </c>
      <c r="G545">
        <f>'2020_5-2-2_Download'!W33</f>
        <v>25.224103585657371</v>
      </c>
    </row>
    <row r="546" spans="1:7">
      <c r="A546">
        <f>'2020_5-2-2_Download'!B34</f>
        <v>354</v>
      </c>
      <c r="B546">
        <f>'2020_5-2-2_Download'!$R$5</f>
        <v>2018</v>
      </c>
      <c r="C546" t="str">
        <f>VLOOKUP(A1950,[1]Tabelle1!$A$1:$B$68,2,FALSE)</f>
        <v>Niedersachsen</v>
      </c>
      <c r="D546" t="str">
        <f>'2020_5-2-2_Download'!$W$7</f>
        <v>niedrig</v>
      </c>
      <c r="E546" t="s">
        <v>362</v>
      </c>
      <c r="F546" t="str">
        <f>VLOOKUP(A1950,[2]Kreise!$A$2:$C$53,3,FALSE)</f>
        <v>K030</v>
      </c>
      <c r="G546">
        <f>'2020_5-2-2_Download'!W34</f>
        <v>19.793205317577549</v>
      </c>
    </row>
    <row r="547" spans="1:7">
      <c r="A547">
        <f>'2020_5-2-2_Download'!B35</f>
        <v>355</v>
      </c>
      <c r="B547">
        <f>'2020_5-2-2_Download'!$R$5</f>
        <v>2018</v>
      </c>
      <c r="C547" t="str">
        <f>VLOOKUP(A1951,[1]Tabelle1!$A$1:$B$68,2,FALSE)</f>
        <v>Niedersachsen</v>
      </c>
      <c r="D547" t="str">
        <f>'2020_5-2-2_Download'!$W$7</f>
        <v>niedrig</v>
      </c>
      <c r="E547" t="s">
        <v>362</v>
      </c>
      <c r="F547" t="str">
        <f>VLOOKUP(A1951,[2]Kreise!$A$2:$C$53,3,FALSE)</f>
        <v>K030</v>
      </c>
      <c r="G547">
        <f>'2020_5-2-2_Download'!W35</f>
        <v>26.376335250616268</v>
      </c>
    </row>
    <row r="548" spans="1:7">
      <c r="A548">
        <f>'2020_5-2-2_Download'!B36</f>
        <v>356</v>
      </c>
      <c r="B548">
        <f>'2020_5-2-2_Download'!$R$5</f>
        <v>2018</v>
      </c>
      <c r="C548" t="str">
        <f>VLOOKUP(A1952,[1]Tabelle1!$A$1:$B$68,2,FALSE)</f>
        <v>Niedersachsen</v>
      </c>
      <c r="D548" t="str">
        <f>'2020_5-2-2_Download'!$W$7</f>
        <v>niedrig</v>
      </c>
      <c r="E548" t="s">
        <v>362</v>
      </c>
      <c r="F548" t="str">
        <f>VLOOKUP(A1952,[2]Kreise!$A$2:$C$53,3,FALSE)</f>
        <v>K030</v>
      </c>
      <c r="G548">
        <f>'2020_5-2-2_Download'!W36</f>
        <v>25.425719318849087</v>
      </c>
    </row>
    <row r="549" spans="1:7">
      <c r="A549">
        <f>'2020_5-2-2_Download'!B37</f>
        <v>357</v>
      </c>
      <c r="B549">
        <f>'2020_5-2-2_Download'!$R$5</f>
        <v>2018</v>
      </c>
      <c r="C549" t="str">
        <f>VLOOKUP(A1953,[1]Tabelle1!$A$1:$B$68,2,FALSE)</f>
        <v>Niedersachsen</v>
      </c>
      <c r="D549" t="str">
        <f>'2020_5-2-2_Download'!$W$7</f>
        <v>niedrig</v>
      </c>
      <c r="E549" t="s">
        <v>362</v>
      </c>
      <c r="F549" t="str">
        <f>VLOOKUP(A1953,[2]Kreise!$A$2:$C$53,3,FALSE)</f>
        <v>K030</v>
      </c>
      <c r="G549">
        <f>'2020_5-2-2_Download'!W37</f>
        <v>22.462562396006653</v>
      </c>
    </row>
    <row r="550" spans="1:7">
      <c r="A550">
        <f>'2020_5-2-2_Download'!B38</f>
        <v>358</v>
      </c>
      <c r="B550">
        <f>'2020_5-2-2_Download'!$R$5</f>
        <v>2018</v>
      </c>
      <c r="C550" t="str">
        <f>VLOOKUP(A1954,[1]Tabelle1!$A$1:$B$68,2,FALSE)</f>
        <v>Niedersachsen</v>
      </c>
      <c r="D550" t="str">
        <f>'2020_5-2-2_Download'!$W$7</f>
        <v>niedrig</v>
      </c>
      <c r="E550" t="s">
        <v>362</v>
      </c>
      <c r="F550" t="str">
        <f>VLOOKUP(A1954,[2]Kreise!$A$2:$C$53,3,FALSE)</f>
        <v>K030</v>
      </c>
      <c r="G550">
        <f>'2020_5-2-2_Download'!W38</f>
        <v>20.858572557282066</v>
      </c>
    </row>
    <row r="551" spans="1:7">
      <c r="A551">
        <f>'2020_5-2-2_Download'!B39</f>
        <v>359</v>
      </c>
      <c r="B551">
        <f>'2020_5-2-2_Download'!$R$5</f>
        <v>2018</v>
      </c>
      <c r="C551" t="str">
        <f>VLOOKUP(A1955,[1]Tabelle1!$A$1:$B$68,2,FALSE)</f>
        <v>Niedersachsen</v>
      </c>
      <c r="D551" t="str">
        <f>'2020_5-2-2_Download'!$W$7</f>
        <v>niedrig</v>
      </c>
      <c r="E551" t="s">
        <v>362</v>
      </c>
      <c r="F551" t="str">
        <f>VLOOKUP(A1955,[2]Kreise!$A$2:$C$53,3,FALSE)</f>
        <v>K030</v>
      </c>
      <c r="G551">
        <f>'2020_5-2-2_Download'!W39</f>
        <v>20.656063618290258</v>
      </c>
    </row>
    <row r="552" spans="1:7">
      <c r="A552">
        <f>'2020_5-2-2_Download'!B40</f>
        <v>360</v>
      </c>
      <c r="B552">
        <f>'2020_5-2-2_Download'!$R$5</f>
        <v>2018</v>
      </c>
      <c r="C552" t="str">
        <f>VLOOKUP(A1956,[1]Tabelle1!$A$1:$B$68,2,FALSE)</f>
        <v>Niedersachsen</v>
      </c>
      <c r="D552" t="str">
        <f>'2020_5-2-2_Download'!$W$7</f>
        <v>niedrig</v>
      </c>
      <c r="E552" t="s">
        <v>362</v>
      </c>
      <c r="F552" t="str">
        <f>VLOOKUP(A1956,[2]Kreise!$A$2:$C$53,3,FALSE)</f>
        <v>K030</v>
      </c>
      <c r="G552">
        <f>'2020_5-2-2_Download'!W40</f>
        <v>19.53290870488323</v>
      </c>
    </row>
    <row r="553" spans="1:7">
      <c r="A553">
        <f>'2020_5-2-2_Download'!B41</f>
        <v>361</v>
      </c>
      <c r="B553">
        <f>'2020_5-2-2_Download'!$R$5</f>
        <v>2018</v>
      </c>
      <c r="C553" t="str">
        <f>VLOOKUP(A1957,[1]Tabelle1!$A$1:$B$68,2,FALSE)</f>
        <v>Niedersachsen</v>
      </c>
      <c r="D553" t="str">
        <f>'2020_5-2-2_Download'!$W$7</f>
        <v>niedrig</v>
      </c>
      <c r="E553" t="s">
        <v>362</v>
      </c>
      <c r="F553" t="str">
        <f>VLOOKUP(A1957,[2]Kreise!$A$2:$C$53,3,FALSE)</f>
        <v>K030</v>
      </c>
      <c r="G553">
        <f>'2020_5-2-2_Download'!W41</f>
        <v>25.950375597541541</v>
      </c>
    </row>
    <row r="554" spans="1:7">
      <c r="A554">
        <f>'2020_5-2-2_Download'!B42</f>
        <v>3</v>
      </c>
      <c r="B554">
        <f>'2020_5-2-2_Download'!$R$5</f>
        <v>2018</v>
      </c>
      <c r="C554" t="str">
        <f>VLOOKUP(A1958,[1]Tabelle1!$A$1:$B$68,2,FALSE)</f>
        <v>Niedersachsen</v>
      </c>
      <c r="D554" t="str">
        <f>'2020_5-2-2_Download'!$W$7</f>
        <v>niedrig</v>
      </c>
      <c r="E554" t="s">
        <v>362</v>
      </c>
      <c r="F554" t="str">
        <f>VLOOKUP(A1958,[2]Kreise!$A$2:$C$53,3,FALSE)</f>
        <v>K030</v>
      </c>
      <c r="G554">
        <f>'2020_5-2-2_Download'!W42</f>
        <v>24.067575696811712</v>
      </c>
    </row>
    <row r="555" spans="1:7">
      <c r="A555">
        <f>'2020_5-2-2_Download'!B43</f>
        <v>401</v>
      </c>
      <c r="B555">
        <f>'2020_5-2-2_Download'!$R$5</f>
        <v>2018</v>
      </c>
      <c r="C555" t="str">
        <f>VLOOKUP(A1959,[1]Tabelle1!$A$1:$B$68,2,FALSE)</f>
        <v>Niedersachsen</v>
      </c>
      <c r="D555" t="str">
        <f>'2020_5-2-2_Download'!$W$7</f>
        <v>niedrig</v>
      </c>
      <c r="E555" t="s">
        <v>362</v>
      </c>
      <c r="F555" t="str">
        <f>VLOOKUP(A1959,[2]Kreise!$A$2:$C$53,3,FALSE)</f>
        <v>K030</v>
      </c>
      <c r="G555">
        <f>'2020_5-2-2_Download'!W43</f>
        <v>27.123608670181603</v>
      </c>
    </row>
    <row r="556" spans="1:7">
      <c r="A556">
        <f>'2020_5-2-2_Download'!B44</f>
        <v>402</v>
      </c>
      <c r="B556">
        <f>'2020_5-2-2_Download'!$R$5</f>
        <v>2018</v>
      </c>
      <c r="C556" t="str">
        <f>VLOOKUP(A1960,[1]Tabelle1!$A$1:$B$68,2,FALSE)</f>
        <v>Niedersachsen</v>
      </c>
      <c r="D556" t="str">
        <f>'2020_5-2-2_Download'!$W$7</f>
        <v>niedrig</v>
      </c>
      <c r="E556" t="s">
        <v>362</v>
      </c>
      <c r="F556" t="str">
        <f>VLOOKUP(A1960,[2]Kreise!$A$2:$C$53,3,FALSE)</f>
        <v>K030</v>
      </c>
      <c r="G556">
        <f>'2020_5-2-2_Download'!W44</f>
        <v>26.495278069254987</v>
      </c>
    </row>
    <row r="557" spans="1:7">
      <c r="A557">
        <f>'2020_5-2-2_Download'!B45</f>
        <v>403</v>
      </c>
      <c r="B557">
        <f>'2020_5-2-2_Download'!$R$5</f>
        <v>2018</v>
      </c>
      <c r="C557" t="str">
        <f>VLOOKUP(A1961,[1]Tabelle1!$A$1:$B$68,2,FALSE)</f>
        <v>Niedersachsen</v>
      </c>
      <c r="D557" t="str">
        <f>'2020_5-2-2_Download'!$W$7</f>
        <v>niedrig</v>
      </c>
      <c r="E557" t="s">
        <v>362</v>
      </c>
      <c r="F557" t="str">
        <f>VLOOKUP(A1961,[2]Kreise!$A$2:$C$53,3,FALSE)</f>
        <v>K030</v>
      </c>
      <c r="G557">
        <f>'2020_5-2-2_Download'!W45</f>
        <v>27.179906064937715</v>
      </c>
    </row>
    <row r="558" spans="1:7">
      <c r="A558">
        <f>'2020_5-2-2_Download'!B46</f>
        <v>404</v>
      </c>
      <c r="B558">
        <f>'2020_5-2-2_Download'!$R$5</f>
        <v>2018</v>
      </c>
      <c r="C558" t="str">
        <f>VLOOKUP(A1962,[1]Tabelle1!$A$1:$B$68,2,FALSE)</f>
        <v>Niedersachsen</v>
      </c>
      <c r="D558" t="str">
        <f>'2020_5-2-2_Download'!$W$7</f>
        <v>niedrig</v>
      </c>
      <c r="E558" t="s">
        <v>362</v>
      </c>
      <c r="F558" t="str">
        <f>VLOOKUP(A1962,[2]Kreise!$A$2:$C$53,3,FALSE)</f>
        <v>K030</v>
      </c>
      <c r="G558">
        <f>'2020_5-2-2_Download'!W46</f>
        <v>30.812028083189823</v>
      </c>
    </row>
    <row r="559" spans="1:7">
      <c r="A559">
        <f>'2020_5-2-2_Download'!B47</f>
        <v>405</v>
      </c>
      <c r="B559">
        <f>'2020_5-2-2_Download'!$R$5</f>
        <v>2018</v>
      </c>
      <c r="C559" t="str">
        <f>VLOOKUP(A1963,[1]Tabelle1!$A$1:$B$68,2,FALSE)</f>
        <v>Niedersachsen</v>
      </c>
      <c r="D559" t="str">
        <f>'2020_5-2-2_Download'!$W$7</f>
        <v>niedrig</v>
      </c>
      <c r="E559" t="s">
        <v>362</v>
      </c>
      <c r="F559" t="str">
        <f>VLOOKUP(A1963,[2]Kreise!$A$2:$C$53,3,FALSE)</f>
        <v>K030</v>
      </c>
      <c r="G559">
        <f>'2020_5-2-2_Download'!W47</f>
        <v>27.375707992448078</v>
      </c>
    </row>
    <row r="560" spans="1:7">
      <c r="A560">
        <f>'2020_5-2-2_Download'!B48</f>
        <v>451</v>
      </c>
      <c r="B560">
        <f>'2020_5-2-2_Download'!$R$5</f>
        <v>2018</v>
      </c>
      <c r="C560" t="str">
        <f>VLOOKUP(A1964,[1]Tabelle1!$A$1:$B$68,2,FALSE)</f>
        <v>Niedersachsen</v>
      </c>
      <c r="D560" t="str">
        <f>'2020_5-2-2_Download'!$W$7</f>
        <v>niedrig</v>
      </c>
      <c r="E560" t="s">
        <v>362</v>
      </c>
      <c r="F560" t="str">
        <f>VLOOKUP(A1964,[2]Kreise!$A$2:$C$53,3,FALSE)</f>
        <v>K030</v>
      </c>
      <c r="G560">
        <f>'2020_5-2-2_Download'!W48</f>
        <v>23.045507584597434</v>
      </c>
    </row>
    <row r="561" spans="1:7">
      <c r="A561">
        <f>'2020_5-2-2_Download'!B49</f>
        <v>452</v>
      </c>
      <c r="B561">
        <f>'2020_5-2-2_Download'!$R$5</f>
        <v>2018</v>
      </c>
      <c r="C561" t="str">
        <f>VLOOKUP(A1965,[1]Tabelle1!$A$1:$B$68,2,FALSE)</f>
        <v>Niedersachsen</v>
      </c>
      <c r="D561" t="str">
        <f>'2020_5-2-2_Download'!$W$7</f>
        <v>niedrig</v>
      </c>
      <c r="E561" t="s">
        <v>362</v>
      </c>
      <c r="F561" t="str">
        <f>VLOOKUP(A1965,[2]Kreise!$A$2:$C$53,3,FALSE)</f>
        <v>K030</v>
      </c>
      <c r="G561">
        <f>'2020_5-2-2_Download'!W49</f>
        <v>23.298676748582231</v>
      </c>
    </row>
    <row r="562" spans="1:7">
      <c r="A562">
        <f>'2020_5-2-2_Download'!B50</f>
        <v>453</v>
      </c>
      <c r="B562">
        <f>'2020_5-2-2_Download'!$R$5</f>
        <v>2018</v>
      </c>
      <c r="C562" t="str">
        <f>VLOOKUP(A1966,[1]Tabelle1!$A$1:$B$68,2,FALSE)</f>
        <v>Niedersachsen</v>
      </c>
      <c r="D562" t="str">
        <f>'2020_5-2-2_Download'!$W$7</f>
        <v>niedrig</v>
      </c>
      <c r="E562" t="s">
        <v>362</v>
      </c>
      <c r="F562" t="str">
        <f>VLOOKUP(A1966,[2]Kreise!$A$2:$C$53,3,FALSE)</f>
        <v>K030</v>
      </c>
      <c r="G562">
        <f>'2020_5-2-2_Download'!W50</f>
        <v>26.827133479212257</v>
      </c>
    </row>
    <row r="563" spans="1:7">
      <c r="A563">
        <f>'2020_5-2-2_Download'!B51</f>
        <v>454</v>
      </c>
      <c r="B563">
        <f>'2020_5-2-2_Download'!$R$5</f>
        <v>2018</v>
      </c>
      <c r="C563" t="str">
        <f>VLOOKUP(A1967,[1]Tabelle1!$A$1:$B$68,2,FALSE)</f>
        <v>Niedersachsen</v>
      </c>
      <c r="D563" t="str">
        <f>'2020_5-2-2_Download'!$W$7</f>
        <v>niedrig</v>
      </c>
      <c r="E563" t="s">
        <v>362</v>
      </c>
      <c r="F563" t="str">
        <f>VLOOKUP(A1967,[2]Kreise!$A$2:$C$53,3,FALSE)</f>
        <v>K030</v>
      </c>
      <c r="G563">
        <f>'2020_5-2-2_Download'!W51</f>
        <v>20.233776702942365</v>
      </c>
    </row>
    <row r="564" spans="1:7">
      <c r="A564">
        <f>'2020_5-2-2_Download'!B52</f>
        <v>455</v>
      </c>
      <c r="B564">
        <f>'2020_5-2-2_Download'!$R$5</f>
        <v>2018</v>
      </c>
      <c r="C564" t="str">
        <f>VLOOKUP(A1968,[1]Tabelle1!$A$1:$B$68,2,FALSE)</f>
        <v>Niedersachsen</v>
      </c>
      <c r="D564" t="str">
        <f>'2020_5-2-2_Download'!$W$7</f>
        <v>niedrig</v>
      </c>
      <c r="E564" t="s">
        <v>362</v>
      </c>
      <c r="F564" t="str">
        <f>VLOOKUP(A1968,[2]Kreise!$A$2:$C$53,3,FALSE)</f>
        <v>K030</v>
      </c>
      <c r="G564">
        <f>'2020_5-2-2_Download'!W52</f>
        <v>20.138355111452729</v>
      </c>
    </row>
    <row r="565" spans="1:7">
      <c r="A565">
        <f>'2020_5-2-2_Download'!B53</f>
        <v>456</v>
      </c>
      <c r="B565">
        <f>'2020_5-2-2_Download'!$R$5</f>
        <v>2018</v>
      </c>
      <c r="C565" t="str">
        <f>VLOOKUP(A1969,[1]Tabelle1!$A$1:$B$68,2,FALSE)</f>
        <v>Niedersachsen</v>
      </c>
      <c r="D565" t="str">
        <f>'2020_5-2-2_Download'!$W$7</f>
        <v>niedrig</v>
      </c>
      <c r="E565" t="s">
        <v>362</v>
      </c>
      <c r="F565" t="str">
        <f>VLOOKUP(A1969,[2]Kreise!$A$2:$C$53,3,FALSE)</f>
        <v>K030</v>
      </c>
      <c r="G565">
        <f>'2020_5-2-2_Download'!W53</f>
        <v>20.596205962059621</v>
      </c>
    </row>
    <row r="566" spans="1:7">
      <c r="A566">
        <f>'2020_5-2-2_Download'!B54</f>
        <v>457</v>
      </c>
      <c r="B566">
        <f>'2020_5-2-2_Download'!$R$5</f>
        <v>2018</v>
      </c>
      <c r="C566" t="str">
        <f>VLOOKUP(A1970,[1]Tabelle1!$A$1:$B$68,2,FALSE)</f>
        <v>Niedersachsen</v>
      </c>
      <c r="D566" t="str">
        <f>'2020_5-2-2_Download'!$W$7</f>
        <v>niedrig</v>
      </c>
      <c r="E566" t="s">
        <v>362</v>
      </c>
      <c r="F566" t="str">
        <f>VLOOKUP(A1970,[2]Kreise!$A$2:$C$53,3,FALSE)</f>
        <v>K030</v>
      </c>
      <c r="G566">
        <f>'2020_5-2-2_Download'!W54</f>
        <v>15.419296663660957</v>
      </c>
    </row>
    <row r="567" spans="1:7">
      <c r="A567">
        <f>'2020_5-2-2_Download'!B55</f>
        <v>458</v>
      </c>
      <c r="B567">
        <f>'2020_5-2-2_Download'!$R$5</f>
        <v>2018</v>
      </c>
      <c r="C567" t="str">
        <f>VLOOKUP(A1971,[1]Tabelle1!$A$1:$B$68,2,FALSE)</f>
        <v>Niedersachsen</v>
      </c>
      <c r="D567" t="str">
        <f>'2020_5-2-2_Download'!$W$7</f>
        <v>niedrig</v>
      </c>
      <c r="E567" t="s">
        <v>362</v>
      </c>
      <c r="F567" t="str">
        <f>VLOOKUP(A1971,[2]Kreise!$A$2:$C$53,3,FALSE)</f>
        <v>K030</v>
      </c>
      <c r="G567">
        <f>'2020_5-2-2_Download'!W55</f>
        <v>25.194886186467102</v>
      </c>
    </row>
    <row r="568" spans="1:7">
      <c r="A568">
        <f>'2020_5-2-2_Download'!B56</f>
        <v>459</v>
      </c>
      <c r="B568">
        <f>'2020_5-2-2_Download'!$R$5</f>
        <v>2018</v>
      </c>
      <c r="C568" t="str">
        <f>VLOOKUP(A1972,[1]Tabelle1!$A$1:$B$68,2,FALSE)</f>
        <v>Niedersachsen</v>
      </c>
      <c r="D568" t="str">
        <f>'2020_5-2-2_Download'!$W$7</f>
        <v>niedrig</v>
      </c>
      <c r="E568" t="s">
        <v>362</v>
      </c>
      <c r="F568" t="str">
        <f>VLOOKUP(A1972,[2]Kreise!$A$2:$C$53,3,FALSE)</f>
        <v>K030</v>
      </c>
      <c r="G568">
        <f>'2020_5-2-2_Download'!W56</f>
        <v>24.077970297029701</v>
      </c>
    </row>
    <row r="569" spans="1:7">
      <c r="A569">
        <f>'2020_5-2-2_Download'!B57</f>
        <v>460</v>
      </c>
      <c r="B569">
        <f>'2020_5-2-2_Download'!$R$5</f>
        <v>2018</v>
      </c>
      <c r="C569" t="str">
        <f>VLOOKUP(A1973,[1]Tabelle1!$A$1:$B$68,2,FALSE)</f>
        <v>Niedersachsen</v>
      </c>
      <c r="D569" t="str">
        <f>'2020_5-2-2_Download'!$W$7</f>
        <v>niedrig</v>
      </c>
      <c r="E569" t="s">
        <v>362</v>
      </c>
      <c r="F569" t="str">
        <f>VLOOKUP(A1973,[2]Kreise!$A$2:$C$53,3,FALSE)</f>
        <v>K030</v>
      </c>
      <c r="G569">
        <f>'2020_5-2-2_Download'!W57</f>
        <v>25.674987264391234</v>
      </c>
    </row>
    <row r="570" spans="1:7">
      <c r="A570">
        <f>'2020_5-2-2_Download'!B58</f>
        <v>461</v>
      </c>
      <c r="B570">
        <f>'2020_5-2-2_Download'!$R$5</f>
        <v>2018</v>
      </c>
      <c r="C570" t="str">
        <f>VLOOKUP(A1974,[1]Tabelle1!$A$1:$B$68,2,FALSE)</f>
        <v>Niedersachsen</v>
      </c>
      <c r="D570" t="str">
        <f>'2020_5-2-2_Download'!$W$7</f>
        <v>niedrig</v>
      </c>
      <c r="E570" t="s">
        <v>362</v>
      </c>
      <c r="F570" t="str">
        <f>VLOOKUP(A1974,[2]Kreise!$A$2:$C$53,3,FALSE)</f>
        <v>K030</v>
      </c>
      <c r="G570">
        <f>'2020_5-2-2_Download'!W58</f>
        <v>19.633401221995928</v>
      </c>
    </row>
    <row r="571" spans="1:7">
      <c r="A571">
        <f>'2020_5-2-2_Download'!B59</f>
        <v>462</v>
      </c>
      <c r="B571">
        <f>'2020_5-2-2_Download'!$R$5</f>
        <v>2018</v>
      </c>
      <c r="C571" t="str">
        <f>VLOOKUP(A1975,[1]Tabelle1!$A$1:$B$68,2,FALSE)</f>
        <v>Niedersachsen</v>
      </c>
      <c r="D571" t="str">
        <f>'2020_5-2-2_Download'!$W$7</f>
        <v>niedrig</v>
      </c>
      <c r="E571" t="s">
        <v>362</v>
      </c>
      <c r="F571" t="str">
        <f>VLOOKUP(A1975,[2]Kreise!$A$2:$C$53,3,FALSE)</f>
        <v>K030</v>
      </c>
      <c r="G571">
        <f>'2020_5-2-2_Download'!W59</f>
        <v>16.023391812865498</v>
      </c>
    </row>
    <row r="572" spans="1:7">
      <c r="A572">
        <f>'2020_5-2-2_Download'!B60</f>
        <v>4</v>
      </c>
      <c r="B572">
        <f>'2020_5-2-2_Download'!$R$5</f>
        <v>2018</v>
      </c>
      <c r="C572" t="str">
        <f>VLOOKUP(A1976,[1]Tabelle1!$A$1:$B$68,2,FALSE)</f>
        <v>Niedersachsen</v>
      </c>
      <c r="D572" t="str">
        <f>'2020_5-2-2_Download'!$W$7</f>
        <v>niedrig</v>
      </c>
      <c r="E572" t="s">
        <v>362</v>
      </c>
      <c r="F572" t="str">
        <f>VLOOKUP(A1976,[2]Kreise!$A$2:$C$53,3,FALSE)</f>
        <v>K030</v>
      </c>
      <c r="G572">
        <f>'2020_5-2-2_Download'!W60</f>
        <v>24.091587296245191</v>
      </c>
    </row>
    <row r="573" spans="1:7">
      <c r="A573">
        <f>'2020_5-2-2_Download'!B61</f>
        <v>0</v>
      </c>
      <c r="B573">
        <f>'2020_5-2-2_Download'!$R$5</f>
        <v>2018</v>
      </c>
      <c r="C573" t="str">
        <f>VLOOKUP(A1977,[1]Tabelle1!$A$1:$B$68,2,FALSE)</f>
        <v>Niedersachsen</v>
      </c>
      <c r="D573" t="str">
        <f>'2020_5-2-2_Download'!$W$7</f>
        <v>niedrig</v>
      </c>
      <c r="E573" t="s">
        <v>362</v>
      </c>
      <c r="F573" t="str">
        <f>VLOOKUP(A1977,[2]Kreise!$A$2:$C$53,3,FALSE)</f>
        <v>K030</v>
      </c>
      <c r="G573">
        <f>'2020_5-2-2_Download'!W61</f>
        <v>24.364137304858001</v>
      </c>
    </row>
    <row r="574" spans="1:7">
      <c r="A574">
        <f>'2020_5-2-2_Download'!B10</f>
        <v>101</v>
      </c>
      <c r="B574">
        <f>'2020_5-2-2_Download'!$R$5</f>
        <v>2018</v>
      </c>
      <c r="C574" t="str">
        <f>VLOOKUP(A1978,[1]Tabelle1!$A$1:$B$68,2,FALSE)</f>
        <v>Niedersachsen</v>
      </c>
      <c r="D574" t="str">
        <f>'2020_5-2-2_Download'!$X$7</f>
        <v>unbekannt</v>
      </c>
      <c r="E574" t="s">
        <v>362</v>
      </c>
      <c r="F574" t="str">
        <f>VLOOKUP(A1978,[2]Kreise!$A$2:$C$53,3,FALSE)</f>
        <v>K030</v>
      </c>
      <c r="G574">
        <f>'2020_5-2-2_Download'!X10</f>
        <v>25.393681291472713</v>
      </c>
    </row>
    <row r="575" spans="1:7">
      <c r="A575">
        <f>'2020_5-2-2_Download'!B11</f>
        <v>102</v>
      </c>
      <c r="B575">
        <f>'2020_5-2-2_Download'!$R$5</f>
        <v>2018</v>
      </c>
      <c r="C575" t="str">
        <f>VLOOKUP(A1979,[1]Tabelle1!$A$1:$B$68,2,FALSE)</f>
        <v>Niedersachsen</v>
      </c>
      <c r="D575" t="str">
        <f>'2020_5-2-2_Download'!$X$7</f>
        <v>unbekannt</v>
      </c>
      <c r="E575" t="s">
        <v>362</v>
      </c>
      <c r="F575" t="str">
        <f>VLOOKUP(A1979,[2]Kreise!$A$2:$C$53,3,FALSE)</f>
        <v>K030</v>
      </c>
      <c r="G575">
        <f>'2020_5-2-2_Download'!X11</f>
        <v>27.552897884084636</v>
      </c>
    </row>
    <row r="576" spans="1:7">
      <c r="A576">
        <f>'2020_5-2-2_Download'!B12</f>
        <v>103</v>
      </c>
      <c r="B576">
        <f>'2020_5-2-2_Download'!$R$5</f>
        <v>2018</v>
      </c>
      <c r="C576" t="str">
        <f>VLOOKUP(A1980,[1]Tabelle1!$A$1:$B$68,2,FALSE)</f>
        <v>Niedersachsen</v>
      </c>
      <c r="D576" t="str">
        <f>'2020_5-2-2_Download'!$X$7</f>
        <v>unbekannt</v>
      </c>
      <c r="E576" t="s">
        <v>362</v>
      </c>
      <c r="F576" t="str">
        <f>VLOOKUP(A1980,[2]Kreise!$A$2:$C$53,3,FALSE)</f>
        <v>K030</v>
      </c>
      <c r="G576">
        <f>'2020_5-2-2_Download'!X12</f>
        <v>29.886557574540706</v>
      </c>
    </row>
    <row r="577" spans="1:7">
      <c r="A577">
        <f>'2020_5-2-2_Download'!B13</f>
        <v>151</v>
      </c>
      <c r="B577">
        <f>'2020_5-2-2_Download'!$R$5</f>
        <v>2018</v>
      </c>
      <c r="C577" t="str">
        <f>VLOOKUP(A1981,[1]Tabelle1!$A$1:$B$68,2,FALSE)</f>
        <v>Niedersachsen</v>
      </c>
      <c r="D577" t="str">
        <f>'2020_5-2-2_Download'!$X$7</f>
        <v>unbekannt</v>
      </c>
      <c r="E577" t="s">
        <v>362</v>
      </c>
      <c r="F577" t="str">
        <f>VLOOKUP(A1981,[2]Kreise!$A$2:$C$53,3,FALSE)</f>
        <v>K030</v>
      </c>
      <c r="G577">
        <f>'2020_5-2-2_Download'!X13</f>
        <v>31.833395314243212</v>
      </c>
    </row>
    <row r="578" spans="1:7">
      <c r="A578">
        <f>'2020_5-2-2_Download'!B14</f>
        <v>153</v>
      </c>
      <c r="B578">
        <f>'2020_5-2-2_Download'!$R$5</f>
        <v>2018</v>
      </c>
      <c r="C578" t="str">
        <f>VLOOKUP(A1982,[1]Tabelle1!$A$1:$B$68,2,FALSE)</f>
        <v>Niedersachsen</v>
      </c>
      <c r="D578" t="str">
        <f>'2020_5-2-2_Download'!$X$7</f>
        <v>unbekannt</v>
      </c>
      <c r="E578" t="s">
        <v>362</v>
      </c>
      <c r="F578" t="str">
        <f>VLOOKUP(A1982,[2]Kreise!$A$2:$C$53,3,FALSE)</f>
        <v>K030</v>
      </c>
      <c r="G578">
        <f>'2020_5-2-2_Download'!X14</f>
        <v>27.733526430123099</v>
      </c>
    </row>
    <row r="579" spans="1:7">
      <c r="A579">
        <f>'2020_5-2-2_Download'!B15</f>
        <v>154</v>
      </c>
      <c r="B579">
        <f>'2020_5-2-2_Download'!$R$5</f>
        <v>2018</v>
      </c>
      <c r="C579" t="str">
        <f>VLOOKUP(A1983,[1]Tabelle1!$A$1:$B$68,2,FALSE)</f>
        <v>Niedersachsen</v>
      </c>
      <c r="D579" t="str">
        <f>'2020_5-2-2_Download'!$X$7</f>
        <v>unbekannt</v>
      </c>
      <c r="E579" t="s">
        <v>362</v>
      </c>
      <c r="F579" t="str">
        <f>VLOOKUP(A1983,[2]Kreise!$A$2:$C$53,3,FALSE)</f>
        <v>K030</v>
      </c>
      <c r="G579">
        <f>'2020_5-2-2_Download'!X15</f>
        <v>23.619846261355697</v>
      </c>
    </row>
    <row r="580" spans="1:7">
      <c r="A580">
        <f>'2020_5-2-2_Download'!B16</f>
        <v>155</v>
      </c>
      <c r="B580">
        <f>'2020_5-2-2_Download'!$R$5</f>
        <v>2018</v>
      </c>
      <c r="C580" t="str">
        <f>VLOOKUP(A1984,[1]Tabelle1!$A$1:$B$68,2,FALSE)</f>
        <v>Niedersachsen</v>
      </c>
      <c r="D580" t="str">
        <f>'2020_5-2-2_Download'!$X$7</f>
        <v>unbekannt</v>
      </c>
      <c r="E580" t="s">
        <v>362</v>
      </c>
      <c r="F580" t="str">
        <f>VLOOKUP(A1984,[2]Kreise!$A$2:$C$53,3,FALSE)</f>
        <v>K030</v>
      </c>
      <c r="G580">
        <f>'2020_5-2-2_Download'!X16</f>
        <v>24.029515559833172</v>
      </c>
    </row>
    <row r="581" spans="1:7">
      <c r="A581">
        <f>'2020_5-2-2_Download'!B17</f>
        <v>157</v>
      </c>
      <c r="B581">
        <f>'2020_5-2-2_Download'!$R$5</f>
        <v>2018</v>
      </c>
      <c r="C581" t="str">
        <f>VLOOKUP(A1985,[1]Tabelle1!$A$1:$B$68,2,FALSE)</f>
        <v>Niedersachsen</v>
      </c>
      <c r="D581" t="str">
        <f>'2020_5-2-2_Download'!$X$7</f>
        <v>unbekannt</v>
      </c>
      <c r="E581" t="s">
        <v>362</v>
      </c>
      <c r="F581" t="str">
        <f>VLOOKUP(A1985,[2]Kreise!$A$2:$C$53,3,FALSE)</f>
        <v>K030</v>
      </c>
      <c r="G581">
        <f>'2020_5-2-2_Download'!X17</f>
        <v>29.420849420849422</v>
      </c>
    </row>
    <row r="582" spans="1:7">
      <c r="A582">
        <f>'2020_5-2-2_Download'!B18</f>
        <v>158</v>
      </c>
      <c r="B582">
        <f>'2020_5-2-2_Download'!$R$5</f>
        <v>2018</v>
      </c>
      <c r="C582" t="str">
        <f>VLOOKUP(A1986,[1]Tabelle1!$A$1:$B$68,2,FALSE)</f>
        <v>Niedersachsen</v>
      </c>
      <c r="D582" t="str">
        <f>'2020_5-2-2_Download'!$X$7</f>
        <v>unbekannt</v>
      </c>
      <c r="E582" t="s">
        <v>362</v>
      </c>
      <c r="F582" t="str">
        <f>VLOOKUP(A1986,[2]Kreise!$A$2:$C$53,3,FALSE)</f>
        <v>K030</v>
      </c>
      <c r="G582">
        <f>'2020_5-2-2_Download'!X18</f>
        <v>25.070821529745039</v>
      </c>
    </row>
    <row r="583" spans="1:7">
      <c r="A583">
        <f>'2020_5-2-2_Download'!B19</f>
        <v>159</v>
      </c>
      <c r="B583">
        <f>'2020_5-2-2_Download'!$R$5</f>
        <v>2018</v>
      </c>
      <c r="C583" t="str">
        <f>VLOOKUP(A1987,[1]Tabelle1!$A$1:$B$68,2,FALSE)</f>
        <v>Niedersachsen</v>
      </c>
      <c r="D583" t="str">
        <f>'2020_5-2-2_Download'!$X$7</f>
        <v>unbekannt</v>
      </c>
      <c r="E583" t="s">
        <v>362</v>
      </c>
      <c r="F583" t="str">
        <f>VLOOKUP(A1987,[2]Kreise!$A$2:$C$53,3,FALSE)</f>
        <v>K030</v>
      </c>
      <c r="G583">
        <f>'2020_5-2-2_Download'!X19</f>
        <v>18.223813373368749</v>
      </c>
    </row>
    <row r="584" spans="1:7">
      <c r="A584">
        <f>'2020_5-2-2_Download'!B20</f>
        <v>1</v>
      </c>
      <c r="B584">
        <f>'2020_5-2-2_Download'!$R$5</f>
        <v>2018</v>
      </c>
      <c r="C584" t="str">
        <f>VLOOKUP(A1988,[1]Tabelle1!$A$1:$B$68,2,FALSE)</f>
        <v>Niedersachsen</v>
      </c>
      <c r="D584" t="str">
        <f>'2020_5-2-2_Download'!$X$7</f>
        <v>unbekannt</v>
      </c>
      <c r="E584" t="s">
        <v>362</v>
      </c>
      <c r="F584" t="str">
        <f>VLOOKUP(A1988,[2]Kreise!$A$2:$C$53,3,FALSE)</f>
        <v>K030</v>
      </c>
      <c r="G584">
        <f>'2020_5-2-2_Download'!X20</f>
        <v>25.797815833085451</v>
      </c>
    </row>
    <row r="585" spans="1:7">
      <c r="A585">
        <f>'2020_5-2-2_Download'!B21</f>
        <v>241</v>
      </c>
      <c r="B585">
        <f>'2020_5-2-2_Download'!$R$5</f>
        <v>2018</v>
      </c>
      <c r="C585" t="str">
        <f>VLOOKUP(A1989,[1]Tabelle1!$A$1:$B$68,2,FALSE)</f>
        <v>Niedersachsen</v>
      </c>
      <c r="D585" t="str">
        <f>'2020_5-2-2_Download'!$X$7</f>
        <v>unbekannt</v>
      </c>
      <c r="E585" t="s">
        <v>362</v>
      </c>
      <c r="F585" t="str">
        <f>VLOOKUP(A1989,[2]Kreise!$A$2:$C$53,3,FALSE)</f>
        <v>K030</v>
      </c>
      <c r="G585">
        <f>'2020_5-2-2_Download'!X21</f>
        <v>28.102981994164118</v>
      </c>
    </row>
    <row r="586" spans="1:7">
      <c r="A586">
        <f>'2020_5-2-2_Download'!B22</f>
        <v>241001</v>
      </c>
      <c r="B586">
        <f>'2020_5-2-2_Download'!$R$5</f>
        <v>2018</v>
      </c>
      <c r="C586" t="str">
        <f>VLOOKUP(A1990,[1]Tabelle1!$A$1:$B$68,2,FALSE)</f>
        <v>Niedersachsen</v>
      </c>
      <c r="D586" t="str">
        <f>'2020_5-2-2_Download'!$X$7</f>
        <v>unbekannt</v>
      </c>
      <c r="E586" t="s">
        <v>362</v>
      </c>
      <c r="F586" t="str">
        <f>VLOOKUP(A1990,[2]Kreise!$A$2:$C$53,3,FALSE)</f>
        <v>K030</v>
      </c>
      <c r="G586">
        <f>'2020_5-2-2_Download'!X22</f>
        <v>26.581714985254017</v>
      </c>
    </row>
    <row r="587" spans="1:7">
      <c r="A587">
        <f>'2020_5-2-2_Download'!B23</f>
        <v>241999</v>
      </c>
      <c r="B587">
        <f>'2020_5-2-2_Download'!$R$5</f>
        <v>2018</v>
      </c>
      <c r="C587" t="str">
        <f>VLOOKUP(A1991,[1]Tabelle1!$A$1:$B$68,2,FALSE)</f>
        <v>Niedersachsen</v>
      </c>
      <c r="D587" t="str">
        <f>'2020_5-2-2_Download'!$X$7</f>
        <v>unbekannt</v>
      </c>
      <c r="E587" t="s">
        <v>362</v>
      </c>
      <c r="F587" t="str">
        <f>VLOOKUP(A1991,[2]Kreise!$A$2:$C$53,3,FALSE)</f>
        <v>K030</v>
      </c>
      <c r="G587">
        <f>'2020_5-2-2_Download'!X23</f>
        <v>30.801500345474288</v>
      </c>
    </row>
    <row r="588" spans="1:7">
      <c r="A588">
        <f>'2020_5-2-2_Download'!B24</f>
        <v>251</v>
      </c>
      <c r="B588">
        <f>'2020_5-2-2_Download'!$R$5</f>
        <v>2018</v>
      </c>
      <c r="C588" t="str">
        <f>VLOOKUP(A1992,[1]Tabelle1!$A$1:$B$68,2,FALSE)</f>
        <v>Niedersachsen</v>
      </c>
      <c r="D588" t="str">
        <f>'2020_5-2-2_Download'!$X$7</f>
        <v>unbekannt</v>
      </c>
      <c r="E588" t="s">
        <v>362</v>
      </c>
      <c r="F588" t="str">
        <f>VLOOKUP(A1992,[2]Kreise!$A$2:$C$53,3,FALSE)</f>
        <v>K030</v>
      </c>
      <c r="G588">
        <f>'2020_5-2-2_Download'!X24</f>
        <v>37.473423104181428</v>
      </c>
    </row>
    <row r="589" spans="1:7">
      <c r="A589">
        <f>'2020_5-2-2_Download'!B25</f>
        <v>252</v>
      </c>
      <c r="B589">
        <f>'2020_5-2-2_Download'!$R$5</f>
        <v>2018</v>
      </c>
      <c r="C589" t="str">
        <f>VLOOKUP(A1993,[1]Tabelle1!$A$1:$B$68,2,FALSE)</f>
        <v>Niedersachsen</v>
      </c>
      <c r="D589" t="str">
        <f>'2020_5-2-2_Download'!$X$7</f>
        <v>unbekannt</v>
      </c>
      <c r="E589" t="s">
        <v>362</v>
      </c>
      <c r="F589" t="str">
        <f>VLOOKUP(A1993,[2]Kreise!$A$2:$C$53,3,FALSE)</f>
        <v>K030</v>
      </c>
      <c r="G589">
        <f>'2020_5-2-2_Download'!X25</f>
        <v>25.44861337683524</v>
      </c>
    </row>
    <row r="590" spans="1:7">
      <c r="A590">
        <f>'2020_5-2-2_Download'!B26</f>
        <v>254</v>
      </c>
      <c r="B590">
        <f>'2020_5-2-2_Download'!$R$5</f>
        <v>2018</v>
      </c>
      <c r="C590" t="str">
        <f>VLOOKUP(A1994,[1]Tabelle1!$A$1:$B$68,2,FALSE)</f>
        <v>Niedersachsen</v>
      </c>
      <c r="D590" t="str">
        <f>'2020_5-2-2_Download'!$X$7</f>
        <v>unbekannt</v>
      </c>
      <c r="E590" t="s">
        <v>362</v>
      </c>
      <c r="F590" t="str">
        <f>VLOOKUP(A1994,[2]Kreise!$A$2:$C$53,3,FALSE)</f>
        <v>K030</v>
      </c>
      <c r="G590">
        <f>'2020_5-2-2_Download'!X26</f>
        <v>23.892267593397047</v>
      </c>
    </row>
    <row r="591" spans="1:7">
      <c r="A591">
        <f>'2020_5-2-2_Download'!B27</f>
        <v>255</v>
      </c>
      <c r="B591">
        <f>'2020_5-2-2_Download'!$R$5</f>
        <v>2018</v>
      </c>
      <c r="C591" t="str">
        <f>VLOOKUP(A1995,[1]Tabelle1!$A$1:$B$68,2,FALSE)</f>
        <v>Niedersachsen</v>
      </c>
      <c r="D591" t="str">
        <f>'2020_5-2-2_Download'!$X$7</f>
        <v>unbekannt</v>
      </c>
      <c r="E591" t="s">
        <v>362</v>
      </c>
      <c r="F591" t="str">
        <f>VLOOKUP(A1995,[2]Kreise!$A$2:$C$53,3,FALSE)</f>
        <v>K030</v>
      </c>
      <c r="G591">
        <f>'2020_5-2-2_Download'!X27</f>
        <v>25.158730158730158</v>
      </c>
    </row>
    <row r="592" spans="1:7">
      <c r="A592">
        <f>'2020_5-2-2_Download'!B28</f>
        <v>256</v>
      </c>
      <c r="B592">
        <f>'2020_5-2-2_Download'!$R$5</f>
        <v>2018</v>
      </c>
      <c r="C592" t="str">
        <f>VLOOKUP(A1996,[1]Tabelle1!$A$1:$B$68,2,FALSE)</f>
        <v>Niedersachsen</v>
      </c>
      <c r="D592" t="str">
        <f>'2020_5-2-2_Download'!$X$7</f>
        <v>unbekannt</v>
      </c>
      <c r="E592" t="s">
        <v>362</v>
      </c>
      <c r="F592" t="str">
        <f>VLOOKUP(A1996,[2]Kreise!$A$2:$C$53,3,FALSE)</f>
        <v>K030</v>
      </c>
      <c r="G592">
        <f>'2020_5-2-2_Download'!X28</f>
        <v>40.18012783265543</v>
      </c>
    </row>
    <row r="593" spans="1:7">
      <c r="A593">
        <f>'2020_5-2-2_Download'!B29</f>
        <v>257</v>
      </c>
      <c r="B593">
        <f>'2020_5-2-2_Download'!$R$5</f>
        <v>2018</v>
      </c>
      <c r="C593" t="str">
        <f>VLOOKUP(A1997,[1]Tabelle1!$A$1:$B$68,2,FALSE)</f>
        <v>Niedersachsen</v>
      </c>
      <c r="D593" t="str">
        <f>'2020_5-2-2_Download'!$X$7</f>
        <v>unbekannt</v>
      </c>
      <c r="E593" t="s">
        <v>362</v>
      </c>
      <c r="F593" t="str">
        <f>VLOOKUP(A1997,[2]Kreise!$A$2:$C$53,3,FALSE)</f>
        <v>K030</v>
      </c>
      <c r="G593">
        <f>'2020_5-2-2_Download'!X29</f>
        <v>22.154294032023287</v>
      </c>
    </row>
    <row r="594" spans="1:7">
      <c r="A594">
        <f>'2020_5-2-2_Download'!B30</f>
        <v>2</v>
      </c>
      <c r="B594">
        <f>'2020_5-2-2_Download'!$R$5</f>
        <v>2018</v>
      </c>
      <c r="C594" t="str">
        <f>VLOOKUP(A1998,[1]Tabelle1!$A$1:$B$68,2,FALSE)</f>
        <v>Niedersachsen</v>
      </c>
      <c r="D594" t="str">
        <f>'2020_5-2-2_Download'!$X$7</f>
        <v>unbekannt</v>
      </c>
      <c r="E594" t="s">
        <v>362</v>
      </c>
      <c r="F594" t="str">
        <f>VLOOKUP(A1998,[2]Kreise!$A$2:$C$53,3,FALSE)</f>
        <v>K030</v>
      </c>
      <c r="G594">
        <f>'2020_5-2-2_Download'!X30</f>
        <v>28.560276007957892</v>
      </c>
    </row>
    <row r="595" spans="1:7">
      <c r="A595">
        <f>'2020_5-2-2_Download'!B31</f>
        <v>351</v>
      </c>
      <c r="B595">
        <f>'2020_5-2-2_Download'!$R$5</f>
        <v>2018</v>
      </c>
      <c r="C595" t="str">
        <f>VLOOKUP(A1999,[1]Tabelle1!$A$1:$B$68,2,FALSE)</f>
        <v>Niedersachsen</v>
      </c>
      <c r="D595" t="str">
        <f>'2020_5-2-2_Download'!$X$7</f>
        <v>unbekannt</v>
      </c>
      <c r="E595" t="s">
        <v>362</v>
      </c>
      <c r="F595" t="str">
        <f>VLOOKUP(A1999,[2]Kreise!$A$2:$C$53,3,FALSE)</f>
        <v>K030</v>
      </c>
      <c r="G595">
        <f>'2020_5-2-2_Download'!X31</f>
        <v>24.141942990110529</v>
      </c>
    </row>
    <row r="596" spans="1:7">
      <c r="A596">
        <f>'2020_5-2-2_Download'!B32</f>
        <v>352</v>
      </c>
      <c r="B596">
        <f>'2020_5-2-2_Download'!$R$5</f>
        <v>2018</v>
      </c>
      <c r="C596" t="str">
        <f>VLOOKUP(A2000,[1]Tabelle1!$A$1:$B$68,2,FALSE)</f>
        <v>Niedersachsen</v>
      </c>
      <c r="D596" t="str">
        <f>'2020_5-2-2_Download'!$X$7</f>
        <v>unbekannt</v>
      </c>
      <c r="E596" t="s">
        <v>362</v>
      </c>
      <c r="F596" t="str">
        <f>VLOOKUP(A2000,[2]Kreise!$A$2:$C$53,3,FALSE)</f>
        <v>K030</v>
      </c>
      <c r="G596">
        <f>'2020_5-2-2_Download'!X32</f>
        <v>40.952839268527427</v>
      </c>
    </row>
    <row r="597" spans="1:7">
      <c r="A597">
        <f>'2020_5-2-2_Download'!B33</f>
        <v>353</v>
      </c>
      <c r="B597">
        <f>'2020_5-2-2_Download'!$R$5</f>
        <v>2018</v>
      </c>
      <c r="C597" t="str">
        <f>VLOOKUP(A2001,[1]Tabelle1!$A$1:$B$68,2,FALSE)</f>
        <v>Niedersachsen</v>
      </c>
      <c r="D597" t="str">
        <f>'2020_5-2-2_Download'!$X$7</f>
        <v>unbekannt</v>
      </c>
      <c r="E597" t="s">
        <v>362</v>
      </c>
      <c r="F597" t="str">
        <f>VLOOKUP(A2001,[2]Kreise!$A$2:$C$53,3,FALSE)</f>
        <v>K030</v>
      </c>
      <c r="G597">
        <f>'2020_5-2-2_Download'!X33</f>
        <v>39.803286852589643</v>
      </c>
    </row>
    <row r="598" spans="1:7">
      <c r="A598">
        <f>'2020_5-2-2_Download'!B34</f>
        <v>354</v>
      </c>
      <c r="B598">
        <f>'2020_5-2-2_Download'!$R$5</f>
        <v>2018</v>
      </c>
      <c r="C598" t="str">
        <f>VLOOKUP(A2002,[1]Tabelle1!$A$1:$B$68,2,FALSE)</f>
        <v>Niedersachsen</v>
      </c>
      <c r="D598" t="str">
        <f>'2020_5-2-2_Download'!$X$7</f>
        <v>unbekannt</v>
      </c>
      <c r="E598" t="s">
        <v>362</v>
      </c>
      <c r="F598" t="str">
        <f>VLOOKUP(A2002,[2]Kreise!$A$2:$C$53,3,FALSE)</f>
        <v>K030</v>
      </c>
      <c r="G598">
        <f>'2020_5-2-2_Download'!X34</f>
        <v>42.540620384047266</v>
      </c>
    </row>
    <row r="599" spans="1:7">
      <c r="A599">
        <f>'2020_5-2-2_Download'!B35</f>
        <v>355</v>
      </c>
      <c r="B599">
        <f>'2020_5-2-2_Download'!$R$5</f>
        <v>2018</v>
      </c>
      <c r="C599" t="str">
        <f>VLOOKUP(A2003,[1]Tabelle1!$A$1:$B$68,2,FALSE)</f>
        <v>Niedersachsen</v>
      </c>
      <c r="D599" t="str">
        <f>'2020_5-2-2_Download'!$X$7</f>
        <v>unbekannt</v>
      </c>
      <c r="E599" t="s">
        <v>362</v>
      </c>
      <c r="F599" t="str">
        <f>VLOOKUP(A2003,[2]Kreise!$A$2:$C$53,3,FALSE)</f>
        <v>K030</v>
      </c>
      <c r="G599">
        <f>'2020_5-2-2_Download'!X35</f>
        <v>28.21144891810463</v>
      </c>
    </row>
    <row r="600" spans="1:7">
      <c r="A600">
        <f>'2020_5-2-2_Download'!B36</f>
        <v>356</v>
      </c>
      <c r="B600">
        <f>'2020_5-2-2_Download'!$R$5</f>
        <v>2018</v>
      </c>
      <c r="C600" t="str">
        <f>VLOOKUP(A2004,[1]Tabelle1!$A$1:$B$68,2,FALSE)</f>
        <v>Niedersachsen</v>
      </c>
      <c r="D600" t="str">
        <f>'2020_5-2-2_Download'!$X$7</f>
        <v>unbekannt</v>
      </c>
      <c r="E600" t="s">
        <v>362</v>
      </c>
      <c r="F600" t="str">
        <f>VLOOKUP(A2004,[2]Kreise!$A$2:$C$53,3,FALSE)</f>
        <v>K030</v>
      </c>
      <c r="G600">
        <f>'2020_5-2-2_Download'!X36</f>
        <v>31.238990017615968</v>
      </c>
    </row>
    <row r="601" spans="1:7">
      <c r="A601">
        <f>'2020_5-2-2_Download'!B37</f>
        <v>357</v>
      </c>
      <c r="B601">
        <f>'2020_5-2-2_Download'!$R$5</f>
        <v>2018</v>
      </c>
      <c r="C601" t="str">
        <f>VLOOKUP(A2005,[1]Tabelle1!$A$1:$B$68,2,FALSE)</f>
        <v>Niedersachsen</v>
      </c>
      <c r="D601" t="str">
        <f>'2020_5-2-2_Download'!$X$7</f>
        <v>unbekannt</v>
      </c>
      <c r="E601" t="s">
        <v>362</v>
      </c>
      <c r="F601" t="str">
        <f>VLOOKUP(A2005,[2]Kreise!$A$2:$C$53,3,FALSE)</f>
        <v>K030</v>
      </c>
      <c r="G601">
        <f>'2020_5-2-2_Download'!X37</f>
        <v>34.026622296173045</v>
      </c>
    </row>
    <row r="602" spans="1:7">
      <c r="A602">
        <f>'2020_5-2-2_Download'!B38</f>
        <v>358</v>
      </c>
      <c r="B602">
        <f>'2020_5-2-2_Download'!$R$5</f>
        <v>2018</v>
      </c>
      <c r="C602" t="str">
        <f>VLOOKUP(A2006,[1]Tabelle1!$A$1:$B$68,2,FALSE)</f>
        <v>Niedersachsen</v>
      </c>
      <c r="D602" t="str">
        <f>'2020_5-2-2_Download'!$X$7</f>
        <v>unbekannt</v>
      </c>
      <c r="E602" t="s">
        <v>362</v>
      </c>
      <c r="F602" t="str">
        <f>VLOOKUP(A2006,[2]Kreise!$A$2:$C$53,3,FALSE)</f>
        <v>K030</v>
      </c>
      <c r="G602">
        <f>'2020_5-2-2_Download'!X38</f>
        <v>34.974980247563863</v>
      </c>
    </row>
    <row r="603" spans="1:7">
      <c r="A603">
        <f>'2020_5-2-2_Download'!B39</f>
        <v>359</v>
      </c>
      <c r="B603">
        <f>'2020_5-2-2_Download'!$R$5</f>
        <v>2018</v>
      </c>
      <c r="C603" t="str">
        <f>VLOOKUP(A2007,[1]Tabelle1!$A$1:$B$68,2,FALSE)</f>
        <v>Niedersachsen</v>
      </c>
      <c r="D603" t="str">
        <f>'2020_5-2-2_Download'!$X$7</f>
        <v>unbekannt</v>
      </c>
      <c r="E603" t="s">
        <v>362</v>
      </c>
      <c r="F603" t="str">
        <f>VLOOKUP(A2007,[2]Kreise!$A$2:$C$53,3,FALSE)</f>
        <v>K030</v>
      </c>
      <c r="G603">
        <f>'2020_5-2-2_Download'!X39</f>
        <v>46.282306163021872</v>
      </c>
    </row>
    <row r="604" spans="1:7">
      <c r="A604">
        <f>'2020_5-2-2_Download'!B40</f>
        <v>360</v>
      </c>
      <c r="B604">
        <f>'2020_5-2-2_Download'!$R$5</f>
        <v>2018</v>
      </c>
      <c r="C604" t="str">
        <f>VLOOKUP(A2008,[1]Tabelle1!$A$1:$B$68,2,FALSE)</f>
        <v>Niedersachsen</v>
      </c>
      <c r="D604" t="str">
        <f>'2020_5-2-2_Download'!$X$7</f>
        <v>unbekannt</v>
      </c>
      <c r="E604" t="s">
        <v>362</v>
      </c>
      <c r="F604" t="str">
        <f>VLOOKUP(A2008,[2]Kreise!$A$2:$C$53,3,FALSE)</f>
        <v>K030</v>
      </c>
      <c r="G604">
        <f>'2020_5-2-2_Download'!X40</f>
        <v>31.139419674451524</v>
      </c>
    </row>
    <row r="605" spans="1:7">
      <c r="A605">
        <f>'2020_5-2-2_Download'!B41</f>
        <v>361</v>
      </c>
      <c r="B605">
        <f>'2020_5-2-2_Download'!$R$5</f>
        <v>2018</v>
      </c>
      <c r="C605" t="str">
        <f>VLOOKUP(A2009,[1]Tabelle1!$A$1:$B$68,2,FALSE)</f>
        <v>Niedersachsen</v>
      </c>
      <c r="D605" t="str">
        <f>'2020_5-2-2_Download'!$X$7</f>
        <v>unbekannt</v>
      </c>
      <c r="E605" t="s">
        <v>362</v>
      </c>
      <c r="F605" t="str">
        <f>VLOOKUP(A2009,[2]Kreise!$A$2:$C$53,3,FALSE)</f>
        <v>K030</v>
      </c>
      <c r="G605">
        <f>'2020_5-2-2_Download'!X41</f>
        <v>39.631231504666516</v>
      </c>
    </row>
    <row r="606" spans="1:7">
      <c r="A606">
        <f>'2020_5-2-2_Download'!B42</f>
        <v>3</v>
      </c>
      <c r="B606">
        <f>'2020_5-2-2_Download'!$R$5</f>
        <v>2018</v>
      </c>
      <c r="C606" t="str">
        <f>VLOOKUP(A2010,[1]Tabelle1!$A$1:$B$68,2,FALSE)</f>
        <v>Niedersachsen</v>
      </c>
      <c r="D606" t="str">
        <f>'2020_5-2-2_Download'!$X$7</f>
        <v>unbekannt</v>
      </c>
      <c r="E606" t="s">
        <v>362</v>
      </c>
      <c r="F606" t="str">
        <f>VLOOKUP(A2010,[2]Kreise!$A$2:$C$53,3,FALSE)</f>
        <v>K030</v>
      </c>
      <c r="G606">
        <f>'2020_5-2-2_Download'!X42</f>
        <v>36.702927611790656</v>
      </c>
    </row>
    <row r="607" spans="1:7">
      <c r="A607">
        <f>'2020_5-2-2_Download'!B43</f>
        <v>401</v>
      </c>
      <c r="B607">
        <f>'2020_5-2-2_Download'!$R$5</f>
        <v>2018</v>
      </c>
      <c r="C607" t="str">
        <f>VLOOKUP(A2011,[1]Tabelle1!$A$1:$B$68,2,FALSE)</f>
        <v>Niedersachsen</v>
      </c>
      <c r="D607" t="str">
        <f>'2020_5-2-2_Download'!$X$7</f>
        <v>unbekannt</v>
      </c>
      <c r="E607" t="s">
        <v>362</v>
      </c>
      <c r="F607" t="str">
        <f>VLOOKUP(A2011,[2]Kreise!$A$2:$C$53,3,FALSE)</f>
        <v>K030</v>
      </c>
      <c r="G607">
        <f>'2020_5-2-2_Download'!X43</f>
        <v>33.684827182190979</v>
      </c>
    </row>
    <row r="608" spans="1:7">
      <c r="A608">
        <f>'2020_5-2-2_Download'!B44</f>
        <v>402</v>
      </c>
      <c r="B608">
        <f>'2020_5-2-2_Download'!$R$5</f>
        <v>2018</v>
      </c>
      <c r="C608" t="str">
        <f>VLOOKUP(A2012,[1]Tabelle1!$A$1:$B$68,2,FALSE)</f>
        <v>Niedersachsen</v>
      </c>
      <c r="D608" t="str">
        <f>'2020_5-2-2_Download'!$X$7</f>
        <v>unbekannt</v>
      </c>
      <c r="E608" t="s">
        <v>362</v>
      </c>
      <c r="F608" t="str">
        <f>VLOOKUP(A2012,[2]Kreise!$A$2:$C$53,3,FALSE)</f>
        <v>K030</v>
      </c>
      <c r="G608">
        <f>'2020_5-2-2_Download'!X44</f>
        <v>28.646379853095489</v>
      </c>
    </row>
    <row r="609" spans="1:7">
      <c r="A609">
        <f>'2020_5-2-2_Download'!B45</f>
        <v>403</v>
      </c>
      <c r="B609">
        <f>'2020_5-2-2_Download'!$R$5</f>
        <v>2018</v>
      </c>
      <c r="C609" t="str">
        <f>VLOOKUP(A2013,[1]Tabelle1!$A$1:$B$68,2,FALSE)</f>
        <v>Niedersachsen</v>
      </c>
      <c r="D609" t="str">
        <f>'2020_5-2-2_Download'!$X$7</f>
        <v>unbekannt</v>
      </c>
      <c r="E609" t="s">
        <v>362</v>
      </c>
      <c r="F609" t="str">
        <f>VLOOKUP(A2013,[2]Kreise!$A$2:$C$53,3,FALSE)</f>
        <v>K030</v>
      </c>
      <c r="G609">
        <f>'2020_5-2-2_Download'!X45</f>
        <v>27.547478047784356</v>
      </c>
    </row>
    <row r="610" spans="1:7">
      <c r="A610">
        <f>'2020_5-2-2_Download'!B46</f>
        <v>404</v>
      </c>
      <c r="B610">
        <f>'2020_5-2-2_Download'!$R$5</f>
        <v>2018</v>
      </c>
      <c r="C610" t="str">
        <f>VLOOKUP(A2014,[1]Tabelle1!$A$1:$B$68,2,FALSE)</f>
        <v>Niedersachsen</v>
      </c>
      <c r="D610" t="str">
        <f>'2020_5-2-2_Download'!$X$7</f>
        <v>unbekannt</v>
      </c>
      <c r="E610" t="s">
        <v>362</v>
      </c>
      <c r="F610" t="str">
        <f>VLOOKUP(A2014,[2]Kreise!$A$2:$C$53,3,FALSE)</f>
        <v>K030</v>
      </c>
      <c r="G610">
        <f>'2020_5-2-2_Download'!X46</f>
        <v>27.593058683269305</v>
      </c>
    </row>
    <row r="611" spans="1:7">
      <c r="A611">
        <f>'2020_5-2-2_Download'!B47</f>
        <v>405</v>
      </c>
      <c r="B611">
        <f>'2020_5-2-2_Download'!$R$5</f>
        <v>2018</v>
      </c>
      <c r="C611" t="str">
        <f>VLOOKUP(A2015,[1]Tabelle1!$A$1:$B$68,2,FALSE)</f>
        <v>Niedersachsen</v>
      </c>
      <c r="D611" t="str">
        <f>'2020_5-2-2_Download'!$X$7</f>
        <v>unbekannt</v>
      </c>
      <c r="E611" t="s">
        <v>362</v>
      </c>
      <c r="F611" t="str">
        <f>VLOOKUP(A2015,[2]Kreise!$A$2:$C$53,3,FALSE)</f>
        <v>K030</v>
      </c>
      <c r="G611">
        <f>'2020_5-2-2_Download'!X47</f>
        <v>30.459408432976716</v>
      </c>
    </row>
    <row r="612" spans="1:7">
      <c r="A612">
        <f>'2020_5-2-2_Download'!B48</f>
        <v>451</v>
      </c>
      <c r="B612">
        <f>'2020_5-2-2_Download'!$R$5</f>
        <v>2018</v>
      </c>
      <c r="C612" t="str">
        <f>VLOOKUP(A2016,[1]Tabelle1!$A$1:$B$68,2,FALSE)</f>
        <v>Niedersachsen</v>
      </c>
      <c r="D612" t="str">
        <f>'2020_5-2-2_Download'!$X$7</f>
        <v>unbekannt</v>
      </c>
      <c r="E612" t="s">
        <v>362</v>
      </c>
      <c r="F612" t="str">
        <f>VLOOKUP(A2016,[2]Kreise!$A$2:$C$53,3,FALSE)</f>
        <v>K030</v>
      </c>
      <c r="G612">
        <f>'2020_5-2-2_Download'!X48</f>
        <v>44.1656942823804</v>
      </c>
    </row>
    <row r="613" spans="1:7">
      <c r="A613">
        <f>'2020_5-2-2_Download'!B49</f>
        <v>452</v>
      </c>
      <c r="B613">
        <f>'2020_5-2-2_Download'!$R$5</f>
        <v>2018</v>
      </c>
      <c r="C613" t="str">
        <f>VLOOKUP(A2017,[1]Tabelle1!$A$1:$B$68,2,FALSE)</f>
        <v>Niedersachsen</v>
      </c>
      <c r="D613" t="str">
        <f>'2020_5-2-2_Download'!$X$7</f>
        <v>unbekannt</v>
      </c>
      <c r="E613" t="s">
        <v>362</v>
      </c>
      <c r="F613" t="str">
        <f>VLOOKUP(A2017,[2]Kreise!$A$2:$C$53,3,FALSE)</f>
        <v>K030</v>
      </c>
      <c r="G613">
        <f>'2020_5-2-2_Download'!X49</f>
        <v>40.571833648393195</v>
      </c>
    </row>
    <row r="614" spans="1:7">
      <c r="A614">
        <f>'2020_5-2-2_Download'!B50</f>
        <v>453</v>
      </c>
      <c r="B614">
        <f>'2020_5-2-2_Download'!$R$5</f>
        <v>2018</v>
      </c>
      <c r="C614" t="str">
        <f>VLOOKUP(A2018,[1]Tabelle1!$A$1:$B$68,2,FALSE)</f>
        <v>Niedersachsen</v>
      </c>
      <c r="D614" t="str">
        <f>'2020_5-2-2_Download'!$X$7</f>
        <v>unbekannt</v>
      </c>
      <c r="E614" t="s">
        <v>362</v>
      </c>
      <c r="F614" t="str">
        <f>VLOOKUP(A2018,[2]Kreise!$A$2:$C$53,3,FALSE)</f>
        <v>K030</v>
      </c>
      <c r="G614">
        <f>'2020_5-2-2_Download'!X50</f>
        <v>50.984682713347915</v>
      </c>
    </row>
    <row r="615" spans="1:7">
      <c r="A615">
        <f>'2020_5-2-2_Download'!B51</f>
        <v>454</v>
      </c>
      <c r="B615">
        <f>'2020_5-2-2_Download'!$R$5</f>
        <v>2018</v>
      </c>
      <c r="C615" t="str">
        <f>VLOOKUP(A2019,[1]Tabelle1!$A$1:$B$68,2,FALSE)</f>
        <v>Niedersachsen</v>
      </c>
      <c r="D615" t="str">
        <f>'2020_5-2-2_Download'!$X$7</f>
        <v>unbekannt</v>
      </c>
      <c r="E615" t="s">
        <v>362</v>
      </c>
      <c r="F615" t="str">
        <f>VLOOKUP(A2019,[2]Kreise!$A$2:$C$53,3,FALSE)</f>
        <v>K030</v>
      </c>
      <c r="G615">
        <f>'2020_5-2-2_Download'!X51</f>
        <v>43.127771060056432</v>
      </c>
    </row>
    <row r="616" spans="1:7">
      <c r="A616">
        <f>'2020_5-2-2_Download'!B52</f>
        <v>455</v>
      </c>
      <c r="B616">
        <f>'2020_5-2-2_Download'!$R$5</f>
        <v>2018</v>
      </c>
      <c r="C616" t="str">
        <f>VLOOKUP(A2020,[1]Tabelle1!$A$1:$B$68,2,FALSE)</f>
        <v>Niedersachsen</v>
      </c>
      <c r="D616" t="str">
        <f>'2020_5-2-2_Download'!$X$7</f>
        <v>unbekannt</v>
      </c>
      <c r="E616" t="s">
        <v>362</v>
      </c>
      <c r="F616" t="str">
        <f>VLOOKUP(A2020,[2]Kreise!$A$2:$C$53,3,FALSE)</f>
        <v>K030</v>
      </c>
      <c r="G616">
        <f>'2020_5-2-2_Download'!X52</f>
        <v>37.202152190622598</v>
      </c>
    </row>
    <row r="617" spans="1:7">
      <c r="A617">
        <f>'2020_5-2-2_Download'!B53</f>
        <v>456</v>
      </c>
      <c r="B617">
        <f>'2020_5-2-2_Download'!$R$5</f>
        <v>2018</v>
      </c>
      <c r="C617" t="str">
        <f>VLOOKUP(A2021,[1]Tabelle1!$A$1:$B$68,2,FALSE)</f>
        <v>Niedersachsen</v>
      </c>
      <c r="D617" t="str">
        <f>'2020_5-2-2_Download'!$X$7</f>
        <v>unbekannt</v>
      </c>
      <c r="E617" t="s">
        <v>362</v>
      </c>
      <c r="F617" t="str">
        <f>VLOOKUP(A2021,[2]Kreise!$A$2:$C$53,3,FALSE)</f>
        <v>K030</v>
      </c>
      <c r="G617">
        <f>'2020_5-2-2_Download'!X53</f>
        <v>34.262485481997679</v>
      </c>
    </row>
    <row r="618" spans="1:7">
      <c r="A618">
        <f>'2020_5-2-2_Download'!B54</f>
        <v>457</v>
      </c>
      <c r="B618">
        <f>'2020_5-2-2_Download'!$R$5</f>
        <v>2018</v>
      </c>
      <c r="C618" t="str">
        <f>VLOOKUP(A2022,[1]Tabelle1!$A$1:$B$68,2,FALSE)</f>
        <v>Niedersachsen</v>
      </c>
      <c r="D618" t="str">
        <f>'2020_5-2-2_Download'!$X$7</f>
        <v>unbekannt</v>
      </c>
      <c r="E618" t="s">
        <v>362</v>
      </c>
      <c r="F618" t="str">
        <f>VLOOKUP(A2022,[2]Kreise!$A$2:$C$53,3,FALSE)</f>
        <v>K030</v>
      </c>
      <c r="G618">
        <f>'2020_5-2-2_Download'!X54</f>
        <v>46.318004207995187</v>
      </c>
    </row>
    <row r="619" spans="1:7">
      <c r="A619">
        <f>'2020_5-2-2_Download'!B55</f>
        <v>458</v>
      </c>
      <c r="B619">
        <f>'2020_5-2-2_Download'!$R$5</f>
        <v>2018</v>
      </c>
      <c r="C619" t="str">
        <f>VLOOKUP(A2023,[1]Tabelle1!$A$1:$B$68,2,FALSE)</f>
        <v>Niedersachsen</v>
      </c>
      <c r="D619" t="str">
        <f>'2020_5-2-2_Download'!$X$7</f>
        <v>unbekannt</v>
      </c>
      <c r="E619" t="s">
        <v>362</v>
      </c>
      <c r="F619" t="str">
        <f>VLOOKUP(A2023,[2]Kreise!$A$2:$C$53,3,FALSE)</f>
        <v>K030</v>
      </c>
      <c r="G619">
        <f>'2020_5-2-2_Download'!X55</f>
        <v>45.49423136888057</v>
      </c>
    </row>
    <row r="620" spans="1:7">
      <c r="A620">
        <f>'2020_5-2-2_Download'!B56</f>
        <v>459</v>
      </c>
      <c r="B620">
        <f>'2020_5-2-2_Download'!$R$5</f>
        <v>2018</v>
      </c>
      <c r="C620" t="str">
        <f>VLOOKUP(A2024,[1]Tabelle1!$A$1:$B$68,2,FALSE)</f>
        <v>Niedersachsen</v>
      </c>
      <c r="D620" t="str">
        <f>'2020_5-2-2_Download'!$X$7</f>
        <v>unbekannt</v>
      </c>
      <c r="E620" t="s">
        <v>362</v>
      </c>
      <c r="F620" t="str">
        <f>VLOOKUP(A2024,[2]Kreise!$A$2:$C$53,3,FALSE)</f>
        <v>K030</v>
      </c>
      <c r="G620">
        <f>'2020_5-2-2_Download'!X56</f>
        <v>49.925742574257427</v>
      </c>
    </row>
    <row r="621" spans="1:7">
      <c r="A621">
        <f>'2020_5-2-2_Download'!B57</f>
        <v>460</v>
      </c>
      <c r="B621">
        <f>'2020_5-2-2_Download'!$R$5</f>
        <v>2018</v>
      </c>
      <c r="C621" t="str">
        <f>VLOOKUP(A2025,[1]Tabelle1!$A$1:$B$68,2,FALSE)</f>
        <v>Niedersachsen</v>
      </c>
      <c r="D621" t="str">
        <f>'2020_5-2-2_Download'!$X$7</f>
        <v>unbekannt</v>
      </c>
      <c r="E621" t="s">
        <v>362</v>
      </c>
      <c r="F621" t="str">
        <f>VLOOKUP(A2025,[2]Kreise!$A$2:$C$53,3,FALSE)</f>
        <v>K030</v>
      </c>
      <c r="G621">
        <f>'2020_5-2-2_Download'!X57</f>
        <v>48.140601120733571</v>
      </c>
    </row>
    <row r="622" spans="1:7">
      <c r="A622">
        <f>'2020_5-2-2_Download'!B58</f>
        <v>461</v>
      </c>
      <c r="B622">
        <f>'2020_5-2-2_Download'!$R$5</f>
        <v>2018</v>
      </c>
      <c r="C622" t="str">
        <f>VLOOKUP(A2026,[1]Tabelle1!$A$1:$B$68,2,FALSE)</f>
        <v>Niedersachsen</v>
      </c>
      <c r="D622" t="str">
        <f>'2020_5-2-2_Download'!$X$7</f>
        <v>unbekannt</v>
      </c>
      <c r="E622" t="s">
        <v>362</v>
      </c>
      <c r="F622" t="str">
        <f>VLOOKUP(A2026,[2]Kreise!$A$2:$C$53,3,FALSE)</f>
        <v>K030</v>
      </c>
      <c r="G622">
        <f>'2020_5-2-2_Download'!X58</f>
        <v>40.203665987780042</v>
      </c>
    </row>
    <row r="623" spans="1:7">
      <c r="A623">
        <f>'2020_5-2-2_Download'!B59</f>
        <v>462</v>
      </c>
      <c r="B623">
        <f>'2020_5-2-2_Download'!$R$5</f>
        <v>2018</v>
      </c>
      <c r="C623" t="str">
        <f>VLOOKUP(A2027,[1]Tabelle1!$A$1:$B$68,2,FALSE)</f>
        <v>Niedersachsen</v>
      </c>
      <c r="D623" t="str">
        <f>'2020_5-2-2_Download'!$X$7</f>
        <v>unbekannt</v>
      </c>
      <c r="E623" t="s">
        <v>362</v>
      </c>
      <c r="F623" t="str">
        <f>VLOOKUP(A2027,[2]Kreise!$A$2:$C$53,3,FALSE)</f>
        <v>K030</v>
      </c>
      <c r="G623">
        <f>'2020_5-2-2_Download'!X59</f>
        <v>55.204678362573098</v>
      </c>
    </row>
    <row r="624" spans="1:7">
      <c r="A624">
        <f>'2020_5-2-2_Download'!B60</f>
        <v>4</v>
      </c>
      <c r="B624">
        <f>'2020_5-2-2_Download'!$R$5</f>
        <v>2018</v>
      </c>
      <c r="C624" t="str">
        <f>VLOOKUP(A2028,[1]Tabelle1!$A$1:$B$68,2,FALSE)</f>
        <v>Niedersachsen</v>
      </c>
      <c r="D624" t="str">
        <f>'2020_5-2-2_Download'!$X$7</f>
        <v>unbekannt</v>
      </c>
      <c r="E624" t="s">
        <v>362</v>
      </c>
      <c r="F624" t="str">
        <f>VLOOKUP(A2028,[2]Kreise!$A$2:$C$53,3,FALSE)</f>
        <v>K030</v>
      </c>
      <c r="G624">
        <f>'2020_5-2-2_Download'!X60</f>
        <v>42.387731520434379</v>
      </c>
    </row>
    <row r="625" spans="1:7">
      <c r="A625">
        <f>'2020_5-2-2_Download'!B61</f>
        <v>0</v>
      </c>
      <c r="B625">
        <f>'2020_5-2-2_Download'!$R$5</f>
        <v>2018</v>
      </c>
      <c r="C625" t="str">
        <f>VLOOKUP(A2029,[1]Tabelle1!$A$1:$B$68,2,FALSE)</f>
        <v>Niedersachsen</v>
      </c>
      <c r="D625" t="str">
        <f>'2020_5-2-2_Download'!$X$7</f>
        <v>unbekannt</v>
      </c>
      <c r="E625" t="s">
        <v>362</v>
      </c>
      <c r="F625" t="str">
        <f>VLOOKUP(A2029,[2]Kreise!$A$2:$C$53,3,FALSE)</f>
        <v>K030</v>
      </c>
      <c r="G625">
        <f>'2020_5-2-2_Download'!X61</f>
        <v>34.146580097761806</v>
      </c>
    </row>
    <row r="626" spans="1:7">
      <c r="A626">
        <f>'2020_5-2-2_Download'!B10</f>
        <v>101</v>
      </c>
      <c r="B626">
        <f>'2020_5-2-2_Download'!$Y$5</f>
        <v>2017</v>
      </c>
      <c r="C626" t="str">
        <f>VLOOKUP(A2030,[1]Tabelle1!$A$1:$B$68,2,FALSE)</f>
        <v>Niedersachsen</v>
      </c>
      <c r="D626" t="str">
        <f>'2020_5-2-2_Download'!$AB$7</f>
        <v>hoch</v>
      </c>
      <c r="E626" t="s">
        <v>362</v>
      </c>
      <c r="F626" t="str">
        <f>VLOOKUP(A2030,[2]Kreise!$A$2:$C$53,3,FALSE)</f>
        <v>K030</v>
      </c>
      <c r="G626">
        <f>'2020_5-2-2_Download'!AB10</f>
        <v>22.441293752769162</v>
      </c>
    </row>
    <row r="627" spans="1:7">
      <c r="A627">
        <f>'2020_5-2-2_Download'!B11</f>
        <v>102</v>
      </c>
      <c r="B627">
        <f>'2020_5-2-2_Download'!$Y$5</f>
        <v>2017</v>
      </c>
      <c r="C627" t="str">
        <f>VLOOKUP(A2031,[1]Tabelle1!$A$1:$B$68,2,FALSE)</f>
        <v>Niedersachsen</v>
      </c>
      <c r="D627" t="str">
        <f>'2020_5-2-2_Download'!$AB$7</f>
        <v>hoch</v>
      </c>
      <c r="E627" t="s">
        <v>362</v>
      </c>
      <c r="F627" t="str">
        <f>VLOOKUP(A2031,[2]Kreise!$A$2:$C$53,3,FALSE)</f>
        <v>K030</v>
      </c>
      <c r="G627">
        <f>'2020_5-2-2_Download'!AB11</f>
        <v>7.0656273573045008</v>
      </c>
    </row>
    <row r="628" spans="1:7">
      <c r="A628">
        <f>'2020_5-2-2_Download'!B12</f>
        <v>103</v>
      </c>
      <c r="B628">
        <f>'2020_5-2-2_Download'!$Y$5</f>
        <v>2017</v>
      </c>
      <c r="C628" t="str">
        <f>VLOOKUP(A2032,[1]Tabelle1!$A$1:$B$68,2,FALSE)</f>
        <v>Niedersachsen</v>
      </c>
      <c r="D628" t="str">
        <f>'2020_5-2-2_Download'!$AB$7</f>
        <v>hoch</v>
      </c>
      <c r="E628" t="s">
        <v>362</v>
      </c>
      <c r="F628" t="str">
        <f>VLOOKUP(A2032,[2]Kreise!$A$2:$C$53,3,FALSE)</f>
        <v>K030</v>
      </c>
      <c r="G628">
        <f>'2020_5-2-2_Download'!AB12</f>
        <v>22.143896162023051</v>
      </c>
    </row>
    <row r="629" spans="1:7">
      <c r="A629">
        <f>'2020_5-2-2_Download'!B13</f>
        <v>151</v>
      </c>
      <c r="B629">
        <f>'2020_5-2-2_Download'!$Y$5</f>
        <v>2017</v>
      </c>
      <c r="C629" t="str">
        <f>VLOOKUP(A2033,[1]Tabelle1!$A$1:$B$68,2,FALSE)</f>
        <v>Niedersachsen</v>
      </c>
      <c r="D629" t="str">
        <f>'2020_5-2-2_Download'!$AB$7</f>
        <v>hoch</v>
      </c>
      <c r="E629" t="s">
        <v>362</v>
      </c>
      <c r="F629" t="str">
        <f>VLOOKUP(A2033,[2]Kreise!$A$2:$C$53,3,FALSE)</f>
        <v>K030</v>
      </c>
      <c r="G629">
        <f>'2020_5-2-2_Download'!AB13</f>
        <v>14.644179350061703</v>
      </c>
    </row>
    <row r="630" spans="1:7">
      <c r="A630">
        <f>'2020_5-2-2_Download'!B14</f>
        <v>153</v>
      </c>
      <c r="B630">
        <f>'2020_5-2-2_Download'!$Y$5</f>
        <v>2017</v>
      </c>
      <c r="C630" t="str">
        <f>VLOOKUP(A2034,[1]Tabelle1!$A$1:$B$68,2,FALSE)</f>
        <v>Niedersachsen</v>
      </c>
      <c r="D630" t="str">
        <f>'2020_5-2-2_Download'!$AB$7</f>
        <v>hoch</v>
      </c>
      <c r="E630" t="s">
        <v>362</v>
      </c>
      <c r="F630" t="str">
        <f>VLOOKUP(A2034,[2]Kreise!$A$2:$C$53,3,FALSE)</f>
        <v>K030</v>
      </c>
      <c r="G630">
        <f>'2020_5-2-2_Download'!AB14</f>
        <v>17.962577962577964</v>
      </c>
    </row>
    <row r="631" spans="1:7">
      <c r="A631">
        <f>'2020_5-2-2_Download'!B15</f>
        <v>154</v>
      </c>
      <c r="B631">
        <f>'2020_5-2-2_Download'!$Y$5</f>
        <v>2017</v>
      </c>
      <c r="C631" t="str">
        <f>VLOOKUP(A2035,[1]Tabelle1!$A$1:$B$68,2,FALSE)</f>
        <v>Niedersachsen</v>
      </c>
      <c r="D631" t="str">
        <f>'2020_5-2-2_Download'!$AB$7</f>
        <v>hoch</v>
      </c>
      <c r="E631" t="s">
        <v>362</v>
      </c>
      <c r="F631" t="str">
        <f>VLOOKUP(A2035,[2]Kreise!$A$2:$C$53,3,FALSE)</f>
        <v>K030</v>
      </c>
      <c r="G631">
        <f>'2020_5-2-2_Download'!AB15</f>
        <v>14.054054054054054</v>
      </c>
    </row>
    <row r="632" spans="1:7">
      <c r="A632">
        <f>'2020_5-2-2_Download'!B16</f>
        <v>155</v>
      </c>
      <c r="B632">
        <f>'2020_5-2-2_Download'!$Y$5</f>
        <v>2017</v>
      </c>
      <c r="C632" t="str">
        <f>VLOOKUP(A2036,[1]Tabelle1!$A$1:$B$68,2,FALSE)</f>
        <v>Niedersachsen</v>
      </c>
      <c r="D632" t="str">
        <f>'2020_5-2-2_Download'!$AB$7</f>
        <v>hoch</v>
      </c>
      <c r="E632" t="s">
        <v>362</v>
      </c>
      <c r="F632" t="str">
        <f>VLOOKUP(A2036,[2]Kreise!$A$2:$C$53,3,FALSE)</f>
        <v>K030</v>
      </c>
      <c r="G632">
        <f>'2020_5-2-2_Download'!AB16</f>
        <v>8.3113952613764575</v>
      </c>
    </row>
    <row r="633" spans="1:7">
      <c r="A633">
        <f>'2020_5-2-2_Download'!B17</f>
        <v>157</v>
      </c>
      <c r="B633">
        <f>'2020_5-2-2_Download'!$Y$5</f>
        <v>2017</v>
      </c>
      <c r="C633" t="str">
        <f>VLOOKUP(A2037,[1]Tabelle1!$A$1:$B$68,2,FALSE)</f>
        <v>Niedersachsen</v>
      </c>
      <c r="D633" t="str">
        <f>'2020_5-2-2_Download'!$AB$7</f>
        <v>hoch</v>
      </c>
      <c r="E633" t="s">
        <v>362</v>
      </c>
      <c r="F633" t="str">
        <f>VLOOKUP(A2037,[2]Kreise!$A$2:$C$53,3,FALSE)</f>
        <v>K030</v>
      </c>
      <c r="G633">
        <f>'2020_5-2-2_Download'!AB17</f>
        <v>6.4486830154405084</v>
      </c>
    </row>
    <row r="634" spans="1:7">
      <c r="A634">
        <f>'2020_5-2-2_Download'!B18</f>
        <v>158</v>
      </c>
      <c r="B634">
        <f>'2020_5-2-2_Download'!$Y$5</f>
        <v>2017</v>
      </c>
      <c r="C634" t="str">
        <f>VLOOKUP(A2038,[1]Tabelle1!$A$1:$B$68,2,FALSE)</f>
        <v>Niedersachsen</v>
      </c>
      <c r="D634" t="str">
        <f>'2020_5-2-2_Download'!$AB$7</f>
        <v>hoch</v>
      </c>
      <c r="E634" t="s">
        <v>362</v>
      </c>
      <c r="F634" t="str">
        <f>VLOOKUP(A2038,[2]Kreise!$A$2:$C$53,3,FALSE)</f>
        <v>K030</v>
      </c>
      <c r="G634">
        <f>'2020_5-2-2_Download'!AB18</f>
        <v>11.138613861386139</v>
      </c>
    </row>
    <row r="635" spans="1:7">
      <c r="A635">
        <f>'2020_5-2-2_Download'!B19</f>
        <v>159</v>
      </c>
      <c r="B635">
        <f>'2020_5-2-2_Download'!$Y$5</f>
        <v>2017</v>
      </c>
      <c r="C635" t="str">
        <f>VLOOKUP(A2039,[1]Tabelle1!$A$1:$B$68,2,FALSE)</f>
        <v>Niedersachsen</v>
      </c>
      <c r="D635" t="str">
        <f>'2020_5-2-2_Download'!$AB$7</f>
        <v>hoch</v>
      </c>
      <c r="E635" t="s">
        <v>362</v>
      </c>
      <c r="F635" t="str">
        <f>VLOOKUP(A2039,[2]Kreise!$A$2:$C$53,3,FALSE)</f>
        <v>K030</v>
      </c>
      <c r="G635">
        <f>'2020_5-2-2_Download'!AB19</f>
        <v>28.992028799177167</v>
      </c>
    </row>
    <row r="636" spans="1:7">
      <c r="A636">
        <f>'2020_5-2-2_Download'!B20</f>
        <v>1</v>
      </c>
      <c r="B636">
        <f>'2020_5-2-2_Download'!$Y$5</f>
        <v>2017</v>
      </c>
      <c r="C636" t="str">
        <f>VLOOKUP(A2040,[1]Tabelle1!$A$1:$B$68,2,FALSE)</f>
        <v>Niedersachsen</v>
      </c>
      <c r="D636" t="str">
        <f>'2020_5-2-2_Download'!$AB$7</f>
        <v>hoch</v>
      </c>
      <c r="E636" t="s">
        <v>362</v>
      </c>
      <c r="F636" t="str">
        <f>VLOOKUP(A2040,[2]Kreise!$A$2:$C$53,3,FALSE)</f>
        <v>K030</v>
      </c>
      <c r="G636">
        <f>'2020_5-2-2_Download'!AB20</f>
        <v>19.103616067169163</v>
      </c>
    </row>
    <row r="637" spans="1:7">
      <c r="A637">
        <f>'2020_5-2-2_Download'!B21</f>
        <v>241</v>
      </c>
      <c r="B637">
        <f>'2020_5-2-2_Download'!$Y$5</f>
        <v>2017</v>
      </c>
      <c r="C637" t="str">
        <f>VLOOKUP(A2041,[1]Tabelle1!$A$1:$B$68,2,FALSE)</f>
        <v>Niedersachsen</v>
      </c>
      <c r="D637" t="str">
        <f>'2020_5-2-2_Download'!$AB$7</f>
        <v>hoch</v>
      </c>
      <c r="E637" t="s">
        <v>362</v>
      </c>
      <c r="F637" t="str">
        <f>VLOOKUP(A2041,[2]Kreise!$A$2:$C$53,3,FALSE)</f>
        <v>K030</v>
      </c>
      <c r="G637">
        <f>'2020_5-2-2_Download'!AB21</f>
        <v>12.528451646791044</v>
      </c>
    </row>
    <row r="638" spans="1:7">
      <c r="A638">
        <f>'2020_5-2-2_Download'!B22</f>
        <v>241001</v>
      </c>
      <c r="B638">
        <f>'2020_5-2-2_Download'!$Y$5</f>
        <v>2017</v>
      </c>
      <c r="C638" t="str">
        <f>VLOOKUP(A2042,[1]Tabelle1!$A$1:$B$68,2,FALSE)</f>
        <v>Niedersachsen</v>
      </c>
      <c r="D638" t="str">
        <f>'2020_5-2-2_Download'!$AB$7</f>
        <v>hoch</v>
      </c>
      <c r="E638" t="s">
        <v>362</v>
      </c>
      <c r="F638" t="str">
        <f>VLOOKUP(A2042,[2]Kreise!$A$2:$C$53,3,FALSE)</f>
        <v>K030</v>
      </c>
      <c r="G638">
        <f>'2020_5-2-2_Download'!AB22</f>
        <v>15.213832921639236</v>
      </c>
    </row>
    <row r="639" spans="1:7">
      <c r="A639">
        <f>'2020_5-2-2_Download'!B23</f>
        <v>241999</v>
      </c>
      <c r="B639">
        <f>'2020_5-2-2_Download'!$Y$5</f>
        <v>2017</v>
      </c>
      <c r="C639" t="str">
        <f>VLOOKUP(A2043,[1]Tabelle1!$A$1:$B$68,2,FALSE)</f>
        <v>Niedersachsen</v>
      </c>
      <c r="D639" t="str">
        <f>'2020_5-2-2_Download'!$AB$7</f>
        <v>hoch</v>
      </c>
      <c r="E639" t="s">
        <v>362</v>
      </c>
      <c r="F639" t="str">
        <f>VLOOKUP(A2043,[2]Kreise!$A$2:$C$53,3,FALSE)</f>
        <v>K030</v>
      </c>
      <c r="G639">
        <f>'2020_5-2-2_Download'!AB23</f>
        <v>7.4598359734861255</v>
      </c>
    </row>
    <row r="640" spans="1:7">
      <c r="A640">
        <f>'2020_5-2-2_Download'!B24</f>
        <v>251</v>
      </c>
      <c r="B640">
        <f>'2020_5-2-2_Download'!$Y$5</f>
        <v>2017</v>
      </c>
      <c r="C640" t="str">
        <f>VLOOKUP(A2044,[1]Tabelle1!$A$1:$B$68,2,FALSE)</f>
        <v>Niedersachsen</v>
      </c>
      <c r="D640" t="str">
        <f>'2020_5-2-2_Download'!$AB$7</f>
        <v>hoch</v>
      </c>
      <c r="E640" t="s">
        <v>362</v>
      </c>
      <c r="F640" t="str">
        <f>VLOOKUP(A2044,[2]Kreise!$A$2:$C$53,3,FALSE)</f>
        <v>K030</v>
      </c>
      <c r="G640">
        <f>'2020_5-2-2_Download'!AB24</f>
        <v>7.690708792350863</v>
      </c>
    </row>
    <row r="641" spans="1:7">
      <c r="A641">
        <f>'2020_5-2-2_Download'!B25</f>
        <v>252</v>
      </c>
      <c r="B641">
        <f>'2020_5-2-2_Download'!$Y$5</f>
        <v>2017</v>
      </c>
      <c r="C641" t="str">
        <f>VLOOKUP(A2045,[1]Tabelle1!$A$1:$B$68,2,FALSE)</f>
        <v>Niedersachsen</v>
      </c>
      <c r="D641" t="str">
        <f>'2020_5-2-2_Download'!$AB$7</f>
        <v>hoch</v>
      </c>
      <c r="E641" t="s">
        <v>362</v>
      </c>
      <c r="F641" t="str">
        <f>VLOOKUP(A2045,[2]Kreise!$A$2:$C$53,3,FALSE)</f>
        <v>K030</v>
      </c>
      <c r="G641">
        <f>'2020_5-2-2_Download'!AB25</f>
        <v>10.733944954128441</v>
      </c>
    </row>
    <row r="642" spans="1:7">
      <c r="A642">
        <f>'2020_5-2-2_Download'!B26</f>
        <v>254</v>
      </c>
      <c r="B642">
        <f>'2020_5-2-2_Download'!$Y$5</f>
        <v>2017</v>
      </c>
      <c r="C642" t="str">
        <f>VLOOKUP(A2046,[1]Tabelle1!$A$1:$B$68,2,FALSE)</f>
        <v>Niedersachsen</v>
      </c>
      <c r="D642" t="str">
        <f>'2020_5-2-2_Download'!$AB$7</f>
        <v>hoch</v>
      </c>
      <c r="E642" t="s">
        <v>362</v>
      </c>
      <c r="F642" t="str">
        <f>VLOOKUP(A2046,[2]Kreise!$A$2:$C$53,3,FALSE)</f>
        <v>K030</v>
      </c>
      <c r="G642">
        <f>'2020_5-2-2_Download'!AB26</f>
        <v>15.027755749405234</v>
      </c>
    </row>
    <row r="643" spans="1:7">
      <c r="A643">
        <f>'2020_5-2-2_Download'!B27</f>
        <v>255</v>
      </c>
      <c r="B643">
        <f>'2020_5-2-2_Download'!$Y$5</f>
        <v>2017</v>
      </c>
      <c r="C643" t="str">
        <f>VLOOKUP(A2047,[1]Tabelle1!$A$1:$B$68,2,FALSE)</f>
        <v>Niedersachsen</v>
      </c>
      <c r="D643" t="str">
        <f>'2020_5-2-2_Download'!$AB$7</f>
        <v>hoch</v>
      </c>
      <c r="E643" t="s">
        <v>362</v>
      </c>
      <c r="F643" t="str">
        <f>VLOOKUP(A2047,[2]Kreise!$A$2:$C$53,3,FALSE)</f>
        <v>K030</v>
      </c>
      <c r="G643">
        <f>'2020_5-2-2_Download'!AB27</f>
        <v>11.121323529411764</v>
      </c>
    </row>
    <row r="644" spans="1:7">
      <c r="A644">
        <f>'2020_5-2-2_Download'!B28</f>
        <v>256</v>
      </c>
      <c r="B644">
        <f>'2020_5-2-2_Download'!$Y$5</f>
        <v>2017</v>
      </c>
      <c r="C644" t="str">
        <f>VLOOKUP(A2048,[1]Tabelle1!$A$1:$B$68,2,FALSE)</f>
        <v>Niedersachsen</v>
      </c>
      <c r="D644" t="str">
        <f>'2020_5-2-2_Download'!$AB$7</f>
        <v>hoch</v>
      </c>
      <c r="E644" t="s">
        <v>362</v>
      </c>
      <c r="F644" t="str">
        <f>VLOOKUP(A2048,[2]Kreise!$A$2:$C$53,3,FALSE)</f>
        <v>K030</v>
      </c>
      <c r="G644">
        <f>'2020_5-2-2_Download'!AB28</f>
        <v>6.7841079460269862</v>
      </c>
    </row>
    <row r="645" spans="1:7">
      <c r="A645">
        <f>'2020_5-2-2_Download'!B29</f>
        <v>257</v>
      </c>
      <c r="B645">
        <f>'2020_5-2-2_Download'!$Y$5</f>
        <v>2017</v>
      </c>
      <c r="C645" t="str">
        <f>VLOOKUP(A2049,[1]Tabelle1!$A$1:$B$68,2,FALSE)</f>
        <v>Niedersachsen</v>
      </c>
      <c r="D645" t="str">
        <f>'2020_5-2-2_Download'!$AB$7</f>
        <v>hoch</v>
      </c>
      <c r="E645" t="s">
        <v>362</v>
      </c>
      <c r="F645" t="str">
        <f>VLOOKUP(A2049,[2]Kreise!$A$2:$C$53,3,FALSE)</f>
        <v>K030</v>
      </c>
      <c r="G645">
        <f>'2020_5-2-2_Download'!AB29</f>
        <v>7.4848280512474723</v>
      </c>
    </row>
    <row r="646" spans="1:7">
      <c r="A646">
        <f>'2020_5-2-2_Download'!B30</f>
        <v>2</v>
      </c>
      <c r="B646">
        <f>'2020_5-2-2_Download'!$Y$5</f>
        <v>2017</v>
      </c>
      <c r="C646" t="str">
        <f>VLOOKUP(A2050,[1]Tabelle1!$A$1:$B$68,2,FALSE)</f>
        <v>Niedersachsen</v>
      </c>
      <c r="D646" t="str">
        <f>'2020_5-2-2_Download'!$AB$7</f>
        <v>hoch</v>
      </c>
      <c r="E646" t="s">
        <v>362</v>
      </c>
      <c r="F646" t="str">
        <f>VLOOKUP(A2050,[2]Kreise!$A$2:$C$53,3,FALSE)</f>
        <v>K030</v>
      </c>
      <c r="G646">
        <f>'2020_5-2-2_Download'!AB30</f>
        <v>11.849824561403508</v>
      </c>
    </row>
    <row r="647" spans="1:7">
      <c r="A647">
        <f>'2020_5-2-2_Download'!B31</f>
        <v>351</v>
      </c>
      <c r="B647">
        <f>'2020_5-2-2_Download'!$Y$5</f>
        <v>2017</v>
      </c>
      <c r="C647" t="str">
        <f>VLOOKUP(A2051,[1]Tabelle1!$A$1:$B$68,2,FALSE)</f>
        <v>Niedersachsen</v>
      </c>
      <c r="D647" t="str">
        <f>'2020_5-2-2_Download'!$AB$7</f>
        <v>hoch</v>
      </c>
      <c r="E647" t="s">
        <v>362</v>
      </c>
      <c r="F647" t="str">
        <f>VLOOKUP(A2051,[2]Kreise!$A$2:$C$53,3,FALSE)</f>
        <v>K030</v>
      </c>
      <c r="G647">
        <f>'2020_5-2-2_Download'!AB31</f>
        <v>14.276380267886314</v>
      </c>
    </row>
    <row r="648" spans="1:7">
      <c r="A648">
        <f>'2020_5-2-2_Download'!B32</f>
        <v>352</v>
      </c>
      <c r="B648">
        <f>'2020_5-2-2_Download'!$Y$5</f>
        <v>2017</v>
      </c>
      <c r="C648" t="str">
        <f>VLOOKUP(A2052,[1]Tabelle1!$A$1:$B$68,2,FALSE)</f>
        <v>Niedersachsen</v>
      </c>
      <c r="D648" t="str">
        <f>'2020_5-2-2_Download'!$AB$7</f>
        <v>hoch</v>
      </c>
      <c r="E648" t="s">
        <v>362</v>
      </c>
      <c r="F648" t="str">
        <f>VLOOKUP(A2052,[2]Kreise!$A$2:$C$53,3,FALSE)</f>
        <v>K030</v>
      </c>
      <c r="G648">
        <f>'2020_5-2-2_Download'!AB32</f>
        <v>6.6330591668877688</v>
      </c>
    </row>
    <row r="649" spans="1:7">
      <c r="A649">
        <f>'2020_5-2-2_Download'!B33</f>
        <v>353</v>
      </c>
      <c r="B649">
        <f>'2020_5-2-2_Download'!$Y$5</f>
        <v>2017</v>
      </c>
      <c r="C649" t="str">
        <f>VLOOKUP(A2053,[1]Tabelle1!$A$1:$B$68,2,FALSE)</f>
        <v>Niedersachsen</v>
      </c>
      <c r="D649" t="str">
        <f>'2020_5-2-2_Download'!$AB$7</f>
        <v>hoch</v>
      </c>
      <c r="E649" t="s">
        <v>362</v>
      </c>
      <c r="F649" t="str">
        <f>VLOOKUP(A2053,[2]Kreise!$A$2:$C$53,3,FALSE)</f>
        <v>K030</v>
      </c>
      <c r="G649">
        <f>'2020_5-2-2_Download'!AB33</f>
        <v>6.0893316195372744</v>
      </c>
    </row>
    <row r="650" spans="1:7">
      <c r="A650">
        <f>'2020_5-2-2_Download'!B34</f>
        <v>354</v>
      </c>
      <c r="B650">
        <f>'2020_5-2-2_Download'!$Y$5</f>
        <v>2017</v>
      </c>
      <c r="C650" t="str">
        <f>VLOOKUP(A2054,[1]Tabelle1!$A$1:$B$68,2,FALSE)</f>
        <v>Niedersachsen</v>
      </c>
      <c r="D650" t="str">
        <f>'2020_5-2-2_Download'!$AB$7</f>
        <v>hoch</v>
      </c>
      <c r="E650" t="s">
        <v>362</v>
      </c>
      <c r="F650" t="str">
        <f>VLOOKUP(A2054,[2]Kreise!$A$2:$C$53,3,FALSE)</f>
        <v>K030</v>
      </c>
      <c r="G650">
        <f>'2020_5-2-2_Download'!AB34</f>
        <v>8.5626911314984699</v>
      </c>
    </row>
    <row r="651" spans="1:7">
      <c r="A651">
        <f>'2020_5-2-2_Download'!B35</f>
        <v>355</v>
      </c>
      <c r="B651">
        <f>'2020_5-2-2_Download'!$Y$5</f>
        <v>2017</v>
      </c>
      <c r="C651" t="str">
        <f>VLOOKUP(A2055,[1]Tabelle1!$A$1:$B$68,2,FALSE)</f>
        <v>Niedersachsen</v>
      </c>
      <c r="D651" t="str">
        <f>'2020_5-2-2_Download'!$AB$7</f>
        <v>hoch</v>
      </c>
      <c r="E651" t="s">
        <v>362</v>
      </c>
      <c r="F651" t="str">
        <f>VLOOKUP(A2055,[2]Kreise!$A$2:$C$53,3,FALSE)</f>
        <v>K030</v>
      </c>
      <c r="G651">
        <f>'2020_5-2-2_Download'!AB35</f>
        <v>14.56</v>
      </c>
    </row>
    <row r="652" spans="1:7">
      <c r="A652">
        <f>'2020_5-2-2_Download'!B36</f>
        <v>356</v>
      </c>
      <c r="B652">
        <f>'2020_5-2-2_Download'!$Y$5</f>
        <v>2017</v>
      </c>
      <c r="C652" t="str">
        <f>VLOOKUP(A2056,[1]Tabelle1!$A$1:$B$68,2,FALSE)</f>
        <v>Niedersachsen</v>
      </c>
      <c r="D652" t="str">
        <f>'2020_5-2-2_Download'!$AB$7</f>
        <v>hoch</v>
      </c>
      <c r="E652" t="s">
        <v>362</v>
      </c>
      <c r="F652" t="str">
        <f>VLOOKUP(A2056,[2]Kreise!$A$2:$C$53,3,FALSE)</f>
        <v>K030</v>
      </c>
      <c r="G652">
        <f>'2020_5-2-2_Download'!AB36</f>
        <v>10.395707578806171</v>
      </c>
    </row>
    <row r="653" spans="1:7">
      <c r="A653">
        <f>'2020_5-2-2_Download'!B37</f>
        <v>357</v>
      </c>
      <c r="B653">
        <f>'2020_5-2-2_Download'!$Y$5</f>
        <v>2017</v>
      </c>
      <c r="C653" t="str">
        <f>VLOOKUP(A2057,[1]Tabelle1!$A$1:$B$68,2,FALSE)</f>
        <v>Niedersachsen</v>
      </c>
      <c r="D653" t="str">
        <f>'2020_5-2-2_Download'!$AB$7</f>
        <v>hoch</v>
      </c>
      <c r="E653" t="s">
        <v>362</v>
      </c>
      <c r="F653" t="str">
        <f>VLOOKUP(A2057,[2]Kreise!$A$2:$C$53,3,FALSE)</f>
        <v>K030</v>
      </c>
      <c r="G653">
        <f>'2020_5-2-2_Download'!AB37</f>
        <v>8.9094159713945178</v>
      </c>
    </row>
    <row r="654" spans="1:7">
      <c r="A654">
        <f>'2020_5-2-2_Download'!B38</f>
        <v>358</v>
      </c>
      <c r="B654">
        <f>'2020_5-2-2_Download'!$Y$5</f>
        <v>2017</v>
      </c>
      <c r="C654" t="str">
        <f>VLOOKUP(A2058,[1]Tabelle1!$A$1:$B$68,2,FALSE)</f>
        <v>Niedersachsen</v>
      </c>
      <c r="D654" t="str">
        <f>'2020_5-2-2_Download'!$AB$7</f>
        <v>hoch</v>
      </c>
      <c r="E654" t="s">
        <v>362</v>
      </c>
      <c r="F654" t="str">
        <f>VLOOKUP(A2058,[2]Kreise!$A$2:$C$53,3,FALSE)</f>
        <v>K030</v>
      </c>
      <c r="G654">
        <f>'2020_5-2-2_Download'!AB38</f>
        <v>7.5379939209726441</v>
      </c>
    </row>
    <row r="655" spans="1:7">
      <c r="A655">
        <f>'2020_5-2-2_Download'!B39</f>
        <v>359</v>
      </c>
      <c r="B655">
        <f>'2020_5-2-2_Download'!$Y$5</f>
        <v>2017</v>
      </c>
      <c r="C655" t="str">
        <f>VLOOKUP(A2059,[1]Tabelle1!$A$1:$B$68,2,FALSE)</f>
        <v>Niedersachsen</v>
      </c>
      <c r="D655" t="str">
        <f>'2020_5-2-2_Download'!$AB$7</f>
        <v>hoch</v>
      </c>
      <c r="E655" t="s">
        <v>362</v>
      </c>
      <c r="F655" t="str">
        <f>VLOOKUP(A2059,[2]Kreise!$A$2:$C$53,3,FALSE)</f>
        <v>K030</v>
      </c>
      <c r="G655">
        <f>'2020_5-2-2_Download'!AB39</f>
        <v>7.9973416038989802</v>
      </c>
    </row>
    <row r="656" spans="1:7">
      <c r="A656">
        <f>'2020_5-2-2_Download'!B40</f>
        <v>360</v>
      </c>
      <c r="B656">
        <f>'2020_5-2-2_Download'!$Y$5</f>
        <v>2017</v>
      </c>
      <c r="C656" t="str">
        <f>VLOOKUP(A2060,[1]Tabelle1!$A$1:$B$68,2,FALSE)</f>
        <v>Niedersachsen</v>
      </c>
      <c r="D656" t="str">
        <f>'2020_5-2-2_Download'!$AB$7</f>
        <v>hoch</v>
      </c>
      <c r="E656" t="s">
        <v>362</v>
      </c>
      <c r="F656" t="str">
        <f>VLOOKUP(A2060,[2]Kreise!$A$2:$C$53,3,FALSE)</f>
        <v>K030</v>
      </c>
      <c r="G656">
        <f>'2020_5-2-2_Download'!AB40</f>
        <v>16.626506024096386</v>
      </c>
    </row>
    <row r="657" spans="1:7">
      <c r="A657">
        <f>'2020_5-2-2_Download'!B41</f>
        <v>361</v>
      </c>
      <c r="B657">
        <f>'2020_5-2-2_Download'!$Y$5</f>
        <v>2017</v>
      </c>
      <c r="C657" t="str">
        <f>VLOOKUP(A2061,[1]Tabelle1!$A$1:$B$68,2,FALSE)</f>
        <v>Niedersachsen</v>
      </c>
      <c r="D657" t="str">
        <f>'2020_5-2-2_Download'!$AB$7</f>
        <v>hoch</v>
      </c>
      <c r="E657" t="s">
        <v>362</v>
      </c>
      <c r="F657" t="str">
        <f>VLOOKUP(A2061,[2]Kreise!$A$2:$C$53,3,FALSE)</f>
        <v>K030</v>
      </c>
      <c r="G657">
        <f>'2020_5-2-2_Download'!AB41</f>
        <v>9.2415221330572095</v>
      </c>
    </row>
    <row r="658" spans="1:7">
      <c r="A658">
        <f>'2020_5-2-2_Download'!B42</f>
        <v>3</v>
      </c>
      <c r="B658">
        <f>'2020_5-2-2_Download'!$Y$5</f>
        <v>2017</v>
      </c>
      <c r="C658" t="str">
        <f>VLOOKUP(A2062,[1]Tabelle1!$A$1:$B$68,2,FALSE)</f>
        <v>Niedersachsen</v>
      </c>
      <c r="D658" t="str">
        <f>'2020_5-2-2_Download'!$AB$7</f>
        <v>hoch</v>
      </c>
      <c r="E658" t="s">
        <v>362</v>
      </c>
      <c r="F658" t="str">
        <f>VLOOKUP(A2062,[2]Kreise!$A$2:$C$53,3,FALSE)</f>
        <v>K030</v>
      </c>
      <c r="G658">
        <f>'2020_5-2-2_Download'!AB42</f>
        <v>9.2622571692876967</v>
      </c>
    </row>
    <row r="659" spans="1:7">
      <c r="A659">
        <f>'2020_5-2-2_Download'!B43</f>
        <v>401</v>
      </c>
      <c r="B659">
        <f>'2020_5-2-2_Download'!$Y$5</f>
        <v>2017</v>
      </c>
      <c r="C659" t="str">
        <f>VLOOKUP(A2063,[1]Tabelle1!$A$1:$B$68,2,FALSE)</f>
        <v>Niedersachsen</v>
      </c>
      <c r="D659" t="str">
        <f>'2020_5-2-2_Download'!$AB$7</f>
        <v>hoch</v>
      </c>
      <c r="E659" t="s">
        <v>362</v>
      </c>
      <c r="F659" t="str">
        <f>VLOOKUP(A2063,[2]Kreise!$A$2:$C$53,3,FALSE)</f>
        <v>K030</v>
      </c>
      <c r="G659">
        <f>'2020_5-2-2_Download'!AB43</f>
        <v>8.984375</v>
      </c>
    </row>
    <row r="660" spans="1:7">
      <c r="A660">
        <f>'2020_5-2-2_Download'!B44</f>
        <v>402</v>
      </c>
      <c r="B660">
        <f>'2020_5-2-2_Download'!$Y$5</f>
        <v>2017</v>
      </c>
      <c r="C660" t="str">
        <f>VLOOKUP(A2064,[1]Tabelle1!$A$1:$B$68,2,FALSE)</f>
        <v>Niedersachsen</v>
      </c>
      <c r="D660" t="str">
        <f>'2020_5-2-2_Download'!$AB$7</f>
        <v>hoch</v>
      </c>
      <c r="E660" t="s">
        <v>362</v>
      </c>
      <c r="F660" t="str">
        <f>VLOOKUP(A2064,[2]Kreise!$A$2:$C$53,3,FALSE)</f>
        <v>K030</v>
      </c>
      <c r="G660">
        <f>'2020_5-2-2_Download'!AB44</f>
        <v>9.8704503392967311</v>
      </c>
    </row>
    <row r="661" spans="1:7">
      <c r="A661">
        <f>'2020_5-2-2_Download'!B45</f>
        <v>403</v>
      </c>
      <c r="B661">
        <f>'2020_5-2-2_Download'!$Y$5</f>
        <v>2017</v>
      </c>
      <c r="C661" t="str">
        <f>VLOOKUP(A2065,[1]Tabelle1!$A$1:$B$68,2,FALSE)</f>
        <v>Niedersachsen</v>
      </c>
      <c r="D661" t="str">
        <f>'2020_5-2-2_Download'!$AB$7</f>
        <v>hoch</v>
      </c>
      <c r="E661" t="s">
        <v>362</v>
      </c>
      <c r="F661" t="str">
        <f>VLOOKUP(A2065,[2]Kreise!$A$2:$C$53,3,FALSE)</f>
        <v>K030</v>
      </c>
      <c r="G661">
        <f>'2020_5-2-2_Download'!AB45</f>
        <v>18.253599628425452</v>
      </c>
    </row>
    <row r="662" spans="1:7">
      <c r="A662">
        <f>'2020_5-2-2_Download'!B46</f>
        <v>404</v>
      </c>
      <c r="B662">
        <f>'2020_5-2-2_Download'!$Y$5</f>
        <v>2017</v>
      </c>
      <c r="C662" t="str">
        <f>VLOOKUP(A2066,[1]Tabelle1!$A$1:$B$68,2,FALSE)</f>
        <v>Niedersachsen</v>
      </c>
      <c r="D662" t="str">
        <f>'2020_5-2-2_Download'!$AB$7</f>
        <v>hoch</v>
      </c>
      <c r="E662" t="s">
        <v>362</v>
      </c>
      <c r="F662" t="str">
        <f>VLOOKUP(A2066,[2]Kreise!$A$2:$C$53,3,FALSE)</f>
        <v>K030</v>
      </c>
      <c r="G662">
        <f>'2020_5-2-2_Download'!AB46</f>
        <v>10.265232974910395</v>
      </c>
    </row>
    <row r="663" spans="1:7">
      <c r="A663">
        <f>'2020_5-2-2_Download'!B47</f>
        <v>405</v>
      </c>
      <c r="B663">
        <f>'2020_5-2-2_Download'!$Y$5</f>
        <v>2017</v>
      </c>
      <c r="C663" t="str">
        <f>VLOOKUP(A2067,[1]Tabelle1!$A$1:$B$68,2,FALSE)</f>
        <v>Niedersachsen</v>
      </c>
      <c r="D663" t="str">
        <f>'2020_5-2-2_Download'!$AB$7</f>
        <v>hoch</v>
      </c>
      <c r="E663" t="s">
        <v>362</v>
      </c>
      <c r="F663" t="str">
        <f>VLOOKUP(A2067,[2]Kreise!$A$2:$C$53,3,FALSE)</f>
        <v>K030</v>
      </c>
      <c r="G663">
        <f>'2020_5-2-2_Download'!AB47</f>
        <v>14.98344370860927</v>
      </c>
    </row>
    <row r="664" spans="1:7">
      <c r="A664">
        <f>'2020_5-2-2_Download'!B48</f>
        <v>451</v>
      </c>
      <c r="B664">
        <f>'2020_5-2-2_Download'!$Y$5</f>
        <v>2017</v>
      </c>
      <c r="C664" t="str">
        <f>VLOOKUP(A2068,[1]Tabelle1!$A$1:$B$68,2,FALSE)</f>
        <v>Niedersachsen</v>
      </c>
      <c r="D664" t="str">
        <f>'2020_5-2-2_Download'!$AB$7</f>
        <v>hoch</v>
      </c>
      <c r="E664" t="s">
        <v>362</v>
      </c>
      <c r="F664" t="str">
        <f>VLOOKUP(A2068,[2]Kreise!$A$2:$C$53,3,FALSE)</f>
        <v>K030</v>
      </c>
      <c r="G664">
        <f>'2020_5-2-2_Download'!AB48</f>
        <v>5.5896387184730747</v>
      </c>
    </row>
    <row r="665" spans="1:7">
      <c r="A665">
        <f>'2020_5-2-2_Download'!B49</f>
        <v>452</v>
      </c>
      <c r="B665">
        <f>'2020_5-2-2_Download'!$Y$5</f>
        <v>2017</v>
      </c>
      <c r="C665" t="str">
        <f>VLOOKUP(A2069,[1]Tabelle1!$A$1:$B$68,2,FALSE)</f>
        <v>Niedersachsen</v>
      </c>
      <c r="D665" t="str">
        <f>'2020_5-2-2_Download'!$AB$7</f>
        <v>hoch</v>
      </c>
      <c r="E665" t="s">
        <v>362</v>
      </c>
      <c r="F665" t="str">
        <f>VLOOKUP(A2069,[2]Kreise!$A$2:$C$53,3,FALSE)</f>
        <v>K030</v>
      </c>
      <c r="G665">
        <f>'2020_5-2-2_Download'!AB49</f>
        <v>8.4646670055922719</v>
      </c>
    </row>
    <row r="666" spans="1:7">
      <c r="A666">
        <f>'2020_5-2-2_Download'!B50</f>
        <v>453</v>
      </c>
      <c r="B666">
        <f>'2020_5-2-2_Download'!$Y$5</f>
        <v>2017</v>
      </c>
      <c r="C666" t="str">
        <f>VLOOKUP(A2070,[1]Tabelle1!$A$1:$B$68,2,FALSE)</f>
        <v>Niedersachsen</v>
      </c>
      <c r="D666" t="str">
        <f>'2020_5-2-2_Download'!$AB$7</f>
        <v>hoch</v>
      </c>
      <c r="E666" t="s">
        <v>362</v>
      </c>
      <c r="F666" t="str">
        <f>VLOOKUP(A2070,[2]Kreise!$A$2:$C$53,3,FALSE)</f>
        <v>K030</v>
      </c>
      <c r="G666">
        <f>'2020_5-2-2_Download'!AB50</f>
        <v>2.9011099899091826</v>
      </c>
    </row>
    <row r="667" spans="1:7">
      <c r="A667">
        <f>'2020_5-2-2_Download'!B51</f>
        <v>454</v>
      </c>
      <c r="B667">
        <f>'2020_5-2-2_Download'!$Y$5</f>
        <v>2017</v>
      </c>
      <c r="C667" t="str">
        <f>VLOOKUP(A2071,[1]Tabelle1!$A$1:$B$68,2,FALSE)</f>
        <v>Niedersachsen</v>
      </c>
      <c r="D667" t="str">
        <f>'2020_5-2-2_Download'!$AB$7</f>
        <v>hoch</v>
      </c>
      <c r="E667" t="s">
        <v>362</v>
      </c>
      <c r="F667" t="str">
        <f>VLOOKUP(A2071,[2]Kreise!$A$2:$C$53,3,FALSE)</f>
        <v>K030</v>
      </c>
      <c r="G667">
        <f>'2020_5-2-2_Download'!AB51</f>
        <v>6.7183462532299743</v>
      </c>
    </row>
    <row r="668" spans="1:7">
      <c r="A668">
        <f>'2020_5-2-2_Download'!B52</f>
        <v>455</v>
      </c>
      <c r="B668">
        <f>'2020_5-2-2_Download'!$Y$5</f>
        <v>2017</v>
      </c>
      <c r="C668" t="str">
        <f>VLOOKUP(A2072,[1]Tabelle1!$A$1:$B$68,2,FALSE)</f>
        <v>Niedersachsen</v>
      </c>
      <c r="D668" t="str">
        <f>'2020_5-2-2_Download'!$AB$7</f>
        <v>hoch</v>
      </c>
      <c r="E668" t="s">
        <v>362</v>
      </c>
      <c r="F668" t="str">
        <f>VLOOKUP(A2072,[2]Kreise!$A$2:$C$53,3,FALSE)</f>
        <v>K030</v>
      </c>
      <c r="G668">
        <f>'2020_5-2-2_Download'!AB52</f>
        <v>11.831726555652935</v>
      </c>
    </row>
    <row r="669" spans="1:7">
      <c r="A669">
        <f>'2020_5-2-2_Download'!B53</f>
        <v>456</v>
      </c>
      <c r="B669">
        <f>'2020_5-2-2_Download'!$Y$5</f>
        <v>2017</v>
      </c>
      <c r="C669" t="str">
        <f>VLOOKUP(A2073,[1]Tabelle1!$A$1:$B$68,2,FALSE)</f>
        <v>Niedersachsen</v>
      </c>
      <c r="D669" t="str">
        <f>'2020_5-2-2_Download'!$AB$7</f>
        <v>hoch</v>
      </c>
      <c r="E669" t="s">
        <v>362</v>
      </c>
      <c r="F669" t="str">
        <f>VLOOKUP(A2073,[2]Kreise!$A$2:$C$53,3,FALSE)</f>
        <v>K030</v>
      </c>
      <c r="G669">
        <f>'2020_5-2-2_Download'!AB53</f>
        <v>6.3066863530900656</v>
      </c>
    </row>
    <row r="670" spans="1:7">
      <c r="A670">
        <f>'2020_5-2-2_Download'!B54</f>
        <v>457</v>
      </c>
      <c r="B670">
        <f>'2020_5-2-2_Download'!$Y$5</f>
        <v>2017</v>
      </c>
      <c r="C670" t="str">
        <f>VLOOKUP(A2074,[1]Tabelle1!$A$1:$B$68,2,FALSE)</f>
        <v>Niedersachsen</v>
      </c>
      <c r="D670" t="str">
        <f>'2020_5-2-2_Download'!$AB$7</f>
        <v>hoch</v>
      </c>
      <c r="E670" t="s">
        <v>362</v>
      </c>
      <c r="F670" t="str">
        <f>VLOOKUP(A2074,[2]Kreise!$A$2:$C$53,3,FALSE)</f>
        <v>K030</v>
      </c>
      <c r="G670">
        <f>'2020_5-2-2_Download'!AB54</f>
        <v>9.3520140105078813</v>
      </c>
    </row>
    <row r="671" spans="1:7">
      <c r="A671">
        <f>'2020_5-2-2_Download'!B55</f>
        <v>458</v>
      </c>
      <c r="B671">
        <f>'2020_5-2-2_Download'!$Y$5</f>
        <v>2017</v>
      </c>
      <c r="C671" t="str">
        <f>VLOOKUP(A2075,[1]Tabelle1!$A$1:$B$68,2,FALSE)</f>
        <v>Niedersachsen</v>
      </c>
      <c r="D671" t="str">
        <f>'2020_5-2-2_Download'!$AB$7</f>
        <v>hoch</v>
      </c>
      <c r="E671" t="s">
        <v>362</v>
      </c>
      <c r="F671" t="str">
        <f>VLOOKUP(A2075,[2]Kreise!$A$2:$C$53,3,FALSE)</f>
        <v>K030</v>
      </c>
      <c r="G671">
        <f>'2020_5-2-2_Download'!AB55</f>
        <v>4.5077533357374682</v>
      </c>
    </row>
    <row r="672" spans="1:7">
      <c r="A672">
        <f>'2020_5-2-2_Download'!B56</f>
        <v>459</v>
      </c>
      <c r="B672">
        <f>'2020_5-2-2_Download'!$Y$5</f>
        <v>2017</v>
      </c>
      <c r="C672" t="str">
        <f>VLOOKUP(A2076,[1]Tabelle1!$A$1:$B$68,2,FALSE)</f>
        <v>Niedersachsen</v>
      </c>
      <c r="D672" t="str">
        <f>'2020_5-2-2_Download'!$AB$7</f>
        <v>hoch</v>
      </c>
      <c r="E672" t="s">
        <v>362</v>
      </c>
      <c r="F672" t="str">
        <f>VLOOKUP(A2076,[2]Kreise!$A$2:$C$53,3,FALSE)</f>
        <v>K030</v>
      </c>
      <c r="G672">
        <f>'2020_5-2-2_Download'!AB56</f>
        <v>4.3156685336780125</v>
      </c>
    </row>
    <row r="673" spans="1:7">
      <c r="A673">
        <f>'2020_5-2-2_Download'!B57</f>
        <v>460</v>
      </c>
      <c r="B673">
        <f>'2020_5-2-2_Download'!$Y$5</f>
        <v>2017</v>
      </c>
      <c r="C673" t="str">
        <f>VLOOKUP(A2077,[1]Tabelle1!$A$1:$B$68,2,FALSE)</f>
        <v>Niedersachsen</v>
      </c>
      <c r="D673" t="str">
        <f>'2020_5-2-2_Download'!$AB$7</f>
        <v>hoch</v>
      </c>
      <c r="E673" t="s">
        <v>362</v>
      </c>
      <c r="F673" t="str">
        <f>VLOOKUP(A2077,[2]Kreise!$A$2:$C$53,3,FALSE)</f>
        <v>K030</v>
      </c>
      <c r="G673">
        <f>'2020_5-2-2_Download'!AB57</f>
        <v>3.9644641865630206</v>
      </c>
    </row>
    <row r="674" spans="1:7">
      <c r="A674">
        <f>'2020_5-2-2_Download'!B58</f>
        <v>461</v>
      </c>
      <c r="B674">
        <f>'2020_5-2-2_Download'!$Y$5</f>
        <v>2017</v>
      </c>
      <c r="C674" t="str">
        <f>VLOOKUP(A2078,[1]Tabelle1!$A$1:$B$68,2,FALSE)</f>
        <v>Niedersachsen</v>
      </c>
      <c r="D674" t="str">
        <f>'2020_5-2-2_Download'!$AB$7</f>
        <v>hoch</v>
      </c>
      <c r="E674" t="s">
        <v>362</v>
      </c>
      <c r="F674" t="str">
        <f>VLOOKUP(A2078,[2]Kreise!$A$2:$C$53,3,FALSE)</f>
        <v>K030</v>
      </c>
      <c r="G674">
        <f>'2020_5-2-2_Download'!AB58</f>
        <v>6.0923369823893383</v>
      </c>
    </row>
    <row r="675" spans="1:7">
      <c r="A675">
        <f>'2020_5-2-2_Download'!B59</f>
        <v>462</v>
      </c>
      <c r="B675">
        <f>'2020_5-2-2_Download'!$Y$5</f>
        <v>2017</v>
      </c>
      <c r="C675" t="str">
        <f>VLOOKUP(A2079,[1]Tabelle1!$A$1:$B$68,2,FALSE)</f>
        <v>Niedersachsen</v>
      </c>
      <c r="D675" t="str">
        <f>'2020_5-2-2_Download'!$AB$7</f>
        <v>hoch</v>
      </c>
      <c r="E675" t="s">
        <v>362</v>
      </c>
      <c r="F675" t="str">
        <f>VLOOKUP(A2079,[2]Kreise!$A$2:$C$53,3,FALSE)</f>
        <v>K030</v>
      </c>
      <c r="G675">
        <f>'2020_5-2-2_Download'!AB59</f>
        <v>6.1173533083645442</v>
      </c>
    </row>
    <row r="676" spans="1:7">
      <c r="A676">
        <f>'2020_5-2-2_Download'!B60</f>
        <v>4</v>
      </c>
      <c r="B676">
        <f>'2020_5-2-2_Download'!$Y$5</f>
        <v>2017</v>
      </c>
      <c r="C676" t="str">
        <f>VLOOKUP(A2080,[1]Tabelle1!$A$1:$B$68,2,FALSE)</f>
        <v>Niedersachsen</v>
      </c>
      <c r="D676" t="str">
        <f>'2020_5-2-2_Download'!$AB$7</f>
        <v>hoch</v>
      </c>
      <c r="E676" t="s">
        <v>362</v>
      </c>
      <c r="F676" t="str">
        <f>VLOOKUP(A2080,[2]Kreise!$A$2:$C$53,3,FALSE)</f>
        <v>K030</v>
      </c>
      <c r="G676">
        <f>'2020_5-2-2_Download'!AB60</f>
        <v>6.8645781661388181</v>
      </c>
    </row>
    <row r="677" spans="1:7">
      <c r="A677">
        <f>'2020_5-2-2_Download'!B61</f>
        <v>0</v>
      </c>
      <c r="B677">
        <f>'2020_5-2-2_Download'!$Y$5</f>
        <v>2017</v>
      </c>
      <c r="C677" t="str">
        <f>VLOOKUP(A2081,[1]Tabelle1!$A$1:$B$68,2,FALSE)</f>
        <v>Niedersachsen</v>
      </c>
      <c r="D677" t="str">
        <f>'2020_5-2-2_Download'!$AB$7</f>
        <v>hoch</v>
      </c>
      <c r="E677" t="s">
        <v>362</v>
      </c>
      <c r="F677" t="str">
        <f>VLOOKUP(A2081,[2]Kreise!$A$2:$C$53,3,FALSE)</f>
        <v>K030</v>
      </c>
      <c r="G677">
        <f>'2020_5-2-2_Download'!AB61</f>
        <v>11.066448161776075</v>
      </c>
    </row>
    <row r="678" spans="1:7">
      <c r="A678">
        <f>'2020_5-2-2_Download'!B10</f>
        <v>101</v>
      </c>
      <c r="B678">
        <f>'2020_5-2-2_Download'!$Y$5</f>
        <v>2017</v>
      </c>
      <c r="C678" t="str">
        <f>VLOOKUP(A2082,[1]Tabelle1!$A$1:$B$68,2,FALSE)</f>
        <v>Niedersachsen</v>
      </c>
      <c r="D678" t="str">
        <f>'2020_5-2-2_Download'!$AC$7</f>
        <v>mittel</v>
      </c>
      <c r="E678" t="s">
        <v>362</v>
      </c>
      <c r="F678" t="str">
        <f>VLOOKUP(A2082,[2]Kreise!$A$2:$C$53,3,FALSE)</f>
        <v>K030</v>
      </c>
      <c r="G678">
        <f>'2020_5-2-2_Download'!AC10</f>
        <v>29.463890119627823</v>
      </c>
    </row>
    <row r="679" spans="1:7">
      <c r="A679">
        <f>'2020_5-2-2_Download'!B11</f>
        <v>102</v>
      </c>
      <c r="B679">
        <f>'2020_5-2-2_Download'!$Y$5</f>
        <v>2017</v>
      </c>
      <c r="C679" t="str">
        <f>VLOOKUP(A2083,[1]Tabelle1!$A$1:$B$68,2,FALSE)</f>
        <v>Niedersachsen</v>
      </c>
      <c r="D679" t="str">
        <f>'2020_5-2-2_Download'!$AC$7</f>
        <v>mittel</v>
      </c>
      <c r="E679" t="s">
        <v>362</v>
      </c>
      <c r="F679" t="str">
        <f>VLOOKUP(A2083,[2]Kreise!$A$2:$C$53,3,FALSE)</f>
        <v>K030</v>
      </c>
      <c r="G679">
        <f>'2020_5-2-2_Download'!AC11</f>
        <v>42.167462911742518</v>
      </c>
    </row>
    <row r="680" spans="1:7">
      <c r="A680">
        <f>'2020_5-2-2_Download'!B12</f>
        <v>103</v>
      </c>
      <c r="B680">
        <f>'2020_5-2-2_Download'!$Y$5</f>
        <v>2017</v>
      </c>
      <c r="C680" t="str">
        <f>VLOOKUP(A2084,[1]Tabelle1!$A$1:$B$68,2,FALSE)</f>
        <v>Niedersachsen</v>
      </c>
      <c r="D680" t="str">
        <f>'2020_5-2-2_Download'!$AC$7</f>
        <v>mittel</v>
      </c>
      <c r="E680" t="s">
        <v>362</v>
      </c>
      <c r="F680" t="str">
        <f>VLOOKUP(A2084,[2]Kreise!$A$2:$C$53,3,FALSE)</f>
        <v>K030</v>
      </c>
      <c r="G680">
        <f>'2020_5-2-2_Download'!AC12</f>
        <v>34.250867181380777</v>
      </c>
    </row>
    <row r="681" spans="1:7">
      <c r="A681">
        <f>'2020_5-2-2_Download'!B13</f>
        <v>151</v>
      </c>
      <c r="B681">
        <f>'2020_5-2-2_Download'!$Y$5</f>
        <v>2017</v>
      </c>
      <c r="C681" t="str">
        <f>VLOOKUP(A2085,[1]Tabelle1!$A$1:$B$68,2,FALSE)</f>
        <v>Niedersachsen</v>
      </c>
      <c r="D681" t="str">
        <f>'2020_5-2-2_Download'!$AC$7</f>
        <v>mittel</v>
      </c>
      <c r="E681" t="s">
        <v>362</v>
      </c>
      <c r="F681" t="str">
        <f>VLOOKUP(A2085,[2]Kreise!$A$2:$C$53,3,FALSE)</f>
        <v>K030</v>
      </c>
      <c r="G681">
        <f>'2020_5-2-2_Download'!AC13</f>
        <v>28.630193336075688</v>
      </c>
    </row>
    <row r="682" spans="1:7">
      <c r="A682">
        <f>'2020_5-2-2_Download'!B14</f>
        <v>153</v>
      </c>
      <c r="B682">
        <f>'2020_5-2-2_Download'!$Y$5</f>
        <v>2017</v>
      </c>
      <c r="C682" t="str">
        <f>VLOOKUP(A2086,[1]Tabelle1!$A$1:$B$68,2,FALSE)</f>
        <v>Niedersachsen</v>
      </c>
      <c r="D682" t="str">
        <f>'2020_5-2-2_Download'!$AC$7</f>
        <v>mittel</v>
      </c>
      <c r="E682" t="s">
        <v>362</v>
      </c>
      <c r="F682" t="str">
        <f>VLOOKUP(A2086,[2]Kreise!$A$2:$C$53,3,FALSE)</f>
        <v>K030</v>
      </c>
      <c r="G682">
        <f>'2020_5-2-2_Download'!AC14</f>
        <v>30.72765072765073</v>
      </c>
    </row>
    <row r="683" spans="1:7">
      <c r="A683">
        <f>'2020_5-2-2_Download'!B15</f>
        <v>154</v>
      </c>
      <c r="B683">
        <f>'2020_5-2-2_Download'!$Y$5</f>
        <v>2017</v>
      </c>
      <c r="C683" t="str">
        <f>VLOOKUP(A2087,[1]Tabelle1!$A$1:$B$68,2,FALSE)</f>
        <v>Niedersachsen</v>
      </c>
      <c r="D683" t="str">
        <f>'2020_5-2-2_Download'!$AC$7</f>
        <v>mittel</v>
      </c>
      <c r="E683" t="s">
        <v>362</v>
      </c>
      <c r="F683" t="str">
        <f>VLOOKUP(A2087,[2]Kreise!$A$2:$C$53,3,FALSE)</f>
        <v>K030</v>
      </c>
      <c r="G683">
        <f>'2020_5-2-2_Download'!AC15</f>
        <v>41.853281853281857</v>
      </c>
    </row>
    <row r="684" spans="1:7">
      <c r="A684">
        <f>'2020_5-2-2_Download'!B16</f>
        <v>155</v>
      </c>
      <c r="B684">
        <f>'2020_5-2-2_Download'!$Y$5</f>
        <v>2017</v>
      </c>
      <c r="C684" t="str">
        <f>VLOOKUP(A2088,[1]Tabelle1!$A$1:$B$68,2,FALSE)</f>
        <v>Niedersachsen</v>
      </c>
      <c r="D684" t="str">
        <f>'2020_5-2-2_Download'!$AC$7</f>
        <v>mittel</v>
      </c>
      <c r="E684" t="s">
        <v>362</v>
      </c>
      <c r="F684" t="str">
        <f>VLOOKUP(A2088,[2]Kreise!$A$2:$C$53,3,FALSE)</f>
        <v>K030</v>
      </c>
      <c r="G684">
        <f>'2020_5-2-2_Download'!AC16</f>
        <v>47.273411056788269</v>
      </c>
    </row>
    <row r="685" spans="1:7">
      <c r="A685">
        <f>'2020_5-2-2_Download'!B17</f>
        <v>157</v>
      </c>
      <c r="B685">
        <f>'2020_5-2-2_Download'!$Y$5</f>
        <v>2017</v>
      </c>
      <c r="C685" t="str">
        <f>VLOOKUP(A2089,[1]Tabelle1!$A$1:$B$68,2,FALSE)</f>
        <v>Niedersachsen</v>
      </c>
      <c r="D685" t="str">
        <f>'2020_5-2-2_Download'!$AC$7</f>
        <v>mittel</v>
      </c>
      <c r="E685" t="s">
        <v>362</v>
      </c>
      <c r="F685" t="str">
        <f>VLOOKUP(A2089,[2]Kreise!$A$2:$C$53,3,FALSE)</f>
        <v>K030</v>
      </c>
      <c r="G685">
        <f>'2020_5-2-2_Download'!AC17</f>
        <v>34.831970935513169</v>
      </c>
    </row>
    <row r="686" spans="1:7">
      <c r="A686">
        <f>'2020_5-2-2_Download'!B18</f>
        <v>158</v>
      </c>
      <c r="B686">
        <f>'2020_5-2-2_Download'!$Y$5</f>
        <v>2017</v>
      </c>
      <c r="C686" t="str">
        <f>VLOOKUP(A2090,[1]Tabelle1!$A$1:$B$68,2,FALSE)</f>
        <v>Niedersachsen</v>
      </c>
      <c r="D686" t="str">
        <f>'2020_5-2-2_Download'!$AC$7</f>
        <v>mittel</v>
      </c>
      <c r="E686" t="s">
        <v>362</v>
      </c>
      <c r="F686" t="str">
        <f>VLOOKUP(A2090,[2]Kreise!$A$2:$C$53,3,FALSE)</f>
        <v>K030</v>
      </c>
      <c r="G686">
        <f>'2020_5-2-2_Download'!AC18</f>
        <v>40.759075907590756</v>
      </c>
    </row>
    <row r="687" spans="1:7">
      <c r="A687">
        <f>'2020_5-2-2_Download'!B19</f>
        <v>159</v>
      </c>
      <c r="B687">
        <f>'2020_5-2-2_Download'!$Y$5</f>
        <v>2017</v>
      </c>
      <c r="C687" t="str">
        <f>VLOOKUP(A2091,[1]Tabelle1!$A$1:$B$68,2,FALSE)</f>
        <v>Niedersachsen</v>
      </c>
      <c r="D687" t="str">
        <f>'2020_5-2-2_Download'!$AC$7</f>
        <v>mittel</v>
      </c>
      <c r="E687" t="s">
        <v>362</v>
      </c>
      <c r="F687" t="str">
        <f>VLOOKUP(A2091,[2]Kreise!$A$2:$C$53,3,FALSE)</f>
        <v>K030</v>
      </c>
      <c r="G687">
        <f>'2020_5-2-2_Download'!AC19</f>
        <v>29.622010799691438</v>
      </c>
    </row>
    <row r="688" spans="1:7">
      <c r="A688">
        <f>'2020_5-2-2_Download'!B20</f>
        <v>1</v>
      </c>
      <c r="B688">
        <f>'2020_5-2-2_Download'!$Y$5</f>
        <v>2017</v>
      </c>
      <c r="C688" t="str">
        <f>VLOOKUP(A2092,[1]Tabelle1!$A$1:$B$68,2,FALSE)</f>
        <v>Niedersachsen</v>
      </c>
      <c r="D688" t="str">
        <f>'2020_5-2-2_Download'!$AC$7</f>
        <v>mittel</v>
      </c>
      <c r="E688" t="s">
        <v>362</v>
      </c>
      <c r="F688" t="str">
        <f>VLOOKUP(A2092,[2]Kreise!$A$2:$C$53,3,FALSE)</f>
        <v>K030</v>
      </c>
      <c r="G688">
        <f>'2020_5-2-2_Download'!AC20</f>
        <v>33.863658047896195</v>
      </c>
    </row>
    <row r="689" spans="1:7">
      <c r="A689">
        <f>'2020_5-2-2_Download'!B21</f>
        <v>241</v>
      </c>
      <c r="B689">
        <f>'2020_5-2-2_Download'!$Y$5</f>
        <v>2017</v>
      </c>
      <c r="C689" t="str">
        <f>VLOOKUP(A2093,[1]Tabelle1!$A$1:$B$68,2,FALSE)</f>
        <v>Niedersachsen</v>
      </c>
      <c r="D689" t="str">
        <f>'2020_5-2-2_Download'!$AC$7</f>
        <v>mittel</v>
      </c>
      <c r="E689" t="s">
        <v>362</v>
      </c>
      <c r="F689" t="str">
        <f>VLOOKUP(A2093,[2]Kreise!$A$2:$C$53,3,FALSE)</f>
        <v>K030</v>
      </c>
      <c r="G689">
        <f>'2020_5-2-2_Download'!AC21</f>
        <v>33.013637336342242</v>
      </c>
    </row>
    <row r="690" spans="1:7">
      <c r="A690">
        <f>'2020_5-2-2_Download'!B22</f>
        <v>241001</v>
      </c>
      <c r="B690">
        <f>'2020_5-2-2_Download'!$Y$5</f>
        <v>2017</v>
      </c>
      <c r="C690" t="str">
        <f>VLOOKUP(A2094,[1]Tabelle1!$A$1:$B$68,2,FALSE)</f>
        <v>Niedersachsen</v>
      </c>
      <c r="D690" t="str">
        <f>'2020_5-2-2_Download'!$AC$7</f>
        <v>mittel</v>
      </c>
      <c r="E690" t="s">
        <v>362</v>
      </c>
      <c r="F690" t="str">
        <f>VLOOKUP(A2094,[2]Kreise!$A$2:$C$53,3,FALSE)</f>
        <v>K030</v>
      </c>
      <c r="G690">
        <f>'2020_5-2-2_Download'!AC22</f>
        <v>32.046665277819116</v>
      </c>
    </row>
    <row r="691" spans="1:7">
      <c r="A691">
        <f>'2020_5-2-2_Download'!B23</f>
        <v>241999</v>
      </c>
      <c r="B691">
        <f>'2020_5-2-2_Download'!$Y$5</f>
        <v>2017</v>
      </c>
      <c r="C691" t="str">
        <f>VLOOKUP(A2095,[1]Tabelle1!$A$1:$B$68,2,FALSE)</f>
        <v>Niedersachsen</v>
      </c>
      <c r="D691" t="str">
        <f>'2020_5-2-2_Download'!$AC$7</f>
        <v>mittel</v>
      </c>
      <c r="E691" t="s">
        <v>362</v>
      </c>
      <c r="F691" t="str">
        <f>VLOOKUP(A2095,[2]Kreise!$A$2:$C$53,3,FALSE)</f>
        <v>K030</v>
      </c>
      <c r="G691">
        <f>'2020_5-2-2_Download'!AC23</f>
        <v>34.838782159307939</v>
      </c>
    </row>
    <row r="692" spans="1:7">
      <c r="A692">
        <f>'2020_5-2-2_Download'!B24</f>
        <v>251</v>
      </c>
      <c r="B692">
        <f>'2020_5-2-2_Download'!$Y$5</f>
        <v>2017</v>
      </c>
      <c r="C692" t="str">
        <f>VLOOKUP(A2096,[1]Tabelle1!$A$1:$B$68,2,FALSE)</f>
        <v>Niedersachsen</v>
      </c>
      <c r="D692" t="str">
        <f>'2020_5-2-2_Download'!$AC$7</f>
        <v>mittel</v>
      </c>
      <c r="E692" t="s">
        <v>362</v>
      </c>
      <c r="F692" t="str">
        <f>VLOOKUP(A2096,[2]Kreise!$A$2:$C$53,3,FALSE)</f>
        <v>K030</v>
      </c>
      <c r="G692">
        <f>'2020_5-2-2_Download'!AC24</f>
        <v>33.257119102057786</v>
      </c>
    </row>
    <row r="693" spans="1:7">
      <c r="A693">
        <f>'2020_5-2-2_Download'!B25</f>
        <v>252</v>
      </c>
      <c r="B693">
        <f>'2020_5-2-2_Download'!$Y$5</f>
        <v>2017</v>
      </c>
      <c r="C693" t="str">
        <f>VLOOKUP(A2097,[1]Tabelle1!$A$1:$B$68,2,FALSE)</f>
        <v>Niedersachsen</v>
      </c>
      <c r="D693" t="str">
        <f>'2020_5-2-2_Download'!$AC$7</f>
        <v>mittel</v>
      </c>
      <c r="E693" t="s">
        <v>362</v>
      </c>
      <c r="F693" t="str">
        <f>VLOOKUP(A2097,[2]Kreise!$A$2:$C$53,3,FALSE)</f>
        <v>K030</v>
      </c>
      <c r="G693">
        <f>'2020_5-2-2_Download'!AC25</f>
        <v>37.767584097859327</v>
      </c>
    </row>
    <row r="694" spans="1:7">
      <c r="A694">
        <f>'2020_5-2-2_Download'!B26</f>
        <v>254</v>
      </c>
      <c r="B694">
        <f>'2020_5-2-2_Download'!$Y$5</f>
        <v>2017</v>
      </c>
      <c r="C694" t="str">
        <f>VLOOKUP(A2098,[1]Tabelle1!$A$1:$B$68,2,FALSE)</f>
        <v>Niedersachsen</v>
      </c>
      <c r="D694" t="str">
        <f>'2020_5-2-2_Download'!$AC$7</f>
        <v>mittel</v>
      </c>
      <c r="E694" t="s">
        <v>362</v>
      </c>
      <c r="F694" t="str">
        <f>VLOOKUP(A2098,[2]Kreise!$A$2:$C$53,3,FALSE)</f>
        <v>K030</v>
      </c>
      <c r="G694">
        <f>'2020_5-2-2_Download'!AC26</f>
        <v>37.390959555908012</v>
      </c>
    </row>
    <row r="695" spans="1:7">
      <c r="A695">
        <f>'2020_5-2-2_Download'!B27</f>
        <v>255</v>
      </c>
      <c r="B695">
        <f>'2020_5-2-2_Download'!$Y$5</f>
        <v>2017</v>
      </c>
      <c r="C695" t="str">
        <f>VLOOKUP(A2099,[1]Tabelle1!$A$1:$B$68,2,FALSE)</f>
        <v>Niedersachsen</v>
      </c>
      <c r="D695" t="str">
        <f>'2020_5-2-2_Download'!$AC$7</f>
        <v>mittel</v>
      </c>
      <c r="E695" t="s">
        <v>362</v>
      </c>
      <c r="F695" t="str">
        <f>VLOOKUP(A2099,[2]Kreise!$A$2:$C$53,3,FALSE)</f>
        <v>K030</v>
      </c>
      <c r="G695">
        <f>'2020_5-2-2_Download'!AC27</f>
        <v>35.202205882352942</v>
      </c>
    </row>
    <row r="696" spans="1:7">
      <c r="A696">
        <f>'2020_5-2-2_Download'!B28</f>
        <v>256</v>
      </c>
      <c r="B696">
        <f>'2020_5-2-2_Download'!$Y$5</f>
        <v>2017</v>
      </c>
      <c r="C696" t="str">
        <f>VLOOKUP(A2100,[1]Tabelle1!$A$1:$B$68,2,FALSE)</f>
        <v>Niedersachsen</v>
      </c>
      <c r="D696" t="str">
        <f>'2020_5-2-2_Download'!$AC$7</f>
        <v>mittel</v>
      </c>
      <c r="E696" t="s">
        <v>362</v>
      </c>
      <c r="F696" t="str">
        <f>VLOOKUP(A2100,[2]Kreise!$A$2:$C$53,3,FALSE)</f>
        <v>K030</v>
      </c>
      <c r="G696">
        <f>'2020_5-2-2_Download'!AC28</f>
        <v>27.023988005997001</v>
      </c>
    </row>
    <row r="697" spans="1:7">
      <c r="A697">
        <f>'2020_5-2-2_Download'!B29</f>
        <v>257</v>
      </c>
      <c r="B697">
        <f>'2020_5-2-2_Download'!$Y$5</f>
        <v>2017</v>
      </c>
      <c r="C697" t="str">
        <f>VLOOKUP(A2101,[1]Tabelle1!$A$1:$B$68,2,FALSE)</f>
        <v>Niedersachsen</v>
      </c>
      <c r="D697" t="str">
        <f>'2020_5-2-2_Download'!$AC$7</f>
        <v>mittel</v>
      </c>
      <c r="E697" t="s">
        <v>362</v>
      </c>
      <c r="F697" t="str">
        <f>VLOOKUP(A2101,[2]Kreise!$A$2:$C$53,3,FALSE)</f>
        <v>K030</v>
      </c>
      <c r="G697">
        <f>'2020_5-2-2_Download'!AC29</f>
        <v>43.391773432231965</v>
      </c>
    </row>
    <row r="698" spans="1:7">
      <c r="A698">
        <f>'2020_5-2-2_Download'!B30</f>
        <v>2</v>
      </c>
      <c r="B698">
        <f>'2020_5-2-2_Download'!$Y$5</f>
        <v>2017</v>
      </c>
      <c r="C698" t="str">
        <f>VLOOKUP(A2102,[1]Tabelle1!$A$1:$B$68,2,FALSE)</f>
        <v>Niedersachsen</v>
      </c>
      <c r="D698" t="str">
        <f>'2020_5-2-2_Download'!$AC$7</f>
        <v>mittel</v>
      </c>
      <c r="E698" t="s">
        <v>362</v>
      </c>
      <c r="F698" t="str">
        <f>VLOOKUP(A2102,[2]Kreise!$A$2:$C$53,3,FALSE)</f>
        <v>K030</v>
      </c>
      <c r="G698">
        <f>'2020_5-2-2_Download'!AC30</f>
        <v>33.799298245614033</v>
      </c>
    </row>
    <row r="699" spans="1:7">
      <c r="A699">
        <f>'2020_5-2-2_Download'!B31</f>
        <v>351</v>
      </c>
      <c r="B699">
        <f>'2020_5-2-2_Download'!$Y$5</f>
        <v>2017</v>
      </c>
      <c r="C699" t="str">
        <f>VLOOKUP(A2103,[1]Tabelle1!$A$1:$B$68,2,FALSE)</f>
        <v>Niedersachsen</v>
      </c>
      <c r="D699" t="str">
        <f>'2020_5-2-2_Download'!$AC$7</f>
        <v>mittel</v>
      </c>
      <c r="E699" t="s">
        <v>362</v>
      </c>
      <c r="F699" t="str">
        <f>VLOOKUP(A2103,[2]Kreise!$A$2:$C$53,3,FALSE)</f>
        <v>K030</v>
      </c>
      <c r="G699">
        <f>'2020_5-2-2_Download'!AC31</f>
        <v>33.322443645867359</v>
      </c>
    </row>
    <row r="700" spans="1:7">
      <c r="A700">
        <f>'2020_5-2-2_Download'!B32</f>
        <v>352</v>
      </c>
      <c r="B700">
        <f>'2020_5-2-2_Download'!$Y$5</f>
        <v>2017</v>
      </c>
      <c r="C700" t="str">
        <f>VLOOKUP(A2104,[1]Tabelle1!$A$1:$B$68,2,FALSE)</f>
        <v>Niedersachsen</v>
      </c>
      <c r="D700" t="str">
        <f>'2020_5-2-2_Download'!$AC$7</f>
        <v>mittel</v>
      </c>
      <c r="E700" t="s">
        <v>362</v>
      </c>
      <c r="F700" t="str">
        <f>VLOOKUP(A2104,[2]Kreise!$A$2:$C$53,3,FALSE)</f>
        <v>K030</v>
      </c>
      <c r="G700">
        <f>'2020_5-2-2_Download'!AC32</f>
        <v>27.805784027593528</v>
      </c>
    </row>
    <row r="701" spans="1:7">
      <c r="A701">
        <f>'2020_5-2-2_Download'!B33</f>
        <v>353</v>
      </c>
      <c r="B701">
        <f>'2020_5-2-2_Download'!$Y$5</f>
        <v>2017</v>
      </c>
      <c r="C701" t="str">
        <f>VLOOKUP(A2105,[1]Tabelle1!$A$1:$B$68,2,FALSE)</f>
        <v>Niedersachsen</v>
      </c>
      <c r="D701" t="str">
        <f>'2020_5-2-2_Download'!$AC$7</f>
        <v>mittel</v>
      </c>
      <c r="E701" t="s">
        <v>362</v>
      </c>
      <c r="F701" t="str">
        <f>VLOOKUP(A2105,[2]Kreise!$A$2:$C$53,3,FALSE)</f>
        <v>K030</v>
      </c>
      <c r="G701">
        <f>'2020_5-2-2_Download'!AC33</f>
        <v>29.161311053984573</v>
      </c>
    </row>
    <row r="702" spans="1:7">
      <c r="A702">
        <f>'2020_5-2-2_Download'!B34</f>
        <v>354</v>
      </c>
      <c r="B702">
        <f>'2020_5-2-2_Download'!$Y$5</f>
        <v>2017</v>
      </c>
      <c r="C702" t="str">
        <f>VLOOKUP(A2106,[1]Tabelle1!$A$1:$B$68,2,FALSE)</f>
        <v>Niedersachsen</v>
      </c>
      <c r="D702" t="str">
        <f>'2020_5-2-2_Download'!$AC$7</f>
        <v>mittel</v>
      </c>
      <c r="E702" t="s">
        <v>362</v>
      </c>
      <c r="F702" t="str">
        <f>VLOOKUP(A2106,[2]Kreise!$A$2:$C$53,3,FALSE)</f>
        <v>K030</v>
      </c>
      <c r="G702">
        <f>'2020_5-2-2_Download'!AC34</f>
        <v>30.122324159021407</v>
      </c>
    </row>
    <row r="703" spans="1:7">
      <c r="A703">
        <f>'2020_5-2-2_Download'!B35</f>
        <v>355</v>
      </c>
      <c r="B703">
        <f>'2020_5-2-2_Download'!$Y$5</f>
        <v>2017</v>
      </c>
      <c r="C703" t="str">
        <f>VLOOKUP(A2107,[1]Tabelle1!$A$1:$B$68,2,FALSE)</f>
        <v>Niedersachsen</v>
      </c>
      <c r="D703" t="str">
        <f>'2020_5-2-2_Download'!$AC$7</f>
        <v>mittel</v>
      </c>
      <c r="E703" t="s">
        <v>362</v>
      </c>
      <c r="F703" t="str">
        <f>VLOOKUP(A2107,[2]Kreise!$A$2:$C$53,3,FALSE)</f>
        <v>K030</v>
      </c>
      <c r="G703">
        <f>'2020_5-2-2_Download'!AC35</f>
        <v>33.472000000000001</v>
      </c>
    </row>
    <row r="704" spans="1:7">
      <c r="A704">
        <f>'2020_5-2-2_Download'!B36</f>
        <v>356</v>
      </c>
      <c r="B704">
        <f>'2020_5-2-2_Download'!$Y$5</f>
        <v>2017</v>
      </c>
      <c r="C704" t="str">
        <f>VLOOKUP(A2108,[1]Tabelle1!$A$1:$B$68,2,FALSE)</f>
        <v>Niedersachsen</v>
      </c>
      <c r="D704" t="str">
        <f>'2020_5-2-2_Download'!$AC$7</f>
        <v>mittel</v>
      </c>
      <c r="E704" t="s">
        <v>362</v>
      </c>
      <c r="F704" t="str">
        <f>VLOOKUP(A2108,[2]Kreise!$A$2:$C$53,3,FALSE)</f>
        <v>K030</v>
      </c>
      <c r="G704">
        <f>'2020_5-2-2_Download'!AC36</f>
        <v>33.936955063715629</v>
      </c>
    </row>
    <row r="705" spans="1:7">
      <c r="A705">
        <f>'2020_5-2-2_Download'!B37</f>
        <v>357</v>
      </c>
      <c r="B705">
        <f>'2020_5-2-2_Download'!$Y$5</f>
        <v>2017</v>
      </c>
      <c r="C705" t="str">
        <f>VLOOKUP(A2109,[1]Tabelle1!$A$1:$B$68,2,FALSE)</f>
        <v>Niedersachsen</v>
      </c>
      <c r="D705" t="str">
        <f>'2020_5-2-2_Download'!$AC$7</f>
        <v>mittel</v>
      </c>
      <c r="E705" t="s">
        <v>362</v>
      </c>
      <c r="F705" t="str">
        <f>VLOOKUP(A2109,[2]Kreise!$A$2:$C$53,3,FALSE)</f>
        <v>K030</v>
      </c>
      <c r="G705">
        <f>'2020_5-2-2_Download'!AC37</f>
        <v>37.216924910607865</v>
      </c>
    </row>
    <row r="706" spans="1:7">
      <c r="A706">
        <f>'2020_5-2-2_Download'!B38</f>
        <v>358</v>
      </c>
      <c r="B706">
        <f>'2020_5-2-2_Download'!$Y$5</f>
        <v>2017</v>
      </c>
      <c r="C706" t="str">
        <f>VLOOKUP(A2110,[1]Tabelle1!$A$1:$B$68,2,FALSE)</f>
        <v>Niedersachsen</v>
      </c>
      <c r="D706" t="str">
        <f>'2020_5-2-2_Download'!$AC$7</f>
        <v>mittel</v>
      </c>
      <c r="E706" t="s">
        <v>362</v>
      </c>
      <c r="F706" t="str">
        <f>VLOOKUP(A2110,[2]Kreise!$A$2:$C$53,3,FALSE)</f>
        <v>K030</v>
      </c>
      <c r="G706">
        <f>'2020_5-2-2_Download'!AC38</f>
        <v>35.775075987841944</v>
      </c>
    </row>
    <row r="707" spans="1:7">
      <c r="A707">
        <f>'2020_5-2-2_Download'!B39</f>
        <v>359</v>
      </c>
      <c r="B707">
        <f>'2020_5-2-2_Download'!$Y$5</f>
        <v>2017</v>
      </c>
      <c r="C707" t="str">
        <f>VLOOKUP(A2111,[1]Tabelle1!$A$1:$B$68,2,FALSE)</f>
        <v>Niedersachsen</v>
      </c>
      <c r="D707" t="str">
        <f>'2020_5-2-2_Download'!$AC$7</f>
        <v>mittel</v>
      </c>
      <c r="E707" t="s">
        <v>362</v>
      </c>
      <c r="F707" t="str">
        <f>VLOOKUP(A2111,[2]Kreise!$A$2:$C$53,3,FALSE)</f>
        <v>K030</v>
      </c>
      <c r="G707">
        <f>'2020_5-2-2_Download'!AC39</f>
        <v>25.963668586619406</v>
      </c>
    </row>
    <row r="708" spans="1:7">
      <c r="A708">
        <f>'2020_5-2-2_Download'!B40</f>
        <v>360</v>
      </c>
      <c r="B708">
        <f>'2020_5-2-2_Download'!$Y$5</f>
        <v>2017</v>
      </c>
      <c r="C708" t="str">
        <f>VLOOKUP(A2112,[1]Tabelle1!$A$1:$B$68,2,FALSE)</f>
        <v>Niedersachsen</v>
      </c>
      <c r="D708" t="str">
        <f>'2020_5-2-2_Download'!$AC$7</f>
        <v>mittel</v>
      </c>
      <c r="E708" t="s">
        <v>362</v>
      </c>
      <c r="F708" t="str">
        <f>VLOOKUP(A2112,[2]Kreise!$A$2:$C$53,3,FALSE)</f>
        <v>K030</v>
      </c>
      <c r="G708">
        <f>'2020_5-2-2_Download'!AC40</f>
        <v>32.690763052208837</v>
      </c>
    </row>
    <row r="709" spans="1:7">
      <c r="A709">
        <f>'2020_5-2-2_Download'!B41</f>
        <v>361</v>
      </c>
      <c r="B709">
        <f>'2020_5-2-2_Download'!$Y$5</f>
        <v>2017</v>
      </c>
      <c r="C709" t="str">
        <f>VLOOKUP(A2113,[1]Tabelle1!$A$1:$B$68,2,FALSE)</f>
        <v>Niedersachsen</v>
      </c>
      <c r="D709" t="str">
        <f>'2020_5-2-2_Download'!$AC$7</f>
        <v>mittel</v>
      </c>
      <c r="E709" t="s">
        <v>362</v>
      </c>
      <c r="F709" t="str">
        <f>VLOOKUP(A2113,[2]Kreise!$A$2:$C$53,3,FALSE)</f>
        <v>K030</v>
      </c>
      <c r="G709">
        <f>'2020_5-2-2_Download'!AC41</f>
        <v>27.439813616360343</v>
      </c>
    </row>
    <row r="710" spans="1:7">
      <c r="A710">
        <f>'2020_5-2-2_Download'!B42</f>
        <v>3</v>
      </c>
      <c r="B710">
        <f>'2020_5-2-2_Download'!$Y$5</f>
        <v>2017</v>
      </c>
      <c r="C710" t="str">
        <f>VLOOKUP(A2114,[1]Tabelle1!$A$1:$B$68,2,FALSE)</f>
        <v>Niedersachsen</v>
      </c>
      <c r="D710" t="str">
        <f>'2020_5-2-2_Download'!$AC$7</f>
        <v>mittel</v>
      </c>
      <c r="E710" t="s">
        <v>362</v>
      </c>
      <c r="F710" t="str">
        <f>VLOOKUP(A2114,[2]Kreise!$A$2:$C$53,3,FALSE)</f>
        <v>K030</v>
      </c>
      <c r="G710">
        <f>'2020_5-2-2_Download'!AC42</f>
        <v>30.923334875115632</v>
      </c>
    </row>
    <row r="711" spans="1:7">
      <c r="A711">
        <f>'2020_5-2-2_Download'!B43</f>
        <v>401</v>
      </c>
      <c r="B711">
        <f>'2020_5-2-2_Download'!$Y$5</f>
        <v>2017</v>
      </c>
      <c r="C711" t="str">
        <f>VLOOKUP(A2115,[1]Tabelle1!$A$1:$B$68,2,FALSE)</f>
        <v>Niedersachsen</v>
      </c>
      <c r="D711" t="str">
        <f>'2020_5-2-2_Download'!$AC$7</f>
        <v>mittel</v>
      </c>
      <c r="E711" t="s">
        <v>362</v>
      </c>
      <c r="F711" t="str">
        <f>VLOOKUP(A2115,[2]Kreise!$A$2:$C$53,3,FALSE)</f>
        <v>K030</v>
      </c>
      <c r="G711">
        <f>'2020_5-2-2_Download'!AC43</f>
        <v>30.2734375</v>
      </c>
    </row>
    <row r="712" spans="1:7">
      <c r="A712">
        <f>'2020_5-2-2_Download'!B44</f>
        <v>402</v>
      </c>
      <c r="B712">
        <f>'2020_5-2-2_Download'!$Y$5</f>
        <v>2017</v>
      </c>
      <c r="C712" t="str">
        <f>VLOOKUP(A2116,[1]Tabelle1!$A$1:$B$68,2,FALSE)</f>
        <v>Niedersachsen</v>
      </c>
      <c r="D712" t="str">
        <f>'2020_5-2-2_Download'!$AC$7</f>
        <v>mittel</v>
      </c>
      <c r="E712" t="s">
        <v>362</v>
      </c>
      <c r="F712" t="str">
        <f>VLOOKUP(A2116,[2]Kreise!$A$2:$C$53,3,FALSE)</f>
        <v>K030</v>
      </c>
      <c r="G712">
        <f>'2020_5-2-2_Download'!AC44</f>
        <v>38.433066008636644</v>
      </c>
    </row>
    <row r="713" spans="1:7">
      <c r="A713">
        <f>'2020_5-2-2_Download'!B45</f>
        <v>403</v>
      </c>
      <c r="B713">
        <f>'2020_5-2-2_Download'!$Y$5</f>
        <v>2017</v>
      </c>
      <c r="C713" t="str">
        <f>VLOOKUP(A2117,[1]Tabelle1!$A$1:$B$68,2,FALSE)</f>
        <v>Niedersachsen</v>
      </c>
      <c r="D713" t="str">
        <f>'2020_5-2-2_Download'!$AC$7</f>
        <v>mittel</v>
      </c>
      <c r="E713" t="s">
        <v>362</v>
      </c>
      <c r="F713" t="str">
        <f>VLOOKUP(A2117,[2]Kreise!$A$2:$C$53,3,FALSE)</f>
        <v>K030</v>
      </c>
      <c r="G713">
        <f>'2020_5-2-2_Download'!AC45</f>
        <v>27.519739897816997</v>
      </c>
    </row>
    <row r="714" spans="1:7">
      <c r="A714">
        <f>'2020_5-2-2_Download'!B46</f>
        <v>404</v>
      </c>
      <c r="B714">
        <f>'2020_5-2-2_Download'!$Y$5</f>
        <v>2017</v>
      </c>
      <c r="C714" t="str">
        <f>VLOOKUP(A2118,[1]Tabelle1!$A$1:$B$68,2,FALSE)</f>
        <v>Niedersachsen</v>
      </c>
      <c r="D714" t="str">
        <f>'2020_5-2-2_Download'!$AC$7</f>
        <v>mittel</v>
      </c>
      <c r="E714" t="s">
        <v>362</v>
      </c>
      <c r="F714" t="str">
        <f>VLOOKUP(A2118,[2]Kreise!$A$2:$C$53,3,FALSE)</f>
        <v>K030</v>
      </c>
      <c r="G714">
        <f>'2020_5-2-2_Download'!AC46</f>
        <v>31.913978494623656</v>
      </c>
    </row>
    <row r="715" spans="1:7">
      <c r="A715">
        <f>'2020_5-2-2_Download'!B47</f>
        <v>405</v>
      </c>
      <c r="B715">
        <f>'2020_5-2-2_Download'!$Y$5</f>
        <v>2017</v>
      </c>
      <c r="C715" t="str">
        <f>VLOOKUP(A2119,[1]Tabelle1!$A$1:$B$68,2,FALSE)</f>
        <v>Niedersachsen</v>
      </c>
      <c r="D715" t="str">
        <f>'2020_5-2-2_Download'!$AC$7</f>
        <v>mittel</v>
      </c>
      <c r="E715" t="s">
        <v>362</v>
      </c>
      <c r="F715" t="str">
        <f>VLOOKUP(A2119,[2]Kreise!$A$2:$C$53,3,FALSE)</f>
        <v>K030</v>
      </c>
      <c r="G715">
        <f>'2020_5-2-2_Download'!AC47</f>
        <v>34.354304635761594</v>
      </c>
    </row>
    <row r="716" spans="1:7">
      <c r="A716">
        <f>'2020_5-2-2_Download'!B48</f>
        <v>451</v>
      </c>
      <c r="B716">
        <f>'2020_5-2-2_Download'!$Y$5</f>
        <v>2017</v>
      </c>
      <c r="C716" t="str">
        <f>VLOOKUP(A2120,[1]Tabelle1!$A$1:$B$68,2,FALSE)</f>
        <v>Niedersachsen</v>
      </c>
      <c r="D716" t="str">
        <f>'2020_5-2-2_Download'!$AC$7</f>
        <v>mittel</v>
      </c>
      <c r="E716" t="s">
        <v>362</v>
      </c>
      <c r="F716" t="str">
        <f>VLOOKUP(A2120,[2]Kreise!$A$2:$C$53,3,FALSE)</f>
        <v>K030</v>
      </c>
      <c r="G716">
        <f>'2020_5-2-2_Download'!AC48</f>
        <v>26.380368098159508</v>
      </c>
    </row>
    <row r="717" spans="1:7">
      <c r="A717">
        <f>'2020_5-2-2_Download'!B49</f>
        <v>452</v>
      </c>
      <c r="B717">
        <f>'2020_5-2-2_Download'!$Y$5</f>
        <v>2017</v>
      </c>
      <c r="C717" t="str">
        <f>VLOOKUP(A2121,[1]Tabelle1!$A$1:$B$68,2,FALSE)</f>
        <v>Niedersachsen</v>
      </c>
      <c r="D717" t="str">
        <f>'2020_5-2-2_Download'!$AC$7</f>
        <v>mittel</v>
      </c>
      <c r="E717" t="s">
        <v>362</v>
      </c>
      <c r="F717" t="str">
        <f>VLOOKUP(A2121,[2]Kreise!$A$2:$C$53,3,FALSE)</f>
        <v>K030</v>
      </c>
      <c r="G717">
        <f>'2020_5-2-2_Download'!AC49</f>
        <v>29.588205388917132</v>
      </c>
    </row>
    <row r="718" spans="1:7">
      <c r="A718">
        <f>'2020_5-2-2_Download'!B50</f>
        <v>453</v>
      </c>
      <c r="B718">
        <f>'2020_5-2-2_Download'!$Y$5</f>
        <v>2017</v>
      </c>
      <c r="C718" t="str">
        <f>VLOOKUP(A2122,[1]Tabelle1!$A$1:$B$68,2,FALSE)</f>
        <v>Niedersachsen</v>
      </c>
      <c r="D718" t="str">
        <f>'2020_5-2-2_Download'!$AC$7</f>
        <v>mittel</v>
      </c>
      <c r="E718" t="s">
        <v>362</v>
      </c>
      <c r="F718" t="str">
        <f>VLOOKUP(A2122,[2]Kreise!$A$2:$C$53,3,FALSE)</f>
        <v>K030</v>
      </c>
      <c r="G718">
        <f>'2020_5-2-2_Download'!AC50</f>
        <v>18.592330978809283</v>
      </c>
    </row>
    <row r="719" spans="1:7">
      <c r="A719">
        <f>'2020_5-2-2_Download'!B51</f>
        <v>454</v>
      </c>
      <c r="B719">
        <f>'2020_5-2-2_Download'!$Y$5</f>
        <v>2017</v>
      </c>
      <c r="C719" t="str">
        <f>VLOOKUP(A2123,[1]Tabelle1!$A$1:$B$68,2,FALSE)</f>
        <v>Niedersachsen</v>
      </c>
      <c r="D719" t="str">
        <f>'2020_5-2-2_Download'!$AC$7</f>
        <v>mittel</v>
      </c>
      <c r="E719" t="s">
        <v>362</v>
      </c>
      <c r="F719" t="str">
        <f>VLOOKUP(A2123,[2]Kreise!$A$2:$C$53,3,FALSE)</f>
        <v>K030</v>
      </c>
      <c r="G719">
        <f>'2020_5-2-2_Download'!AC51</f>
        <v>29.346622369878183</v>
      </c>
    </row>
    <row r="720" spans="1:7">
      <c r="A720">
        <f>'2020_5-2-2_Download'!B52</f>
        <v>455</v>
      </c>
      <c r="B720">
        <f>'2020_5-2-2_Download'!$Y$5</f>
        <v>2017</v>
      </c>
      <c r="C720" t="str">
        <f>VLOOKUP(A2124,[1]Tabelle1!$A$1:$B$68,2,FALSE)</f>
        <v>Niedersachsen</v>
      </c>
      <c r="D720" t="str">
        <f>'2020_5-2-2_Download'!$AC$7</f>
        <v>mittel</v>
      </c>
      <c r="E720" t="s">
        <v>362</v>
      </c>
      <c r="F720" t="str">
        <f>VLOOKUP(A2124,[2]Kreise!$A$2:$C$53,3,FALSE)</f>
        <v>K030</v>
      </c>
      <c r="G720">
        <f>'2020_5-2-2_Download'!AC52</f>
        <v>29.623137598597722</v>
      </c>
    </row>
    <row r="721" spans="1:7">
      <c r="A721">
        <f>'2020_5-2-2_Download'!B53</f>
        <v>456</v>
      </c>
      <c r="B721">
        <f>'2020_5-2-2_Download'!$Y$5</f>
        <v>2017</v>
      </c>
      <c r="C721" t="str">
        <f>VLOOKUP(A2125,[1]Tabelle1!$A$1:$B$68,2,FALSE)</f>
        <v>Niedersachsen</v>
      </c>
      <c r="D721" t="str">
        <f>'2020_5-2-2_Download'!$AC$7</f>
        <v>mittel</v>
      </c>
      <c r="E721" t="s">
        <v>362</v>
      </c>
      <c r="F721" t="str">
        <f>VLOOKUP(A2125,[2]Kreise!$A$2:$C$53,3,FALSE)</f>
        <v>K030</v>
      </c>
      <c r="G721">
        <f>'2020_5-2-2_Download'!AC53</f>
        <v>40.582155663362158</v>
      </c>
    </row>
    <row r="722" spans="1:7">
      <c r="A722">
        <f>'2020_5-2-2_Download'!B54</f>
        <v>457</v>
      </c>
      <c r="B722">
        <f>'2020_5-2-2_Download'!$Y$5</f>
        <v>2017</v>
      </c>
      <c r="C722" t="str">
        <f>VLOOKUP(A2126,[1]Tabelle1!$A$1:$B$68,2,FALSE)</f>
        <v>Niedersachsen</v>
      </c>
      <c r="D722" t="str">
        <f>'2020_5-2-2_Download'!$AC$7</f>
        <v>mittel</v>
      </c>
      <c r="E722" t="s">
        <v>362</v>
      </c>
      <c r="F722" t="str">
        <f>VLOOKUP(A2126,[2]Kreise!$A$2:$C$53,3,FALSE)</f>
        <v>K030</v>
      </c>
      <c r="G722">
        <f>'2020_5-2-2_Download'!AC54</f>
        <v>33.730297723292466</v>
      </c>
    </row>
    <row r="723" spans="1:7">
      <c r="A723">
        <f>'2020_5-2-2_Download'!B55</f>
        <v>458</v>
      </c>
      <c r="B723">
        <f>'2020_5-2-2_Download'!$Y$5</f>
        <v>2017</v>
      </c>
      <c r="C723" t="str">
        <f>VLOOKUP(A2127,[1]Tabelle1!$A$1:$B$68,2,FALSE)</f>
        <v>Niedersachsen</v>
      </c>
      <c r="D723" t="str">
        <f>'2020_5-2-2_Download'!$AC$7</f>
        <v>mittel</v>
      </c>
      <c r="E723" t="s">
        <v>362</v>
      </c>
      <c r="F723" t="str">
        <f>VLOOKUP(A2127,[2]Kreise!$A$2:$C$53,3,FALSE)</f>
        <v>K030</v>
      </c>
      <c r="G723">
        <f>'2020_5-2-2_Download'!AC55</f>
        <v>26.433465560764514</v>
      </c>
    </row>
    <row r="724" spans="1:7">
      <c r="A724">
        <f>'2020_5-2-2_Download'!B56</f>
        <v>459</v>
      </c>
      <c r="B724">
        <f>'2020_5-2-2_Download'!$Y$5</f>
        <v>2017</v>
      </c>
      <c r="C724" t="str">
        <f>VLOOKUP(A2128,[1]Tabelle1!$A$1:$B$68,2,FALSE)</f>
        <v>Niedersachsen</v>
      </c>
      <c r="D724" t="str">
        <f>'2020_5-2-2_Download'!$AC$7</f>
        <v>mittel</v>
      </c>
      <c r="E724" t="s">
        <v>362</v>
      </c>
      <c r="F724" t="str">
        <f>VLOOKUP(A2128,[2]Kreise!$A$2:$C$53,3,FALSE)</f>
        <v>K030</v>
      </c>
      <c r="G724">
        <f>'2020_5-2-2_Download'!AC56</f>
        <v>23.617693522906794</v>
      </c>
    </row>
    <row r="725" spans="1:7">
      <c r="A725">
        <f>'2020_5-2-2_Download'!B57</f>
        <v>460</v>
      </c>
      <c r="B725">
        <f>'2020_5-2-2_Download'!$Y$5</f>
        <v>2017</v>
      </c>
      <c r="C725" t="str">
        <f>VLOOKUP(A2129,[1]Tabelle1!$A$1:$B$68,2,FALSE)</f>
        <v>Niedersachsen</v>
      </c>
      <c r="D725" t="str">
        <f>'2020_5-2-2_Download'!$AC$7</f>
        <v>mittel</v>
      </c>
      <c r="E725" t="s">
        <v>362</v>
      </c>
      <c r="F725" t="str">
        <f>VLOOKUP(A2129,[2]Kreise!$A$2:$C$53,3,FALSE)</f>
        <v>K030</v>
      </c>
      <c r="G725">
        <f>'2020_5-2-2_Download'!AC57</f>
        <v>21.787895613548027</v>
      </c>
    </row>
    <row r="726" spans="1:7">
      <c r="A726">
        <f>'2020_5-2-2_Download'!B58</f>
        <v>461</v>
      </c>
      <c r="B726">
        <f>'2020_5-2-2_Download'!$Y$5</f>
        <v>2017</v>
      </c>
      <c r="C726" t="str">
        <f>VLOOKUP(A2130,[1]Tabelle1!$A$1:$B$68,2,FALSE)</f>
        <v>Niedersachsen</v>
      </c>
      <c r="D726" t="str">
        <f>'2020_5-2-2_Download'!$AC$7</f>
        <v>mittel</v>
      </c>
      <c r="E726" t="s">
        <v>362</v>
      </c>
      <c r="F726" t="str">
        <f>VLOOKUP(A2130,[2]Kreise!$A$2:$C$53,3,FALSE)</f>
        <v>K030</v>
      </c>
      <c r="G726">
        <f>'2020_5-2-2_Download'!AC58</f>
        <v>36.220847215611613</v>
      </c>
    </row>
    <row r="727" spans="1:7">
      <c r="A727">
        <f>'2020_5-2-2_Download'!B59</f>
        <v>462</v>
      </c>
      <c r="B727">
        <f>'2020_5-2-2_Download'!$Y$5</f>
        <v>2017</v>
      </c>
      <c r="C727" t="str">
        <f>VLOOKUP(A2131,[1]Tabelle1!$A$1:$B$68,2,FALSE)</f>
        <v>Niedersachsen</v>
      </c>
      <c r="D727" t="str">
        <f>'2020_5-2-2_Download'!$AC$7</f>
        <v>mittel</v>
      </c>
      <c r="E727" t="s">
        <v>362</v>
      </c>
      <c r="F727" t="str">
        <f>VLOOKUP(A2131,[2]Kreise!$A$2:$C$53,3,FALSE)</f>
        <v>K030</v>
      </c>
      <c r="G727">
        <f>'2020_5-2-2_Download'!AC59</f>
        <v>21.972534332084894</v>
      </c>
    </row>
    <row r="728" spans="1:7">
      <c r="A728">
        <f>'2020_5-2-2_Download'!B60</f>
        <v>4</v>
      </c>
      <c r="B728">
        <f>'2020_5-2-2_Download'!$Y$5</f>
        <v>2017</v>
      </c>
      <c r="C728" t="str">
        <f>VLOOKUP(A2132,[1]Tabelle1!$A$1:$B$68,2,FALSE)</f>
        <v>Niedersachsen</v>
      </c>
      <c r="D728" t="str">
        <f>'2020_5-2-2_Download'!$AC$7</f>
        <v>mittel</v>
      </c>
      <c r="E728" t="s">
        <v>362</v>
      </c>
      <c r="F728" t="str">
        <f>VLOOKUP(A2132,[2]Kreise!$A$2:$C$53,3,FALSE)</f>
        <v>K030</v>
      </c>
      <c r="G728">
        <f>'2020_5-2-2_Download'!AC60</f>
        <v>27.539715851998832</v>
      </c>
    </row>
    <row r="729" spans="1:7">
      <c r="A729">
        <f>'2020_5-2-2_Download'!B61</f>
        <v>0</v>
      </c>
      <c r="B729">
        <f>'2020_5-2-2_Download'!$Y$5</f>
        <v>2017</v>
      </c>
      <c r="C729" t="str">
        <f>VLOOKUP(A2133,[1]Tabelle1!$A$1:$B$68,2,FALSE)</f>
        <v>Niedersachsen</v>
      </c>
      <c r="D729" t="str">
        <f>'2020_5-2-2_Download'!$AC$7</f>
        <v>mittel</v>
      </c>
      <c r="E729" t="s">
        <v>362</v>
      </c>
      <c r="F729" t="str">
        <f>VLOOKUP(A2133,[2]Kreise!$A$2:$C$53,3,FALSE)</f>
        <v>K030</v>
      </c>
      <c r="G729">
        <f>'2020_5-2-2_Download'!AC61</f>
        <v>31.197904473313397</v>
      </c>
    </row>
    <row r="730" spans="1:7">
      <c r="A730">
        <f>'2020_5-2-2_Download'!B10</f>
        <v>101</v>
      </c>
      <c r="B730">
        <f>'2020_5-2-2_Download'!$Y$5</f>
        <v>2017</v>
      </c>
      <c r="C730" t="str">
        <f>VLOOKUP(A2134,[1]Tabelle1!$A$1:$B$68,2,FALSE)</f>
        <v>Niedersachsen</v>
      </c>
      <c r="D730" t="str">
        <f>'2020_5-2-2_Download'!$AD$7</f>
        <v>niedrig</v>
      </c>
      <c r="E730" t="s">
        <v>362</v>
      </c>
      <c r="F730" t="str">
        <f>VLOOKUP(A2134,[2]Kreise!$A$2:$C$53,3,FALSE)</f>
        <v>K030</v>
      </c>
      <c r="G730">
        <f>'2020_5-2-2_Download'!AD10</f>
        <v>22.120070890562694</v>
      </c>
    </row>
    <row r="731" spans="1:7">
      <c r="A731">
        <f>'2020_5-2-2_Download'!B11</f>
        <v>102</v>
      </c>
      <c r="B731">
        <f>'2020_5-2-2_Download'!$Y$5</f>
        <v>2017</v>
      </c>
      <c r="C731" t="str">
        <f>VLOOKUP(A2135,[1]Tabelle1!$A$1:$B$68,2,FALSE)</f>
        <v>Niedersachsen</v>
      </c>
      <c r="D731" t="str">
        <f>'2020_5-2-2_Download'!$AD$7</f>
        <v>niedrig</v>
      </c>
      <c r="E731" t="s">
        <v>362</v>
      </c>
      <c r="F731" t="str">
        <f>VLOOKUP(A2135,[2]Kreise!$A$2:$C$53,3,FALSE)</f>
        <v>K030</v>
      </c>
      <c r="G731">
        <f>'2020_5-2-2_Download'!AD11</f>
        <v>22.353532813678655</v>
      </c>
    </row>
    <row r="732" spans="1:7">
      <c r="A732">
        <f>'2020_5-2-2_Download'!B12</f>
        <v>103</v>
      </c>
      <c r="B732">
        <f>'2020_5-2-2_Download'!$Y$5</f>
        <v>2017</v>
      </c>
      <c r="C732" t="str">
        <f>VLOOKUP(A2136,[1]Tabelle1!$A$1:$B$68,2,FALSE)</f>
        <v>Niedersachsen</v>
      </c>
      <c r="D732" t="str">
        <f>'2020_5-2-2_Download'!$AD$7</f>
        <v>niedrig</v>
      </c>
      <c r="E732" t="s">
        <v>362</v>
      </c>
      <c r="F732" t="str">
        <f>VLOOKUP(A2136,[2]Kreise!$A$2:$C$53,3,FALSE)</f>
        <v>K030</v>
      </c>
      <c r="G732">
        <f>'2020_5-2-2_Download'!AD12</f>
        <v>12.811905561150274</v>
      </c>
    </row>
    <row r="733" spans="1:7">
      <c r="A733">
        <f>'2020_5-2-2_Download'!B13</f>
        <v>151</v>
      </c>
      <c r="B733">
        <f>'2020_5-2-2_Download'!$Y$5</f>
        <v>2017</v>
      </c>
      <c r="C733" t="str">
        <f>VLOOKUP(A2137,[1]Tabelle1!$A$1:$B$68,2,FALSE)</f>
        <v>Niedersachsen</v>
      </c>
      <c r="D733" t="str">
        <f>'2020_5-2-2_Download'!$AD$7</f>
        <v>niedrig</v>
      </c>
      <c r="E733" t="s">
        <v>362</v>
      </c>
      <c r="F733" t="str">
        <f>VLOOKUP(A2137,[2]Kreise!$A$2:$C$53,3,FALSE)</f>
        <v>K030</v>
      </c>
      <c r="G733">
        <f>'2020_5-2-2_Download'!AD13</f>
        <v>24.886877828054299</v>
      </c>
    </row>
    <row r="734" spans="1:7">
      <c r="A734">
        <f>'2020_5-2-2_Download'!B14</f>
        <v>153</v>
      </c>
      <c r="B734">
        <f>'2020_5-2-2_Download'!$Y$5</f>
        <v>2017</v>
      </c>
      <c r="C734" t="str">
        <f>VLOOKUP(A2138,[1]Tabelle1!$A$1:$B$68,2,FALSE)</f>
        <v>Niedersachsen</v>
      </c>
      <c r="D734" t="str">
        <f>'2020_5-2-2_Download'!$AD$7</f>
        <v>niedrig</v>
      </c>
      <c r="E734" t="s">
        <v>362</v>
      </c>
      <c r="F734" t="str">
        <f>VLOOKUP(A2138,[2]Kreise!$A$2:$C$53,3,FALSE)</f>
        <v>K030</v>
      </c>
      <c r="G734">
        <f>'2020_5-2-2_Download'!AD14</f>
        <v>22.245322245322246</v>
      </c>
    </row>
    <row r="735" spans="1:7">
      <c r="A735">
        <f>'2020_5-2-2_Download'!B15</f>
        <v>154</v>
      </c>
      <c r="B735">
        <f>'2020_5-2-2_Download'!$Y$5</f>
        <v>2017</v>
      </c>
      <c r="C735" t="str">
        <f>VLOOKUP(A2139,[1]Tabelle1!$A$1:$B$68,2,FALSE)</f>
        <v>Niedersachsen</v>
      </c>
      <c r="D735" t="str">
        <f>'2020_5-2-2_Download'!$AD$7</f>
        <v>niedrig</v>
      </c>
      <c r="E735" t="s">
        <v>362</v>
      </c>
      <c r="F735" t="str">
        <f>VLOOKUP(A2139,[2]Kreise!$A$2:$C$53,3,FALSE)</f>
        <v>K030</v>
      </c>
      <c r="G735">
        <f>'2020_5-2-2_Download'!AD15</f>
        <v>20.231660231660232</v>
      </c>
    </row>
    <row r="736" spans="1:7">
      <c r="A736">
        <f>'2020_5-2-2_Download'!B16</f>
        <v>155</v>
      </c>
      <c r="B736">
        <f>'2020_5-2-2_Download'!$Y$5</f>
        <v>2017</v>
      </c>
      <c r="C736" t="str">
        <f>VLOOKUP(A2140,[1]Tabelle1!$A$1:$B$68,2,FALSE)</f>
        <v>Niedersachsen</v>
      </c>
      <c r="D736" t="str">
        <f>'2020_5-2-2_Download'!$AD$7</f>
        <v>niedrig</v>
      </c>
      <c r="E736" t="s">
        <v>362</v>
      </c>
      <c r="F736" t="str">
        <f>VLOOKUP(A2140,[2]Kreise!$A$2:$C$53,3,FALSE)</f>
        <v>K030</v>
      </c>
      <c r="G736">
        <f>'2020_5-2-2_Download'!AD16</f>
        <v>20.007521624670929</v>
      </c>
    </row>
    <row r="737" spans="1:7">
      <c r="A737">
        <f>'2020_5-2-2_Download'!B17</f>
        <v>157</v>
      </c>
      <c r="B737">
        <f>'2020_5-2-2_Download'!$Y$5</f>
        <v>2017</v>
      </c>
      <c r="C737" t="str">
        <f>VLOOKUP(A2141,[1]Tabelle1!$A$1:$B$68,2,FALSE)</f>
        <v>Niedersachsen</v>
      </c>
      <c r="D737" t="str">
        <f>'2020_5-2-2_Download'!$AD$7</f>
        <v>niedrig</v>
      </c>
      <c r="E737" t="s">
        <v>362</v>
      </c>
      <c r="F737" t="str">
        <f>VLOOKUP(A2141,[2]Kreise!$A$2:$C$53,3,FALSE)</f>
        <v>K030</v>
      </c>
      <c r="G737">
        <f>'2020_5-2-2_Download'!AD17</f>
        <v>30.290644868301541</v>
      </c>
    </row>
    <row r="738" spans="1:7">
      <c r="A738">
        <f>'2020_5-2-2_Download'!B18</f>
        <v>158</v>
      </c>
      <c r="B738">
        <f>'2020_5-2-2_Download'!$Y$5</f>
        <v>2017</v>
      </c>
      <c r="C738" t="str">
        <f>VLOOKUP(A2142,[1]Tabelle1!$A$1:$B$68,2,FALSE)</f>
        <v>Niedersachsen</v>
      </c>
      <c r="D738" t="str">
        <f>'2020_5-2-2_Download'!$AD$7</f>
        <v>niedrig</v>
      </c>
      <c r="E738" t="s">
        <v>362</v>
      </c>
      <c r="F738" t="str">
        <f>VLOOKUP(A2142,[2]Kreise!$A$2:$C$53,3,FALSE)</f>
        <v>K030</v>
      </c>
      <c r="G738">
        <f>'2020_5-2-2_Download'!AD18</f>
        <v>21.03960396039604</v>
      </c>
    </row>
    <row r="739" spans="1:7">
      <c r="A739">
        <f>'2020_5-2-2_Download'!B19</f>
        <v>159</v>
      </c>
      <c r="B739">
        <f>'2020_5-2-2_Download'!$Y$5</f>
        <v>2017</v>
      </c>
      <c r="C739" t="str">
        <f>VLOOKUP(A2143,[1]Tabelle1!$A$1:$B$68,2,FALSE)</f>
        <v>Niedersachsen</v>
      </c>
      <c r="D739" t="str">
        <f>'2020_5-2-2_Download'!$AD$7</f>
        <v>niedrig</v>
      </c>
      <c r="E739" t="s">
        <v>362</v>
      </c>
      <c r="F739" t="str">
        <f>VLOOKUP(A2143,[2]Kreise!$A$2:$C$53,3,FALSE)</f>
        <v>K030</v>
      </c>
      <c r="G739">
        <f>'2020_5-2-2_Download'!AD19</f>
        <v>23.592183080483416</v>
      </c>
    </row>
    <row r="740" spans="1:7">
      <c r="A740">
        <f>'2020_5-2-2_Download'!B20</f>
        <v>1</v>
      </c>
      <c r="B740">
        <f>'2020_5-2-2_Download'!$Y$5</f>
        <v>2017</v>
      </c>
      <c r="C740" t="str">
        <f>VLOOKUP(A2144,[1]Tabelle1!$A$1:$B$68,2,FALSE)</f>
        <v>Niedersachsen</v>
      </c>
      <c r="D740" t="str">
        <f>'2020_5-2-2_Download'!$AD$7</f>
        <v>niedrig</v>
      </c>
      <c r="E740" t="s">
        <v>362</v>
      </c>
      <c r="F740" t="str">
        <f>VLOOKUP(A2144,[2]Kreise!$A$2:$C$53,3,FALSE)</f>
        <v>K030</v>
      </c>
      <c r="G740">
        <f>'2020_5-2-2_Download'!AD20</f>
        <v>20.804312565594884</v>
      </c>
    </row>
    <row r="741" spans="1:7">
      <c r="A741">
        <f>'2020_5-2-2_Download'!B21</f>
        <v>241</v>
      </c>
      <c r="B741">
        <f>'2020_5-2-2_Download'!$Y$5</f>
        <v>2017</v>
      </c>
      <c r="C741" t="str">
        <f>VLOOKUP(A2145,[1]Tabelle1!$A$1:$B$68,2,FALSE)</f>
        <v>Niedersachsen</v>
      </c>
      <c r="D741" t="str">
        <f>'2020_5-2-2_Download'!$AD$7</f>
        <v>niedrig</v>
      </c>
      <c r="E741" t="s">
        <v>362</v>
      </c>
      <c r="F741" t="str">
        <f>VLOOKUP(A2145,[2]Kreise!$A$2:$C$53,3,FALSE)</f>
        <v>K030</v>
      </c>
      <c r="G741">
        <f>'2020_5-2-2_Download'!AD21</f>
        <v>25.51991128922436</v>
      </c>
    </row>
    <row r="742" spans="1:7">
      <c r="A742">
        <f>'2020_5-2-2_Download'!B22</f>
        <v>241001</v>
      </c>
      <c r="B742">
        <f>'2020_5-2-2_Download'!$Y$5</f>
        <v>2017</v>
      </c>
      <c r="C742" t="str">
        <f>VLOOKUP(A2146,[1]Tabelle1!$A$1:$B$68,2,FALSE)</f>
        <v>Niedersachsen</v>
      </c>
      <c r="D742" t="str">
        <f>'2020_5-2-2_Download'!$AD$7</f>
        <v>niedrig</v>
      </c>
      <c r="E742" t="s">
        <v>362</v>
      </c>
      <c r="F742" t="str">
        <f>VLOOKUP(A2146,[2]Kreise!$A$2:$C$53,3,FALSE)</f>
        <v>K030</v>
      </c>
      <c r="G742">
        <f>'2020_5-2-2_Download'!AD22</f>
        <v>24.886164102258864</v>
      </c>
    </row>
    <row r="743" spans="1:7">
      <c r="A743">
        <f>'2020_5-2-2_Download'!B23</f>
        <v>241999</v>
      </c>
      <c r="B743">
        <f>'2020_5-2-2_Download'!$Y$5</f>
        <v>2017</v>
      </c>
      <c r="C743" t="str">
        <f>VLOOKUP(A2147,[1]Tabelle1!$A$1:$B$68,2,FALSE)</f>
        <v>Niedersachsen</v>
      </c>
      <c r="D743" t="str">
        <f>'2020_5-2-2_Download'!$AD$7</f>
        <v>niedrig</v>
      </c>
      <c r="E743" t="s">
        <v>362</v>
      </c>
      <c r="F743" t="str">
        <f>VLOOKUP(A2147,[2]Kreise!$A$2:$C$53,3,FALSE)</f>
        <v>K030</v>
      </c>
      <c r="G743">
        <f>'2020_5-2-2_Download'!AD23</f>
        <v>26.716099314683746</v>
      </c>
    </row>
    <row r="744" spans="1:7">
      <c r="A744">
        <f>'2020_5-2-2_Download'!B24</f>
        <v>251</v>
      </c>
      <c r="B744">
        <f>'2020_5-2-2_Download'!$Y$5</f>
        <v>2017</v>
      </c>
      <c r="C744" t="str">
        <f>VLOOKUP(A2148,[1]Tabelle1!$A$1:$B$68,2,FALSE)</f>
        <v>Niedersachsen</v>
      </c>
      <c r="D744" t="str">
        <f>'2020_5-2-2_Download'!$AD$7</f>
        <v>niedrig</v>
      </c>
      <c r="E744" t="s">
        <v>362</v>
      </c>
      <c r="F744" t="str">
        <f>VLOOKUP(A2148,[2]Kreise!$A$2:$C$53,3,FALSE)</f>
        <v>K030</v>
      </c>
      <c r="G744">
        <f>'2020_5-2-2_Download'!AD24</f>
        <v>21.575556017459988</v>
      </c>
    </row>
    <row r="745" spans="1:7">
      <c r="A745">
        <f>'2020_5-2-2_Download'!B25</f>
        <v>252</v>
      </c>
      <c r="B745">
        <f>'2020_5-2-2_Download'!$Y$5</f>
        <v>2017</v>
      </c>
      <c r="C745" t="str">
        <f>VLOOKUP(A2149,[1]Tabelle1!$A$1:$B$68,2,FALSE)</f>
        <v>Niedersachsen</v>
      </c>
      <c r="D745" t="str">
        <f>'2020_5-2-2_Download'!$AD$7</f>
        <v>niedrig</v>
      </c>
      <c r="E745" t="s">
        <v>362</v>
      </c>
      <c r="F745" t="str">
        <f>VLOOKUP(A2149,[2]Kreise!$A$2:$C$53,3,FALSE)</f>
        <v>K030</v>
      </c>
      <c r="G745">
        <f>'2020_5-2-2_Download'!AD25</f>
        <v>23.394495412844037</v>
      </c>
    </row>
    <row r="746" spans="1:7">
      <c r="A746">
        <f>'2020_5-2-2_Download'!B26</f>
        <v>254</v>
      </c>
      <c r="B746">
        <f>'2020_5-2-2_Download'!$Y$5</f>
        <v>2017</v>
      </c>
      <c r="C746" t="str">
        <f>VLOOKUP(A2150,[1]Tabelle1!$A$1:$B$68,2,FALSE)</f>
        <v>Niedersachsen</v>
      </c>
      <c r="D746" t="str">
        <f>'2020_5-2-2_Download'!$AD$7</f>
        <v>niedrig</v>
      </c>
      <c r="E746" t="s">
        <v>362</v>
      </c>
      <c r="F746" t="str">
        <f>VLOOKUP(A2150,[2]Kreise!$A$2:$C$53,3,FALSE)</f>
        <v>K030</v>
      </c>
      <c r="G746">
        <f>'2020_5-2-2_Download'!AD26</f>
        <v>24.187153053132434</v>
      </c>
    </row>
    <row r="747" spans="1:7">
      <c r="A747">
        <f>'2020_5-2-2_Download'!B27</f>
        <v>255</v>
      </c>
      <c r="B747">
        <f>'2020_5-2-2_Download'!$Y$5</f>
        <v>2017</v>
      </c>
      <c r="C747" t="str">
        <f>VLOOKUP(A2151,[1]Tabelle1!$A$1:$B$68,2,FALSE)</f>
        <v>Niedersachsen</v>
      </c>
      <c r="D747" t="str">
        <f>'2020_5-2-2_Download'!$AD$7</f>
        <v>niedrig</v>
      </c>
      <c r="E747" t="s">
        <v>362</v>
      </c>
      <c r="F747" t="str">
        <f>VLOOKUP(A2151,[2]Kreise!$A$2:$C$53,3,FALSE)</f>
        <v>K030</v>
      </c>
      <c r="G747">
        <f>'2020_5-2-2_Download'!AD27</f>
        <v>27.113970588235293</v>
      </c>
    </row>
    <row r="748" spans="1:7">
      <c r="A748">
        <f>'2020_5-2-2_Download'!B28</f>
        <v>256</v>
      </c>
      <c r="B748">
        <f>'2020_5-2-2_Download'!$Y$5</f>
        <v>2017</v>
      </c>
      <c r="C748" t="str">
        <f>VLOOKUP(A2152,[1]Tabelle1!$A$1:$B$68,2,FALSE)</f>
        <v>Niedersachsen</v>
      </c>
      <c r="D748" t="str">
        <f>'2020_5-2-2_Download'!$AD$7</f>
        <v>niedrig</v>
      </c>
      <c r="E748" t="s">
        <v>362</v>
      </c>
      <c r="F748" t="str">
        <f>VLOOKUP(A2152,[2]Kreise!$A$2:$C$53,3,FALSE)</f>
        <v>K030</v>
      </c>
      <c r="G748">
        <f>'2020_5-2-2_Download'!AD28</f>
        <v>26.72413793103448</v>
      </c>
    </row>
    <row r="749" spans="1:7">
      <c r="A749">
        <f>'2020_5-2-2_Download'!B29</f>
        <v>257</v>
      </c>
      <c r="B749">
        <f>'2020_5-2-2_Download'!$Y$5</f>
        <v>2017</v>
      </c>
      <c r="C749" t="str">
        <f>VLOOKUP(A2153,[1]Tabelle1!$A$1:$B$68,2,FALSE)</f>
        <v>Niedersachsen</v>
      </c>
      <c r="D749" t="str">
        <f>'2020_5-2-2_Download'!$AD$7</f>
        <v>niedrig</v>
      </c>
      <c r="E749" t="s">
        <v>362</v>
      </c>
      <c r="F749" t="str">
        <f>VLOOKUP(A2153,[2]Kreise!$A$2:$C$53,3,FALSE)</f>
        <v>K030</v>
      </c>
      <c r="G749">
        <f>'2020_5-2-2_Download'!AD29</f>
        <v>25.354012137559</v>
      </c>
    </row>
    <row r="750" spans="1:7">
      <c r="A750">
        <f>'2020_5-2-2_Download'!B30</f>
        <v>2</v>
      </c>
      <c r="B750">
        <f>'2020_5-2-2_Download'!$Y$5</f>
        <v>2017</v>
      </c>
      <c r="C750" t="str">
        <f>VLOOKUP(A2154,[1]Tabelle1!$A$1:$B$68,2,FALSE)</f>
        <v>Niedersachsen</v>
      </c>
      <c r="D750" t="str">
        <f>'2020_5-2-2_Download'!$AD$7</f>
        <v>niedrig</v>
      </c>
      <c r="E750" t="s">
        <v>362</v>
      </c>
      <c r="F750" t="str">
        <f>VLOOKUP(A2154,[2]Kreise!$A$2:$C$53,3,FALSE)</f>
        <v>K030</v>
      </c>
      <c r="G750">
        <f>'2020_5-2-2_Download'!AD30</f>
        <v>25.124210526315789</v>
      </c>
    </row>
    <row r="751" spans="1:7">
      <c r="A751">
        <f>'2020_5-2-2_Download'!B31</f>
        <v>351</v>
      </c>
      <c r="B751">
        <f>'2020_5-2-2_Download'!$Y$5</f>
        <v>2017</v>
      </c>
      <c r="C751" t="str">
        <f>VLOOKUP(A2155,[1]Tabelle1!$A$1:$B$68,2,FALSE)</f>
        <v>Niedersachsen</v>
      </c>
      <c r="D751" t="str">
        <f>'2020_5-2-2_Download'!$AD$7</f>
        <v>niedrig</v>
      </c>
      <c r="E751" t="s">
        <v>362</v>
      </c>
      <c r="F751" t="str">
        <f>VLOOKUP(A2155,[2]Kreise!$A$2:$C$53,3,FALSE)</f>
        <v>K030</v>
      </c>
      <c r="G751">
        <f>'2020_5-2-2_Download'!AD31</f>
        <v>28.520091473374716</v>
      </c>
    </row>
    <row r="752" spans="1:7">
      <c r="A752">
        <f>'2020_5-2-2_Download'!B32</f>
        <v>352</v>
      </c>
      <c r="B752">
        <f>'2020_5-2-2_Download'!$Y$5</f>
        <v>2017</v>
      </c>
      <c r="C752" t="str">
        <f>VLOOKUP(A2156,[1]Tabelle1!$A$1:$B$68,2,FALSE)</f>
        <v>Niedersachsen</v>
      </c>
      <c r="D752" t="str">
        <f>'2020_5-2-2_Download'!$AD$7</f>
        <v>niedrig</v>
      </c>
      <c r="E752" t="s">
        <v>362</v>
      </c>
      <c r="F752" t="str">
        <f>VLOOKUP(A2156,[2]Kreise!$A$2:$C$53,3,FALSE)</f>
        <v>K030</v>
      </c>
      <c r="G752">
        <f>'2020_5-2-2_Download'!AD32</f>
        <v>23.029981427434333</v>
      </c>
    </row>
    <row r="753" spans="1:7">
      <c r="A753">
        <f>'2020_5-2-2_Download'!B33</f>
        <v>353</v>
      </c>
      <c r="B753">
        <f>'2020_5-2-2_Download'!$Y$5</f>
        <v>2017</v>
      </c>
      <c r="C753" t="str">
        <f>VLOOKUP(A2157,[1]Tabelle1!$A$1:$B$68,2,FALSE)</f>
        <v>Niedersachsen</v>
      </c>
      <c r="D753" t="str">
        <f>'2020_5-2-2_Download'!$AD$7</f>
        <v>niedrig</v>
      </c>
      <c r="E753" t="s">
        <v>362</v>
      </c>
      <c r="F753" t="str">
        <f>VLOOKUP(A2157,[2]Kreise!$A$2:$C$53,3,FALSE)</f>
        <v>K030</v>
      </c>
      <c r="G753">
        <f>'2020_5-2-2_Download'!AD33</f>
        <v>19.296272493573266</v>
      </c>
    </row>
    <row r="754" spans="1:7">
      <c r="A754">
        <f>'2020_5-2-2_Download'!B34</f>
        <v>354</v>
      </c>
      <c r="B754">
        <f>'2020_5-2-2_Download'!$Y$5</f>
        <v>2017</v>
      </c>
      <c r="C754" t="str">
        <f>VLOOKUP(A2158,[1]Tabelle1!$A$1:$B$68,2,FALSE)</f>
        <v>Niedersachsen</v>
      </c>
      <c r="D754" t="str">
        <f>'2020_5-2-2_Download'!$AD$7</f>
        <v>niedrig</v>
      </c>
      <c r="E754" t="s">
        <v>362</v>
      </c>
      <c r="F754" t="str">
        <f>VLOOKUP(A2158,[2]Kreise!$A$2:$C$53,3,FALSE)</f>
        <v>K030</v>
      </c>
      <c r="G754">
        <f>'2020_5-2-2_Download'!AD34</f>
        <v>16.513761467889911</v>
      </c>
    </row>
    <row r="755" spans="1:7">
      <c r="A755">
        <f>'2020_5-2-2_Download'!B35</f>
        <v>355</v>
      </c>
      <c r="B755">
        <f>'2020_5-2-2_Download'!$Y$5</f>
        <v>2017</v>
      </c>
      <c r="C755" t="str">
        <f>VLOOKUP(A2159,[1]Tabelle1!$A$1:$B$68,2,FALSE)</f>
        <v>Niedersachsen</v>
      </c>
      <c r="D755" t="str">
        <f>'2020_5-2-2_Download'!$AD$7</f>
        <v>niedrig</v>
      </c>
      <c r="E755" t="s">
        <v>362</v>
      </c>
      <c r="F755" t="str">
        <f>VLOOKUP(A2159,[2]Kreise!$A$2:$C$53,3,FALSE)</f>
        <v>K030</v>
      </c>
      <c r="G755">
        <f>'2020_5-2-2_Download'!AD35</f>
        <v>22.656000000000002</v>
      </c>
    </row>
    <row r="756" spans="1:7">
      <c r="A756">
        <f>'2020_5-2-2_Download'!B36</f>
        <v>356</v>
      </c>
      <c r="B756">
        <f>'2020_5-2-2_Download'!$Y$5</f>
        <v>2017</v>
      </c>
      <c r="C756" t="str">
        <f>VLOOKUP(A2160,[1]Tabelle1!$A$1:$B$68,2,FALSE)</f>
        <v>Niedersachsen</v>
      </c>
      <c r="D756" t="str">
        <f>'2020_5-2-2_Download'!$AD$7</f>
        <v>niedrig</v>
      </c>
      <c r="E756" t="s">
        <v>362</v>
      </c>
      <c r="F756" t="str">
        <f>VLOOKUP(A2160,[2]Kreise!$A$2:$C$53,3,FALSE)</f>
        <v>K030</v>
      </c>
      <c r="G756">
        <f>'2020_5-2-2_Download'!AD36</f>
        <v>23.205902079141516</v>
      </c>
    </row>
    <row r="757" spans="1:7">
      <c r="A757">
        <f>'2020_5-2-2_Download'!B37</f>
        <v>357</v>
      </c>
      <c r="B757">
        <f>'2020_5-2-2_Download'!$Y$5</f>
        <v>2017</v>
      </c>
      <c r="C757" t="str">
        <f>VLOOKUP(A2161,[1]Tabelle1!$A$1:$B$68,2,FALSE)</f>
        <v>Niedersachsen</v>
      </c>
      <c r="D757" t="str">
        <f>'2020_5-2-2_Download'!$AD$7</f>
        <v>niedrig</v>
      </c>
      <c r="E757" t="s">
        <v>362</v>
      </c>
      <c r="F757" t="str">
        <f>VLOOKUP(A2161,[2]Kreise!$A$2:$C$53,3,FALSE)</f>
        <v>K030</v>
      </c>
      <c r="G757">
        <f>'2020_5-2-2_Download'!AD37</f>
        <v>19.338498212157329</v>
      </c>
    </row>
    <row r="758" spans="1:7">
      <c r="A758">
        <f>'2020_5-2-2_Download'!B38</f>
        <v>358</v>
      </c>
      <c r="B758">
        <f>'2020_5-2-2_Download'!$Y$5</f>
        <v>2017</v>
      </c>
      <c r="C758" t="str">
        <f>VLOOKUP(A2162,[1]Tabelle1!$A$1:$B$68,2,FALSE)</f>
        <v>Niedersachsen</v>
      </c>
      <c r="D758" t="str">
        <f>'2020_5-2-2_Download'!$AD$7</f>
        <v>niedrig</v>
      </c>
      <c r="E758" t="s">
        <v>362</v>
      </c>
      <c r="F758" t="str">
        <f>VLOOKUP(A2162,[2]Kreise!$A$2:$C$53,3,FALSE)</f>
        <v>K030</v>
      </c>
      <c r="G758">
        <f>'2020_5-2-2_Download'!AD38</f>
        <v>21.124620060790271</v>
      </c>
    </row>
    <row r="759" spans="1:7">
      <c r="A759">
        <f>'2020_5-2-2_Download'!B39</f>
        <v>359</v>
      </c>
      <c r="B759">
        <f>'2020_5-2-2_Download'!$Y$5</f>
        <v>2017</v>
      </c>
      <c r="C759" t="str">
        <f>VLOOKUP(A2163,[1]Tabelle1!$A$1:$B$68,2,FALSE)</f>
        <v>Niedersachsen</v>
      </c>
      <c r="D759" t="str">
        <f>'2020_5-2-2_Download'!$AD$7</f>
        <v>niedrig</v>
      </c>
      <c r="E759" t="s">
        <v>362</v>
      </c>
      <c r="F759" t="str">
        <f>VLOOKUP(A2163,[2]Kreise!$A$2:$C$53,3,FALSE)</f>
        <v>K030</v>
      </c>
      <c r="G759">
        <f>'2020_5-2-2_Download'!AD39</f>
        <v>18.365086397873284</v>
      </c>
    </row>
    <row r="760" spans="1:7">
      <c r="A760">
        <f>'2020_5-2-2_Download'!B40</f>
        <v>360</v>
      </c>
      <c r="B760">
        <f>'2020_5-2-2_Download'!$Y$5</f>
        <v>2017</v>
      </c>
      <c r="C760" t="str">
        <f>VLOOKUP(A2164,[1]Tabelle1!$A$1:$B$68,2,FALSE)</f>
        <v>Niedersachsen</v>
      </c>
      <c r="D760" t="str">
        <f>'2020_5-2-2_Download'!$AD$7</f>
        <v>niedrig</v>
      </c>
      <c r="E760" t="s">
        <v>362</v>
      </c>
      <c r="F760" t="str">
        <f>VLOOKUP(A2164,[2]Kreise!$A$2:$C$53,3,FALSE)</f>
        <v>K030</v>
      </c>
      <c r="G760">
        <f>'2020_5-2-2_Download'!AD40</f>
        <v>17.831325301204821</v>
      </c>
    </row>
    <row r="761" spans="1:7">
      <c r="A761">
        <f>'2020_5-2-2_Download'!B41</f>
        <v>361</v>
      </c>
      <c r="B761">
        <f>'2020_5-2-2_Download'!$Y$5</f>
        <v>2017</v>
      </c>
      <c r="C761" t="str">
        <f>VLOOKUP(A2165,[1]Tabelle1!$A$1:$B$68,2,FALSE)</f>
        <v>Niedersachsen</v>
      </c>
      <c r="D761" t="str">
        <f>'2020_5-2-2_Download'!$AD$7</f>
        <v>niedrig</v>
      </c>
      <c r="E761" t="s">
        <v>362</v>
      </c>
      <c r="F761" t="str">
        <f>VLOOKUP(A2165,[2]Kreise!$A$2:$C$53,3,FALSE)</f>
        <v>K030</v>
      </c>
      <c r="G761">
        <f>'2020_5-2-2_Download'!AD41</f>
        <v>25.213564587108468</v>
      </c>
    </row>
    <row r="762" spans="1:7">
      <c r="A762">
        <f>'2020_5-2-2_Download'!B42</f>
        <v>3</v>
      </c>
      <c r="B762">
        <f>'2020_5-2-2_Download'!$Y$5</f>
        <v>2017</v>
      </c>
      <c r="C762" t="str">
        <f>VLOOKUP(A2166,[1]Tabelle1!$A$1:$B$68,2,FALSE)</f>
        <v>Niedersachsen</v>
      </c>
      <c r="D762" t="str">
        <f>'2020_5-2-2_Download'!$AD$7</f>
        <v>niedrig</v>
      </c>
      <c r="E762" t="s">
        <v>362</v>
      </c>
      <c r="F762" t="str">
        <f>VLOOKUP(A2166,[2]Kreise!$A$2:$C$53,3,FALSE)</f>
        <v>K030</v>
      </c>
      <c r="G762">
        <f>'2020_5-2-2_Download'!AD42</f>
        <v>21.603260869565215</v>
      </c>
    </row>
    <row r="763" spans="1:7">
      <c r="A763">
        <f>'2020_5-2-2_Download'!B43</f>
        <v>401</v>
      </c>
      <c r="B763">
        <f>'2020_5-2-2_Download'!$Y$5</f>
        <v>2017</v>
      </c>
      <c r="C763" t="str">
        <f>VLOOKUP(A2167,[1]Tabelle1!$A$1:$B$68,2,FALSE)</f>
        <v>Niedersachsen</v>
      </c>
      <c r="D763" t="str">
        <f>'2020_5-2-2_Download'!$AD$7</f>
        <v>niedrig</v>
      </c>
      <c r="E763" t="s">
        <v>362</v>
      </c>
      <c r="F763" t="str">
        <f>VLOOKUP(A2167,[2]Kreise!$A$2:$C$53,3,FALSE)</f>
        <v>K030</v>
      </c>
      <c r="G763">
        <f>'2020_5-2-2_Download'!AD43</f>
        <v>26.432291666666668</v>
      </c>
    </row>
    <row r="764" spans="1:7">
      <c r="A764">
        <f>'2020_5-2-2_Download'!B44</f>
        <v>402</v>
      </c>
      <c r="B764">
        <f>'2020_5-2-2_Download'!$Y$5</f>
        <v>2017</v>
      </c>
      <c r="C764" t="str">
        <f>VLOOKUP(A2168,[1]Tabelle1!$A$1:$B$68,2,FALSE)</f>
        <v>Niedersachsen</v>
      </c>
      <c r="D764" t="str">
        <f>'2020_5-2-2_Download'!$AD$7</f>
        <v>niedrig</v>
      </c>
      <c r="E764" t="s">
        <v>362</v>
      </c>
      <c r="F764" t="str">
        <f>VLOOKUP(A2168,[2]Kreise!$A$2:$C$53,3,FALSE)</f>
        <v>K030</v>
      </c>
      <c r="G764">
        <f>'2020_5-2-2_Download'!AD44</f>
        <v>23.874151758173966</v>
      </c>
    </row>
    <row r="765" spans="1:7">
      <c r="A765">
        <f>'2020_5-2-2_Download'!B45</f>
        <v>403</v>
      </c>
      <c r="B765">
        <f>'2020_5-2-2_Download'!$Y$5</f>
        <v>2017</v>
      </c>
      <c r="C765" t="str">
        <f>VLOOKUP(A2169,[1]Tabelle1!$A$1:$B$68,2,FALSE)</f>
        <v>Niedersachsen</v>
      </c>
      <c r="D765" t="str">
        <f>'2020_5-2-2_Download'!$AD$7</f>
        <v>niedrig</v>
      </c>
      <c r="E765" t="s">
        <v>362</v>
      </c>
      <c r="F765" t="str">
        <f>VLOOKUP(A2169,[2]Kreise!$A$2:$C$53,3,FALSE)</f>
        <v>K030</v>
      </c>
      <c r="G765">
        <f>'2020_5-2-2_Download'!AD45</f>
        <v>23.989781699953554</v>
      </c>
    </row>
    <row r="766" spans="1:7">
      <c r="A766">
        <f>'2020_5-2-2_Download'!B46</f>
        <v>404</v>
      </c>
      <c r="B766">
        <f>'2020_5-2-2_Download'!$Y$5</f>
        <v>2017</v>
      </c>
      <c r="C766" t="str">
        <f>VLOOKUP(A2170,[1]Tabelle1!$A$1:$B$68,2,FALSE)</f>
        <v>Niedersachsen</v>
      </c>
      <c r="D766" t="str">
        <f>'2020_5-2-2_Download'!$AD$7</f>
        <v>niedrig</v>
      </c>
      <c r="E766" t="s">
        <v>362</v>
      </c>
      <c r="F766" t="str">
        <f>VLOOKUP(A2170,[2]Kreise!$A$2:$C$53,3,FALSE)</f>
        <v>K030</v>
      </c>
      <c r="G766">
        <f>'2020_5-2-2_Download'!AD46</f>
        <v>29.275985663082437</v>
      </c>
    </row>
    <row r="767" spans="1:7">
      <c r="A767">
        <f>'2020_5-2-2_Download'!B47</f>
        <v>405</v>
      </c>
      <c r="B767">
        <f>'2020_5-2-2_Download'!$Y$5</f>
        <v>2017</v>
      </c>
      <c r="C767" t="str">
        <f>VLOOKUP(A2171,[1]Tabelle1!$A$1:$B$68,2,FALSE)</f>
        <v>Niedersachsen</v>
      </c>
      <c r="D767" t="str">
        <f>'2020_5-2-2_Download'!$AD$7</f>
        <v>niedrig</v>
      </c>
      <c r="E767" t="s">
        <v>362</v>
      </c>
      <c r="F767" t="str">
        <f>VLOOKUP(A2171,[2]Kreise!$A$2:$C$53,3,FALSE)</f>
        <v>K030</v>
      </c>
      <c r="G767">
        <f>'2020_5-2-2_Download'!AD47</f>
        <v>22.682119205298012</v>
      </c>
    </row>
    <row r="768" spans="1:7">
      <c r="A768">
        <f>'2020_5-2-2_Download'!B48</f>
        <v>451</v>
      </c>
      <c r="B768">
        <f>'2020_5-2-2_Download'!$Y$5</f>
        <v>2017</v>
      </c>
      <c r="C768" t="str">
        <f>VLOOKUP(A2172,[1]Tabelle1!$A$1:$B$68,2,FALSE)</f>
        <v>Niedersachsen</v>
      </c>
      <c r="D768" t="str">
        <f>'2020_5-2-2_Download'!$AD$7</f>
        <v>niedrig</v>
      </c>
      <c r="E768" t="s">
        <v>362</v>
      </c>
      <c r="F768" t="str">
        <f>VLOOKUP(A2172,[2]Kreise!$A$2:$C$53,3,FALSE)</f>
        <v>K030</v>
      </c>
      <c r="G768">
        <f>'2020_5-2-2_Download'!AD48</f>
        <v>22.801635991820042</v>
      </c>
    </row>
    <row r="769" spans="1:7">
      <c r="A769">
        <f>'2020_5-2-2_Download'!B49</f>
        <v>452</v>
      </c>
      <c r="B769">
        <f>'2020_5-2-2_Download'!$Y$5</f>
        <v>2017</v>
      </c>
      <c r="C769" t="str">
        <f>VLOOKUP(A2173,[1]Tabelle1!$A$1:$B$68,2,FALSE)</f>
        <v>Niedersachsen</v>
      </c>
      <c r="D769" t="str">
        <f>'2020_5-2-2_Download'!$AD$7</f>
        <v>niedrig</v>
      </c>
      <c r="E769" t="s">
        <v>362</v>
      </c>
      <c r="F769" t="str">
        <f>VLOOKUP(A2173,[2]Kreise!$A$2:$C$53,3,FALSE)</f>
        <v>K030</v>
      </c>
      <c r="G769">
        <f>'2020_5-2-2_Download'!AD49</f>
        <v>22.191154041687849</v>
      </c>
    </row>
    <row r="770" spans="1:7">
      <c r="A770">
        <f>'2020_5-2-2_Download'!B50</f>
        <v>453</v>
      </c>
      <c r="B770">
        <f>'2020_5-2-2_Download'!$Y$5</f>
        <v>2017</v>
      </c>
      <c r="C770" t="str">
        <f>VLOOKUP(A2174,[1]Tabelle1!$A$1:$B$68,2,FALSE)</f>
        <v>Niedersachsen</v>
      </c>
      <c r="D770" t="str">
        <f>'2020_5-2-2_Download'!$AD$7</f>
        <v>niedrig</v>
      </c>
      <c r="E770" t="s">
        <v>362</v>
      </c>
      <c r="F770" t="str">
        <f>VLOOKUP(A2174,[2]Kreise!$A$2:$C$53,3,FALSE)</f>
        <v>K030</v>
      </c>
      <c r="G770">
        <f>'2020_5-2-2_Download'!AD50</f>
        <v>25.403632694248234</v>
      </c>
    </row>
    <row r="771" spans="1:7">
      <c r="A771">
        <f>'2020_5-2-2_Download'!B51</f>
        <v>454</v>
      </c>
      <c r="B771">
        <f>'2020_5-2-2_Download'!$Y$5</f>
        <v>2017</v>
      </c>
      <c r="C771" t="str">
        <f>VLOOKUP(A2175,[1]Tabelle1!$A$1:$B$68,2,FALSE)</f>
        <v>Niedersachsen</v>
      </c>
      <c r="D771" t="str">
        <f>'2020_5-2-2_Download'!$AD$7</f>
        <v>niedrig</v>
      </c>
      <c r="E771" t="s">
        <v>362</v>
      </c>
      <c r="F771" t="str">
        <f>VLOOKUP(A2175,[2]Kreise!$A$2:$C$53,3,FALSE)</f>
        <v>K030</v>
      </c>
      <c r="G771">
        <f>'2020_5-2-2_Download'!AD51</f>
        <v>19.204503506829088</v>
      </c>
    </row>
    <row r="772" spans="1:7">
      <c r="A772">
        <f>'2020_5-2-2_Download'!B52</f>
        <v>455</v>
      </c>
      <c r="B772">
        <f>'2020_5-2-2_Download'!$Y$5</f>
        <v>2017</v>
      </c>
      <c r="C772" t="str">
        <f>VLOOKUP(A2176,[1]Tabelle1!$A$1:$B$68,2,FALSE)</f>
        <v>Niedersachsen</v>
      </c>
      <c r="D772" t="str">
        <f>'2020_5-2-2_Download'!$AD$7</f>
        <v>niedrig</v>
      </c>
      <c r="E772" t="s">
        <v>362</v>
      </c>
      <c r="F772" t="str">
        <f>VLOOKUP(A2176,[2]Kreise!$A$2:$C$53,3,FALSE)</f>
        <v>K030</v>
      </c>
      <c r="G772">
        <f>'2020_5-2-2_Download'!AD52</f>
        <v>18.75547765118317</v>
      </c>
    </row>
    <row r="773" spans="1:7">
      <c r="A773">
        <f>'2020_5-2-2_Download'!B53</f>
        <v>456</v>
      </c>
      <c r="B773">
        <f>'2020_5-2-2_Download'!$Y$5</f>
        <v>2017</v>
      </c>
      <c r="C773" t="str">
        <f>VLOOKUP(A2177,[1]Tabelle1!$A$1:$B$68,2,FALSE)</f>
        <v>Niedersachsen</v>
      </c>
      <c r="D773" t="str">
        <f>'2020_5-2-2_Download'!$AD$7</f>
        <v>niedrig</v>
      </c>
      <c r="E773" t="s">
        <v>362</v>
      </c>
      <c r="F773" t="str">
        <f>VLOOKUP(A2177,[2]Kreise!$A$2:$C$53,3,FALSE)</f>
        <v>K030</v>
      </c>
      <c r="G773">
        <f>'2020_5-2-2_Download'!AD53</f>
        <v>18.540392322294874</v>
      </c>
    </row>
    <row r="774" spans="1:7">
      <c r="A774">
        <f>'2020_5-2-2_Download'!B54</f>
        <v>457</v>
      </c>
      <c r="B774">
        <f>'2020_5-2-2_Download'!$Y$5</f>
        <v>2017</v>
      </c>
      <c r="C774" t="str">
        <f>VLOOKUP(A2178,[1]Tabelle1!$A$1:$B$68,2,FALSE)</f>
        <v>Niedersachsen</v>
      </c>
      <c r="D774" t="str">
        <f>'2020_5-2-2_Download'!$AD$7</f>
        <v>niedrig</v>
      </c>
      <c r="E774" t="s">
        <v>362</v>
      </c>
      <c r="F774" t="str">
        <f>VLOOKUP(A2178,[2]Kreise!$A$2:$C$53,3,FALSE)</f>
        <v>K030</v>
      </c>
      <c r="G774">
        <f>'2020_5-2-2_Download'!AD54</f>
        <v>15.691768826619965</v>
      </c>
    </row>
    <row r="775" spans="1:7">
      <c r="A775">
        <f>'2020_5-2-2_Download'!B55</f>
        <v>458</v>
      </c>
      <c r="B775">
        <f>'2020_5-2-2_Download'!$Y$5</f>
        <v>2017</v>
      </c>
      <c r="C775" t="str">
        <f>VLOOKUP(A2179,[1]Tabelle1!$A$1:$B$68,2,FALSE)</f>
        <v>Niedersachsen</v>
      </c>
      <c r="D775" t="str">
        <f>'2020_5-2-2_Download'!$AD$7</f>
        <v>niedrig</v>
      </c>
      <c r="E775" t="s">
        <v>362</v>
      </c>
      <c r="F775" t="str">
        <f>VLOOKUP(A2179,[2]Kreise!$A$2:$C$53,3,FALSE)</f>
        <v>K030</v>
      </c>
      <c r="G775">
        <f>'2020_5-2-2_Download'!AD55</f>
        <v>23.548503425892537</v>
      </c>
    </row>
    <row r="776" spans="1:7">
      <c r="A776">
        <f>'2020_5-2-2_Download'!B56</f>
        <v>459</v>
      </c>
      <c r="B776">
        <f>'2020_5-2-2_Download'!$Y$5</f>
        <v>2017</v>
      </c>
      <c r="C776" t="str">
        <f>VLOOKUP(A2180,[1]Tabelle1!$A$1:$B$68,2,FALSE)</f>
        <v>Niedersachsen</v>
      </c>
      <c r="D776" t="str">
        <f>'2020_5-2-2_Download'!$AD$7</f>
        <v>niedrig</v>
      </c>
      <c r="E776" t="s">
        <v>362</v>
      </c>
      <c r="F776" t="str">
        <f>VLOOKUP(A2180,[2]Kreise!$A$2:$C$53,3,FALSE)</f>
        <v>K030</v>
      </c>
      <c r="G776">
        <f>'2020_5-2-2_Download'!AD56</f>
        <v>24.673273014505241</v>
      </c>
    </row>
    <row r="777" spans="1:7">
      <c r="A777">
        <f>'2020_5-2-2_Download'!B57</f>
        <v>460</v>
      </c>
      <c r="B777">
        <f>'2020_5-2-2_Download'!$Y$5</f>
        <v>2017</v>
      </c>
      <c r="C777" t="str">
        <f>VLOOKUP(A2181,[1]Tabelle1!$A$1:$B$68,2,FALSE)</f>
        <v>Niedersachsen</v>
      </c>
      <c r="D777" t="str">
        <f>'2020_5-2-2_Download'!$AD$7</f>
        <v>niedrig</v>
      </c>
      <c r="E777" t="s">
        <v>362</v>
      </c>
      <c r="F777" t="str">
        <f>VLOOKUP(A2181,[2]Kreise!$A$2:$C$53,3,FALSE)</f>
        <v>K030</v>
      </c>
      <c r="G777">
        <f>'2020_5-2-2_Download'!AD57</f>
        <v>24.652970571904497</v>
      </c>
    </row>
    <row r="778" spans="1:7">
      <c r="A778">
        <f>'2020_5-2-2_Download'!B58</f>
        <v>461</v>
      </c>
      <c r="B778">
        <f>'2020_5-2-2_Download'!$Y$5</f>
        <v>2017</v>
      </c>
      <c r="C778" t="str">
        <f>VLOOKUP(A2182,[1]Tabelle1!$A$1:$B$68,2,FALSE)</f>
        <v>Niedersachsen</v>
      </c>
      <c r="D778" t="str">
        <f>'2020_5-2-2_Download'!$AD$7</f>
        <v>niedrig</v>
      </c>
      <c r="E778" t="s">
        <v>362</v>
      </c>
      <c r="F778" t="str">
        <f>VLOOKUP(A2182,[2]Kreise!$A$2:$C$53,3,FALSE)</f>
        <v>K030</v>
      </c>
      <c r="G778">
        <f>'2020_5-2-2_Download'!AD58</f>
        <v>18.419800095192766</v>
      </c>
    </row>
    <row r="779" spans="1:7">
      <c r="A779">
        <f>'2020_5-2-2_Download'!B59</f>
        <v>462</v>
      </c>
      <c r="B779">
        <f>'2020_5-2-2_Download'!$Y$5</f>
        <v>2017</v>
      </c>
      <c r="C779" t="str">
        <f>VLOOKUP(A2183,[1]Tabelle1!$A$1:$B$68,2,FALSE)</f>
        <v>Niedersachsen</v>
      </c>
      <c r="D779" t="str">
        <f>'2020_5-2-2_Download'!$AD$7</f>
        <v>niedrig</v>
      </c>
      <c r="E779" t="s">
        <v>362</v>
      </c>
      <c r="F779" t="str">
        <f>VLOOKUP(A2183,[2]Kreise!$A$2:$C$53,3,FALSE)</f>
        <v>K030</v>
      </c>
      <c r="G779">
        <f>'2020_5-2-2_Download'!AD59</f>
        <v>14.107365792759053</v>
      </c>
    </row>
    <row r="780" spans="1:7">
      <c r="A780">
        <f>'2020_5-2-2_Download'!B60</f>
        <v>4</v>
      </c>
      <c r="B780">
        <f>'2020_5-2-2_Download'!$Y$5</f>
        <v>2017</v>
      </c>
      <c r="C780" t="str">
        <f>VLOOKUP(A2184,[1]Tabelle1!$A$1:$B$68,2,FALSE)</f>
        <v>Niedersachsen</v>
      </c>
      <c r="D780" t="str">
        <f>'2020_5-2-2_Download'!$AD$7</f>
        <v>niedrig</v>
      </c>
      <c r="E780" t="s">
        <v>362</v>
      </c>
      <c r="F780" t="str">
        <f>VLOOKUP(A2184,[2]Kreise!$A$2:$C$53,3,FALSE)</f>
        <v>K030</v>
      </c>
      <c r="G780">
        <f>'2020_5-2-2_Download'!AD60</f>
        <v>23.058724768191706</v>
      </c>
    </row>
    <row r="781" spans="1:7">
      <c r="A781">
        <f>'2020_5-2-2_Download'!B61</f>
        <v>0</v>
      </c>
      <c r="B781">
        <f>'2020_5-2-2_Download'!$Y$5</f>
        <v>2017</v>
      </c>
      <c r="C781" t="str">
        <f>VLOOKUP(A2185,[1]Tabelle1!$A$1:$B$68,2,FALSE)</f>
        <v>Niedersachsen</v>
      </c>
      <c r="D781" t="str">
        <f>'2020_5-2-2_Download'!$AD$7</f>
        <v>niedrig</v>
      </c>
      <c r="E781" t="s">
        <v>362</v>
      </c>
      <c r="F781" t="str">
        <f>VLOOKUP(A2185,[2]Kreise!$A$2:$C$53,3,FALSE)</f>
        <v>K030</v>
      </c>
      <c r="G781">
        <f>'2020_5-2-2_Download'!AD61</f>
        <v>23.068904133187861</v>
      </c>
    </row>
    <row r="782" spans="1:7">
      <c r="A782">
        <f>'2020_5-2-2_Download'!B10</f>
        <v>101</v>
      </c>
      <c r="B782">
        <f>'2020_5-2-2_Download'!$Y$5</f>
        <v>2017</v>
      </c>
      <c r="C782" t="str">
        <f>VLOOKUP(A2186,[1]Tabelle1!$A$1:$B$68,2,FALSE)</f>
        <v>Niedersachsen</v>
      </c>
      <c r="D782" t="str">
        <f>'2020_5-2-2_Download'!$AE$7</f>
        <v>unbekannt</v>
      </c>
      <c r="E782" t="s">
        <v>362</v>
      </c>
      <c r="F782" t="str">
        <f>VLOOKUP(A2186,[2]Kreise!$A$2:$C$53,3,FALSE)</f>
        <v>K030</v>
      </c>
      <c r="G782">
        <f>'2020_5-2-2_Download'!AE10</f>
        <v>25.97474523704032</v>
      </c>
    </row>
    <row r="783" spans="1:7">
      <c r="A783">
        <f>'2020_5-2-2_Download'!B11</f>
        <v>102</v>
      </c>
      <c r="B783">
        <f>'2020_5-2-2_Download'!$Y$5</f>
        <v>2017</v>
      </c>
      <c r="C783" t="str">
        <f>VLOOKUP(A2187,[1]Tabelle1!$A$1:$B$68,2,FALSE)</f>
        <v>Niedersachsen</v>
      </c>
      <c r="D783" t="str">
        <f>'2020_5-2-2_Download'!$AE$7</f>
        <v>unbekannt</v>
      </c>
      <c r="E783" t="s">
        <v>362</v>
      </c>
      <c r="F783" t="str">
        <f>VLOOKUP(A2187,[2]Kreise!$A$2:$C$53,3,FALSE)</f>
        <v>K030</v>
      </c>
      <c r="G783">
        <f>'2020_5-2-2_Download'!AE11</f>
        <v>28.413376917274331</v>
      </c>
    </row>
    <row r="784" spans="1:7">
      <c r="A784">
        <f>'2020_5-2-2_Download'!B12</f>
        <v>103</v>
      </c>
      <c r="B784">
        <f>'2020_5-2-2_Download'!$Y$5</f>
        <v>2017</v>
      </c>
      <c r="C784" t="str">
        <f>VLOOKUP(A2188,[1]Tabelle1!$A$1:$B$68,2,FALSE)</f>
        <v>Niedersachsen</v>
      </c>
      <c r="D784" t="str">
        <f>'2020_5-2-2_Download'!$AE$7</f>
        <v>unbekannt</v>
      </c>
      <c r="E784" t="s">
        <v>362</v>
      </c>
      <c r="F784" t="str">
        <f>VLOOKUP(A2188,[2]Kreise!$A$2:$C$53,3,FALSE)</f>
        <v>K030</v>
      </c>
      <c r="G784">
        <f>'2020_5-2-2_Download'!AE12</f>
        <v>30.793331095445897</v>
      </c>
    </row>
    <row r="785" spans="1:7">
      <c r="A785">
        <f>'2020_5-2-2_Download'!B13</f>
        <v>151</v>
      </c>
      <c r="B785">
        <f>'2020_5-2-2_Download'!$Y$5</f>
        <v>2017</v>
      </c>
      <c r="C785" t="str">
        <f>VLOOKUP(A2189,[1]Tabelle1!$A$1:$B$68,2,FALSE)</f>
        <v>Niedersachsen</v>
      </c>
      <c r="D785" t="str">
        <f>'2020_5-2-2_Download'!$AE$7</f>
        <v>unbekannt</v>
      </c>
      <c r="E785" t="s">
        <v>362</v>
      </c>
      <c r="F785" t="str">
        <f>VLOOKUP(A2189,[2]Kreise!$A$2:$C$53,3,FALSE)</f>
        <v>K030</v>
      </c>
      <c r="G785">
        <f>'2020_5-2-2_Download'!AE13</f>
        <v>31.838749485808311</v>
      </c>
    </row>
    <row r="786" spans="1:7">
      <c r="A786">
        <f>'2020_5-2-2_Download'!B14</f>
        <v>153</v>
      </c>
      <c r="B786">
        <f>'2020_5-2-2_Download'!$Y$5</f>
        <v>2017</v>
      </c>
      <c r="C786" t="str">
        <f>VLOOKUP(A2190,[1]Tabelle1!$A$1:$B$68,2,FALSE)</f>
        <v>Niedersachsen</v>
      </c>
      <c r="D786" t="str">
        <f>'2020_5-2-2_Download'!$AE$7</f>
        <v>unbekannt</v>
      </c>
      <c r="E786" t="s">
        <v>362</v>
      </c>
      <c r="F786" t="str">
        <f>VLOOKUP(A2190,[2]Kreise!$A$2:$C$53,3,FALSE)</f>
        <v>K030</v>
      </c>
      <c r="G786">
        <f>'2020_5-2-2_Download'!AE14</f>
        <v>29.064449064449065</v>
      </c>
    </row>
    <row r="787" spans="1:7">
      <c r="A787">
        <f>'2020_5-2-2_Download'!B15</f>
        <v>154</v>
      </c>
      <c r="B787">
        <f>'2020_5-2-2_Download'!$Y$5</f>
        <v>2017</v>
      </c>
      <c r="C787" t="str">
        <f>VLOOKUP(A2191,[1]Tabelle1!$A$1:$B$68,2,FALSE)</f>
        <v>Niedersachsen</v>
      </c>
      <c r="D787" t="str">
        <f>'2020_5-2-2_Download'!$AE$7</f>
        <v>unbekannt</v>
      </c>
      <c r="E787" t="s">
        <v>362</v>
      </c>
      <c r="F787" t="str">
        <f>VLOOKUP(A2191,[2]Kreise!$A$2:$C$53,3,FALSE)</f>
        <v>K030</v>
      </c>
      <c r="G787">
        <f>'2020_5-2-2_Download'!AE15</f>
        <v>23.861003861003859</v>
      </c>
    </row>
    <row r="788" spans="1:7">
      <c r="A788">
        <f>'2020_5-2-2_Download'!B16</f>
        <v>155</v>
      </c>
      <c r="B788">
        <f>'2020_5-2-2_Download'!$Y$5</f>
        <v>2017</v>
      </c>
      <c r="C788" t="str">
        <f>VLOOKUP(A2192,[1]Tabelle1!$A$1:$B$68,2,FALSE)</f>
        <v>Niedersachsen</v>
      </c>
      <c r="D788" t="str">
        <f>'2020_5-2-2_Download'!$AE$7</f>
        <v>unbekannt</v>
      </c>
      <c r="E788" t="s">
        <v>362</v>
      </c>
      <c r="F788" t="str">
        <f>VLOOKUP(A2192,[2]Kreise!$A$2:$C$53,3,FALSE)</f>
        <v>K030</v>
      </c>
      <c r="G788">
        <f>'2020_5-2-2_Download'!AE16</f>
        <v>24.407672057164348</v>
      </c>
    </row>
    <row r="789" spans="1:7">
      <c r="A789">
        <f>'2020_5-2-2_Download'!B17</f>
        <v>157</v>
      </c>
      <c r="B789">
        <f>'2020_5-2-2_Download'!$Y$5</f>
        <v>2017</v>
      </c>
      <c r="C789" t="str">
        <f>VLOOKUP(A2193,[1]Tabelle1!$A$1:$B$68,2,FALSE)</f>
        <v>Niedersachsen</v>
      </c>
      <c r="D789" t="str">
        <f>'2020_5-2-2_Download'!$AE$7</f>
        <v>unbekannt</v>
      </c>
      <c r="E789" t="s">
        <v>362</v>
      </c>
      <c r="F789" t="str">
        <f>VLOOKUP(A2193,[2]Kreise!$A$2:$C$53,3,FALSE)</f>
        <v>K030</v>
      </c>
      <c r="G789">
        <f>'2020_5-2-2_Download'!AE17</f>
        <v>28.428701180744774</v>
      </c>
    </row>
    <row r="790" spans="1:7">
      <c r="A790">
        <f>'2020_5-2-2_Download'!B18</f>
        <v>158</v>
      </c>
      <c r="B790">
        <f>'2020_5-2-2_Download'!$Y$5</f>
        <v>2017</v>
      </c>
      <c r="C790" t="str">
        <f>VLOOKUP(A2194,[1]Tabelle1!$A$1:$B$68,2,FALSE)</f>
        <v>Niedersachsen</v>
      </c>
      <c r="D790" t="str">
        <f>'2020_5-2-2_Download'!$AE$7</f>
        <v>unbekannt</v>
      </c>
      <c r="E790" t="s">
        <v>362</v>
      </c>
      <c r="F790" t="str">
        <f>VLOOKUP(A2194,[2]Kreise!$A$2:$C$53,3,FALSE)</f>
        <v>K030</v>
      </c>
      <c r="G790">
        <f>'2020_5-2-2_Download'!AE18</f>
        <v>27.062706270627064</v>
      </c>
    </row>
    <row r="791" spans="1:7">
      <c r="A791">
        <f>'2020_5-2-2_Download'!B19</f>
        <v>159</v>
      </c>
      <c r="B791">
        <f>'2020_5-2-2_Download'!$Y$5</f>
        <v>2017</v>
      </c>
      <c r="C791" t="str">
        <f>VLOOKUP(A2195,[1]Tabelle1!$A$1:$B$68,2,FALSE)</f>
        <v>Niedersachsen</v>
      </c>
      <c r="D791" t="str">
        <f>'2020_5-2-2_Download'!$AE$7</f>
        <v>unbekannt</v>
      </c>
      <c r="E791" t="s">
        <v>362</v>
      </c>
      <c r="F791" t="str">
        <f>VLOOKUP(A2195,[2]Kreise!$A$2:$C$53,3,FALSE)</f>
        <v>K030</v>
      </c>
      <c r="G791">
        <f>'2020_5-2-2_Download'!AE19</f>
        <v>17.793777320647983</v>
      </c>
    </row>
    <row r="792" spans="1:7">
      <c r="A792">
        <f>'2020_5-2-2_Download'!B20</f>
        <v>1</v>
      </c>
      <c r="B792">
        <f>'2020_5-2-2_Download'!$Y$5</f>
        <v>2017</v>
      </c>
      <c r="C792" t="str">
        <f>VLOOKUP(A2196,[1]Tabelle1!$A$1:$B$68,2,FALSE)</f>
        <v>Niedersachsen</v>
      </c>
      <c r="D792" t="str">
        <f>'2020_5-2-2_Download'!$AE$7</f>
        <v>unbekannt</v>
      </c>
      <c r="E792" t="s">
        <v>362</v>
      </c>
      <c r="F792" t="str">
        <f>VLOOKUP(A2196,[2]Kreise!$A$2:$C$53,3,FALSE)</f>
        <v>K030</v>
      </c>
      <c r="G792">
        <f>'2020_5-2-2_Download'!AE20</f>
        <v>26.228413319339754</v>
      </c>
    </row>
    <row r="793" spans="1:7">
      <c r="A793">
        <f>'2020_5-2-2_Download'!B21</f>
        <v>241</v>
      </c>
      <c r="B793">
        <f>'2020_5-2-2_Download'!$Y$5</f>
        <v>2017</v>
      </c>
      <c r="C793" t="str">
        <f>VLOOKUP(A2197,[1]Tabelle1!$A$1:$B$68,2,FALSE)</f>
        <v>Niedersachsen</v>
      </c>
      <c r="D793" t="str">
        <f>'2020_5-2-2_Download'!$AE$7</f>
        <v>unbekannt</v>
      </c>
      <c r="E793" t="s">
        <v>362</v>
      </c>
      <c r="F793" t="str">
        <f>VLOOKUP(A2197,[2]Kreise!$A$2:$C$53,3,FALSE)</f>
        <v>K030</v>
      </c>
      <c r="G793">
        <f>'2020_5-2-2_Download'!AE21</f>
        <v>28.937999727642357</v>
      </c>
    </row>
    <row r="794" spans="1:7">
      <c r="A794">
        <f>'2020_5-2-2_Download'!B22</f>
        <v>241001</v>
      </c>
      <c r="B794">
        <f>'2020_5-2-2_Download'!$Y$5</f>
        <v>2017</v>
      </c>
      <c r="C794" t="str">
        <f>VLOOKUP(A2198,[1]Tabelle1!$A$1:$B$68,2,FALSE)</f>
        <v>Niedersachsen</v>
      </c>
      <c r="D794" t="str">
        <f>'2020_5-2-2_Download'!$AE$7</f>
        <v>unbekannt</v>
      </c>
      <c r="E794" t="s">
        <v>362</v>
      </c>
      <c r="F794" t="str">
        <f>VLOOKUP(A2198,[2]Kreise!$A$2:$C$53,3,FALSE)</f>
        <v>K030</v>
      </c>
      <c r="G794">
        <f>'2020_5-2-2_Download'!AE22</f>
        <v>27.853337698282786</v>
      </c>
    </row>
    <row r="795" spans="1:7">
      <c r="A795">
        <f>'2020_5-2-2_Download'!B23</f>
        <v>241999</v>
      </c>
      <c r="B795">
        <f>'2020_5-2-2_Download'!$Y$5</f>
        <v>2017</v>
      </c>
      <c r="C795" t="str">
        <f>VLOOKUP(A2199,[1]Tabelle1!$A$1:$B$68,2,FALSE)</f>
        <v>Niedersachsen</v>
      </c>
      <c r="D795" t="str">
        <f>'2020_5-2-2_Download'!$AE$7</f>
        <v>unbekannt</v>
      </c>
      <c r="E795" t="s">
        <v>362</v>
      </c>
      <c r="F795" t="str">
        <f>VLOOKUP(A2199,[2]Kreise!$A$2:$C$53,3,FALSE)</f>
        <v>K030</v>
      </c>
      <c r="G795">
        <f>'2020_5-2-2_Download'!AE23</f>
        <v>30.985282552522186</v>
      </c>
    </row>
    <row r="796" spans="1:7">
      <c r="A796">
        <f>'2020_5-2-2_Download'!B24</f>
        <v>251</v>
      </c>
      <c r="B796">
        <f>'2020_5-2-2_Download'!$Y$5</f>
        <v>2017</v>
      </c>
      <c r="C796" t="str">
        <f>VLOOKUP(A2200,[1]Tabelle1!$A$1:$B$68,2,FALSE)</f>
        <v>Niedersachsen</v>
      </c>
      <c r="D796" t="str">
        <f>'2020_5-2-2_Download'!$AE$7</f>
        <v>unbekannt</v>
      </c>
      <c r="E796" t="s">
        <v>362</v>
      </c>
      <c r="F796" t="str">
        <f>VLOOKUP(A2200,[2]Kreise!$A$2:$C$53,3,FALSE)</f>
        <v>K030</v>
      </c>
      <c r="G796">
        <f>'2020_5-2-2_Download'!AE24</f>
        <v>37.476616088131365</v>
      </c>
    </row>
    <row r="797" spans="1:7">
      <c r="A797">
        <f>'2020_5-2-2_Download'!B25</f>
        <v>252</v>
      </c>
      <c r="B797">
        <f>'2020_5-2-2_Download'!$Y$5</f>
        <v>2017</v>
      </c>
      <c r="C797" t="str">
        <f>VLOOKUP(A2201,[1]Tabelle1!$A$1:$B$68,2,FALSE)</f>
        <v>Niedersachsen</v>
      </c>
      <c r="D797" t="str">
        <f>'2020_5-2-2_Download'!$AE$7</f>
        <v>unbekannt</v>
      </c>
      <c r="E797" t="s">
        <v>362</v>
      </c>
      <c r="F797" t="str">
        <f>VLOOKUP(A2201,[2]Kreise!$A$2:$C$53,3,FALSE)</f>
        <v>K030</v>
      </c>
      <c r="G797">
        <f>'2020_5-2-2_Download'!AE25</f>
        <v>28.103975535168196</v>
      </c>
    </row>
    <row r="798" spans="1:7">
      <c r="A798">
        <f>'2020_5-2-2_Download'!B26</f>
        <v>254</v>
      </c>
      <c r="B798">
        <f>'2020_5-2-2_Download'!$Y$5</f>
        <v>2017</v>
      </c>
      <c r="C798" t="str">
        <f>VLOOKUP(A2202,[1]Tabelle1!$A$1:$B$68,2,FALSE)</f>
        <v>Niedersachsen</v>
      </c>
      <c r="D798" t="str">
        <f>'2020_5-2-2_Download'!$AE$7</f>
        <v>unbekannt</v>
      </c>
      <c r="E798" t="s">
        <v>362</v>
      </c>
      <c r="F798" t="str">
        <f>VLOOKUP(A2202,[2]Kreise!$A$2:$C$53,3,FALSE)</f>
        <v>K030</v>
      </c>
      <c r="G798">
        <f>'2020_5-2-2_Download'!AE26</f>
        <v>23.394131641554321</v>
      </c>
    </row>
    <row r="799" spans="1:7">
      <c r="A799">
        <f>'2020_5-2-2_Download'!B27</f>
        <v>255</v>
      </c>
      <c r="B799">
        <f>'2020_5-2-2_Download'!$Y$5</f>
        <v>2017</v>
      </c>
      <c r="C799" t="str">
        <f>VLOOKUP(A2203,[1]Tabelle1!$A$1:$B$68,2,FALSE)</f>
        <v>Niedersachsen</v>
      </c>
      <c r="D799" t="str">
        <f>'2020_5-2-2_Download'!$AE$7</f>
        <v>unbekannt</v>
      </c>
      <c r="E799" t="s">
        <v>362</v>
      </c>
      <c r="F799" t="str">
        <f>VLOOKUP(A2203,[2]Kreise!$A$2:$C$53,3,FALSE)</f>
        <v>K030</v>
      </c>
      <c r="G799">
        <f>'2020_5-2-2_Download'!AE27</f>
        <v>26.5625</v>
      </c>
    </row>
    <row r="800" spans="1:7">
      <c r="A800">
        <f>'2020_5-2-2_Download'!B28</f>
        <v>256</v>
      </c>
      <c r="B800">
        <f>'2020_5-2-2_Download'!$Y$5</f>
        <v>2017</v>
      </c>
      <c r="C800" t="str">
        <f>VLOOKUP(A2204,[1]Tabelle1!$A$1:$B$68,2,FALSE)</f>
        <v>Niedersachsen</v>
      </c>
      <c r="D800" t="str">
        <f>'2020_5-2-2_Download'!$AE$7</f>
        <v>unbekannt</v>
      </c>
      <c r="E800" t="s">
        <v>362</v>
      </c>
      <c r="F800" t="str">
        <f>VLOOKUP(A2204,[2]Kreise!$A$2:$C$53,3,FALSE)</f>
        <v>K030</v>
      </c>
      <c r="G800">
        <f>'2020_5-2-2_Download'!AE28</f>
        <v>39.467766116941526</v>
      </c>
    </row>
    <row r="801" spans="1:7">
      <c r="A801">
        <f>'2020_5-2-2_Download'!B29</f>
        <v>257</v>
      </c>
      <c r="B801">
        <f>'2020_5-2-2_Download'!$Y$5</f>
        <v>2017</v>
      </c>
      <c r="C801" t="str">
        <f>VLOOKUP(A2205,[1]Tabelle1!$A$1:$B$68,2,FALSE)</f>
        <v>Niedersachsen</v>
      </c>
      <c r="D801" t="str">
        <f>'2020_5-2-2_Download'!$AE$7</f>
        <v>unbekannt</v>
      </c>
      <c r="E801" t="s">
        <v>362</v>
      </c>
      <c r="F801" t="str">
        <f>VLOOKUP(A2205,[2]Kreise!$A$2:$C$53,3,FALSE)</f>
        <v>K030</v>
      </c>
      <c r="G801">
        <f>'2020_5-2-2_Download'!AE29</f>
        <v>23.769386378961567</v>
      </c>
    </row>
    <row r="802" spans="1:7">
      <c r="A802">
        <f>'2020_5-2-2_Download'!B30</f>
        <v>2</v>
      </c>
      <c r="B802">
        <f>'2020_5-2-2_Download'!$Y$5</f>
        <v>2017</v>
      </c>
      <c r="C802" t="str">
        <f>VLOOKUP(A2206,[1]Tabelle1!$A$1:$B$68,2,FALSE)</f>
        <v>Niedersachsen</v>
      </c>
      <c r="D802" t="str">
        <f>'2020_5-2-2_Download'!$AE$7</f>
        <v>unbekannt</v>
      </c>
      <c r="E802" t="s">
        <v>362</v>
      </c>
      <c r="F802" t="str">
        <f>VLOOKUP(A2206,[2]Kreise!$A$2:$C$53,3,FALSE)</f>
        <v>K030</v>
      </c>
      <c r="G802">
        <f>'2020_5-2-2_Download'!AE30</f>
        <v>29.226666666666667</v>
      </c>
    </row>
    <row r="803" spans="1:7">
      <c r="A803">
        <f>'2020_5-2-2_Download'!B31</f>
        <v>351</v>
      </c>
      <c r="B803">
        <f>'2020_5-2-2_Download'!$Y$5</f>
        <v>2017</v>
      </c>
      <c r="C803" t="str">
        <f>VLOOKUP(A2207,[1]Tabelle1!$A$1:$B$68,2,FALSE)</f>
        <v>Niedersachsen</v>
      </c>
      <c r="D803" t="str">
        <f>'2020_5-2-2_Download'!$AE$7</f>
        <v>unbekannt</v>
      </c>
      <c r="E803" t="s">
        <v>362</v>
      </c>
      <c r="F803" t="str">
        <f>VLOOKUP(A2207,[2]Kreise!$A$2:$C$53,3,FALSE)</f>
        <v>K030</v>
      </c>
      <c r="G803">
        <f>'2020_5-2-2_Download'!AE31</f>
        <v>23.881084612871611</v>
      </c>
    </row>
    <row r="804" spans="1:7">
      <c r="A804">
        <f>'2020_5-2-2_Download'!B32</f>
        <v>352</v>
      </c>
      <c r="B804">
        <f>'2020_5-2-2_Download'!$Y$5</f>
        <v>2017</v>
      </c>
      <c r="C804" t="str">
        <f>VLOOKUP(A2208,[1]Tabelle1!$A$1:$B$68,2,FALSE)</f>
        <v>Niedersachsen</v>
      </c>
      <c r="D804" t="str">
        <f>'2020_5-2-2_Download'!$AE$7</f>
        <v>unbekannt</v>
      </c>
      <c r="E804" t="s">
        <v>362</v>
      </c>
      <c r="F804" t="str">
        <f>VLOOKUP(A2208,[2]Kreise!$A$2:$C$53,3,FALSE)</f>
        <v>K030</v>
      </c>
      <c r="G804">
        <f>'2020_5-2-2_Download'!AE32</f>
        <v>42.53117537808437</v>
      </c>
    </row>
    <row r="805" spans="1:7">
      <c r="A805">
        <f>'2020_5-2-2_Download'!B33</f>
        <v>353</v>
      </c>
      <c r="B805">
        <f>'2020_5-2-2_Download'!$Y$5</f>
        <v>2017</v>
      </c>
      <c r="C805" t="str">
        <f>VLOOKUP(A2209,[1]Tabelle1!$A$1:$B$68,2,FALSE)</f>
        <v>Niedersachsen</v>
      </c>
      <c r="D805" t="str">
        <f>'2020_5-2-2_Download'!$AE$7</f>
        <v>unbekannt</v>
      </c>
      <c r="E805" t="s">
        <v>362</v>
      </c>
      <c r="F805" t="str">
        <f>VLOOKUP(A2209,[2]Kreise!$A$2:$C$53,3,FALSE)</f>
        <v>K030</v>
      </c>
      <c r="G805">
        <f>'2020_5-2-2_Download'!AE33</f>
        <v>45.453084832904885</v>
      </c>
    </row>
    <row r="806" spans="1:7">
      <c r="A806">
        <f>'2020_5-2-2_Download'!B34</f>
        <v>354</v>
      </c>
      <c r="B806">
        <f>'2020_5-2-2_Download'!$Y$5</f>
        <v>2017</v>
      </c>
      <c r="C806" t="str">
        <f>VLOOKUP(A2210,[1]Tabelle1!$A$1:$B$68,2,FALSE)</f>
        <v>Niedersachsen</v>
      </c>
      <c r="D806" t="str">
        <f>'2020_5-2-2_Download'!$AE$7</f>
        <v>unbekannt</v>
      </c>
      <c r="E806" t="s">
        <v>362</v>
      </c>
      <c r="F806" t="str">
        <f>VLOOKUP(A2210,[2]Kreise!$A$2:$C$53,3,FALSE)</f>
        <v>K030</v>
      </c>
      <c r="G806">
        <f>'2020_5-2-2_Download'!AE34</f>
        <v>44.801223241590215</v>
      </c>
    </row>
    <row r="807" spans="1:7">
      <c r="A807">
        <f>'2020_5-2-2_Download'!B35</f>
        <v>355</v>
      </c>
      <c r="B807">
        <f>'2020_5-2-2_Download'!$Y$5</f>
        <v>2017</v>
      </c>
      <c r="C807" t="str">
        <f>VLOOKUP(A2211,[1]Tabelle1!$A$1:$B$68,2,FALSE)</f>
        <v>Niedersachsen</v>
      </c>
      <c r="D807" t="str">
        <f>'2020_5-2-2_Download'!$AE$7</f>
        <v>unbekannt</v>
      </c>
      <c r="E807" t="s">
        <v>362</v>
      </c>
      <c r="F807" t="str">
        <f>VLOOKUP(A2211,[2]Kreise!$A$2:$C$53,3,FALSE)</f>
        <v>K030</v>
      </c>
      <c r="G807">
        <f>'2020_5-2-2_Download'!AE35</f>
        <v>29.311999999999998</v>
      </c>
    </row>
    <row r="808" spans="1:7">
      <c r="A808">
        <f>'2020_5-2-2_Download'!B36</f>
        <v>356</v>
      </c>
      <c r="B808">
        <f>'2020_5-2-2_Download'!$Y$5</f>
        <v>2017</v>
      </c>
      <c r="C808" t="str">
        <f>VLOOKUP(A2212,[1]Tabelle1!$A$1:$B$68,2,FALSE)</f>
        <v>Niedersachsen</v>
      </c>
      <c r="D808" t="str">
        <f>'2020_5-2-2_Download'!$AE$7</f>
        <v>unbekannt</v>
      </c>
      <c r="E808" t="s">
        <v>362</v>
      </c>
      <c r="F808" t="str">
        <f>VLOOKUP(A2212,[2]Kreise!$A$2:$C$53,3,FALSE)</f>
        <v>K030</v>
      </c>
      <c r="G808">
        <f>'2020_5-2-2_Download'!AE36</f>
        <v>32.461435278336687</v>
      </c>
    </row>
    <row r="809" spans="1:7">
      <c r="A809">
        <f>'2020_5-2-2_Download'!B37</f>
        <v>357</v>
      </c>
      <c r="B809">
        <f>'2020_5-2-2_Download'!$Y$5</f>
        <v>2017</v>
      </c>
      <c r="C809" t="str">
        <f>VLOOKUP(A2213,[1]Tabelle1!$A$1:$B$68,2,FALSE)</f>
        <v>Niedersachsen</v>
      </c>
      <c r="D809" t="str">
        <f>'2020_5-2-2_Download'!$AE$7</f>
        <v>unbekannt</v>
      </c>
      <c r="E809" t="s">
        <v>362</v>
      </c>
      <c r="F809" t="str">
        <f>VLOOKUP(A2213,[2]Kreise!$A$2:$C$53,3,FALSE)</f>
        <v>K030</v>
      </c>
      <c r="G809">
        <f>'2020_5-2-2_Download'!AE37</f>
        <v>34.535160905840286</v>
      </c>
    </row>
    <row r="810" spans="1:7">
      <c r="A810">
        <f>'2020_5-2-2_Download'!B38</f>
        <v>358</v>
      </c>
      <c r="B810">
        <f>'2020_5-2-2_Download'!$Y$5</f>
        <v>2017</v>
      </c>
      <c r="C810" t="str">
        <f>VLOOKUP(A2214,[1]Tabelle1!$A$1:$B$68,2,FALSE)</f>
        <v>Niedersachsen</v>
      </c>
      <c r="D810" t="str">
        <f>'2020_5-2-2_Download'!$AE$7</f>
        <v>unbekannt</v>
      </c>
      <c r="E810" t="s">
        <v>362</v>
      </c>
      <c r="F810" t="str">
        <f>VLOOKUP(A2214,[2]Kreise!$A$2:$C$53,3,FALSE)</f>
        <v>K030</v>
      </c>
      <c r="G810">
        <f>'2020_5-2-2_Download'!AE38</f>
        <v>35.562310030395139</v>
      </c>
    </row>
    <row r="811" spans="1:7">
      <c r="A811">
        <f>'2020_5-2-2_Download'!B39</f>
        <v>359</v>
      </c>
      <c r="B811">
        <f>'2020_5-2-2_Download'!$Y$5</f>
        <v>2017</v>
      </c>
      <c r="C811" t="str">
        <f>VLOOKUP(A2215,[1]Tabelle1!$A$1:$B$68,2,FALSE)</f>
        <v>Niedersachsen</v>
      </c>
      <c r="D811" t="str">
        <f>'2020_5-2-2_Download'!$AE$7</f>
        <v>unbekannt</v>
      </c>
      <c r="E811" t="s">
        <v>362</v>
      </c>
      <c r="F811" t="str">
        <f>VLOOKUP(A2215,[2]Kreise!$A$2:$C$53,3,FALSE)</f>
        <v>K030</v>
      </c>
      <c r="G811">
        <f>'2020_5-2-2_Download'!AE39</f>
        <v>47.673903411608329</v>
      </c>
    </row>
    <row r="812" spans="1:7">
      <c r="A812">
        <f>'2020_5-2-2_Download'!B40</f>
        <v>360</v>
      </c>
      <c r="B812">
        <f>'2020_5-2-2_Download'!$Y$5</f>
        <v>2017</v>
      </c>
      <c r="C812" t="str">
        <f>VLOOKUP(A2216,[1]Tabelle1!$A$1:$B$68,2,FALSE)</f>
        <v>Niedersachsen</v>
      </c>
      <c r="D812" t="str">
        <f>'2020_5-2-2_Download'!$AE$7</f>
        <v>unbekannt</v>
      </c>
      <c r="E812" t="s">
        <v>362</v>
      </c>
      <c r="F812" t="str">
        <f>VLOOKUP(A2216,[2]Kreise!$A$2:$C$53,3,FALSE)</f>
        <v>K030</v>
      </c>
      <c r="G812">
        <f>'2020_5-2-2_Download'!AE40</f>
        <v>32.851405622489963</v>
      </c>
    </row>
    <row r="813" spans="1:7">
      <c r="A813">
        <f>'2020_5-2-2_Download'!B41</f>
        <v>361</v>
      </c>
      <c r="B813">
        <f>'2020_5-2-2_Download'!$Y$5</f>
        <v>2017</v>
      </c>
      <c r="C813" t="str">
        <f>VLOOKUP(A2217,[1]Tabelle1!$A$1:$B$68,2,FALSE)</f>
        <v>Niedersachsen</v>
      </c>
      <c r="D813" t="str">
        <f>'2020_5-2-2_Download'!$AE$7</f>
        <v>unbekannt</v>
      </c>
      <c r="E813" t="s">
        <v>362</v>
      </c>
      <c r="F813" t="str">
        <f>VLOOKUP(A2217,[2]Kreise!$A$2:$C$53,3,FALSE)</f>
        <v>K030</v>
      </c>
      <c r="G813">
        <f>'2020_5-2-2_Download'!AE41</f>
        <v>38.105099663473986</v>
      </c>
    </row>
    <row r="814" spans="1:7">
      <c r="A814">
        <f>'2020_5-2-2_Download'!B42</f>
        <v>3</v>
      </c>
      <c r="B814">
        <f>'2020_5-2-2_Download'!$Y$5</f>
        <v>2017</v>
      </c>
      <c r="C814" t="str">
        <f>VLOOKUP(A2218,[1]Tabelle1!$A$1:$B$68,2,FALSE)</f>
        <v>Niedersachsen</v>
      </c>
      <c r="D814" t="str">
        <f>'2020_5-2-2_Download'!$AE$7</f>
        <v>unbekannt</v>
      </c>
      <c r="E814" t="s">
        <v>362</v>
      </c>
      <c r="F814" t="str">
        <f>VLOOKUP(A2218,[2]Kreise!$A$2:$C$53,3,FALSE)</f>
        <v>K030</v>
      </c>
      <c r="G814">
        <f>'2020_5-2-2_Download'!AE42</f>
        <v>38.211147086031453</v>
      </c>
    </row>
    <row r="815" spans="1:7">
      <c r="A815">
        <f>'2020_5-2-2_Download'!B43</f>
        <v>401</v>
      </c>
      <c r="B815">
        <f>'2020_5-2-2_Download'!$Y$5</f>
        <v>2017</v>
      </c>
      <c r="C815" t="str">
        <f>VLOOKUP(A2219,[1]Tabelle1!$A$1:$B$68,2,FALSE)</f>
        <v>Niedersachsen</v>
      </c>
      <c r="D815" t="str">
        <f>'2020_5-2-2_Download'!$AE$7</f>
        <v>unbekannt</v>
      </c>
      <c r="E815" t="s">
        <v>362</v>
      </c>
      <c r="F815" t="str">
        <f>VLOOKUP(A2219,[2]Kreise!$A$2:$C$53,3,FALSE)</f>
        <v>K030</v>
      </c>
      <c r="G815">
        <f>'2020_5-2-2_Download'!AE43</f>
        <v>34.309895833333329</v>
      </c>
    </row>
    <row r="816" spans="1:7">
      <c r="A816">
        <f>'2020_5-2-2_Download'!B44</f>
        <v>402</v>
      </c>
      <c r="B816">
        <f>'2020_5-2-2_Download'!$Y$5</f>
        <v>2017</v>
      </c>
      <c r="C816" t="str">
        <f>VLOOKUP(A2220,[1]Tabelle1!$A$1:$B$68,2,FALSE)</f>
        <v>Niedersachsen</v>
      </c>
      <c r="D816" t="str">
        <f>'2020_5-2-2_Download'!$AE$7</f>
        <v>unbekannt</v>
      </c>
      <c r="E816" t="s">
        <v>362</v>
      </c>
      <c r="F816" t="str">
        <f>VLOOKUP(A2220,[2]Kreise!$A$2:$C$53,3,FALSE)</f>
        <v>K030</v>
      </c>
      <c r="G816">
        <f>'2020_5-2-2_Download'!AE44</f>
        <v>27.82233189389266</v>
      </c>
    </row>
    <row r="817" spans="1:7">
      <c r="A817">
        <f>'2020_5-2-2_Download'!B45</f>
        <v>403</v>
      </c>
      <c r="B817">
        <f>'2020_5-2-2_Download'!$Y$5</f>
        <v>2017</v>
      </c>
      <c r="C817" t="str">
        <f>VLOOKUP(A2221,[1]Tabelle1!$A$1:$B$68,2,FALSE)</f>
        <v>Niedersachsen</v>
      </c>
      <c r="D817" t="str">
        <f>'2020_5-2-2_Download'!$AE$7</f>
        <v>unbekannt</v>
      </c>
      <c r="E817" t="s">
        <v>362</v>
      </c>
      <c r="F817" t="str">
        <f>VLOOKUP(A2221,[2]Kreise!$A$2:$C$53,3,FALSE)</f>
        <v>K030</v>
      </c>
      <c r="G817">
        <f>'2020_5-2-2_Download'!AE45</f>
        <v>30.236878773803994</v>
      </c>
    </row>
    <row r="818" spans="1:7">
      <c r="A818">
        <f>'2020_5-2-2_Download'!B46</f>
        <v>404</v>
      </c>
      <c r="B818">
        <f>'2020_5-2-2_Download'!$Y$5</f>
        <v>2017</v>
      </c>
      <c r="C818" t="str">
        <f>VLOOKUP(A2222,[1]Tabelle1!$A$1:$B$68,2,FALSE)</f>
        <v>Niedersachsen</v>
      </c>
      <c r="D818" t="str">
        <f>'2020_5-2-2_Download'!$AE$7</f>
        <v>unbekannt</v>
      </c>
      <c r="E818" t="s">
        <v>362</v>
      </c>
      <c r="F818" t="str">
        <f>VLOOKUP(A2222,[2]Kreise!$A$2:$C$53,3,FALSE)</f>
        <v>K030</v>
      </c>
      <c r="G818">
        <f>'2020_5-2-2_Download'!AE46</f>
        <v>28.544802867383513</v>
      </c>
    </row>
    <row r="819" spans="1:7">
      <c r="A819">
        <f>'2020_5-2-2_Download'!B47</f>
        <v>405</v>
      </c>
      <c r="B819">
        <f>'2020_5-2-2_Download'!$Y$5</f>
        <v>2017</v>
      </c>
      <c r="C819" t="str">
        <f>VLOOKUP(A2223,[1]Tabelle1!$A$1:$B$68,2,FALSE)</f>
        <v>Niedersachsen</v>
      </c>
      <c r="D819" t="str">
        <f>'2020_5-2-2_Download'!$AE$7</f>
        <v>unbekannt</v>
      </c>
      <c r="E819" t="s">
        <v>362</v>
      </c>
      <c r="F819" t="str">
        <f>VLOOKUP(A2223,[2]Kreise!$A$2:$C$53,3,FALSE)</f>
        <v>K030</v>
      </c>
      <c r="G819">
        <f>'2020_5-2-2_Download'!AE47</f>
        <v>27.980132450331123</v>
      </c>
    </row>
    <row r="820" spans="1:7">
      <c r="A820">
        <f>'2020_5-2-2_Download'!B48</f>
        <v>451</v>
      </c>
      <c r="B820">
        <f>'2020_5-2-2_Download'!$Y$5</f>
        <v>2017</v>
      </c>
      <c r="C820" t="str">
        <f>VLOOKUP(A2224,[1]Tabelle1!$A$1:$B$68,2,FALSE)</f>
        <v>Niedersachsen</v>
      </c>
      <c r="D820" t="str">
        <f>'2020_5-2-2_Download'!$AE$7</f>
        <v>unbekannt</v>
      </c>
      <c r="E820" t="s">
        <v>362</v>
      </c>
      <c r="F820" t="str">
        <f>VLOOKUP(A2224,[2]Kreise!$A$2:$C$53,3,FALSE)</f>
        <v>K030</v>
      </c>
      <c r="G820">
        <f>'2020_5-2-2_Download'!AE48</f>
        <v>45.228357191547374</v>
      </c>
    </row>
    <row r="821" spans="1:7">
      <c r="A821">
        <f>'2020_5-2-2_Download'!B49</f>
        <v>452</v>
      </c>
      <c r="B821">
        <f>'2020_5-2-2_Download'!$Y$5</f>
        <v>2017</v>
      </c>
      <c r="C821" t="str">
        <f>VLOOKUP(A2225,[1]Tabelle1!$A$1:$B$68,2,FALSE)</f>
        <v>Niedersachsen</v>
      </c>
      <c r="D821" t="str">
        <f>'2020_5-2-2_Download'!$AE$7</f>
        <v>unbekannt</v>
      </c>
      <c r="E821" t="s">
        <v>362</v>
      </c>
      <c r="F821" t="str">
        <f>VLOOKUP(A2225,[2]Kreise!$A$2:$C$53,3,FALSE)</f>
        <v>K030</v>
      </c>
      <c r="G821">
        <f>'2020_5-2-2_Download'!AE49</f>
        <v>39.755973563802741</v>
      </c>
    </row>
    <row r="822" spans="1:7">
      <c r="A822">
        <f>'2020_5-2-2_Download'!B50</f>
        <v>453</v>
      </c>
      <c r="B822">
        <f>'2020_5-2-2_Download'!$Y$5</f>
        <v>2017</v>
      </c>
      <c r="C822" t="str">
        <f>VLOOKUP(A2226,[1]Tabelle1!$A$1:$B$68,2,FALSE)</f>
        <v>Niedersachsen</v>
      </c>
      <c r="D822" t="str">
        <f>'2020_5-2-2_Download'!$AE$7</f>
        <v>unbekannt</v>
      </c>
      <c r="E822" t="s">
        <v>362</v>
      </c>
      <c r="F822" t="str">
        <f>VLOOKUP(A2226,[2]Kreise!$A$2:$C$53,3,FALSE)</f>
        <v>K030</v>
      </c>
      <c r="G822">
        <f>'2020_5-2-2_Download'!AE50</f>
        <v>53.102926337033296</v>
      </c>
    </row>
    <row r="823" spans="1:7">
      <c r="A823">
        <f>'2020_5-2-2_Download'!B51</f>
        <v>454</v>
      </c>
      <c r="B823">
        <f>'2020_5-2-2_Download'!$Y$5</f>
        <v>2017</v>
      </c>
      <c r="C823" t="str">
        <f>VLOOKUP(A2227,[1]Tabelle1!$A$1:$B$68,2,FALSE)</f>
        <v>Niedersachsen</v>
      </c>
      <c r="D823" t="str">
        <f>'2020_5-2-2_Download'!$AE$7</f>
        <v>unbekannt</v>
      </c>
      <c r="E823" t="s">
        <v>362</v>
      </c>
      <c r="F823" t="str">
        <f>VLOOKUP(A2227,[2]Kreise!$A$2:$C$53,3,FALSE)</f>
        <v>K030</v>
      </c>
      <c r="G823">
        <f>'2020_5-2-2_Download'!AE51</f>
        <v>44.730527870062751</v>
      </c>
    </row>
    <row r="824" spans="1:7">
      <c r="A824">
        <f>'2020_5-2-2_Download'!B52</f>
        <v>455</v>
      </c>
      <c r="B824">
        <f>'2020_5-2-2_Download'!$Y$5</f>
        <v>2017</v>
      </c>
      <c r="C824" t="str">
        <f>VLOOKUP(A2228,[1]Tabelle1!$A$1:$B$68,2,FALSE)</f>
        <v>Niedersachsen</v>
      </c>
      <c r="D824" t="str">
        <f>'2020_5-2-2_Download'!$AE$7</f>
        <v>unbekannt</v>
      </c>
      <c r="E824" t="s">
        <v>362</v>
      </c>
      <c r="F824" t="str">
        <f>VLOOKUP(A2228,[2]Kreise!$A$2:$C$53,3,FALSE)</f>
        <v>K030</v>
      </c>
      <c r="G824">
        <f>'2020_5-2-2_Download'!AE52</f>
        <v>39.789658194566172</v>
      </c>
    </row>
    <row r="825" spans="1:7">
      <c r="A825">
        <f>'2020_5-2-2_Download'!B53</f>
        <v>456</v>
      </c>
      <c r="B825">
        <f>'2020_5-2-2_Download'!$Y$5</f>
        <v>2017</v>
      </c>
      <c r="C825" t="str">
        <f>VLOOKUP(A2229,[1]Tabelle1!$A$1:$B$68,2,FALSE)</f>
        <v>Niedersachsen</v>
      </c>
      <c r="D825" t="str">
        <f>'2020_5-2-2_Download'!$AE$7</f>
        <v>unbekannt</v>
      </c>
      <c r="E825" t="s">
        <v>362</v>
      </c>
      <c r="F825" t="str">
        <f>VLOOKUP(A2229,[2]Kreise!$A$2:$C$53,3,FALSE)</f>
        <v>K030</v>
      </c>
      <c r="G825">
        <f>'2020_5-2-2_Download'!AE53</f>
        <v>34.570765661252899</v>
      </c>
    </row>
    <row r="826" spans="1:7">
      <c r="A826">
        <f>'2020_5-2-2_Download'!B54</f>
        <v>457</v>
      </c>
      <c r="B826">
        <f>'2020_5-2-2_Download'!$Y$5</f>
        <v>2017</v>
      </c>
      <c r="C826" t="str">
        <f>VLOOKUP(A2230,[1]Tabelle1!$A$1:$B$68,2,FALSE)</f>
        <v>Niedersachsen</v>
      </c>
      <c r="D826" t="str">
        <f>'2020_5-2-2_Download'!$AE$7</f>
        <v>unbekannt</v>
      </c>
      <c r="E826" t="s">
        <v>362</v>
      </c>
      <c r="F826" t="str">
        <f>VLOOKUP(A2230,[2]Kreise!$A$2:$C$53,3,FALSE)</f>
        <v>K030</v>
      </c>
      <c r="G826">
        <f>'2020_5-2-2_Download'!AE54</f>
        <v>41.225919439579684</v>
      </c>
    </row>
    <row r="827" spans="1:7">
      <c r="A827">
        <f>'2020_5-2-2_Download'!B55</f>
        <v>458</v>
      </c>
      <c r="B827">
        <f>'2020_5-2-2_Download'!$Y$5</f>
        <v>2017</v>
      </c>
      <c r="C827" t="str">
        <f>VLOOKUP(A2231,[1]Tabelle1!$A$1:$B$68,2,FALSE)</f>
        <v>Niedersachsen</v>
      </c>
      <c r="D827" t="str">
        <f>'2020_5-2-2_Download'!$AE$7</f>
        <v>unbekannt</v>
      </c>
      <c r="E827" t="s">
        <v>362</v>
      </c>
      <c r="F827" t="str">
        <f>VLOOKUP(A2231,[2]Kreise!$A$2:$C$53,3,FALSE)</f>
        <v>K030</v>
      </c>
      <c r="G827">
        <f>'2020_5-2-2_Download'!AE55</f>
        <v>45.51027767760548</v>
      </c>
    </row>
    <row r="828" spans="1:7">
      <c r="A828">
        <f>'2020_5-2-2_Download'!B56</f>
        <v>459</v>
      </c>
      <c r="B828">
        <f>'2020_5-2-2_Download'!$Y$5</f>
        <v>2017</v>
      </c>
      <c r="C828" t="str">
        <f>VLOOKUP(A2232,[1]Tabelle1!$A$1:$B$68,2,FALSE)</f>
        <v>Niedersachsen</v>
      </c>
      <c r="D828" t="str">
        <f>'2020_5-2-2_Download'!$AE$7</f>
        <v>unbekannt</v>
      </c>
      <c r="E828" t="s">
        <v>362</v>
      </c>
      <c r="F828" t="str">
        <f>VLOOKUP(A2232,[2]Kreise!$A$2:$C$53,3,FALSE)</f>
        <v>K030</v>
      </c>
      <c r="G828">
        <f>'2020_5-2-2_Download'!AE56</f>
        <v>47.393364928909953</v>
      </c>
    </row>
    <row r="829" spans="1:7">
      <c r="A829">
        <f>'2020_5-2-2_Download'!B57</f>
        <v>460</v>
      </c>
      <c r="B829">
        <f>'2020_5-2-2_Download'!$Y$5</f>
        <v>2017</v>
      </c>
      <c r="C829" t="str">
        <f>VLOOKUP(A2233,[1]Tabelle1!$A$1:$B$68,2,FALSE)</f>
        <v>Niedersachsen</v>
      </c>
      <c r="D829" t="str">
        <f>'2020_5-2-2_Download'!$AE$7</f>
        <v>unbekannt</v>
      </c>
      <c r="E829" t="s">
        <v>362</v>
      </c>
      <c r="F829" t="str">
        <f>VLOOKUP(A2233,[2]Kreise!$A$2:$C$53,3,FALSE)</f>
        <v>K030</v>
      </c>
      <c r="G829">
        <f>'2020_5-2-2_Download'!AE57</f>
        <v>49.594669627984459</v>
      </c>
    </row>
    <row r="830" spans="1:7">
      <c r="A830">
        <f>'2020_5-2-2_Download'!B58</f>
        <v>461</v>
      </c>
      <c r="B830">
        <f>'2020_5-2-2_Download'!$Y$5</f>
        <v>2017</v>
      </c>
      <c r="C830" t="str">
        <f>VLOOKUP(A2234,[1]Tabelle1!$A$1:$B$68,2,FALSE)</f>
        <v>Niedersachsen</v>
      </c>
      <c r="D830" t="str">
        <f>'2020_5-2-2_Download'!$AE$7</f>
        <v>unbekannt</v>
      </c>
      <c r="E830" t="s">
        <v>362</v>
      </c>
      <c r="F830" t="str">
        <f>VLOOKUP(A2234,[2]Kreise!$A$2:$C$53,3,FALSE)</f>
        <v>K030</v>
      </c>
      <c r="G830">
        <f>'2020_5-2-2_Download'!AE58</f>
        <v>39.267015706806284</v>
      </c>
    </row>
    <row r="831" spans="1:7">
      <c r="A831">
        <f>'2020_5-2-2_Download'!B59</f>
        <v>462</v>
      </c>
      <c r="B831">
        <f>'2020_5-2-2_Download'!$Y$5</f>
        <v>2017</v>
      </c>
      <c r="C831" t="str">
        <f>VLOOKUP(A2235,[1]Tabelle1!$A$1:$B$68,2,FALSE)</f>
        <v>Niedersachsen</v>
      </c>
      <c r="D831" t="str">
        <f>'2020_5-2-2_Download'!$AE$7</f>
        <v>unbekannt</v>
      </c>
      <c r="E831" t="s">
        <v>362</v>
      </c>
      <c r="F831" t="str">
        <f>VLOOKUP(A2235,[2]Kreise!$A$2:$C$53,3,FALSE)</f>
        <v>K030</v>
      </c>
      <c r="G831">
        <f>'2020_5-2-2_Download'!AE59</f>
        <v>57.802746566791505</v>
      </c>
    </row>
    <row r="832" spans="1:7">
      <c r="A832">
        <f>'2020_5-2-2_Download'!B60</f>
        <v>4</v>
      </c>
      <c r="B832">
        <f>'2020_5-2-2_Download'!$Y$5</f>
        <v>2017</v>
      </c>
      <c r="C832" t="str">
        <f>VLOOKUP(A2236,[1]Tabelle1!$A$1:$B$68,2,FALSE)</f>
        <v>Niedersachsen</v>
      </c>
      <c r="D832" t="str">
        <f>'2020_5-2-2_Download'!$AE$7</f>
        <v>unbekannt</v>
      </c>
      <c r="E832" t="s">
        <v>362</v>
      </c>
      <c r="F832" t="str">
        <f>VLOOKUP(A2236,[2]Kreise!$A$2:$C$53,3,FALSE)</f>
        <v>K030</v>
      </c>
      <c r="G832">
        <f>'2020_5-2-2_Download'!AE60</f>
        <v>42.53698121367065</v>
      </c>
    </row>
    <row r="833" spans="1:7">
      <c r="A833">
        <f>'2020_5-2-2_Download'!B61</f>
        <v>0</v>
      </c>
      <c r="B833">
        <f>'2020_5-2-2_Download'!$Y$5</f>
        <v>2017</v>
      </c>
      <c r="C833" t="str">
        <f>VLOOKUP(A2237,[1]Tabelle1!$A$1:$B$68,2,FALSE)</f>
        <v>Niedersachsen</v>
      </c>
      <c r="D833" t="str">
        <f>'2020_5-2-2_Download'!$AE$7</f>
        <v>unbekannt</v>
      </c>
      <c r="E833" t="s">
        <v>362</v>
      </c>
      <c r="F833" t="str">
        <f>VLOOKUP(A2237,[2]Kreise!$A$2:$C$53,3,FALSE)</f>
        <v>K030</v>
      </c>
      <c r="G833">
        <f>'2020_5-2-2_Download'!AE61</f>
        <v>34.66674323172267</v>
      </c>
    </row>
    <row r="834" spans="1:7">
      <c r="A834">
        <f>'2020_5-2-2_Download'!B10</f>
        <v>101</v>
      </c>
      <c r="B834">
        <f>'2020_5-2-2_Download'!$AF$5</f>
        <v>2016</v>
      </c>
      <c r="C834" t="str">
        <f>VLOOKUP(A2238,[1]Tabelle1!$A$1:$B$68,2,FALSE)</f>
        <v>Niedersachsen</v>
      </c>
      <c r="D834" t="str">
        <f>'2020_5-2-2_Download'!$AI$7</f>
        <v>hoch</v>
      </c>
      <c r="E834" t="s">
        <v>362</v>
      </c>
      <c r="F834" t="str">
        <f>VLOOKUP(A2238,[2]Kreise!$A$2:$C$53,3,FALSE)</f>
        <v>K030</v>
      </c>
      <c r="G834">
        <f>'2020_5-2-2_Download'!AI10</f>
        <v>22.286504842158219</v>
      </c>
    </row>
    <row r="835" spans="1:7">
      <c r="A835">
        <f>'2020_5-2-2_Download'!B11</f>
        <v>102</v>
      </c>
      <c r="B835">
        <f>'2020_5-2-2_Download'!$AF$5</f>
        <v>2016</v>
      </c>
      <c r="C835" t="str">
        <f>VLOOKUP(A2239,[1]Tabelle1!$A$1:$B$68,2,FALSE)</f>
        <v>Niedersachsen</v>
      </c>
      <c r="D835" t="str">
        <f>'2020_5-2-2_Download'!$AI$7</f>
        <v>hoch</v>
      </c>
      <c r="E835" t="s">
        <v>362</v>
      </c>
      <c r="F835" t="str">
        <f>VLOOKUP(A2239,[2]Kreise!$A$2:$C$53,3,FALSE)</f>
        <v>K030</v>
      </c>
      <c r="G835">
        <f>'2020_5-2-2_Download'!AI11</f>
        <v>7.0976616231086656</v>
      </c>
    </row>
    <row r="836" spans="1:7">
      <c r="A836">
        <f>'2020_5-2-2_Download'!B12</f>
        <v>103</v>
      </c>
      <c r="B836">
        <f>'2020_5-2-2_Download'!$AF$5</f>
        <v>2016</v>
      </c>
      <c r="C836" t="str">
        <f>VLOOKUP(A2240,[1]Tabelle1!$A$1:$B$68,2,FALSE)</f>
        <v>Niedersachsen</v>
      </c>
      <c r="D836" t="str">
        <f>'2020_5-2-2_Download'!$AI$7</f>
        <v>hoch</v>
      </c>
      <c r="E836" t="s">
        <v>362</v>
      </c>
      <c r="F836" t="str">
        <f>VLOOKUP(A2240,[2]Kreise!$A$2:$C$53,3,FALSE)</f>
        <v>K030</v>
      </c>
      <c r="G836">
        <f>'2020_5-2-2_Download'!AI12</f>
        <v>22.240091901206203</v>
      </c>
    </row>
    <row r="837" spans="1:7">
      <c r="A837">
        <f>'2020_5-2-2_Download'!B13</f>
        <v>151</v>
      </c>
      <c r="B837">
        <f>'2020_5-2-2_Download'!$AF$5</f>
        <v>2016</v>
      </c>
      <c r="C837" t="str">
        <f>VLOOKUP(A2241,[1]Tabelle1!$A$1:$B$68,2,FALSE)</f>
        <v>Niedersachsen</v>
      </c>
      <c r="D837" t="str">
        <f>'2020_5-2-2_Download'!$AI$7</f>
        <v>hoch</v>
      </c>
      <c r="E837" t="s">
        <v>362</v>
      </c>
      <c r="F837" t="str">
        <f>VLOOKUP(A2241,[2]Kreise!$A$2:$C$53,3,FALSE)</f>
        <v>K030</v>
      </c>
      <c r="G837">
        <f>'2020_5-2-2_Download'!AI13</f>
        <v>15.329125338142472</v>
      </c>
    </row>
    <row r="838" spans="1:7">
      <c r="A838">
        <f>'2020_5-2-2_Download'!B14</f>
        <v>153</v>
      </c>
      <c r="B838">
        <f>'2020_5-2-2_Download'!$AF$5</f>
        <v>2016</v>
      </c>
      <c r="C838" t="str">
        <f>VLOOKUP(A2242,[1]Tabelle1!$A$1:$B$68,2,FALSE)</f>
        <v>Niedersachsen</v>
      </c>
      <c r="D838" t="str">
        <f>'2020_5-2-2_Download'!$AI$7</f>
        <v>hoch</v>
      </c>
      <c r="E838" t="s">
        <v>362</v>
      </c>
      <c r="F838" t="str">
        <f>VLOOKUP(A2242,[2]Kreise!$A$2:$C$53,3,FALSE)</f>
        <v>K030</v>
      </c>
      <c r="G838">
        <f>'2020_5-2-2_Download'!AI14</f>
        <v>18.667917448405252</v>
      </c>
    </row>
    <row r="839" spans="1:7">
      <c r="A839">
        <f>'2020_5-2-2_Download'!B15</f>
        <v>154</v>
      </c>
      <c r="B839">
        <f>'2020_5-2-2_Download'!$AF$5</f>
        <v>2016</v>
      </c>
      <c r="C839" t="str">
        <f>VLOOKUP(A2243,[1]Tabelle1!$A$1:$B$68,2,FALSE)</f>
        <v>Niedersachsen</v>
      </c>
      <c r="D839" t="str">
        <f>'2020_5-2-2_Download'!$AI$7</f>
        <v>hoch</v>
      </c>
      <c r="E839" t="s">
        <v>362</v>
      </c>
      <c r="F839" t="str">
        <f>VLOOKUP(A2243,[2]Kreise!$A$2:$C$53,3,FALSE)</f>
        <v>K030</v>
      </c>
      <c r="G839">
        <f>'2020_5-2-2_Download'!AI15</f>
        <v>15.893271461716937</v>
      </c>
    </row>
    <row r="840" spans="1:7">
      <c r="A840">
        <f>'2020_5-2-2_Download'!B16</f>
        <v>155</v>
      </c>
      <c r="B840">
        <f>'2020_5-2-2_Download'!$AF$5</f>
        <v>2016</v>
      </c>
      <c r="C840" t="str">
        <f>VLOOKUP(A2244,[1]Tabelle1!$A$1:$B$68,2,FALSE)</f>
        <v>Niedersachsen</v>
      </c>
      <c r="D840" t="str">
        <f>'2020_5-2-2_Download'!$AI$7</f>
        <v>hoch</v>
      </c>
      <c r="E840" t="s">
        <v>362</v>
      </c>
      <c r="F840" t="str">
        <f>VLOOKUP(A2244,[2]Kreise!$A$2:$C$53,3,FALSE)</f>
        <v>K030</v>
      </c>
      <c r="G840">
        <f>'2020_5-2-2_Download'!AI16</f>
        <v>8.7406793703396843</v>
      </c>
    </row>
    <row r="841" spans="1:7">
      <c r="A841">
        <f>'2020_5-2-2_Download'!B17</f>
        <v>157</v>
      </c>
      <c r="B841">
        <f>'2020_5-2-2_Download'!$AF$5</f>
        <v>2016</v>
      </c>
      <c r="C841" t="str">
        <f>VLOOKUP(A2245,[1]Tabelle1!$A$1:$B$68,2,FALSE)</f>
        <v>Niedersachsen</v>
      </c>
      <c r="D841" t="str">
        <f>'2020_5-2-2_Download'!$AI$7</f>
        <v>hoch</v>
      </c>
      <c r="E841" t="s">
        <v>362</v>
      </c>
      <c r="F841" t="str">
        <f>VLOOKUP(A2245,[2]Kreise!$A$2:$C$53,3,FALSE)</f>
        <v>K030</v>
      </c>
      <c r="G841">
        <f>'2020_5-2-2_Download'!AI17</f>
        <v>6.6877303844128484</v>
      </c>
    </row>
    <row r="842" spans="1:7">
      <c r="A842">
        <f>'2020_5-2-2_Download'!B18</f>
        <v>158</v>
      </c>
      <c r="B842">
        <f>'2020_5-2-2_Download'!$AF$5</f>
        <v>2016</v>
      </c>
      <c r="C842" t="str">
        <f>VLOOKUP(A2246,[1]Tabelle1!$A$1:$B$68,2,FALSE)</f>
        <v>Niedersachsen</v>
      </c>
      <c r="D842" t="str">
        <f>'2020_5-2-2_Download'!$AI$7</f>
        <v>hoch</v>
      </c>
      <c r="E842" t="s">
        <v>362</v>
      </c>
      <c r="F842" t="str">
        <f>VLOOKUP(A2246,[2]Kreise!$A$2:$C$53,3,FALSE)</f>
        <v>K030</v>
      </c>
      <c r="G842">
        <f>'2020_5-2-2_Download'!AI18</f>
        <v>10.182516810758885</v>
      </c>
    </row>
    <row r="843" spans="1:7">
      <c r="A843">
        <f>'2020_5-2-2_Download'!B19</f>
        <v>159</v>
      </c>
      <c r="B843">
        <f>'2020_5-2-2_Download'!$AF$5</f>
        <v>2016</v>
      </c>
      <c r="C843" t="str">
        <f>VLOOKUP(A2247,[1]Tabelle1!$A$1:$B$68,2,FALSE)</f>
        <v>Niedersachsen</v>
      </c>
      <c r="D843" t="str">
        <f>'2020_5-2-2_Download'!$AI$7</f>
        <v>hoch</v>
      </c>
      <c r="E843" t="s">
        <v>362</v>
      </c>
      <c r="F843" t="str">
        <f>VLOOKUP(A2247,[2]Kreise!$A$2:$C$53,3,FALSE)</f>
        <v>K030</v>
      </c>
      <c r="G843">
        <f>'2020_5-2-2_Download'!AI19</f>
        <v>27.498248072880166</v>
      </c>
    </row>
    <row r="844" spans="1:7">
      <c r="A844">
        <f>'2020_5-2-2_Download'!B20</f>
        <v>1</v>
      </c>
      <c r="B844">
        <f>'2020_5-2-2_Download'!$AF$5</f>
        <v>2016</v>
      </c>
      <c r="C844" t="str">
        <f>VLOOKUP(A2248,[1]Tabelle1!$A$1:$B$68,2,FALSE)</f>
        <v>Niedersachsen</v>
      </c>
      <c r="D844" t="str">
        <f>'2020_5-2-2_Download'!$AI$7</f>
        <v>hoch</v>
      </c>
      <c r="E844" t="s">
        <v>362</v>
      </c>
      <c r="F844" t="str">
        <f>VLOOKUP(A2248,[2]Kreise!$A$2:$C$53,3,FALSE)</f>
        <v>K030</v>
      </c>
      <c r="G844">
        <f>'2020_5-2-2_Download'!AI20</f>
        <v>19.075068435460096</v>
      </c>
    </row>
    <row r="845" spans="1:7">
      <c r="A845">
        <f>'2020_5-2-2_Download'!B21</f>
        <v>241</v>
      </c>
      <c r="B845">
        <f>'2020_5-2-2_Download'!$AF$5</f>
        <v>2016</v>
      </c>
      <c r="C845" t="str">
        <f>VLOOKUP(A2249,[1]Tabelle1!$A$1:$B$68,2,FALSE)</f>
        <v>Niedersachsen</v>
      </c>
      <c r="D845" t="str">
        <f>'2020_5-2-2_Download'!$AI$7</f>
        <v>hoch</v>
      </c>
      <c r="E845" t="s">
        <v>362</v>
      </c>
      <c r="F845" t="str">
        <f>VLOOKUP(A2249,[2]Kreise!$A$2:$C$53,3,FALSE)</f>
        <v>K030</v>
      </c>
      <c r="G845">
        <f>'2020_5-2-2_Download'!AI21</f>
        <v>12.376668293407455</v>
      </c>
    </row>
    <row r="846" spans="1:7">
      <c r="A846">
        <f>'2020_5-2-2_Download'!B22</f>
        <v>241001</v>
      </c>
      <c r="B846">
        <f>'2020_5-2-2_Download'!$AF$5</f>
        <v>2016</v>
      </c>
      <c r="C846" t="str">
        <f>VLOOKUP(A2250,[1]Tabelle1!$A$1:$B$68,2,FALSE)</f>
        <v>Niedersachsen</v>
      </c>
      <c r="D846" t="str">
        <f>'2020_5-2-2_Download'!$AI$7</f>
        <v>hoch</v>
      </c>
      <c r="E846" t="s">
        <v>362</v>
      </c>
      <c r="F846" t="str">
        <f>VLOOKUP(A2250,[2]Kreise!$A$2:$C$53,3,FALSE)</f>
        <v>K030</v>
      </c>
      <c r="G846">
        <f>'2020_5-2-2_Download'!AI22</f>
        <v>14.988814317673377</v>
      </c>
    </row>
    <row r="847" spans="1:7">
      <c r="A847">
        <f>'2020_5-2-2_Download'!B23</f>
        <v>241999</v>
      </c>
      <c r="B847">
        <f>'2020_5-2-2_Download'!$AF$5</f>
        <v>2016</v>
      </c>
      <c r="C847" t="str">
        <f>VLOOKUP(A2251,[1]Tabelle1!$A$1:$B$68,2,FALSE)</f>
        <v>Niedersachsen</v>
      </c>
      <c r="D847" t="str">
        <f>'2020_5-2-2_Download'!$AI$7</f>
        <v>hoch</v>
      </c>
      <c r="E847" t="s">
        <v>362</v>
      </c>
      <c r="F847" t="str">
        <f>VLOOKUP(A2251,[2]Kreise!$A$2:$C$53,3,FALSE)</f>
        <v>K030</v>
      </c>
      <c r="G847">
        <f>'2020_5-2-2_Download'!AI23</f>
        <v>7.216364669486711</v>
      </c>
    </row>
    <row r="848" spans="1:7">
      <c r="A848">
        <f>'2020_5-2-2_Download'!B24</f>
        <v>251</v>
      </c>
      <c r="B848">
        <f>'2020_5-2-2_Download'!$AF$5</f>
        <v>2016</v>
      </c>
      <c r="C848" t="str">
        <f>VLOOKUP(A2252,[1]Tabelle1!$A$1:$B$68,2,FALSE)</f>
        <v>Niedersachsen</v>
      </c>
      <c r="D848" t="str">
        <f>'2020_5-2-2_Download'!$AI$7</f>
        <v>hoch</v>
      </c>
      <c r="E848" t="s">
        <v>362</v>
      </c>
      <c r="F848" t="str">
        <f>VLOOKUP(A2252,[2]Kreise!$A$2:$C$53,3,FALSE)</f>
        <v>K030</v>
      </c>
      <c r="G848">
        <f>'2020_5-2-2_Download'!AI24</f>
        <v>7.9419719695106954</v>
      </c>
    </row>
    <row r="849" spans="1:7">
      <c r="A849">
        <f>'2020_5-2-2_Download'!B25</f>
        <v>252</v>
      </c>
      <c r="B849">
        <f>'2020_5-2-2_Download'!$AF$5</f>
        <v>2016</v>
      </c>
      <c r="C849" t="str">
        <f>VLOOKUP(A2253,[1]Tabelle1!$A$1:$B$68,2,FALSE)</f>
        <v>Niedersachsen</v>
      </c>
      <c r="D849" t="str">
        <f>'2020_5-2-2_Download'!$AI$7</f>
        <v>hoch</v>
      </c>
      <c r="E849" t="s">
        <v>362</v>
      </c>
      <c r="F849" t="str">
        <f>VLOOKUP(A2253,[2]Kreise!$A$2:$C$53,3,FALSE)</f>
        <v>K030</v>
      </c>
      <c r="G849">
        <f>'2020_5-2-2_Download'!AI25</f>
        <v>11.147866357922593</v>
      </c>
    </row>
    <row r="850" spans="1:7">
      <c r="A850">
        <f>'2020_5-2-2_Download'!B26</f>
        <v>254</v>
      </c>
      <c r="B850">
        <f>'2020_5-2-2_Download'!$AF$5</f>
        <v>2016</v>
      </c>
      <c r="C850" t="str">
        <f>VLOOKUP(A2254,[1]Tabelle1!$A$1:$B$68,2,FALSE)</f>
        <v>Niedersachsen</v>
      </c>
      <c r="D850" t="str">
        <f>'2020_5-2-2_Download'!$AI$7</f>
        <v>hoch</v>
      </c>
      <c r="E850" t="s">
        <v>362</v>
      </c>
      <c r="F850" t="str">
        <f>VLOOKUP(A2254,[2]Kreise!$A$2:$C$53,3,FALSE)</f>
        <v>K030</v>
      </c>
      <c r="G850">
        <f>'2020_5-2-2_Download'!AI26</f>
        <v>14.337240757439135</v>
      </c>
    </row>
    <row r="851" spans="1:7">
      <c r="A851">
        <f>'2020_5-2-2_Download'!B27</f>
        <v>255</v>
      </c>
      <c r="B851">
        <f>'2020_5-2-2_Download'!$AF$5</f>
        <v>2016</v>
      </c>
      <c r="C851" t="str">
        <f>VLOOKUP(A2255,[1]Tabelle1!$A$1:$B$68,2,FALSE)</f>
        <v>Niedersachsen</v>
      </c>
      <c r="D851" t="str">
        <f>'2020_5-2-2_Download'!$AI$7</f>
        <v>hoch</v>
      </c>
      <c r="E851" t="s">
        <v>362</v>
      </c>
      <c r="F851" t="str">
        <f>VLOOKUP(A2255,[2]Kreise!$A$2:$C$53,3,FALSE)</f>
        <v>K030</v>
      </c>
      <c r="G851">
        <f>'2020_5-2-2_Download'!AI27</f>
        <v>12.244897959183673</v>
      </c>
    </row>
    <row r="852" spans="1:7">
      <c r="A852">
        <f>'2020_5-2-2_Download'!B28</f>
        <v>256</v>
      </c>
      <c r="B852">
        <f>'2020_5-2-2_Download'!$AF$5</f>
        <v>2016</v>
      </c>
      <c r="C852" t="str">
        <f>VLOOKUP(A2256,[1]Tabelle1!$A$1:$B$68,2,FALSE)</f>
        <v>Niedersachsen</v>
      </c>
      <c r="D852" t="str">
        <f>'2020_5-2-2_Download'!$AI$7</f>
        <v>hoch</v>
      </c>
      <c r="E852" t="s">
        <v>362</v>
      </c>
      <c r="F852" t="str">
        <f>VLOOKUP(A2256,[2]Kreise!$A$2:$C$53,3,FALSE)</f>
        <v>K030</v>
      </c>
      <c r="G852">
        <f>'2020_5-2-2_Download'!AI28</f>
        <v>5.7716436637390212</v>
      </c>
    </row>
    <row r="853" spans="1:7">
      <c r="A853">
        <f>'2020_5-2-2_Download'!B29</f>
        <v>257</v>
      </c>
      <c r="B853">
        <f>'2020_5-2-2_Download'!$AF$5</f>
        <v>2016</v>
      </c>
      <c r="C853" t="str">
        <f>VLOOKUP(A2257,[1]Tabelle1!$A$1:$B$68,2,FALSE)</f>
        <v>Niedersachsen</v>
      </c>
      <c r="D853" t="str">
        <f>'2020_5-2-2_Download'!$AI$7</f>
        <v>hoch</v>
      </c>
      <c r="E853" t="s">
        <v>362</v>
      </c>
      <c r="F853" t="str">
        <f>VLOOKUP(A2257,[2]Kreise!$A$2:$C$53,3,FALSE)</f>
        <v>K030</v>
      </c>
      <c r="G853">
        <f>'2020_5-2-2_Download'!AI29</f>
        <v>7.9863739591218774</v>
      </c>
    </row>
    <row r="854" spans="1:7">
      <c r="A854">
        <f>'2020_5-2-2_Download'!B30</f>
        <v>2</v>
      </c>
      <c r="B854">
        <f>'2020_5-2-2_Download'!$AF$5</f>
        <v>2016</v>
      </c>
      <c r="C854" t="str">
        <f>VLOOKUP(A2258,[1]Tabelle1!$A$1:$B$68,2,FALSE)</f>
        <v>Niedersachsen</v>
      </c>
      <c r="D854" t="str">
        <f>'2020_5-2-2_Download'!$AI$7</f>
        <v>hoch</v>
      </c>
      <c r="E854" t="s">
        <v>362</v>
      </c>
      <c r="F854" t="str">
        <f>VLOOKUP(A2258,[2]Kreise!$A$2:$C$53,3,FALSE)</f>
        <v>K030</v>
      </c>
      <c r="G854">
        <f>'2020_5-2-2_Download'!AI30</f>
        <v>11.749242283664255</v>
      </c>
    </row>
    <row r="855" spans="1:7">
      <c r="A855">
        <f>'2020_5-2-2_Download'!B31</f>
        <v>351</v>
      </c>
      <c r="B855">
        <f>'2020_5-2-2_Download'!$AF$5</f>
        <v>2016</v>
      </c>
      <c r="C855" t="str">
        <f>VLOOKUP(A2259,[1]Tabelle1!$A$1:$B$68,2,FALSE)</f>
        <v>Niedersachsen</v>
      </c>
      <c r="D855" t="str">
        <f>'2020_5-2-2_Download'!$AI$7</f>
        <v>hoch</v>
      </c>
      <c r="E855" t="s">
        <v>362</v>
      </c>
      <c r="F855" t="str">
        <f>VLOOKUP(A2259,[2]Kreise!$A$2:$C$53,3,FALSE)</f>
        <v>K030</v>
      </c>
      <c r="G855">
        <f>'2020_5-2-2_Download'!AI31</f>
        <v>14.566642388929353</v>
      </c>
    </row>
    <row r="856" spans="1:7">
      <c r="A856">
        <f>'2020_5-2-2_Download'!B32</f>
        <v>352</v>
      </c>
      <c r="B856">
        <f>'2020_5-2-2_Download'!$AF$5</f>
        <v>2016</v>
      </c>
      <c r="C856" t="str">
        <f>VLOOKUP(A2260,[1]Tabelle1!$A$1:$B$68,2,FALSE)</f>
        <v>Niedersachsen</v>
      </c>
      <c r="D856" t="str">
        <f>'2020_5-2-2_Download'!$AI$7</f>
        <v>hoch</v>
      </c>
      <c r="E856" t="s">
        <v>362</v>
      </c>
      <c r="F856" t="str">
        <f>VLOOKUP(A2260,[2]Kreise!$A$2:$C$53,3,FALSE)</f>
        <v>K030</v>
      </c>
      <c r="G856">
        <f>'2020_5-2-2_Download'!AI32</f>
        <v>6.7531701562960773</v>
      </c>
    </row>
    <row r="857" spans="1:7">
      <c r="A857">
        <f>'2020_5-2-2_Download'!B33</f>
        <v>353</v>
      </c>
      <c r="B857">
        <f>'2020_5-2-2_Download'!$AF$5</f>
        <v>2016</v>
      </c>
      <c r="C857" t="str">
        <f>VLOOKUP(A2261,[1]Tabelle1!$A$1:$B$68,2,FALSE)</f>
        <v>Niedersachsen</v>
      </c>
      <c r="D857" t="str">
        <f>'2020_5-2-2_Download'!$AI$7</f>
        <v>hoch</v>
      </c>
      <c r="E857" t="s">
        <v>362</v>
      </c>
      <c r="F857" t="str">
        <f>VLOOKUP(A2261,[2]Kreise!$A$2:$C$53,3,FALSE)</f>
        <v>K030</v>
      </c>
      <c r="G857">
        <f>'2020_5-2-2_Download'!AI33</f>
        <v>5.5649241146711637</v>
      </c>
    </row>
    <row r="858" spans="1:7">
      <c r="A858">
        <f>'2020_5-2-2_Download'!B34</f>
        <v>354</v>
      </c>
      <c r="B858">
        <f>'2020_5-2-2_Download'!$AF$5</f>
        <v>2016</v>
      </c>
      <c r="C858" t="str">
        <f>VLOOKUP(A2262,[1]Tabelle1!$A$1:$B$68,2,FALSE)</f>
        <v>Niedersachsen</v>
      </c>
      <c r="D858" t="str">
        <f>'2020_5-2-2_Download'!$AI$7</f>
        <v>hoch</v>
      </c>
      <c r="E858" t="s">
        <v>362</v>
      </c>
      <c r="F858" t="str">
        <f>VLOOKUP(A2262,[2]Kreise!$A$2:$C$53,3,FALSE)</f>
        <v>K030</v>
      </c>
      <c r="G858">
        <f>'2020_5-2-2_Download'!AI34</f>
        <v>8.2533589251439547</v>
      </c>
    </row>
    <row r="859" spans="1:7">
      <c r="A859">
        <f>'2020_5-2-2_Download'!B35</f>
        <v>355</v>
      </c>
      <c r="B859">
        <f>'2020_5-2-2_Download'!$AF$5</f>
        <v>2016</v>
      </c>
      <c r="C859" t="str">
        <f>VLOOKUP(A2263,[1]Tabelle1!$A$1:$B$68,2,FALSE)</f>
        <v>Niedersachsen</v>
      </c>
      <c r="D859" t="str">
        <f>'2020_5-2-2_Download'!$AI$7</f>
        <v>hoch</v>
      </c>
      <c r="E859" t="s">
        <v>362</v>
      </c>
      <c r="F859" t="str">
        <f>VLOOKUP(A2263,[2]Kreise!$A$2:$C$53,3,FALSE)</f>
        <v>K030</v>
      </c>
      <c r="G859">
        <f>'2020_5-2-2_Download'!AI35</f>
        <v>14.24408014571949</v>
      </c>
    </row>
    <row r="860" spans="1:7">
      <c r="A860">
        <f>'2020_5-2-2_Download'!B36</f>
        <v>356</v>
      </c>
      <c r="B860">
        <f>'2020_5-2-2_Download'!$AF$5</f>
        <v>2016</v>
      </c>
      <c r="C860" t="str">
        <f>VLOOKUP(A2264,[1]Tabelle1!$A$1:$B$68,2,FALSE)</f>
        <v>Niedersachsen</v>
      </c>
      <c r="D860" t="str">
        <f>'2020_5-2-2_Download'!$AI$7</f>
        <v>hoch</v>
      </c>
      <c r="E860" t="s">
        <v>362</v>
      </c>
      <c r="F860" t="str">
        <f>VLOOKUP(A2264,[2]Kreise!$A$2:$C$53,3,FALSE)</f>
        <v>K030</v>
      </c>
      <c r="G860">
        <f>'2020_5-2-2_Download'!AI36</f>
        <v>8.4027252081756245</v>
      </c>
    </row>
    <row r="861" spans="1:7">
      <c r="A861">
        <f>'2020_5-2-2_Download'!B37</f>
        <v>357</v>
      </c>
      <c r="B861">
        <f>'2020_5-2-2_Download'!$AF$5</f>
        <v>2016</v>
      </c>
      <c r="C861" t="str">
        <f>VLOOKUP(A2265,[1]Tabelle1!$A$1:$B$68,2,FALSE)</f>
        <v>Niedersachsen</v>
      </c>
      <c r="D861" t="str">
        <f>'2020_5-2-2_Download'!$AI$7</f>
        <v>hoch</v>
      </c>
      <c r="E861" t="s">
        <v>362</v>
      </c>
      <c r="F861" t="str">
        <f>VLOOKUP(A2265,[2]Kreise!$A$2:$C$53,3,FALSE)</f>
        <v>K030</v>
      </c>
      <c r="G861">
        <f>'2020_5-2-2_Download'!AI37</f>
        <v>8.8136729222520103</v>
      </c>
    </row>
    <row r="862" spans="1:7">
      <c r="A862">
        <f>'2020_5-2-2_Download'!B38</f>
        <v>358</v>
      </c>
      <c r="B862">
        <f>'2020_5-2-2_Download'!$AF$5</f>
        <v>2016</v>
      </c>
      <c r="C862" t="str">
        <f>VLOOKUP(A2266,[1]Tabelle1!$A$1:$B$68,2,FALSE)</f>
        <v>Niedersachsen</v>
      </c>
      <c r="D862" t="str">
        <f>'2020_5-2-2_Download'!$AI$7</f>
        <v>hoch</v>
      </c>
      <c r="E862" t="s">
        <v>362</v>
      </c>
      <c r="F862" t="str">
        <f>VLOOKUP(A2266,[2]Kreise!$A$2:$C$53,3,FALSE)</f>
        <v>K030</v>
      </c>
      <c r="G862">
        <f>'2020_5-2-2_Download'!AI38</f>
        <v>7.8809106830122584</v>
      </c>
    </row>
    <row r="863" spans="1:7">
      <c r="A863">
        <f>'2020_5-2-2_Download'!B39</f>
        <v>359</v>
      </c>
      <c r="B863">
        <f>'2020_5-2-2_Download'!$AF$5</f>
        <v>2016</v>
      </c>
      <c r="C863" t="str">
        <f>VLOOKUP(A2267,[1]Tabelle1!$A$1:$B$68,2,FALSE)</f>
        <v>Niedersachsen</v>
      </c>
      <c r="D863" t="str">
        <f>'2020_5-2-2_Download'!$AI$7</f>
        <v>hoch</v>
      </c>
      <c r="E863" t="s">
        <v>362</v>
      </c>
      <c r="F863" t="str">
        <f>VLOOKUP(A2267,[2]Kreise!$A$2:$C$53,3,FALSE)</f>
        <v>K030</v>
      </c>
      <c r="G863">
        <f>'2020_5-2-2_Download'!AI39</f>
        <v>7.4288359176116634</v>
      </c>
    </row>
    <row r="864" spans="1:7">
      <c r="A864">
        <f>'2020_5-2-2_Download'!B40</f>
        <v>360</v>
      </c>
      <c r="B864">
        <f>'2020_5-2-2_Download'!$AF$5</f>
        <v>2016</v>
      </c>
      <c r="C864" t="str">
        <f>VLOOKUP(A2268,[1]Tabelle1!$A$1:$B$68,2,FALSE)</f>
        <v>Niedersachsen</v>
      </c>
      <c r="D864" t="str">
        <f>'2020_5-2-2_Download'!$AI$7</f>
        <v>hoch</v>
      </c>
      <c r="E864" t="s">
        <v>362</v>
      </c>
      <c r="F864" t="str">
        <f>VLOOKUP(A2268,[2]Kreise!$A$2:$C$53,3,FALSE)</f>
        <v>K030</v>
      </c>
      <c r="G864">
        <f>'2020_5-2-2_Download'!AI40</f>
        <v>16.292134831460675</v>
      </c>
    </row>
    <row r="865" spans="1:7">
      <c r="A865">
        <f>'2020_5-2-2_Download'!B41</f>
        <v>361</v>
      </c>
      <c r="B865">
        <f>'2020_5-2-2_Download'!$AF$5</f>
        <v>2016</v>
      </c>
      <c r="C865" t="str">
        <f>VLOOKUP(A2269,[1]Tabelle1!$A$1:$B$68,2,FALSE)</f>
        <v>Niedersachsen</v>
      </c>
      <c r="D865" t="str">
        <f>'2020_5-2-2_Download'!$AI$7</f>
        <v>hoch</v>
      </c>
      <c r="E865" t="s">
        <v>362</v>
      </c>
      <c r="F865" t="str">
        <f>VLOOKUP(A2269,[2]Kreise!$A$2:$C$53,3,FALSE)</f>
        <v>K030</v>
      </c>
      <c r="G865">
        <f>'2020_5-2-2_Download'!AI41</f>
        <v>10.495892911469424</v>
      </c>
    </row>
    <row r="866" spans="1:7">
      <c r="A866">
        <f>'2020_5-2-2_Download'!B42</f>
        <v>3</v>
      </c>
      <c r="B866">
        <f>'2020_5-2-2_Download'!$AF$5</f>
        <v>2016</v>
      </c>
      <c r="C866" t="str">
        <f>VLOOKUP(A2270,[1]Tabelle1!$A$1:$B$68,2,FALSE)</f>
        <v>Niedersachsen</v>
      </c>
      <c r="D866" t="str">
        <f>'2020_5-2-2_Download'!$AI$7</f>
        <v>hoch</v>
      </c>
      <c r="E866" t="s">
        <v>362</v>
      </c>
      <c r="F866" t="str">
        <f>VLOOKUP(A2270,[2]Kreise!$A$2:$C$53,3,FALSE)</f>
        <v>K030</v>
      </c>
      <c r="G866">
        <f>'2020_5-2-2_Download'!AI42</f>
        <v>9.1542386185243316</v>
      </c>
    </row>
    <row r="867" spans="1:7">
      <c r="A867">
        <f>'2020_5-2-2_Download'!B43</f>
        <v>401</v>
      </c>
      <c r="B867">
        <f>'2020_5-2-2_Download'!$AF$5</f>
        <v>2016</v>
      </c>
      <c r="C867" t="str">
        <f>VLOOKUP(A2271,[1]Tabelle1!$A$1:$B$68,2,FALSE)</f>
        <v>Niedersachsen</v>
      </c>
      <c r="D867" t="str">
        <f>'2020_5-2-2_Download'!$AI$7</f>
        <v>hoch</v>
      </c>
      <c r="E867" t="s">
        <v>362</v>
      </c>
      <c r="F867" t="str">
        <f>VLOOKUP(A2271,[2]Kreise!$A$2:$C$53,3,FALSE)</f>
        <v>K030</v>
      </c>
      <c r="G867">
        <f>'2020_5-2-2_Download'!AI43</f>
        <v>8.6666666666666679</v>
      </c>
    </row>
    <row r="868" spans="1:7">
      <c r="A868">
        <f>'2020_5-2-2_Download'!B44</f>
        <v>402</v>
      </c>
      <c r="B868">
        <f>'2020_5-2-2_Download'!$AF$5</f>
        <v>2016</v>
      </c>
      <c r="C868" t="str">
        <f>VLOOKUP(A2272,[1]Tabelle1!$A$1:$B$68,2,FALSE)</f>
        <v>Niedersachsen</v>
      </c>
      <c r="D868" t="str">
        <f>'2020_5-2-2_Download'!$AI$7</f>
        <v>hoch</v>
      </c>
      <c r="E868" t="s">
        <v>362</v>
      </c>
      <c r="F868" t="str">
        <f>VLOOKUP(A2272,[2]Kreise!$A$2:$C$53,3,FALSE)</f>
        <v>K030</v>
      </c>
      <c r="G868">
        <f>'2020_5-2-2_Download'!AI44</f>
        <v>9.0185676392572933</v>
      </c>
    </row>
    <row r="869" spans="1:7">
      <c r="A869">
        <f>'2020_5-2-2_Download'!B45</f>
        <v>403</v>
      </c>
      <c r="B869">
        <f>'2020_5-2-2_Download'!$AF$5</f>
        <v>2016</v>
      </c>
      <c r="C869" t="str">
        <f>VLOOKUP(A2273,[1]Tabelle1!$A$1:$B$68,2,FALSE)</f>
        <v>Niedersachsen</v>
      </c>
      <c r="D869" t="str">
        <f>'2020_5-2-2_Download'!$AI$7</f>
        <v>hoch</v>
      </c>
      <c r="E869" t="s">
        <v>362</v>
      </c>
      <c r="F869" t="str">
        <f>VLOOKUP(A2273,[2]Kreise!$A$2:$C$53,3,FALSE)</f>
        <v>K030</v>
      </c>
      <c r="G869">
        <f>'2020_5-2-2_Download'!AI45</f>
        <v>17.648605996843767</v>
      </c>
    </row>
    <row r="870" spans="1:7">
      <c r="A870">
        <f>'2020_5-2-2_Download'!B46</f>
        <v>404</v>
      </c>
      <c r="B870">
        <f>'2020_5-2-2_Download'!$AF$5</f>
        <v>2016</v>
      </c>
      <c r="C870" t="str">
        <f>VLOOKUP(A2274,[1]Tabelle1!$A$1:$B$68,2,FALSE)</f>
        <v>Niedersachsen</v>
      </c>
      <c r="D870" t="str">
        <f>'2020_5-2-2_Download'!$AI$7</f>
        <v>hoch</v>
      </c>
      <c r="E870" t="s">
        <v>362</v>
      </c>
      <c r="F870" t="str">
        <f>VLOOKUP(A2274,[2]Kreise!$A$2:$C$53,3,FALSE)</f>
        <v>K030</v>
      </c>
      <c r="G870">
        <f>'2020_5-2-2_Download'!AI46</f>
        <v>10.096603303209722</v>
      </c>
    </row>
    <row r="871" spans="1:7">
      <c r="A871">
        <f>'2020_5-2-2_Download'!B47</f>
        <v>405</v>
      </c>
      <c r="B871">
        <f>'2020_5-2-2_Download'!$AF$5</f>
        <v>2016</v>
      </c>
      <c r="C871" t="str">
        <f>VLOOKUP(A2275,[1]Tabelle1!$A$1:$B$68,2,FALSE)</f>
        <v>Niedersachsen</v>
      </c>
      <c r="D871" t="str">
        <f>'2020_5-2-2_Download'!$AI$7</f>
        <v>hoch</v>
      </c>
      <c r="E871" t="s">
        <v>362</v>
      </c>
      <c r="F871" t="str">
        <f>VLOOKUP(A2275,[2]Kreise!$A$2:$C$53,3,FALSE)</f>
        <v>K030</v>
      </c>
      <c r="G871">
        <f>'2020_5-2-2_Download'!AI47</f>
        <v>14.359861591695502</v>
      </c>
    </row>
    <row r="872" spans="1:7">
      <c r="A872">
        <f>'2020_5-2-2_Download'!B48</f>
        <v>451</v>
      </c>
      <c r="B872">
        <f>'2020_5-2-2_Download'!$AF$5</f>
        <v>2016</v>
      </c>
      <c r="C872" t="str">
        <f>VLOOKUP(A2276,[1]Tabelle1!$A$1:$B$68,2,FALSE)</f>
        <v>Niedersachsen</v>
      </c>
      <c r="D872" t="str">
        <f>'2020_5-2-2_Download'!$AI$7</f>
        <v>hoch</v>
      </c>
      <c r="E872" t="s">
        <v>362</v>
      </c>
      <c r="F872" t="str">
        <f>VLOOKUP(A2276,[2]Kreise!$A$2:$C$53,3,FALSE)</f>
        <v>K030</v>
      </c>
      <c r="G872">
        <f>'2020_5-2-2_Download'!AI48</f>
        <v>5.4893463344167577</v>
      </c>
    </row>
    <row r="873" spans="1:7">
      <c r="A873">
        <f>'2020_5-2-2_Download'!B49</f>
        <v>452</v>
      </c>
      <c r="B873">
        <f>'2020_5-2-2_Download'!$AF$5</f>
        <v>2016</v>
      </c>
      <c r="C873" t="str">
        <f>VLOOKUP(A2277,[1]Tabelle1!$A$1:$B$68,2,FALSE)</f>
        <v>Niedersachsen</v>
      </c>
      <c r="D873" t="str">
        <f>'2020_5-2-2_Download'!$AI$7</f>
        <v>hoch</v>
      </c>
      <c r="E873" t="s">
        <v>362</v>
      </c>
      <c r="F873" t="str">
        <f>VLOOKUP(A2277,[2]Kreise!$A$2:$C$53,3,FALSE)</f>
        <v>K030</v>
      </c>
      <c r="G873">
        <f>'2020_5-2-2_Download'!AI49</f>
        <v>8.3652430044182609</v>
      </c>
    </row>
    <row r="874" spans="1:7">
      <c r="A874">
        <f>'2020_5-2-2_Download'!B50</f>
        <v>453</v>
      </c>
      <c r="B874">
        <f>'2020_5-2-2_Download'!$AF$5</f>
        <v>2016</v>
      </c>
      <c r="C874" t="str">
        <f>VLOOKUP(A2278,[1]Tabelle1!$A$1:$B$68,2,FALSE)</f>
        <v>Niedersachsen</v>
      </c>
      <c r="D874" t="str">
        <f>'2020_5-2-2_Download'!$AI$7</f>
        <v>hoch</v>
      </c>
      <c r="E874" t="s">
        <v>362</v>
      </c>
      <c r="F874" t="str">
        <f>VLOOKUP(A2278,[2]Kreise!$A$2:$C$53,3,FALSE)</f>
        <v>K030</v>
      </c>
      <c r="G874">
        <f>'2020_5-2-2_Download'!AI50</f>
        <v>3.3414832925835372</v>
      </c>
    </row>
    <row r="875" spans="1:7">
      <c r="A875">
        <f>'2020_5-2-2_Download'!B51</f>
        <v>454</v>
      </c>
      <c r="B875">
        <f>'2020_5-2-2_Download'!$AF$5</f>
        <v>2016</v>
      </c>
      <c r="C875" t="str">
        <f>VLOOKUP(A2279,[1]Tabelle1!$A$1:$B$68,2,FALSE)</f>
        <v>Niedersachsen</v>
      </c>
      <c r="D875" t="str">
        <f>'2020_5-2-2_Download'!$AI$7</f>
        <v>hoch</v>
      </c>
      <c r="E875" t="s">
        <v>362</v>
      </c>
      <c r="F875" t="str">
        <f>VLOOKUP(A2279,[2]Kreise!$A$2:$C$53,3,FALSE)</f>
        <v>K030</v>
      </c>
      <c r="G875">
        <f>'2020_5-2-2_Download'!AI51</f>
        <v>6.98615548455804</v>
      </c>
    </row>
    <row r="876" spans="1:7">
      <c r="A876">
        <f>'2020_5-2-2_Download'!B52</f>
        <v>455</v>
      </c>
      <c r="B876">
        <f>'2020_5-2-2_Download'!$AF$5</f>
        <v>2016</v>
      </c>
      <c r="C876" t="str">
        <f>VLOOKUP(A2280,[1]Tabelle1!$A$1:$B$68,2,FALSE)</f>
        <v>Niedersachsen</v>
      </c>
      <c r="D876" t="str">
        <f>'2020_5-2-2_Download'!$AI$7</f>
        <v>hoch</v>
      </c>
      <c r="E876" t="s">
        <v>362</v>
      </c>
      <c r="F876" t="str">
        <f>VLOOKUP(A2280,[2]Kreise!$A$2:$C$53,3,FALSE)</f>
        <v>K030</v>
      </c>
      <c r="G876">
        <f>'2020_5-2-2_Download'!AI52</f>
        <v>12.298387096774194</v>
      </c>
    </row>
    <row r="877" spans="1:7">
      <c r="A877">
        <f>'2020_5-2-2_Download'!B53</f>
        <v>456</v>
      </c>
      <c r="B877">
        <f>'2020_5-2-2_Download'!$AF$5</f>
        <v>2016</v>
      </c>
      <c r="C877" t="str">
        <f>VLOOKUP(A2281,[1]Tabelle1!$A$1:$B$68,2,FALSE)</f>
        <v>Niedersachsen</v>
      </c>
      <c r="D877" t="str">
        <f>'2020_5-2-2_Download'!$AI$7</f>
        <v>hoch</v>
      </c>
      <c r="E877" t="s">
        <v>362</v>
      </c>
      <c r="F877" t="str">
        <f>VLOOKUP(A2281,[2]Kreise!$A$2:$C$53,3,FALSE)</f>
        <v>K030</v>
      </c>
      <c r="G877">
        <f>'2020_5-2-2_Download'!AI53</f>
        <v>6.25</v>
      </c>
    </row>
    <row r="878" spans="1:7">
      <c r="A878">
        <f>'2020_5-2-2_Download'!B54</f>
        <v>457</v>
      </c>
      <c r="B878">
        <f>'2020_5-2-2_Download'!$AF$5</f>
        <v>2016</v>
      </c>
      <c r="C878" t="str">
        <f>VLOOKUP(A2282,[1]Tabelle1!$A$1:$B$68,2,FALSE)</f>
        <v>Niedersachsen</v>
      </c>
      <c r="D878" t="str">
        <f>'2020_5-2-2_Download'!$AI$7</f>
        <v>hoch</v>
      </c>
      <c r="E878" t="s">
        <v>362</v>
      </c>
      <c r="F878" t="str">
        <f>VLOOKUP(A2282,[2]Kreise!$A$2:$C$53,3,FALSE)</f>
        <v>K030</v>
      </c>
      <c r="G878">
        <f>'2020_5-2-2_Download'!AI54</f>
        <v>9.7099113618049966</v>
      </c>
    </row>
    <row r="879" spans="1:7">
      <c r="A879">
        <f>'2020_5-2-2_Download'!B55</f>
        <v>458</v>
      </c>
      <c r="B879">
        <f>'2020_5-2-2_Download'!$AF$5</f>
        <v>2016</v>
      </c>
      <c r="C879" t="str">
        <f>VLOOKUP(A2283,[1]Tabelle1!$A$1:$B$68,2,FALSE)</f>
        <v>Niedersachsen</v>
      </c>
      <c r="D879" t="str">
        <f>'2020_5-2-2_Download'!$AI$7</f>
        <v>hoch</v>
      </c>
      <c r="E879" t="s">
        <v>362</v>
      </c>
      <c r="F879" t="str">
        <f>VLOOKUP(A2283,[2]Kreise!$A$2:$C$53,3,FALSE)</f>
        <v>K030</v>
      </c>
      <c r="G879">
        <f>'2020_5-2-2_Download'!AI55</f>
        <v>4.3829787234042552</v>
      </c>
    </row>
    <row r="880" spans="1:7">
      <c r="A880">
        <f>'2020_5-2-2_Download'!B56</f>
        <v>459</v>
      </c>
      <c r="B880">
        <f>'2020_5-2-2_Download'!$AF$5</f>
        <v>2016</v>
      </c>
      <c r="C880" t="str">
        <f>VLOOKUP(A2284,[1]Tabelle1!$A$1:$B$68,2,FALSE)</f>
        <v>Niedersachsen</v>
      </c>
      <c r="D880" t="str">
        <f>'2020_5-2-2_Download'!$AI$7</f>
        <v>hoch</v>
      </c>
      <c r="E880" t="s">
        <v>362</v>
      </c>
      <c r="F880" t="str">
        <f>VLOOKUP(A2284,[2]Kreise!$A$2:$C$53,3,FALSE)</f>
        <v>K030</v>
      </c>
      <c r="G880">
        <f>'2020_5-2-2_Download'!AI56</f>
        <v>4.3409033771893073</v>
      </c>
    </row>
    <row r="881" spans="1:7">
      <c r="A881">
        <f>'2020_5-2-2_Download'!B57</f>
        <v>460</v>
      </c>
      <c r="B881">
        <f>'2020_5-2-2_Download'!$AF$5</f>
        <v>2016</v>
      </c>
      <c r="C881" t="str">
        <f>VLOOKUP(A2285,[1]Tabelle1!$A$1:$B$68,2,FALSE)</f>
        <v>Niedersachsen</v>
      </c>
      <c r="D881" t="str">
        <f>'2020_5-2-2_Download'!$AI$7</f>
        <v>hoch</v>
      </c>
      <c r="E881" t="s">
        <v>362</v>
      </c>
      <c r="F881" t="str">
        <f>VLOOKUP(A2285,[2]Kreise!$A$2:$C$53,3,FALSE)</f>
        <v>K030</v>
      </c>
      <c r="G881">
        <f>'2020_5-2-2_Download'!AI57</f>
        <v>3.9185140802875975</v>
      </c>
    </row>
    <row r="882" spans="1:7">
      <c r="A882">
        <f>'2020_5-2-2_Download'!B58</f>
        <v>461</v>
      </c>
      <c r="B882">
        <f>'2020_5-2-2_Download'!$AF$5</f>
        <v>2016</v>
      </c>
      <c r="C882" t="str">
        <f>VLOOKUP(A2286,[1]Tabelle1!$A$1:$B$68,2,FALSE)</f>
        <v>Niedersachsen</v>
      </c>
      <c r="D882" t="str">
        <f>'2020_5-2-2_Download'!$AI$7</f>
        <v>hoch</v>
      </c>
      <c r="E882" t="s">
        <v>362</v>
      </c>
      <c r="F882" t="str">
        <f>VLOOKUP(A2286,[2]Kreise!$A$2:$C$53,3,FALSE)</f>
        <v>K030</v>
      </c>
      <c r="G882">
        <f>'2020_5-2-2_Download'!AI58</f>
        <v>5.5135135135135132</v>
      </c>
    </row>
    <row r="883" spans="1:7">
      <c r="A883">
        <f>'2020_5-2-2_Download'!B59</f>
        <v>462</v>
      </c>
      <c r="B883">
        <f>'2020_5-2-2_Download'!$AF$5</f>
        <v>2016</v>
      </c>
      <c r="C883" t="str">
        <f>VLOOKUP(A2287,[1]Tabelle1!$A$1:$B$68,2,FALSE)</f>
        <v>Niedersachsen</v>
      </c>
      <c r="D883" t="str">
        <f>'2020_5-2-2_Download'!$AI$7</f>
        <v>hoch</v>
      </c>
      <c r="E883" t="s">
        <v>362</v>
      </c>
      <c r="F883" t="str">
        <f>VLOOKUP(A2287,[2]Kreise!$A$2:$C$53,3,FALSE)</f>
        <v>K030</v>
      </c>
      <c r="G883">
        <f>'2020_5-2-2_Download'!AI59</f>
        <v>6.104651162790697</v>
      </c>
    </row>
    <row r="884" spans="1:7">
      <c r="A884">
        <f>'2020_5-2-2_Download'!B60</f>
        <v>4</v>
      </c>
      <c r="B884">
        <f>'2020_5-2-2_Download'!$AF$5</f>
        <v>2016</v>
      </c>
      <c r="C884" t="str">
        <f>VLOOKUP(A2288,[1]Tabelle1!$A$1:$B$68,2,FALSE)</f>
        <v>Niedersachsen</v>
      </c>
      <c r="D884" t="str">
        <f>'2020_5-2-2_Download'!$AI$7</f>
        <v>hoch</v>
      </c>
      <c r="E884" t="s">
        <v>362</v>
      </c>
      <c r="F884" t="str">
        <f>VLOOKUP(A2288,[2]Kreise!$A$2:$C$53,3,FALSE)</f>
        <v>K030</v>
      </c>
      <c r="G884">
        <f>'2020_5-2-2_Download'!AI60</f>
        <v>6.9088907239196251</v>
      </c>
    </row>
    <row r="885" spans="1:7">
      <c r="A885">
        <f>'2020_5-2-2_Download'!B61</f>
        <v>0</v>
      </c>
      <c r="B885">
        <f>'2020_5-2-2_Download'!$AF$5</f>
        <v>2016</v>
      </c>
      <c r="C885" t="str">
        <f>VLOOKUP(A2289,[1]Tabelle1!$A$1:$B$68,2,FALSE)</f>
        <v>Niedersachsen</v>
      </c>
      <c r="D885" t="str">
        <f>'2020_5-2-2_Download'!$AI$7</f>
        <v>hoch</v>
      </c>
      <c r="E885" t="s">
        <v>362</v>
      </c>
      <c r="F885" t="str">
        <f>VLOOKUP(A2289,[2]Kreise!$A$2:$C$53,3,FALSE)</f>
        <v>K030</v>
      </c>
      <c r="G885">
        <f>'2020_5-2-2_Download'!AI61</f>
        <v>11.081117159342044</v>
      </c>
    </row>
    <row r="886" spans="1:7">
      <c r="A886">
        <f>'2020_5-2-2_Download'!B10</f>
        <v>101</v>
      </c>
      <c r="B886">
        <f>'2020_5-2-2_Download'!$AF$5</f>
        <v>2016</v>
      </c>
      <c r="C886" t="str">
        <f>VLOOKUP(A2290,[1]Tabelle1!$A$1:$B$68,2,FALSE)</f>
        <v>Niedersachsen</v>
      </c>
      <c r="D886" t="str">
        <f>'2020_5-2-2_Download'!$AJ$7</f>
        <v>mittel</v>
      </c>
      <c r="E886" t="s">
        <v>362</v>
      </c>
      <c r="F886" t="str">
        <f>VLOOKUP(A2290,[2]Kreise!$A$2:$C$53,3,FALSE)</f>
        <v>K030</v>
      </c>
      <c r="G886">
        <f>'2020_5-2-2_Download'!AJ10</f>
        <v>31.14073701421205</v>
      </c>
    </row>
    <row r="887" spans="1:7">
      <c r="A887">
        <f>'2020_5-2-2_Download'!B11</f>
        <v>102</v>
      </c>
      <c r="B887">
        <f>'2020_5-2-2_Download'!$AF$5</f>
        <v>2016</v>
      </c>
      <c r="C887" t="str">
        <f>VLOOKUP(A2291,[1]Tabelle1!$A$1:$B$68,2,FALSE)</f>
        <v>Niedersachsen</v>
      </c>
      <c r="D887" t="str">
        <f>'2020_5-2-2_Download'!$AJ$7</f>
        <v>mittel</v>
      </c>
      <c r="E887" t="s">
        <v>362</v>
      </c>
      <c r="F887" t="str">
        <f>VLOOKUP(A2291,[2]Kreise!$A$2:$C$53,3,FALSE)</f>
        <v>K030</v>
      </c>
      <c r="G887">
        <f>'2020_5-2-2_Download'!AJ11</f>
        <v>43.466299862448423</v>
      </c>
    </row>
    <row r="888" spans="1:7">
      <c r="A888">
        <f>'2020_5-2-2_Download'!B12</f>
        <v>103</v>
      </c>
      <c r="B888">
        <f>'2020_5-2-2_Download'!$AF$5</f>
        <v>2016</v>
      </c>
      <c r="C888" t="str">
        <f>VLOOKUP(A2292,[1]Tabelle1!$A$1:$B$68,2,FALSE)</f>
        <v>Niedersachsen</v>
      </c>
      <c r="D888" t="str">
        <f>'2020_5-2-2_Download'!$AJ$7</f>
        <v>mittel</v>
      </c>
      <c r="E888" t="s">
        <v>362</v>
      </c>
      <c r="F888" t="str">
        <f>VLOOKUP(A2292,[2]Kreise!$A$2:$C$53,3,FALSE)</f>
        <v>K030</v>
      </c>
      <c r="G888">
        <f>'2020_5-2-2_Download'!AJ12</f>
        <v>33.658816771970137</v>
      </c>
    </row>
    <row r="889" spans="1:7">
      <c r="A889">
        <f>'2020_5-2-2_Download'!B13</f>
        <v>151</v>
      </c>
      <c r="B889">
        <f>'2020_5-2-2_Download'!$AF$5</f>
        <v>2016</v>
      </c>
      <c r="C889" t="str">
        <f>VLOOKUP(A2293,[1]Tabelle1!$A$1:$B$68,2,FALSE)</f>
        <v>Niedersachsen</v>
      </c>
      <c r="D889" t="str">
        <f>'2020_5-2-2_Download'!$AJ$7</f>
        <v>mittel</v>
      </c>
      <c r="E889" t="s">
        <v>362</v>
      </c>
      <c r="F889" t="str">
        <f>VLOOKUP(A2293,[2]Kreise!$A$2:$C$53,3,FALSE)</f>
        <v>K030</v>
      </c>
      <c r="G889">
        <f>'2020_5-2-2_Download'!AJ13</f>
        <v>28.67448151487827</v>
      </c>
    </row>
    <row r="890" spans="1:7">
      <c r="A890">
        <f>'2020_5-2-2_Download'!B14</f>
        <v>153</v>
      </c>
      <c r="B890">
        <f>'2020_5-2-2_Download'!$AF$5</f>
        <v>2016</v>
      </c>
      <c r="C890" t="str">
        <f>VLOOKUP(A2294,[1]Tabelle1!$A$1:$B$68,2,FALSE)</f>
        <v>Niedersachsen</v>
      </c>
      <c r="D890" t="str">
        <f>'2020_5-2-2_Download'!$AJ$7</f>
        <v>mittel</v>
      </c>
      <c r="E890" t="s">
        <v>362</v>
      </c>
      <c r="F890" t="str">
        <f>VLOOKUP(A2294,[2]Kreise!$A$2:$C$53,3,FALSE)</f>
        <v>K030</v>
      </c>
      <c r="G890">
        <f>'2020_5-2-2_Download'!AJ14</f>
        <v>32.551594746716702</v>
      </c>
    </row>
    <row r="891" spans="1:7">
      <c r="A891">
        <f>'2020_5-2-2_Download'!B15</f>
        <v>154</v>
      </c>
      <c r="B891">
        <f>'2020_5-2-2_Download'!$AF$5</f>
        <v>2016</v>
      </c>
      <c r="C891" t="str">
        <f>VLOOKUP(A2295,[1]Tabelle1!$A$1:$B$68,2,FALSE)</f>
        <v>Niedersachsen</v>
      </c>
      <c r="D891" t="str">
        <f>'2020_5-2-2_Download'!$AJ$7</f>
        <v>mittel</v>
      </c>
      <c r="E891" t="s">
        <v>362</v>
      </c>
      <c r="F891" t="str">
        <f>VLOOKUP(A2295,[2]Kreise!$A$2:$C$53,3,FALSE)</f>
        <v>K030</v>
      </c>
      <c r="G891">
        <f>'2020_5-2-2_Download'!AJ15</f>
        <v>35.150812064965194</v>
      </c>
    </row>
    <row r="892" spans="1:7">
      <c r="A892">
        <f>'2020_5-2-2_Download'!B16</f>
        <v>155</v>
      </c>
      <c r="B892">
        <f>'2020_5-2-2_Download'!$AF$5</f>
        <v>2016</v>
      </c>
      <c r="C892" t="str">
        <f>VLOOKUP(A2296,[1]Tabelle1!$A$1:$B$68,2,FALSE)</f>
        <v>Niedersachsen</v>
      </c>
      <c r="D892" t="str">
        <f>'2020_5-2-2_Download'!$AJ$7</f>
        <v>mittel</v>
      </c>
      <c r="E892" t="s">
        <v>362</v>
      </c>
      <c r="F892" t="str">
        <f>VLOOKUP(A2296,[2]Kreise!$A$2:$C$53,3,FALSE)</f>
        <v>K030</v>
      </c>
      <c r="G892">
        <f>'2020_5-2-2_Download'!AJ16</f>
        <v>49.088649544324767</v>
      </c>
    </row>
    <row r="893" spans="1:7">
      <c r="A893">
        <f>'2020_5-2-2_Download'!B17</f>
        <v>157</v>
      </c>
      <c r="B893">
        <f>'2020_5-2-2_Download'!$AF$5</f>
        <v>2016</v>
      </c>
      <c r="C893" t="str">
        <f>VLOOKUP(A2297,[1]Tabelle1!$A$1:$B$68,2,FALSE)</f>
        <v>Niedersachsen</v>
      </c>
      <c r="D893" t="str">
        <f>'2020_5-2-2_Download'!$AJ$7</f>
        <v>mittel</v>
      </c>
      <c r="E893" t="s">
        <v>362</v>
      </c>
      <c r="F893" t="str">
        <f>VLOOKUP(A2297,[2]Kreise!$A$2:$C$53,3,FALSE)</f>
        <v>K030</v>
      </c>
      <c r="G893">
        <f>'2020_5-2-2_Download'!AJ17</f>
        <v>36.387572406529749</v>
      </c>
    </row>
    <row r="894" spans="1:7">
      <c r="A894">
        <f>'2020_5-2-2_Download'!B18</f>
        <v>158</v>
      </c>
      <c r="B894">
        <f>'2020_5-2-2_Download'!$AF$5</f>
        <v>2016</v>
      </c>
      <c r="C894" t="str">
        <f>VLOOKUP(A2298,[1]Tabelle1!$A$1:$B$68,2,FALSE)</f>
        <v>Niedersachsen</v>
      </c>
      <c r="D894" t="str">
        <f>'2020_5-2-2_Download'!$AJ$7</f>
        <v>mittel</v>
      </c>
      <c r="E894" t="s">
        <v>362</v>
      </c>
      <c r="F894" t="str">
        <f>VLOOKUP(A2298,[2]Kreise!$A$2:$C$53,3,FALSE)</f>
        <v>K030</v>
      </c>
      <c r="G894">
        <f>'2020_5-2-2_Download'!AJ18</f>
        <v>42.459173871277613</v>
      </c>
    </row>
    <row r="895" spans="1:7">
      <c r="A895">
        <f>'2020_5-2-2_Download'!B19</f>
        <v>159</v>
      </c>
      <c r="B895">
        <f>'2020_5-2-2_Download'!$AF$5</f>
        <v>2016</v>
      </c>
      <c r="C895" t="str">
        <f>VLOOKUP(A2299,[1]Tabelle1!$A$1:$B$68,2,FALSE)</f>
        <v>Niedersachsen</v>
      </c>
      <c r="D895" t="str">
        <f>'2020_5-2-2_Download'!$AJ$7</f>
        <v>mittel</v>
      </c>
      <c r="E895" t="s">
        <v>362</v>
      </c>
      <c r="F895" t="str">
        <f>VLOOKUP(A2299,[2]Kreise!$A$2:$C$53,3,FALSE)</f>
        <v>K030</v>
      </c>
      <c r="G895">
        <f>'2020_5-2-2_Download'!AJ19</f>
        <v>29.964961457603362</v>
      </c>
    </row>
    <row r="896" spans="1:7">
      <c r="A896">
        <f>'2020_5-2-2_Download'!B20</f>
        <v>1</v>
      </c>
      <c r="B896">
        <f>'2020_5-2-2_Download'!$AF$5</f>
        <v>2016</v>
      </c>
      <c r="C896" t="str">
        <f>VLOOKUP(A2300,[1]Tabelle1!$A$1:$B$68,2,FALSE)</f>
        <v>Niedersachsen</v>
      </c>
      <c r="D896" t="str">
        <f>'2020_5-2-2_Download'!$AJ$7</f>
        <v>mittel</v>
      </c>
      <c r="E896" t="s">
        <v>362</v>
      </c>
      <c r="F896" t="str">
        <f>VLOOKUP(A2300,[2]Kreise!$A$2:$C$53,3,FALSE)</f>
        <v>K030</v>
      </c>
      <c r="G896">
        <f>'2020_5-2-2_Download'!AJ20</f>
        <v>34.415140029479893</v>
      </c>
    </row>
    <row r="897" spans="1:7">
      <c r="A897">
        <f>'2020_5-2-2_Download'!B21</f>
        <v>241</v>
      </c>
      <c r="B897">
        <f>'2020_5-2-2_Download'!$AF$5</f>
        <v>2016</v>
      </c>
      <c r="C897" t="str">
        <f>VLOOKUP(A2301,[1]Tabelle1!$A$1:$B$68,2,FALSE)</f>
        <v>Niedersachsen</v>
      </c>
      <c r="D897" t="str">
        <f>'2020_5-2-2_Download'!$AJ$7</f>
        <v>mittel</v>
      </c>
      <c r="E897" t="s">
        <v>362</v>
      </c>
      <c r="F897" t="str">
        <f>VLOOKUP(A2301,[2]Kreise!$A$2:$C$53,3,FALSE)</f>
        <v>K030</v>
      </c>
      <c r="G897">
        <f>'2020_5-2-2_Download'!AJ21</f>
        <v>33.274629209191794</v>
      </c>
    </row>
    <row r="898" spans="1:7">
      <c r="A898">
        <f>'2020_5-2-2_Download'!B22</f>
        <v>241001</v>
      </c>
      <c r="B898">
        <f>'2020_5-2-2_Download'!$AF$5</f>
        <v>2016</v>
      </c>
      <c r="C898" t="str">
        <f>VLOOKUP(A2302,[1]Tabelle1!$A$1:$B$68,2,FALSE)</f>
        <v>Niedersachsen</v>
      </c>
      <c r="D898" t="str">
        <f>'2020_5-2-2_Download'!$AJ$7</f>
        <v>mittel</v>
      </c>
      <c r="E898" t="s">
        <v>362</v>
      </c>
      <c r="F898" t="str">
        <f>VLOOKUP(A2302,[2]Kreise!$A$2:$C$53,3,FALSE)</f>
        <v>K030</v>
      </c>
      <c r="G898">
        <f>'2020_5-2-2_Download'!AJ22</f>
        <v>32.336209651645895</v>
      </c>
    </row>
    <row r="899" spans="1:7">
      <c r="A899">
        <f>'2020_5-2-2_Download'!B23</f>
        <v>241999</v>
      </c>
      <c r="B899">
        <f>'2020_5-2-2_Download'!$AF$5</f>
        <v>2016</v>
      </c>
      <c r="C899" t="str">
        <f>VLOOKUP(A2303,[1]Tabelle1!$A$1:$B$68,2,FALSE)</f>
        <v>Niedersachsen</v>
      </c>
      <c r="D899" t="str">
        <f>'2020_5-2-2_Download'!$AJ$7</f>
        <v>mittel</v>
      </c>
      <c r="E899" t="s">
        <v>362</v>
      </c>
      <c r="F899" t="str">
        <f>VLOOKUP(A2303,[2]Kreise!$A$2:$C$53,3,FALSE)</f>
        <v>K030</v>
      </c>
      <c r="G899">
        <f>'2020_5-2-2_Download'!AJ23</f>
        <v>35.128480333354375</v>
      </c>
    </row>
    <row r="900" spans="1:7">
      <c r="A900">
        <f>'2020_5-2-2_Download'!B24</f>
        <v>251</v>
      </c>
      <c r="B900">
        <f>'2020_5-2-2_Download'!$AF$5</f>
        <v>2016</v>
      </c>
      <c r="C900" t="str">
        <f>VLOOKUP(A2304,[1]Tabelle1!$A$1:$B$68,2,FALSE)</f>
        <v>Niedersachsen</v>
      </c>
      <c r="D900" t="str">
        <f>'2020_5-2-2_Download'!$AJ$7</f>
        <v>mittel</v>
      </c>
      <c r="E900" t="s">
        <v>362</v>
      </c>
      <c r="F900" t="str">
        <f>VLOOKUP(A2304,[2]Kreise!$A$2:$C$53,3,FALSE)</f>
        <v>K030</v>
      </c>
      <c r="G900">
        <f>'2020_5-2-2_Download'!AJ24</f>
        <v>32.579296778952546</v>
      </c>
    </row>
    <row r="901" spans="1:7">
      <c r="A901">
        <f>'2020_5-2-2_Download'!B25</f>
        <v>252</v>
      </c>
      <c r="B901">
        <f>'2020_5-2-2_Download'!$AF$5</f>
        <v>2016</v>
      </c>
      <c r="C901" t="str">
        <f>VLOOKUP(A2305,[1]Tabelle1!$A$1:$B$68,2,FALSE)</f>
        <v>Niedersachsen</v>
      </c>
      <c r="D901" t="str">
        <f>'2020_5-2-2_Download'!$AJ$7</f>
        <v>mittel</v>
      </c>
      <c r="E901" t="s">
        <v>362</v>
      </c>
      <c r="F901" t="str">
        <f>VLOOKUP(A2305,[2]Kreise!$A$2:$C$53,3,FALSE)</f>
        <v>K030</v>
      </c>
      <c r="G901">
        <f>'2020_5-2-2_Download'!AJ25</f>
        <v>39.034072113794245</v>
      </c>
    </row>
    <row r="902" spans="1:7">
      <c r="A902">
        <f>'2020_5-2-2_Download'!B26</f>
        <v>254</v>
      </c>
      <c r="B902">
        <f>'2020_5-2-2_Download'!$AF$5</f>
        <v>2016</v>
      </c>
      <c r="C902" t="str">
        <f>VLOOKUP(A2306,[1]Tabelle1!$A$1:$B$68,2,FALSE)</f>
        <v>Niedersachsen</v>
      </c>
      <c r="D902" t="str">
        <f>'2020_5-2-2_Download'!$AJ$7</f>
        <v>mittel</v>
      </c>
      <c r="E902" t="s">
        <v>362</v>
      </c>
      <c r="F902" t="str">
        <f>VLOOKUP(A2306,[2]Kreise!$A$2:$C$53,3,FALSE)</f>
        <v>K030</v>
      </c>
      <c r="G902">
        <f>'2020_5-2-2_Download'!AJ26</f>
        <v>38.232642019837691</v>
      </c>
    </row>
    <row r="903" spans="1:7">
      <c r="A903">
        <f>'2020_5-2-2_Download'!B27</f>
        <v>255</v>
      </c>
      <c r="B903">
        <f>'2020_5-2-2_Download'!$AF$5</f>
        <v>2016</v>
      </c>
      <c r="C903" t="str">
        <f>VLOOKUP(A2307,[1]Tabelle1!$A$1:$B$68,2,FALSE)</f>
        <v>Niedersachsen</v>
      </c>
      <c r="D903" t="str">
        <f>'2020_5-2-2_Download'!$AJ$7</f>
        <v>mittel</v>
      </c>
      <c r="E903" t="s">
        <v>362</v>
      </c>
      <c r="F903" t="str">
        <f>VLOOKUP(A2307,[2]Kreise!$A$2:$C$53,3,FALSE)</f>
        <v>K030</v>
      </c>
      <c r="G903">
        <f>'2020_5-2-2_Download'!AJ27</f>
        <v>35.816326530612244</v>
      </c>
    </row>
    <row r="904" spans="1:7">
      <c r="A904">
        <f>'2020_5-2-2_Download'!B28</f>
        <v>256</v>
      </c>
      <c r="B904">
        <f>'2020_5-2-2_Download'!$AF$5</f>
        <v>2016</v>
      </c>
      <c r="C904" t="str">
        <f>VLOOKUP(A2308,[1]Tabelle1!$A$1:$B$68,2,FALSE)</f>
        <v>Niedersachsen</v>
      </c>
      <c r="D904" t="str">
        <f>'2020_5-2-2_Download'!$AJ$7</f>
        <v>mittel</v>
      </c>
      <c r="E904" t="s">
        <v>362</v>
      </c>
      <c r="F904" t="str">
        <f>VLOOKUP(A2308,[2]Kreise!$A$2:$C$53,3,FALSE)</f>
        <v>K030</v>
      </c>
      <c r="G904">
        <f>'2020_5-2-2_Download'!AJ28</f>
        <v>27.603513174404014</v>
      </c>
    </row>
    <row r="905" spans="1:7">
      <c r="A905">
        <f>'2020_5-2-2_Download'!B29</f>
        <v>257</v>
      </c>
      <c r="B905">
        <f>'2020_5-2-2_Download'!$AF$5</f>
        <v>2016</v>
      </c>
      <c r="C905" t="str">
        <f>VLOOKUP(A2309,[1]Tabelle1!$A$1:$B$68,2,FALSE)</f>
        <v>Niedersachsen</v>
      </c>
      <c r="D905" t="str">
        <f>'2020_5-2-2_Download'!$AJ$7</f>
        <v>mittel</v>
      </c>
      <c r="E905" t="s">
        <v>362</v>
      </c>
      <c r="F905" t="str">
        <f>VLOOKUP(A2309,[2]Kreise!$A$2:$C$53,3,FALSE)</f>
        <v>K030</v>
      </c>
      <c r="G905">
        <f>'2020_5-2-2_Download'!AJ29</f>
        <v>42.922028766086299</v>
      </c>
    </row>
    <row r="906" spans="1:7">
      <c r="A906">
        <f>'2020_5-2-2_Download'!B30</f>
        <v>2</v>
      </c>
      <c r="B906">
        <f>'2020_5-2-2_Download'!$AF$5</f>
        <v>2016</v>
      </c>
      <c r="C906" t="str">
        <f>VLOOKUP(A2310,[1]Tabelle1!$A$1:$B$68,2,FALSE)</f>
        <v>Niedersachsen</v>
      </c>
      <c r="D906" t="str">
        <f>'2020_5-2-2_Download'!$AJ$7</f>
        <v>mittel</v>
      </c>
      <c r="E906" t="s">
        <v>362</v>
      </c>
      <c r="F906" t="str">
        <f>VLOOKUP(A2310,[2]Kreise!$A$2:$C$53,3,FALSE)</f>
        <v>K030</v>
      </c>
      <c r="G906">
        <f>'2020_5-2-2_Download'!AJ30</f>
        <v>34.063215191439348</v>
      </c>
    </row>
    <row r="907" spans="1:7">
      <c r="A907">
        <f>'2020_5-2-2_Download'!B31</f>
        <v>351</v>
      </c>
      <c r="B907">
        <f>'2020_5-2-2_Download'!$AF$5</f>
        <v>2016</v>
      </c>
      <c r="C907" t="str">
        <f>VLOOKUP(A2311,[1]Tabelle1!$A$1:$B$68,2,FALSE)</f>
        <v>Niedersachsen</v>
      </c>
      <c r="D907" t="str">
        <f>'2020_5-2-2_Download'!$AJ$7</f>
        <v>mittel</v>
      </c>
      <c r="E907" t="s">
        <v>362</v>
      </c>
      <c r="F907" t="str">
        <f>VLOOKUP(A2311,[2]Kreise!$A$2:$C$53,3,FALSE)</f>
        <v>K030</v>
      </c>
      <c r="G907">
        <f>'2020_5-2-2_Download'!AJ31</f>
        <v>34.705025491624184</v>
      </c>
    </row>
    <row r="908" spans="1:7">
      <c r="A908">
        <f>'2020_5-2-2_Download'!B32</f>
        <v>352</v>
      </c>
      <c r="B908">
        <f>'2020_5-2-2_Download'!$AF$5</f>
        <v>2016</v>
      </c>
      <c r="C908" t="str">
        <f>VLOOKUP(A2312,[1]Tabelle1!$A$1:$B$68,2,FALSE)</f>
        <v>Niedersachsen</v>
      </c>
      <c r="D908" t="str">
        <f>'2020_5-2-2_Download'!$AJ$7</f>
        <v>mittel</v>
      </c>
      <c r="E908" t="s">
        <v>362</v>
      </c>
      <c r="F908" t="str">
        <f>VLOOKUP(A2312,[2]Kreise!$A$2:$C$53,3,FALSE)</f>
        <v>K030</v>
      </c>
      <c r="G908">
        <f>'2020_5-2-2_Download'!AJ32</f>
        <v>29.106458271896194</v>
      </c>
    </row>
    <row r="909" spans="1:7">
      <c r="A909">
        <f>'2020_5-2-2_Download'!B33</f>
        <v>353</v>
      </c>
      <c r="B909">
        <f>'2020_5-2-2_Download'!$AF$5</f>
        <v>2016</v>
      </c>
      <c r="C909" t="str">
        <f>VLOOKUP(A2313,[1]Tabelle1!$A$1:$B$68,2,FALSE)</f>
        <v>Niedersachsen</v>
      </c>
      <c r="D909" t="str">
        <f>'2020_5-2-2_Download'!$AJ$7</f>
        <v>mittel</v>
      </c>
      <c r="E909" t="s">
        <v>362</v>
      </c>
      <c r="F909" t="str">
        <f>VLOOKUP(A2313,[2]Kreise!$A$2:$C$53,3,FALSE)</f>
        <v>K030</v>
      </c>
      <c r="G909">
        <f>'2020_5-2-2_Download'!AJ33</f>
        <v>28.592842420835673</v>
      </c>
    </row>
    <row r="910" spans="1:7">
      <c r="A910">
        <f>'2020_5-2-2_Download'!B34</f>
        <v>354</v>
      </c>
      <c r="B910">
        <f>'2020_5-2-2_Download'!$AF$5</f>
        <v>2016</v>
      </c>
      <c r="C910" t="str">
        <f>VLOOKUP(A2314,[1]Tabelle1!$A$1:$B$68,2,FALSE)</f>
        <v>Niedersachsen</v>
      </c>
      <c r="D910" t="str">
        <f>'2020_5-2-2_Download'!$AJ$7</f>
        <v>mittel</v>
      </c>
      <c r="E910" t="s">
        <v>362</v>
      </c>
      <c r="F910" t="str">
        <f>VLOOKUP(A2314,[2]Kreise!$A$2:$C$53,3,FALSE)</f>
        <v>K030</v>
      </c>
      <c r="G910">
        <f>'2020_5-2-2_Download'!AJ34</f>
        <v>28.406909788867562</v>
      </c>
    </row>
    <row r="911" spans="1:7">
      <c r="A911">
        <f>'2020_5-2-2_Download'!B35</f>
        <v>355</v>
      </c>
      <c r="B911">
        <f>'2020_5-2-2_Download'!$AF$5</f>
        <v>2016</v>
      </c>
      <c r="C911" t="str">
        <f>VLOOKUP(A2315,[1]Tabelle1!$A$1:$B$68,2,FALSE)</f>
        <v>Niedersachsen</v>
      </c>
      <c r="D911" t="str">
        <f>'2020_5-2-2_Download'!$AJ$7</f>
        <v>mittel</v>
      </c>
      <c r="E911" t="s">
        <v>362</v>
      </c>
      <c r="F911" t="str">
        <f>VLOOKUP(A2315,[2]Kreise!$A$2:$C$53,3,FALSE)</f>
        <v>K030</v>
      </c>
      <c r="G911">
        <f>'2020_5-2-2_Download'!AJ35</f>
        <v>34.244080145719494</v>
      </c>
    </row>
    <row r="912" spans="1:7">
      <c r="A912">
        <f>'2020_5-2-2_Download'!B36</f>
        <v>356</v>
      </c>
      <c r="B912">
        <f>'2020_5-2-2_Download'!$AF$5</f>
        <v>2016</v>
      </c>
      <c r="C912" t="str">
        <f>VLOOKUP(A2316,[1]Tabelle1!$A$1:$B$68,2,FALSE)</f>
        <v>Niedersachsen</v>
      </c>
      <c r="D912" t="str">
        <f>'2020_5-2-2_Download'!$AJ$7</f>
        <v>mittel</v>
      </c>
      <c r="E912" t="s">
        <v>362</v>
      </c>
      <c r="F912" t="str">
        <f>VLOOKUP(A2316,[2]Kreise!$A$2:$C$53,3,FALSE)</f>
        <v>K030</v>
      </c>
      <c r="G912">
        <f>'2020_5-2-2_Download'!AJ36</f>
        <v>33.232399697199092</v>
      </c>
    </row>
    <row r="913" spans="1:7">
      <c r="A913">
        <f>'2020_5-2-2_Download'!B37</f>
        <v>357</v>
      </c>
      <c r="B913">
        <f>'2020_5-2-2_Download'!$AF$5</f>
        <v>2016</v>
      </c>
      <c r="C913" t="str">
        <f>VLOOKUP(A2317,[1]Tabelle1!$A$1:$B$68,2,FALSE)</f>
        <v>Niedersachsen</v>
      </c>
      <c r="D913" t="str">
        <f>'2020_5-2-2_Download'!$AJ$7</f>
        <v>mittel</v>
      </c>
      <c r="E913" t="s">
        <v>362</v>
      </c>
      <c r="F913" t="str">
        <f>VLOOKUP(A2317,[2]Kreise!$A$2:$C$53,3,FALSE)</f>
        <v>K030</v>
      </c>
      <c r="G913">
        <f>'2020_5-2-2_Download'!AJ37</f>
        <v>40.214477211796243</v>
      </c>
    </row>
    <row r="914" spans="1:7">
      <c r="A914">
        <f>'2020_5-2-2_Download'!B38</f>
        <v>358</v>
      </c>
      <c r="B914">
        <f>'2020_5-2-2_Download'!$AF$5</f>
        <v>2016</v>
      </c>
      <c r="C914" t="str">
        <f>VLOOKUP(A2318,[1]Tabelle1!$A$1:$B$68,2,FALSE)</f>
        <v>Niedersachsen</v>
      </c>
      <c r="D914" t="str">
        <f>'2020_5-2-2_Download'!$AJ$7</f>
        <v>mittel</v>
      </c>
      <c r="E914" t="s">
        <v>362</v>
      </c>
      <c r="F914" t="str">
        <f>VLOOKUP(A2318,[2]Kreise!$A$2:$C$53,3,FALSE)</f>
        <v>K030</v>
      </c>
      <c r="G914">
        <f>'2020_5-2-2_Download'!AJ38</f>
        <v>36.812609457092819</v>
      </c>
    </row>
    <row r="915" spans="1:7">
      <c r="A915">
        <f>'2020_5-2-2_Download'!B39</f>
        <v>359</v>
      </c>
      <c r="B915">
        <f>'2020_5-2-2_Download'!$AF$5</f>
        <v>2016</v>
      </c>
      <c r="C915" t="str">
        <f>VLOOKUP(A2319,[1]Tabelle1!$A$1:$B$68,2,FALSE)</f>
        <v>Niedersachsen</v>
      </c>
      <c r="D915" t="str">
        <f>'2020_5-2-2_Download'!$AJ$7</f>
        <v>mittel</v>
      </c>
      <c r="E915" t="s">
        <v>362</v>
      </c>
      <c r="F915" t="str">
        <f>VLOOKUP(A2319,[2]Kreise!$A$2:$C$53,3,FALSE)</f>
        <v>K030</v>
      </c>
      <c r="G915">
        <f>'2020_5-2-2_Download'!AJ39</f>
        <v>24.369358944688731</v>
      </c>
    </row>
    <row r="916" spans="1:7">
      <c r="A916">
        <f>'2020_5-2-2_Download'!B40</f>
        <v>360</v>
      </c>
      <c r="B916">
        <f>'2020_5-2-2_Download'!$AF$5</f>
        <v>2016</v>
      </c>
      <c r="C916" t="str">
        <f>VLOOKUP(A2320,[1]Tabelle1!$A$1:$B$68,2,FALSE)</f>
        <v>Niedersachsen</v>
      </c>
      <c r="D916" t="str">
        <f>'2020_5-2-2_Download'!$AJ$7</f>
        <v>mittel</v>
      </c>
      <c r="E916" t="s">
        <v>362</v>
      </c>
      <c r="F916" t="str">
        <f>VLOOKUP(A2320,[2]Kreise!$A$2:$C$53,3,FALSE)</f>
        <v>K030</v>
      </c>
      <c r="G916">
        <f>'2020_5-2-2_Download'!AJ40</f>
        <v>35.018726591760299</v>
      </c>
    </row>
    <row r="917" spans="1:7">
      <c r="A917">
        <f>'2020_5-2-2_Download'!B41</f>
        <v>361</v>
      </c>
      <c r="B917">
        <f>'2020_5-2-2_Download'!$AF$5</f>
        <v>2016</v>
      </c>
      <c r="C917" t="str">
        <f>VLOOKUP(A2321,[1]Tabelle1!$A$1:$B$68,2,FALSE)</f>
        <v>Niedersachsen</v>
      </c>
      <c r="D917" t="str">
        <f>'2020_5-2-2_Download'!$AJ$7</f>
        <v>mittel</v>
      </c>
      <c r="E917" t="s">
        <v>362</v>
      </c>
      <c r="F917" t="str">
        <f>VLOOKUP(A2321,[2]Kreise!$A$2:$C$53,3,FALSE)</f>
        <v>K030</v>
      </c>
      <c r="G917">
        <f>'2020_5-2-2_Download'!AJ41</f>
        <v>29.327654396105874</v>
      </c>
    </row>
    <row r="918" spans="1:7">
      <c r="A918">
        <f>'2020_5-2-2_Download'!B42</f>
        <v>3</v>
      </c>
      <c r="B918">
        <f>'2020_5-2-2_Download'!$AF$5</f>
        <v>2016</v>
      </c>
      <c r="C918" t="str">
        <f>VLOOKUP(A2322,[1]Tabelle1!$A$1:$B$68,2,FALSE)</f>
        <v>Niedersachsen</v>
      </c>
      <c r="D918" t="str">
        <f>'2020_5-2-2_Download'!$AJ$7</f>
        <v>mittel</v>
      </c>
      <c r="E918" t="s">
        <v>362</v>
      </c>
      <c r="F918" t="str">
        <f>VLOOKUP(A2322,[2]Kreise!$A$2:$C$53,3,FALSE)</f>
        <v>K030</v>
      </c>
      <c r="G918">
        <f>'2020_5-2-2_Download'!AJ42</f>
        <v>31.511643118785976</v>
      </c>
    </row>
    <row r="919" spans="1:7">
      <c r="A919">
        <f>'2020_5-2-2_Download'!B43</f>
        <v>401</v>
      </c>
      <c r="B919">
        <f>'2020_5-2-2_Download'!$AF$5</f>
        <v>2016</v>
      </c>
      <c r="C919" t="str">
        <f>VLOOKUP(A2323,[1]Tabelle1!$A$1:$B$68,2,FALSE)</f>
        <v>Niedersachsen</v>
      </c>
      <c r="D919" t="str">
        <f>'2020_5-2-2_Download'!$AJ$7</f>
        <v>mittel</v>
      </c>
      <c r="E919" t="s">
        <v>362</v>
      </c>
      <c r="F919" t="str">
        <f>VLOOKUP(A2323,[2]Kreise!$A$2:$C$53,3,FALSE)</f>
        <v>K030</v>
      </c>
      <c r="G919">
        <f>'2020_5-2-2_Download'!AJ43</f>
        <v>29.407407407407408</v>
      </c>
    </row>
    <row r="920" spans="1:7">
      <c r="A920">
        <f>'2020_5-2-2_Download'!B44</f>
        <v>402</v>
      </c>
      <c r="B920">
        <f>'2020_5-2-2_Download'!$AF$5</f>
        <v>2016</v>
      </c>
      <c r="C920" t="str">
        <f>VLOOKUP(A2324,[1]Tabelle1!$A$1:$B$68,2,FALSE)</f>
        <v>Niedersachsen</v>
      </c>
      <c r="D920" t="str">
        <f>'2020_5-2-2_Download'!$AJ$7</f>
        <v>mittel</v>
      </c>
      <c r="E920" t="s">
        <v>362</v>
      </c>
      <c r="F920" t="str">
        <f>VLOOKUP(A2324,[2]Kreise!$A$2:$C$53,3,FALSE)</f>
        <v>K030</v>
      </c>
      <c r="G920">
        <f>'2020_5-2-2_Download'!AJ44</f>
        <v>40.318302387267906</v>
      </c>
    </row>
    <row r="921" spans="1:7">
      <c r="A921">
        <f>'2020_5-2-2_Download'!B45</f>
        <v>403</v>
      </c>
      <c r="B921">
        <f>'2020_5-2-2_Download'!$AF$5</f>
        <v>2016</v>
      </c>
      <c r="C921" t="str">
        <f>VLOOKUP(A2325,[1]Tabelle1!$A$1:$B$68,2,FALSE)</f>
        <v>Niedersachsen</v>
      </c>
      <c r="D921" t="str">
        <f>'2020_5-2-2_Download'!$AJ$7</f>
        <v>mittel</v>
      </c>
      <c r="E921" t="s">
        <v>362</v>
      </c>
      <c r="F921" t="str">
        <f>VLOOKUP(A2325,[2]Kreise!$A$2:$C$53,3,FALSE)</f>
        <v>K030</v>
      </c>
      <c r="G921">
        <f>'2020_5-2-2_Download'!AJ45</f>
        <v>28.485007890583901</v>
      </c>
    </row>
    <row r="922" spans="1:7">
      <c r="A922">
        <f>'2020_5-2-2_Download'!B46</f>
        <v>404</v>
      </c>
      <c r="B922">
        <f>'2020_5-2-2_Download'!$AF$5</f>
        <v>2016</v>
      </c>
      <c r="C922" t="str">
        <f>VLOOKUP(A2326,[1]Tabelle1!$A$1:$B$68,2,FALSE)</f>
        <v>Niedersachsen</v>
      </c>
      <c r="D922" t="str">
        <f>'2020_5-2-2_Download'!$AJ$7</f>
        <v>mittel</v>
      </c>
      <c r="E922" t="s">
        <v>362</v>
      </c>
      <c r="F922" t="str">
        <f>VLOOKUP(A2326,[2]Kreise!$A$2:$C$53,3,FALSE)</f>
        <v>K030</v>
      </c>
      <c r="G922">
        <f>'2020_5-2-2_Download'!AJ46</f>
        <v>32.76721720162044</v>
      </c>
    </row>
    <row r="923" spans="1:7">
      <c r="A923">
        <f>'2020_5-2-2_Download'!B47</f>
        <v>405</v>
      </c>
      <c r="B923">
        <f>'2020_5-2-2_Download'!$AF$5</f>
        <v>2016</v>
      </c>
      <c r="C923" t="str">
        <f>VLOOKUP(A2327,[1]Tabelle1!$A$1:$B$68,2,FALSE)</f>
        <v>Niedersachsen</v>
      </c>
      <c r="D923" t="str">
        <f>'2020_5-2-2_Download'!$AJ$7</f>
        <v>mittel</v>
      </c>
      <c r="E923" t="s">
        <v>362</v>
      </c>
      <c r="F923" t="str">
        <f>VLOOKUP(A2327,[2]Kreise!$A$2:$C$53,3,FALSE)</f>
        <v>K030</v>
      </c>
      <c r="G923">
        <f>'2020_5-2-2_Download'!AJ47</f>
        <v>34.256055363321799</v>
      </c>
    </row>
    <row r="924" spans="1:7">
      <c r="A924">
        <f>'2020_5-2-2_Download'!B48</f>
        <v>451</v>
      </c>
      <c r="B924">
        <f>'2020_5-2-2_Download'!$AF$5</f>
        <v>2016</v>
      </c>
      <c r="C924" t="str">
        <f>VLOOKUP(A2328,[1]Tabelle1!$A$1:$B$68,2,FALSE)</f>
        <v>Niedersachsen</v>
      </c>
      <c r="D924" t="str">
        <f>'2020_5-2-2_Download'!$AJ$7</f>
        <v>mittel</v>
      </c>
      <c r="E924" t="s">
        <v>362</v>
      </c>
      <c r="F924" t="str">
        <f>VLOOKUP(A2328,[2]Kreise!$A$2:$C$53,3,FALSE)</f>
        <v>K030</v>
      </c>
      <c r="G924">
        <f>'2020_5-2-2_Download'!AJ48</f>
        <v>25.315998555435176</v>
      </c>
    </row>
    <row r="925" spans="1:7">
      <c r="A925">
        <f>'2020_5-2-2_Download'!B49</f>
        <v>452</v>
      </c>
      <c r="B925">
        <f>'2020_5-2-2_Download'!$AF$5</f>
        <v>2016</v>
      </c>
      <c r="C925" t="str">
        <f>VLOOKUP(A2329,[1]Tabelle1!$A$1:$B$68,2,FALSE)</f>
        <v>Niedersachsen</v>
      </c>
      <c r="D925" t="str">
        <f>'2020_5-2-2_Download'!$AJ$7</f>
        <v>mittel</v>
      </c>
      <c r="E925" t="s">
        <v>362</v>
      </c>
      <c r="F925" t="str">
        <f>VLOOKUP(A2329,[2]Kreise!$A$2:$C$53,3,FALSE)</f>
        <v>K030</v>
      </c>
      <c r="G925">
        <f>'2020_5-2-2_Download'!AJ49</f>
        <v>30.044182621502209</v>
      </c>
    </row>
    <row r="926" spans="1:7">
      <c r="A926">
        <f>'2020_5-2-2_Download'!B50</f>
        <v>453</v>
      </c>
      <c r="B926">
        <f>'2020_5-2-2_Download'!$AF$5</f>
        <v>2016</v>
      </c>
      <c r="C926" t="str">
        <f>VLOOKUP(A2330,[1]Tabelle1!$A$1:$B$68,2,FALSE)</f>
        <v>Niedersachsen</v>
      </c>
      <c r="D926" t="str">
        <f>'2020_5-2-2_Download'!$AJ$7</f>
        <v>mittel</v>
      </c>
      <c r="E926" t="s">
        <v>362</v>
      </c>
      <c r="F926" t="str">
        <f>VLOOKUP(A2330,[2]Kreise!$A$2:$C$53,3,FALSE)</f>
        <v>K030</v>
      </c>
      <c r="G926">
        <f>'2020_5-2-2_Download'!AJ50</f>
        <v>20.603096984515076</v>
      </c>
    </row>
    <row r="927" spans="1:7">
      <c r="A927">
        <f>'2020_5-2-2_Download'!B51</f>
        <v>454</v>
      </c>
      <c r="B927">
        <f>'2020_5-2-2_Download'!$AF$5</f>
        <v>2016</v>
      </c>
      <c r="C927" t="str">
        <f>VLOOKUP(A2331,[1]Tabelle1!$A$1:$B$68,2,FALSE)</f>
        <v>Niedersachsen</v>
      </c>
      <c r="D927" t="str">
        <f>'2020_5-2-2_Download'!$AJ$7</f>
        <v>mittel</v>
      </c>
      <c r="E927" t="s">
        <v>362</v>
      </c>
      <c r="F927" t="str">
        <f>VLOOKUP(A2331,[2]Kreise!$A$2:$C$53,3,FALSE)</f>
        <v>K030</v>
      </c>
      <c r="G927">
        <f>'2020_5-2-2_Download'!AJ51</f>
        <v>29.861554845580407</v>
      </c>
    </row>
    <row r="928" spans="1:7">
      <c r="A928">
        <f>'2020_5-2-2_Download'!B52</f>
        <v>455</v>
      </c>
      <c r="B928">
        <f>'2020_5-2-2_Download'!$AF$5</f>
        <v>2016</v>
      </c>
      <c r="C928" t="str">
        <f>VLOOKUP(A2332,[1]Tabelle1!$A$1:$B$68,2,FALSE)</f>
        <v>Niedersachsen</v>
      </c>
      <c r="D928" t="str">
        <f>'2020_5-2-2_Download'!$AJ$7</f>
        <v>mittel</v>
      </c>
      <c r="E928" t="s">
        <v>362</v>
      </c>
      <c r="F928" t="str">
        <f>VLOOKUP(A2332,[2]Kreise!$A$2:$C$53,3,FALSE)</f>
        <v>K030</v>
      </c>
      <c r="G928">
        <f>'2020_5-2-2_Download'!AJ52</f>
        <v>30.040322580645164</v>
      </c>
    </row>
    <row r="929" spans="1:7">
      <c r="A929">
        <f>'2020_5-2-2_Download'!B53</f>
        <v>456</v>
      </c>
      <c r="B929">
        <f>'2020_5-2-2_Download'!$AF$5</f>
        <v>2016</v>
      </c>
      <c r="C929" t="str">
        <f>VLOOKUP(A2333,[1]Tabelle1!$A$1:$B$68,2,FALSE)</f>
        <v>Niedersachsen</v>
      </c>
      <c r="D929" t="str">
        <f>'2020_5-2-2_Download'!$AJ$7</f>
        <v>mittel</v>
      </c>
      <c r="E929" t="s">
        <v>362</v>
      </c>
      <c r="F929" t="str">
        <f>VLOOKUP(A2333,[2]Kreise!$A$2:$C$53,3,FALSE)</f>
        <v>K030</v>
      </c>
      <c r="G929">
        <f>'2020_5-2-2_Download'!AJ53</f>
        <v>39.202508960573482</v>
      </c>
    </row>
    <row r="930" spans="1:7">
      <c r="A930">
        <f>'2020_5-2-2_Download'!B54</f>
        <v>457</v>
      </c>
      <c r="B930">
        <f>'2020_5-2-2_Download'!$AF$5</f>
        <v>2016</v>
      </c>
      <c r="C930" t="str">
        <f>VLOOKUP(A2334,[1]Tabelle1!$A$1:$B$68,2,FALSE)</f>
        <v>Niedersachsen</v>
      </c>
      <c r="D930" t="str">
        <f>'2020_5-2-2_Download'!$AJ$7</f>
        <v>mittel</v>
      </c>
      <c r="E930" t="s">
        <v>362</v>
      </c>
      <c r="F930" t="str">
        <f>VLOOKUP(A2334,[2]Kreise!$A$2:$C$53,3,FALSE)</f>
        <v>K030</v>
      </c>
      <c r="G930">
        <f>'2020_5-2-2_Download'!AJ54</f>
        <v>32.87671232876712</v>
      </c>
    </row>
    <row r="931" spans="1:7">
      <c r="A931">
        <f>'2020_5-2-2_Download'!B55</f>
        <v>458</v>
      </c>
      <c r="B931">
        <f>'2020_5-2-2_Download'!$AF$5</f>
        <v>2016</v>
      </c>
      <c r="C931" t="str">
        <f>VLOOKUP(A2335,[1]Tabelle1!$A$1:$B$68,2,FALSE)</f>
        <v>Niedersachsen</v>
      </c>
      <c r="D931" t="str">
        <f>'2020_5-2-2_Download'!$AJ$7</f>
        <v>mittel</v>
      </c>
      <c r="E931" t="s">
        <v>362</v>
      </c>
      <c r="F931" t="str">
        <f>VLOOKUP(A2335,[2]Kreise!$A$2:$C$53,3,FALSE)</f>
        <v>K030</v>
      </c>
      <c r="G931">
        <f>'2020_5-2-2_Download'!AJ55</f>
        <v>25.191489361702128</v>
      </c>
    </row>
    <row r="932" spans="1:7">
      <c r="A932">
        <f>'2020_5-2-2_Download'!B56</f>
        <v>459</v>
      </c>
      <c r="B932">
        <f>'2020_5-2-2_Download'!$AF$5</f>
        <v>2016</v>
      </c>
      <c r="C932" t="str">
        <f>VLOOKUP(A2336,[1]Tabelle1!$A$1:$B$68,2,FALSE)</f>
        <v>Niedersachsen</v>
      </c>
      <c r="D932" t="str">
        <f>'2020_5-2-2_Download'!$AJ$7</f>
        <v>mittel</v>
      </c>
      <c r="E932" t="s">
        <v>362</v>
      </c>
      <c r="F932" t="str">
        <f>VLOOKUP(A2336,[2]Kreise!$A$2:$C$53,3,FALSE)</f>
        <v>K030</v>
      </c>
      <c r="G932">
        <f>'2020_5-2-2_Download'!AJ56</f>
        <v>24.009050532137767</v>
      </c>
    </row>
    <row r="933" spans="1:7">
      <c r="A933">
        <f>'2020_5-2-2_Download'!B57</f>
        <v>460</v>
      </c>
      <c r="B933">
        <f>'2020_5-2-2_Download'!$AF$5</f>
        <v>2016</v>
      </c>
      <c r="C933" t="str">
        <f>VLOOKUP(A2337,[1]Tabelle1!$A$1:$B$68,2,FALSE)</f>
        <v>Niedersachsen</v>
      </c>
      <c r="D933" t="str">
        <f>'2020_5-2-2_Download'!$AJ$7</f>
        <v>mittel</v>
      </c>
      <c r="E933" t="s">
        <v>362</v>
      </c>
      <c r="F933" t="str">
        <f>VLOOKUP(A2337,[2]Kreise!$A$2:$C$53,3,FALSE)</f>
        <v>K030</v>
      </c>
      <c r="G933">
        <f>'2020_5-2-2_Download'!AJ57</f>
        <v>20</v>
      </c>
    </row>
    <row r="934" spans="1:7">
      <c r="A934">
        <f>'2020_5-2-2_Download'!B58</f>
        <v>461</v>
      </c>
      <c r="B934">
        <f>'2020_5-2-2_Download'!$AF$5</f>
        <v>2016</v>
      </c>
      <c r="C934" t="str">
        <f>VLOOKUP(A2338,[1]Tabelle1!$A$1:$B$68,2,FALSE)</f>
        <v>Niedersachsen</v>
      </c>
      <c r="D934" t="str">
        <f>'2020_5-2-2_Download'!$AJ$7</f>
        <v>mittel</v>
      </c>
      <c r="E934" t="s">
        <v>362</v>
      </c>
      <c r="F934" t="str">
        <f>VLOOKUP(A2338,[2]Kreise!$A$2:$C$53,3,FALSE)</f>
        <v>K030</v>
      </c>
      <c r="G934">
        <f>'2020_5-2-2_Download'!AJ58</f>
        <v>37.567567567567565</v>
      </c>
    </row>
    <row r="935" spans="1:7">
      <c r="A935">
        <f>'2020_5-2-2_Download'!B59</f>
        <v>462</v>
      </c>
      <c r="B935">
        <f>'2020_5-2-2_Download'!$AF$5</f>
        <v>2016</v>
      </c>
      <c r="C935" t="str">
        <f>VLOOKUP(A2339,[1]Tabelle1!$A$1:$B$68,2,FALSE)</f>
        <v>Niedersachsen</v>
      </c>
      <c r="D935" t="str">
        <f>'2020_5-2-2_Download'!$AJ$7</f>
        <v>mittel</v>
      </c>
      <c r="E935" t="s">
        <v>362</v>
      </c>
      <c r="F935" t="str">
        <f>VLOOKUP(A2339,[2]Kreise!$A$2:$C$53,3,FALSE)</f>
        <v>K030</v>
      </c>
      <c r="G935">
        <f>'2020_5-2-2_Download'!AJ59</f>
        <v>21.36627906976744</v>
      </c>
    </row>
    <row r="936" spans="1:7">
      <c r="A936">
        <f>'2020_5-2-2_Download'!B60</f>
        <v>4</v>
      </c>
      <c r="B936">
        <f>'2020_5-2-2_Download'!$AF$5</f>
        <v>2016</v>
      </c>
      <c r="C936" t="str">
        <f>VLOOKUP(A2340,[1]Tabelle1!$A$1:$B$68,2,FALSE)</f>
        <v>Niedersachsen</v>
      </c>
      <c r="D936" t="str">
        <f>'2020_5-2-2_Download'!$AJ$7</f>
        <v>mittel</v>
      </c>
      <c r="E936" t="s">
        <v>362</v>
      </c>
      <c r="F936" t="str">
        <f>VLOOKUP(A2340,[2]Kreise!$A$2:$C$53,3,FALSE)</f>
        <v>K030</v>
      </c>
      <c r="G936">
        <f>'2020_5-2-2_Download'!AJ60</f>
        <v>27.826792414562419</v>
      </c>
    </row>
    <row r="937" spans="1:7">
      <c r="A937">
        <f>'2020_5-2-2_Download'!B61</f>
        <v>0</v>
      </c>
      <c r="B937">
        <f>'2020_5-2-2_Download'!$AF$5</f>
        <v>2016</v>
      </c>
      <c r="C937" t="str">
        <f>VLOOKUP(A2341,[1]Tabelle1!$A$1:$B$68,2,FALSE)</f>
        <v>Niedersachsen</v>
      </c>
      <c r="D937" t="str">
        <f>'2020_5-2-2_Download'!$AJ$7</f>
        <v>mittel</v>
      </c>
      <c r="E937" t="s">
        <v>362</v>
      </c>
      <c r="F937" t="str">
        <f>VLOOKUP(A2341,[2]Kreise!$A$2:$C$53,3,FALSE)</f>
        <v>K030</v>
      </c>
      <c r="G937">
        <f>'2020_5-2-2_Download'!AJ61</f>
        <v>31.615273183923904</v>
      </c>
    </row>
    <row r="938" spans="1:7">
      <c r="A938">
        <f>'2020_5-2-2_Download'!B10</f>
        <v>101</v>
      </c>
      <c r="B938">
        <f>'2020_5-2-2_Download'!$AF$5</f>
        <v>2016</v>
      </c>
      <c r="C938" t="str">
        <f>VLOOKUP(A2342,[1]Tabelle1!$A$1:$B$68,2,FALSE)</f>
        <v>Niedersachsen</v>
      </c>
      <c r="D938" t="str">
        <f>'2020_5-2-2_Download'!$AK$7</f>
        <v>niedrig</v>
      </c>
      <c r="E938" t="s">
        <v>362</v>
      </c>
      <c r="F938" t="str">
        <f>VLOOKUP(A2342,[2]Kreise!$A$2:$C$53,3,FALSE)</f>
        <v>K030</v>
      </c>
      <c r="G938">
        <f>'2020_5-2-2_Download'!AK10</f>
        <v>20.324487485850838</v>
      </c>
    </row>
    <row r="939" spans="1:7">
      <c r="A939">
        <f>'2020_5-2-2_Download'!B11</f>
        <v>102</v>
      </c>
      <c r="B939">
        <f>'2020_5-2-2_Download'!$AF$5</f>
        <v>2016</v>
      </c>
      <c r="C939" t="str">
        <f>VLOOKUP(A2343,[1]Tabelle1!$A$1:$B$68,2,FALSE)</f>
        <v>Niedersachsen</v>
      </c>
      <c r="D939" t="str">
        <f>'2020_5-2-2_Download'!$AK$7</f>
        <v>niedrig</v>
      </c>
      <c r="E939" t="s">
        <v>362</v>
      </c>
      <c r="F939" t="str">
        <f>VLOOKUP(A2343,[2]Kreise!$A$2:$C$53,3,FALSE)</f>
        <v>K030</v>
      </c>
      <c r="G939">
        <f>'2020_5-2-2_Download'!AK11</f>
        <v>22.668500687757909</v>
      </c>
    </row>
    <row r="940" spans="1:7">
      <c r="A940">
        <f>'2020_5-2-2_Download'!B12</f>
        <v>103</v>
      </c>
      <c r="B940">
        <f>'2020_5-2-2_Download'!$AF$5</f>
        <v>2016</v>
      </c>
      <c r="C940" t="str">
        <f>VLOOKUP(A2344,[1]Tabelle1!$A$1:$B$68,2,FALSE)</f>
        <v>Niedersachsen</v>
      </c>
      <c r="D940" t="str">
        <f>'2020_5-2-2_Download'!$AK$7</f>
        <v>niedrig</v>
      </c>
      <c r="E940" t="s">
        <v>362</v>
      </c>
      <c r="F940" t="str">
        <f>VLOOKUP(A2344,[2]Kreise!$A$2:$C$53,3,FALSE)</f>
        <v>K030</v>
      </c>
      <c r="G940">
        <f>'2020_5-2-2_Download'!AK12</f>
        <v>12.590465249856406</v>
      </c>
    </row>
    <row r="941" spans="1:7">
      <c r="A941">
        <f>'2020_5-2-2_Download'!B13</f>
        <v>151</v>
      </c>
      <c r="B941">
        <f>'2020_5-2-2_Download'!$AF$5</f>
        <v>2016</v>
      </c>
      <c r="C941" t="str">
        <f>VLOOKUP(A2345,[1]Tabelle1!$A$1:$B$68,2,FALSE)</f>
        <v>Niedersachsen</v>
      </c>
      <c r="D941" t="str">
        <f>'2020_5-2-2_Download'!$AK$7</f>
        <v>niedrig</v>
      </c>
      <c r="E941" t="s">
        <v>362</v>
      </c>
      <c r="F941" t="str">
        <f>VLOOKUP(A2345,[2]Kreise!$A$2:$C$53,3,FALSE)</f>
        <v>K030</v>
      </c>
      <c r="G941">
        <f>'2020_5-2-2_Download'!AK13</f>
        <v>25.247971145175836</v>
      </c>
    </row>
    <row r="942" spans="1:7">
      <c r="A942">
        <f>'2020_5-2-2_Download'!B14</f>
        <v>153</v>
      </c>
      <c r="B942">
        <f>'2020_5-2-2_Download'!$AF$5</f>
        <v>2016</v>
      </c>
      <c r="C942" t="str">
        <f>VLOOKUP(A2346,[1]Tabelle1!$A$1:$B$68,2,FALSE)</f>
        <v>Niedersachsen</v>
      </c>
      <c r="D942" t="str">
        <f>'2020_5-2-2_Download'!$AK$7</f>
        <v>niedrig</v>
      </c>
      <c r="E942" t="s">
        <v>362</v>
      </c>
      <c r="F942" t="str">
        <f>VLOOKUP(A2346,[2]Kreise!$A$2:$C$53,3,FALSE)</f>
        <v>K030</v>
      </c>
      <c r="G942">
        <f>'2020_5-2-2_Download'!AK14</f>
        <v>20.825515947467167</v>
      </c>
    </row>
    <row r="943" spans="1:7">
      <c r="A943">
        <f>'2020_5-2-2_Download'!B15</f>
        <v>154</v>
      </c>
      <c r="B943">
        <f>'2020_5-2-2_Download'!$AF$5</f>
        <v>2016</v>
      </c>
      <c r="C943" t="str">
        <f>VLOOKUP(A2347,[1]Tabelle1!$A$1:$B$68,2,FALSE)</f>
        <v>Niedersachsen</v>
      </c>
      <c r="D943" t="str">
        <f>'2020_5-2-2_Download'!$AK$7</f>
        <v>niedrig</v>
      </c>
      <c r="E943" t="s">
        <v>362</v>
      </c>
      <c r="F943" t="str">
        <f>VLOOKUP(A2347,[2]Kreise!$A$2:$C$53,3,FALSE)</f>
        <v>K030</v>
      </c>
      <c r="G943">
        <f>'2020_5-2-2_Download'!AK15</f>
        <v>24.709976798143853</v>
      </c>
    </row>
    <row r="944" spans="1:7">
      <c r="A944">
        <f>'2020_5-2-2_Download'!B16</f>
        <v>155</v>
      </c>
      <c r="B944">
        <f>'2020_5-2-2_Download'!$AF$5</f>
        <v>2016</v>
      </c>
      <c r="C944" t="str">
        <f>VLOOKUP(A2348,[1]Tabelle1!$A$1:$B$68,2,FALSE)</f>
        <v>Niedersachsen</v>
      </c>
      <c r="D944" t="str">
        <f>'2020_5-2-2_Download'!$AK$7</f>
        <v>niedrig</v>
      </c>
      <c r="E944" t="s">
        <v>362</v>
      </c>
      <c r="F944" t="str">
        <f>VLOOKUP(A2348,[2]Kreise!$A$2:$C$53,3,FALSE)</f>
        <v>K030</v>
      </c>
      <c r="G944">
        <f>'2020_5-2-2_Download'!AK16</f>
        <v>16.818558409279206</v>
      </c>
    </row>
    <row r="945" spans="1:7">
      <c r="A945">
        <f>'2020_5-2-2_Download'!B17</f>
        <v>157</v>
      </c>
      <c r="B945">
        <f>'2020_5-2-2_Download'!$AF$5</f>
        <v>2016</v>
      </c>
      <c r="C945" t="str">
        <f>VLOOKUP(A2349,[1]Tabelle1!$A$1:$B$68,2,FALSE)</f>
        <v>Niedersachsen</v>
      </c>
      <c r="D945" t="str">
        <f>'2020_5-2-2_Download'!$AK$7</f>
        <v>niedrig</v>
      </c>
      <c r="E945" t="s">
        <v>362</v>
      </c>
      <c r="F945" t="str">
        <f>VLOOKUP(A2349,[2]Kreise!$A$2:$C$53,3,FALSE)</f>
        <v>K030</v>
      </c>
      <c r="G945">
        <f>'2020_5-2-2_Download'!AK17</f>
        <v>28.225381779884152</v>
      </c>
    </row>
    <row r="946" spans="1:7">
      <c r="A946">
        <f>'2020_5-2-2_Download'!B18</f>
        <v>158</v>
      </c>
      <c r="B946">
        <f>'2020_5-2-2_Download'!$AF$5</f>
        <v>2016</v>
      </c>
      <c r="C946" t="str">
        <f>VLOOKUP(A2350,[1]Tabelle1!$A$1:$B$68,2,FALSE)</f>
        <v>Niedersachsen</v>
      </c>
      <c r="D946" t="str">
        <f>'2020_5-2-2_Download'!$AK$7</f>
        <v>niedrig</v>
      </c>
      <c r="E946" t="s">
        <v>362</v>
      </c>
      <c r="F946" t="str">
        <f>VLOOKUP(A2350,[2]Kreise!$A$2:$C$53,3,FALSE)</f>
        <v>K030</v>
      </c>
      <c r="G946">
        <f>'2020_5-2-2_Download'!AK18</f>
        <v>19.404418828049952</v>
      </c>
    </row>
    <row r="947" spans="1:7">
      <c r="A947">
        <f>'2020_5-2-2_Download'!B19</f>
        <v>159</v>
      </c>
      <c r="B947">
        <f>'2020_5-2-2_Download'!$AF$5</f>
        <v>2016</v>
      </c>
      <c r="C947" t="str">
        <f>VLOOKUP(A2351,[1]Tabelle1!$A$1:$B$68,2,FALSE)</f>
        <v>Niedersachsen</v>
      </c>
      <c r="D947" t="str">
        <f>'2020_5-2-2_Download'!$AK$7</f>
        <v>niedrig</v>
      </c>
      <c r="E947" t="s">
        <v>362</v>
      </c>
      <c r="F947" t="str">
        <f>VLOOKUP(A2351,[2]Kreise!$A$2:$C$53,3,FALSE)</f>
        <v>K030</v>
      </c>
      <c r="G947">
        <f>'2020_5-2-2_Download'!AK19</f>
        <v>23.37771548703574</v>
      </c>
    </row>
    <row r="948" spans="1:7">
      <c r="A948">
        <f>'2020_5-2-2_Download'!B20</f>
        <v>1</v>
      </c>
      <c r="B948">
        <f>'2020_5-2-2_Download'!$AF$5</f>
        <v>2016</v>
      </c>
      <c r="C948" t="str">
        <f>VLOOKUP(A2352,[1]Tabelle1!$A$1:$B$68,2,FALSE)</f>
        <v>Niedersachsen</v>
      </c>
      <c r="D948" t="str">
        <f>'2020_5-2-2_Download'!$AK$7</f>
        <v>niedrig</v>
      </c>
      <c r="E948" t="s">
        <v>362</v>
      </c>
      <c r="F948" t="str">
        <f>VLOOKUP(A2352,[2]Kreise!$A$2:$C$53,3,FALSE)</f>
        <v>K030</v>
      </c>
      <c r="G948">
        <f>'2020_5-2-2_Download'!AK20</f>
        <v>19.912086755106337</v>
      </c>
    </row>
    <row r="949" spans="1:7">
      <c r="A949">
        <f>'2020_5-2-2_Download'!B21</f>
        <v>241</v>
      </c>
      <c r="B949">
        <f>'2020_5-2-2_Download'!$AF$5</f>
        <v>2016</v>
      </c>
      <c r="C949" t="str">
        <f>VLOOKUP(A2353,[1]Tabelle1!$A$1:$B$68,2,FALSE)</f>
        <v>Niedersachsen</v>
      </c>
      <c r="D949" t="str">
        <f>'2020_5-2-2_Download'!$AK$7</f>
        <v>niedrig</v>
      </c>
      <c r="E949" t="s">
        <v>362</v>
      </c>
      <c r="F949" t="str">
        <f>VLOOKUP(A2353,[2]Kreise!$A$2:$C$53,3,FALSE)</f>
        <v>K030</v>
      </c>
      <c r="G949">
        <f>'2020_5-2-2_Download'!AK21</f>
        <v>25.226505972967811</v>
      </c>
    </row>
    <row r="950" spans="1:7">
      <c r="A950">
        <f>'2020_5-2-2_Download'!B22</f>
        <v>241001</v>
      </c>
      <c r="B950">
        <f>'2020_5-2-2_Download'!$AF$5</f>
        <v>2016</v>
      </c>
      <c r="C950" t="str">
        <f>VLOOKUP(A2354,[1]Tabelle1!$A$1:$B$68,2,FALSE)</f>
        <v>Niedersachsen</v>
      </c>
      <c r="D950" t="str">
        <f>'2020_5-2-2_Download'!$AK$7</f>
        <v>niedrig</v>
      </c>
      <c r="E950" t="s">
        <v>362</v>
      </c>
      <c r="F950" t="str">
        <f>VLOOKUP(A2354,[2]Kreise!$A$2:$C$53,3,FALSE)</f>
        <v>K030</v>
      </c>
      <c r="G950">
        <f>'2020_5-2-2_Download'!AK22</f>
        <v>24.749121124960052</v>
      </c>
    </row>
    <row r="951" spans="1:7">
      <c r="A951">
        <f>'2020_5-2-2_Download'!B23</f>
        <v>241999</v>
      </c>
      <c r="B951">
        <f>'2020_5-2-2_Download'!$AF$5</f>
        <v>2016</v>
      </c>
      <c r="C951" t="str">
        <f>VLOOKUP(A2355,[1]Tabelle1!$A$1:$B$68,2,FALSE)</f>
        <v>Niedersachsen</v>
      </c>
      <c r="D951" t="str">
        <f>'2020_5-2-2_Download'!$AK$7</f>
        <v>niedrig</v>
      </c>
      <c r="E951" t="s">
        <v>362</v>
      </c>
      <c r="F951" t="str">
        <f>VLOOKUP(A2355,[2]Kreise!$A$2:$C$53,3,FALSE)</f>
        <v>K030</v>
      </c>
      <c r="G951">
        <f>'2020_5-2-2_Download'!AK23</f>
        <v>26.16958141296799</v>
      </c>
    </row>
    <row r="952" spans="1:7">
      <c r="A952">
        <f>'2020_5-2-2_Download'!B24</f>
        <v>251</v>
      </c>
      <c r="B952">
        <f>'2020_5-2-2_Download'!$AF$5</f>
        <v>2016</v>
      </c>
      <c r="C952" t="str">
        <f>VLOOKUP(A2356,[1]Tabelle1!$A$1:$B$68,2,FALSE)</f>
        <v>Niedersachsen</v>
      </c>
      <c r="D952" t="str">
        <f>'2020_5-2-2_Download'!$AK$7</f>
        <v>niedrig</v>
      </c>
      <c r="E952" t="s">
        <v>362</v>
      </c>
      <c r="F952" t="str">
        <f>VLOOKUP(A2356,[2]Kreise!$A$2:$C$53,3,FALSE)</f>
        <v>K030</v>
      </c>
      <c r="G952">
        <f>'2020_5-2-2_Download'!AK24</f>
        <v>20.088517334644703</v>
      </c>
    </row>
    <row r="953" spans="1:7">
      <c r="A953">
        <f>'2020_5-2-2_Download'!B25</f>
        <v>252</v>
      </c>
      <c r="B953">
        <f>'2020_5-2-2_Download'!$AF$5</f>
        <v>2016</v>
      </c>
      <c r="C953" t="str">
        <f>VLOOKUP(A2357,[1]Tabelle1!$A$1:$B$68,2,FALSE)</f>
        <v>Niedersachsen</v>
      </c>
      <c r="D953" t="str">
        <f>'2020_5-2-2_Download'!$AK$7</f>
        <v>niedrig</v>
      </c>
      <c r="E953" t="s">
        <v>362</v>
      </c>
      <c r="F953" t="str">
        <f>VLOOKUP(A2357,[2]Kreise!$A$2:$C$53,3,FALSE)</f>
        <v>K030</v>
      </c>
      <c r="G953">
        <f>'2020_5-2-2_Download'!AK25</f>
        <v>22.758848825669865</v>
      </c>
    </row>
    <row r="954" spans="1:7">
      <c r="A954">
        <f>'2020_5-2-2_Download'!B26</f>
        <v>254</v>
      </c>
      <c r="B954">
        <f>'2020_5-2-2_Download'!$AF$5</f>
        <v>2016</v>
      </c>
      <c r="C954" t="str">
        <f>VLOOKUP(A2358,[1]Tabelle1!$A$1:$B$68,2,FALSE)</f>
        <v>Niedersachsen</v>
      </c>
      <c r="D954" t="str">
        <f>'2020_5-2-2_Download'!$AK$7</f>
        <v>niedrig</v>
      </c>
      <c r="E954" t="s">
        <v>362</v>
      </c>
      <c r="F954" t="str">
        <f>VLOOKUP(A2358,[2]Kreise!$A$2:$C$53,3,FALSE)</f>
        <v>K030</v>
      </c>
      <c r="G954">
        <f>'2020_5-2-2_Download'!AK26</f>
        <v>24.301172227231742</v>
      </c>
    </row>
    <row r="955" spans="1:7">
      <c r="A955">
        <f>'2020_5-2-2_Download'!B27</f>
        <v>255</v>
      </c>
      <c r="B955">
        <f>'2020_5-2-2_Download'!$AF$5</f>
        <v>2016</v>
      </c>
      <c r="C955" t="str">
        <f>VLOOKUP(A2359,[1]Tabelle1!$A$1:$B$68,2,FALSE)</f>
        <v>Niedersachsen</v>
      </c>
      <c r="D955" t="str">
        <f>'2020_5-2-2_Download'!$AK$7</f>
        <v>niedrig</v>
      </c>
      <c r="E955" t="s">
        <v>362</v>
      </c>
      <c r="F955" t="str">
        <f>VLOOKUP(A2359,[2]Kreise!$A$2:$C$53,3,FALSE)</f>
        <v>K030</v>
      </c>
      <c r="G955">
        <f>'2020_5-2-2_Download'!AK27</f>
        <v>28.877551020408166</v>
      </c>
    </row>
    <row r="956" spans="1:7">
      <c r="A956">
        <f>'2020_5-2-2_Download'!B28</f>
        <v>256</v>
      </c>
      <c r="B956">
        <f>'2020_5-2-2_Download'!$AF$5</f>
        <v>2016</v>
      </c>
      <c r="C956" t="str">
        <f>VLOOKUP(A2360,[1]Tabelle1!$A$1:$B$68,2,FALSE)</f>
        <v>Niedersachsen</v>
      </c>
      <c r="D956" t="str">
        <f>'2020_5-2-2_Download'!$AK$7</f>
        <v>niedrig</v>
      </c>
      <c r="E956" t="s">
        <v>362</v>
      </c>
      <c r="F956" t="str">
        <f>VLOOKUP(A2360,[2]Kreise!$A$2:$C$53,3,FALSE)</f>
        <v>K030</v>
      </c>
      <c r="G956">
        <f>'2020_5-2-2_Download'!AK28</f>
        <v>26.516102049351737</v>
      </c>
    </row>
    <row r="957" spans="1:7">
      <c r="A957">
        <f>'2020_5-2-2_Download'!B29</f>
        <v>257</v>
      </c>
      <c r="B957">
        <f>'2020_5-2-2_Download'!$AF$5</f>
        <v>2016</v>
      </c>
      <c r="C957" t="str">
        <f>VLOOKUP(A2361,[1]Tabelle1!$A$1:$B$68,2,FALSE)</f>
        <v>Niedersachsen</v>
      </c>
      <c r="D957" t="str">
        <f>'2020_5-2-2_Download'!$AK$7</f>
        <v>niedrig</v>
      </c>
      <c r="E957" t="s">
        <v>362</v>
      </c>
      <c r="F957" t="str">
        <f>VLOOKUP(A2361,[2]Kreise!$A$2:$C$53,3,FALSE)</f>
        <v>K030</v>
      </c>
      <c r="G957">
        <f>'2020_5-2-2_Download'!AK29</f>
        <v>24.716124148372444</v>
      </c>
    </row>
    <row r="958" spans="1:7">
      <c r="A958">
        <f>'2020_5-2-2_Download'!B30</f>
        <v>2</v>
      </c>
      <c r="B958">
        <f>'2020_5-2-2_Download'!$AF$5</f>
        <v>2016</v>
      </c>
      <c r="C958" t="str">
        <f>VLOOKUP(A2362,[1]Tabelle1!$A$1:$B$68,2,FALSE)</f>
        <v>Niedersachsen</v>
      </c>
      <c r="D958" t="str">
        <f>'2020_5-2-2_Download'!$AK$7</f>
        <v>niedrig</v>
      </c>
      <c r="E958" t="s">
        <v>362</v>
      </c>
      <c r="F958" t="str">
        <f>VLOOKUP(A2362,[2]Kreise!$A$2:$C$53,3,FALSE)</f>
        <v>K030</v>
      </c>
      <c r="G958">
        <f>'2020_5-2-2_Download'!AK30</f>
        <v>24.806705016391415</v>
      </c>
    </row>
    <row r="959" spans="1:7">
      <c r="A959">
        <f>'2020_5-2-2_Download'!B31</f>
        <v>351</v>
      </c>
      <c r="B959">
        <f>'2020_5-2-2_Download'!$AF$5</f>
        <v>2016</v>
      </c>
      <c r="C959" t="str">
        <f>VLOOKUP(A2363,[1]Tabelle1!$A$1:$B$68,2,FALSE)</f>
        <v>Niedersachsen</v>
      </c>
      <c r="D959" t="str">
        <f>'2020_5-2-2_Download'!$AK$7</f>
        <v>niedrig</v>
      </c>
      <c r="E959" t="s">
        <v>362</v>
      </c>
      <c r="F959" t="str">
        <f>VLOOKUP(A2363,[2]Kreise!$A$2:$C$53,3,FALSE)</f>
        <v>K030</v>
      </c>
      <c r="G959">
        <f>'2020_5-2-2_Download'!AK31</f>
        <v>27.093954843408596</v>
      </c>
    </row>
    <row r="960" spans="1:7">
      <c r="A960">
        <f>'2020_5-2-2_Download'!B32</f>
        <v>352</v>
      </c>
      <c r="B960">
        <f>'2020_5-2-2_Download'!$AF$5</f>
        <v>2016</v>
      </c>
      <c r="C960" t="str">
        <f>VLOOKUP(A2364,[1]Tabelle1!$A$1:$B$68,2,FALSE)</f>
        <v>Niedersachsen</v>
      </c>
      <c r="D960" t="str">
        <f>'2020_5-2-2_Download'!$AK$7</f>
        <v>niedrig</v>
      </c>
      <c r="E960" t="s">
        <v>362</v>
      </c>
      <c r="F960" t="str">
        <f>VLOOKUP(A2364,[2]Kreise!$A$2:$C$53,3,FALSE)</f>
        <v>K030</v>
      </c>
      <c r="G960">
        <f>'2020_5-2-2_Download'!AK32</f>
        <v>21.675022117369508</v>
      </c>
    </row>
    <row r="961" spans="1:7">
      <c r="A961">
        <f>'2020_5-2-2_Download'!B33</f>
        <v>353</v>
      </c>
      <c r="B961">
        <f>'2020_5-2-2_Download'!$AF$5</f>
        <v>2016</v>
      </c>
      <c r="C961" t="str">
        <f>VLOOKUP(A2365,[1]Tabelle1!$A$1:$B$68,2,FALSE)</f>
        <v>Niedersachsen</v>
      </c>
      <c r="D961" t="str">
        <f>'2020_5-2-2_Download'!$AK$7</f>
        <v>niedrig</v>
      </c>
      <c r="E961" t="s">
        <v>362</v>
      </c>
      <c r="F961" t="str">
        <f>VLOOKUP(A2365,[2]Kreise!$A$2:$C$53,3,FALSE)</f>
        <v>K030</v>
      </c>
      <c r="G961">
        <f>'2020_5-2-2_Download'!AK33</f>
        <v>19.599025669851976</v>
      </c>
    </row>
    <row r="962" spans="1:7">
      <c r="A962">
        <f>'2020_5-2-2_Download'!B34</f>
        <v>354</v>
      </c>
      <c r="B962">
        <f>'2020_5-2-2_Download'!$AF$5</f>
        <v>2016</v>
      </c>
      <c r="C962" t="str">
        <f>VLOOKUP(A2366,[1]Tabelle1!$A$1:$B$68,2,FALSE)</f>
        <v>Niedersachsen</v>
      </c>
      <c r="D962" t="str">
        <f>'2020_5-2-2_Download'!$AK$7</f>
        <v>niedrig</v>
      </c>
      <c r="E962" t="s">
        <v>362</v>
      </c>
      <c r="F962" t="str">
        <f>VLOOKUP(A2366,[2]Kreise!$A$2:$C$53,3,FALSE)</f>
        <v>K030</v>
      </c>
      <c r="G962">
        <f>'2020_5-2-2_Download'!AK34</f>
        <v>12.092130518234164</v>
      </c>
    </row>
    <row r="963" spans="1:7">
      <c r="A963">
        <f>'2020_5-2-2_Download'!B35</f>
        <v>355</v>
      </c>
      <c r="B963">
        <f>'2020_5-2-2_Download'!$AF$5</f>
        <v>2016</v>
      </c>
      <c r="C963" t="str">
        <f>VLOOKUP(A2367,[1]Tabelle1!$A$1:$B$68,2,FALSE)</f>
        <v>Niedersachsen</v>
      </c>
      <c r="D963" t="str">
        <f>'2020_5-2-2_Download'!$AK$7</f>
        <v>niedrig</v>
      </c>
      <c r="E963" t="s">
        <v>362</v>
      </c>
      <c r="F963" t="str">
        <f>VLOOKUP(A2367,[2]Kreise!$A$2:$C$53,3,FALSE)</f>
        <v>K030</v>
      </c>
      <c r="G963">
        <f>'2020_5-2-2_Download'!AK35</f>
        <v>21.712204007285973</v>
      </c>
    </row>
    <row r="964" spans="1:7">
      <c r="A964">
        <f>'2020_5-2-2_Download'!B36</f>
        <v>356</v>
      </c>
      <c r="B964">
        <f>'2020_5-2-2_Download'!$AF$5</f>
        <v>2016</v>
      </c>
      <c r="C964" t="str">
        <f>VLOOKUP(A2368,[1]Tabelle1!$A$1:$B$68,2,FALSE)</f>
        <v>Niedersachsen</v>
      </c>
      <c r="D964" t="str">
        <f>'2020_5-2-2_Download'!$AK$7</f>
        <v>niedrig</v>
      </c>
      <c r="E964" t="s">
        <v>362</v>
      </c>
      <c r="F964" t="str">
        <f>VLOOKUP(A2368,[2]Kreise!$A$2:$C$53,3,FALSE)</f>
        <v>K030</v>
      </c>
      <c r="G964">
        <f>'2020_5-2-2_Download'!AK36</f>
        <v>24.678274034822103</v>
      </c>
    </row>
    <row r="965" spans="1:7">
      <c r="A965">
        <f>'2020_5-2-2_Download'!B37</f>
        <v>357</v>
      </c>
      <c r="B965">
        <f>'2020_5-2-2_Download'!$AF$5</f>
        <v>2016</v>
      </c>
      <c r="C965" t="str">
        <f>VLOOKUP(A2369,[1]Tabelle1!$A$1:$B$68,2,FALSE)</f>
        <v>Niedersachsen</v>
      </c>
      <c r="D965" t="str">
        <f>'2020_5-2-2_Download'!$AK$7</f>
        <v>niedrig</v>
      </c>
      <c r="E965" t="s">
        <v>362</v>
      </c>
      <c r="F965" t="str">
        <f>VLOOKUP(A2369,[2]Kreise!$A$2:$C$53,3,FALSE)</f>
        <v>K030</v>
      </c>
      <c r="G965">
        <f>'2020_5-2-2_Download'!AK37</f>
        <v>16.823056300268096</v>
      </c>
    </row>
    <row r="966" spans="1:7">
      <c r="A966">
        <f>'2020_5-2-2_Download'!B38</f>
        <v>358</v>
      </c>
      <c r="B966">
        <f>'2020_5-2-2_Download'!$AF$5</f>
        <v>2016</v>
      </c>
      <c r="C966" t="str">
        <f>VLOOKUP(A2370,[1]Tabelle1!$A$1:$B$68,2,FALSE)</f>
        <v>Niedersachsen</v>
      </c>
      <c r="D966" t="str">
        <f>'2020_5-2-2_Download'!$AK$7</f>
        <v>niedrig</v>
      </c>
      <c r="E966" t="s">
        <v>362</v>
      </c>
      <c r="F966" t="str">
        <f>VLOOKUP(A2370,[2]Kreise!$A$2:$C$53,3,FALSE)</f>
        <v>K030</v>
      </c>
      <c r="G966">
        <f>'2020_5-2-2_Download'!AK38</f>
        <v>21.190893169877409</v>
      </c>
    </row>
    <row r="967" spans="1:7">
      <c r="A967">
        <f>'2020_5-2-2_Download'!B39</f>
        <v>359</v>
      </c>
      <c r="B967">
        <f>'2020_5-2-2_Download'!$AF$5</f>
        <v>2016</v>
      </c>
      <c r="C967" t="str">
        <f>VLOOKUP(A2371,[1]Tabelle1!$A$1:$B$68,2,FALSE)</f>
        <v>Niedersachsen</v>
      </c>
      <c r="D967" t="str">
        <f>'2020_5-2-2_Download'!$AK$7</f>
        <v>niedrig</v>
      </c>
      <c r="E967" t="s">
        <v>362</v>
      </c>
      <c r="F967" t="str">
        <f>VLOOKUP(A2371,[2]Kreise!$A$2:$C$53,3,FALSE)</f>
        <v>K030</v>
      </c>
      <c r="G967">
        <f>'2020_5-2-2_Download'!AK39</f>
        <v>15.667669520944225</v>
      </c>
    </row>
    <row r="968" spans="1:7">
      <c r="A968">
        <f>'2020_5-2-2_Download'!B40</f>
        <v>360</v>
      </c>
      <c r="B968">
        <f>'2020_5-2-2_Download'!$AF$5</f>
        <v>2016</v>
      </c>
      <c r="C968" t="str">
        <f>VLOOKUP(A2372,[1]Tabelle1!$A$1:$B$68,2,FALSE)</f>
        <v>Niedersachsen</v>
      </c>
      <c r="D968" t="str">
        <f>'2020_5-2-2_Download'!$AK$7</f>
        <v>niedrig</v>
      </c>
      <c r="E968" t="s">
        <v>362</v>
      </c>
      <c r="F968" t="str">
        <f>VLOOKUP(A2372,[2]Kreise!$A$2:$C$53,3,FALSE)</f>
        <v>K030</v>
      </c>
      <c r="G968">
        <f>'2020_5-2-2_Download'!AK40</f>
        <v>17.977528089887642</v>
      </c>
    </row>
    <row r="969" spans="1:7">
      <c r="A969">
        <f>'2020_5-2-2_Download'!B41</f>
        <v>361</v>
      </c>
      <c r="B969">
        <f>'2020_5-2-2_Download'!$AF$5</f>
        <v>2016</v>
      </c>
      <c r="C969" t="str">
        <f>VLOOKUP(A2373,[1]Tabelle1!$A$1:$B$68,2,FALSE)</f>
        <v>Niedersachsen</v>
      </c>
      <c r="D969" t="str">
        <f>'2020_5-2-2_Download'!$AK$7</f>
        <v>niedrig</v>
      </c>
      <c r="E969" t="s">
        <v>362</v>
      </c>
      <c r="F969" t="str">
        <f>VLOOKUP(A2373,[2]Kreise!$A$2:$C$53,3,FALSE)</f>
        <v>K030</v>
      </c>
      <c r="G969">
        <f>'2020_5-2-2_Download'!AK41</f>
        <v>25.585640401581987</v>
      </c>
    </row>
    <row r="970" spans="1:7">
      <c r="A970">
        <f>'2020_5-2-2_Download'!B42</f>
        <v>3</v>
      </c>
      <c r="B970">
        <f>'2020_5-2-2_Download'!$AF$5</f>
        <v>2016</v>
      </c>
      <c r="C970" t="str">
        <f>VLOOKUP(A2374,[1]Tabelle1!$A$1:$B$68,2,FALSE)</f>
        <v>Niedersachsen</v>
      </c>
      <c r="D970" t="str">
        <f>'2020_5-2-2_Download'!$AK$7</f>
        <v>niedrig</v>
      </c>
      <c r="E970" t="s">
        <v>362</v>
      </c>
      <c r="F970" t="str">
        <f>VLOOKUP(A2374,[2]Kreise!$A$2:$C$53,3,FALSE)</f>
        <v>K030</v>
      </c>
      <c r="G970">
        <f>'2020_5-2-2_Download'!AK42</f>
        <v>20.692700156985872</v>
      </c>
    </row>
    <row r="971" spans="1:7">
      <c r="A971">
        <f>'2020_5-2-2_Download'!B43</f>
        <v>401</v>
      </c>
      <c r="B971">
        <f>'2020_5-2-2_Download'!$AF$5</f>
        <v>2016</v>
      </c>
      <c r="C971" t="str">
        <f>VLOOKUP(A2375,[1]Tabelle1!$A$1:$B$68,2,FALSE)</f>
        <v>Niedersachsen</v>
      </c>
      <c r="D971" t="str">
        <f>'2020_5-2-2_Download'!$AK$7</f>
        <v>niedrig</v>
      </c>
      <c r="E971" t="s">
        <v>362</v>
      </c>
      <c r="F971" t="str">
        <f>VLOOKUP(A2375,[2]Kreise!$A$2:$C$53,3,FALSE)</f>
        <v>K030</v>
      </c>
      <c r="G971">
        <f>'2020_5-2-2_Download'!AK43</f>
        <v>26.888888888888889</v>
      </c>
    </row>
    <row r="972" spans="1:7">
      <c r="A972">
        <f>'2020_5-2-2_Download'!B44</f>
        <v>402</v>
      </c>
      <c r="B972">
        <f>'2020_5-2-2_Download'!$AF$5</f>
        <v>2016</v>
      </c>
      <c r="C972" t="str">
        <f>VLOOKUP(A2376,[1]Tabelle1!$A$1:$B$68,2,FALSE)</f>
        <v>Niedersachsen</v>
      </c>
      <c r="D972" t="str">
        <f>'2020_5-2-2_Download'!$AK$7</f>
        <v>niedrig</v>
      </c>
      <c r="E972" t="s">
        <v>362</v>
      </c>
      <c r="F972" t="str">
        <f>VLOOKUP(A2376,[2]Kreise!$A$2:$C$53,3,FALSE)</f>
        <v>K030</v>
      </c>
      <c r="G972">
        <f>'2020_5-2-2_Download'!AK44</f>
        <v>22.745358090185679</v>
      </c>
    </row>
    <row r="973" spans="1:7">
      <c r="A973">
        <f>'2020_5-2-2_Download'!B45</f>
        <v>403</v>
      </c>
      <c r="B973">
        <f>'2020_5-2-2_Download'!$AF$5</f>
        <v>2016</v>
      </c>
      <c r="C973" t="str">
        <f>VLOOKUP(A2377,[1]Tabelle1!$A$1:$B$68,2,FALSE)</f>
        <v>Niedersachsen</v>
      </c>
      <c r="D973" t="str">
        <f>'2020_5-2-2_Download'!$AK$7</f>
        <v>niedrig</v>
      </c>
      <c r="E973" t="s">
        <v>362</v>
      </c>
      <c r="F973" t="str">
        <f>VLOOKUP(A2377,[2]Kreise!$A$2:$C$53,3,FALSE)</f>
        <v>K030</v>
      </c>
      <c r="G973">
        <f>'2020_5-2-2_Download'!AK45</f>
        <v>21.962125197264598</v>
      </c>
    </row>
    <row r="974" spans="1:7">
      <c r="A974">
        <f>'2020_5-2-2_Download'!B46</f>
        <v>404</v>
      </c>
      <c r="B974">
        <f>'2020_5-2-2_Download'!$AF$5</f>
        <v>2016</v>
      </c>
      <c r="C974" t="str">
        <f>VLOOKUP(A2378,[1]Tabelle1!$A$1:$B$68,2,FALSE)</f>
        <v>Niedersachsen</v>
      </c>
      <c r="D974" t="str">
        <f>'2020_5-2-2_Download'!$AK$7</f>
        <v>niedrig</v>
      </c>
      <c r="E974" t="s">
        <v>362</v>
      </c>
      <c r="F974" t="str">
        <f>VLOOKUP(A2378,[2]Kreise!$A$2:$C$53,3,FALSE)</f>
        <v>K030</v>
      </c>
      <c r="G974">
        <f>'2020_5-2-2_Download'!AK46</f>
        <v>27.609847304456213</v>
      </c>
    </row>
    <row r="975" spans="1:7">
      <c r="A975">
        <f>'2020_5-2-2_Download'!B47</f>
        <v>405</v>
      </c>
      <c r="B975">
        <f>'2020_5-2-2_Download'!$AF$5</f>
        <v>2016</v>
      </c>
      <c r="C975" t="str">
        <f>VLOOKUP(A2379,[1]Tabelle1!$A$1:$B$68,2,FALSE)</f>
        <v>Niedersachsen</v>
      </c>
      <c r="D975" t="str">
        <f>'2020_5-2-2_Download'!$AK$7</f>
        <v>niedrig</v>
      </c>
      <c r="E975" t="s">
        <v>362</v>
      </c>
      <c r="F975" t="str">
        <f>VLOOKUP(A2379,[2]Kreise!$A$2:$C$53,3,FALSE)</f>
        <v>K030</v>
      </c>
      <c r="G975">
        <f>'2020_5-2-2_Download'!AK47</f>
        <v>22.664359861591695</v>
      </c>
    </row>
    <row r="976" spans="1:7">
      <c r="A976">
        <f>'2020_5-2-2_Download'!B48</f>
        <v>451</v>
      </c>
      <c r="B976">
        <f>'2020_5-2-2_Download'!$AF$5</f>
        <v>2016</v>
      </c>
      <c r="C976" t="str">
        <f>VLOOKUP(A2380,[1]Tabelle1!$A$1:$B$68,2,FALSE)</f>
        <v>Niedersachsen</v>
      </c>
      <c r="D976" t="str">
        <f>'2020_5-2-2_Download'!$AK$7</f>
        <v>niedrig</v>
      </c>
      <c r="E976" t="s">
        <v>362</v>
      </c>
      <c r="F976" t="str">
        <f>VLOOKUP(A2380,[2]Kreise!$A$2:$C$53,3,FALSE)</f>
        <v>K030</v>
      </c>
      <c r="G976">
        <f>'2020_5-2-2_Download'!AK48</f>
        <v>19.501625135427954</v>
      </c>
    </row>
    <row r="977" spans="1:7">
      <c r="A977">
        <f>'2020_5-2-2_Download'!B49</f>
        <v>452</v>
      </c>
      <c r="B977">
        <f>'2020_5-2-2_Download'!$AF$5</f>
        <v>2016</v>
      </c>
      <c r="C977" t="str">
        <f>VLOOKUP(A2381,[1]Tabelle1!$A$1:$B$68,2,FALSE)</f>
        <v>Niedersachsen</v>
      </c>
      <c r="D977" t="str">
        <f>'2020_5-2-2_Download'!$AK$7</f>
        <v>niedrig</v>
      </c>
      <c r="E977" t="s">
        <v>362</v>
      </c>
      <c r="F977" t="str">
        <f>VLOOKUP(A2381,[2]Kreise!$A$2:$C$53,3,FALSE)</f>
        <v>K030</v>
      </c>
      <c r="G977">
        <f>'2020_5-2-2_Download'!AK49</f>
        <v>20.824742268041238</v>
      </c>
    </row>
    <row r="978" spans="1:7">
      <c r="A978">
        <f>'2020_5-2-2_Download'!B50</f>
        <v>453</v>
      </c>
      <c r="B978">
        <f>'2020_5-2-2_Download'!$AF$5</f>
        <v>2016</v>
      </c>
      <c r="C978" t="str">
        <f>VLOOKUP(A2382,[1]Tabelle1!$A$1:$B$68,2,FALSE)</f>
        <v>Niedersachsen</v>
      </c>
      <c r="D978" t="str">
        <f>'2020_5-2-2_Download'!$AK$7</f>
        <v>niedrig</v>
      </c>
      <c r="E978" t="s">
        <v>362</v>
      </c>
      <c r="F978" t="str">
        <f>VLOOKUP(A2382,[2]Kreise!$A$2:$C$53,3,FALSE)</f>
        <v>K030</v>
      </c>
      <c r="G978">
        <f>'2020_5-2-2_Download'!AK50</f>
        <v>25.525672371638141</v>
      </c>
    </row>
    <row r="979" spans="1:7">
      <c r="A979">
        <f>'2020_5-2-2_Download'!B51</f>
        <v>454</v>
      </c>
      <c r="B979">
        <f>'2020_5-2-2_Download'!$AF$5</f>
        <v>2016</v>
      </c>
      <c r="C979" t="str">
        <f>VLOOKUP(A2383,[1]Tabelle1!$A$1:$B$68,2,FALSE)</f>
        <v>Niedersachsen</v>
      </c>
      <c r="D979" t="str">
        <f>'2020_5-2-2_Download'!$AK$7</f>
        <v>niedrig</v>
      </c>
      <c r="E979" t="s">
        <v>362</v>
      </c>
      <c r="F979" t="str">
        <f>VLOOKUP(A2383,[2]Kreise!$A$2:$C$53,3,FALSE)</f>
        <v>K030</v>
      </c>
      <c r="G979">
        <f>'2020_5-2-2_Download'!AK51</f>
        <v>16.922257720979765</v>
      </c>
    </row>
    <row r="980" spans="1:7">
      <c r="A980">
        <f>'2020_5-2-2_Download'!B52</f>
        <v>455</v>
      </c>
      <c r="B980">
        <f>'2020_5-2-2_Download'!$AF$5</f>
        <v>2016</v>
      </c>
      <c r="C980" t="str">
        <f>VLOOKUP(A2384,[1]Tabelle1!$A$1:$B$68,2,FALSE)</f>
        <v>Niedersachsen</v>
      </c>
      <c r="D980" t="str">
        <f>'2020_5-2-2_Download'!$AK$7</f>
        <v>niedrig</v>
      </c>
      <c r="E980" t="s">
        <v>362</v>
      </c>
      <c r="F980" t="str">
        <f>VLOOKUP(A2384,[2]Kreise!$A$2:$C$53,3,FALSE)</f>
        <v>K030</v>
      </c>
      <c r="G980">
        <f>'2020_5-2-2_Download'!AK52</f>
        <v>17.338709677419356</v>
      </c>
    </row>
    <row r="981" spans="1:7">
      <c r="A981">
        <f>'2020_5-2-2_Download'!B53</f>
        <v>456</v>
      </c>
      <c r="B981">
        <f>'2020_5-2-2_Download'!$AF$5</f>
        <v>2016</v>
      </c>
      <c r="C981" t="str">
        <f>VLOOKUP(A2385,[1]Tabelle1!$A$1:$B$68,2,FALSE)</f>
        <v>Niedersachsen</v>
      </c>
      <c r="D981" t="str">
        <f>'2020_5-2-2_Download'!$AK$7</f>
        <v>niedrig</v>
      </c>
      <c r="E981" t="s">
        <v>362</v>
      </c>
      <c r="F981" t="str">
        <f>VLOOKUP(A2385,[2]Kreise!$A$2:$C$53,3,FALSE)</f>
        <v>K030</v>
      </c>
      <c r="G981">
        <f>'2020_5-2-2_Download'!AK53</f>
        <v>17.405913978494624</v>
      </c>
    </row>
    <row r="982" spans="1:7">
      <c r="A982">
        <f>'2020_5-2-2_Download'!B54</f>
        <v>457</v>
      </c>
      <c r="B982">
        <f>'2020_5-2-2_Download'!$AF$5</f>
        <v>2016</v>
      </c>
      <c r="C982" t="str">
        <f>VLOOKUP(A2386,[1]Tabelle1!$A$1:$B$68,2,FALSE)</f>
        <v>Niedersachsen</v>
      </c>
      <c r="D982" t="str">
        <f>'2020_5-2-2_Download'!$AK$7</f>
        <v>niedrig</v>
      </c>
      <c r="E982" t="s">
        <v>362</v>
      </c>
      <c r="F982" t="str">
        <f>VLOOKUP(A2386,[2]Kreise!$A$2:$C$53,3,FALSE)</f>
        <v>K030</v>
      </c>
      <c r="G982">
        <f>'2020_5-2-2_Download'!AK54</f>
        <v>15.350523771152297</v>
      </c>
    </row>
    <row r="983" spans="1:7">
      <c r="A983">
        <f>'2020_5-2-2_Download'!B55</f>
        <v>458</v>
      </c>
      <c r="B983">
        <f>'2020_5-2-2_Download'!$AF$5</f>
        <v>2016</v>
      </c>
      <c r="C983" t="str">
        <f>VLOOKUP(A2387,[1]Tabelle1!$A$1:$B$68,2,FALSE)</f>
        <v>Niedersachsen</v>
      </c>
      <c r="D983" t="str">
        <f>'2020_5-2-2_Download'!$AK$7</f>
        <v>niedrig</v>
      </c>
      <c r="E983" t="s">
        <v>362</v>
      </c>
      <c r="F983" t="str">
        <f>VLOOKUP(A2387,[2]Kreise!$A$2:$C$53,3,FALSE)</f>
        <v>K030</v>
      </c>
      <c r="G983">
        <f>'2020_5-2-2_Download'!AK55</f>
        <v>21.74468085106383</v>
      </c>
    </row>
    <row r="984" spans="1:7">
      <c r="A984">
        <f>'2020_5-2-2_Download'!B56</f>
        <v>459</v>
      </c>
      <c r="B984">
        <f>'2020_5-2-2_Download'!$AF$5</f>
        <v>2016</v>
      </c>
      <c r="C984" t="str">
        <f>VLOOKUP(A2388,[1]Tabelle1!$A$1:$B$68,2,FALSE)</f>
        <v>Niedersachsen</v>
      </c>
      <c r="D984" t="str">
        <f>'2020_5-2-2_Download'!$AK$7</f>
        <v>niedrig</v>
      </c>
      <c r="E984" t="s">
        <v>362</v>
      </c>
      <c r="F984" t="str">
        <f>VLOOKUP(A2388,[2]Kreise!$A$2:$C$53,3,FALSE)</f>
        <v>K030</v>
      </c>
      <c r="G984">
        <f>'2020_5-2-2_Download'!AK56</f>
        <v>25.668314757395461</v>
      </c>
    </row>
    <row r="985" spans="1:7">
      <c r="A985">
        <f>'2020_5-2-2_Download'!B57</f>
        <v>460</v>
      </c>
      <c r="B985">
        <f>'2020_5-2-2_Download'!$AF$5</f>
        <v>2016</v>
      </c>
      <c r="C985" t="str">
        <f>VLOOKUP(A2389,[1]Tabelle1!$A$1:$B$68,2,FALSE)</f>
        <v>Niedersachsen</v>
      </c>
      <c r="D985" t="str">
        <f>'2020_5-2-2_Download'!$AK$7</f>
        <v>niedrig</v>
      </c>
      <c r="E985" t="s">
        <v>362</v>
      </c>
      <c r="F985" t="str">
        <f>VLOOKUP(A2389,[2]Kreise!$A$2:$C$53,3,FALSE)</f>
        <v>K030</v>
      </c>
      <c r="G985">
        <f>'2020_5-2-2_Download'!AK57</f>
        <v>25.871779508687837</v>
      </c>
    </row>
    <row r="986" spans="1:7">
      <c r="A986">
        <f>'2020_5-2-2_Download'!B58</f>
        <v>461</v>
      </c>
      <c r="B986">
        <f>'2020_5-2-2_Download'!$AF$5</f>
        <v>2016</v>
      </c>
      <c r="C986" t="str">
        <f>VLOOKUP(A2390,[1]Tabelle1!$A$1:$B$68,2,FALSE)</f>
        <v>Niedersachsen</v>
      </c>
      <c r="D986" t="str">
        <f>'2020_5-2-2_Download'!$AK$7</f>
        <v>niedrig</v>
      </c>
      <c r="E986" t="s">
        <v>362</v>
      </c>
      <c r="F986" t="str">
        <f>VLOOKUP(A2390,[2]Kreise!$A$2:$C$53,3,FALSE)</f>
        <v>K030</v>
      </c>
      <c r="G986">
        <f>'2020_5-2-2_Download'!AK58</f>
        <v>18.216216216216218</v>
      </c>
    </row>
    <row r="987" spans="1:7">
      <c r="A987">
        <f>'2020_5-2-2_Download'!B59</f>
        <v>462</v>
      </c>
      <c r="B987">
        <f>'2020_5-2-2_Download'!$AF$5</f>
        <v>2016</v>
      </c>
      <c r="C987" t="str">
        <f>VLOOKUP(A2391,[1]Tabelle1!$A$1:$B$68,2,FALSE)</f>
        <v>Niedersachsen</v>
      </c>
      <c r="D987" t="str">
        <f>'2020_5-2-2_Download'!$AK$7</f>
        <v>niedrig</v>
      </c>
      <c r="E987" t="s">
        <v>362</v>
      </c>
      <c r="F987" t="str">
        <f>VLOOKUP(A2391,[2]Kreise!$A$2:$C$53,3,FALSE)</f>
        <v>K030</v>
      </c>
      <c r="G987">
        <f>'2020_5-2-2_Download'!AK59</f>
        <v>11.337209302325581</v>
      </c>
    </row>
    <row r="988" spans="1:7">
      <c r="A988">
        <f>'2020_5-2-2_Download'!B60</f>
        <v>4</v>
      </c>
      <c r="B988">
        <f>'2020_5-2-2_Download'!$AF$5</f>
        <v>2016</v>
      </c>
      <c r="C988" t="str">
        <f>VLOOKUP(A2392,[1]Tabelle1!$A$1:$B$68,2,FALSE)</f>
        <v>Niedersachsen</v>
      </c>
      <c r="D988" t="str">
        <f>'2020_5-2-2_Download'!$AK$7</f>
        <v>niedrig</v>
      </c>
      <c r="E988" t="s">
        <v>362</v>
      </c>
      <c r="F988" t="str">
        <f>VLOOKUP(A2392,[2]Kreise!$A$2:$C$53,3,FALSE)</f>
        <v>K030</v>
      </c>
      <c r="G988">
        <f>'2020_5-2-2_Download'!AK60</f>
        <v>22.389789502658381</v>
      </c>
    </row>
    <row r="989" spans="1:7">
      <c r="A989">
        <f>'2020_5-2-2_Download'!B61</f>
        <v>0</v>
      </c>
      <c r="B989">
        <f>'2020_5-2-2_Download'!$AF$5</f>
        <v>2016</v>
      </c>
      <c r="C989" t="str">
        <f>VLOOKUP(A2393,[1]Tabelle1!$A$1:$B$68,2,FALSE)</f>
        <v>Niedersachsen</v>
      </c>
      <c r="D989" t="str">
        <f>'2020_5-2-2_Download'!$AK$7</f>
        <v>niedrig</v>
      </c>
      <c r="E989" t="s">
        <v>362</v>
      </c>
      <c r="F989" t="str">
        <f>VLOOKUP(A2393,[2]Kreise!$A$2:$C$53,3,FALSE)</f>
        <v>K030</v>
      </c>
      <c r="G989">
        <f>'2020_5-2-2_Download'!AK61</f>
        <v>22.440584783178338</v>
      </c>
    </row>
    <row r="990" spans="1:7">
      <c r="A990">
        <f>'2020_5-2-2_Download'!B10</f>
        <v>101</v>
      </c>
      <c r="B990">
        <f>'2020_5-2-2_Download'!$AF$5</f>
        <v>2016</v>
      </c>
      <c r="C990" t="str">
        <f>VLOOKUP(A2394,[1]Tabelle1!$A$1:$B$68,2,FALSE)</f>
        <v>Niedersachsen</v>
      </c>
      <c r="D990" t="str">
        <f>'2020_5-2-2_Download'!$AL$7</f>
        <v>unbekannt</v>
      </c>
      <c r="E990" t="s">
        <v>362</v>
      </c>
      <c r="F990" t="str">
        <f>VLOOKUP(A2394,[2]Kreise!$A$2:$C$53,3,FALSE)</f>
        <v>K030</v>
      </c>
      <c r="G990">
        <f>'2020_5-2-2_Download'!AL10</f>
        <v>26.248270657778892</v>
      </c>
    </row>
    <row r="991" spans="1:7">
      <c r="A991">
        <f>'2020_5-2-2_Download'!B11</f>
        <v>102</v>
      </c>
      <c r="B991">
        <f>'2020_5-2-2_Download'!$AF$5</f>
        <v>2016</v>
      </c>
      <c r="C991" t="str">
        <f>VLOOKUP(A2395,[1]Tabelle1!$A$1:$B$68,2,FALSE)</f>
        <v>Niedersachsen</v>
      </c>
      <c r="D991" t="str">
        <f>'2020_5-2-2_Download'!$AL$7</f>
        <v>unbekannt</v>
      </c>
      <c r="E991" t="s">
        <v>362</v>
      </c>
      <c r="F991" t="str">
        <f>VLOOKUP(A2395,[2]Kreise!$A$2:$C$53,3,FALSE)</f>
        <v>K030</v>
      </c>
      <c r="G991">
        <f>'2020_5-2-2_Download'!AL11</f>
        <v>26.767537826685007</v>
      </c>
    </row>
    <row r="992" spans="1:7">
      <c r="A992">
        <f>'2020_5-2-2_Download'!B12</f>
        <v>103</v>
      </c>
      <c r="B992">
        <f>'2020_5-2-2_Download'!$AF$5</f>
        <v>2016</v>
      </c>
      <c r="C992" t="str">
        <f>VLOOKUP(A2396,[1]Tabelle1!$A$1:$B$68,2,FALSE)</f>
        <v>Niedersachsen</v>
      </c>
      <c r="D992" t="str">
        <f>'2020_5-2-2_Download'!$AL$7</f>
        <v>unbekannt</v>
      </c>
      <c r="E992" t="s">
        <v>362</v>
      </c>
      <c r="F992" t="str">
        <f>VLOOKUP(A2396,[2]Kreise!$A$2:$C$53,3,FALSE)</f>
        <v>K030</v>
      </c>
      <c r="G992">
        <f>'2020_5-2-2_Download'!AL12</f>
        <v>31.510626076967256</v>
      </c>
    </row>
    <row r="993" spans="1:7">
      <c r="A993">
        <f>'2020_5-2-2_Download'!B13</f>
        <v>151</v>
      </c>
      <c r="B993">
        <f>'2020_5-2-2_Download'!$AF$5</f>
        <v>2016</v>
      </c>
      <c r="C993" t="str">
        <f>VLOOKUP(A2397,[1]Tabelle1!$A$1:$B$68,2,FALSE)</f>
        <v>Niedersachsen</v>
      </c>
      <c r="D993" t="str">
        <f>'2020_5-2-2_Download'!$AL$7</f>
        <v>unbekannt</v>
      </c>
      <c r="E993" t="s">
        <v>362</v>
      </c>
      <c r="F993" t="str">
        <f>VLOOKUP(A2397,[2]Kreise!$A$2:$C$53,3,FALSE)</f>
        <v>K030</v>
      </c>
      <c r="G993">
        <f>'2020_5-2-2_Download'!AL13</f>
        <v>30.748422001803426</v>
      </c>
    </row>
    <row r="994" spans="1:7">
      <c r="A994">
        <f>'2020_5-2-2_Download'!B14</f>
        <v>153</v>
      </c>
      <c r="B994">
        <f>'2020_5-2-2_Download'!$AF$5</f>
        <v>2016</v>
      </c>
      <c r="C994" t="str">
        <f>VLOOKUP(A2398,[1]Tabelle1!$A$1:$B$68,2,FALSE)</f>
        <v>Niedersachsen</v>
      </c>
      <c r="D994" t="str">
        <f>'2020_5-2-2_Download'!$AL$7</f>
        <v>unbekannt</v>
      </c>
      <c r="E994" t="s">
        <v>362</v>
      </c>
      <c r="F994" t="str">
        <f>VLOOKUP(A2398,[2]Kreise!$A$2:$C$53,3,FALSE)</f>
        <v>K030</v>
      </c>
      <c r="G994">
        <f>'2020_5-2-2_Download'!AL14</f>
        <v>27.954971857410882</v>
      </c>
    </row>
    <row r="995" spans="1:7">
      <c r="A995">
        <f>'2020_5-2-2_Download'!B15</f>
        <v>154</v>
      </c>
      <c r="B995">
        <f>'2020_5-2-2_Download'!$AF$5</f>
        <v>2016</v>
      </c>
      <c r="C995" t="str">
        <f>VLOOKUP(A2399,[1]Tabelle1!$A$1:$B$68,2,FALSE)</f>
        <v>Niedersachsen</v>
      </c>
      <c r="D995" t="str">
        <f>'2020_5-2-2_Download'!$AL$7</f>
        <v>unbekannt</v>
      </c>
      <c r="E995" t="s">
        <v>362</v>
      </c>
      <c r="F995" t="str">
        <f>VLOOKUP(A2399,[2]Kreise!$A$2:$C$53,3,FALSE)</f>
        <v>K030</v>
      </c>
      <c r="G995">
        <f>'2020_5-2-2_Download'!AL15</f>
        <v>24.245939675174014</v>
      </c>
    </row>
    <row r="996" spans="1:7">
      <c r="A996">
        <f>'2020_5-2-2_Download'!B16</f>
        <v>155</v>
      </c>
      <c r="B996">
        <f>'2020_5-2-2_Download'!$AF$5</f>
        <v>2016</v>
      </c>
      <c r="C996" t="str">
        <f>VLOOKUP(A2400,[1]Tabelle1!$A$1:$B$68,2,FALSE)</f>
        <v>Niedersachsen</v>
      </c>
      <c r="D996" t="str">
        <f>'2020_5-2-2_Download'!$AL$7</f>
        <v>unbekannt</v>
      </c>
      <c r="E996" t="s">
        <v>362</v>
      </c>
      <c r="F996" t="str">
        <f>VLOOKUP(A2400,[2]Kreise!$A$2:$C$53,3,FALSE)</f>
        <v>K030</v>
      </c>
      <c r="G996">
        <f>'2020_5-2-2_Download'!AL16</f>
        <v>25.352112676056336</v>
      </c>
    </row>
    <row r="997" spans="1:7">
      <c r="A997">
        <f>'2020_5-2-2_Download'!B17</f>
        <v>157</v>
      </c>
      <c r="B997">
        <f>'2020_5-2-2_Download'!$AF$5</f>
        <v>2016</v>
      </c>
      <c r="C997" t="str">
        <f>VLOOKUP(A2401,[1]Tabelle1!$A$1:$B$68,2,FALSE)</f>
        <v>Niedersachsen</v>
      </c>
      <c r="D997" t="str">
        <f>'2020_5-2-2_Download'!$AL$7</f>
        <v>unbekannt</v>
      </c>
      <c r="E997" t="s">
        <v>362</v>
      </c>
      <c r="F997" t="str">
        <f>VLOOKUP(A2401,[2]Kreise!$A$2:$C$53,3,FALSE)</f>
        <v>K030</v>
      </c>
      <c r="G997">
        <f>'2020_5-2-2_Download'!AL17</f>
        <v>28.69931542917325</v>
      </c>
    </row>
    <row r="998" spans="1:7">
      <c r="A998">
        <f>'2020_5-2-2_Download'!B18</f>
        <v>158</v>
      </c>
      <c r="B998">
        <f>'2020_5-2-2_Download'!$AF$5</f>
        <v>2016</v>
      </c>
      <c r="C998" t="str">
        <f>VLOOKUP(A2402,[1]Tabelle1!$A$1:$B$68,2,FALSE)</f>
        <v>Niedersachsen</v>
      </c>
      <c r="D998" t="str">
        <f>'2020_5-2-2_Download'!$AL$7</f>
        <v>unbekannt</v>
      </c>
      <c r="E998" t="s">
        <v>362</v>
      </c>
      <c r="F998" t="str">
        <f>VLOOKUP(A2402,[2]Kreise!$A$2:$C$53,3,FALSE)</f>
        <v>K030</v>
      </c>
      <c r="G998">
        <f>'2020_5-2-2_Download'!AL18</f>
        <v>27.953890489913547</v>
      </c>
    </row>
    <row r="999" spans="1:7">
      <c r="A999">
        <f>'2020_5-2-2_Download'!B19</f>
        <v>159</v>
      </c>
      <c r="B999">
        <f>'2020_5-2-2_Download'!$AF$5</f>
        <v>2016</v>
      </c>
      <c r="C999" t="str">
        <f>VLOOKUP(A2403,[1]Tabelle1!$A$1:$B$68,2,FALSE)</f>
        <v>Niedersachsen</v>
      </c>
      <c r="D999" t="str">
        <f>'2020_5-2-2_Download'!$AL$7</f>
        <v>unbekannt</v>
      </c>
      <c r="E999" t="s">
        <v>362</v>
      </c>
      <c r="F999" t="str">
        <f>VLOOKUP(A2403,[2]Kreise!$A$2:$C$53,3,FALSE)</f>
        <v>K030</v>
      </c>
      <c r="G999">
        <f>'2020_5-2-2_Download'!AL19</f>
        <v>19.159074982480728</v>
      </c>
    </row>
    <row r="1000" spans="1:7">
      <c r="A1000">
        <f>'2020_5-2-2_Download'!B20</f>
        <v>1</v>
      </c>
      <c r="B1000">
        <f>'2020_5-2-2_Download'!$AF$5</f>
        <v>2016</v>
      </c>
      <c r="C1000" t="str">
        <f>VLOOKUP(A2404,[1]Tabelle1!$A$1:$B$68,2,FALSE)</f>
        <v>Niedersachsen</v>
      </c>
      <c r="D1000" t="str">
        <f>'2020_5-2-2_Download'!$AL$7</f>
        <v>unbekannt</v>
      </c>
      <c r="E1000" t="s">
        <v>362</v>
      </c>
      <c r="F1000" t="str">
        <f>VLOOKUP(A2404,[2]Kreise!$A$2:$C$53,3,FALSE)</f>
        <v>K030</v>
      </c>
      <c r="G1000">
        <f>'2020_5-2-2_Download'!AL20</f>
        <v>26.597704779953673</v>
      </c>
    </row>
    <row r="1001" spans="1:7">
      <c r="A1001">
        <f>'2020_5-2-2_Download'!B21</f>
        <v>241</v>
      </c>
      <c r="B1001">
        <f>'2020_5-2-2_Download'!$AF$5</f>
        <v>2016</v>
      </c>
      <c r="C1001" t="str">
        <f>VLOOKUP(A2405,[1]Tabelle1!$A$1:$B$68,2,FALSE)</f>
        <v>Niedersachsen</v>
      </c>
      <c r="D1001" t="str">
        <f>'2020_5-2-2_Download'!$AL$7</f>
        <v>unbekannt</v>
      </c>
      <c r="E1001" t="s">
        <v>362</v>
      </c>
      <c r="F1001" t="str">
        <f>VLOOKUP(A2405,[2]Kreise!$A$2:$C$53,3,FALSE)</f>
        <v>K030</v>
      </c>
      <c r="G1001">
        <f>'2020_5-2-2_Download'!AL21</f>
        <v>29.12219652443294</v>
      </c>
    </row>
    <row r="1002" spans="1:7">
      <c r="A1002">
        <f>'2020_5-2-2_Download'!B22</f>
        <v>241001</v>
      </c>
      <c r="B1002">
        <f>'2020_5-2-2_Download'!$AF$5</f>
        <v>2016</v>
      </c>
      <c r="C1002" t="str">
        <f>VLOOKUP(A2406,[1]Tabelle1!$A$1:$B$68,2,FALSE)</f>
        <v>Niedersachsen</v>
      </c>
      <c r="D1002" t="str">
        <f>'2020_5-2-2_Download'!$AL$7</f>
        <v>unbekannt</v>
      </c>
      <c r="E1002" t="s">
        <v>362</v>
      </c>
      <c r="F1002" t="str">
        <f>VLOOKUP(A2406,[2]Kreise!$A$2:$C$53,3,FALSE)</f>
        <v>K030</v>
      </c>
      <c r="G1002">
        <f>'2020_5-2-2_Download'!AL22</f>
        <v>27.925854905720676</v>
      </c>
    </row>
    <row r="1003" spans="1:7">
      <c r="A1003">
        <f>'2020_5-2-2_Download'!B23</f>
        <v>241999</v>
      </c>
      <c r="B1003">
        <f>'2020_5-2-2_Download'!$AF$5</f>
        <v>2016</v>
      </c>
      <c r="C1003" t="str">
        <f>VLOOKUP(A2407,[1]Tabelle1!$A$1:$B$68,2,FALSE)</f>
        <v>Niedersachsen</v>
      </c>
      <c r="D1003" t="str">
        <f>'2020_5-2-2_Download'!$AL$7</f>
        <v>unbekannt</v>
      </c>
      <c r="E1003" t="s">
        <v>362</v>
      </c>
      <c r="F1003" t="str">
        <f>VLOOKUP(A2407,[2]Kreise!$A$2:$C$53,3,FALSE)</f>
        <v>K030</v>
      </c>
      <c r="G1003">
        <f>'2020_5-2-2_Download'!AL23</f>
        <v>31.485573584190924</v>
      </c>
    </row>
    <row r="1004" spans="1:7">
      <c r="A1004">
        <f>'2020_5-2-2_Download'!B24</f>
        <v>251</v>
      </c>
      <c r="B1004">
        <f>'2020_5-2-2_Download'!$AF$5</f>
        <v>2016</v>
      </c>
      <c r="C1004" t="str">
        <f>VLOOKUP(A2408,[1]Tabelle1!$A$1:$B$68,2,FALSE)</f>
        <v>Niedersachsen</v>
      </c>
      <c r="D1004" t="str">
        <f>'2020_5-2-2_Download'!$AL$7</f>
        <v>unbekannt</v>
      </c>
      <c r="E1004" t="s">
        <v>362</v>
      </c>
      <c r="F1004" t="str">
        <f>VLOOKUP(A2408,[2]Kreise!$A$2:$C$53,3,FALSE)</f>
        <v>K030</v>
      </c>
      <c r="G1004">
        <f>'2020_5-2-2_Download'!AL24</f>
        <v>39.390213916892058</v>
      </c>
    </row>
    <row r="1005" spans="1:7">
      <c r="A1005">
        <f>'2020_5-2-2_Download'!B25</f>
        <v>252</v>
      </c>
      <c r="B1005">
        <f>'2020_5-2-2_Download'!$AF$5</f>
        <v>2016</v>
      </c>
      <c r="C1005" t="str">
        <f>VLOOKUP(A2409,[1]Tabelle1!$A$1:$B$68,2,FALSE)</f>
        <v>Niedersachsen</v>
      </c>
      <c r="D1005" t="str">
        <f>'2020_5-2-2_Download'!$AL$7</f>
        <v>unbekannt</v>
      </c>
      <c r="E1005" t="s">
        <v>362</v>
      </c>
      <c r="F1005" t="str">
        <f>VLOOKUP(A2409,[2]Kreise!$A$2:$C$53,3,FALSE)</f>
        <v>K030</v>
      </c>
      <c r="G1005">
        <f>'2020_5-2-2_Download'!AL25</f>
        <v>27.059212702613301</v>
      </c>
    </row>
    <row r="1006" spans="1:7">
      <c r="A1006">
        <f>'2020_5-2-2_Download'!B26</f>
        <v>254</v>
      </c>
      <c r="B1006">
        <f>'2020_5-2-2_Download'!$AF$5</f>
        <v>2016</v>
      </c>
      <c r="C1006" t="str">
        <f>VLOOKUP(A2410,[1]Tabelle1!$A$1:$B$68,2,FALSE)</f>
        <v>Niedersachsen</v>
      </c>
      <c r="D1006" t="str">
        <f>'2020_5-2-2_Download'!$AL$7</f>
        <v>unbekannt</v>
      </c>
      <c r="E1006" t="s">
        <v>362</v>
      </c>
      <c r="F1006" t="str">
        <f>VLOOKUP(A2410,[2]Kreise!$A$2:$C$53,3,FALSE)</f>
        <v>K030</v>
      </c>
      <c r="G1006">
        <f>'2020_5-2-2_Download'!AL26</f>
        <v>23.128944995491434</v>
      </c>
    </row>
    <row r="1007" spans="1:7">
      <c r="A1007">
        <f>'2020_5-2-2_Download'!B27</f>
        <v>255</v>
      </c>
      <c r="B1007">
        <f>'2020_5-2-2_Download'!$AF$5</f>
        <v>2016</v>
      </c>
      <c r="C1007" t="str">
        <f>VLOOKUP(A2411,[1]Tabelle1!$A$1:$B$68,2,FALSE)</f>
        <v>Niedersachsen</v>
      </c>
      <c r="D1007" t="str">
        <f>'2020_5-2-2_Download'!$AL$7</f>
        <v>unbekannt</v>
      </c>
      <c r="E1007" t="s">
        <v>362</v>
      </c>
      <c r="F1007" t="str">
        <f>VLOOKUP(A2411,[2]Kreise!$A$2:$C$53,3,FALSE)</f>
        <v>K030</v>
      </c>
      <c r="G1007">
        <f>'2020_5-2-2_Download'!AL27</f>
        <v>23.061224489795919</v>
      </c>
    </row>
    <row r="1008" spans="1:7">
      <c r="A1008">
        <f>'2020_5-2-2_Download'!B28</f>
        <v>256</v>
      </c>
      <c r="B1008">
        <f>'2020_5-2-2_Download'!$AF$5</f>
        <v>2016</v>
      </c>
      <c r="C1008" t="str">
        <f>VLOOKUP(A2412,[1]Tabelle1!$A$1:$B$68,2,FALSE)</f>
        <v>Niedersachsen</v>
      </c>
      <c r="D1008" t="str">
        <f>'2020_5-2-2_Download'!$AL$7</f>
        <v>unbekannt</v>
      </c>
      <c r="E1008" t="s">
        <v>362</v>
      </c>
      <c r="F1008" t="str">
        <f>VLOOKUP(A2412,[2]Kreise!$A$2:$C$53,3,FALSE)</f>
        <v>K030</v>
      </c>
      <c r="G1008">
        <f>'2020_5-2-2_Download'!AL28</f>
        <v>40.108741112505228</v>
      </c>
    </row>
    <row r="1009" spans="1:7">
      <c r="A1009">
        <f>'2020_5-2-2_Download'!B29</f>
        <v>257</v>
      </c>
      <c r="B1009">
        <f>'2020_5-2-2_Download'!$AF$5</f>
        <v>2016</v>
      </c>
      <c r="C1009" t="str">
        <f>VLOOKUP(A2413,[1]Tabelle1!$A$1:$B$68,2,FALSE)</f>
        <v>Niedersachsen</v>
      </c>
      <c r="D1009" t="str">
        <f>'2020_5-2-2_Download'!$AL$7</f>
        <v>unbekannt</v>
      </c>
      <c r="E1009" t="s">
        <v>362</v>
      </c>
      <c r="F1009" t="str">
        <f>VLOOKUP(A2413,[2]Kreise!$A$2:$C$53,3,FALSE)</f>
        <v>K030</v>
      </c>
      <c r="G1009">
        <f>'2020_5-2-2_Download'!AL29</f>
        <v>24.375473126419379</v>
      </c>
    </row>
    <row r="1010" spans="1:7">
      <c r="A1010">
        <f>'2020_5-2-2_Download'!B30</f>
        <v>2</v>
      </c>
      <c r="B1010">
        <f>'2020_5-2-2_Download'!$AF$5</f>
        <v>2016</v>
      </c>
      <c r="C1010" t="str">
        <f>VLOOKUP(A2414,[1]Tabelle1!$A$1:$B$68,2,FALSE)</f>
        <v>Niedersachsen</v>
      </c>
      <c r="D1010" t="str">
        <f>'2020_5-2-2_Download'!$AL$7</f>
        <v>unbekannt</v>
      </c>
      <c r="E1010" t="s">
        <v>362</v>
      </c>
      <c r="F1010" t="str">
        <f>VLOOKUP(A2414,[2]Kreise!$A$2:$C$53,3,FALSE)</f>
        <v>K030</v>
      </c>
      <c r="G1010">
        <f>'2020_5-2-2_Download'!AL30</f>
        <v>29.380837508504982</v>
      </c>
    </row>
    <row r="1011" spans="1:7">
      <c r="A1011">
        <f>'2020_5-2-2_Download'!B31</f>
        <v>351</v>
      </c>
      <c r="B1011">
        <f>'2020_5-2-2_Download'!$AF$5</f>
        <v>2016</v>
      </c>
      <c r="C1011" t="str">
        <f>VLOOKUP(A2415,[1]Tabelle1!$A$1:$B$68,2,FALSE)</f>
        <v>Niedersachsen</v>
      </c>
      <c r="D1011" t="str">
        <f>'2020_5-2-2_Download'!$AL$7</f>
        <v>unbekannt</v>
      </c>
      <c r="E1011" t="s">
        <v>362</v>
      </c>
      <c r="F1011" t="str">
        <f>VLOOKUP(A2415,[2]Kreise!$A$2:$C$53,3,FALSE)</f>
        <v>K030</v>
      </c>
      <c r="G1011">
        <f>'2020_5-2-2_Download'!AL31</f>
        <v>23.634377276037874</v>
      </c>
    </row>
    <row r="1012" spans="1:7">
      <c r="A1012">
        <f>'2020_5-2-2_Download'!B32</f>
        <v>352</v>
      </c>
      <c r="B1012">
        <f>'2020_5-2-2_Download'!$AF$5</f>
        <v>2016</v>
      </c>
      <c r="C1012" t="str">
        <f>VLOOKUP(A2416,[1]Tabelle1!$A$1:$B$68,2,FALSE)</f>
        <v>Niedersachsen</v>
      </c>
      <c r="D1012" t="str">
        <f>'2020_5-2-2_Download'!$AL$7</f>
        <v>unbekannt</v>
      </c>
      <c r="E1012" t="s">
        <v>362</v>
      </c>
      <c r="F1012" t="str">
        <f>VLOOKUP(A2416,[2]Kreise!$A$2:$C$53,3,FALSE)</f>
        <v>K030</v>
      </c>
      <c r="G1012">
        <f>'2020_5-2-2_Download'!AL32</f>
        <v>42.465349454438218</v>
      </c>
    </row>
    <row r="1013" spans="1:7">
      <c r="A1013">
        <f>'2020_5-2-2_Download'!B33</f>
        <v>353</v>
      </c>
      <c r="B1013">
        <f>'2020_5-2-2_Download'!$AF$5</f>
        <v>2016</v>
      </c>
      <c r="C1013" t="str">
        <f>VLOOKUP(A2417,[1]Tabelle1!$A$1:$B$68,2,FALSE)</f>
        <v>Niedersachsen</v>
      </c>
      <c r="D1013" t="str">
        <f>'2020_5-2-2_Download'!$AL$7</f>
        <v>unbekannt</v>
      </c>
      <c r="E1013" t="s">
        <v>362</v>
      </c>
      <c r="F1013" t="str">
        <f>VLOOKUP(A2417,[2]Kreise!$A$2:$C$53,3,FALSE)</f>
        <v>K030</v>
      </c>
      <c r="G1013">
        <f>'2020_5-2-2_Download'!AL33</f>
        <v>46.243207794641187</v>
      </c>
    </row>
    <row r="1014" spans="1:7">
      <c r="A1014">
        <f>'2020_5-2-2_Download'!B34</f>
        <v>354</v>
      </c>
      <c r="B1014">
        <f>'2020_5-2-2_Download'!$AF$5</f>
        <v>2016</v>
      </c>
      <c r="C1014" t="str">
        <f>VLOOKUP(A2418,[1]Tabelle1!$A$1:$B$68,2,FALSE)</f>
        <v>Niedersachsen</v>
      </c>
      <c r="D1014" t="str">
        <f>'2020_5-2-2_Download'!$AL$7</f>
        <v>unbekannt</v>
      </c>
      <c r="E1014" t="s">
        <v>362</v>
      </c>
      <c r="F1014" t="str">
        <f>VLOOKUP(A2418,[2]Kreise!$A$2:$C$53,3,FALSE)</f>
        <v>K030</v>
      </c>
      <c r="G1014">
        <f>'2020_5-2-2_Download'!AL34</f>
        <v>51.247600767754321</v>
      </c>
    </row>
    <row r="1015" spans="1:7">
      <c r="A1015">
        <f>'2020_5-2-2_Download'!B35</f>
        <v>355</v>
      </c>
      <c r="B1015">
        <f>'2020_5-2-2_Download'!$AF$5</f>
        <v>2016</v>
      </c>
      <c r="C1015" t="str">
        <f>VLOOKUP(A2419,[1]Tabelle1!$A$1:$B$68,2,FALSE)</f>
        <v>Niedersachsen</v>
      </c>
      <c r="D1015" t="str">
        <f>'2020_5-2-2_Download'!$AL$7</f>
        <v>unbekannt</v>
      </c>
      <c r="E1015" t="s">
        <v>362</v>
      </c>
      <c r="F1015" t="str">
        <f>VLOOKUP(A2419,[2]Kreise!$A$2:$C$53,3,FALSE)</f>
        <v>K030</v>
      </c>
      <c r="G1015">
        <f>'2020_5-2-2_Download'!AL35</f>
        <v>29.799635701275047</v>
      </c>
    </row>
    <row r="1016" spans="1:7">
      <c r="A1016">
        <f>'2020_5-2-2_Download'!B36</f>
        <v>356</v>
      </c>
      <c r="B1016">
        <f>'2020_5-2-2_Download'!$AF$5</f>
        <v>2016</v>
      </c>
      <c r="C1016" t="str">
        <f>VLOOKUP(A2420,[1]Tabelle1!$A$1:$B$68,2,FALSE)</f>
        <v>Niedersachsen</v>
      </c>
      <c r="D1016" t="str">
        <f>'2020_5-2-2_Download'!$AL$7</f>
        <v>unbekannt</v>
      </c>
      <c r="E1016" t="s">
        <v>362</v>
      </c>
      <c r="F1016" t="str">
        <f>VLOOKUP(A2420,[2]Kreise!$A$2:$C$53,3,FALSE)</f>
        <v>K030</v>
      </c>
      <c r="G1016">
        <f>'2020_5-2-2_Download'!AL36</f>
        <v>33.686601059803181</v>
      </c>
    </row>
    <row r="1017" spans="1:7">
      <c r="A1017">
        <f>'2020_5-2-2_Download'!B37</f>
        <v>357</v>
      </c>
      <c r="B1017">
        <f>'2020_5-2-2_Download'!$AF$5</f>
        <v>2016</v>
      </c>
      <c r="C1017" t="str">
        <f>VLOOKUP(A2421,[1]Tabelle1!$A$1:$B$68,2,FALSE)</f>
        <v>Niedersachsen</v>
      </c>
      <c r="D1017" t="str">
        <f>'2020_5-2-2_Download'!$AL$7</f>
        <v>unbekannt</v>
      </c>
      <c r="E1017" t="s">
        <v>362</v>
      </c>
      <c r="F1017" t="str">
        <f>VLOOKUP(A2421,[2]Kreise!$A$2:$C$53,3,FALSE)</f>
        <v>K030</v>
      </c>
      <c r="G1017">
        <f>'2020_5-2-2_Download'!AL37</f>
        <v>34.148793565683647</v>
      </c>
    </row>
    <row r="1018" spans="1:7">
      <c r="A1018">
        <f>'2020_5-2-2_Download'!B38</f>
        <v>358</v>
      </c>
      <c r="B1018">
        <f>'2020_5-2-2_Download'!$AF$5</f>
        <v>2016</v>
      </c>
      <c r="C1018" t="str">
        <f>VLOOKUP(A2422,[1]Tabelle1!$A$1:$B$68,2,FALSE)</f>
        <v>Niedersachsen</v>
      </c>
      <c r="D1018" t="str">
        <f>'2020_5-2-2_Download'!$AL$7</f>
        <v>unbekannt</v>
      </c>
      <c r="E1018" t="s">
        <v>362</v>
      </c>
      <c r="F1018" t="str">
        <f>VLOOKUP(A2422,[2]Kreise!$A$2:$C$53,3,FALSE)</f>
        <v>K030</v>
      </c>
      <c r="G1018">
        <f>'2020_5-2-2_Download'!AL38</f>
        <v>34.115586690017516</v>
      </c>
    </row>
    <row r="1019" spans="1:7">
      <c r="A1019">
        <f>'2020_5-2-2_Download'!B39</f>
        <v>359</v>
      </c>
      <c r="B1019">
        <f>'2020_5-2-2_Download'!$AF$5</f>
        <v>2016</v>
      </c>
      <c r="C1019" t="str">
        <f>VLOOKUP(A2423,[1]Tabelle1!$A$1:$B$68,2,FALSE)</f>
        <v>Niedersachsen</v>
      </c>
      <c r="D1019" t="str">
        <f>'2020_5-2-2_Download'!$AL$7</f>
        <v>unbekannt</v>
      </c>
      <c r="E1019" t="s">
        <v>362</v>
      </c>
      <c r="F1019" t="str">
        <f>VLOOKUP(A2423,[2]Kreise!$A$2:$C$53,3,FALSE)</f>
        <v>K030</v>
      </c>
      <c r="G1019">
        <f>'2020_5-2-2_Download'!AL39</f>
        <v>52.534135616755385</v>
      </c>
    </row>
    <row r="1020" spans="1:7">
      <c r="A1020">
        <f>'2020_5-2-2_Download'!B40</f>
        <v>360</v>
      </c>
      <c r="B1020">
        <f>'2020_5-2-2_Download'!$AF$5</f>
        <v>2016</v>
      </c>
      <c r="C1020" t="str">
        <f>VLOOKUP(A2424,[1]Tabelle1!$A$1:$B$68,2,FALSE)</f>
        <v>Niedersachsen</v>
      </c>
      <c r="D1020" t="str">
        <f>'2020_5-2-2_Download'!$AL$7</f>
        <v>unbekannt</v>
      </c>
      <c r="E1020" t="s">
        <v>362</v>
      </c>
      <c r="F1020" t="str">
        <f>VLOOKUP(A2424,[2]Kreise!$A$2:$C$53,3,FALSE)</f>
        <v>K030</v>
      </c>
      <c r="G1020">
        <f>'2020_5-2-2_Download'!AL40</f>
        <v>30.711610486891384</v>
      </c>
    </row>
    <row r="1021" spans="1:7">
      <c r="A1021">
        <f>'2020_5-2-2_Download'!B41</f>
        <v>361</v>
      </c>
      <c r="B1021">
        <f>'2020_5-2-2_Download'!$AF$5</f>
        <v>2016</v>
      </c>
      <c r="C1021" t="str">
        <f>VLOOKUP(A2425,[1]Tabelle1!$A$1:$B$68,2,FALSE)</f>
        <v>Niedersachsen</v>
      </c>
      <c r="D1021" t="str">
        <f>'2020_5-2-2_Download'!$AL$7</f>
        <v>unbekannt</v>
      </c>
      <c r="E1021" t="s">
        <v>362</v>
      </c>
      <c r="F1021" t="str">
        <f>VLOOKUP(A2425,[2]Kreise!$A$2:$C$53,3,FALSE)</f>
        <v>K030</v>
      </c>
      <c r="G1021">
        <f>'2020_5-2-2_Download'!AL41</f>
        <v>34.590812290842713</v>
      </c>
    </row>
    <row r="1022" spans="1:7">
      <c r="A1022">
        <f>'2020_5-2-2_Download'!B42</f>
        <v>3</v>
      </c>
      <c r="B1022">
        <f>'2020_5-2-2_Download'!$AF$5</f>
        <v>2016</v>
      </c>
      <c r="C1022" t="str">
        <f>VLOOKUP(A2426,[1]Tabelle1!$A$1:$B$68,2,FALSE)</f>
        <v>Niedersachsen</v>
      </c>
      <c r="D1022" t="str">
        <f>'2020_5-2-2_Download'!$AL$7</f>
        <v>unbekannt</v>
      </c>
      <c r="E1022" t="s">
        <v>362</v>
      </c>
      <c r="F1022" t="str">
        <f>VLOOKUP(A2426,[2]Kreise!$A$2:$C$53,3,FALSE)</f>
        <v>K030</v>
      </c>
      <c r="G1022">
        <f>'2020_5-2-2_Download'!AL42</f>
        <v>38.641418105703821</v>
      </c>
    </row>
    <row r="1023" spans="1:7">
      <c r="A1023">
        <f>'2020_5-2-2_Download'!B43</f>
        <v>401</v>
      </c>
      <c r="B1023">
        <f>'2020_5-2-2_Download'!$AF$5</f>
        <v>2016</v>
      </c>
      <c r="C1023" t="str">
        <f>VLOOKUP(A2427,[1]Tabelle1!$A$1:$B$68,2,FALSE)</f>
        <v>Niedersachsen</v>
      </c>
      <c r="D1023" t="str">
        <f>'2020_5-2-2_Download'!$AL$7</f>
        <v>unbekannt</v>
      </c>
      <c r="E1023" t="s">
        <v>362</v>
      </c>
      <c r="F1023" t="str">
        <f>VLOOKUP(A2427,[2]Kreise!$A$2:$C$53,3,FALSE)</f>
        <v>K030</v>
      </c>
      <c r="G1023">
        <f>'2020_5-2-2_Download'!AL43</f>
        <v>35.037037037037038</v>
      </c>
    </row>
    <row r="1024" spans="1:7">
      <c r="A1024">
        <f>'2020_5-2-2_Download'!B44</f>
        <v>402</v>
      </c>
      <c r="B1024">
        <f>'2020_5-2-2_Download'!$AF$5</f>
        <v>2016</v>
      </c>
      <c r="C1024" t="str">
        <f>VLOOKUP(A2428,[1]Tabelle1!$A$1:$B$68,2,FALSE)</f>
        <v>Niedersachsen</v>
      </c>
      <c r="D1024" t="str">
        <f>'2020_5-2-2_Download'!$AL$7</f>
        <v>unbekannt</v>
      </c>
      <c r="E1024" t="s">
        <v>362</v>
      </c>
      <c r="F1024" t="str">
        <f>VLOOKUP(A2428,[2]Kreise!$A$2:$C$53,3,FALSE)</f>
        <v>K030</v>
      </c>
      <c r="G1024">
        <f>'2020_5-2-2_Download'!AL44</f>
        <v>27.91777188328912</v>
      </c>
    </row>
    <row r="1025" spans="1:7">
      <c r="A1025">
        <f>'2020_5-2-2_Download'!B45</f>
        <v>403</v>
      </c>
      <c r="B1025">
        <f>'2020_5-2-2_Download'!$AF$5</f>
        <v>2016</v>
      </c>
      <c r="C1025" t="str">
        <f>VLOOKUP(A2429,[1]Tabelle1!$A$1:$B$68,2,FALSE)</f>
        <v>Niedersachsen</v>
      </c>
      <c r="D1025" t="str">
        <f>'2020_5-2-2_Download'!$AL$7</f>
        <v>unbekannt</v>
      </c>
      <c r="E1025" t="s">
        <v>362</v>
      </c>
      <c r="F1025" t="str">
        <f>VLOOKUP(A2429,[2]Kreise!$A$2:$C$53,3,FALSE)</f>
        <v>K030</v>
      </c>
      <c r="G1025">
        <f>'2020_5-2-2_Download'!AL45</f>
        <v>31.904260915307731</v>
      </c>
    </row>
    <row r="1026" spans="1:7">
      <c r="A1026">
        <f>'2020_5-2-2_Download'!B46</f>
        <v>404</v>
      </c>
      <c r="B1026">
        <f>'2020_5-2-2_Download'!$AF$5</f>
        <v>2016</v>
      </c>
      <c r="C1026" t="str">
        <f>VLOOKUP(A2430,[1]Tabelle1!$A$1:$B$68,2,FALSE)</f>
        <v>Niedersachsen</v>
      </c>
      <c r="D1026" t="str">
        <f>'2020_5-2-2_Download'!$AL$7</f>
        <v>unbekannt</v>
      </c>
      <c r="E1026" t="s">
        <v>362</v>
      </c>
      <c r="F1026" t="str">
        <f>VLOOKUP(A2430,[2]Kreise!$A$2:$C$53,3,FALSE)</f>
        <v>K030</v>
      </c>
      <c r="G1026">
        <f>'2020_5-2-2_Download'!AL46</f>
        <v>29.526332190713617</v>
      </c>
    </row>
    <row r="1027" spans="1:7">
      <c r="A1027">
        <f>'2020_5-2-2_Download'!B47</f>
        <v>405</v>
      </c>
      <c r="B1027">
        <f>'2020_5-2-2_Download'!$AF$5</f>
        <v>2016</v>
      </c>
      <c r="C1027" t="str">
        <f>VLOOKUP(A2431,[1]Tabelle1!$A$1:$B$68,2,FALSE)</f>
        <v>Niedersachsen</v>
      </c>
      <c r="D1027" t="str">
        <f>'2020_5-2-2_Download'!$AL$7</f>
        <v>unbekannt</v>
      </c>
      <c r="E1027" t="s">
        <v>362</v>
      </c>
      <c r="F1027" t="str">
        <f>VLOOKUP(A2431,[2]Kreise!$A$2:$C$53,3,FALSE)</f>
        <v>K030</v>
      </c>
      <c r="G1027">
        <f>'2020_5-2-2_Download'!AL47</f>
        <v>28.719723183391004</v>
      </c>
    </row>
    <row r="1028" spans="1:7">
      <c r="A1028">
        <f>'2020_5-2-2_Download'!B48</f>
        <v>451</v>
      </c>
      <c r="B1028">
        <f>'2020_5-2-2_Download'!$AF$5</f>
        <v>2016</v>
      </c>
      <c r="C1028" t="str">
        <f>VLOOKUP(A2432,[1]Tabelle1!$A$1:$B$68,2,FALSE)</f>
        <v>Niedersachsen</v>
      </c>
      <c r="D1028" t="str">
        <f>'2020_5-2-2_Download'!$AL$7</f>
        <v>unbekannt</v>
      </c>
      <c r="E1028" t="s">
        <v>362</v>
      </c>
      <c r="F1028" t="str">
        <f>VLOOKUP(A2432,[2]Kreise!$A$2:$C$53,3,FALSE)</f>
        <v>K030</v>
      </c>
      <c r="G1028">
        <f>'2020_5-2-2_Download'!AL48</f>
        <v>49.693029974720119</v>
      </c>
    </row>
    <row r="1029" spans="1:7">
      <c r="A1029">
        <f>'2020_5-2-2_Download'!B49</f>
        <v>452</v>
      </c>
      <c r="B1029">
        <f>'2020_5-2-2_Download'!$AF$5</f>
        <v>2016</v>
      </c>
      <c r="C1029" t="str">
        <f>VLOOKUP(A2433,[1]Tabelle1!$A$1:$B$68,2,FALSE)</f>
        <v>Niedersachsen</v>
      </c>
      <c r="D1029" t="str">
        <f>'2020_5-2-2_Download'!$AL$7</f>
        <v>unbekannt</v>
      </c>
      <c r="E1029" t="s">
        <v>362</v>
      </c>
      <c r="F1029" t="str">
        <f>VLOOKUP(A2433,[2]Kreise!$A$2:$C$53,3,FALSE)</f>
        <v>K030</v>
      </c>
      <c r="G1029">
        <f>'2020_5-2-2_Download'!AL49</f>
        <v>40.765832106038289</v>
      </c>
    </row>
    <row r="1030" spans="1:7">
      <c r="A1030">
        <f>'2020_5-2-2_Download'!B50</f>
        <v>453</v>
      </c>
      <c r="B1030">
        <f>'2020_5-2-2_Download'!$AF$5</f>
        <v>2016</v>
      </c>
      <c r="C1030" t="str">
        <f>VLOOKUP(A2434,[1]Tabelle1!$A$1:$B$68,2,FALSE)</f>
        <v>Niedersachsen</v>
      </c>
      <c r="D1030" t="str">
        <f>'2020_5-2-2_Download'!$AL$7</f>
        <v>unbekannt</v>
      </c>
      <c r="E1030" t="s">
        <v>362</v>
      </c>
      <c r="F1030" t="str">
        <f>VLOOKUP(A2434,[2]Kreise!$A$2:$C$53,3,FALSE)</f>
        <v>K030</v>
      </c>
      <c r="G1030">
        <f>'2020_5-2-2_Download'!AL50</f>
        <v>50.529747351263246</v>
      </c>
    </row>
    <row r="1031" spans="1:7">
      <c r="A1031">
        <f>'2020_5-2-2_Download'!B51</f>
        <v>454</v>
      </c>
      <c r="B1031">
        <f>'2020_5-2-2_Download'!$AF$5</f>
        <v>2016</v>
      </c>
      <c r="C1031" t="str">
        <f>VLOOKUP(A2435,[1]Tabelle1!$A$1:$B$68,2,FALSE)</f>
        <v>Niedersachsen</v>
      </c>
      <c r="D1031" t="str">
        <f>'2020_5-2-2_Download'!$AL$7</f>
        <v>unbekannt</v>
      </c>
      <c r="E1031" t="s">
        <v>362</v>
      </c>
      <c r="F1031" t="str">
        <f>VLOOKUP(A2435,[2]Kreise!$A$2:$C$53,3,FALSE)</f>
        <v>K030</v>
      </c>
      <c r="G1031">
        <f>'2020_5-2-2_Download'!AL51</f>
        <v>46.230031948881788</v>
      </c>
    </row>
    <row r="1032" spans="1:7">
      <c r="A1032">
        <f>'2020_5-2-2_Download'!B52</f>
        <v>455</v>
      </c>
      <c r="B1032">
        <f>'2020_5-2-2_Download'!$AF$5</f>
        <v>2016</v>
      </c>
      <c r="C1032" t="str">
        <f>VLOOKUP(A2436,[1]Tabelle1!$A$1:$B$68,2,FALSE)</f>
        <v>Niedersachsen</v>
      </c>
      <c r="D1032" t="str">
        <f>'2020_5-2-2_Download'!$AL$7</f>
        <v>unbekannt</v>
      </c>
      <c r="E1032" t="s">
        <v>362</v>
      </c>
      <c r="F1032" t="str">
        <f>VLOOKUP(A2436,[2]Kreise!$A$2:$C$53,3,FALSE)</f>
        <v>K030</v>
      </c>
      <c r="G1032">
        <f>'2020_5-2-2_Download'!AL52</f>
        <v>40.322580645161288</v>
      </c>
    </row>
    <row r="1033" spans="1:7">
      <c r="A1033">
        <f>'2020_5-2-2_Download'!B53</f>
        <v>456</v>
      </c>
      <c r="B1033">
        <f>'2020_5-2-2_Download'!$AF$5</f>
        <v>2016</v>
      </c>
      <c r="C1033" t="str">
        <f>VLOOKUP(A2437,[1]Tabelle1!$A$1:$B$68,2,FALSE)</f>
        <v>Niedersachsen</v>
      </c>
      <c r="D1033" t="str">
        <f>'2020_5-2-2_Download'!$AL$7</f>
        <v>unbekannt</v>
      </c>
      <c r="E1033" t="s">
        <v>362</v>
      </c>
      <c r="F1033" t="str">
        <f>VLOOKUP(A2437,[2]Kreise!$A$2:$C$53,3,FALSE)</f>
        <v>K030</v>
      </c>
      <c r="G1033">
        <f>'2020_5-2-2_Download'!AL53</f>
        <v>37.141577060931901</v>
      </c>
    </row>
    <row r="1034" spans="1:7">
      <c r="A1034">
        <f>'2020_5-2-2_Download'!B54</f>
        <v>457</v>
      </c>
      <c r="B1034">
        <f>'2020_5-2-2_Download'!$AF$5</f>
        <v>2016</v>
      </c>
      <c r="C1034" t="str">
        <f>VLOOKUP(A2438,[1]Tabelle1!$A$1:$B$68,2,FALSE)</f>
        <v>Niedersachsen</v>
      </c>
      <c r="D1034" t="str">
        <f>'2020_5-2-2_Download'!$AL$7</f>
        <v>unbekannt</v>
      </c>
      <c r="E1034" t="s">
        <v>362</v>
      </c>
      <c r="F1034" t="str">
        <f>VLOOKUP(A2438,[2]Kreise!$A$2:$C$53,3,FALSE)</f>
        <v>K030</v>
      </c>
      <c r="G1034">
        <f>'2020_5-2-2_Download'!AL54</f>
        <v>42.062852538275585</v>
      </c>
    </row>
    <row r="1035" spans="1:7">
      <c r="A1035">
        <f>'2020_5-2-2_Download'!B55</f>
        <v>458</v>
      </c>
      <c r="B1035">
        <f>'2020_5-2-2_Download'!$AF$5</f>
        <v>2016</v>
      </c>
      <c r="C1035" t="str">
        <f>VLOOKUP(A2439,[1]Tabelle1!$A$1:$B$68,2,FALSE)</f>
        <v>Niedersachsen</v>
      </c>
      <c r="D1035" t="str">
        <f>'2020_5-2-2_Download'!$AL$7</f>
        <v>unbekannt</v>
      </c>
      <c r="E1035" t="s">
        <v>362</v>
      </c>
      <c r="F1035" t="str">
        <f>VLOOKUP(A2439,[2]Kreise!$A$2:$C$53,3,FALSE)</f>
        <v>K030</v>
      </c>
      <c r="G1035">
        <f>'2020_5-2-2_Download'!AL55</f>
        <v>48.680851063829792</v>
      </c>
    </row>
    <row r="1036" spans="1:7">
      <c r="A1036">
        <f>'2020_5-2-2_Download'!B56</f>
        <v>459</v>
      </c>
      <c r="B1036">
        <f>'2020_5-2-2_Download'!$AF$5</f>
        <v>2016</v>
      </c>
      <c r="C1036" t="str">
        <f>VLOOKUP(A2440,[1]Tabelle1!$A$1:$B$68,2,FALSE)</f>
        <v>Niedersachsen</v>
      </c>
      <c r="D1036" t="str">
        <f>'2020_5-2-2_Download'!$AL$7</f>
        <v>unbekannt</v>
      </c>
      <c r="E1036" t="s">
        <v>362</v>
      </c>
      <c r="F1036" t="str">
        <f>VLOOKUP(A2440,[2]Kreise!$A$2:$C$53,3,FALSE)</f>
        <v>K030</v>
      </c>
      <c r="G1036">
        <f>'2020_5-2-2_Download'!AL56</f>
        <v>45.981731333277466</v>
      </c>
    </row>
    <row r="1037" spans="1:7">
      <c r="A1037">
        <f>'2020_5-2-2_Download'!B57</f>
        <v>460</v>
      </c>
      <c r="B1037">
        <f>'2020_5-2-2_Download'!$AF$5</f>
        <v>2016</v>
      </c>
      <c r="C1037" t="str">
        <f>VLOOKUP(A2441,[1]Tabelle1!$A$1:$B$68,2,FALSE)</f>
        <v>Niedersachsen</v>
      </c>
      <c r="D1037" t="str">
        <f>'2020_5-2-2_Download'!$AL$7</f>
        <v>unbekannt</v>
      </c>
      <c r="E1037" t="s">
        <v>362</v>
      </c>
      <c r="F1037" t="str">
        <f>VLOOKUP(A2441,[2]Kreise!$A$2:$C$53,3,FALSE)</f>
        <v>K030</v>
      </c>
      <c r="G1037">
        <f>'2020_5-2-2_Download'!AL57</f>
        <v>50.20970641102457</v>
      </c>
    </row>
    <row r="1038" spans="1:7">
      <c r="A1038">
        <f>'2020_5-2-2_Download'!B58</f>
        <v>461</v>
      </c>
      <c r="B1038">
        <f>'2020_5-2-2_Download'!$AF$5</f>
        <v>2016</v>
      </c>
      <c r="C1038" t="str">
        <f>VLOOKUP(A2442,[1]Tabelle1!$A$1:$B$68,2,FALSE)</f>
        <v>Niedersachsen</v>
      </c>
      <c r="D1038" t="str">
        <f>'2020_5-2-2_Download'!$AL$7</f>
        <v>unbekannt</v>
      </c>
      <c r="E1038" t="s">
        <v>362</v>
      </c>
      <c r="F1038" t="str">
        <f>VLOOKUP(A2442,[2]Kreise!$A$2:$C$53,3,FALSE)</f>
        <v>K030</v>
      </c>
      <c r="G1038">
        <f>'2020_5-2-2_Download'!AL58</f>
        <v>38.702702702702702</v>
      </c>
    </row>
    <row r="1039" spans="1:7">
      <c r="A1039">
        <f>'2020_5-2-2_Download'!B59</f>
        <v>462</v>
      </c>
      <c r="B1039">
        <f>'2020_5-2-2_Download'!$AF$5</f>
        <v>2016</v>
      </c>
      <c r="C1039" t="str">
        <f>VLOOKUP(A2443,[1]Tabelle1!$A$1:$B$68,2,FALSE)</f>
        <v>Niedersachsen</v>
      </c>
      <c r="D1039" t="str">
        <f>'2020_5-2-2_Download'!$AL$7</f>
        <v>unbekannt</v>
      </c>
      <c r="E1039" t="s">
        <v>362</v>
      </c>
      <c r="F1039" t="str">
        <f>VLOOKUP(A2443,[2]Kreise!$A$2:$C$53,3,FALSE)</f>
        <v>K030</v>
      </c>
      <c r="G1039">
        <f>'2020_5-2-2_Download'!AL59</f>
        <v>61.191860465116278</v>
      </c>
    </row>
    <row r="1040" spans="1:7">
      <c r="A1040">
        <f>'2020_5-2-2_Download'!B60</f>
        <v>4</v>
      </c>
      <c r="B1040">
        <f>'2020_5-2-2_Download'!$AF$5</f>
        <v>2016</v>
      </c>
      <c r="C1040" t="str">
        <f>VLOOKUP(A2444,[1]Tabelle1!$A$1:$B$68,2,FALSE)</f>
        <v>Niedersachsen</v>
      </c>
      <c r="D1040" t="str">
        <f>'2020_5-2-2_Download'!$AL$7</f>
        <v>unbekannt</v>
      </c>
      <c r="E1040" t="s">
        <v>362</v>
      </c>
      <c r="F1040" t="str">
        <f>VLOOKUP(A2444,[2]Kreise!$A$2:$C$53,3,FALSE)</f>
        <v>K030</v>
      </c>
      <c r="G1040">
        <f>'2020_5-2-2_Download'!AL60</f>
        <v>42.874527358859574</v>
      </c>
    </row>
    <row r="1041" spans="1:7">
      <c r="A1041">
        <f>'2020_5-2-2_Download'!B61</f>
        <v>0</v>
      </c>
      <c r="B1041">
        <f>'2020_5-2-2_Download'!$AF$5</f>
        <v>2016</v>
      </c>
      <c r="C1041" t="str">
        <f>VLOOKUP(A2445,[1]Tabelle1!$A$1:$B$68,2,FALSE)</f>
        <v>Niedersachsen</v>
      </c>
      <c r="D1041" t="str">
        <f>'2020_5-2-2_Download'!$AL$7</f>
        <v>unbekannt</v>
      </c>
      <c r="E1041" t="s">
        <v>362</v>
      </c>
      <c r="F1041" t="str">
        <f>VLOOKUP(A2445,[2]Kreise!$A$2:$C$53,3,FALSE)</f>
        <v>K030</v>
      </c>
      <c r="G1041">
        <f>'2020_5-2-2_Download'!AL61</f>
        <v>34.863024873555716</v>
      </c>
    </row>
    <row r="1042" spans="1:7">
      <c r="A1042">
        <f>'2020_5-2-2_Download'!B10</f>
        <v>101</v>
      </c>
      <c r="B1042">
        <f>'2020_5-2-2_Download'!$AM$5</f>
        <v>2015</v>
      </c>
      <c r="C1042" t="str">
        <f>VLOOKUP(A2446,[1]Tabelle1!$A$1:$B$68,2,FALSE)</f>
        <v>Niedersachsen</v>
      </c>
      <c r="D1042" t="str">
        <f>'2020_5-2-2_Download'!$AP$7</f>
        <v>hoch</v>
      </c>
      <c r="E1042" t="s">
        <v>362</v>
      </c>
      <c r="F1042" t="str">
        <f>VLOOKUP(A2446,[2]Kreise!$A$2:$C$53,3,FALSE)</f>
        <v>K030</v>
      </c>
      <c r="G1042">
        <f>'2020_5-2-2_Download'!AP10</f>
        <v>22.564382068401688</v>
      </c>
    </row>
    <row r="1043" spans="1:7">
      <c r="A1043">
        <f>'2020_5-2-2_Download'!B11</f>
        <v>102</v>
      </c>
      <c r="B1043">
        <f>'2020_5-2-2_Download'!$AM$5</f>
        <v>2015</v>
      </c>
      <c r="C1043" t="str">
        <f>VLOOKUP(A2447,[1]Tabelle1!$A$1:$B$68,2,FALSE)</f>
        <v>Niedersachsen</v>
      </c>
      <c r="D1043" t="str">
        <f>'2020_5-2-2_Download'!$AP$7</f>
        <v>hoch</v>
      </c>
      <c r="E1043" t="s">
        <v>362</v>
      </c>
      <c r="F1043" t="str">
        <f>VLOOKUP(A2447,[2]Kreise!$A$2:$C$53,3,FALSE)</f>
        <v>K030</v>
      </c>
      <c r="G1043">
        <f>'2020_5-2-2_Download'!AP11</f>
        <v>6.3742690058479532</v>
      </c>
    </row>
    <row r="1044" spans="1:7">
      <c r="A1044">
        <f>'2020_5-2-2_Download'!B12</f>
        <v>103</v>
      </c>
      <c r="B1044">
        <f>'2020_5-2-2_Download'!$AM$5</f>
        <v>2015</v>
      </c>
      <c r="C1044" t="str">
        <f>VLOOKUP(A2448,[1]Tabelle1!$A$1:$B$68,2,FALSE)</f>
        <v>Niedersachsen</v>
      </c>
      <c r="D1044" t="str">
        <f>'2020_5-2-2_Download'!$AP$7</f>
        <v>hoch</v>
      </c>
      <c r="E1044" t="s">
        <v>362</v>
      </c>
      <c r="F1044" t="str">
        <f>VLOOKUP(A2448,[2]Kreise!$A$2:$C$53,3,FALSE)</f>
        <v>K030</v>
      </c>
      <c r="G1044">
        <f>'2020_5-2-2_Download'!AP12</f>
        <v>22.465088038858529</v>
      </c>
    </row>
    <row r="1045" spans="1:7">
      <c r="A1045">
        <f>'2020_5-2-2_Download'!B13</f>
        <v>151</v>
      </c>
      <c r="B1045">
        <f>'2020_5-2-2_Download'!$AM$5</f>
        <v>2015</v>
      </c>
      <c r="C1045" t="str">
        <f>VLOOKUP(A2449,[1]Tabelle1!$A$1:$B$68,2,FALSE)</f>
        <v>Niedersachsen</v>
      </c>
      <c r="D1045" t="str">
        <f>'2020_5-2-2_Download'!$AP$7</f>
        <v>hoch</v>
      </c>
      <c r="E1045" t="s">
        <v>362</v>
      </c>
      <c r="F1045" t="str">
        <f>VLOOKUP(A2449,[2]Kreise!$A$2:$C$53,3,FALSE)</f>
        <v>K030</v>
      </c>
      <c r="G1045">
        <f>'2020_5-2-2_Download'!AP13</f>
        <v>15.870786516853933</v>
      </c>
    </row>
    <row r="1046" spans="1:7">
      <c r="A1046">
        <f>'2020_5-2-2_Download'!B14</f>
        <v>153</v>
      </c>
      <c r="B1046">
        <f>'2020_5-2-2_Download'!$AM$5</f>
        <v>2015</v>
      </c>
      <c r="C1046" t="str">
        <f>VLOOKUP(A2450,[1]Tabelle1!$A$1:$B$68,2,FALSE)</f>
        <v>Niedersachsen</v>
      </c>
      <c r="D1046" t="str">
        <f>'2020_5-2-2_Download'!$AP$7</f>
        <v>hoch</v>
      </c>
      <c r="E1046" t="s">
        <v>362</v>
      </c>
      <c r="F1046" t="str">
        <f>VLOOKUP(A2450,[2]Kreise!$A$2:$C$53,3,FALSE)</f>
        <v>K030</v>
      </c>
      <c r="G1046">
        <f>'2020_5-2-2_Download'!AP14</f>
        <v>19.593908629441625</v>
      </c>
    </row>
    <row r="1047" spans="1:7">
      <c r="A1047">
        <f>'2020_5-2-2_Download'!B15</f>
        <v>154</v>
      </c>
      <c r="B1047">
        <f>'2020_5-2-2_Download'!$AM$5</f>
        <v>2015</v>
      </c>
      <c r="C1047" t="str">
        <f>VLOOKUP(A2451,[1]Tabelle1!$A$1:$B$68,2,FALSE)</f>
        <v>Niedersachsen</v>
      </c>
      <c r="D1047" t="str">
        <f>'2020_5-2-2_Download'!$AP$7</f>
        <v>hoch</v>
      </c>
      <c r="E1047" t="s">
        <v>362</v>
      </c>
      <c r="F1047" t="str">
        <f>VLOOKUP(A2451,[2]Kreise!$A$2:$C$53,3,FALSE)</f>
        <v>K030</v>
      </c>
      <c r="G1047">
        <f>'2020_5-2-2_Download'!AP15</f>
        <v>14.606741573033707</v>
      </c>
    </row>
    <row r="1048" spans="1:7">
      <c r="A1048">
        <f>'2020_5-2-2_Download'!B16</f>
        <v>155</v>
      </c>
      <c r="B1048">
        <f>'2020_5-2-2_Download'!$AM$5</f>
        <v>2015</v>
      </c>
      <c r="C1048" t="str">
        <f>VLOOKUP(A2452,[1]Tabelle1!$A$1:$B$68,2,FALSE)</f>
        <v>Niedersachsen</v>
      </c>
      <c r="D1048" t="str">
        <f>'2020_5-2-2_Download'!$AP$7</f>
        <v>hoch</v>
      </c>
      <c r="E1048" t="s">
        <v>362</v>
      </c>
      <c r="F1048" t="str">
        <f>VLOOKUP(A2452,[2]Kreise!$A$2:$C$53,3,FALSE)</f>
        <v>K030</v>
      </c>
      <c r="G1048">
        <f>'2020_5-2-2_Download'!AP16</f>
        <v>8.9668615984405449</v>
      </c>
    </row>
    <row r="1049" spans="1:7">
      <c r="A1049">
        <f>'2020_5-2-2_Download'!B17</f>
        <v>157</v>
      </c>
      <c r="B1049">
        <f>'2020_5-2-2_Download'!$AM$5</f>
        <v>2015</v>
      </c>
      <c r="C1049" t="str">
        <f>VLOOKUP(A2453,[1]Tabelle1!$A$1:$B$68,2,FALSE)</f>
        <v>Niedersachsen</v>
      </c>
      <c r="D1049" t="str">
        <f>'2020_5-2-2_Download'!$AP$7</f>
        <v>hoch</v>
      </c>
      <c r="E1049" t="s">
        <v>362</v>
      </c>
      <c r="F1049" t="str">
        <f>VLOOKUP(A2453,[2]Kreise!$A$2:$C$53,3,FALSE)</f>
        <v>K030</v>
      </c>
      <c r="G1049">
        <f>'2020_5-2-2_Download'!AP17</f>
        <v>6.2539086929330825</v>
      </c>
    </row>
    <row r="1050" spans="1:7">
      <c r="A1050">
        <f>'2020_5-2-2_Download'!B18</f>
        <v>158</v>
      </c>
      <c r="B1050">
        <f>'2020_5-2-2_Download'!$AM$5</f>
        <v>2015</v>
      </c>
      <c r="C1050" t="str">
        <f>VLOOKUP(A2454,[1]Tabelle1!$A$1:$B$68,2,FALSE)</f>
        <v>Niedersachsen</v>
      </c>
      <c r="D1050" t="str">
        <f>'2020_5-2-2_Download'!$AP$7</f>
        <v>hoch</v>
      </c>
      <c r="E1050" t="s">
        <v>362</v>
      </c>
      <c r="F1050" t="str">
        <f>VLOOKUP(A2454,[2]Kreise!$A$2:$C$53,3,FALSE)</f>
        <v>K030</v>
      </c>
      <c r="G1050">
        <f>'2020_5-2-2_Download'!AP18</f>
        <v>10.96045197740113</v>
      </c>
    </row>
    <row r="1051" spans="1:7">
      <c r="A1051">
        <f>'2020_5-2-2_Download'!B19</f>
        <v>159</v>
      </c>
      <c r="B1051">
        <f>'2020_5-2-2_Download'!$AM$5</f>
        <v>2015</v>
      </c>
      <c r="C1051" t="str">
        <f>VLOOKUP(A2455,[1]Tabelle1!$A$1:$B$68,2,FALSE)</f>
        <v>Niedersachsen</v>
      </c>
      <c r="D1051" t="str">
        <f>'2020_5-2-2_Download'!$AP$7</f>
        <v>hoch</v>
      </c>
      <c r="E1051" t="s">
        <v>362</v>
      </c>
      <c r="F1051" t="str">
        <f>VLOOKUP(A2455,[2]Kreise!$A$2:$C$53,3,FALSE)</f>
        <v>K030</v>
      </c>
      <c r="G1051">
        <f>'2020_5-2-2_Download'!AP19</f>
        <v>27.584564078132445</v>
      </c>
    </row>
    <row r="1052" spans="1:7">
      <c r="A1052">
        <f>'2020_5-2-2_Download'!B20</f>
        <v>1</v>
      </c>
      <c r="B1052">
        <f>'2020_5-2-2_Download'!$AM$5</f>
        <v>2015</v>
      </c>
      <c r="C1052" t="str">
        <f>VLOOKUP(A2456,[1]Tabelle1!$A$1:$B$68,2,FALSE)</f>
        <v>Niedersachsen</v>
      </c>
      <c r="D1052" t="str">
        <f>'2020_5-2-2_Download'!$AP$7</f>
        <v>hoch</v>
      </c>
      <c r="E1052" t="s">
        <v>362</v>
      </c>
      <c r="F1052" t="str">
        <f>VLOOKUP(A2456,[2]Kreise!$A$2:$C$53,3,FALSE)</f>
        <v>K030</v>
      </c>
      <c r="G1052">
        <f>'2020_5-2-2_Download'!AP20</f>
        <v>19.255303795641499</v>
      </c>
    </row>
    <row r="1053" spans="1:7">
      <c r="A1053">
        <f>'2020_5-2-2_Download'!B21</f>
        <v>241</v>
      </c>
      <c r="B1053">
        <f>'2020_5-2-2_Download'!$AM$5</f>
        <v>2015</v>
      </c>
      <c r="C1053" t="str">
        <f>VLOOKUP(A2457,[1]Tabelle1!$A$1:$B$68,2,FALSE)</f>
        <v>Niedersachsen</v>
      </c>
      <c r="D1053" t="str">
        <f>'2020_5-2-2_Download'!$AP$7</f>
        <v>hoch</v>
      </c>
      <c r="E1053" t="s">
        <v>362</v>
      </c>
      <c r="F1053" t="str">
        <f>VLOOKUP(A2457,[2]Kreise!$A$2:$C$53,3,FALSE)</f>
        <v>K030</v>
      </c>
      <c r="G1053">
        <f>'2020_5-2-2_Download'!AP21</f>
        <v>11.768976743096704</v>
      </c>
    </row>
    <row r="1054" spans="1:7">
      <c r="A1054">
        <f>'2020_5-2-2_Download'!B22</f>
        <v>241001</v>
      </c>
      <c r="B1054">
        <f>'2020_5-2-2_Download'!$AM$5</f>
        <v>2015</v>
      </c>
      <c r="C1054" t="str">
        <f>VLOOKUP(A2458,[1]Tabelle1!$A$1:$B$68,2,FALSE)</f>
        <v>Niedersachsen</v>
      </c>
      <c r="D1054" t="str">
        <f>'2020_5-2-2_Download'!$AP$7</f>
        <v>hoch</v>
      </c>
      <c r="E1054" t="s">
        <v>362</v>
      </c>
      <c r="F1054" t="str">
        <f>VLOOKUP(A2458,[2]Kreise!$A$2:$C$53,3,FALSE)</f>
        <v>K030</v>
      </c>
      <c r="G1054">
        <f>'2020_5-2-2_Download'!AP22</f>
        <v>14.298709022845749</v>
      </c>
    </row>
    <row r="1055" spans="1:7">
      <c r="A1055">
        <f>'2020_5-2-2_Download'!B23</f>
        <v>241999</v>
      </c>
      <c r="B1055">
        <f>'2020_5-2-2_Download'!$AM$5</f>
        <v>2015</v>
      </c>
      <c r="C1055" t="str">
        <f>VLOOKUP(A2459,[1]Tabelle1!$A$1:$B$68,2,FALSE)</f>
        <v>Niedersachsen</v>
      </c>
      <c r="D1055" t="str">
        <f>'2020_5-2-2_Download'!$AP$7</f>
        <v>hoch</v>
      </c>
      <c r="E1055" t="s">
        <v>362</v>
      </c>
      <c r="F1055" t="str">
        <f>VLOOKUP(A2459,[2]Kreise!$A$2:$C$53,3,FALSE)</f>
        <v>K030</v>
      </c>
      <c r="G1055">
        <f>'2020_5-2-2_Download'!AP23</f>
        <v>6.6458835199093098</v>
      </c>
    </row>
    <row r="1056" spans="1:7">
      <c r="A1056">
        <f>'2020_5-2-2_Download'!B24</f>
        <v>251</v>
      </c>
      <c r="B1056">
        <f>'2020_5-2-2_Download'!$AM$5</f>
        <v>2015</v>
      </c>
      <c r="C1056" t="str">
        <f>VLOOKUP(A2460,[1]Tabelle1!$A$1:$B$68,2,FALSE)</f>
        <v>Niedersachsen</v>
      </c>
      <c r="D1056" t="str">
        <f>'2020_5-2-2_Download'!$AP$7</f>
        <v>hoch</v>
      </c>
      <c r="E1056" t="s">
        <v>362</v>
      </c>
      <c r="F1056" t="str">
        <f>VLOOKUP(A2460,[2]Kreise!$A$2:$C$53,3,FALSE)</f>
        <v>K030</v>
      </c>
      <c r="G1056">
        <f>'2020_5-2-2_Download'!AP24</f>
        <v>7.8550647976725729</v>
      </c>
    </row>
    <row r="1057" spans="1:7">
      <c r="A1057">
        <f>'2020_5-2-2_Download'!B25</f>
        <v>252</v>
      </c>
      <c r="B1057">
        <f>'2020_5-2-2_Download'!$AM$5</f>
        <v>2015</v>
      </c>
      <c r="C1057" t="str">
        <f>VLOOKUP(A2461,[1]Tabelle1!$A$1:$B$68,2,FALSE)</f>
        <v>Niedersachsen</v>
      </c>
      <c r="D1057" t="str">
        <f>'2020_5-2-2_Download'!$AP$7</f>
        <v>hoch</v>
      </c>
      <c r="E1057" t="s">
        <v>362</v>
      </c>
      <c r="F1057" t="str">
        <f>VLOOKUP(A2461,[2]Kreise!$A$2:$C$53,3,FALSE)</f>
        <v>K030</v>
      </c>
      <c r="G1057">
        <f>'2020_5-2-2_Download'!AP25</f>
        <v>10.804020100502512</v>
      </c>
    </row>
    <row r="1058" spans="1:7">
      <c r="A1058">
        <f>'2020_5-2-2_Download'!B26</f>
        <v>254</v>
      </c>
      <c r="B1058">
        <f>'2020_5-2-2_Download'!$AM$5</f>
        <v>2015</v>
      </c>
      <c r="C1058" t="str">
        <f>VLOOKUP(A2462,[1]Tabelle1!$A$1:$B$68,2,FALSE)</f>
        <v>Niedersachsen</v>
      </c>
      <c r="D1058" t="str">
        <f>'2020_5-2-2_Download'!$AP$7</f>
        <v>hoch</v>
      </c>
      <c r="E1058" t="s">
        <v>362</v>
      </c>
      <c r="F1058" t="str">
        <f>VLOOKUP(A2462,[2]Kreise!$A$2:$C$53,3,FALSE)</f>
        <v>K030</v>
      </c>
      <c r="G1058">
        <f>'2020_5-2-2_Download'!AP26</f>
        <v>14.459389549922399</v>
      </c>
    </row>
    <row r="1059" spans="1:7">
      <c r="A1059">
        <f>'2020_5-2-2_Download'!B27</f>
        <v>255</v>
      </c>
      <c r="B1059">
        <f>'2020_5-2-2_Download'!$AM$5</f>
        <v>2015</v>
      </c>
      <c r="C1059" t="str">
        <f>VLOOKUP(A2463,[1]Tabelle1!$A$1:$B$68,2,FALSE)</f>
        <v>Niedersachsen</v>
      </c>
      <c r="D1059" t="str">
        <f>'2020_5-2-2_Download'!$AP$7</f>
        <v>hoch</v>
      </c>
      <c r="E1059" t="s">
        <v>362</v>
      </c>
      <c r="F1059" t="str">
        <f>VLOOKUP(A2463,[2]Kreise!$A$2:$C$53,3,FALSE)</f>
        <v>K030</v>
      </c>
      <c r="G1059">
        <f>'2020_5-2-2_Download'!AP27</f>
        <v>12.220916568742656</v>
      </c>
    </row>
    <row r="1060" spans="1:7">
      <c r="A1060">
        <f>'2020_5-2-2_Download'!B28</f>
        <v>256</v>
      </c>
      <c r="B1060">
        <f>'2020_5-2-2_Download'!$AM$5</f>
        <v>2015</v>
      </c>
      <c r="C1060" t="str">
        <f>VLOOKUP(A2464,[1]Tabelle1!$A$1:$B$68,2,FALSE)</f>
        <v>Niedersachsen</v>
      </c>
      <c r="D1060" t="str">
        <f>'2020_5-2-2_Download'!$AP$7</f>
        <v>hoch</v>
      </c>
      <c r="E1060" t="s">
        <v>362</v>
      </c>
      <c r="F1060" t="str">
        <f>VLOOKUP(A2464,[2]Kreise!$A$2:$C$53,3,FALSE)</f>
        <v>K030</v>
      </c>
      <c r="G1060">
        <f>'2020_5-2-2_Download'!AP28</f>
        <v>5.5446516192345436</v>
      </c>
    </row>
    <row r="1061" spans="1:7">
      <c r="A1061">
        <f>'2020_5-2-2_Download'!B29</f>
        <v>257</v>
      </c>
      <c r="B1061">
        <f>'2020_5-2-2_Download'!$AM$5</f>
        <v>2015</v>
      </c>
      <c r="C1061" t="str">
        <f>VLOOKUP(A2465,[1]Tabelle1!$A$1:$B$68,2,FALSE)</f>
        <v>Niedersachsen</v>
      </c>
      <c r="D1061" t="str">
        <f>'2020_5-2-2_Download'!$AP$7</f>
        <v>hoch</v>
      </c>
      <c r="E1061" t="s">
        <v>362</v>
      </c>
      <c r="F1061" t="str">
        <f>VLOOKUP(A2465,[2]Kreise!$A$2:$C$53,3,FALSE)</f>
        <v>K030</v>
      </c>
      <c r="G1061">
        <f>'2020_5-2-2_Download'!AP29</f>
        <v>7.6219512195121952</v>
      </c>
    </row>
    <row r="1062" spans="1:7">
      <c r="A1062">
        <f>'2020_5-2-2_Download'!B30</f>
        <v>2</v>
      </c>
      <c r="B1062">
        <f>'2020_5-2-2_Download'!$AM$5</f>
        <v>2015</v>
      </c>
      <c r="C1062" t="str">
        <f>VLOOKUP(A2466,[1]Tabelle1!$A$1:$B$68,2,FALSE)</f>
        <v>Niedersachsen</v>
      </c>
      <c r="D1062" t="str">
        <f>'2020_5-2-2_Download'!$AP$7</f>
        <v>hoch</v>
      </c>
      <c r="E1062" t="s">
        <v>362</v>
      </c>
      <c r="F1062" t="str">
        <f>VLOOKUP(A2466,[2]Kreise!$A$2:$C$53,3,FALSE)</f>
        <v>K030</v>
      </c>
      <c r="G1062">
        <f>'2020_5-2-2_Download'!AP30</f>
        <v>11.27325730944011</v>
      </c>
    </row>
    <row r="1063" spans="1:7">
      <c r="A1063">
        <f>'2020_5-2-2_Download'!B31</f>
        <v>351</v>
      </c>
      <c r="B1063">
        <f>'2020_5-2-2_Download'!$AM$5</f>
        <v>2015</v>
      </c>
      <c r="C1063" t="str">
        <f>VLOOKUP(A2467,[1]Tabelle1!$A$1:$B$68,2,FALSE)</f>
        <v>Niedersachsen</v>
      </c>
      <c r="D1063" t="str">
        <f>'2020_5-2-2_Download'!$AP$7</f>
        <v>hoch</v>
      </c>
      <c r="E1063" t="s">
        <v>362</v>
      </c>
      <c r="F1063" t="str">
        <f>VLOOKUP(A2467,[2]Kreise!$A$2:$C$53,3,FALSE)</f>
        <v>K030</v>
      </c>
      <c r="G1063">
        <f>'2020_5-2-2_Download'!AP31</f>
        <v>14.494425221068818</v>
      </c>
    </row>
    <row r="1064" spans="1:7">
      <c r="A1064">
        <f>'2020_5-2-2_Download'!B32</f>
        <v>352</v>
      </c>
      <c r="B1064">
        <f>'2020_5-2-2_Download'!$AM$5</f>
        <v>2015</v>
      </c>
      <c r="C1064" t="str">
        <f>VLOOKUP(A2468,[1]Tabelle1!$A$1:$B$68,2,FALSE)</f>
        <v>Niedersachsen</v>
      </c>
      <c r="D1064" t="str">
        <f>'2020_5-2-2_Download'!$AP$7</f>
        <v>hoch</v>
      </c>
      <c r="E1064" t="s">
        <v>362</v>
      </c>
      <c r="F1064" t="str">
        <f>VLOOKUP(A2468,[2]Kreise!$A$2:$C$53,3,FALSE)</f>
        <v>K030</v>
      </c>
      <c r="G1064">
        <f>'2020_5-2-2_Download'!AP32</f>
        <v>6.2415196743554953</v>
      </c>
    </row>
    <row r="1065" spans="1:7">
      <c r="A1065">
        <f>'2020_5-2-2_Download'!B33</f>
        <v>353</v>
      </c>
      <c r="B1065">
        <f>'2020_5-2-2_Download'!$AM$5</f>
        <v>2015</v>
      </c>
      <c r="C1065" t="str">
        <f>VLOOKUP(A2469,[1]Tabelle1!$A$1:$B$68,2,FALSE)</f>
        <v>Niedersachsen</v>
      </c>
      <c r="D1065" t="str">
        <f>'2020_5-2-2_Download'!$AP$7</f>
        <v>hoch</v>
      </c>
      <c r="E1065" t="s">
        <v>362</v>
      </c>
      <c r="F1065" t="str">
        <f>VLOOKUP(A2469,[2]Kreise!$A$2:$C$53,3,FALSE)</f>
        <v>K030</v>
      </c>
      <c r="G1065">
        <f>'2020_5-2-2_Download'!AP33</f>
        <v>5.4886211512717535</v>
      </c>
    </row>
    <row r="1066" spans="1:7">
      <c r="A1066">
        <f>'2020_5-2-2_Download'!B34</f>
        <v>354</v>
      </c>
      <c r="B1066">
        <f>'2020_5-2-2_Download'!$AM$5</f>
        <v>2015</v>
      </c>
      <c r="C1066" t="str">
        <f>VLOOKUP(A2470,[1]Tabelle1!$A$1:$B$68,2,FALSE)</f>
        <v>Niedersachsen</v>
      </c>
      <c r="D1066" t="str">
        <f>'2020_5-2-2_Download'!$AP$7</f>
        <v>hoch</v>
      </c>
      <c r="E1066" t="s">
        <v>362</v>
      </c>
      <c r="F1066" t="str">
        <f>VLOOKUP(A2470,[2]Kreise!$A$2:$C$53,3,FALSE)</f>
        <v>K030</v>
      </c>
      <c r="G1066">
        <f>'2020_5-2-2_Download'!AP34</f>
        <v>5.5643879173290935</v>
      </c>
    </row>
    <row r="1067" spans="1:7">
      <c r="A1067">
        <f>'2020_5-2-2_Download'!B35</f>
        <v>355</v>
      </c>
      <c r="B1067">
        <f>'2020_5-2-2_Download'!$AM$5</f>
        <v>2015</v>
      </c>
      <c r="C1067" t="str">
        <f>VLOOKUP(A2471,[1]Tabelle1!$A$1:$B$68,2,FALSE)</f>
        <v>Niedersachsen</v>
      </c>
      <c r="D1067" t="str">
        <f>'2020_5-2-2_Download'!$AP$7</f>
        <v>hoch</v>
      </c>
      <c r="E1067" t="s">
        <v>362</v>
      </c>
      <c r="F1067" t="str">
        <f>VLOOKUP(A2471,[2]Kreise!$A$2:$C$53,3,FALSE)</f>
        <v>K030</v>
      </c>
      <c r="G1067">
        <f>'2020_5-2-2_Download'!AP35</f>
        <v>14.94153313122564</v>
      </c>
    </row>
    <row r="1068" spans="1:7">
      <c r="A1068">
        <f>'2020_5-2-2_Download'!B36</f>
        <v>356</v>
      </c>
      <c r="B1068">
        <f>'2020_5-2-2_Download'!$AM$5</f>
        <v>2015</v>
      </c>
      <c r="C1068" t="str">
        <f>VLOOKUP(A2472,[1]Tabelle1!$A$1:$B$68,2,FALSE)</f>
        <v>Niedersachsen</v>
      </c>
      <c r="D1068" t="str">
        <f>'2020_5-2-2_Download'!$AP$7</f>
        <v>hoch</v>
      </c>
      <c r="E1068" t="s">
        <v>362</v>
      </c>
      <c r="F1068" t="str">
        <f>VLOOKUP(A2472,[2]Kreise!$A$2:$C$53,3,FALSE)</f>
        <v>K030</v>
      </c>
      <c r="G1068">
        <f>'2020_5-2-2_Download'!AP36</f>
        <v>7.9696394686907022</v>
      </c>
    </row>
    <row r="1069" spans="1:7">
      <c r="A1069">
        <f>'2020_5-2-2_Download'!B37</f>
        <v>357</v>
      </c>
      <c r="B1069">
        <f>'2020_5-2-2_Download'!$AM$5</f>
        <v>2015</v>
      </c>
      <c r="C1069" t="str">
        <f>VLOOKUP(A2473,[1]Tabelle1!$A$1:$B$68,2,FALSE)</f>
        <v>Niedersachsen</v>
      </c>
      <c r="D1069" t="str">
        <f>'2020_5-2-2_Download'!$AP$7</f>
        <v>hoch</v>
      </c>
      <c r="E1069" t="s">
        <v>362</v>
      </c>
      <c r="F1069" t="str">
        <f>VLOOKUP(A2473,[2]Kreise!$A$2:$C$53,3,FALSE)</f>
        <v>K030</v>
      </c>
      <c r="G1069">
        <f>'2020_5-2-2_Download'!AP37</f>
        <v>10.273665320771647</v>
      </c>
    </row>
    <row r="1070" spans="1:7">
      <c r="A1070">
        <f>'2020_5-2-2_Download'!B38</f>
        <v>358</v>
      </c>
      <c r="B1070">
        <f>'2020_5-2-2_Download'!$AM$5</f>
        <v>2015</v>
      </c>
      <c r="C1070" t="str">
        <f>VLOOKUP(A2474,[1]Tabelle1!$A$1:$B$68,2,FALSE)</f>
        <v>Niedersachsen</v>
      </c>
      <c r="D1070" t="str">
        <f>'2020_5-2-2_Download'!$AP$7</f>
        <v>hoch</v>
      </c>
      <c r="E1070" t="s">
        <v>362</v>
      </c>
      <c r="F1070" t="str">
        <f>VLOOKUP(A2474,[2]Kreise!$A$2:$C$53,3,FALSE)</f>
        <v>K030</v>
      </c>
      <c r="G1070">
        <f>'2020_5-2-2_Download'!AP38</f>
        <v>7.7294685990338161</v>
      </c>
    </row>
    <row r="1071" spans="1:7">
      <c r="A1071">
        <f>'2020_5-2-2_Download'!B39</f>
        <v>359</v>
      </c>
      <c r="B1071">
        <f>'2020_5-2-2_Download'!$AM$5</f>
        <v>2015</v>
      </c>
      <c r="C1071" t="str">
        <f>VLOOKUP(A2475,[1]Tabelle1!$A$1:$B$68,2,FALSE)</f>
        <v>Niedersachsen</v>
      </c>
      <c r="D1071" t="str">
        <f>'2020_5-2-2_Download'!$AP$7</f>
        <v>hoch</v>
      </c>
      <c r="E1071" t="s">
        <v>362</v>
      </c>
      <c r="F1071" t="str">
        <f>VLOOKUP(A2475,[2]Kreise!$A$2:$C$53,3,FALSE)</f>
        <v>K030</v>
      </c>
      <c r="G1071">
        <f>'2020_5-2-2_Download'!AP39</f>
        <v>6.3988453211450569</v>
      </c>
    </row>
    <row r="1072" spans="1:7">
      <c r="A1072">
        <f>'2020_5-2-2_Download'!B40</f>
        <v>360</v>
      </c>
      <c r="B1072">
        <f>'2020_5-2-2_Download'!$AM$5</f>
        <v>2015</v>
      </c>
      <c r="C1072" t="str">
        <f>VLOOKUP(A2476,[1]Tabelle1!$A$1:$B$68,2,FALSE)</f>
        <v>Niedersachsen</v>
      </c>
      <c r="D1072" t="str">
        <f>'2020_5-2-2_Download'!$AP$7</f>
        <v>hoch</v>
      </c>
      <c r="E1072" t="s">
        <v>362</v>
      </c>
      <c r="F1072" t="str">
        <f>VLOOKUP(A2476,[2]Kreise!$A$2:$C$53,3,FALSE)</f>
        <v>K030</v>
      </c>
      <c r="G1072">
        <f>'2020_5-2-2_Download'!AP40</f>
        <v>16.735966735966738</v>
      </c>
    </row>
    <row r="1073" spans="1:7">
      <c r="A1073">
        <f>'2020_5-2-2_Download'!B41</f>
        <v>361</v>
      </c>
      <c r="B1073">
        <f>'2020_5-2-2_Download'!$AM$5</f>
        <v>2015</v>
      </c>
      <c r="C1073" t="str">
        <f>VLOOKUP(A2477,[1]Tabelle1!$A$1:$B$68,2,FALSE)</f>
        <v>Niedersachsen</v>
      </c>
      <c r="D1073" t="str">
        <f>'2020_5-2-2_Download'!$AP$7</f>
        <v>hoch</v>
      </c>
      <c r="E1073" t="s">
        <v>362</v>
      </c>
      <c r="F1073" t="str">
        <f>VLOOKUP(A2477,[2]Kreise!$A$2:$C$53,3,FALSE)</f>
        <v>K030</v>
      </c>
      <c r="G1073">
        <f>'2020_5-2-2_Download'!AP41</f>
        <v>11.936437546193645</v>
      </c>
    </row>
    <row r="1074" spans="1:7">
      <c r="A1074">
        <f>'2020_5-2-2_Download'!B42</f>
        <v>3</v>
      </c>
      <c r="B1074">
        <f>'2020_5-2-2_Download'!$AM$5</f>
        <v>2015</v>
      </c>
      <c r="C1074" t="str">
        <f>VLOOKUP(A2478,[1]Tabelle1!$A$1:$B$68,2,FALSE)</f>
        <v>Niedersachsen</v>
      </c>
      <c r="D1074" t="str">
        <f>'2020_5-2-2_Download'!$AP$7</f>
        <v>hoch</v>
      </c>
      <c r="E1074" t="s">
        <v>362</v>
      </c>
      <c r="F1074" t="str">
        <f>VLOOKUP(A2478,[2]Kreise!$A$2:$C$53,3,FALSE)</f>
        <v>K030</v>
      </c>
      <c r="G1074">
        <f>'2020_5-2-2_Download'!AP42</f>
        <v>9.1939309513949024</v>
      </c>
    </row>
    <row r="1075" spans="1:7">
      <c r="A1075">
        <f>'2020_5-2-2_Download'!B43</f>
        <v>401</v>
      </c>
      <c r="B1075">
        <f>'2020_5-2-2_Download'!$AM$5</f>
        <v>2015</v>
      </c>
      <c r="C1075" t="str">
        <f>VLOOKUP(A2479,[1]Tabelle1!$A$1:$B$68,2,FALSE)</f>
        <v>Niedersachsen</v>
      </c>
      <c r="D1075" t="str">
        <f>'2020_5-2-2_Download'!$AP$7</f>
        <v>hoch</v>
      </c>
      <c r="E1075" t="s">
        <v>362</v>
      </c>
      <c r="F1075" t="str">
        <f>VLOOKUP(A2479,[2]Kreise!$A$2:$C$53,3,FALSE)</f>
        <v>K030</v>
      </c>
      <c r="G1075">
        <f>'2020_5-2-2_Download'!AP43</f>
        <v>8.7553648068669521</v>
      </c>
    </row>
    <row r="1076" spans="1:7">
      <c r="A1076">
        <f>'2020_5-2-2_Download'!B44</f>
        <v>402</v>
      </c>
      <c r="B1076">
        <f>'2020_5-2-2_Download'!$AM$5</f>
        <v>2015</v>
      </c>
      <c r="C1076" t="str">
        <f>VLOOKUP(A2480,[1]Tabelle1!$A$1:$B$68,2,FALSE)</f>
        <v>Niedersachsen</v>
      </c>
      <c r="D1076" t="str">
        <f>'2020_5-2-2_Download'!$AP$7</f>
        <v>hoch</v>
      </c>
      <c r="E1076" t="s">
        <v>362</v>
      </c>
      <c r="F1076" t="str">
        <f>VLOOKUP(A2480,[2]Kreise!$A$2:$C$53,3,FALSE)</f>
        <v>K030</v>
      </c>
      <c r="G1076">
        <f>'2020_5-2-2_Download'!AP44</f>
        <v>8.0955540809555409</v>
      </c>
    </row>
    <row r="1077" spans="1:7">
      <c r="A1077">
        <f>'2020_5-2-2_Download'!B45</f>
        <v>403</v>
      </c>
      <c r="B1077">
        <f>'2020_5-2-2_Download'!$AM$5</f>
        <v>2015</v>
      </c>
      <c r="C1077" t="str">
        <f>VLOOKUP(A2481,[1]Tabelle1!$A$1:$B$68,2,FALSE)</f>
        <v>Niedersachsen</v>
      </c>
      <c r="D1077" t="str">
        <f>'2020_5-2-2_Download'!$AP$7</f>
        <v>hoch</v>
      </c>
      <c r="E1077" t="s">
        <v>362</v>
      </c>
      <c r="F1077" t="str">
        <f>VLOOKUP(A2481,[2]Kreise!$A$2:$C$53,3,FALSE)</f>
        <v>K030</v>
      </c>
      <c r="G1077">
        <f>'2020_5-2-2_Download'!AP45</f>
        <v>19.821757836508912</v>
      </c>
    </row>
    <row r="1078" spans="1:7">
      <c r="A1078">
        <f>'2020_5-2-2_Download'!B46</f>
        <v>404</v>
      </c>
      <c r="B1078">
        <f>'2020_5-2-2_Download'!$AM$5</f>
        <v>2015</v>
      </c>
      <c r="C1078" t="str">
        <f>VLOOKUP(A2482,[1]Tabelle1!$A$1:$B$68,2,FALSE)</f>
        <v>Niedersachsen</v>
      </c>
      <c r="D1078" t="str">
        <f>'2020_5-2-2_Download'!$AP$7</f>
        <v>hoch</v>
      </c>
      <c r="E1078" t="s">
        <v>362</v>
      </c>
      <c r="F1078" t="str">
        <f>VLOOKUP(A2482,[2]Kreise!$A$2:$C$53,3,FALSE)</f>
        <v>K030</v>
      </c>
      <c r="G1078">
        <f>'2020_5-2-2_Download'!AP46</f>
        <v>10.696605374823196</v>
      </c>
    </row>
    <row r="1079" spans="1:7">
      <c r="A1079">
        <f>'2020_5-2-2_Download'!B47</f>
        <v>405</v>
      </c>
      <c r="B1079">
        <f>'2020_5-2-2_Download'!$AM$5</f>
        <v>2015</v>
      </c>
      <c r="C1079" t="str">
        <f>VLOOKUP(A2483,[1]Tabelle1!$A$1:$B$68,2,FALSE)</f>
        <v>Niedersachsen</v>
      </c>
      <c r="D1079" t="str">
        <f>'2020_5-2-2_Download'!$AP$7</f>
        <v>hoch</v>
      </c>
      <c r="E1079" t="s">
        <v>362</v>
      </c>
      <c r="F1079" t="str">
        <f>VLOOKUP(A2483,[2]Kreise!$A$2:$C$53,3,FALSE)</f>
        <v>K030</v>
      </c>
      <c r="G1079">
        <f>'2020_5-2-2_Download'!AP47</f>
        <v>15.09433962264151</v>
      </c>
    </row>
    <row r="1080" spans="1:7">
      <c r="A1080">
        <f>'2020_5-2-2_Download'!B48</f>
        <v>451</v>
      </c>
      <c r="B1080">
        <f>'2020_5-2-2_Download'!$AM$5</f>
        <v>2015</v>
      </c>
      <c r="C1080" t="str">
        <f>VLOOKUP(A2484,[1]Tabelle1!$A$1:$B$68,2,FALSE)</f>
        <v>Niedersachsen</v>
      </c>
      <c r="D1080" t="str">
        <f>'2020_5-2-2_Download'!$AP$7</f>
        <v>hoch</v>
      </c>
      <c r="E1080" t="s">
        <v>362</v>
      </c>
      <c r="F1080" t="str">
        <f>VLOOKUP(A2484,[2]Kreise!$A$2:$C$53,3,FALSE)</f>
        <v>K030</v>
      </c>
      <c r="G1080">
        <f>'2020_5-2-2_Download'!AP48</f>
        <v>5.8164584230934944</v>
      </c>
    </row>
    <row r="1081" spans="1:7">
      <c r="A1081">
        <f>'2020_5-2-2_Download'!B49</f>
        <v>452</v>
      </c>
      <c r="B1081">
        <f>'2020_5-2-2_Download'!$AM$5</f>
        <v>2015</v>
      </c>
      <c r="C1081" t="str">
        <f>VLOOKUP(A2485,[1]Tabelle1!$A$1:$B$68,2,FALSE)</f>
        <v>Niedersachsen</v>
      </c>
      <c r="D1081" t="str">
        <f>'2020_5-2-2_Download'!$AP$7</f>
        <v>hoch</v>
      </c>
      <c r="E1081" t="s">
        <v>362</v>
      </c>
      <c r="F1081" t="str">
        <f>VLOOKUP(A2485,[2]Kreise!$A$2:$C$53,3,FALSE)</f>
        <v>K030</v>
      </c>
      <c r="G1081">
        <f>'2020_5-2-2_Download'!AP49</f>
        <v>6.945317410433689</v>
      </c>
    </row>
    <row r="1082" spans="1:7">
      <c r="A1082">
        <f>'2020_5-2-2_Download'!B50</f>
        <v>453</v>
      </c>
      <c r="B1082">
        <f>'2020_5-2-2_Download'!$AM$5</f>
        <v>2015</v>
      </c>
      <c r="C1082" t="str">
        <f>VLOOKUP(A2486,[1]Tabelle1!$A$1:$B$68,2,FALSE)</f>
        <v>Niedersachsen</v>
      </c>
      <c r="D1082" t="str">
        <f>'2020_5-2-2_Download'!$AP$7</f>
        <v>hoch</v>
      </c>
      <c r="E1082" t="s">
        <v>362</v>
      </c>
      <c r="F1082" t="str">
        <f>VLOOKUP(A2486,[2]Kreise!$A$2:$C$53,3,FALSE)</f>
        <v>K030</v>
      </c>
      <c r="G1082">
        <f>'2020_5-2-2_Download'!AP50</f>
        <v>3.2283310506750142</v>
      </c>
    </row>
    <row r="1083" spans="1:7">
      <c r="A1083">
        <f>'2020_5-2-2_Download'!B51</f>
        <v>454</v>
      </c>
      <c r="B1083">
        <f>'2020_5-2-2_Download'!$AM$5</f>
        <v>2015</v>
      </c>
      <c r="C1083" t="str">
        <f>VLOOKUP(A2487,[1]Tabelle1!$A$1:$B$68,2,FALSE)</f>
        <v>Niedersachsen</v>
      </c>
      <c r="D1083" t="str">
        <f>'2020_5-2-2_Download'!$AP$7</f>
        <v>hoch</v>
      </c>
      <c r="E1083" t="s">
        <v>362</v>
      </c>
      <c r="F1083" t="str">
        <f>VLOOKUP(A2487,[2]Kreise!$A$2:$C$53,3,FALSE)</f>
        <v>K030</v>
      </c>
      <c r="G1083">
        <f>'2020_5-2-2_Download'!AP51</f>
        <v>7.0760158953980259</v>
      </c>
    </row>
    <row r="1084" spans="1:7">
      <c r="A1084">
        <f>'2020_5-2-2_Download'!B52</f>
        <v>455</v>
      </c>
      <c r="B1084">
        <f>'2020_5-2-2_Download'!$AM$5</f>
        <v>2015</v>
      </c>
      <c r="C1084" t="str">
        <f>VLOOKUP(A2488,[1]Tabelle1!$A$1:$B$68,2,FALSE)</f>
        <v>Niedersachsen</v>
      </c>
      <c r="D1084" t="str">
        <f>'2020_5-2-2_Download'!$AP$7</f>
        <v>hoch</v>
      </c>
      <c r="E1084" t="s">
        <v>362</v>
      </c>
      <c r="F1084" t="str">
        <f>VLOOKUP(A2488,[2]Kreise!$A$2:$C$53,3,FALSE)</f>
        <v>K030</v>
      </c>
      <c r="G1084">
        <f>'2020_5-2-2_Download'!AP52</f>
        <v>9.469302809573362</v>
      </c>
    </row>
    <row r="1085" spans="1:7">
      <c r="A1085">
        <f>'2020_5-2-2_Download'!B53</f>
        <v>456</v>
      </c>
      <c r="B1085">
        <f>'2020_5-2-2_Download'!$AM$5</f>
        <v>2015</v>
      </c>
      <c r="C1085" t="str">
        <f>VLOOKUP(A2489,[1]Tabelle1!$A$1:$B$68,2,FALSE)</f>
        <v>Niedersachsen</v>
      </c>
      <c r="D1085" t="str">
        <f>'2020_5-2-2_Download'!$AP$7</f>
        <v>hoch</v>
      </c>
      <c r="E1085" t="s">
        <v>362</v>
      </c>
      <c r="F1085" t="str">
        <f>VLOOKUP(A2489,[2]Kreise!$A$2:$C$53,3,FALSE)</f>
        <v>K030</v>
      </c>
      <c r="G1085">
        <f>'2020_5-2-2_Download'!AP53</f>
        <v>6.477214541730671</v>
      </c>
    </row>
    <row r="1086" spans="1:7">
      <c r="A1086">
        <f>'2020_5-2-2_Download'!B54</f>
        <v>457</v>
      </c>
      <c r="B1086">
        <f>'2020_5-2-2_Download'!$AM$5</f>
        <v>2015</v>
      </c>
      <c r="C1086" t="str">
        <f>VLOOKUP(A2490,[1]Tabelle1!$A$1:$B$68,2,FALSE)</f>
        <v>Niedersachsen</v>
      </c>
      <c r="D1086" t="str">
        <f>'2020_5-2-2_Download'!$AP$7</f>
        <v>hoch</v>
      </c>
      <c r="E1086" t="s">
        <v>362</v>
      </c>
      <c r="F1086" t="str">
        <f>VLOOKUP(A2490,[2]Kreise!$A$2:$C$53,3,FALSE)</f>
        <v>K030</v>
      </c>
      <c r="G1086">
        <f>'2020_5-2-2_Download'!AP54</f>
        <v>10.285977859778598</v>
      </c>
    </row>
    <row r="1087" spans="1:7">
      <c r="A1087">
        <f>'2020_5-2-2_Download'!B55</f>
        <v>458</v>
      </c>
      <c r="B1087">
        <f>'2020_5-2-2_Download'!$AM$5</f>
        <v>2015</v>
      </c>
      <c r="C1087" t="str">
        <f>VLOOKUP(A2491,[1]Tabelle1!$A$1:$B$68,2,FALSE)</f>
        <v>Niedersachsen</v>
      </c>
      <c r="D1087" t="str">
        <f>'2020_5-2-2_Download'!$AP$7</f>
        <v>hoch</v>
      </c>
      <c r="E1087" t="s">
        <v>362</v>
      </c>
      <c r="F1087" t="str">
        <f>VLOOKUP(A2491,[2]Kreise!$A$2:$C$53,3,FALSE)</f>
        <v>K030</v>
      </c>
      <c r="G1087">
        <f>'2020_5-2-2_Download'!AP55</f>
        <v>4.4089147286821708</v>
      </c>
    </row>
    <row r="1088" spans="1:7">
      <c r="A1088">
        <f>'2020_5-2-2_Download'!B56</f>
        <v>459</v>
      </c>
      <c r="B1088">
        <f>'2020_5-2-2_Download'!$AM$5</f>
        <v>2015</v>
      </c>
      <c r="C1088" t="str">
        <f>VLOOKUP(A2492,[1]Tabelle1!$A$1:$B$68,2,FALSE)</f>
        <v>Niedersachsen</v>
      </c>
      <c r="D1088" t="str">
        <f>'2020_5-2-2_Download'!$AP$7</f>
        <v>hoch</v>
      </c>
      <c r="E1088" t="s">
        <v>362</v>
      </c>
      <c r="F1088" t="str">
        <f>VLOOKUP(A2492,[2]Kreise!$A$2:$C$53,3,FALSE)</f>
        <v>K030</v>
      </c>
      <c r="G1088">
        <f>'2020_5-2-2_Download'!AP56</f>
        <v>4.2631527952717763</v>
      </c>
    </row>
    <row r="1089" spans="1:7">
      <c r="A1089">
        <f>'2020_5-2-2_Download'!B57</f>
        <v>460</v>
      </c>
      <c r="B1089">
        <f>'2020_5-2-2_Download'!$AM$5</f>
        <v>2015</v>
      </c>
      <c r="C1089" t="str">
        <f>VLOOKUP(A2493,[1]Tabelle1!$A$1:$B$68,2,FALSE)</f>
        <v>Niedersachsen</v>
      </c>
      <c r="D1089" t="str">
        <f>'2020_5-2-2_Download'!$AP$7</f>
        <v>hoch</v>
      </c>
      <c r="E1089" t="s">
        <v>362</v>
      </c>
      <c r="F1089" t="str">
        <f>VLOOKUP(A2493,[2]Kreise!$A$2:$C$53,3,FALSE)</f>
        <v>K030</v>
      </c>
      <c r="G1089">
        <f>'2020_5-2-2_Download'!AP57</f>
        <v>3.5723771580345289</v>
      </c>
    </row>
    <row r="1090" spans="1:7">
      <c r="A1090">
        <f>'2020_5-2-2_Download'!B58</f>
        <v>461</v>
      </c>
      <c r="B1090">
        <f>'2020_5-2-2_Download'!$AM$5</f>
        <v>2015</v>
      </c>
      <c r="C1090" t="str">
        <f>VLOOKUP(A2494,[1]Tabelle1!$A$1:$B$68,2,FALSE)</f>
        <v>Niedersachsen</v>
      </c>
      <c r="D1090" t="str">
        <f>'2020_5-2-2_Download'!$AP$7</f>
        <v>hoch</v>
      </c>
      <c r="E1090" t="s">
        <v>362</v>
      </c>
      <c r="F1090" t="str">
        <f>VLOOKUP(A2494,[2]Kreise!$A$2:$C$53,3,FALSE)</f>
        <v>K030</v>
      </c>
      <c r="G1090">
        <f>'2020_5-2-2_Download'!AP58</f>
        <v>5.4838709677419359</v>
      </c>
    </row>
    <row r="1091" spans="1:7">
      <c r="A1091">
        <f>'2020_5-2-2_Download'!B59</f>
        <v>462</v>
      </c>
      <c r="B1091">
        <f>'2020_5-2-2_Download'!$AM$5</f>
        <v>2015</v>
      </c>
      <c r="C1091" t="str">
        <f>VLOOKUP(A2495,[1]Tabelle1!$A$1:$B$68,2,FALSE)</f>
        <v>Niedersachsen</v>
      </c>
      <c r="D1091" t="str">
        <f>'2020_5-2-2_Download'!$AP$7</f>
        <v>hoch</v>
      </c>
      <c r="E1091" t="s">
        <v>362</v>
      </c>
      <c r="F1091" t="str">
        <f>VLOOKUP(A2495,[2]Kreise!$A$2:$C$53,3,FALSE)</f>
        <v>K030</v>
      </c>
      <c r="G1091">
        <f>'2020_5-2-2_Download'!AP59</f>
        <v>5.7777777777777777</v>
      </c>
    </row>
    <row r="1092" spans="1:7">
      <c r="A1092">
        <f>'2020_5-2-2_Download'!B60</f>
        <v>4</v>
      </c>
      <c r="B1092">
        <f>'2020_5-2-2_Download'!$AM$5</f>
        <v>2015</v>
      </c>
      <c r="C1092" t="str">
        <f>VLOOKUP(A2496,[1]Tabelle1!$A$1:$B$68,2,FALSE)</f>
        <v>Niedersachsen</v>
      </c>
      <c r="D1092" t="str">
        <f>'2020_5-2-2_Download'!$AP$7</f>
        <v>hoch</v>
      </c>
      <c r="E1092" t="s">
        <v>362</v>
      </c>
      <c r="F1092" t="str">
        <f>VLOOKUP(A2496,[2]Kreise!$A$2:$C$53,3,FALSE)</f>
        <v>K030</v>
      </c>
      <c r="G1092">
        <f>'2020_5-2-2_Download'!AP60</f>
        <v>6.9553936732860988</v>
      </c>
    </row>
    <row r="1093" spans="1:7">
      <c r="A1093">
        <f>'2020_5-2-2_Download'!B61</f>
        <v>0</v>
      </c>
      <c r="B1093">
        <f>'2020_5-2-2_Download'!$AM$5</f>
        <v>2015</v>
      </c>
      <c r="C1093" t="str">
        <f>VLOOKUP(A2497,[1]Tabelle1!$A$1:$B$68,2,FALSE)</f>
        <v>Niedersachsen</v>
      </c>
      <c r="D1093" t="str">
        <f>'2020_5-2-2_Download'!$AP$7</f>
        <v>hoch</v>
      </c>
      <c r="E1093" t="s">
        <v>362</v>
      </c>
      <c r="F1093" t="str">
        <f>VLOOKUP(A2497,[2]Kreise!$A$2:$C$53,3,FALSE)</f>
        <v>K030</v>
      </c>
      <c r="G1093">
        <f>'2020_5-2-2_Download'!AP61</f>
        <v>11.060023267853067</v>
      </c>
    </row>
    <row r="1094" spans="1:7">
      <c r="A1094">
        <f>'2020_5-2-2_Download'!B10</f>
        <v>101</v>
      </c>
      <c r="B1094">
        <f>'2020_5-2-2_Download'!$AM$5</f>
        <v>2015</v>
      </c>
      <c r="C1094" t="str">
        <f>VLOOKUP(A2498,[1]Tabelle1!$A$1:$B$68,2,FALSE)</f>
        <v>Niedersachsen</v>
      </c>
      <c r="D1094" t="str">
        <f>'2020_5-2-2_Download'!$AQ$7</f>
        <v>mittel</v>
      </c>
      <c r="E1094" t="s">
        <v>362</v>
      </c>
      <c r="F1094" t="str">
        <f>VLOOKUP(A2498,[2]Kreise!$A$2:$C$53,3,FALSE)</f>
        <v>K030</v>
      </c>
      <c r="G1094">
        <f>'2020_5-2-2_Download'!AQ10</f>
        <v>30.467366126175229</v>
      </c>
    </row>
    <row r="1095" spans="1:7">
      <c r="A1095">
        <f>'2020_5-2-2_Download'!B11</f>
        <v>102</v>
      </c>
      <c r="B1095">
        <f>'2020_5-2-2_Download'!$AM$5</f>
        <v>2015</v>
      </c>
      <c r="C1095" t="str">
        <f>VLOOKUP(A2499,[1]Tabelle1!$A$1:$B$68,2,FALSE)</f>
        <v>Niedersachsen</v>
      </c>
      <c r="D1095" t="str">
        <f>'2020_5-2-2_Download'!$AQ$7</f>
        <v>mittel</v>
      </c>
      <c r="E1095" t="s">
        <v>362</v>
      </c>
      <c r="F1095" t="str">
        <f>VLOOKUP(A2499,[2]Kreise!$A$2:$C$53,3,FALSE)</f>
        <v>K030</v>
      </c>
      <c r="G1095">
        <f>'2020_5-2-2_Download'!AQ11</f>
        <v>43.625730994152043</v>
      </c>
    </row>
    <row r="1096" spans="1:7">
      <c r="A1096">
        <f>'2020_5-2-2_Download'!B12</f>
        <v>103</v>
      </c>
      <c r="B1096">
        <f>'2020_5-2-2_Download'!$AM$5</f>
        <v>2015</v>
      </c>
      <c r="C1096" t="str">
        <f>VLOOKUP(A2500,[1]Tabelle1!$A$1:$B$68,2,FALSE)</f>
        <v>Niedersachsen</v>
      </c>
      <c r="D1096" t="str">
        <f>'2020_5-2-2_Download'!$AQ$7</f>
        <v>mittel</v>
      </c>
      <c r="E1096" t="s">
        <v>362</v>
      </c>
      <c r="F1096" t="str">
        <f>VLOOKUP(A2500,[2]Kreise!$A$2:$C$53,3,FALSE)</f>
        <v>K030</v>
      </c>
      <c r="G1096">
        <f>'2020_5-2-2_Download'!AQ12</f>
        <v>33.636915604128717</v>
      </c>
    </row>
    <row r="1097" spans="1:7">
      <c r="A1097">
        <f>'2020_5-2-2_Download'!B13</f>
        <v>151</v>
      </c>
      <c r="B1097">
        <f>'2020_5-2-2_Download'!$AM$5</f>
        <v>2015</v>
      </c>
      <c r="C1097" t="str">
        <f>VLOOKUP(A2501,[1]Tabelle1!$A$1:$B$68,2,FALSE)</f>
        <v>Niedersachsen</v>
      </c>
      <c r="D1097" t="str">
        <f>'2020_5-2-2_Download'!$AQ$7</f>
        <v>mittel</v>
      </c>
      <c r="E1097" t="s">
        <v>362</v>
      </c>
      <c r="F1097" t="str">
        <f>VLOOKUP(A2501,[2]Kreise!$A$2:$C$53,3,FALSE)</f>
        <v>K030</v>
      </c>
      <c r="G1097">
        <f>'2020_5-2-2_Download'!AQ13</f>
        <v>27.153558052434455</v>
      </c>
    </row>
    <row r="1098" spans="1:7">
      <c r="A1098">
        <f>'2020_5-2-2_Download'!B14</f>
        <v>153</v>
      </c>
      <c r="B1098">
        <f>'2020_5-2-2_Download'!$AM$5</f>
        <v>2015</v>
      </c>
      <c r="C1098" t="str">
        <f>VLOOKUP(A2502,[1]Tabelle1!$A$1:$B$68,2,FALSE)</f>
        <v>Niedersachsen</v>
      </c>
      <c r="D1098" t="str">
        <f>'2020_5-2-2_Download'!$AQ$7</f>
        <v>mittel</v>
      </c>
      <c r="E1098" t="s">
        <v>362</v>
      </c>
      <c r="F1098" t="str">
        <f>VLOOKUP(A2502,[2]Kreise!$A$2:$C$53,3,FALSE)</f>
        <v>K030</v>
      </c>
      <c r="G1098">
        <f>'2020_5-2-2_Download'!AQ14</f>
        <v>31.319796954314722</v>
      </c>
    </row>
    <row r="1099" spans="1:7">
      <c r="A1099">
        <f>'2020_5-2-2_Download'!B15</f>
        <v>154</v>
      </c>
      <c r="B1099">
        <f>'2020_5-2-2_Download'!$AM$5</f>
        <v>2015</v>
      </c>
      <c r="C1099" t="str">
        <f>VLOOKUP(A2503,[1]Tabelle1!$A$1:$B$68,2,FALSE)</f>
        <v>Niedersachsen</v>
      </c>
      <c r="D1099" t="str">
        <f>'2020_5-2-2_Download'!$AQ$7</f>
        <v>mittel</v>
      </c>
      <c r="E1099" t="s">
        <v>362</v>
      </c>
      <c r="F1099" t="str">
        <f>VLOOKUP(A2503,[2]Kreise!$A$2:$C$53,3,FALSE)</f>
        <v>K030</v>
      </c>
      <c r="G1099">
        <f>'2020_5-2-2_Download'!AQ15</f>
        <v>33.567415730337082</v>
      </c>
    </row>
    <row r="1100" spans="1:7">
      <c r="A1100">
        <f>'2020_5-2-2_Download'!B16</f>
        <v>155</v>
      </c>
      <c r="B1100">
        <f>'2020_5-2-2_Download'!$AM$5</f>
        <v>2015</v>
      </c>
      <c r="C1100" t="str">
        <f>VLOOKUP(A2504,[1]Tabelle1!$A$1:$B$68,2,FALSE)</f>
        <v>Niedersachsen</v>
      </c>
      <c r="D1100" t="str">
        <f>'2020_5-2-2_Download'!$AQ$7</f>
        <v>mittel</v>
      </c>
      <c r="E1100" t="s">
        <v>362</v>
      </c>
      <c r="F1100" t="str">
        <f>VLOOKUP(A2504,[2]Kreise!$A$2:$C$53,3,FALSE)</f>
        <v>K030</v>
      </c>
      <c r="G1100">
        <f>'2020_5-2-2_Download'!AQ16</f>
        <v>51.169590643274852</v>
      </c>
    </row>
    <row r="1101" spans="1:7">
      <c r="A1101">
        <f>'2020_5-2-2_Download'!B17</f>
        <v>157</v>
      </c>
      <c r="B1101">
        <f>'2020_5-2-2_Download'!$AM$5</f>
        <v>2015</v>
      </c>
      <c r="C1101" t="str">
        <f>VLOOKUP(A2505,[1]Tabelle1!$A$1:$B$68,2,FALSE)</f>
        <v>Niedersachsen</v>
      </c>
      <c r="D1101" t="str">
        <f>'2020_5-2-2_Download'!$AQ$7</f>
        <v>mittel</v>
      </c>
      <c r="E1101" t="s">
        <v>362</v>
      </c>
      <c r="F1101" t="str">
        <f>VLOOKUP(A2505,[2]Kreise!$A$2:$C$53,3,FALSE)</f>
        <v>K030</v>
      </c>
      <c r="G1101">
        <f>'2020_5-2-2_Download'!AQ17</f>
        <v>35.709818636647903</v>
      </c>
    </row>
    <row r="1102" spans="1:7">
      <c r="A1102">
        <f>'2020_5-2-2_Download'!B18</f>
        <v>158</v>
      </c>
      <c r="B1102">
        <f>'2020_5-2-2_Download'!$AM$5</f>
        <v>2015</v>
      </c>
      <c r="C1102" t="str">
        <f>VLOOKUP(A2506,[1]Tabelle1!$A$1:$B$68,2,FALSE)</f>
        <v>Niedersachsen</v>
      </c>
      <c r="D1102" t="str">
        <f>'2020_5-2-2_Download'!$AQ$7</f>
        <v>mittel</v>
      </c>
      <c r="E1102" t="s">
        <v>362</v>
      </c>
      <c r="F1102" t="str">
        <f>VLOOKUP(A2506,[2]Kreise!$A$2:$C$53,3,FALSE)</f>
        <v>K030</v>
      </c>
      <c r="G1102">
        <f>'2020_5-2-2_Download'!AQ18</f>
        <v>42.93785310734463</v>
      </c>
    </row>
    <row r="1103" spans="1:7">
      <c r="A1103">
        <f>'2020_5-2-2_Download'!B19</f>
        <v>159</v>
      </c>
      <c r="B1103">
        <f>'2020_5-2-2_Download'!$AM$5</f>
        <v>2015</v>
      </c>
      <c r="C1103" t="str">
        <f>VLOOKUP(A2507,[1]Tabelle1!$A$1:$B$68,2,FALSE)</f>
        <v>Niedersachsen</v>
      </c>
      <c r="D1103" t="str">
        <f>'2020_5-2-2_Download'!$AQ$7</f>
        <v>mittel</v>
      </c>
      <c r="E1103" t="s">
        <v>362</v>
      </c>
      <c r="F1103" t="str">
        <f>VLOOKUP(A2507,[2]Kreise!$A$2:$C$53,3,FALSE)</f>
        <v>K030</v>
      </c>
      <c r="G1103">
        <f>'2020_5-2-2_Download'!AQ19</f>
        <v>18.040336668254724</v>
      </c>
    </row>
    <row r="1104" spans="1:7">
      <c r="A1104">
        <f>'2020_5-2-2_Download'!B20</f>
        <v>1</v>
      </c>
      <c r="B1104">
        <f>'2020_5-2-2_Download'!$AM$5</f>
        <v>2015</v>
      </c>
      <c r="C1104" t="str">
        <f>VLOOKUP(A2508,[1]Tabelle1!$A$1:$B$68,2,FALSE)</f>
        <v>Niedersachsen</v>
      </c>
      <c r="D1104" t="str">
        <f>'2020_5-2-2_Download'!$AQ$7</f>
        <v>mittel</v>
      </c>
      <c r="E1104" t="s">
        <v>362</v>
      </c>
      <c r="F1104" t="str">
        <f>VLOOKUP(A2508,[2]Kreise!$A$2:$C$53,3,FALSE)</f>
        <v>K030</v>
      </c>
      <c r="G1104">
        <f>'2020_5-2-2_Download'!AQ20</f>
        <v>34.15500072160485</v>
      </c>
    </row>
    <row r="1105" spans="1:7">
      <c r="A1105">
        <f>'2020_5-2-2_Download'!B21</f>
        <v>241</v>
      </c>
      <c r="B1105">
        <f>'2020_5-2-2_Download'!$AM$5</f>
        <v>2015</v>
      </c>
      <c r="C1105" t="str">
        <f>VLOOKUP(A2509,[1]Tabelle1!$A$1:$B$68,2,FALSE)</f>
        <v>Niedersachsen</v>
      </c>
      <c r="D1105" t="str">
        <f>'2020_5-2-2_Download'!$AQ$7</f>
        <v>mittel</v>
      </c>
      <c r="E1105" t="s">
        <v>362</v>
      </c>
      <c r="F1105" t="str">
        <f>VLOOKUP(A2509,[2]Kreise!$A$2:$C$53,3,FALSE)</f>
        <v>K030</v>
      </c>
      <c r="G1105">
        <f>'2020_5-2-2_Download'!AQ21</f>
        <v>33.599550319694593</v>
      </c>
    </row>
    <row r="1106" spans="1:7">
      <c r="A1106">
        <f>'2020_5-2-2_Download'!B22</f>
        <v>241001</v>
      </c>
      <c r="B1106">
        <f>'2020_5-2-2_Download'!$AM$5</f>
        <v>2015</v>
      </c>
      <c r="C1106" t="str">
        <f>VLOOKUP(A2510,[1]Tabelle1!$A$1:$B$68,2,FALSE)</f>
        <v>Niedersachsen</v>
      </c>
      <c r="D1106" t="str">
        <f>'2020_5-2-2_Download'!$AQ$7</f>
        <v>mittel</v>
      </c>
      <c r="E1106" t="s">
        <v>362</v>
      </c>
      <c r="F1106" t="str">
        <f>VLOOKUP(A2510,[2]Kreise!$A$2:$C$53,3,FALSE)</f>
        <v>K030</v>
      </c>
      <c r="G1106">
        <f>'2020_5-2-2_Download'!AQ22</f>
        <v>32.613791414477141</v>
      </c>
    </row>
    <row r="1107" spans="1:7">
      <c r="A1107">
        <f>'2020_5-2-2_Download'!B23</f>
        <v>241999</v>
      </c>
      <c r="B1107">
        <f>'2020_5-2-2_Download'!$AM$5</f>
        <v>2015</v>
      </c>
      <c r="C1107" t="str">
        <f>VLOOKUP(A2511,[1]Tabelle1!$A$1:$B$68,2,FALSE)</f>
        <v>Niedersachsen</v>
      </c>
      <c r="D1107" t="str">
        <f>'2020_5-2-2_Download'!$AQ$7</f>
        <v>mittel</v>
      </c>
      <c r="E1107" t="s">
        <v>362</v>
      </c>
      <c r="F1107" t="str">
        <f>VLOOKUP(A2511,[2]Kreise!$A$2:$C$53,3,FALSE)</f>
        <v>K030</v>
      </c>
      <c r="G1107">
        <f>'2020_5-2-2_Download'!AQ23</f>
        <v>35.595862264418308</v>
      </c>
    </row>
    <row r="1108" spans="1:7">
      <c r="A1108">
        <f>'2020_5-2-2_Download'!B24</f>
        <v>251</v>
      </c>
      <c r="B1108">
        <f>'2020_5-2-2_Download'!$AM$5</f>
        <v>2015</v>
      </c>
      <c r="C1108" t="str">
        <f>VLOOKUP(A2512,[1]Tabelle1!$A$1:$B$68,2,FALSE)</f>
        <v>Niedersachsen</v>
      </c>
      <c r="D1108" t="str">
        <f>'2020_5-2-2_Download'!$AQ$7</f>
        <v>mittel</v>
      </c>
      <c r="E1108" t="s">
        <v>362</v>
      </c>
      <c r="F1108" t="str">
        <f>VLOOKUP(A2512,[2]Kreise!$A$2:$C$53,3,FALSE)</f>
        <v>K030</v>
      </c>
      <c r="G1108">
        <f>'2020_5-2-2_Download'!AQ24</f>
        <v>32.002115842369747</v>
      </c>
    </row>
    <row r="1109" spans="1:7">
      <c r="A1109">
        <f>'2020_5-2-2_Download'!B25</f>
        <v>252</v>
      </c>
      <c r="B1109">
        <f>'2020_5-2-2_Download'!$AM$5</f>
        <v>2015</v>
      </c>
      <c r="C1109" t="str">
        <f>VLOOKUP(A2513,[1]Tabelle1!$A$1:$B$68,2,FALSE)</f>
        <v>Niedersachsen</v>
      </c>
      <c r="D1109" t="str">
        <f>'2020_5-2-2_Download'!$AQ$7</f>
        <v>mittel</v>
      </c>
      <c r="E1109" t="s">
        <v>362</v>
      </c>
      <c r="F1109" t="str">
        <f>VLOOKUP(A2513,[2]Kreise!$A$2:$C$53,3,FALSE)</f>
        <v>K030</v>
      </c>
      <c r="G1109">
        <f>'2020_5-2-2_Download'!AQ25</f>
        <v>38.944723618090457</v>
      </c>
    </row>
    <row r="1110" spans="1:7">
      <c r="A1110">
        <f>'2020_5-2-2_Download'!B26</f>
        <v>254</v>
      </c>
      <c r="B1110">
        <f>'2020_5-2-2_Download'!$AM$5</f>
        <v>2015</v>
      </c>
      <c r="C1110" t="str">
        <f>VLOOKUP(A2514,[1]Tabelle1!$A$1:$B$68,2,FALSE)</f>
        <v>Niedersachsen</v>
      </c>
      <c r="D1110" t="str">
        <f>'2020_5-2-2_Download'!$AQ$7</f>
        <v>mittel</v>
      </c>
      <c r="E1110" t="s">
        <v>362</v>
      </c>
      <c r="F1110" t="str">
        <f>VLOOKUP(A2514,[2]Kreise!$A$2:$C$53,3,FALSE)</f>
        <v>K030</v>
      </c>
      <c r="G1110">
        <f>'2020_5-2-2_Download'!AQ26</f>
        <v>38.618727366787375</v>
      </c>
    </row>
    <row r="1111" spans="1:7">
      <c r="A1111">
        <f>'2020_5-2-2_Download'!B27</f>
        <v>255</v>
      </c>
      <c r="B1111">
        <f>'2020_5-2-2_Download'!$AM$5</f>
        <v>2015</v>
      </c>
      <c r="C1111" t="str">
        <f>VLOOKUP(A2515,[1]Tabelle1!$A$1:$B$68,2,FALSE)</f>
        <v>Niedersachsen</v>
      </c>
      <c r="D1111" t="str">
        <f>'2020_5-2-2_Download'!$AQ$7</f>
        <v>mittel</v>
      </c>
      <c r="E1111" t="s">
        <v>362</v>
      </c>
      <c r="F1111" t="str">
        <f>VLOOKUP(A2515,[2]Kreise!$A$2:$C$53,3,FALSE)</f>
        <v>K030</v>
      </c>
      <c r="G1111">
        <f>'2020_5-2-2_Download'!AQ27</f>
        <v>36.192714453584017</v>
      </c>
    </row>
    <row r="1112" spans="1:7">
      <c r="A1112">
        <f>'2020_5-2-2_Download'!B28</f>
        <v>256</v>
      </c>
      <c r="B1112">
        <f>'2020_5-2-2_Download'!$AM$5</f>
        <v>2015</v>
      </c>
      <c r="C1112" t="str">
        <f>VLOOKUP(A2516,[1]Tabelle1!$A$1:$B$68,2,FALSE)</f>
        <v>Niedersachsen</v>
      </c>
      <c r="D1112" t="str">
        <f>'2020_5-2-2_Download'!$AQ$7</f>
        <v>mittel</v>
      </c>
      <c r="E1112" t="s">
        <v>362</v>
      </c>
      <c r="F1112" t="str">
        <f>VLOOKUP(A2516,[2]Kreise!$A$2:$C$53,3,FALSE)</f>
        <v>K030</v>
      </c>
      <c r="G1112">
        <f>'2020_5-2-2_Download'!AQ28</f>
        <v>29.587831207065751</v>
      </c>
    </row>
    <row r="1113" spans="1:7">
      <c r="A1113">
        <f>'2020_5-2-2_Download'!B29</f>
        <v>257</v>
      </c>
      <c r="B1113">
        <f>'2020_5-2-2_Download'!$AM$5</f>
        <v>2015</v>
      </c>
      <c r="C1113" t="str">
        <f>VLOOKUP(A2517,[1]Tabelle1!$A$1:$B$68,2,FALSE)</f>
        <v>Niedersachsen</v>
      </c>
      <c r="D1113" t="str">
        <f>'2020_5-2-2_Download'!$AQ$7</f>
        <v>mittel</v>
      </c>
      <c r="E1113" t="s">
        <v>362</v>
      </c>
      <c r="F1113" t="str">
        <f>VLOOKUP(A2517,[2]Kreise!$A$2:$C$53,3,FALSE)</f>
        <v>K030</v>
      </c>
      <c r="G1113">
        <f>'2020_5-2-2_Download'!AQ29</f>
        <v>39.851916376306619</v>
      </c>
    </row>
    <row r="1114" spans="1:7">
      <c r="A1114">
        <f>'2020_5-2-2_Download'!B30</f>
        <v>2</v>
      </c>
      <c r="B1114">
        <f>'2020_5-2-2_Download'!$AM$5</f>
        <v>2015</v>
      </c>
      <c r="C1114" t="str">
        <f>VLOOKUP(A2518,[1]Tabelle1!$A$1:$B$68,2,FALSE)</f>
        <v>Niedersachsen</v>
      </c>
      <c r="D1114" t="str">
        <f>'2020_5-2-2_Download'!$AQ$7</f>
        <v>mittel</v>
      </c>
      <c r="E1114" t="s">
        <v>362</v>
      </c>
      <c r="F1114" t="str">
        <f>VLOOKUP(A2518,[2]Kreise!$A$2:$C$53,3,FALSE)</f>
        <v>K030</v>
      </c>
      <c r="G1114">
        <f>'2020_5-2-2_Download'!AQ30</f>
        <v>34.227900197204839</v>
      </c>
    </row>
    <row r="1115" spans="1:7">
      <c r="A1115">
        <f>'2020_5-2-2_Download'!B31</f>
        <v>351</v>
      </c>
      <c r="B1115">
        <f>'2020_5-2-2_Download'!$AM$5</f>
        <v>2015</v>
      </c>
      <c r="C1115" t="str">
        <f>VLOOKUP(A2519,[1]Tabelle1!$A$1:$B$68,2,FALSE)</f>
        <v>Niedersachsen</v>
      </c>
      <c r="D1115" t="str">
        <f>'2020_5-2-2_Download'!$AQ$7</f>
        <v>mittel</v>
      </c>
      <c r="E1115" t="s">
        <v>362</v>
      </c>
      <c r="F1115" t="str">
        <f>VLOOKUP(A2519,[2]Kreise!$A$2:$C$53,3,FALSE)</f>
        <v>K030</v>
      </c>
      <c r="G1115">
        <f>'2020_5-2-2_Download'!AQ31</f>
        <v>35.063437139561707</v>
      </c>
    </row>
    <row r="1116" spans="1:7">
      <c r="A1116">
        <f>'2020_5-2-2_Download'!B32</f>
        <v>352</v>
      </c>
      <c r="B1116">
        <f>'2020_5-2-2_Download'!$AM$5</f>
        <v>2015</v>
      </c>
      <c r="C1116" t="str">
        <f>VLOOKUP(A2520,[1]Tabelle1!$A$1:$B$68,2,FALSE)</f>
        <v>Niedersachsen</v>
      </c>
      <c r="D1116" t="str">
        <f>'2020_5-2-2_Download'!$AQ$7</f>
        <v>mittel</v>
      </c>
      <c r="E1116" t="s">
        <v>362</v>
      </c>
      <c r="F1116" t="str">
        <f>VLOOKUP(A2520,[2]Kreise!$A$2:$C$53,3,FALSE)</f>
        <v>K030</v>
      </c>
      <c r="G1116">
        <f>'2020_5-2-2_Download'!AQ32</f>
        <v>30.156037991858888</v>
      </c>
    </row>
    <row r="1117" spans="1:7">
      <c r="A1117">
        <f>'2020_5-2-2_Download'!B33</f>
        <v>353</v>
      </c>
      <c r="B1117">
        <f>'2020_5-2-2_Download'!$AM$5</f>
        <v>2015</v>
      </c>
      <c r="C1117" t="str">
        <f>VLOOKUP(A2521,[1]Tabelle1!$A$1:$B$68,2,FALSE)</f>
        <v>Niedersachsen</v>
      </c>
      <c r="D1117" t="str">
        <f>'2020_5-2-2_Download'!$AQ$7</f>
        <v>mittel</v>
      </c>
      <c r="E1117" t="s">
        <v>362</v>
      </c>
      <c r="F1117" t="str">
        <f>VLOOKUP(A2521,[2]Kreise!$A$2:$C$53,3,FALSE)</f>
        <v>K030</v>
      </c>
      <c r="G1117">
        <f>'2020_5-2-2_Download'!AQ33</f>
        <v>30.031236055332439</v>
      </c>
    </row>
    <row r="1118" spans="1:7">
      <c r="A1118">
        <f>'2020_5-2-2_Download'!B34</f>
        <v>354</v>
      </c>
      <c r="B1118">
        <f>'2020_5-2-2_Download'!$AM$5</f>
        <v>2015</v>
      </c>
      <c r="C1118" t="str">
        <f>VLOOKUP(A2522,[1]Tabelle1!$A$1:$B$68,2,FALSE)</f>
        <v>Niedersachsen</v>
      </c>
      <c r="D1118" t="str">
        <f>'2020_5-2-2_Download'!$AQ$7</f>
        <v>mittel</v>
      </c>
      <c r="E1118" t="s">
        <v>362</v>
      </c>
      <c r="F1118" t="str">
        <f>VLOOKUP(A2522,[2]Kreise!$A$2:$C$53,3,FALSE)</f>
        <v>K030</v>
      </c>
      <c r="G1118">
        <f>'2020_5-2-2_Download'!AQ34</f>
        <v>24.642289348171701</v>
      </c>
    </row>
    <row r="1119" spans="1:7">
      <c r="A1119">
        <f>'2020_5-2-2_Download'!B35</f>
        <v>355</v>
      </c>
      <c r="B1119">
        <f>'2020_5-2-2_Download'!$AM$5</f>
        <v>2015</v>
      </c>
      <c r="C1119" t="str">
        <f>VLOOKUP(A2523,[1]Tabelle1!$A$1:$B$68,2,FALSE)</f>
        <v>Niedersachsen</v>
      </c>
      <c r="D1119" t="str">
        <f>'2020_5-2-2_Download'!$AQ$7</f>
        <v>mittel</v>
      </c>
      <c r="E1119" t="s">
        <v>362</v>
      </c>
      <c r="F1119" t="str">
        <f>VLOOKUP(A2523,[2]Kreise!$A$2:$C$53,3,FALSE)</f>
        <v>K030</v>
      </c>
      <c r="G1119">
        <f>'2020_5-2-2_Download'!AQ35</f>
        <v>34.084019055868339</v>
      </c>
    </row>
    <row r="1120" spans="1:7">
      <c r="A1120">
        <f>'2020_5-2-2_Download'!B36</f>
        <v>356</v>
      </c>
      <c r="B1120">
        <f>'2020_5-2-2_Download'!$AM$5</f>
        <v>2015</v>
      </c>
      <c r="C1120" t="str">
        <f>VLOOKUP(A2524,[1]Tabelle1!$A$1:$B$68,2,FALSE)</f>
        <v>Niedersachsen</v>
      </c>
      <c r="D1120" t="str">
        <f>'2020_5-2-2_Download'!$AQ$7</f>
        <v>mittel</v>
      </c>
      <c r="E1120" t="s">
        <v>362</v>
      </c>
      <c r="F1120" t="str">
        <f>VLOOKUP(A2524,[2]Kreise!$A$2:$C$53,3,FALSE)</f>
        <v>K030</v>
      </c>
      <c r="G1120">
        <f>'2020_5-2-2_Download'!AQ36</f>
        <v>37.950664136622393</v>
      </c>
    </row>
    <row r="1121" spans="1:7">
      <c r="A1121">
        <f>'2020_5-2-2_Download'!B37</f>
        <v>357</v>
      </c>
      <c r="B1121">
        <f>'2020_5-2-2_Download'!$AM$5</f>
        <v>2015</v>
      </c>
      <c r="C1121" t="str">
        <f>VLOOKUP(A2525,[1]Tabelle1!$A$1:$B$68,2,FALSE)</f>
        <v>Niedersachsen</v>
      </c>
      <c r="D1121" t="str">
        <f>'2020_5-2-2_Download'!$AQ$7</f>
        <v>mittel</v>
      </c>
      <c r="E1121" t="s">
        <v>362</v>
      </c>
      <c r="F1121" t="str">
        <f>VLOOKUP(A2525,[2]Kreise!$A$2:$C$53,3,FALSE)</f>
        <v>K030</v>
      </c>
      <c r="G1121">
        <f>'2020_5-2-2_Download'!AQ37</f>
        <v>31.942575145805296</v>
      </c>
    </row>
    <row r="1122" spans="1:7">
      <c r="A1122">
        <f>'2020_5-2-2_Download'!B38</f>
        <v>358</v>
      </c>
      <c r="B1122">
        <f>'2020_5-2-2_Download'!$AM$5</f>
        <v>2015</v>
      </c>
      <c r="C1122" t="str">
        <f>VLOOKUP(A2526,[1]Tabelle1!$A$1:$B$68,2,FALSE)</f>
        <v>Niedersachsen</v>
      </c>
      <c r="D1122" t="str">
        <f>'2020_5-2-2_Download'!$AQ$7</f>
        <v>mittel</v>
      </c>
      <c r="E1122" t="s">
        <v>362</v>
      </c>
      <c r="F1122" t="str">
        <f>VLOOKUP(A2526,[2]Kreise!$A$2:$C$53,3,FALSE)</f>
        <v>K030</v>
      </c>
      <c r="G1122">
        <f>'2020_5-2-2_Download'!AQ38</f>
        <v>37.721417069243159</v>
      </c>
    </row>
    <row r="1123" spans="1:7">
      <c r="A1123">
        <f>'2020_5-2-2_Download'!B39</f>
        <v>359</v>
      </c>
      <c r="B1123">
        <f>'2020_5-2-2_Download'!$AM$5</f>
        <v>2015</v>
      </c>
      <c r="C1123" t="str">
        <f>VLOOKUP(A2527,[1]Tabelle1!$A$1:$B$68,2,FALSE)</f>
        <v>Niedersachsen</v>
      </c>
      <c r="D1123" t="str">
        <f>'2020_5-2-2_Download'!$AQ$7</f>
        <v>mittel</v>
      </c>
      <c r="E1123" t="s">
        <v>362</v>
      </c>
      <c r="F1123" t="str">
        <f>VLOOKUP(A2527,[2]Kreise!$A$2:$C$53,3,FALSE)</f>
        <v>K030</v>
      </c>
      <c r="G1123">
        <f>'2020_5-2-2_Download'!AQ39</f>
        <v>25.066153476064468</v>
      </c>
    </row>
    <row r="1124" spans="1:7">
      <c r="A1124">
        <f>'2020_5-2-2_Download'!B40</f>
        <v>360</v>
      </c>
      <c r="B1124">
        <f>'2020_5-2-2_Download'!$AM$5</f>
        <v>2015</v>
      </c>
      <c r="C1124" t="str">
        <f>VLOOKUP(A2528,[1]Tabelle1!$A$1:$B$68,2,FALSE)</f>
        <v>Niedersachsen</v>
      </c>
      <c r="D1124" t="str">
        <f>'2020_5-2-2_Download'!$AQ$7</f>
        <v>mittel</v>
      </c>
      <c r="E1124" t="s">
        <v>362</v>
      </c>
      <c r="F1124" t="str">
        <f>VLOOKUP(A2528,[2]Kreise!$A$2:$C$53,3,FALSE)</f>
        <v>K030</v>
      </c>
      <c r="G1124">
        <f>'2020_5-2-2_Download'!AQ40</f>
        <v>33.991683991683992</v>
      </c>
    </row>
    <row r="1125" spans="1:7">
      <c r="A1125">
        <f>'2020_5-2-2_Download'!B41</f>
        <v>361</v>
      </c>
      <c r="B1125">
        <f>'2020_5-2-2_Download'!$AM$5</f>
        <v>2015</v>
      </c>
      <c r="C1125" t="str">
        <f>VLOOKUP(A2529,[1]Tabelle1!$A$1:$B$68,2,FALSE)</f>
        <v>Niedersachsen</v>
      </c>
      <c r="D1125" t="str">
        <f>'2020_5-2-2_Download'!$AQ$7</f>
        <v>mittel</v>
      </c>
      <c r="E1125" t="s">
        <v>362</v>
      </c>
      <c r="F1125" t="str">
        <f>VLOOKUP(A2529,[2]Kreise!$A$2:$C$53,3,FALSE)</f>
        <v>K030</v>
      </c>
      <c r="G1125">
        <f>'2020_5-2-2_Download'!AQ41</f>
        <v>31.300813008130078</v>
      </c>
    </row>
    <row r="1126" spans="1:7">
      <c r="A1126">
        <f>'2020_5-2-2_Download'!B42</f>
        <v>3</v>
      </c>
      <c r="B1126">
        <f>'2020_5-2-2_Download'!$AM$5</f>
        <v>2015</v>
      </c>
      <c r="C1126" t="str">
        <f>VLOOKUP(A2530,[1]Tabelle1!$A$1:$B$68,2,FALSE)</f>
        <v>Niedersachsen</v>
      </c>
      <c r="D1126" t="str">
        <f>'2020_5-2-2_Download'!$AQ$7</f>
        <v>mittel</v>
      </c>
      <c r="E1126" t="s">
        <v>362</v>
      </c>
      <c r="F1126" t="str">
        <f>VLOOKUP(A2530,[2]Kreise!$A$2:$C$53,3,FALSE)</f>
        <v>K030</v>
      </c>
      <c r="G1126">
        <f>'2020_5-2-2_Download'!AQ42</f>
        <v>31.45212906140582</v>
      </c>
    </row>
    <row r="1127" spans="1:7">
      <c r="A1127">
        <f>'2020_5-2-2_Download'!B43</f>
        <v>401</v>
      </c>
      <c r="B1127">
        <f>'2020_5-2-2_Download'!$AM$5</f>
        <v>2015</v>
      </c>
      <c r="C1127" t="str">
        <f>VLOOKUP(A2531,[1]Tabelle1!$A$1:$B$68,2,FALSE)</f>
        <v>Niedersachsen</v>
      </c>
      <c r="D1127" t="str">
        <f>'2020_5-2-2_Download'!$AQ$7</f>
        <v>mittel</v>
      </c>
      <c r="E1127" t="s">
        <v>362</v>
      </c>
      <c r="F1127" t="str">
        <f>VLOOKUP(A2531,[2]Kreise!$A$2:$C$53,3,FALSE)</f>
        <v>K030</v>
      </c>
      <c r="G1127">
        <f>'2020_5-2-2_Download'!AQ43</f>
        <v>28.412017167381975</v>
      </c>
    </row>
    <row r="1128" spans="1:7">
      <c r="A1128">
        <f>'2020_5-2-2_Download'!B44</f>
        <v>402</v>
      </c>
      <c r="B1128">
        <f>'2020_5-2-2_Download'!$AM$5</f>
        <v>2015</v>
      </c>
      <c r="C1128" t="str">
        <f>VLOOKUP(A2532,[1]Tabelle1!$A$1:$B$68,2,FALSE)</f>
        <v>Niedersachsen</v>
      </c>
      <c r="D1128" t="str">
        <f>'2020_5-2-2_Download'!$AQ$7</f>
        <v>mittel</v>
      </c>
      <c r="E1128" t="s">
        <v>362</v>
      </c>
      <c r="F1128" t="str">
        <f>VLOOKUP(A2532,[2]Kreise!$A$2:$C$53,3,FALSE)</f>
        <v>K030</v>
      </c>
      <c r="G1128">
        <f>'2020_5-2-2_Download'!AQ44</f>
        <v>40.942269409422693</v>
      </c>
    </row>
    <row r="1129" spans="1:7">
      <c r="A1129">
        <f>'2020_5-2-2_Download'!B45</f>
        <v>403</v>
      </c>
      <c r="B1129">
        <f>'2020_5-2-2_Download'!$AM$5</f>
        <v>2015</v>
      </c>
      <c r="C1129" t="str">
        <f>VLOOKUP(A2533,[1]Tabelle1!$A$1:$B$68,2,FALSE)</f>
        <v>Niedersachsen</v>
      </c>
      <c r="D1129" t="str">
        <f>'2020_5-2-2_Download'!$AQ$7</f>
        <v>mittel</v>
      </c>
      <c r="E1129" t="s">
        <v>362</v>
      </c>
      <c r="F1129" t="str">
        <f>VLOOKUP(A2533,[2]Kreise!$A$2:$C$53,3,FALSE)</f>
        <v>K030</v>
      </c>
      <c r="G1129">
        <f>'2020_5-2-2_Download'!AQ45</f>
        <v>28.795328826060235</v>
      </c>
    </row>
    <row r="1130" spans="1:7">
      <c r="A1130">
        <f>'2020_5-2-2_Download'!B46</f>
        <v>404</v>
      </c>
      <c r="B1130">
        <f>'2020_5-2-2_Download'!$AM$5</f>
        <v>2015</v>
      </c>
      <c r="C1130" t="str">
        <f>VLOOKUP(A2534,[1]Tabelle1!$A$1:$B$68,2,FALSE)</f>
        <v>Niedersachsen</v>
      </c>
      <c r="D1130" t="str">
        <f>'2020_5-2-2_Download'!$AQ$7</f>
        <v>mittel</v>
      </c>
      <c r="E1130" t="s">
        <v>362</v>
      </c>
      <c r="F1130" t="str">
        <f>VLOOKUP(A2534,[2]Kreise!$A$2:$C$53,3,FALSE)</f>
        <v>K030</v>
      </c>
      <c r="G1130">
        <f>'2020_5-2-2_Download'!AQ46</f>
        <v>32.708628005657708</v>
      </c>
    </row>
    <row r="1131" spans="1:7">
      <c r="A1131">
        <f>'2020_5-2-2_Download'!B47</f>
        <v>405</v>
      </c>
      <c r="B1131">
        <f>'2020_5-2-2_Download'!$AM$5</f>
        <v>2015</v>
      </c>
      <c r="C1131" t="str">
        <f>VLOOKUP(A2535,[1]Tabelle1!$A$1:$B$68,2,FALSE)</f>
        <v>Niedersachsen</v>
      </c>
      <c r="D1131" t="str">
        <f>'2020_5-2-2_Download'!$AQ$7</f>
        <v>mittel</v>
      </c>
      <c r="E1131" t="s">
        <v>362</v>
      </c>
      <c r="F1131" t="str">
        <f>VLOOKUP(A2535,[2]Kreise!$A$2:$C$53,3,FALSE)</f>
        <v>K030</v>
      </c>
      <c r="G1131">
        <f>'2020_5-2-2_Download'!AQ47</f>
        <v>33.333333333333329</v>
      </c>
    </row>
    <row r="1132" spans="1:7">
      <c r="A1132">
        <f>'2020_5-2-2_Download'!B48</f>
        <v>451</v>
      </c>
      <c r="B1132">
        <f>'2020_5-2-2_Download'!$AM$5</f>
        <v>2015</v>
      </c>
      <c r="C1132" t="str">
        <f>VLOOKUP(A2536,[1]Tabelle1!$A$1:$B$68,2,FALSE)</f>
        <v>Niedersachsen</v>
      </c>
      <c r="D1132" t="str">
        <f>'2020_5-2-2_Download'!$AQ$7</f>
        <v>mittel</v>
      </c>
      <c r="E1132" t="s">
        <v>362</v>
      </c>
      <c r="F1132" t="str">
        <f>VLOOKUP(A2536,[2]Kreise!$A$2:$C$53,3,FALSE)</f>
        <v>K030</v>
      </c>
      <c r="G1132">
        <f>'2020_5-2-2_Download'!AQ48</f>
        <v>27.057302886686774</v>
      </c>
    </row>
    <row r="1133" spans="1:7">
      <c r="A1133">
        <f>'2020_5-2-2_Download'!B49</f>
        <v>452</v>
      </c>
      <c r="B1133">
        <f>'2020_5-2-2_Download'!$AM$5</f>
        <v>2015</v>
      </c>
      <c r="C1133" t="str">
        <f>VLOOKUP(A2537,[1]Tabelle1!$A$1:$B$68,2,FALSE)</f>
        <v>Niedersachsen</v>
      </c>
      <c r="D1133" t="str">
        <f>'2020_5-2-2_Download'!$AQ$7</f>
        <v>mittel</v>
      </c>
      <c r="E1133" t="s">
        <v>362</v>
      </c>
      <c r="F1133" t="str">
        <f>VLOOKUP(A2537,[2]Kreise!$A$2:$C$53,3,FALSE)</f>
        <v>K030</v>
      </c>
      <c r="G1133">
        <f>'2020_5-2-2_Download'!AQ49</f>
        <v>30.609679446888748</v>
      </c>
    </row>
    <row r="1134" spans="1:7">
      <c r="A1134">
        <f>'2020_5-2-2_Download'!B50</f>
        <v>453</v>
      </c>
      <c r="B1134">
        <f>'2020_5-2-2_Download'!$AM$5</f>
        <v>2015</v>
      </c>
      <c r="C1134" t="str">
        <f>VLOOKUP(A2538,[1]Tabelle1!$A$1:$B$68,2,FALSE)</f>
        <v>Niedersachsen</v>
      </c>
      <c r="D1134" t="str">
        <f>'2020_5-2-2_Download'!$AQ$7</f>
        <v>mittel</v>
      </c>
      <c r="E1134" t="s">
        <v>362</v>
      </c>
      <c r="F1134" t="str">
        <f>VLOOKUP(A2538,[2]Kreise!$A$2:$C$53,3,FALSE)</f>
        <v>K030</v>
      </c>
      <c r="G1134">
        <f>'2020_5-2-2_Download'!AQ50</f>
        <v>21.32655057718646</v>
      </c>
    </row>
    <row r="1135" spans="1:7">
      <c r="A1135">
        <f>'2020_5-2-2_Download'!B51</f>
        <v>454</v>
      </c>
      <c r="B1135">
        <f>'2020_5-2-2_Download'!$AM$5</f>
        <v>2015</v>
      </c>
      <c r="C1135" t="str">
        <f>VLOOKUP(A2539,[1]Tabelle1!$A$1:$B$68,2,FALSE)</f>
        <v>Niedersachsen</v>
      </c>
      <c r="D1135" t="str">
        <f>'2020_5-2-2_Download'!$AQ$7</f>
        <v>mittel</v>
      </c>
      <c r="E1135" t="s">
        <v>362</v>
      </c>
      <c r="F1135" t="str">
        <f>VLOOKUP(A2539,[2]Kreise!$A$2:$C$53,3,FALSE)</f>
        <v>K030</v>
      </c>
      <c r="G1135">
        <f>'2020_5-2-2_Download'!AQ51</f>
        <v>30.214075118574542</v>
      </c>
    </row>
    <row r="1136" spans="1:7">
      <c r="A1136">
        <f>'2020_5-2-2_Download'!B52</f>
        <v>455</v>
      </c>
      <c r="B1136">
        <f>'2020_5-2-2_Download'!$AM$5</f>
        <v>2015</v>
      </c>
      <c r="C1136" t="str">
        <f>VLOOKUP(A2540,[1]Tabelle1!$A$1:$B$68,2,FALSE)</f>
        <v>Niedersachsen</v>
      </c>
      <c r="D1136" t="str">
        <f>'2020_5-2-2_Download'!$AQ$7</f>
        <v>mittel</v>
      </c>
      <c r="E1136" t="s">
        <v>362</v>
      </c>
      <c r="F1136" t="str">
        <f>VLOOKUP(A2540,[2]Kreise!$A$2:$C$53,3,FALSE)</f>
        <v>K030</v>
      </c>
      <c r="G1136">
        <f>'2020_5-2-2_Download'!AQ52</f>
        <v>30.905306971904267</v>
      </c>
    </row>
    <row r="1137" spans="1:7">
      <c r="A1137">
        <f>'2020_5-2-2_Download'!B53</f>
        <v>456</v>
      </c>
      <c r="B1137">
        <f>'2020_5-2-2_Download'!$AM$5</f>
        <v>2015</v>
      </c>
      <c r="C1137" t="str">
        <f>VLOOKUP(A2541,[1]Tabelle1!$A$1:$B$68,2,FALSE)</f>
        <v>Niedersachsen</v>
      </c>
      <c r="D1137" t="str">
        <f>'2020_5-2-2_Download'!$AQ$7</f>
        <v>mittel</v>
      </c>
      <c r="E1137" t="s">
        <v>362</v>
      </c>
      <c r="F1137" t="str">
        <f>VLOOKUP(A2541,[2]Kreise!$A$2:$C$53,3,FALSE)</f>
        <v>K030</v>
      </c>
      <c r="G1137">
        <f>'2020_5-2-2_Download'!AQ53</f>
        <v>39.73374295954941</v>
      </c>
    </row>
    <row r="1138" spans="1:7">
      <c r="A1138">
        <f>'2020_5-2-2_Download'!B54</f>
        <v>457</v>
      </c>
      <c r="B1138">
        <f>'2020_5-2-2_Download'!$AM$5</f>
        <v>2015</v>
      </c>
      <c r="C1138" t="str">
        <f>VLOOKUP(A2542,[1]Tabelle1!$A$1:$B$68,2,FALSE)</f>
        <v>Niedersachsen</v>
      </c>
      <c r="D1138" t="str">
        <f>'2020_5-2-2_Download'!$AQ$7</f>
        <v>mittel</v>
      </c>
      <c r="E1138" t="s">
        <v>362</v>
      </c>
      <c r="F1138" t="str">
        <f>VLOOKUP(A2542,[2]Kreise!$A$2:$C$53,3,FALSE)</f>
        <v>K030</v>
      </c>
      <c r="G1138">
        <f>'2020_5-2-2_Download'!AQ54</f>
        <v>33.025830258302584</v>
      </c>
    </row>
    <row r="1139" spans="1:7">
      <c r="A1139">
        <f>'2020_5-2-2_Download'!B55</f>
        <v>458</v>
      </c>
      <c r="B1139">
        <f>'2020_5-2-2_Download'!$AM$5</f>
        <v>2015</v>
      </c>
      <c r="C1139" t="str">
        <f>VLOOKUP(A2543,[1]Tabelle1!$A$1:$B$68,2,FALSE)</f>
        <v>Niedersachsen</v>
      </c>
      <c r="D1139" t="str">
        <f>'2020_5-2-2_Download'!$AQ$7</f>
        <v>mittel</v>
      </c>
      <c r="E1139" t="s">
        <v>362</v>
      </c>
      <c r="F1139" t="str">
        <f>VLOOKUP(A2543,[2]Kreise!$A$2:$C$53,3,FALSE)</f>
        <v>K030</v>
      </c>
      <c r="G1139">
        <f>'2020_5-2-2_Download'!AQ55</f>
        <v>23.885658914728683</v>
      </c>
    </row>
    <row r="1140" spans="1:7">
      <c r="A1140">
        <f>'2020_5-2-2_Download'!B56</f>
        <v>459</v>
      </c>
      <c r="B1140">
        <f>'2020_5-2-2_Download'!$AM$5</f>
        <v>2015</v>
      </c>
      <c r="C1140" t="str">
        <f>VLOOKUP(A2544,[1]Tabelle1!$A$1:$B$68,2,FALSE)</f>
        <v>Niedersachsen</v>
      </c>
      <c r="D1140" t="str">
        <f>'2020_5-2-2_Download'!$AQ$7</f>
        <v>mittel</v>
      </c>
      <c r="E1140" t="s">
        <v>362</v>
      </c>
      <c r="F1140" t="str">
        <f>VLOOKUP(A2544,[2]Kreise!$A$2:$C$53,3,FALSE)</f>
        <v>K030</v>
      </c>
      <c r="G1140">
        <f>'2020_5-2-2_Download'!AQ56</f>
        <v>25.511093886251334</v>
      </c>
    </row>
    <row r="1141" spans="1:7">
      <c r="A1141">
        <f>'2020_5-2-2_Download'!B57</f>
        <v>460</v>
      </c>
      <c r="B1141">
        <f>'2020_5-2-2_Download'!$AM$5</f>
        <v>2015</v>
      </c>
      <c r="C1141" t="str">
        <f>VLOOKUP(A2545,[1]Tabelle1!$A$1:$B$68,2,FALSE)</f>
        <v>Niedersachsen</v>
      </c>
      <c r="D1141" t="str">
        <f>'2020_5-2-2_Download'!$AQ$7</f>
        <v>mittel</v>
      </c>
      <c r="E1141" t="s">
        <v>362</v>
      </c>
      <c r="F1141" t="str">
        <f>VLOOKUP(A2545,[2]Kreise!$A$2:$C$53,3,FALSE)</f>
        <v>K030</v>
      </c>
      <c r="G1141">
        <f>'2020_5-2-2_Download'!AQ57</f>
        <v>19.070385126162019</v>
      </c>
    </row>
    <row r="1142" spans="1:7">
      <c r="A1142">
        <f>'2020_5-2-2_Download'!B58</f>
        <v>461</v>
      </c>
      <c r="B1142">
        <f>'2020_5-2-2_Download'!$AM$5</f>
        <v>2015</v>
      </c>
      <c r="C1142" t="str">
        <f>VLOOKUP(A2546,[1]Tabelle1!$A$1:$B$68,2,FALSE)</f>
        <v>Niedersachsen</v>
      </c>
      <c r="D1142" t="str">
        <f>'2020_5-2-2_Download'!$AQ$7</f>
        <v>mittel</v>
      </c>
      <c r="E1142" t="s">
        <v>362</v>
      </c>
      <c r="F1142" t="str">
        <f>VLOOKUP(A2546,[2]Kreise!$A$2:$C$53,3,FALSE)</f>
        <v>K030</v>
      </c>
      <c r="G1142">
        <f>'2020_5-2-2_Download'!AQ58</f>
        <v>40.580645161290327</v>
      </c>
    </row>
    <row r="1143" spans="1:7">
      <c r="A1143">
        <f>'2020_5-2-2_Download'!B59</f>
        <v>462</v>
      </c>
      <c r="B1143">
        <f>'2020_5-2-2_Download'!$AM$5</f>
        <v>2015</v>
      </c>
      <c r="C1143" t="str">
        <f>VLOOKUP(A2547,[1]Tabelle1!$A$1:$B$68,2,FALSE)</f>
        <v>Niedersachsen</v>
      </c>
      <c r="D1143" t="str">
        <f>'2020_5-2-2_Download'!$AQ$7</f>
        <v>mittel</v>
      </c>
      <c r="E1143" t="s">
        <v>362</v>
      </c>
      <c r="F1143" t="str">
        <f>VLOOKUP(A2547,[2]Kreise!$A$2:$C$53,3,FALSE)</f>
        <v>K030</v>
      </c>
      <c r="G1143">
        <f>'2020_5-2-2_Download'!AQ59</f>
        <v>22.222222222222221</v>
      </c>
    </row>
    <row r="1144" spans="1:7">
      <c r="A1144">
        <f>'2020_5-2-2_Download'!B60</f>
        <v>4</v>
      </c>
      <c r="B1144">
        <f>'2020_5-2-2_Download'!$AM$5</f>
        <v>2015</v>
      </c>
      <c r="C1144" t="str">
        <f>VLOOKUP(A2548,[1]Tabelle1!$A$1:$B$68,2,FALSE)</f>
        <v>Niedersachsen</v>
      </c>
      <c r="D1144" t="str">
        <f>'2020_5-2-2_Download'!$AQ$7</f>
        <v>mittel</v>
      </c>
      <c r="E1144" t="s">
        <v>362</v>
      </c>
      <c r="F1144" t="str">
        <f>VLOOKUP(A2548,[2]Kreise!$A$2:$C$53,3,FALSE)</f>
        <v>K030</v>
      </c>
      <c r="G1144">
        <f>'2020_5-2-2_Download'!AQ60</f>
        <v>28.287263413498319</v>
      </c>
    </row>
    <row r="1145" spans="1:7">
      <c r="A1145">
        <f>'2020_5-2-2_Download'!B61</f>
        <v>0</v>
      </c>
      <c r="B1145">
        <f>'2020_5-2-2_Download'!$AM$5</f>
        <v>2015</v>
      </c>
      <c r="C1145" t="str">
        <f>VLOOKUP(A2549,[1]Tabelle1!$A$1:$B$68,2,FALSE)</f>
        <v>Niedersachsen</v>
      </c>
      <c r="D1145" t="str">
        <f>'2020_5-2-2_Download'!$AQ$7</f>
        <v>mittel</v>
      </c>
      <c r="E1145" t="s">
        <v>362</v>
      </c>
      <c r="F1145" t="str">
        <f>VLOOKUP(A2549,[2]Kreise!$A$2:$C$53,3,FALSE)</f>
        <v>K030</v>
      </c>
      <c r="G1145">
        <f>'2020_5-2-2_Download'!AQ61</f>
        <v>31.815170862858828</v>
      </c>
    </row>
    <row r="1146" spans="1:7">
      <c r="A1146">
        <f>'2020_5-2-2_Download'!B10</f>
        <v>101</v>
      </c>
      <c r="B1146">
        <f>'2020_5-2-2_Download'!$AM$5</f>
        <v>2015</v>
      </c>
      <c r="C1146" t="str">
        <f>VLOOKUP(A2550,[1]Tabelle1!$A$1:$B$68,2,FALSE)</f>
        <v>Niedersachsen</v>
      </c>
      <c r="D1146" t="str">
        <f>'2020_5-2-2_Download'!$AR$7</f>
        <v>niedrig</v>
      </c>
      <c r="E1146" t="s">
        <v>362</v>
      </c>
      <c r="F1146" t="str">
        <f>VLOOKUP(A2550,[2]Kreise!$A$2:$C$53,3,FALSE)</f>
        <v>K030</v>
      </c>
      <c r="G1146">
        <f>'2020_5-2-2_Download'!AR10</f>
        <v>20.316119362310943</v>
      </c>
    </row>
    <row r="1147" spans="1:7">
      <c r="A1147">
        <f>'2020_5-2-2_Download'!B11</f>
        <v>102</v>
      </c>
      <c r="B1147">
        <f>'2020_5-2-2_Download'!$AM$5</f>
        <v>2015</v>
      </c>
      <c r="C1147" t="str">
        <f>VLOOKUP(A2551,[1]Tabelle1!$A$1:$B$68,2,FALSE)</f>
        <v>Niedersachsen</v>
      </c>
      <c r="D1147" t="str">
        <f>'2020_5-2-2_Download'!$AR$7</f>
        <v>niedrig</v>
      </c>
      <c r="E1147" t="s">
        <v>362</v>
      </c>
      <c r="F1147" t="str">
        <f>VLOOKUP(A2551,[2]Kreise!$A$2:$C$53,3,FALSE)</f>
        <v>K030</v>
      </c>
      <c r="G1147">
        <f>'2020_5-2-2_Download'!AR11</f>
        <v>22.485380116959064</v>
      </c>
    </row>
    <row r="1148" spans="1:7">
      <c r="A1148">
        <f>'2020_5-2-2_Download'!B12</f>
        <v>103</v>
      </c>
      <c r="B1148">
        <f>'2020_5-2-2_Download'!$AM$5</f>
        <v>2015</v>
      </c>
      <c r="C1148" t="str">
        <f>VLOOKUP(A2552,[1]Tabelle1!$A$1:$B$68,2,FALSE)</f>
        <v>Niedersachsen</v>
      </c>
      <c r="D1148" t="str">
        <f>'2020_5-2-2_Download'!$AR$7</f>
        <v>niedrig</v>
      </c>
      <c r="E1148" t="s">
        <v>362</v>
      </c>
      <c r="F1148" t="str">
        <f>VLOOKUP(A2552,[2]Kreise!$A$2:$C$53,3,FALSE)</f>
        <v>K030</v>
      </c>
      <c r="G1148">
        <f>'2020_5-2-2_Download'!AR12</f>
        <v>11.220400728597451</v>
      </c>
    </row>
    <row r="1149" spans="1:7">
      <c r="A1149">
        <f>'2020_5-2-2_Download'!B13</f>
        <v>151</v>
      </c>
      <c r="B1149">
        <f>'2020_5-2-2_Download'!$AM$5</f>
        <v>2015</v>
      </c>
      <c r="C1149" t="str">
        <f>VLOOKUP(A2553,[1]Tabelle1!$A$1:$B$68,2,FALSE)</f>
        <v>Niedersachsen</v>
      </c>
      <c r="D1149" t="str">
        <f>'2020_5-2-2_Download'!$AR$7</f>
        <v>niedrig</v>
      </c>
      <c r="E1149" t="s">
        <v>362</v>
      </c>
      <c r="F1149" t="str">
        <f>VLOOKUP(A2553,[2]Kreise!$A$2:$C$53,3,FALSE)</f>
        <v>K030</v>
      </c>
      <c r="G1149">
        <f>'2020_5-2-2_Download'!AR13</f>
        <v>25.046816479400746</v>
      </c>
    </row>
    <row r="1150" spans="1:7">
      <c r="A1150">
        <f>'2020_5-2-2_Download'!B14</f>
        <v>153</v>
      </c>
      <c r="B1150">
        <f>'2020_5-2-2_Download'!$AM$5</f>
        <v>2015</v>
      </c>
      <c r="C1150" t="str">
        <f>VLOOKUP(A2554,[1]Tabelle1!$A$1:$B$68,2,FALSE)</f>
        <v>Niedersachsen</v>
      </c>
      <c r="D1150" t="str">
        <f>'2020_5-2-2_Download'!$AR$7</f>
        <v>niedrig</v>
      </c>
      <c r="E1150" t="s">
        <v>362</v>
      </c>
      <c r="F1150" t="str">
        <f>VLOOKUP(A2554,[2]Kreise!$A$2:$C$53,3,FALSE)</f>
        <v>K030</v>
      </c>
      <c r="G1150">
        <f>'2020_5-2-2_Download'!AR14</f>
        <v>18.781725888324875</v>
      </c>
    </row>
    <row r="1151" spans="1:7">
      <c r="A1151">
        <f>'2020_5-2-2_Download'!B15</f>
        <v>154</v>
      </c>
      <c r="B1151">
        <f>'2020_5-2-2_Download'!$AM$5</f>
        <v>2015</v>
      </c>
      <c r="C1151" t="str">
        <f>VLOOKUP(A2555,[1]Tabelle1!$A$1:$B$68,2,FALSE)</f>
        <v>Niedersachsen</v>
      </c>
      <c r="D1151" t="str">
        <f>'2020_5-2-2_Download'!$AR$7</f>
        <v>niedrig</v>
      </c>
      <c r="E1151" t="s">
        <v>362</v>
      </c>
      <c r="F1151" t="str">
        <f>VLOOKUP(A2555,[2]Kreise!$A$2:$C$53,3,FALSE)</f>
        <v>K030</v>
      </c>
      <c r="G1151">
        <f>'2020_5-2-2_Download'!AR15</f>
        <v>25.280898876404496</v>
      </c>
    </row>
    <row r="1152" spans="1:7">
      <c r="A1152">
        <f>'2020_5-2-2_Download'!B16</f>
        <v>155</v>
      </c>
      <c r="B1152">
        <f>'2020_5-2-2_Download'!$AM$5</f>
        <v>2015</v>
      </c>
      <c r="C1152" t="str">
        <f>VLOOKUP(A2556,[1]Tabelle1!$A$1:$B$68,2,FALSE)</f>
        <v>Niedersachsen</v>
      </c>
      <c r="D1152" t="str">
        <f>'2020_5-2-2_Download'!$AR$7</f>
        <v>niedrig</v>
      </c>
      <c r="E1152" t="s">
        <v>362</v>
      </c>
      <c r="F1152" t="str">
        <f>VLOOKUP(A2556,[2]Kreise!$A$2:$C$53,3,FALSE)</f>
        <v>K030</v>
      </c>
      <c r="G1152">
        <f>'2020_5-2-2_Download'!AR16</f>
        <v>16.569200779727094</v>
      </c>
    </row>
    <row r="1153" spans="1:7">
      <c r="A1153">
        <f>'2020_5-2-2_Download'!B17</f>
        <v>157</v>
      </c>
      <c r="B1153">
        <f>'2020_5-2-2_Download'!$AM$5</f>
        <v>2015</v>
      </c>
      <c r="C1153" t="str">
        <f>VLOOKUP(A2557,[1]Tabelle1!$A$1:$B$68,2,FALSE)</f>
        <v>Niedersachsen</v>
      </c>
      <c r="D1153" t="str">
        <f>'2020_5-2-2_Download'!$AR$7</f>
        <v>niedrig</v>
      </c>
      <c r="E1153" t="s">
        <v>362</v>
      </c>
      <c r="F1153" t="str">
        <f>VLOOKUP(A2557,[2]Kreise!$A$2:$C$53,3,FALSE)</f>
        <v>K030</v>
      </c>
      <c r="G1153">
        <f>'2020_5-2-2_Download'!AR17</f>
        <v>29.393370856785488</v>
      </c>
    </row>
    <row r="1154" spans="1:7">
      <c r="A1154">
        <f>'2020_5-2-2_Download'!B18</f>
        <v>158</v>
      </c>
      <c r="B1154">
        <f>'2020_5-2-2_Download'!$AM$5</f>
        <v>2015</v>
      </c>
      <c r="C1154" t="str">
        <f>VLOOKUP(A2558,[1]Tabelle1!$A$1:$B$68,2,FALSE)</f>
        <v>Niedersachsen</v>
      </c>
      <c r="D1154" t="str">
        <f>'2020_5-2-2_Download'!$AR$7</f>
        <v>niedrig</v>
      </c>
      <c r="E1154" t="s">
        <v>362</v>
      </c>
      <c r="F1154" t="str">
        <f>VLOOKUP(A2558,[2]Kreise!$A$2:$C$53,3,FALSE)</f>
        <v>K030</v>
      </c>
      <c r="G1154">
        <f>'2020_5-2-2_Download'!AR18</f>
        <v>18.192090395480225</v>
      </c>
    </row>
    <row r="1155" spans="1:7">
      <c r="A1155">
        <f>'2020_5-2-2_Download'!B19</f>
        <v>159</v>
      </c>
      <c r="B1155">
        <f>'2020_5-2-2_Download'!$AM$5</f>
        <v>2015</v>
      </c>
      <c r="C1155" t="str">
        <f>VLOOKUP(A2559,[1]Tabelle1!$A$1:$B$68,2,FALSE)</f>
        <v>Niedersachsen</v>
      </c>
      <c r="D1155" t="str">
        <f>'2020_5-2-2_Download'!$AR$7</f>
        <v>niedrig</v>
      </c>
      <c r="E1155" t="s">
        <v>362</v>
      </c>
      <c r="F1155" t="str">
        <f>VLOOKUP(A2559,[2]Kreise!$A$2:$C$53,3,FALSE)</f>
        <v>K030</v>
      </c>
      <c r="G1155">
        <f>'2020_5-2-2_Download'!AR19</f>
        <v>14.419564872161347</v>
      </c>
    </row>
    <row r="1156" spans="1:7">
      <c r="A1156">
        <f>'2020_5-2-2_Download'!B20</f>
        <v>1</v>
      </c>
      <c r="B1156">
        <f>'2020_5-2-2_Download'!$AM$5</f>
        <v>2015</v>
      </c>
      <c r="C1156" t="str">
        <f>VLOOKUP(A2560,[1]Tabelle1!$A$1:$B$68,2,FALSE)</f>
        <v>Niedersachsen</v>
      </c>
      <c r="D1156" t="str">
        <f>'2020_5-2-2_Download'!$AR$7</f>
        <v>niedrig</v>
      </c>
      <c r="E1156" t="s">
        <v>362</v>
      </c>
      <c r="F1156" t="str">
        <f>VLOOKUP(A2560,[2]Kreise!$A$2:$C$53,3,FALSE)</f>
        <v>K030</v>
      </c>
      <c r="G1156">
        <f>'2020_5-2-2_Download'!AR20</f>
        <v>19.445807475826239</v>
      </c>
    </row>
    <row r="1157" spans="1:7">
      <c r="A1157">
        <f>'2020_5-2-2_Download'!B21</f>
        <v>241</v>
      </c>
      <c r="B1157">
        <f>'2020_5-2-2_Download'!$AM$5</f>
        <v>2015</v>
      </c>
      <c r="C1157" t="str">
        <f>VLOOKUP(A2561,[1]Tabelle1!$A$1:$B$68,2,FALSE)</f>
        <v>Niedersachsen</v>
      </c>
      <c r="D1157" t="str">
        <f>'2020_5-2-2_Download'!$AR$7</f>
        <v>niedrig</v>
      </c>
      <c r="E1157" t="s">
        <v>362</v>
      </c>
      <c r="F1157" t="str">
        <f>VLOOKUP(A2561,[2]Kreise!$A$2:$C$53,3,FALSE)</f>
        <v>K030</v>
      </c>
      <c r="G1157">
        <f>'2020_5-2-2_Download'!AR21</f>
        <v>24.683233014029089</v>
      </c>
    </row>
    <row r="1158" spans="1:7">
      <c r="A1158">
        <f>'2020_5-2-2_Download'!B22</f>
        <v>241001</v>
      </c>
      <c r="B1158">
        <f>'2020_5-2-2_Download'!$AM$5</f>
        <v>2015</v>
      </c>
      <c r="C1158" t="str">
        <f>VLOOKUP(A2562,[1]Tabelle1!$A$1:$B$68,2,FALSE)</f>
        <v>Niedersachsen</v>
      </c>
      <c r="D1158" t="str">
        <f>'2020_5-2-2_Download'!$AR$7</f>
        <v>niedrig</v>
      </c>
      <c r="E1158" t="s">
        <v>362</v>
      </c>
      <c r="F1158" t="str">
        <f>VLOOKUP(A2562,[2]Kreise!$A$2:$C$53,3,FALSE)</f>
        <v>K030</v>
      </c>
      <c r="G1158">
        <f>'2020_5-2-2_Download'!AR22</f>
        <v>24.248679284889622</v>
      </c>
    </row>
    <row r="1159" spans="1:7">
      <c r="A1159">
        <f>'2020_5-2-2_Download'!B23</f>
        <v>241999</v>
      </c>
      <c r="B1159">
        <f>'2020_5-2-2_Download'!$AM$5</f>
        <v>2015</v>
      </c>
      <c r="C1159" t="str">
        <f>VLOOKUP(A2563,[1]Tabelle1!$A$1:$B$68,2,FALSE)</f>
        <v>Niedersachsen</v>
      </c>
      <c r="D1159" t="str">
        <f>'2020_5-2-2_Download'!$AR$7</f>
        <v>niedrig</v>
      </c>
      <c r="E1159" t="s">
        <v>362</v>
      </c>
      <c r="F1159" t="str">
        <f>VLOOKUP(A2563,[2]Kreise!$A$2:$C$53,3,FALSE)</f>
        <v>K030</v>
      </c>
      <c r="G1159">
        <f>'2020_5-2-2_Download'!AR23</f>
        <v>25.563270511548819</v>
      </c>
    </row>
    <row r="1160" spans="1:7">
      <c r="A1160">
        <f>'2020_5-2-2_Download'!B24</f>
        <v>251</v>
      </c>
      <c r="B1160">
        <f>'2020_5-2-2_Download'!$AM$5</f>
        <v>2015</v>
      </c>
      <c r="C1160" t="str">
        <f>VLOOKUP(A2564,[1]Tabelle1!$A$1:$B$68,2,FALSE)</f>
        <v>Niedersachsen</v>
      </c>
      <c r="D1160" t="str">
        <f>'2020_5-2-2_Download'!$AR$7</f>
        <v>niedrig</v>
      </c>
      <c r="E1160" t="s">
        <v>362</v>
      </c>
      <c r="F1160" t="str">
        <f>VLOOKUP(A2564,[2]Kreise!$A$2:$C$53,3,FALSE)</f>
        <v>K030</v>
      </c>
      <c r="G1160">
        <f>'2020_5-2-2_Download'!AR24</f>
        <v>23.618090452261306</v>
      </c>
    </row>
    <row r="1161" spans="1:7">
      <c r="A1161">
        <f>'2020_5-2-2_Download'!B25</f>
        <v>252</v>
      </c>
      <c r="B1161">
        <f>'2020_5-2-2_Download'!$AM$5</f>
        <v>2015</v>
      </c>
      <c r="C1161" t="str">
        <f>VLOOKUP(A2565,[1]Tabelle1!$A$1:$B$68,2,FALSE)</f>
        <v>Niedersachsen</v>
      </c>
      <c r="D1161" t="str">
        <f>'2020_5-2-2_Download'!$AR$7</f>
        <v>niedrig</v>
      </c>
      <c r="E1161" t="s">
        <v>362</v>
      </c>
      <c r="F1161" t="str">
        <f>VLOOKUP(A2565,[2]Kreise!$A$2:$C$53,3,FALSE)</f>
        <v>K030</v>
      </c>
      <c r="G1161">
        <f>'2020_5-2-2_Download'!AR25</f>
        <v>22.469490308686289</v>
      </c>
    </row>
    <row r="1162" spans="1:7">
      <c r="A1162">
        <f>'2020_5-2-2_Download'!B26</f>
        <v>254</v>
      </c>
      <c r="B1162">
        <f>'2020_5-2-2_Download'!$AM$5</f>
        <v>2015</v>
      </c>
      <c r="C1162" t="str">
        <f>VLOOKUP(A2566,[1]Tabelle1!$A$1:$B$68,2,FALSE)</f>
        <v>Niedersachsen</v>
      </c>
      <c r="D1162" t="str">
        <f>'2020_5-2-2_Download'!$AR$7</f>
        <v>niedrig</v>
      </c>
      <c r="E1162" t="s">
        <v>362</v>
      </c>
      <c r="F1162" t="str">
        <f>VLOOKUP(A2566,[2]Kreise!$A$2:$C$53,3,FALSE)</f>
        <v>K030</v>
      </c>
      <c r="G1162">
        <f>'2020_5-2-2_Download'!AR26</f>
        <v>23.952405587170205</v>
      </c>
    </row>
    <row r="1163" spans="1:7">
      <c r="A1163">
        <f>'2020_5-2-2_Download'!B27</f>
        <v>255</v>
      </c>
      <c r="B1163">
        <f>'2020_5-2-2_Download'!$AM$5</f>
        <v>2015</v>
      </c>
      <c r="C1163" t="str">
        <f>VLOOKUP(A2567,[1]Tabelle1!$A$1:$B$68,2,FALSE)</f>
        <v>Niedersachsen</v>
      </c>
      <c r="D1163" t="str">
        <f>'2020_5-2-2_Download'!$AR$7</f>
        <v>niedrig</v>
      </c>
      <c r="E1163" t="s">
        <v>362</v>
      </c>
      <c r="F1163" t="str">
        <f>VLOOKUP(A2567,[2]Kreise!$A$2:$C$53,3,FALSE)</f>
        <v>K030</v>
      </c>
      <c r="G1163">
        <f>'2020_5-2-2_Download'!AR27</f>
        <v>31.374853113983548</v>
      </c>
    </row>
    <row r="1164" spans="1:7">
      <c r="A1164">
        <f>'2020_5-2-2_Download'!B28</f>
        <v>256</v>
      </c>
      <c r="B1164">
        <f>'2020_5-2-2_Download'!$AM$5</f>
        <v>2015</v>
      </c>
      <c r="C1164" t="str">
        <f>VLOOKUP(A2568,[1]Tabelle1!$A$1:$B$68,2,FALSE)</f>
        <v>Niedersachsen</v>
      </c>
      <c r="D1164" t="str">
        <f>'2020_5-2-2_Download'!$AR$7</f>
        <v>niedrig</v>
      </c>
      <c r="E1164" t="s">
        <v>362</v>
      </c>
      <c r="F1164" t="str">
        <f>VLOOKUP(A2568,[2]Kreise!$A$2:$C$53,3,FALSE)</f>
        <v>K030</v>
      </c>
      <c r="G1164">
        <f>'2020_5-2-2_Download'!AR28</f>
        <v>26.104023552502454</v>
      </c>
    </row>
    <row r="1165" spans="1:7">
      <c r="A1165">
        <f>'2020_5-2-2_Download'!B29</f>
        <v>257</v>
      </c>
      <c r="B1165">
        <f>'2020_5-2-2_Download'!$AM$5</f>
        <v>2015</v>
      </c>
      <c r="C1165" t="str">
        <f>VLOOKUP(A2569,[1]Tabelle1!$A$1:$B$68,2,FALSE)</f>
        <v>Niedersachsen</v>
      </c>
      <c r="D1165" t="str">
        <f>'2020_5-2-2_Download'!$AR$7</f>
        <v>niedrig</v>
      </c>
      <c r="E1165" t="s">
        <v>362</v>
      </c>
      <c r="F1165" t="str">
        <f>VLOOKUP(A2569,[2]Kreise!$A$2:$C$53,3,FALSE)</f>
        <v>K030</v>
      </c>
      <c r="G1165">
        <f>'2020_5-2-2_Download'!AR29</f>
        <v>26.393728222996515</v>
      </c>
    </row>
    <row r="1166" spans="1:7">
      <c r="A1166">
        <f>'2020_5-2-2_Download'!B30</f>
        <v>2</v>
      </c>
      <c r="B1166">
        <f>'2020_5-2-2_Download'!$AM$5</f>
        <v>2015</v>
      </c>
      <c r="C1166" t="str">
        <f>VLOOKUP(A2570,[1]Tabelle1!$A$1:$B$68,2,FALSE)</f>
        <v>Niedersachsen</v>
      </c>
      <c r="D1166" t="str">
        <f>'2020_5-2-2_Download'!$AR$7</f>
        <v>niedrig</v>
      </c>
      <c r="E1166" t="s">
        <v>362</v>
      </c>
      <c r="F1166" t="str">
        <f>VLOOKUP(A2570,[2]Kreise!$A$2:$C$53,3,FALSE)</f>
        <v>K030</v>
      </c>
      <c r="G1166">
        <f>'2020_5-2-2_Download'!AR30</f>
        <v>24.674612020920861</v>
      </c>
    </row>
    <row r="1167" spans="1:7">
      <c r="A1167">
        <f>'2020_5-2-2_Download'!B31</f>
        <v>351</v>
      </c>
      <c r="B1167">
        <f>'2020_5-2-2_Download'!$AM$5</f>
        <v>2015</v>
      </c>
      <c r="C1167" t="str">
        <f>VLOOKUP(A2571,[1]Tabelle1!$A$1:$B$68,2,FALSE)</f>
        <v>Niedersachsen</v>
      </c>
      <c r="D1167" t="str">
        <f>'2020_5-2-2_Download'!$AR$7</f>
        <v>niedrig</v>
      </c>
      <c r="E1167" t="s">
        <v>362</v>
      </c>
      <c r="F1167" t="str">
        <f>VLOOKUP(A2571,[2]Kreise!$A$2:$C$53,3,FALSE)</f>
        <v>K030</v>
      </c>
      <c r="G1167">
        <f>'2020_5-2-2_Download'!AR31</f>
        <v>25.297962322183775</v>
      </c>
    </row>
    <row r="1168" spans="1:7">
      <c r="A1168">
        <f>'2020_5-2-2_Download'!B32</f>
        <v>352</v>
      </c>
      <c r="B1168">
        <f>'2020_5-2-2_Download'!$AM$5</f>
        <v>2015</v>
      </c>
      <c r="C1168" t="str">
        <f>VLOOKUP(A2572,[1]Tabelle1!$A$1:$B$68,2,FALSE)</f>
        <v>Niedersachsen</v>
      </c>
      <c r="D1168" t="str">
        <f>'2020_5-2-2_Download'!$AR$7</f>
        <v>niedrig</v>
      </c>
      <c r="E1168" t="s">
        <v>362</v>
      </c>
      <c r="F1168" t="str">
        <f>VLOOKUP(A2572,[2]Kreise!$A$2:$C$53,3,FALSE)</f>
        <v>K030</v>
      </c>
      <c r="G1168">
        <f>'2020_5-2-2_Download'!AR32</f>
        <v>22.388059701492537</v>
      </c>
    </row>
    <row r="1169" spans="1:7">
      <c r="A1169">
        <f>'2020_5-2-2_Download'!B33</f>
        <v>353</v>
      </c>
      <c r="B1169">
        <f>'2020_5-2-2_Download'!$AM$5</f>
        <v>2015</v>
      </c>
      <c r="C1169" t="str">
        <f>VLOOKUP(A2573,[1]Tabelle1!$A$1:$B$68,2,FALSE)</f>
        <v>Niedersachsen</v>
      </c>
      <c r="D1169" t="str">
        <f>'2020_5-2-2_Download'!$AR$7</f>
        <v>niedrig</v>
      </c>
      <c r="E1169" t="s">
        <v>362</v>
      </c>
      <c r="F1169" t="str">
        <f>VLOOKUP(A2573,[2]Kreise!$A$2:$C$53,3,FALSE)</f>
        <v>K030</v>
      </c>
      <c r="G1169">
        <f>'2020_5-2-2_Download'!AR33</f>
        <v>17.492190986166889</v>
      </c>
    </row>
    <row r="1170" spans="1:7">
      <c r="A1170">
        <f>'2020_5-2-2_Download'!B34</f>
        <v>354</v>
      </c>
      <c r="B1170">
        <f>'2020_5-2-2_Download'!$AM$5</f>
        <v>2015</v>
      </c>
      <c r="C1170" t="str">
        <f>VLOOKUP(A2574,[1]Tabelle1!$A$1:$B$68,2,FALSE)</f>
        <v>Niedersachsen</v>
      </c>
      <c r="D1170" t="str">
        <f>'2020_5-2-2_Download'!$AR$7</f>
        <v>niedrig</v>
      </c>
      <c r="E1170" t="s">
        <v>362</v>
      </c>
      <c r="F1170" t="str">
        <f>VLOOKUP(A2574,[2]Kreise!$A$2:$C$53,3,FALSE)</f>
        <v>K030</v>
      </c>
      <c r="G1170">
        <f>'2020_5-2-2_Download'!AR34</f>
        <v>8.4260731319554854</v>
      </c>
    </row>
    <row r="1171" spans="1:7">
      <c r="A1171">
        <f>'2020_5-2-2_Download'!B35</f>
        <v>355</v>
      </c>
      <c r="B1171">
        <f>'2020_5-2-2_Download'!$AM$5</f>
        <v>2015</v>
      </c>
      <c r="C1171" t="str">
        <f>VLOOKUP(A2575,[1]Tabelle1!$A$1:$B$68,2,FALSE)</f>
        <v>Niedersachsen</v>
      </c>
      <c r="D1171" t="str">
        <f>'2020_5-2-2_Download'!$AR$7</f>
        <v>niedrig</v>
      </c>
      <c r="E1171" t="s">
        <v>362</v>
      </c>
      <c r="F1171" t="str">
        <f>VLOOKUP(A2575,[2]Kreise!$A$2:$C$53,3,FALSE)</f>
        <v>K030</v>
      </c>
      <c r="G1171">
        <f>'2020_5-2-2_Download'!AR35</f>
        <v>22.304027717626678</v>
      </c>
    </row>
    <row r="1172" spans="1:7">
      <c r="A1172">
        <f>'2020_5-2-2_Download'!B36</f>
        <v>356</v>
      </c>
      <c r="B1172">
        <f>'2020_5-2-2_Download'!$AM$5</f>
        <v>2015</v>
      </c>
      <c r="C1172" t="str">
        <f>VLOOKUP(A2576,[1]Tabelle1!$A$1:$B$68,2,FALSE)</f>
        <v>Niedersachsen</v>
      </c>
      <c r="D1172" t="str">
        <f>'2020_5-2-2_Download'!$AR$7</f>
        <v>niedrig</v>
      </c>
      <c r="E1172" t="s">
        <v>362</v>
      </c>
      <c r="F1172" t="str">
        <f>VLOOKUP(A2576,[2]Kreise!$A$2:$C$53,3,FALSE)</f>
        <v>K030</v>
      </c>
      <c r="G1172">
        <f>'2020_5-2-2_Download'!AR36</f>
        <v>22.485768500948765</v>
      </c>
    </row>
    <row r="1173" spans="1:7">
      <c r="A1173">
        <f>'2020_5-2-2_Download'!B37</f>
        <v>357</v>
      </c>
      <c r="B1173">
        <f>'2020_5-2-2_Download'!$AM$5</f>
        <v>2015</v>
      </c>
      <c r="C1173" t="str">
        <f>VLOOKUP(A2577,[1]Tabelle1!$A$1:$B$68,2,FALSE)</f>
        <v>Niedersachsen</v>
      </c>
      <c r="D1173" t="str">
        <f>'2020_5-2-2_Download'!$AR$7</f>
        <v>niedrig</v>
      </c>
      <c r="E1173" t="s">
        <v>362</v>
      </c>
      <c r="F1173" t="str">
        <f>VLOOKUP(A2577,[2]Kreise!$A$2:$C$53,3,FALSE)</f>
        <v>K030</v>
      </c>
      <c r="G1173">
        <f>'2020_5-2-2_Download'!AR37</f>
        <v>19.02198295199641</v>
      </c>
    </row>
    <row r="1174" spans="1:7">
      <c r="A1174">
        <f>'2020_5-2-2_Download'!B38</f>
        <v>358</v>
      </c>
      <c r="B1174">
        <f>'2020_5-2-2_Download'!$AM$5</f>
        <v>2015</v>
      </c>
      <c r="C1174" t="str">
        <f>VLOOKUP(A2578,[1]Tabelle1!$A$1:$B$68,2,FALSE)</f>
        <v>Niedersachsen</v>
      </c>
      <c r="D1174" t="str">
        <f>'2020_5-2-2_Download'!$AR$7</f>
        <v>niedrig</v>
      </c>
      <c r="E1174" t="s">
        <v>362</v>
      </c>
      <c r="F1174" t="str">
        <f>VLOOKUP(A2578,[2]Kreise!$A$2:$C$53,3,FALSE)</f>
        <v>K030</v>
      </c>
      <c r="G1174">
        <f>'2020_5-2-2_Download'!AR38</f>
        <v>19.404186795491142</v>
      </c>
    </row>
    <row r="1175" spans="1:7">
      <c r="A1175">
        <f>'2020_5-2-2_Download'!B39</f>
        <v>359</v>
      </c>
      <c r="B1175">
        <f>'2020_5-2-2_Download'!$AM$5</f>
        <v>2015</v>
      </c>
      <c r="C1175" t="str">
        <f>VLOOKUP(A2579,[1]Tabelle1!$A$1:$B$68,2,FALSE)</f>
        <v>Niedersachsen</v>
      </c>
      <c r="D1175" t="str">
        <f>'2020_5-2-2_Download'!$AR$7</f>
        <v>niedrig</v>
      </c>
      <c r="E1175" t="s">
        <v>362</v>
      </c>
      <c r="F1175" t="str">
        <f>VLOOKUP(A2579,[2]Kreise!$A$2:$C$53,3,FALSE)</f>
        <v>K030</v>
      </c>
      <c r="G1175">
        <f>'2020_5-2-2_Download'!AR39</f>
        <v>13.302862641327881</v>
      </c>
    </row>
    <row r="1176" spans="1:7">
      <c r="A1176">
        <f>'2020_5-2-2_Download'!B40</f>
        <v>360</v>
      </c>
      <c r="B1176">
        <f>'2020_5-2-2_Download'!$AM$5</f>
        <v>2015</v>
      </c>
      <c r="C1176" t="str">
        <f>VLOOKUP(A2580,[1]Tabelle1!$A$1:$B$68,2,FALSE)</f>
        <v>Niedersachsen</v>
      </c>
      <c r="D1176" t="str">
        <f>'2020_5-2-2_Download'!$AR$7</f>
        <v>niedrig</v>
      </c>
      <c r="E1176" t="s">
        <v>362</v>
      </c>
      <c r="F1176" t="str">
        <f>VLOOKUP(A2580,[2]Kreise!$A$2:$C$53,3,FALSE)</f>
        <v>K030</v>
      </c>
      <c r="G1176">
        <f>'2020_5-2-2_Download'!AR40</f>
        <v>16.424116424116423</v>
      </c>
    </row>
    <row r="1177" spans="1:7">
      <c r="A1177">
        <f>'2020_5-2-2_Download'!B41</f>
        <v>361</v>
      </c>
      <c r="B1177">
        <f>'2020_5-2-2_Download'!$AM$5</f>
        <v>2015</v>
      </c>
      <c r="C1177" t="str">
        <f>VLOOKUP(A2581,[1]Tabelle1!$A$1:$B$68,2,FALSE)</f>
        <v>Niedersachsen</v>
      </c>
      <c r="D1177" t="str">
        <f>'2020_5-2-2_Download'!$AR$7</f>
        <v>niedrig</v>
      </c>
      <c r="E1177" t="s">
        <v>362</v>
      </c>
      <c r="F1177" t="str">
        <f>VLOOKUP(A2581,[2]Kreise!$A$2:$C$53,3,FALSE)</f>
        <v>K030</v>
      </c>
      <c r="G1177">
        <f>'2020_5-2-2_Download'!AR41</f>
        <v>23.133776792313377</v>
      </c>
    </row>
    <row r="1178" spans="1:7">
      <c r="A1178">
        <f>'2020_5-2-2_Download'!B42</f>
        <v>3</v>
      </c>
      <c r="B1178">
        <f>'2020_5-2-2_Download'!$AM$5</f>
        <v>2015</v>
      </c>
      <c r="C1178" t="str">
        <f>VLOOKUP(A2582,[1]Tabelle1!$A$1:$B$68,2,FALSE)</f>
        <v>Niedersachsen</v>
      </c>
      <c r="D1178" t="str">
        <f>'2020_5-2-2_Download'!$AR$7</f>
        <v>niedrig</v>
      </c>
      <c r="E1178" t="s">
        <v>362</v>
      </c>
      <c r="F1178" t="str">
        <f>VLOOKUP(A2582,[2]Kreise!$A$2:$C$53,3,FALSE)</f>
        <v>K030</v>
      </c>
      <c r="G1178">
        <f>'2020_5-2-2_Download'!AR42</f>
        <v>19.389330221000716</v>
      </c>
    </row>
    <row r="1179" spans="1:7">
      <c r="A1179">
        <f>'2020_5-2-2_Download'!B43</f>
        <v>401</v>
      </c>
      <c r="B1179">
        <f>'2020_5-2-2_Download'!$AM$5</f>
        <v>2015</v>
      </c>
      <c r="C1179" t="str">
        <f>VLOOKUP(A2583,[1]Tabelle1!$A$1:$B$68,2,FALSE)</f>
        <v>Niedersachsen</v>
      </c>
      <c r="D1179" t="str">
        <f>'2020_5-2-2_Download'!$AR$7</f>
        <v>niedrig</v>
      </c>
      <c r="E1179" t="s">
        <v>362</v>
      </c>
      <c r="F1179" t="str">
        <f>VLOOKUP(A2583,[2]Kreise!$A$2:$C$53,3,FALSE)</f>
        <v>K030</v>
      </c>
      <c r="G1179">
        <f>'2020_5-2-2_Download'!AR43</f>
        <v>25.321888412017167</v>
      </c>
    </row>
    <row r="1180" spans="1:7">
      <c r="A1180">
        <f>'2020_5-2-2_Download'!B44</f>
        <v>402</v>
      </c>
      <c r="B1180">
        <f>'2020_5-2-2_Download'!$AM$5</f>
        <v>2015</v>
      </c>
      <c r="C1180" t="str">
        <f>VLOOKUP(A2584,[1]Tabelle1!$A$1:$B$68,2,FALSE)</f>
        <v>Niedersachsen</v>
      </c>
      <c r="D1180" t="str">
        <f>'2020_5-2-2_Download'!$AR$7</f>
        <v>niedrig</v>
      </c>
      <c r="E1180" t="s">
        <v>362</v>
      </c>
      <c r="F1180" t="str">
        <f>VLOOKUP(A2584,[2]Kreise!$A$2:$C$53,3,FALSE)</f>
        <v>K030</v>
      </c>
      <c r="G1180">
        <f>'2020_5-2-2_Download'!AR44</f>
        <v>20.902455209024552</v>
      </c>
    </row>
    <row r="1181" spans="1:7">
      <c r="A1181">
        <f>'2020_5-2-2_Download'!B45</f>
        <v>403</v>
      </c>
      <c r="B1181">
        <f>'2020_5-2-2_Download'!$AM$5</f>
        <v>2015</v>
      </c>
      <c r="C1181" t="str">
        <f>VLOOKUP(A2585,[1]Tabelle1!$A$1:$B$68,2,FALSE)</f>
        <v>Niedersachsen</v>
      </c>
      <c r="D1181" t="str">
        <f>'2020_5-2-2_Download'!$AR$7</f>
        <v>niedrig</v>
      </c>
      <c r="E1181" t="s">
        <v>362</v>
      </c>
      <c r="F1181" t="str">
        <f>VLOOKUP(A2585,[2]Kreise!$A$2:$C$53,3,FALSE)</f>
        <v>K030</v>
      </c>
      <c r="G1181">
        <f>'2020_5-2-2_Download'!AR45</f>
        <v>21.727105101413642</v>
      </c>
    </row>
    <row r="1182" spans="1:7">
      <c r="A1182">
        <f>'2020_5-2-2_Download'!B46</f>
        <v>404</v>
      </c>
      <c r="B1182">
        <f>'2020_5-2-2_Download'!$AM$5</f>
        <v>2015</v>
      </c>
      <c r="C1182" t="str">
        <f>VLOOKUP(A2586,[1]Tabelle1!$A$1:$B$68,2,FALSE)</f>
        <v>Niedersachsen</v>
      </c>
      <c r="D1182" t="str">
        <f>'2020_5-2-2_Download'!$AR$7</f>
        <v>niedrig</v>
      </c>
      <c r="E1182" t="s">
        <v>362</v>
      </c>
      <c r="F1182" t="str">
        <f>VLOOKUP(A2586,[2]Kreise!$A$2:$C$53,3,FALSE)</f>
        <v>K030</v>
      </c>
      <c r="G1182">
        <f>'2020_5-2-2_Download'!AR46</f>
        <v>28.217821782178216</v>
      </c>
    </row>
    <row r="1183" spans="1:7">
      <c r="A1183">
        <f>'2020_5-2-2_Download'!B47</f>
        <v>405</v>
      </c>
      <c r="B1183">
        <f>'2020_5-2-2_Download'!$AM$5</f>
        <v>2015</v>
      </c>
      <c r="C1183" t="str">
        <f>VLOOKUP(A2587,[1]Tabelle1!$A$1:$B$68,2,FALSE)</f>
        <v>Niedersachsen</v>
      </c>
      <c r="D1183" t="str">
        <f>'2020_5-2-2_Download'!$AR$7</f>
        <v>niedrig</v>
      </c>
      <c r="E1183" t="s">
        <v>362</v>
      </c>
      <c r="F1183" t="str">
        <f>VLOOKUP(A2587,[2]Kreise!$A$2:$C$53,3,FALSE)</f>
        <v>K030</v>
      </c>
      <c r="G1183">
        <f>'2020_5-2-2_Download'!AR47</f>
        <v>21.488469601677149</v>
      </c>
    </row>
    <row r="1184" spans="1:7">
      <c r="A1184">
        <f>'2020_5-2-2_Download'!B48</f>
        <v>451</v>
      </c>
      <c r="B1184">
        <f>'2020_5-2-2_Download'!$AM$5</f>
        <v>2015</v>
      </c>
      <c r="C1184" t="str">
        <f>VLOOKUP(A2588,[1]Tabelle1!$A$1:$B$68,2,FALSE)</f>
        <v>Niedersachsen</v>
      </c>
      <c r="D1184" t="str">
        <f>'2020_5-2-2_Download'!$AR$7</f>
        <v>niedrig</v>
      </c>
      <c r="E1184" t="s">
        <v>362</v>
      </c>
      <c r="F1184" t="str">
        <f>VLOOKUP(A2588,[2]Kreise!$A$2:$C$53,3,FALSE)</f>
        <v>K030</v>
      </c>
      <c r="G1184">
        <f>'2020_5-2-2_Download'!AR48</f>
        <v>18.914261094355879</v>
      </c>
    </row>
    <row r="1185" spans="1:7">
      <c r="A1185">
        <f>'2020_5-2-2_Download'!B49</f>
        <v>452</v>
      </c>
      <c r="B1185">
        <f>'2020_5-2-2_Download'!$AM$5</f>
        <v>2015</v>
      </c>
      <c r="C1185" t="str">
        <f>VLOOKUP(A2589,[1]Tabelle1!$A$1:$B$68,2,FALSE)</f>
        <v>Niedersachsen</v>
      </c>
      <c r="D1185" t="str">
        <f>'2020_5-2-2_Download'!$AR$7</f>
        <v>niedrig</v>
      </c>
      <c r="E1185" t="s">
        <v>362</v>
      </c>
      <c r="F1185" t="str">
        <f>VLOOKUP(A2589,[2]Kreise!$A$2:$C$53,3,FALSE)</f>
        <v>K030</v>
      </c>
      <c r="G1185">
        <f>'2020_5-2-2_Download'!AR49</f>
        <v>19.35889377749843</v>
      </c>
    </row>
    <row r="1186" spans="1:7">
      <c r="A1186">
        <f>'2020_5-2-2_Download'!B50</f>
        <v>453</v>
      </c>
      <c r="B1186">
        <f>'2020_5-2-2_Download'!$AM$5</f>
        <v>2015</v>
      </c>
      <c r="C1186" t="str">
        <f>VLOOKUP(A2590,[1]Tabelle1!$A$1:$B$68,2,FALSE)</f>
        <v>Niedersachsen</v>
      </c>
      <c r="D1186" t="str">
        <f>'2020_5-2-2_Download'!$AR$7</f>
        <v>niedrig</v>
      </c>
      <c r="E1186" t="s">
        <v>362</v>
      </c>
      <c r="F1186" t="str">
        <f>VLOOKUP(A2590,[2]Kreise!$A$2:$C$53,3,FALSE)</f>
        <v>K030</v>
      </c>
      <c r="G1186">
        <f>'2020_5-2-2_Download'!AR50</f>
        <v>21.502641361768735</v>
      </c>
    </row>
    <row r="1187" spans="1:7">
      <c r="A1187">
        <f>'2020_5-2-2_Download'!B51</f>
        <v>454</v>
      </c>
      <c r="B1187">
        <f>'2020_5-2-2_Download'!$AM$5</f>
        <v>2015</v>
      </c>
      <c r="C1187" t="str">
        <f>VLOOKUP(A2591,[1]Tabelle1!$A$1:$B$68,2,FALSE)</f>
        <v>Niedersachsen</v>
      </c>
      <c r="D1187" t="str">
        <f>'2020_5-2-2_Download'!$AR$7</f>
        <v>niedrig</v>
      </c>
      <c r="E1187" t="s">
        <v>362</v>
      </c>
      <c r="F1187" t="str">
        <f>VLOOKUP(A2591,[2]Kreise!$A$2:$C$53,3,FALSE)</f>
        <v>K030</v>
      </c>
      <c r="G1187">
        <f>'2020_5-2-2_Download'!AR51</f>
        <v>15.754390462761183</v>
      </c>
    </row>
    <row r="1188" spans="1:7">
      <c r="A1188">
        <f>'2020_5-2-2_Download'!B52</f>
        <v>455</v>
      </c>
      <c r="B1188">
        <f>'2020_5-2-2_Download'!$AM$5</f>
        <v>2015</v>
      </c>
      <c r="C1188" t="str">
        <f>VLOOKUP(A2592,[1]Tabelle1!$A$1:$B$68,2,FALSE)</f>
        <v>Niedersachsen</v>
      </c>
      <c r="D1188" t="str">
        <f>'2020_5-2-2_Download'!$AR$7</f>
        <v>niedrig</v>
      </c>
      <c r="E1188" t="s">
        <v>362</v>
      </c>
      <c r="F1188" t="str">
        <f>VLOOKUP(A2592,[2]Kreise!$A$2:$C$53,3,FALSE)</f>
        <v>K030</v>
      </c>
      <c r="G1188">
        <f>'2020_5-2-2_Download'!AR52</f>
        <v>19.87513007284079</v>
      </c>
    </row>
    <row r="1189" spans="1:7">
      <c r="A1189">
        <f>'2020_5-2-2_Download'!B53</f>
        <v>456</v>
      </c>
      <c r="B1189">
        <f>'2020_5-2-2_Download'!$AM$5</f>
        <v>2015</v>
      </c>
      <c r="C1189" t="str">
        <f>VLOOKUP(A2593,[1]Tabelle1!$A$1:$B$68,2,FALSE)</f>
        <v>Niedersachsen</v>
      </c>
      <c r="D1189" t="str">
        <f>'2020_5-2-2_Download'!$AR$7</f>
        <v>niedrig</v>
      </c>
      <c r="E1189" t="s">
        <v>362</v>
      </c>
      <c r="F1189" t="str">
        <f>VLOOKUP(A2593,[2]Kreise!$A$2:$C$53,3,FALSE)</f>
        <v>K030</v>
      </c>
      <c r="G1189">
        <f>'2020_5-2-2_Download'!AR53</f>
        <v>16.820276497695851</v>
      </c>
    </row>
    <row r="1190" spans="1:7">
      <c r="A1190">
        <f>'2020_5-2-2_Download'!B54</f>
        <v>457</v>
      </c>
      <c r="B1190">
        <f>'2020_5-2-2_Download'!$AM$5</f>
        <v>2015</v>
      </c>
      <c r="C1190" t="str">
        <f>VLOOKUP(A2594,[1]Tabelle1!$A$1:$B$68,2,FALSE)</f>
        <v>Niedersachsen</v>
      </c>
      <c r="D1190" t="str">
        <f>'2020_5-2-2_Download'!$AR$7</f>
        <v>niedrig</v>
      </c>
      <c r="E1190" t="s">
        <v>362</v>
      </c>
      <c r="F1190" t="str">
        <f>VLOOKUP(A2594,[2]Kreise!$A$2:$C$53,3,FALSE)</f>
        <v>K030</v>
      </c>
      <c r="G1190">
        <f>'2020_5-2-2_Download'!AR54</f>
        <v>13.422509225092252</v>
      </c>
    </row>
    <row r="1191" spans="1:7">
      <c r="A1191">
        <f>'2020_5-2-2_Download'!B55</f>
        <v>458</v>
      </c>
      <c r="B1191">
        <f>'2020_5-2-2_Download'!$AM$5</f>
        <v>2015</v>
      </c>
      <c r="C1191" t="str">
        <f>VLOOKUP(A2595,[1]Tabelle1!$A$1:$B$68,2,FALSE)</f>
        <v>Niedersachsen</v>
      </c>
      <c r="D1191" t="str">
        <f>'2020_5-2-2_Download'!$AR$7</f>
        <v>niedrig</v>
      </c>
      <c r="E1191" t="s">
        <v>362</v>
      </c>
      <c r="F1191" t="str">
        <f>VLOOKUP(A2595,[2]Kreise!$A$2:$C$53,3,FALSE)</f>
        <v>K030</v>
      </c>
      <c r="G1191">
        <f>'2020_5-2-2_Download'!AR55</f>
        <v>20.736434108527131</v>
      </c>
    </row>
    <row r="1192" spans="1:7">
      <c r="A1192">
        <f>'2020_5-2-2_Download'!B56</f>
        <v>459</v>
      </c>
      <c r="B1192">
        <f>'2020_5-2-2_Download'!$AM$5</f>
        <v>2015</v>
      </c>
      <c r="C1192" t="str">
        <f>VLOOKUP(A2596,[1]Tabelle1!$A$1:$B$68,2,FALSE)</f>
        <v>Niedersachsen</v>
      </c>
      <c r="D1192" t="str">
        <f>'2020_5-2-2_Download'!$AR$7</f>
        <v>niedrig</v>
      </c>
      <c r="E1192" t="s">
        <v>362</v>
      </c>
      <c r="F1192" t="str">
        <f>VLOOKUP(A2596,[2]Kreise!$A$2:$C$53,3,FALSE)</f>
        <v>K030</v>
      </c>
      <c r="G1192">
        <f>'2020_5-2-2_Download'!AR56</f>
        <v>24.774731130704389</v>
      </c>
    </row>
    <row r="1193" spans="1:7">
      <c r="A1193">
        <f>'2020_5-2-2_Download'!B57</f>
        <v>460</v>
      </c>
      <c r="B1193">
        <f>'2020_5-2-2_Download'!$AM$5</f>
        <v>2015</v>
      </c>
      <c r="C1193" t="str">
        <f>VLOOKUP(A2597,[1]Tabelle1!$A$1:$B$68,2,FALSE)</f>
        <v>Niedersachsen</v>
      </c>
      <c r="D1193" t="str">
        <f>'2020_5-2-2_Download'!$AR$7</f>
        <v>niedrig</v>
      </c>
      <c r="E1193" t="s">
        <v>362</v>
      </c>
      <c r="F1193" t="str">
        <f>VLOOKUP(A2597,[2]Kreise!$A$2:$C$53,3,FALSE)</f>
        <v>K030</v>
      </c>
      <c r="G1193">
        <f>'2020_5-2-2_Download'!AR57</f>
        <v>25.830013280212484</v>
      </c>
    </row>
    <row r="1194" spans="1:7">
      <c r="A1194">
        <f>'2020_5-2-2_Download'!B58</f>
        <v>461</v>
      </c>
      <c r="B1194">
        <f>'2020_5-2-2_Download'!$AM$5</f>
        <v>2015</v>
      </c>
      <c r="C1194" t="str">
        <f>VLOOKUP(A2598,[1]Tabelle1!$A$1:$B$68,2,FALSE)</f>
        <v>Niedersachsen</v>
      </c>
      <c r="D1194" t="str">
        <f>'2020_5-2-2_Download'!$AR$7</f>
        <v>niedrig</v>
      </c>
      <c r="E1194" t="s">
        <v>362</v>
      </c>
      <c r="F1194" t="str">
        <f>VLOOKUP(A2598,[2]Kreise!$A$2:$C$53,3,FALSE)</f>
        <v>K030</v>
      </c>
      <c r="G1194">
        <f>'2020_5-2-2_Download'!AR58</f>
        <v>19.35483870967742</v>
      </c>
    </row>
    <row r="1195" spans="1:7">
      <c r="A1195">
        <f>'2020_5-2-2_Download'!B59</f>
        <v>462</v>
      </c>
      <c r="B1195">
        <f>'2020_5-2-2_Download'!$AM$5</f>
        <v>2015</v>
      </c>
      <c r="C1195" t="str">
        <f>VLOOKUP(A2599,[1]Tabelle1!$A$1:$B$68,2,FALSE)</f>
        <v>Niedersachsen</v>
      </c>
      <c r="D1195" t="str">
        <f>'2020_5-2-2_Download'!$AR$7</f>
        <v>niedrig</v>
      </c>
      <c r="E1195" t="s">
        <v>362</v>
      </c>
      <c r="F1195" t="str">
        <f>VLOOKUP(A2599,[2]Kreise!$A$2:$C$53,3,FALSE)</f>
        <v>K030</v>
      </c>
      <c r="G1195">
        <f>'2020_5-2-2_Download'!AR59</f>
        <v>10.666666666666668</v>
      </c>
    </row>
    <row r="1196" spans="1:7">
      <c r="A1196">
        <f>'2020_5-2-2_Download'!B60</f>
        <v>4</v>
      </c>
      <c r="B1196">
        <f>'2020_5-2-2_Download'!$AM$5</f>
        <v>2015</v>
      </c>
      <c r="C1196" t="str">
        <f>VLOOKUP(A2600,[1]Tabelle1!$A$1:$B$68,2,FALSE)</f>
        <v>Niedersachsen</v>
      </c>
      <c r="D1196" t="str">
        <f>'2020_5-2-2_Download'!$AR$7</f>
        <v>niedrig</v>
      </c>
      <c r="E1196" t="s">
        <v>362</v>
      </c>
      <c r="F1196" t="str">
        <f>VLOOKUP(A2600,[2]Kreise!$A$2:$C$53,3,FALSE)</f>
        <v>K030</v>
      </c>
      <c r="G1196">
        <f>'2020_5-2-2_Download'!AR60</f>
        <v>21.524797924358847</v>
      </c>
    </row>
    <row r="1197" spans="1:7">
      <c r="A1197">
        <f>'2020_5-2-2_Download'!B61</f>
        <v>0</v>
      </c>
      <c r="B1197">
        <f>'2020_5-2-2_Download'!$AM$5</f>
        <v>2015</v>
      </c>
      <c r="C1197" t="str">
        <f>VLOOKUP(A2601,[1]Tabelle1!$A$1:$B$68,2,FALSE)</f>
        <v>Niedersachsen</v>
      </c>
      <c r="D1197" t="str">
        <f>'2020_5-2-2_Download'!$AR$7</f>
        <v>niedrig</v>
      </c>
      <c r="E1197" t="s">
        <v>362</v>
      </c>
      <c r="F1197" t="str">
        <f>VLOOKUP(A2601,[2]Kreise!$A$2:$C$53,3,FALSE)</f>
        <v>K030</v>
      </c>
      <c r="G1197">
        <f>'2020_5-2-2_Download'!AR61</f>
        <v>21.830589990370004</v>
      </c>
    </row>
    <row r="1198" spans="1:7">
      <c r="A1198">
        <f>'2020_5-2-2_Download'!B10</f>
        <v>101</v>
      </c>
      <c r="B1198">
        <f>'2020_5-2-2_Download'!$AM$5</f>
        <v>2015</v>
      </c>
      <c r="C1198" t="str">
        <f>VLOOKUP(A2602,[1]Tabelle1!$A$1:$B$68,2,FALSE)</f>
        <v>Niedersachsen</v>
      </c>
      <c r="D1198" t="str">
        <f>'2020_5-2-2_Download'!$AS$7</f>
        <v>unbekannt</v>
      </c>
      <c r="E1198" t="s">
        <v>362</v>
      </c>
      <c r="F1198" s="266" t="str">
        <f>VLOOKUP(A2602,[2]Kreise!$A$2:$C$53,3,FALSE)</f>
        <v>K030</v>
      </c>
      <c r="G1198">
        <f>'2020_5-2-2_Download'!AS10</f>
        <v>26.652132443112141</v>
      </c>
    </row>
    <row r="1199" spans="1:7">
      <c r="A1199">
        <f>'2020_5-2-2_Download'!B11</f>
        <v>102</v>
      </c>
      <c r="B1199">
        <f>'2020_5-2-2_Download'!$AM$5</f>
        <v>2015</v>
      </c>
      <c r="C1199" t="str">
        <f>VLOOKUP(A2603,[1]Tabelle1!$A$1:$B$68,2,FALSE)</f>
        <v>Niedersachsen</v>
      </c>
      <c r="D1199" t="str">
        <f>'2020_5-2-2_Download'!$AS$7</f>
        <v>unbekannt</v>
      </c>
      <c r="E1199" t="s">
        <v>362</v>
      </c>
      <c r="F1199" s="266" t="str">
        <f>VLOOKUP(A2603,[2]Kreise!$A$2:$C$53,3,FALSE)</f>
        <v>K030</v>
      </c>
      <c r="G1199">
        <f>'2020_5-2-2_Download'!AS11</f>
        <v>27.51461988304094</v>
      </c>
    </row>
    <row r="1200" spans="1:7">
      <c r="A1200">
        <f>'2020_5-2-2_Download'!B12</f>
        <v>103</v>
      </c>
      <c r="B1200">
        <f>'2020_5-2-2_Download'!$AM$5</f>
        <v>2015</v>
      </c>
      <c r="C1200" t="str">
        <f>VLOOKUP(A2604,[1]Tabelle1!$A$1:$B$68,2,FALSE)</f>
        <v>Niedersachsen</v>
      </c>
      <c r="D1200" t="str">
        <f>'2020_5-2-2_Download'!$AS$7</f>
        <v>unbekannt</v>
      </c>
      <c r="E1200" t="s">
        <v>362</v>
      </c>
      <c r="F1200" s="266" t="str">
        <f>VLOOKUP(A2604,[2]Kreise!$A$2:$C$53,3,FALSE)</f>
        <v>K030</v>
      </c>
      <c r="G1200">
        <f>'2020_5-2-2_Download'!AS12</f>
        <v>32.677595628415304</v>
      </c>
    </row>
    <row r="1201" spans="1:7">
      <c r="A1201">
        <f>'2020_5-2-2_Download'!B13</f>
        <v>151</v>
      </c>
      <c r="B1201">
        <f>'2020_5-2-2_Download'!$AM$5</f>
        <v>2015</v>
      </c>
      <c r="C1201" t="str">
        <f>VLOOKUP(A2605,[1]Tabelle1!$A$1:$B$68,2,FALSE)</f>
        <v>Niedersachsen</v>
      </c>
      <c r="D1201" t="str">
        <f>'2020_5-2-2_Download'!$AS$7</f>
        <v>unbekannt</v>
      </c>
      <c r="E1201" t="s">
        <v>362</v>
      </c>
      <c r="F1201" s="266" t="str">
        <f>VLOOKUP(A2605,[2]Kreise!$A$2:$C$53,3,FALSE)</f>
        <v>K030</v>
      </c>
      <c r="G1201">
        <f>'2020_5-2-2_Download'!AS13</f>
        <v>31.928838951310865</v>
      </c>
    </row>
    <row r="1202" spans="1:7">
      <c r="A1202">
        <f>'2020_5-2-2_Download'!B14</f>
        <v>153</v>
      </c>
      <c r="B1202">
        <f>'2020_5-2-2_Download'!$AM$5</f>
        <v>2015</v>
      </c>
      <c r="C1202" t="str">
        <f>VLOOKUP(A2606,[1]Tabelle1!$A$1:$B$68,2,FALSE)</f>
        <v>Niedersachsen</v>
      </c>
      <c r="D1202" t="str">
        <f>'2020_5-2-2_Download'!$AS$7</f>
        <v>unbekannt</v>
      </c>
      <c r="E1202" t="s">
        <v>362</v>
      </c>
      <c r="F1202" s="266" t="str">
        <f>VLOOKUP(A2606,[2]Kreise!$A$2:$C$53,3,FALSE)</f>
        <v>K030</v>
      </c>
      <c r="G1202">
        <f>'2020_5-2-2_Download'!AS14</f>
        <v>30.304568527918779</v>
      </c>
    </row>
    <row r="1203" spans="1:7">
      <c r="A1203">
        <f>'2020_5-2-2_Download'!B15</f>
        <v>154</v>
      </c>
      <c r="B1203">
        <f>'2020_5-2-2_Download'!$AM$5</f>
        <v>2015</v>
      </c>
      <c r="C1203" t="str">
        <f>VLOOKUP(A2607,[1]Tabelle1!$A$1:$B$68,2,FALSE)</f>
        <v>Niedersachsen</v>
      </c>
      <c r="D1203" t="str">
        <f>'2020_5-2-2_Download'!$AS$7</f>
        <v>unbekannt</v>
      </c>
      <c r="E1203" t="s">
        <v>362</v>
      </c>
      <c r="F1203" s="266" t="str">
        <f>VLOOKUP(A2607,[2]Kreise!$A$2:$C$53,3,FALSE)</f>
        <v>K030</v>
      </c>
      <c r="G1203">
        <f>'2020_5-2-2_Download'!AS15</f>
        <v>26.544943820224717</v>
      </c>
    </row>
    <row r="1204" spans="1:7">
      <c r="A1204">
        <f>'2020_5-2-2_Download'!B16</f>
        <v>155</v>
      </c>
      <c r="B1204">
        <f>'2020_5-2-2_Download'!$AM$5</f>
        <v>2015</v>
      </c>
      <c r="C1204" t="str">
        <f>VLOOKUP(A2608,[1]Tabelle1!$A$1:$B$68,2,FALSE)</f>
        <v>Niedersachsen</v>
      </c>
      <c r="D1204" t="str">
        <f>'2020_5-2-2_Download'!$AS$7</f>
        <v>unbekannt</v>
      </c>
      <c r="E1204" t="s">
        <v>362</v>
      </c>
      <c r="F1204" s="266" t="str">
        <f>VLOOKUP(A2608,[2]Kreise!$A$2:$C$53,3,FALSE)</f>
        <v>K030</v>
      </c>
      <c r="G1204">
        <f>'2020_5-2-2_Download'!AS16</f>
        <v>23.294346978557506</v>
      </c>
    </row>
    <row r="1205" spans="1:7">
      <c r="A1205">
        <f>'2020_5-2-2_Download'!B17</f>
        <v>157</v>
      </c>
      <c r="B1205">
        <f>'2020_5-2-2_Download'!$AM$5</f>
        <v>2015</v>
      </c>
      <c r="C1205" t="str">
        <f>VLOOKUP(A2609,[1]Tabelle1!$A$1:$B$68,2,FALSE)</f>
        <v>Niedersachsen</v>
      </c>
      <c r="D1205" t="str">
        <f>'2020_5-2-2_Download'!$AS$7</f>
        <v>unbekannt</v>
      </c>
      <c r="E1205" t="s">
        <v>362</v>
      </c>
      <c r="F1205" s="266" t="str">
        <f>VLOOKUP(A2609,[2]Kreise!$A$2:$C$53,3,FALSE)</f>
        <v>K030</v>
      </c>
      <c r="G1205">
        <f>'2020_5-2-2_Download'!AS17</f>
        <v>28.642901813633536</v>
      </c>
    </row>
    <row r="1206" spans="1:7">
      <c r="A1206">
        <f>'2020_5-2-2_Download'!B18</f>
        <v>158</v>
      </c>
      <c r="B1206">
        <f>'2020_5-2-2_Download'!$AM$5</f>
        <v>2015</v>
      </c>
      <c r="C1206" t="str">
        <f>VLOOKUP(A2610,[1]Tabelle1!$A$1:$B$68,2,FALSE)</f>
        <v>Niedersachsen</v>
      </c>
      <c r="D1206" t="str">
        <f>'2020_5-2-2_Download'!$AS$7</f>
        <v>unbekannt</v>
      </c>
      <c r="E1206" t="s">
        <v>362</v>
      </c>
      <c r="F1206" s="266" t="str">
        <f>VLOOKUP(A2610,[2]Kreise!$A$2:$C$53,3,FALSE)</f>
        <v>K030</v>
      </c>
      <c r="G1206">
        <f>'2020_5-2-2_Download'!AS18</f>
        <v>27.909604519774021</v>
      </c>
    </row>
    <row r="1207" spans="1:7">
      <c r="A1207">
        <f>'2020_5-2-2_Download'!B19</f>
        <v>159</v>
      </c>
      <c r="B1207">
        <f>'2020_5-2-2_Download'!$AM$5</f>
        <v>2015</v>
      </c>
      <c r="C1207" t="str">
        <f>VLOOKUP(A2611,[1]Tabelle1!$A$1:$B$68,2,FALSE)</f>
        <v>Niedersachsen</v>
      </c>
      <c r="D1207" t="str">
        <f>'2020_5-2-2_Download'!$AS$7</f>
        <v>unbekannt</v>
      </c>
      <c r="E1207" t="s">
        <v>362</v>
      </c>
      <c r="F1207" s="266" t="str">
        <f>VLOOKUP(A2611,[2]Kreise!$A$2:$C$53,3,FALSE)</f>
        <v>K030</v>
      </c>
      <c r="G1207">
        <f>'2020_5-2-2_Download'!AS19</f>
        <v>12.10100047641734</v>
      </c>
    </row>
    <row r="1208" spans="1:7">
      <c r="A1208">
        <f>'2020_5-2-2_Download'!B20</f>
        <v>1</v>
      </c>
      <c r="B1208">
        <f>'2020_5-2-2_Download'!$AM$5</f>
        <v>2015</v>
      </c>
      <c r="C1208" t="str">
        <f>VLOOKUP(A2612,[1]Tabelle1!$A$1:$B$68,2,FALSE)</f>
        <v>Niedersachsen</v>
      </c>
      <c r="D1208" t="str">
        <f>'2020_5-2-2_Download'!$AS$7</f>
        <v>unbekannt</v>
      </c>
      <c r="E1208" t="s">
        <v>362</v>
      </c>
      <c r="F1208" s="266" t="str">
        <f>VLOOKUP(A2612,[2]Kreise!$A$2:$C$53,3,FALSE)</f>
        <v>K030</v>
      </c>
      <c r="G1208">
        <f>'2020_5-2-2_Download'!AS20</f>
        <v>27.143888006927408</v>
      </c>
    </row>
    <row r="1209" spans="1:7">
      <c r="A1209">
        <f>'2020_5-2-2_Download'!B21</f>
        <v>241</v>
      </c>
      <c r="B1209">
        <f>'2020_5-2-2_Download'!$AM$5</f>
        <v>2015</v>
      </c>
      <c r="C1209" t="str">
        <f>VLOOKUP(A2613,[1]Tabelle1!$A$1:$B$68,2,FALSE)</f>
        <v>Niedersachsen</v>
      </c>
      <c r="D1209" t="str">
        <f>'2020_5-2-2_Download'!$AS$7</f>
        <v>unbekannt</v>
      </c>
      <c r="E1209" t="s">
        <v>362</v>
      </c>
      <c r="F1209" s="266" t="str">
        <f>VLOOKUP(A2613,[2]Kreise!$A$2:$C$53,3,FALSE)</f>
        <v>K030</v>
      </c>
      <c r="G1209" s="45">
        <f>'2020_5-2-2_Download'!AS21</f>
        <v>29.948239923179617</v>
      </c>
    </row>
    <row r="1210" spans="1:7">
      <c r="A1210">
        <f>'2020_5-2-2_Download'!B22</f>
        <v>241001</v>
      </c>
      <c r="B1210">
        <f>'2020_5-2-2_Download'!$AM$5</f>
        <v>2015</v>
      </c>
      <c r="C1210" t="str">
        <f>VLOOKUP(A2614,[1]Tabelle1!$A$1:$B$68,2,FALSE)</f>
        <v>Niedersachsen</v>
      </c>
      <c r="D1210" t="str">
        <f>'2020_5-2-2_Download'!$AS$7</f>
        <v>unbekannt</v>
      </c>
      <c r="E1210" t="s">
        <v>362</v>
      </c>
      <c r="F1210" s="266" t="str">
        <f>VLOOKUP(A2614,[2]Kreise!$A$2:$C$53,3,FALSE)</f>
        <v>K030</v>
      </c>
      <c r="G1210" s="45">
        <f>'2020_5-2-2_Download'!AS22</f>
        <v>28.838820277787491</v>
      </c>
    </row>
    <row r="1211" spans="1:7">
      <c r="A1211">
        <f>'2020_5-2-2_Download'!B23</f>
        <v>241999</v>
      </c>
      <c r="B1211">
        <f>'2020_5-2-2_Download'!$AM$5</f>
        <v>2015</v>
      </c>
      <c r="C1211" t="str">
        <f>VLOOKUP(A2615,[1]Tabelle1!$A$1:$B$68,2,FALSE)</f>
        <v>Niedersachsen</v>
      </c>
      <c r="D1211" t="str">
        <f>'2020_5-2-2_Download'!$AS$7</f>
        <v>unbekannt</v>
      </c>
      <c r="E1211" t="s">
        <v>362</v>
      </c>
      <c r="F1211" s="266" t="str">
        <f>VLOOKUP(A2615,[2]Kreise!$A$2:$C$53,3,FALSE)</f>
        <v>K030</v>
      </c>
      <c r="G1211" s="45">
        <f>'2020_5-2-2_Download'!AS23</f>
        <v>32.194983704123558</v>
      </c>
    </row>
    <row r="1212" spans="1:7">
      <c r="A1212">
        <f>'2020_5-2-2_Download'!B24</f>
        <v>251</v>
      </c>
      <c r="B1212">
        <f>'2020_5-2-2_Download'!$AM$5</f>
        <v>2015</v>
      </c>
      <c r="C1212" t="str">
        <f>VLOOKUP(A2616,[1]Tabelle1!$A$1:$B$68,2,FALSE)</f>
        <v>Niedersachsen</v>
      </c>
      <c r="D1212" t="str">
        <f>'2020_5-2-2_Download'!$AS$7</f>
        <v>unbekannt</v>
      </c>
      <c r="E1212" t="s">
        <v>362</v>
      </c>
      <c r="F1212" s="266" t="str">
        <f>VLOOKUP(A2616,[2]Kreise!$A$2:$C$53,3,FALSE)</f>
        <v>K030</v>
      </c>
      <c r="G1212" s="45">
        <f>'2020_5-2-2_Download'!AS24</f>
        <v>36.524728907696378</v>
      </c>
    </row>
    <row r="1213" spans="1:7">
      <c r="A1213">
        <f>'2020_5-2-2_Download'!B25</f>
        <v>252</v>
      </c>
      <c r="B1213">
        <f>'2020_5-2-2_Download'!$AM$5</f>
        <v>2015</v>
      </c>
      <c r="C1213" t="str">
        <f>VLOOKUP(A2617,[1]Tabelle1!$A$1:$B$68,2,FALSE)</f>
        <v>Niedersachsen</v>
      </c>
      <c r="D1213" t="str">
        <f>'2020_5-2-2_Download'!$AS$7</f>
        <v>unbekannt</v>
      </c>
      <c r="E1213" t="s">
        <v>362</v>
      </c>
      <c r="F1213" s="266" t="str">
        <f>VLOOKUP(A2617,[2]Kreise!$A$2:$C$53,3,FALSE)</f>
        <v>K030</v>
      </c>
      <c r="G1213" s="45">
        <f>'2020_5-2-2_Download'!AS25</f>
        <v>27.781765972720741</v>
      </c>
    </row>
    <row r="1214" spans="1:7">
      <c r="A1214">
        <f>'2020_5-2-2_Download'!B26</f>
        <v>254</v>
      </c>
      <c r="B1214">
        <f>'2020_5-2-2_Download'!$AM$5</f>
        <v>2015</v>
      </c>
      <c r="C1214" t="str">
        <f>VLOOKUP(A2618,[1]Tabelle1!$A$1:$B$68,2,FALSE)</f>
        <v>Niedersachsen</v>
      </c>
      <c r="D1214" t="str">
        <f>'2020_5-2-2_Download'!$AS$7</f>
        <v>unbekannt</v>
      </c>
      <c r="E1214" t="s">
        <v>362</v>
      </c>
      <c r="F1214" s="266" t="str">
        <f>VLOOKUP(A2618,[2]Kreise!$A$2:$C$53,3,FALSE)</f>
        <v>K030</v>
      </c>
      <c r="G1214" s="45">
        <f>'2020_5-2-2_Download'!AS26</f>
        <v>22.969477496120021</v>
      </c>
    </row>
    <row r="1215" spans="1:7">
      <c r="A1215">
        <f>'2020_5-2-2_Download'!B27</f>
        <v>255</v>
      </c>
      <c r="B1215">
        <f>'2020_5-2-2_Download'!$AM$5</f>
        <v>2015</v>
      </c>
      <c r="C1215" t="str">
        <f>VLOOKUP(A2619,[1]Tabelle1!$A$1:$B$68,2,FALSE)</f>
        <v>Niedersachsen</v>
      </c>
      <c r="D1215" t="str">
        <f>'2020_5-2-2_Download'!$AS$7</f>
        <v>unbekannt</v>
      </c>
      <c r="E1215" t="s">
        <v>362</v>
      </c>
      <c r="F1215" s="266" t="str">
        <f>VLOOKUP(A2619,[2]Kreise!$A$2:$C$53,3,FALSE)</f>
        <v>K030</v>
      </c>
      <c r="G1215" s="45">
        <f>'2020_5-2-2_Download'!AS27</f>
        <v>20.21151586368978</v>
      </c>
    </row>
    <row r="1216" spans="1:7">
      <c r="A1216">
        <f>'2020_5-2-2_Download'!B28</f>
        <v>256</v>
      </c>
      <c r="B1216">
        <f>'2020_5-2-2_Download'!$AM$5</f>
        <v>2015</v>
      </c>
      <c r="C1216" t="str">
        <f>VLOOKUP(A2620,[1]Tabelle1!$A$1:$B$68,2,FALSE)</f>
        <v>Niedersachsen</v>
      </c>
      <c r="D1216" t="str">
        <f>'2020_5-2-2_Download'!$AS$7</f>
        <v>unbekannt</v>
      </c>
      <c r="E1216" t="s">
        <v>362</v>
      </c>
      <c r="F1216" s="266" t="str">
        <f>VLOOKUP(A2620,[2]Kreise!$A$2:$C$53,3,FALSE)</f>
        <v>K030</v>
      </c>
      <c r="G1216" s="45">
        <f>'2020_5-2-2_Download'!AS28</f>
        <v>38.763493621197256</v>
      </c>
    </row>
    <row r="1217" spans="1:7">
      <c r="A1217">
        <f>'2020_5-2-2_Download'!B29</f>
        <v>257</v>
      </c>
      <c r="B1217">
        <f>'2020_5-2-2_Download'!$AM$5</f>
        <v>2015</v>
      </c>
      <c r="C1217" t="str">
        <f>VLOOKUP(A2621,[1]Tabelle1!$A$1:$B$68,2,FALSE)</f>
        <v>Niedersachsen</v>
      </c>
      <c r="D1217" t="str">
        <f>'2020_5-2-2_Download'!$AS$7</f>
        <v>unbekannt</v>
      </c>
      <c r="E1217" t="s">
        <v>362</v>
      </c>
      <c r="F1217" s="266" t="str">
        <f>VLOOKUP(A2621,[2]Kreise!$A$2:$C$53,3,FALSE)</f>
        <v>K030</v>
      </c>
      <c r="G1217">
        <f>'2020_5-2-2_Download'!AS29</f>
        <v>26.132404181184672</v>
      </c>
    </row>
    <row r="1218" spans="1:7">
      <c r="A1218">
        <f>'2020_5-2-2_Download'!B30</f>
        <v>2</v>
      </c>
      <c r="B1218">
        <f>'2020_5-2-2_Download'!$AM$5</f>
        <v>2015</v>
      </c>
      <c r="C1218" t="str">
        <f>VLOOKUP(A2622,[1]Tabelle1!$A$1:$B$68,2,FALSE)</f>
        <v>Niedersachsen</v>
      </c>
      <c r="D1218" t="str">
        <f>'2020_5-2-2_Download'!$AS$7</f>
        <v>unbekannt</v>
      </c>
      <c r="E1218" t="s">
        <v>362</v>
      </c>
      <c r="F1218" s="266" t="str">
        <f>VLOOKUP(A2622,[2]Kreise!$A$2:$C$53,3,FALSE)</f>
        <v>K030</v>
      </c>
      <c r="G1218">
        <f>'2020_5-2-2_Download'!AS30</f>
        <v>29.824230472434188</v>
      </c>
    </row>
    <row r="1219" spans="1:7">
      <c r="A1219">
        <f>'2020_5-2-2_Download'!B31</f>
        <v>351</v>
      </c>
      <c r="B1219">
        <f>'2020_5-2-2_Download'!$AM$5</f>
        <v>2015</v>
      </c>
      <c r="C1219" t="str">
        <f>VLOOKUP(A2623,[1]Tabelle1!$A$1:$B$68,2,FALSE)</f>
        <v>Niedersachsen</v>
      </c>
      <c r="D1219" t="str">
        <f>'2020_5-2-2_Download'!$AS$7</f>
        <v>unbekannt</v>
      </c>
      <c r="E1219" t="s">
        <v>362</v>
      </c>
      <c r="F1219" s="266" t="str">
        <f>VLOOKUP(A2623,[2]Kreise!$A$2:$C$53,3,FALSE)</f>
        <v>K030</v>
      </c>
      <c r="G1219">
        <f>'2020_5-2-2_Download'!AS31</f>
        <v>25.144175317185699</v>
      </c>
    </row>
    <row r="1220" spans="1:7">
      <c r="A1220">
        <f>'2020_5-2-2_Download'!B32</f>
        <v>352</v>
      </c>
      <c r="B1220">
        <f>'2020_5-2-2_Download'!$AM$5</f>
        <v>2015</v>
      </c>
      <c r="C1220" t="str">
        <f>VLOOKUP(A2624,[1]Tabelle1!$A$1:$B$68,2,FALSE)</f>
        <v>Niedersachsen</v>
      </c>
      <c r="D1220" t="str">
        <f>'2020_5-2-2_Download'!$AS$7</f>
        <v>unbekannt</v>
      </c>
      <c r="E1220" t="s">
        <v>362</v>
      </c>
      <c r="F1220" s="266" t="str">
        <f>VLOOKUP(A2624,[2]Kreise!$A$2:$C$53,3,FALSE)</f>
        <v>K030</v>
      </c>
      <c r="G1220">
        <f>'2020_5-2-2_Download'!AS32</f>
        <v>41.214382632293081</v>
      </c>
    </row>
    <row r="1221" spans="1:7">
      <c r="A1221">
        <f>'2020_5-2-2_Download'!B33</f>
        <v>353</v>
      </c>
      <c r="B1221">
        <f>'2020_5-2-2_Download'!$AM$5</f>
        <v>2015</v>
      </c>
      <c r="C1221" t="str">
        <f>VLOOKUP(A2625,[1]Tabelle1!$A$1:$B$68,2,FALSE)</f>
        <v>Niedersachsen</v>
      </c>
      <c r="D1221" t="str">
        <f>'2020_5-2-2_Download'!$AS$7</f>
        <v>unbekannt</v>
      </c>
      <c r="E1221" t="s">
        <v>362</v>
      </c>
      <c r="F1221" s="266" t="str">
        <f>VLOOKUP(A2625,[2]Kreise!$A$2:$C$53,3,FALSE)</f>
        <v>K030</v>
      </c>
      <c r="G1221">
        <f>'2020_5-2-2_Download'!AS33</f>
        <v>46.987951807228917</v>
      </c>
    </row>
    <row r="1222" spans="1:7">
      <c r="A1222">
        <f>'2020_5-2-2_Download'!B34</f>
        <v>354</v>
      </c>
      <c r="B1222">
        <f>'2020_5-2-2_Download'!$AM$5</f>
        <v>2015</v>
      </c>
      <c r="C1222" t="str">
        <f>VLOOKUP(A2626,[1]Tabelle1!$A$1:$B$68,2,FALSE)</f>
        <v>Niedersachsen</v>
      </c>
      <c r="D1222" t="str">
        <f>'2020_5-2-2_Download'!$AS$7</f>
        <v>unbekannt</v>
      </c>
      <c r="E1222" t="s">
        <v>362</v>
      </c>
      <c r="F1222" s="266" t="str">
        <f>VLOOKUP(A2626,[2]Kreise!$A$2:$C$53,3,FALSE)</f>
        <v>K030</v>
      </c>
      <c r="G1222">
        <f>'2020_5-2-2_Download'!AS34</f>
        <v>61.367249602543716</v>
      </c>
    </row>
    <row r="1223" spans="1:7">
      <c r="A1223">
        <f>'2020_5-2-2_Download'!B35</f>
        <v>355</v>
      </c>
      <c r="B1223">
        <f>'2020_5-2-2_Download'!$AM$5</f>
        <v>2015</v>
      </c>
      <c r="C1223" t="str">
        <f>VLOOKUP(A2627,[1]Tabelle1!$A$1:$B$68,2,FALSE)</f>
        <v>Niedersachsen</v>
      </c>
      <c r="D1223" t="str">
        <f>'2020_5-2-2_Download'!$AS$7</f>
        <v>unbekannt</v>
      </c>
      <c r="E1223" t="s">
        <v>362</v>
      </c>
      <c r="F1223" s="266" t="str">
        <f>VLOOKUP(A2627,[2]Kreise!$A$2:$C$53,3,FALSE)</f>
        <v>K030</v>
      </c>
      <c r="G1223">
        <f>'2020_5-2-2_Download'!AS35</f>
        <v>28.67042009527934</v>
      </c>
    </row>
    <row r="1224" spans="1:7">
      <c r="A1224">
        <f>'2020_5-2-2_Download'!B36</f>
        <v>356</v>
      </c>
      <c r="B1224">
        <f>'2020_5-2-2_Download'!$AM$5</f>
        <v>2015</v>
      </c>
      <c r="C1224" t="str">
        <f>VLOOKUP(A2628,[1]Tabelle1!$A$1:$B$68,2,FALSE)</f>
        <v>Niedersachsen</v>
      </c>
      <c r="D1224" t="str">
        <f>'2020_5-2-2_Download'!$AS$7</f>
        <v>unbekannt</v>
      </c>
      <c r="E1224" t="s">
        <v>362</v>
      </c>
      <c r="F1224" s="266" t="str">
        <f>VLOOKUP(A2628,[2]Kreise!$A$2:$C$53,3,FALSE)</f>
        <v>K030</v>
      </c>
      <c r="G1224">
        <f>'2020_5-2-2_Download'!AS36</f>
        <v>31.59392789373814</v>
      </c>
    </row>
    <row r="1225" spans="1:7">
      <c r="A1225">
        <f>'2020_5-2-2_Download'!B37</f>
        <v>357</v>
      </c>
      <c r="B1225">
        <f>'2020_5-2-2_Download'!$AM$5</f>
        <v>2015</v>
      </c>
      <c r="C1225" t="str">
        <f>VLOOKUP(A2629,[1]Tabelle1!$A$1:$B$68,2,FALSE)</f>
        <v>Niedersachsen</v>
      </c>
      <c r="D1225" t="str">
        <f>'2020_5-2-2_Download'!$AS$7</f>
        <v>unbekannt</v>
      </c>
      <c r="E1225" t="s">
        <v>362</v>
      </c>
      <c r="F1225" s="266" t="str">
        <f>VLOOKUP(A2629,[2]Kreise!$A$2:$C$53,3,FALSE)</f>
        <v>K030</v>
      </c>
      <c r="G1225">
        <f>'2020_5-2-2_Download'!AS37</f>
        <v>38.761776581426652</v>
      </c>
    </row>
    <row r="1226" spans="1:7">
      <c r="A1226">
        <f>'2020_5-2-2_Download'!B38</f>
        <v>358</v>
      </c>
      <c r="B1226">
        <f>'2020_5-2-2_Download'!$AM$5</f>
        <v>2015</v>
      </c>
      <c r="C1226" t="str">
        <f>VLOOKUP(A2630,[1]Tabelle1!$A$1:$B$68,2,FALSE)</f>
        <v>Niedersachsen</v>
      </c>
      <c r="D1226" t="str">
        <f>'2020_5-2-2_Download'!$AS$7</f>
        <v>unbekannt</v>
      </c>
      <c r="E1226" t="s">
        <v>362</v>
      </c>
      <c r="F1226" s="266" t="str">
        <f>VLOOKUP(A2630,[2]Kreise!$A$2:$C$53,3,FALSE)</f>
        <v>K030</v>
      </c>
      <c r="G1226">
        <f>'2020_5-2-2_Download'!AS38</f>
        <v>35.144927536231883</v>
      </c>
    </row>
    <row r="1227" spans="1:7">
      <c r="A1227">
        <f>'2020_5-2-2_Download'!B39</f>
        <v>359</v>
      </c>
      <c r="B1227">
        <f>'2020_5-2-2_Download'!$AM$5</f>
        <v>2015</v>
      </c>
      <c r="C1227" t="str">
        <f>VLOOKUP(A2631,[1]Tabelle1!$A$1:$B$68,2,FALSE)</f>
        <v>Niedersachsen</v>
      </c>
      <c r="D1227" t="str">
        <f>'2020_5-2-2_Download'!$AS$7</f>
        <v>unbekannt</v>
      </c>
      <c r="E1227" t="s">
        <v>362</v>
      </c>
      <c r="F1227" s="266" t="str">
        <f>VLOOKUP(A2631,[2]Kreise!$A$2:$C$53,3,FALSE)</f>
        <v>K030</v>
      </c>
      <c r="G1227">
        <f>'2020_5-2-2_Download'!AS39</f>
        <v>55.232138561462591</v>
      </c>
    </row>
    <row r="1228" spans="1:7">
      <c r="A1228">
        <f>'2020_5-2-2_Download'!B40</f>
        <v>360</v>
      </c>
      <c r="B1228">
        <f>'2020_5-2-2_Download'!$AM$5</f>
        <v>2015</v>
      </c>
      <c r="C1228" t="str">
        <f>VLOOKUP(A2632,[1]Tabelle1!$A$1:$B$68,2,FALSE)</f>
        <v>Niedersachsen</v>
      </c>
      <c r="D1228" t="str">
        <f>'2020_5-2-2_Download'!$AS$7</f>
        <v>unbekannt</v>
      </c>
      <c r="E1228" t="s">
        <v>362</v>
      </c>
      <c r="F1228" s="266" t="str">
        <f>VLOOKUP(A2632,[2]Kreise!$A$2:$C$53,3,FALSE)</f>
        <v>K030</v>
      </c>
      <c r="G1228">
        <f>'2020_5-2-2_Download'!AS40</f>
        <v>32.848232848232854</v>
      </c>
    </row>
    <row r="1229" spans="1:7">
      <c r="A1229">
        <f>'2020_5-2-2_Download'!B41</f>
        <v>361</v>
      </c>
      <c r="B1229">
        <f>'2020_5-2-2_Download'!$AM$5</f>
        <v>2015</v>
      </c>
      <c r="C1229" t="str">
        <f>VLOOKUP(A2633,[1]Tabelle1!$A$1:$B$68,2,FALSE)</f>
        <v>Niedersachsen</v>
      </c>
      <c r="D1229" t="str">
        <f>'2020_5-2-2_Download'!$AS$7</f>
        <v>unbekannt</v>
      </c>
      <c r="E1229" t="s">
        <v>362</v>
      </c>
      <c r="F1229" s="266" t="str">
        <f>VLOOKUP(A2633,[2]Kreise!$A$2:$C$53,3,FALSE)</f>
        <v>K030</v>
      </c>
      <c r="G1229">
        <f>'2020_5-2-2_Download'!AS41</f>
        <v>33.628972653362908</v>
      </c>
    </row>
    <row r="1230" spans="1:7">
      <c r="A1230">
        <f>'2020_5-2-2_Download'!B42</f>
        <v>3</v>
      </c>
      <c r="B1230">
        <f>'2020_5-2-2_Download'!$AM$5</f>
        <v>2015</v>
      </c>
      <c r="C1230" t="str">
        <f>VLOOKUP(A2634,[1]Tabelle1!$A$1:$B$68,2,FALSE)</f>
        <v>Niedersachsen</v>
      </c>
      <c r="D1230" t="str">
        <f>'2020_5-2-2_Download'!$AS$7</f>
        <v>unbekannt</v>
      </c>
      <c r="E1230" t="s">
        <v>362</v>
      </c>
      <c r="F1230" s="266" t="str">
        <f>VLOOKUP(A2634,[2]Kreise!$A$2:$C$53,3,FALSE)</f>
        <v>K030</v>
      </c>
      <c r="G1230">
        <f>'2020_5-2-2_Download'!AS42</f>
        <v>39.964609766198556</v>
      </c>
    </row>
    <row r="1231" spans="1:7">
      <c r="A1231">
        <f>'2020_5-2-2_Download'!B43</f>
        <v>401</v>
      </c>
      <c r="B1231">
        <f>'2020_5-2-2_Download'!$AM$5</f>
        <v>2015</v>
      </c>
      <c r="C1231" t="str">
        <f>VLOOKUP(A2635,[1]Tabelle1!$A$1:$B$68,2,FALSE)</f>
        <v>Niedersachsen</v>
      </c>
      <c r="D1231" t="str">
        <f>'2020_5-2-2_Download'!$AS$7</f>
        <v>unbekannt</v>
      </c>
      <c r="E1231" t="s">
        <v>362</v>
      </c>
      <c r="F1231" s="266" t="str">
        <f>VLOOKUP(A2635,[2]Kreise!$A$2:$C$53,3,FALSE)</f>
        <v>K030</v>
      </c>
      <c r="G1231">
        <f>'2020_5-2-2_Download'!AS43</f>
        <v>37.510729613733915</v>
      </c>
    </row>
    <row r="1232" spans="1:7">
      <c r="A1232">
        <f>'2020_5-2-2_Download'!B44</f>
        <v>402</v>
      </c>
      <c r="B1232">
        <f>'2020_5-2-2_Download'!$AM$5</f>
        <v>2015</v>
      </c>
      <c r="C1232" t="str">
        <f>VLOOKUP(A2636,[1]Tabelle1!$A$1:$B$68,2,FALSE)</f>
        <v>Niedersachsen</v>
      </c>
      <c r="D1232" t="str">
        <f>'2020_5-2-2_Download'!$AS$7</f>
        <v>unbekannt</v>
      </c>
      <c r="E1232" t="s">
        <v>362</v>
      </c>
      <c r="F1232" s="266" t="str">
        <f>VLOOKUP(A2636,[2]Kreise!$A$2:$C$53,3,FALSE)</f>
        <v>K030</v>
      </c>
      <c r="G1232">
        <f>'2020_5-2-2_Download'!AS44</f>
        <v>30.059721300597214</v>
      </c>
    </row>
    <row r="1233" spans="1:7">
      <c r="A1233">
        <f>'2020_5-2-2_Download'!B45</f>
        <v>403</v>
      </c>
      <c r="B1233">
        <f>'2020_5-2-2_Download'!$AM$5</f>
        <v>2015</v>
      </c>
      <c r="C1233" t="str">
        <f>VLOOKUP(A2637,[1]Tabelle1!$A$1:$B$68,2,FALSE)</f>
        <v>Niedersachsen</v>
      </c>
      <c r="D1233" t="str">
        <f>'2020_5-2-2_Download'!$AS$7</f>
        <v>unbekannt</v>
      </c>
      <c r="E1233" t="s">
        <v>362</v>
      </c>
      <c r="F1233" s="266" t="str">
        <f>VLOOKUP(A2637,[2]Kreise!$A$2:$C$53,3,FALSE)</f>
        <v>K030</v>
      </c>
      <c r="G1233">
        <f>'2020_5-2-2_Download'!AS45</f>
        <v>29.655808236017211</v>
      </c>
    </row>
    <row r="1234" spans="1:7">
      <c r="A1234">
        <f>'2020_5-2-2_Download'!B46</f>
        <v>404</v>
      </c>
      <c r="B1234">
        <f>'2020_5-2-2_Download'!$AM$5</f>
        <v>2015</v>
      </c>
      <c r="C1234" t="str">
        <f>VLOOKUP(A2638,[1]Tabelle1!$A$1:$B$68,2,FALSE)</f>
        <v>Niedersachsen</v>
      </c>
      <c r="D1234" t="str">
        <f>'2020_5-2-2_Download'!$AS$7</f>
        <v>unbekannt</v>
      </c>
      <c r="E1234" t="s">
        <v>362</v>
      </c>
      <c r="F1234" s="266" t="str">
        <f>VLOOKUP(A2638,[2]Kreise!$A$2:$C$53,3,FALSE)</f>
        <v>K030</v>
      </c>
      <c r="G1234">
        <f>'2020_5-2-2_Download'!AS46</f>
        <v>28.376944837340876</v>
      </c>
    </row>
    <row r="1235" spans="1:7">
      <c r="A1235">
        <f>'2020_5-2-2_Download'!B47</f>
        <v>405</v>
      </c>
      <c r="B1235">
        <f>'2020_5-2-2_Download'!$AM$5</f>
        <v>2015</v>
      </c>
      <c r="C1235" t="str">
        <f>VLOOKUP(A2639,[1]Tabelle1!$A$1:$B$68,2,FALSE)</f>
        <v>Niedersachsen</v>
      </c>
      <c r="D1235" t="str">
        <f>'2020_5-2-2_Download'!$AS$7</f>
        <v>unbekannt</v>
      </c>
      <c r="E1235" t="s">
        <v>362</v>
      </c>
      <c r="F1235" s="266" t="str">
        <f>VLOOKUP(A2639,[2]Kreise!$A$2:$C$53,3,FALSE)</f>
        <v>K030</v>
      </c>
      <c r="G1235">
        <f>'2020_5-2-2_Download'!AS47</f>
        <v>30.083857442348009</v>
      </c>
    </row>
    <row r="1236" spans="1:7">
      <c r="A1236">
        <f>'2020_5-2-2_Download'!B48</f>
        <v>451</v>
      </c>
      <c r="B1236">
        <f>'2020_5-2-2_Download'!$AM$5</f>
        <v>2015</v>
      </c>
      <c r="C1236" t="str">
        <f>VLOOKUP(A2640,[1]Tabelle1!$A$1:$B$68,2,FALSE)</f>
        <v>Niedersachsen</v>
      </c>
      <c r="D1236" t="str">
        <f>'2020_5-2-2_Download'!$AS$7</f>
        <v>unbekannt</v>
      </c>
      <c r="E1236" t="s">
        <v>362</v>
      </c>
      <c r="F1236" s="266" t="str">
        <f>VLOOKUP(A2640,[2]Kreise!$A$2:$C$53,3,FALSE)</f>
        <v>K030</v>
      </c>
      <c r="G1236">
        <f>'2020_5-2-2_Download'!AS48</f>
        <v>48.211977595863857</v>
      </c>
    </row>
    <row r="1237" spans="1:7">
      <c r="A1237">
        <f>'2020_5-2-2_Download'!B49</f>
        <v>452</v>
      </c>
      <c r="B1237">
        <f>'2020_5-2-2_Download'!$AM$5</f>
        <v>2015</v>
      </c>
      <c r="C1237" t="str">
        <f>VLOOKUP(A2641,[1]Tabelle1!$A$1:$B$68,2,FALSE)</f>
        <v>Niedersachsen</v>
      </c>
      <c r="D1237" t="str">
        <f>'2020_5-2-2_Download'!$AS$7</f>
        <v>unbekannt</v>
      </c>
      <c r="E1237" t="s">
        <v>362</v>
      </c>
      <c r="F1237" s="266" t="str">
        <f>VLOOKUP(A2641,[2]Kreise!$A$2:$C$53,3,FALSE)</f>
        <v>K030</v>
      </c>
      <c r="G1237">
        <f>'2020_5-2-2_Download'!AS49</f>
        <v>43.086109365179141</v>
      </c>
    </row>
    <row r="1238" spans="1:7">
      <c r="A1238">
        <f>'2020_5-2-2_Download'!B50</f>
        <v>453</v>
      </c>
      <c r="B1238">
        <f>'2020_5-2-2_Download'!$AM$5</f>
        <v>2015</v>
      </c>
      <c r="C1238" t="str">
        <f>VLOOKUP(A2642,[1]Tabelle1!$A$1:$B$68,2,FALSE)</f>
        <v>Niedersachsen</v>
      </c>
      <c r="D1238" t="str">
        <f>'2020_5-2-2_Download'!$AS$7</f>
        <v>unbekannt</v>
      </c>
      <c r="E1238" t="s">
        <v>362</v>
      </c>
      <c r="F1238" s="266" t="str">
        <f>VLOOKUP(A2642,[2]Kreise!$A$2:$C$53,3,FALSE)</f>
        <v>K030</v>
      </c>
      <c r="G1238">
        <f>'2020_5-2-2_Download'!AS50</f>
        <v>53.942477010369785</v>
      </c>
    </row>
    <row r="1239" spans="1:7">
      <c r="A1239">
        <f>'2020_5-2-2_Download'!B51</f>
        <v>454</v>
      </c>
      <c r="B1239">
        <f>'2020_5-2-2_Download'!$AM$5</f>
        <v>2015</v>
      </c>
      <c r="C1239" t="str">
        <f>VLOOKUP(A2643,[1]Tabelle1!$A$1:$B$68,2,FALSE)</f>
        <v>Niedersachsen</v>
      </c>
      <c r="D1239" t="str">
        <f>'2020_5-2-2_Download'!$AS$7</f>
        <v>unbekannt</v>
      </c>
      <c r="E1239" t="s">
        <v>362</v>
      </c>
      <c r="F1239" s="266" t="str">
        <f>VLOOKUP(A2643,[2]Kreise!$A$2:$C$53,3,FALSE)</f>
        <v>K030</v>
      </c>
      <c r="G1239">
        <f>'2020_5-2-2_Download'!AS51</f>
        <v>46.95551852326625</v>
      </c>
    </row>
    <row r="1240" spans="1:7">
      <c r="A1240">
        <f>'2020_5-2-2_Download'!B52</f>
        <v>455</v>
      </c>
      <c r="B1240">
        <f>'2020_5-2-2_Download'!$AM$5</f>
        <v>2015</v>
      </c>
      <c r="C1240" t="str">
        <f>VLOOKUP(A2644,[1]Tabelle1!$A$1:$B$68,2,FALSE)</f>
        <v>Niedersachsen</v>
      </c>
      <c r="D1240" t="str">
        <f>'2020_5-2-2_Download'!$AS$7</f>
        <v>unbekannt</v>
      </c>
      <c r="E1240" t="s">
        <v>362</v>
      </c>
      <c r="F1240" s="266" t="str">
        <f>VLOOKUP(A2644,[2]Kreise!$A$2:$C$53,3,FALSE)</f>
        <v>K030</v>
      </c>
      <c r="G1240">
        <f>'2020_5-2-2_Download'!AS52</f>
        <v>39.75026014568158</v>
      </c>
    </row>
    <row r="1241" spans="1:7">
      <c r="A1241">
        <f>'2020_5-2-2_Download'!B53</f>
        <v>456</v>
      </c>
      <c r="B1241">
        <f>'2020_5-2-2_Download'!$AM$5</f>
        <v>2015</v>
      </c>
      <c r="C1241" t="str">
        <f>VLOOKUP(A2645,[1]Tabelle1!$A$1:$B$68,2,FALSE)</f>
        <v>Niedersachsen</v>
      </c>
      <c r="D1241" t="str">
        <f>'2020_5-2-2_Download'!$AS$7</f>
        <v>unbekannt</v>
      </c>
      <c r="E1241" t="s">
        <v>362</v>
      </c>
      <c r="F1241" s="266" t="str">
        <f>VLOOKUP(A2645,[2]Kreise!$A$2:$C$53,3,FALSE)</f>
        <v>K030</v>
      </c>
      <c r="G1241">
        <f>'2020_5-2-2_Download'!AS53</f>
        <v>36.968766001024065</v>
      </c>
    </row>
    <row r="1242" spans="1:7">
      <c r="A1242">
        <f>'2020_5-2-2_Download'!B54</f>
        <v>457</v>
      </c>
      <c r="B1242">
        <f>'2020_5-2-2_Download'!$AM$5</f>
        <v>2015</v>
      </c>
      <c r="C1242" t="str">
        <f>VLOOKUP(A2646,[1]Tabelle1!$A$1:$B$68,2,FALSE)</f>
        <v>Niedersachsen</v>
      </c>
      <c r="D1242" t="str">
        <f>'2020_5-2-2_Download'!$AS$7</f>
        <v>unbekannt</v>
      </c>
      <c r="E1242" t="s">
        <v>362</v>
      </c>
      <c r="F1242" s="266" t="str">
        <f>VLOOKUP(A2646,[2]Kreise!$A$2:$C$53,3,FALSE)</f>
        <v>K030</v>
      </c>
      <c r="G1242">
        <f>'2020_5-2-2_Download'!AS54</f>
        <v>43.265682656826563</v>
      </c>
    </row>
    <row r="1243" spans="1:7">
      <c r="A1243">
        <f>'2020_5-2-2_Download'!B55</f>
        <v>458</v>
      </c>
      <c r="B1243">
        <f>'2020_5-2-2_Download'!$AM$5</f>
        <v>2015</v>
      </c>
      <c r="C1243" t="str">
        <f>VLOOKUP(A2647,[1]Tabelle1!$A$1:$B$68,2,FALSE)</f>
        <v>Niedersachsen</v>
      </c>
      <c r="D1243" t="str">
        <f>'2020_5-2-2_Download'!$AS$7</f>
        <v>unbekannt</v>
      </c>
      <c r="E1243" t="s">
        <v>362</v>
      </c>
      <c r="F1243" s="266" t="str">
        <f>VLOOKUP(A2647,[2]Kreise!$A$2:$C$53,3,FALSE)</f>
        <v>K030</v>
      </c>
      <c r="G1243">
        <f>'2020_5-2-2_Download'!AS55</f>
        <v>50.968992248062015</v>
      </c>
    </row>
    <row r="1244" spans="1:7">
      <c r="A1244">
        <f>'2020_5-2-2_Download'!B56</f>
        <v>459</v>
      </c>
      <c r="B1244">
        <f>'2020_5-2-2_Download'!$AM$5</f>
        <v>2015</v>
      </c>
      <c r="C1244" t="str">
        <f>VLOOKUP(A2648,[1]Tabelle1!$A$1:$B$68,2,FALSE)</f>
        <v>Niedersachsen</v>
      </c>
      <c r="D1244" t="str">
        <f>'2020_5-2-2_Download'!$AS$7</f>
        <v>unbekannt</v>
      </c>
      <c r="E1244" t="s">
        <v>362</v>
      </c>
      <c r="F1244" s="266" t="str">
        <f>VLOOKUP(A2648,[2]Kreise!$A$2:$C$53,3,FALSE)</f>
        <v>K030</v>
      </c>
      <c r="G1244">
        <f>'2020_5-2-2_Download'!AS56</f>
        <v>45.451022187772494</v>
      </c>
    </row>
    <row r="1245" spans="1:7">
      <c r="A1245">
        <f>'2020_5-2-2_Download'!B57</f>
        <v>460</v>
      </c>
      <c r="B1245">
        <f>'2020_5-2-2_Download'!$AM$5</f>
        <v>2015</v>
      </c>
      <c r="C1245" t="str">
        <f>VLOOKUP(A2649,[1]Tabelle1!$A$1:$B$68,2,FALSE)</f>
        <v>Niedersachsen</v>
      </c>
      <c r="D1245" t="str">
        <f>'2020_5-2-2_Download'!$AS$7</f>
        <v>unbekannt</v>
      </c>
      <c r="E1245" t="s">
        <v>362</v>
      </c>
      <c r="F1245" s="266" t="str">
        <f>VLOOKUP(A2649,[2]Kreise!$A$2:$C$53,3,FALSE)</f>
        <v>K030</v>
      </c>
      <c r="G1245">
        <f>'2020_5-2-2_Download'!AS57</f>
        <v>51.527224435590966</v>
      </c>
    </row>
    <row r="1246" spans="1:7">
      <c r="A1246">
        <f>'2020_5-2-2_Download'!B58</f>
        <v>461</v>
      </c>
      <c r="B1246">
        <f>'2020_5-2-2_Download'!$AM$5</f>
        <v>2015</v>
      </c>
      <c r="C1246" t="str">
        <f>VLOOKUP(A2650,[1]Tabelle1!$A$1:$B$68,2,FALSE)</f>
        <v>Niedersachsen</v>
      </c>
      <c r="D1246" t="str">
        <f>'2020_5-2-2_Download'!$AS$7</f>
        <v>unbekannt</v>
      </c>
      <c r="E1246" t="s">
        <v>362</v>
      </c>
      <c r="F1246" s="266" t="str">
        <f>VLOOKUP(A2650,[2]Kreise!$A$2:$C$53,3,FALSE)</f>
        <v>K030</v>
      </c>
      <c r="G1246">
        <f>'2020_5-2-2_Download'!AS58</f>
        <v>34.580645161290313</v>
      </c>
    </row>
    <row r="1247" spans="1:7">
      <c r="A1247">
        <f>'2020_5-2-2_Download'!B59</f>
        <v>462</v>
      </c>
      <c r="B1247">
        <f>'2020_5-2-2_Download'!$AM$5</f>
        <v>2015</v>
      </c>
      <c r="C1247" t="str">
        <f>VLOOKUP(A2651,[1]Tabelle1!$A$1:$B$68,2,FALSE)</f>
        <v>Niedersachsen</v>
      </c>
      <c r="D1247" t="str">
        <f>'2020_5-2-2_Download'!$AS$7</f>
        <v>unbekannt</v>
      </c>
      <c r="E1247" t="s">
        <v>362</v>
      </c>
      <c r="F1247" s="266" t="str">
        <f>VLOOKUP(A2651,[2]Kreise!$A$2:$C$53,3,FALSE)</f>
        <v>K030</v>
      </c>
      <c r="G1247">
        <f>'2020_5-2-2_Download'!AS59</f>
        <v>61.333333333333336</v>
      </c>
    </row>
    <row r="1248" spans="1:7">
      <c r="A1248">
        <f>'2020_5-2-2_Download'!B60</f>
        <v>4</v>
      </c>
      <c r="B1248">
        <f>'2020_5-2-2_Download'!$AM$5</f>
        <v>2015</v>
      </c>
      <c r="C1248" t="str">
        <f>VLOOKUP(A2652,[1]Tabelle1!$A$1:$B$68,2,FALSE)</f>
        <v>Niedersachsen</v>
      </c>
      <c r="D1248" t="str">
        <f>'2020_5-2-2_Download'!$AS$7</f>
        <v>unbekannt</v>
      </c>
      <c r="E1248" t="s">
        <v>362</v>
      </c>
      <c r="F1248" s="266" t="str">
        <f>VLOOKUP(A2652,[2]Kreise!$A$2:$C$53,3,FALSE)</f>
        <v>K030</v>
      </c>
      <c r="G1248">
        <f>'2020_5-2-2_Download'!AS60</f>
        <v>43.232544988856731</v>
      </c>
    </row>
    <row r="1249" spans="1:7">
      <c r="A1249">
        <f>'2020_5-2-2_Download'!B61</f>
        <v>0</v>
      </c>
      <c r="B1249">
        <f>'2020_5-2-2_Download'!$AM$5</f>
        <v>2015</v>
      </c>
      <c r="C1249" t="str">
        <f>VLOOKUP(A2653,[1]Tabelle1!$A$1:$B$68,2,FALSE)</f>
        <v>Niedersachsen</v>
      </c>
      <c r="D1249" t="str">
        <f>'2020_5-2-2_Download'!$AS$7</f>
        <v>unbekannt</v>
      </c>
      <c r="E1249" t="s">
        <v>362</v>
      </c>
      <c r="F1249" s="266" t="str">
        <f>VLOOKUP(A2653,[2]Kreise!$A$2:$C$53,3,FALSE)</f>
        <v>K030</v>
      </c>
      <c r="G1249">
        <f>'2020_5-2-2_Download'!AS61</f>
        <v>35.294215878918102</v>
      </c>
    </row>
    <row r="1250" spans="1:7">
      <c r="A1250">
        <f>'2020_5-2-2_Download'!B10</f>
        <v>101</v>
      </c>
      <c r="B1250">
        <f>'2020_5-2-2_Download'!$AT$5</f>
        <v>2014</v>
      </c>
      <c r="C1250" t="str">
        <f>VLOOKUP(A2654,[1]Tabelle1!$A$1:$B$68,2,FALSE)</f>
        <v>Niedersachsen</v>
      </c>
      <c r="D1250" t="str">
        <f>'2020_5-2-2_Download'!$AW$7</f>
        <v>hoch</v>
      </c>
      <c r="E1250" t="s">
        <v>362</v>
      </c>
      <c r="F1250" s="266" t="str">
        <f>VLOOKUP(A2654,[2]Kreise!$A$2:$C$53,3,FALSE)</f>
        <v>K030</v>
      </c>
      <c r="G1250">
        <f>'2020_5-2-2_Download'!AW10</f>
        <v>22.991689750692519</v>
      </c>
    </row>
    <row r="1251" spans="1:7">
      <c r="A1251">
        <f>'2020_5-2-2_Download'!B11</f>
        <v>102</v>
      </c>
      <c r="B1251">
        <f>'2020_5-2-2_Download'!$AT$5</f>
        <v>2014</v>
      </c>
      <c r="C1251" t="str">
        <f>VLOOKUP(A2655,[1]Tabelle1!$A$1:$B$68,2,FALSE)</f>
        <v>Niedersachsen</v>
      </c>
      <c r="D1251" t="str">
        <f>'2020_5-2-2_Download'!$AW$7</f>
        <v>hoch</v>
      </c>
      <c r="E1251" t="s">
        <v>362</v>
      </c>
      <c r="F1251" s="266" t="str">
        <f>VLOOKUP(A2655,[2]Kreise!$A$2:$C$53,3,FALSE)</f>
        <v>K030</v>
      </c>
      <c r="G1251">
        <f>'2020_5-2-2_Download'!AW11</f>
        <v>6.2558648733187363</v>
      </c>
    </row>
    <row r="1252" spans="1:7">
      <c r="A1252">
        <f>'2020_5-2-2_Download'!B12</f>
        <v>103</v>
      </c>
      <c r="B1252">
        <f>'2020_5-2-2_Download'!$AT$5</f>
        <v>2014</v>
      </c>
      <c r="C1252" t="str">
        <f>VLOOKUP(A2656,[1]Tabelle1!$A$1:$B$68,2,FALSE)</f>
        <v>Niedersachsen</v>
      </c>
      <c r="D1252" t="str">
        <f>'2020_5-2-2_Download'!$AW$7</f>
        <v>hoch</v>
      </c>
      <c r="E1252" t="s">
        <v>362</v>
      </c>
      <c r="F1252" s="266" t="str">
        <f>VLOOKUP(A2656,[2]Kreise!$A$2:$C$53,3,FALSE)</f>
        <v>K030</v>
      </c>
      <c r="G1252">
        <f>'2020_5-2-2_Download'!AW12</f>
        <v>21.062691131498472</v>
      </c>
    </row>
    <row r="1253" spans="1:7">
      <c r="A1253">
        <f>'2020_5-2-2_Download'!B13</f>
        <v>151</v>
      </c>
      <c r="B1253">
        <f>'2020_5-2-2_Download'!$AT$5</f>
        <v>2014</v>
      </c>
      <c r="C1253" t="str">
        <f>VLOOKUP(A2657,[1]Tabelle1!$A$1:$B$68,2,FALSE)</f>
        <v>Niedersachsen</v>
      </c>
      <c r="D1253" t="str">
        <f>'2020_5-2-2_Download'!$AW$7</f>
        <v>hoch</v>
      </c>
      <c r="E1253" t="s">
        <v>362</v>
      </c>
      <c r="F1253" s="266" t="str">
        <f>VLOOKUP(A2657,[2]Kreise!$A$2:$C$53,3,FALSE)</f>
        <v>K030</v>
      </c>
      <c r="G1253">
        <f>'2020_5-2-2_Download'!AW13</f>
        <v>14.79565442317641</v>
      </c>
    </row>
    <row r="1254" spans="1:7">
      <c r="A1254">
        <f>'2020_5-2-2_Download'!B14</f>
        <v>153</v>
      </c>
      <c r="B1254">
        <f>'2020_5-2-2_Download'!$AT$5</f>
        <v>2014</v>
      </c>
      <c r="C1254" t="str">
        <f>VLOOKUP(A2658,[1]Tabelle1!$A$1:$B$68,2,FALSE)</f>
        <v>Niedersachsen</v>
      </c>
      <c r="D1254" t="str">
        <f>'2020_5-2-2_Download'!$AW$7</f>
        <v>hoch</v>
      </c>
      <c r="E1254" t="s">
        <v>362</v>
      </c>
      <c r="F1254" s="266" t="str">
        <f>VLOOKUP(A2658,[2]Kreise!$A$2:$C$53,3,FALSE)</f>
        <v>K030</v>
      </c>
      <c r="G1254">
        <f>'2020_5-2-2_Download'!AW14</f>
        <v>19.810795770728991</v>
      </c>
    </row>
    <row r="1255" spans="1:7">
      <c r="A1255">
        <f>'2020_5-2-2_Download'!B15</f>
        <v>154</v>
      </c>
      <c r="B1255">
        <f>'2020_5-2-2_Download'!$AT$5</f>
        <v>2014</v>
      </c>
      <c r="C1255" t="str">
        <f>VLOOKUP(A2659,[1]Tabelle1!$A$1:$B$68,2,FALSE)</f>
        <v>Niedersachsen</v>
      </c>
      <c r="D1255" t="str">
        <f>'2020_5-2-2_Download'!$AW$7</f>
        <v>hoch</v>
      </c>
      <c r="E1255" t="s">
        <v>362</v>
      </c>
      <c r="F1255" s="266" t="str">
        <f>VLOOKUP(A2659,[2]Kreise!$A$2:$C$53,3,FALSE)</f>
        <v>K030</v>
      </c>
      <c r="G1255">
        <f>'2020_5-2-2_Download'!AW15</f>
        <v>13.313609467455622</v>
      </c>
    </row>
    <row r="1256" spans="1:7">
      <c r="A1256">
        <f>'2020_5-2-2_Download'!B16</f>
        <v>155</v>
      </c>
      <c r="B1256">
        <f>'2020_5-2-2_Download'!$AT$5</f>
        <v>2014</v>
      </c>
      <c r="C1256" t="str">
        <f>VLOOKUP(A2660,[1]Tabelle1!$A$1:$B$68,2,FALSE)</f>
        <v>Niedersachsen</v>
      </c>
      <c r="D1256" t="str">
        <f>'2020_5-2-2_Download'!$AW$7</f>
        <v>hoch</v>
      </c>
      <c r="E1256" t="s">
        <v>362</v>
      </c>
      <c r="F1256" s="266" t="str">
        <f>VLOOKUP(A2660,[2]Kreise!$A$2:$C$53,3,FALSE)</f>
        <v>K030</v>
      </c>
      <c r="G1256">
        <f>'2020_5-2-2_Download'!AW16</f>
        <v>8.3822744260544582</v>
      </c>
    </row>
    <row r="1257" spans="1:7">
      <c r="A1257">
        <f>'2020_5-2-2_Download'!B17</f>
        <v>157</v>
      </c>
      <c r="B1257">
        <f>'2020_5-2-2_Download'!$AT$5</f>
        <v>2014</v>
      </c>
      <c r="C1257" t="str">
        <f>VLOOKUP(A2661,[1]Tabelle1!$A$1:$B$68,2,FALSE)</f>
        <v>Niedersachsen</v>
      </c>
      <c r="D1257" t="str">
        <f>'2020_5-2-2_Download'!$AW$7</f>
        <v>hoch</v>
      </c>
      <c r="E1257" t="s">
        <v>362</v>
      </c>
      <c r="F1257" s="266" t="str">
        <f>VLOOKUP(A2661,[2]Kreise!$A$2:$C$53,3,FALSE)</f>
        <v>K030</v>
      </c>
      <c r="G1257">
        <f>'2020_5-2-2_Download'!AW17</f>
        <v>5.9490084985835701</v>
      </c>
    </row>
    <row r="1258" spans="1:7">
      <c r="A1258">
        <f>'2020_5-2-2_Download'!B18</f>
        <v>158</v>
      </c>
      <c r="B1258">
        <f>'2020_5-2-2_Download'!$AT$5</f>
        <v>2014</v>
      </c>
      <c r="C1258" t="str">
        <f>VLOOKUP(A2662,[1]Tabelle1!$A$1:$B$68,2,FALSE)</f>
        <v>Niedersachsen</v>
      </c>
      <c r="D1258" t="str">
        <f>'2020_5-2-2_Download'!$AW$7</f>
        <v>hoch</v>
      </c>
      <c r="E1258" t="s">
        <v>362</v>
      </c>
      <c r="F1258" s="266" t="str">
        <f>VLOOKUP(A2662,[2]Kreise!$A$2:$C$53,3,FALSE)</f>
        <v>K030</v>
      </c>
      <c r="G1258">
        <f>'2020_5-2-2_Download'!AW18</f>
        <v>10.969387755102041</v>
      </c>
    </row>
    <row r="1259" spans="1:7">
      <c r="A1259">
        <f>'2020_5-2-2_Download'!B19</f>
        <v>159</v>
      </c>
      <c r="B1259">
        <f>'2020_5-2-2_Download'!$AT$5</f>
        <v>2014</v>
      </c>
      <c r="C1259" t="str">
        <f>VLOOKUP(A2663,[1]Tabelle1!$A$1:$B$68,2,FALSE)</f>
        <v>Niedersachsen</v>
      </c>
      <c r="D1259" t="str">
        <f>'2020_5-2-2_Download'!$AW$7</f>
        <v>hoch</v>
      </c>
      <c r="E1259" t="s">
        <v>362</v>
      </c>
      <c r="F1259" s="266" t="str">
        <f>VLOOKUP(A2663,[2]Kreise!$A$2:$C$53,3,FALSE)</f>
        <v>K030</v>
      </c>
      <c r="G1259">
        <f>'2020_5-2-2_Download'!AW19</f>
        <v>28.533568904593636</v>
      </c>
    </row>
    <row r="1260" spans="1:7">
      <c r="A1260">
        <f>'2020_5-2-2_Download'!B20</f>
        <v>1</v>
      </c>
      <c r="B1260">
        <f>'2020_5-2-2_Download'!$AT$5</f>
        <v>2014</v>
      </c>
      <c r="C1260" t="str">
        <f>VLOOKUP(A2664,[1]Tabelle1!$A$1:$B$68,2,FALSE)</f>
        <v>Niedersachsen</v>
      </c>
      <c r="D1260" t="str">
        <f>'2020_5-2-2_Download'!$AW$7</f>
        <v>hoch</v>
      </c>
      <c r="E1260" t="s">
        <v>362</v>
      </c>
      <c r="F1260" s="266" t="str">
        <f>VLOOKUP(A2664,[2]Kreise!$A$2:$C$53,3,FALSE)</f>
        <v>K030</v>
      </c>
      <c r="G1260">
        <f>'2020_5-2-2_Download'!AW20</f>
        <v>19.005524861878452</v>
      </c>
    </row>
    <row r="1261" spans="1:7">
      <c r="A1261">
        <f>'2020_5-2-2_Download'!B21</f>
        <v>241</v>
      </c>
      <c r="B1261">
        <f>'2020_5-2-2_Download'!$AT$5</f>
        <v>2014</v>
      </c>
      <c r="C1261" t="str">
        <f>VLOOKUP(A2665,[1]Tabelle1!$A$1:$B$68,2,FALSE)</f>
        <v>Niedersachsen</v>
      </c>
      <c r="D1261" t="str">
        <f>'2020_5-2-2_Download'!$AW$7</f>
        <v>hoch</v>
      </c>
      <c r="E1261" t="s">
        <v>362</v>
      </c>
      <c r="F1261" s="266" t="str">
        <f>VLOOKUP(A2665,[2]Kreise!$A$2:$C$53,3,FALSE)</f>
        <v>K030</v>
      </c>
      <c r="G1261">
        <f>'2020_5-2-2_Download'!AW21</f>
        <v>11.636241749174918</v>
      </c>
    </row>
    <row r="1262" spans="1:7">
      <c r="A1262">
        <f>'2020_5-2-2_Download'!B22</f>
        <v>241001</v>
      </c>
      <c r="B1262">
        <f>'2020_5-2-2_Download'!$AT$5</f>
        <v>2014</v>
      </c>
      <c r="C1262" t="str">
        <f>VLOOKUP(A2666,[1]Tabelle1!$A$1:$B$68,2,FALSE)</f>
        <v>Niedersachsen</v>
      </c>
      <c r="D1262" t="str">
        <f>'2020_5-2-2_Download'!$AW$7</f>
        <v>hoch</v>
      </c>
      <c r="E1262" t="s">
        <v>362</v>
      </c>
      <c r="F1262" s="266" t="str">
        <f>VLOOKUP(A2666,[2]Kreise!$A$2:$C$53,3,FALSE)</f>
        <v>K030</v>
      </c>
      <c r="G1262">
        <f>'2020_5-2-2_Download'!AW22</f>
        <v>14.532000314886249</v>
      </c>
    </row>
    <row r="1263" spans="1:7">
      <c r="A1263">
        <f>'2020_5-2-2_Download'!B23</f>
        <v>241999</v>
      </c>
      <c r="B1263">
        <f>'2020_5-2-2_Download'!$AT$5</f>
        <v>2014</v>
      </c>
      <c r="C1263" t="str">
        <f>VLOOKUP(A2667,[1]Tabelle1!$A$1:$B$68,2,FALSE)</f>
        <v>Niedersachsen</v>
      </c>
      <c r="D1263" t="str">
        <f>'2020_5-2-2_Download'!$AW$7</f>
        <v>hoch</v>
      </c>
      <c r="E1263" t="s">
        <v>362</v>
      </c>
      <c r="F1263" s="266" t="str">
        <f>VLOOKUP(A2667,[2]Kreise!$A$2:$C$53,3,FALSE)</f>
        <v>K030</v>
      </c>
      <c r="G1263">
        <f>'2020_5-2-2_Download'!AW23</f>
        <v>6.1369412468231426</v>
      </c>
    </row>
    <row r="1264" spans="1:7">
      <c r="A1264">
        <f>'2020_5-2-2_Download'!B24</f>
        <v>251</v>
      </c>
      <c r="B1264">
        <f>'2020_5-2-2_Download'!$AT$5</f>
        <v>2014</v>
      </c>
      <c r="C1264" t="str">
        <f>VLOOKUP(A2668,[1]Tabelle1!$A$1:$B$68,2,FALSE)</f>
        <v>Niedersachsen</v>
      </c>
      <c r="D1264" t="str">
        <f>'2020_5-2-2_Download'!$AW$7</f>
        <v>hoch</v>
      </c>
      <c r="E1264" t="s">
        <v>362</v>
      </c>
      <c r="F1264" s="266" t="str">
        <f>VLOOKUP(A2668,[2]Kreise!$A$2:$C$53,3,FALSE)</f>
        <v>K030</v>
      </c>
      <c r="G1264">
        <f>'2020_5-2-2_Download'!AW24</f>
        <v>8.3526682134570756</v>
      </c>
    </row>
    <row r="1265" spans="1:7">
      <c r="A1265">
        <f>'2020_5-2-2_Download'!B25</f>
        <v>252</v>
      </c>
      <c r="B1265">
        <f>'2020_5-2-2_Download'!$AT$5</f>
        <v>2014</v>
      </c>
      <c r="C1265" t="str">
        <f>VLOOKUP(A2669,[1]Tabelle1!$A$1:$B$68,2,FALSE)</f>
        <v>Niedersachsen</v>
      </c>
      <c r="D1265" t="str">
        <f>'2020_5-2-2_Download'!$AW$7</f>
        <v>hoch</v>
      </c>
      <c r="E1265" t="s">
        <v>362</v>
      </c>
      <c r="F1265" s="266" t="str">
        <f>VLOOKUP(A2669,[2]Kreise!$A$2:$C$53,3,FALSE)</f>
        <v>K030</v>
      </c>
      <c r="G1265">
        <f>'2020_5-2-2_Download'!AW25</f>
        <v>10.661322645290582</v>
      </c>
    </row>
    <row r="1266" spans="1:7">
      <c r="A1266">
        <f>'2020_5-2-2_Download'!B26</f>
        <v>254</v>
      </c>
      <c r="B1266">
        <f>'2020_5-2-2_Download'!$AT$5</f>
        <v>2014</v>
      </c>
      <c r="C1266" t="str">
        <f>VLOOKUP(A2670,[1]Tabelle1!$A$1:$B$68,2,FALSE)</f>
        <v>Niedersachsen</v>
      </c>
      <c r="D1266" t="str">
        <f>'2020_5-2-2_Download'!$AW$7</f>
        <v>hoch</v>
      </c>
      <c r="E1266" t="s">
        <v>362</v>
      </c>
      <c r="F1266" s="266" t="str">
        <f>VLOOKUP(A2670,[2]Kreise!$A$2:$C$53,3,FALSE)</f>
        <v>K030</v>
      </c>
      <c r="G1266">
        <f>'2020_5-2-2_Download'!AW26</f>
        <v>13.79700310998021</v>
      </c>
    </row>
    <row r="1267" spans="1:7">
      <c r="A1267">
        <f>'2020_5-2-2_Download'!B27</f>
        <v>255</v>
      </c>
      <c r="B1267">
        <f>'2020_5-2-2_Download'!$AT$5</f>
        <v>2014</v>
      </c>
      <c r="C1267" t="str">
        <f>VLOOKUP(A2671,[1]Tabelle1!$A$1:$B$68,2,FALSE)</f>
        <v>Niedersachsen</v>
      </c>
      <c r="D1267" t="str">
        <f>'2020_5-2-2_Download'!$AW$7</f>
        <v>hoch</v>
      </c>
      <c r="E1267" t="s">
        <v>362</v>
      </c>
      <c r="F1267" s="266" t="str">
        <f>VLOOKUP(A2671,[2]Kreise!$A$2:$C$53,3,FALSE)</f>
        <v>K030</v>
      </c>
      <c r="G1267">
        <f>'2020_5-2-2_Download'!AW27</f>
        <v>9.2796092796092804</v>
      </c>
    </row>
    <row r="1268" spans="1:7">
      <c r="A1268">
        <f>'2020_5-2-2_Download'!B28</f>
        <v>256</v>
      </c>
      <c r="B1268">
        <f>'2020_5-2-2_Download'!$AT$5</f>
        <v>2014</v>
      </c>
      <c r="C1268" t="str">
        <f>VLOOKUP(A2672,[1]Tabelle1!$A$1:$B$68,2,FALSE)</f>
        <v>Niedersachsen</v>
      </c>
      <c r="D1268" t="str">
        <f>'2020_5-2-2_Download'!$AW$7</f>
        <v>hoch</v>
      </c>
      <c r="E1268" t="s">
        <v>362</v>
      </c>
      <c r="F1268" s="266" t="str">
        <f>VLOOKUP(A2672,[2]Kreise!$A$2:$C$53,3,FALSE)</f>
        <v>K030</v>
      </c>
      <c r="G1268">
        <f>'2020_5-2-2_Download'!AW28</f>
        <v>5.6666666666666661</v>
      </c>
    </row>
    <row r="1269" spans="1:7">
      <c r="A1269">
        <f>'2020_5-2-2_Download'!B29</f>
        <v>257</v>
      </c>
      <c r="B1269">
        <f>'2020_5-2-2_Download'!$AT$5</f>
        <v>2014</v>
      </c>
      <c r="C1269" t="str">
        <f>VLOOKUP(A2673,[1]Tabelle1!$A$1:$B$68,2,FALSE)</f>
        <v>Niedersachsen</v>
      </c>
      <c r="D1269" t="str">
        <f>'2020_5-2-2_Download'!$AW$7</f>
        <v>hoch</v>
      </c>
      <c r="E1269" t="s">
        <v>362</v>
      </c>
      <c r="F1269" s="266" t="str">
        <f>VLOOKUP(A2673,[2]Kreise!$A$2:$C$53,3,FALSE)</f>
        <v>K030</v>
      </c>
      <c r="G1269">
        <f>'2020_5-2-2_Download'!AW29</f>
        <v>6.9270833333333339</v>
      </c>
    </row>
    <row r="1270" spans="1:7">
      <c r="A1270">
        <f>'2020_5-2-2_Download'!B30</f>
        <v>2</v>
      </c>
      <c r="B1270">
        <f>'2020_5-2-2_Download'!$AT$5</f>
        <v>2014</v>
      </c>
      <c r="C1270" t="str">
        <f>VLOOKUP(A2674,[1]Tabelle1!$A$1:$B$68,2,FALSE)</f>
        <v>Niedersachsen</v>
      </c>
      <c r="D1270" t="str">
        <f>'2020_5-2-2_Download'!$AW$7</f>
        <v>hoch</v>
      </c>
      <c r="E1270" t="s">
        <v>362</v>
      </c>
      <c r="F1270" s="266" t="str">
        <f>VLOOKUP(A2674,[2]Kreise!$A$2:$C$53,3,FALSE)</f>
        <v>K030</v>
      </c>
      <c r="G1270">
        <f>'2020_5-2-2_Download'!AW30</f>
        <v>11.131902543343772</v>
      </c>
    </row>
    <row r="1271" spans="1:7">
      <c r="A1271">
        <f>'2020_5-2-2_Download'!B31</f>
        <v>351</v>
      </c>
      <c r="B1271">
        <f>'2020_5-2-2_Download'!$AT$5</f>
        <v>2014</v>
      </c>
      <c r="C1271" t="str">
        <f>VLOOKUP(A2675,[1]Tabelle1!$A$1:$B$68,2,FALSE)</f>
        <v>Niedersachsen</v>
      </c>
      <c r="D1271" t="str">
        <f>'2020_5-2-2_Download'!$AW$7</f>
        <v>hoch</v>
      </c>
      <c r="E1271" t="s">
        <v>362</v>
      </c>
      <c r="F1271" s="266" t="str">
        <f>VLOOKUP(A2675,[2]Kreise!$A$2:$C$53,3,FALSE)</f>
        <v>K030</v>
      </c>
      <c r="G1271">
        <f>'2020_5-2-2_Download'!AW31</f>
        <v>14.903640256959314</v>
      </c>
    </row>
    <row r="1272" spans="1:7">
      <c r="A1272">
        <f>'2020_5-2-2_Download'!B32</f>
        <v>352</v>
      </c>
      <c r="B1272">
        <f>'2020_5-2-2_Download'!$AT$5</f>
        <v>2014</v>
      </c>
      <c r="C1272" t="str">
        <f>VLOOKUP(A2676,[1]Tabelle1!$A$1:$B$68,2,FALSE)</f>
        <v>Niedersachsen</v>
      </c>
      <c r="D1272" t="str">
        <f>'2020_5-2-2_Download'!$AW$7</f>
        <v>hoch</v>
      </c>
      <c r="E1272" t="s">
        <v>362</v>
      </c>
      <c r="F1272" s="266" t="str">
        <f>VLOOKUP(A2676,[2]Kreise!$A$2:$C$53,3,FALSE)</f>
        <v>K030</v>
      </c>
      <c r="G1272">
        <f>'2020_5-2-2_Download'!AW32</f>
        <v>6.0245310245310248</v>
      </c>
    </row>
    <row r="1273" spans="1:7">
      <c r="A1273">
        <f>'2020_5-2-2_Download'!B33</f>
        <v>353</v>
      </c>
      <c r="B1273">
        <f>'2020_5-2-2_Download'!$AT$5</f>
        <v>2014</v>
      </c>
      <c r="C1273" t="str">
        <f>VLOOKUP(A2677,[1]Tabelle1!$A$1:$B$68,2,FALSE)</f>
        <v>Niedersachsen</v>
      </c>
      <c r="D1273" t="str">
        <f>'2020_5-2-2_Download'!$AW$7</f>
        <v>hoch</v>
      </c>
      <c r="E1273" t="s">
        <v>362</v>
      </c>
      <c r="F1273" s="266" t="str">
        <f>VLOOKUP(A2677,[2]Kreise!$A$2:$C$53,3,FALSE)</f>
        <v>K030</v>
      </c>
      <c r="G1273">
        <f>'2020_5-2-2_Download'!AW33</f>
        <v>5.3171887338773365</v>
      </c>
    </row>
    <row r="1274" spans="1:7">
      <c r="A1274">
        <f>'2020_5-2-2_Download'!B34</f>
        <v>354</v>
      </c>
      <c r="B1274">
        <f>'2020_5-2-2_Download'!$AT$5</f>
        <v>2014</v>
      </c>
      <c r="C1274" t="str">
        <f>VLOOKUP(A2678,[1]Tabelle1!$A$1:$B$68,2,FALSE)</f>
        <v>Niedersachsen</v>
      </c>
      <c r="D1274" t="str">
        <f>'2020_5-2-2_Download'!$AW$7</f>
        <v>hoch</v>
      </c>
      <c r="E1274" t="s">
        <v>362</v>
      </c>
      <c r="F1274" s="266" t="str">
        <f>VLOOKUP(A2678,[2]Kreise!$A$2:$C$53,3,FALSE)</f>
        <v>K030</v>
      </c>
      <c r="G1274">
        <f>'2020_5-2-2_Download'!AW34</f>
        <v>6.9060773480662991</v>
      </c>
    </row>
    <row r="1275" spans="1:7">
      <c r="A1275">
        <f>'2020_5-2-2_Download'!B35</f>
        <v>355</v>
      </c>
      <c r="B1275">
        <f>'2020_5-2-2_Download'!$AT$5</f>
        <v>2014</v>
      </c>
      <c r="C1275" t="str">
        <f>VLOOKUP(A2679,[1]Tabelle1!$A$1:$B$68,2,FALSE)</f>
        <v>Niedersachsen</v>
      </c>
      <c r="D1275" t="str">
        <f>'2020_5-2-2_Download'!$AW$7</f>
        <v>hoch</v>
      </c>
      <c r="E1275" t="s">
        <v>362</v>
      </c>
      <c r="F1275" s="266" t="str">
        <f>VLOOKUP(A2679,[2]Kreise!$A$2:$C$53,3,FALSE)</f>
        <v>K030</v>
      </c>
      <c r="G1275">
        <f>'2020_5-2-2_Download'!AW35</f>
        <v>14.853857211308096</v>
      </c>
    </row>
    <row r="1276" spans="1:7">
      <c r="A1276">
        <f>'2020_5-2-2_Download'!B36</f>
        <v>356</v>
      </c>
      <c r="B1276">
        <f>'2020_5-2-2_Download'!$AT$5</f>
        <v>2014</v>
      </c>
      <c r="C1276" t="str">
        <f>VLOOKUP(A2680,[1]Tabelle1!$A$1:$B$68,2,FALSE)</f>
        <v>Niedersachsen</v>
      </c>
      <c r="D1276" t="str">
        <f>'2020_5-2-2_Download'!$AW$7</f>
        <v>hoch</v>
      </c>
      <c r="E1276" t="s">
        <v>362</v>
      </c>
      <c r="F1276" s="266" t="str">
        <f>VLOOKUP(A2680,[2]Kreise!$A$2:$C$53,3,FALSE)</f>
        <v>K030</v>
      </c>
      <c r="G1276">
        <f>'2020_5-2-2_Download'!AW36</f>
        <v>6.6734074823053584</v>
      </c>
    </row>
    <row r="1277" spans="1:7">
      <c r="A1277">
        <f>'2020_5-2-2_Download'!B37</f>
        <v>357</v>
      </c>
      <c r="B1277">
        <f>'2020_5-2-2_Download'!$AT$5</f>
        <v>2014</v>
      </c>
      <c r="C1277" t="str">
        <f>VLOOKUP(A2681,[1]Tabelle1!$A$1:$B$68,2,FALSE)</f>
        <v>Niedersachsen</v>
      </c>
      <c r="D1277" t="str">
        <f>'2020_5-2-2_Download'!$AW$7</f>
        <v>hoch</v>
      </c>
      <c r="E1277" t="s">
        <v>362</v>
      </c>
      <c r="F1277" s="266" t="str">
        <f>VLOOKUP(A2681,[2]Kreise!$A$2:$C$53,3,FALSE)</f>
        <v>K030</v>
      </c>
      <c r="G1277">
        <f>'2020_5-2-2_Download'!AW37</f>
        <v>9.4648166501486628</v>
      </c>
    </row>
    <row r="1278" spans="1:7">
      <c r="A1278">
        <f>'2020_5-2-2_Download'!B38</f>
        <v>358</v>
      </c>
      <c r="B1278">
        <f>'2020_5-2-2_Download'!$AT$5</f>
        <v>2014</v>
      </c>
      <c r="C1278" t="str">
        <f>VLOOKUP(A2682,[1]Tabelle1!$A$1:$B$68,2,FALSE)</f>
        <v>Niedersachsen</v>
      </c>
      <c r="D1278" t="str">
        <f>'2020_5-2-2_Download'!$AW$7</f>
        <v>hoch</v>
      </c>
      <c r="E1278" t="s">
        <v>362</v>
      </c>
      <c r="F1278" s="266" t="str">
        <f>VLOOKUP(A2682,[2]Kreise!$A$2:$C$53,3,FALSE)</f>
        <v>K030</v>
      </c>
      <c r="G1278">
        <f>'2020_5-2-2_Download'!AW38</f>
        <v>7.4955908289241622</v>
      </c>
    </row>
    <row r="1279" spans="1:7">
      <c r="A1279">
        <f>'2020_5-2-2_Download'!B39</f>
        <v>359</v>
      </c>
      <c r="B1279">
        <f>'2020_5-2-2_Download'!$AT$5</f>
        <v>2014</v>
      </c>
      <c r="C1279" t="str">
        <f>VLOOKUP(A2683,[1]Tabelle1!$A$1:$B$68,2,FALSE)</f>
        <v>Niedersachsen</v>
      </c>
      <c r="D1279" t="str">
        <f>'2020_5-2-2_Download'!$AW$7</f>
        <v>hoch</v>
      </c>
      <c r="E1279" t="s">
        <v>362</v>
      </c>
      <c r="F1279" s="266" t="str">
        <f>VLOOKUP(A2683,[2]Kreise!$A$2:$C$53,3,FALSE)</f>
        <v>K030</v>
      </c>
      <c r="G1279">
        <f>'2020_5-2-2_Download'!AW39</f>
        <v>6.1781609195402298</v>
      </c>
    </row>
    <row r="1280" spans="1:7">
      <c r="A1280">
        <f>'2020_5-2-2_Download'!B40</f>
        <v>360</v>
      </c>
      <c r="B1280">
        <f>'2020_5-2-2_Download'!$AT$5</f>
        <v>2014</v>
      </c>
      <c r="C1280" t="str">
        <f>VLOOKUP(A2684,[1]Tabelle1!$A$1:$B$68,2,FALSE)</f>
        <v>Niedersachsen</v>
      </c>
      <c r="D1280" t="str">
        <f>'2020_5-2-2_Download'!$AW$7</f>
        <v>hoch</v>
      </c>
      <c r="E1280" t="s">
        <v>362</v>
      </c>
      <c r="F1280" s="266" t="str">
        <f>VLOOKUP(A2684,[2]Kreise!$A$2:$C$53,3,FALSE)</f>
        <v>K030</v>
      </c>
      <c r="G1280">
        <f>'2020_5-2-2_Download'!AW40</f>
        <v>14.935822637106183</v>
      </c>
    </row>
    <row r="1281" spans="1:7">
      <c r="A1281">
        <f>'2020_5-2-2_Download'!B41</f>
        <v>361</v>
      </c>
      <c r="B1281">
        <f>'2020_5-2-2_Download'!$AT$5</f>
        <v>2014</v>
      </c>
      <c r="C1281" t="str">
        <f>VLOOKUP(A2685,[1]Tabelle1!$A$1:$B$68,2,FALSE)</f>
        <v>Niedersachsen</v>
      </c>
      <c r="D1281" t="str">
        <f>'2020_5-2-2_Download'!$AW$7</f>
        <v>hoch</v>
      </c>
      <c r="E1281" t="s">
        <v>362</v>
      </c>
      <c r="F1281" s="266" t="str">
        <f>VLOOKUP(A2685,[2]Kreise!$A$2:$C$53,3,FALSE)</f>
        <v>K030</v>
      </c>
      <c r="G1281">
        <f>'2020_5-2-2_Download'!AW41</f>
        <v>11.701689328388957</v>
      </c>
    </row>
    <row r="1282" spans="1:7">
      <c r="A1282">
        <f>'2020_5-2-2_Download'!B42</f>
        <v>3</v>
      </c>
      <c r="B1282">
        <f>'2020_5-2-2_Download'!$AT$5</f>
        <v>2014</v>
      </c>
      <c r="C1282" t="str">
        <f>VLOOKUP(A2686,[1]Tabelle1!$A$1:$B$68,2,FALSE)</f>
        <v>Niedersachsen</v>
      </c>
      <c r="D1282" t="str">
        <f>'2020_5-2-2_Download'!$AW$7</f>
        <v>hoch</v>
      </c>
      <c r="E1282" t="s">
        <v>362</v>
      </c>
      <c r="F1282" s="266" t="str">
        <f>VLOOKUP(A2686,[2]Kreise!$A$2:$C$53,3,FALSE)</f>
        <v>K030</v>
      </c>
      <c r="G1282">
        <f>'2020_5-2-2_Download'!AW42</f>
        <v>8.9207139892071385</v>
      </c>
    </row>
    <row r="1283" spans="1:7">
      <c r="A1283">
        <f>'2020_5-2-2_Download'!B43</f>
        <v>401</v>
      </c>
      <c r="B1283">
        <f>'2020_5-2-2_Download'!$AT$5</f>
        <v>2014</v>
      </c>
      <c r="C1283" t="str">
        <f>VLOOKUP(A2687,[1]Tabelle1!$A$1:$B$68,2,FALSE)</f>
        <v>Niedersachsen</v>
      </c>
      <c r="D1283" t="str">
        <f>'2020_5-2-2_Download'!$AW$7</f>
        <v>hoch</v>
      </c>
      <c r="E1283" t="s">
        <v>362</v>
      </c>
      <c r="F1283" s="266" t="str">
        <f>VLOOKUP(A2687,[2]Kreise!$A$2:$C$53,3,FALSE)</f>
        <v>K030</v>
      </c>
      <c r="G1283">
        <f>'2020_5-2-2_Download'!AW43</f>
        <v>6.5257352941176476</v>
      </c>
    </row>
    <row r="1284" spans="1:7">
      <c r="A1284">
        <f>'2020_5-2-2_Download'!B44</f>
        <v>402</v>
      </c>
      <c r="B1284">
        <f>'2020_5-2-2_Download'!$AT$5</f>
        <v>2014</v>
      </c>
      <c r="C1284" t="str">
        <f>VLOOKUP(A2688,[1]Tabelle1!$A$1:$B$68,2,FALSE)</f>
        <v>Niedersachsen</v>
      </c>
      <c r="D1284" t="str">
        <f>'2020_5-2-2_Download'!$AW$7</f>
        <v>hoch</v>
      </c>
      <c r="E1284" t="s">
        <v>362</v>
      </c>
      <c r="F1284" s="266" t="str">
        <f>VLOOKUP(A2688,[2]Kreise!$A$2:$C$53,3,FALSE)</f>
        <v>K030</v>
      </c>
      <c r="G1284">
        <f>'2020_5-2-2_Download'!AW44</f>
        <v>8.617886178861788</v>
      </c>
    </row>
    <row r="1285" spans="1:7">
      <c r="A1285">
        <f>'2020_5-2-2_Download'!B45</f>
        <v>403</v>
      </c>
      <c r="B1285">
        <f>'2020_5-2-2_Download'!$AT$5</f>
        <v>2014</v>
      </c>
      <c r="C1285" t="str">
        <f>VLOOKUP(A2689,[1]Tabelle1!$A$1:$B$68,2,FALSE)</f>
        <v>Niedersachsen</v>
      </c>
      <c r="D1285" t="str">
        <f>'2020_5-2-2_Download'!$AW$7</f>
        <v>hoch</v>
      </c>
      <c r="E1285" t="s">
        <v>362</v>
      </c>
      <c r="F1285" s="266" t="str">
        <f>VLOOKUP(A2689,[2]Kreise!$A$2:$C$53,3,FALSE)</f>
        <v>K030</v>
      </c>
      <c r="G1285">
        <f>'2020_5-2-2_Download'!AW45</f>
        <v>18.57191898386543</v>
      </c>
    </row>
    <row r="1286" spans="1:7">
      <c r="A1286">
        <f>'2020_5-2-2_Download'!B46</f>
        <v>404</v>
      </c>
      <c r="B1286">
        <f>'2020_5-2-2_Download'!$AT$5</f>
        <v>2014</v>
      </c>
      <c r="C1286" t="str">
        <f>VLOOKUP(A2690,[1]Tabelle1!$A$1:$B$68,2,FALSE)</f>
        <v>Niedersachsen</v>
      </c>
      <c r="D1286" t="str">
        <f>'2020_5-2-2_Download'!$AW$7</f>
        <v>hoch</v>
      </c>
      <c r="E1286" t="s">
        <v>362</v>
      </c>
      <c r="F1286" s="266" t="str">
        <f>VLOOKUP(A2690,[2]Kreise!$A$2:$C$53,3,FALSE)</f>
        <v>K030</v>
      </c>
      <c r="G1286">
        <f>'2020_5-2-2_Download'!AW46</f>
        <v>10.152686892722587</v>
      </c>
    </row>
    <row r="1287" spans="1:7">
      <c r="A1287">
        <f>'2020_5-2-2_Download'!B47</f>
        <v>405</v>
      </c>
      <c r="B1287">
        <f>'2020_5-2-2_Download'!$AT$5</f>
        <v>2014</v>
      </c>
      <c r="C1287" t="str">
        <f>VLOOKUP(A2691,[1]Tabelle1!$A$1:$B$68,2,FALSE)</f>
        <v>Niedersachsen</v>
      </c>
      <c r="D1287" t="str">
        <f>'2020_5-2-2_Download'!$AW$7</f>
        <v>hoch</v>
      </c>
      <c r="E1287" t="s">
        <v>362</v>
      </c>
      <c r="F1287" s="266" t="str">
        <f>VLOOKUP(A2691,[2]Kreise!$A$2:$C$53,3,FALSE)</f>
        <v>K030</v>
      </c>
      <c r="G1287">
        <f>'2020_5-2-2_Download'!AW47</f>
        <v>16.968911917098445</v>
      </c>
    </row>
    <row r="1288" spans="1:7">
      <c r="A1288">
        <f>'2020_5-2-2_Download'!B48</f>
        <v>451</v>
      </c>
      <c r="B1288">
        <f>'2020_5-2-2_Download'!$AT$5</f>
        <v>2014</v>
      </c>
      <c r="C1288" t="str">
        <f>VLOOKUP(A2692,[1]Tabelle1!$A$1:$B$68,2,FALSE)</f>
        <v>Niedersachsen</v>
      </c>
      <c r="D1288" t="str">
        <f>'2020_5-2-2_Download'!$AW$7</f>
        <v>hoch</v>
      </c>
      <c r="E1288" t="s">
        <v>362</v>
      </c>
      <c r="F1288" s="266" t="str">
        <f>VLOOKUP(A2692,[2]Kreise!$A$2:$C$53,3,FALSE)</f>
        <v>K030</v>
      </c>
      <c r="G1288">
        <f>'2020_5-2-2_Download'!AW48</f>
        <v>5.0656660412757972</v>
      </c>
    </row>
    <row r="1289" spans="1:7">
      <c r="A1289">
        <f>'2020_5-2-2_Download'!B49</f>
        <v>452</v>
      </c>
      <c r="B1289">
        <f>'2020_5-2-2_Download'!$AT$5</f>
        <v>2014</v>
      </c>
      <c r="C1289" t="str">
        <f>VLOOKUP(A2693,[1]Tabelle1!$A$1:$B$68,2,FALSE)</f>
        <v>Niedersachsen</v>
      </c>
      <c r="D1289" t="str">
        <f>'2020_5-2-2_Download'!$AW$7</f>
        <v>hoch</v>
      </c>
      <c r="E1289" t="s">
        <v>362</v>
      </c>
      <c r="F1289" s="266" t="str">
        <f>VLOOKUP(A2693,[2]Kreise!$A$2:$C$53,3,FALSE)</f>
        <v>K030</v>
      </c>
      <c r="G1289">
        <f>'2020_5-2-2_Download'!AW49</f>
        <v>7.1114369501466284</v>
      </c>
    </row>
    <row r="1290" spans="1:7">
      <c r="A1290">
        <f>'2020_5-2-2_Download'!B50</f>
        <v>453</v>
      </c>
      <c r="B1290">
        <f>'2020_5-2-2_Download'!$AT$5</f>
        <v>2014</v>
      </c>
      <c r="C1290" t="str">
        <f>VLOOKUP(A2694,[1]Tabelle1!$A$1:$B$68,2,FALSE)</f>
        <v>Niedersachsen</v>
      </c>
      <c r="D1290" t="str">
        <f>'2020_5-2-2_Download'!$AW$7</f>
        <v>hoch</v>
      </c>
      <c r="E1290" t="s">
        <v>362</v>
      </c>
      <c r="F1290" s="266" t="str">
        <f>VLOOKUP(A2694,[2]Kreise!$A$2:$C$53,3,FALSE)</f>
        <v>K030</v>
      </c>
      <c r="G1290">
        <f>'2020_5-2-2_Download'!AW50</f>
        <v>3.0574361214238914</v>
      </c>
    </row>
    <row r="1291" spans="1:7">
      <c r="A1291">
        <f>'2020_5-2-2_Download'!B51</f>
        <v>454</v>
      </c>
      <c r="B1291">
        <f>'2020_5-2-2_Download'!$AT$5</f>
        <v>2014</v>
      </c>
      <c r="C1291" t="str">
        <f>VLOOKUP(A2695,[1]Tabelle1!$A$1:$B$68,2,FALSE)</f>
        <v>Niedersachsen</v>
      </c>
      <c r="D1291" t="str">
        <f>'2020_5-2-2_Download'!$AW$7</f>
        <v>hoch</v>
      </c>
      <c r="E1291" t="s">
        <v>362</v>
      </c>
      <c r="F1291" s="266" t="str">
        <f>VLOOKUP(A2695,[2]Kreise!$A$2:$C$53,3,FALSE)</f>
        <v>K030</v>
      </c>
      <c r="G1291">
        <f>'2020_5-2-2_Download'!AW51</f>
        <v>7.9715302491103204</v>
      </c>
    </row>
    <row r="1292" spans="1:7">
      <c r="A1292">
        <f>'2020_5-2-2_Download'!B52</f>
        <v>455</v>
      </c>
      <c r="B1292">
        <f>'2020_5-2-2_Download'!$AT$5</f>
        <v>2014</v>
      </c>
      <c r="C1292" t="str">
        <f>VLOOKUP(A2696,[1]Tabelle1!$A$1:$B$68,2,FALSE)</f>
        <v>Niedersachsen</v>
      </c>
      <c r="D1292" t="str">
        <f>'2020_5-2-2_Download'!$AW$7</f>
        <v>hoch</v>
      </c>
      <c r="E1292" t="s">
        <v>362</v>
      </c>
      <c r="F1292" s="266" t="str">
        <f>VLOOKUP(A2696,[2]Kreise!$A$2:$C$53,3,FALSE)</f>
        <v>K030</v>
      </c>
      <c r="G1292">
        <f>'2020_5-2-2_Download'!AW52</f>
        <v>9.1121495327102799</v>
      </c>
    </row>
    <row r="1293" spans="1:7">
      <c r="A1293">
        <f>'2020_5-2-2_Download'!B53</f>
        <v>456</v>
      </c>
      <c r="B1293">
        <f>'2020_5-2-2_Download'!$AT$5</f>
        <v>2014</v>
      </c>
      <c r="C1293" t="str">
        <f>VLOOKUP(A2697,[1]Tabelle1!$A$1:$B$68,2,FALSE)</f>
        <v>Niedersachsen</v>
      </c>
      <c r="D1293" t="str">
        <f>'2020_5-2-2_Download'!$AW$7</f>
        <v>hoch</v>
      </c>
      <c r="E1293" t="s">
        <v>362</v>
      </c>
      <c r="F1293" s="266" t="str">
        <f>VLOOKUP(A2697,[2]Kreise!$A$2:$C$53,3,FALSE)</f>
        <v>K030</v>
      </c>
      <c r="G1293">
        <f>'2020_5-2-2_Download'!AW53</f>
        <v>6.3978168587022433</v>
      </c>
    </row>
    <row r="1294" spans="1:7">
      <c r="A1294">
        <f>'2020_5-2-2_Download'!B54</f>
        <v>457</v>
      </c>
      <c r="B1294">
        <f>'2020_5-2-2_Download'!$AT$5</f>
        <v>2014</v>
      </c>
      <c r="C1294" t="str">
        <f>VLOOKUP(A2698,[1]Tabelle1!$A$1:$B$68,2,FALSE)</f>
        <v>Niedersachsen</v>
      </c>
      <c r="D1294" t="str">
        <f>'2020_5-2-2_Download'!$AW$7</f>
        <v>hoch</v>
      </c>
      <c r="E1294" t="s">
        <v>362</v>
      </c>
      <c r="F1294" s="266" t="str">
        <f>VLOOKUP(A2698,[2]Kreise!$A$2:$C$53,3,FALSE)</f>
        <v>K030</v>
      </c>
      <c r="G1294">
        <f>'2020_5-2-2_Download'!AW54</f>
        <v>10.472610096670246</v>
      </c>
    </row>
    <row r="1295" spans="1:7">
      <c r="A1295">
        <f>'2020_5-2-2_Download'!B55</f>
        <v>458</v>
      </c>
      <c r="B1295">
        <f>'2020_5-2-2_Download'!$AT$5</f>
        <v>2014</v>
      </c>
      <c r="C1295" t="str">
        <f>VLOOKUP(A2699,[1]Tabelle1!$A$1:$B$68,2,FALSE)</f>
        <v>Niedersachsen</v>
      </c>
      <c r="D1295" t="str">
        <f>'2020_5-2-2_Download'!$AW$7</f>
        <v>hoch</v>
      </c>
      <c r="E1295" t="s">
        <v>362</v>
      </c>
      <c r="F1295" s="266" t="str">
        <f>VLOOKUP(A2699,[2]Kreise!$A$2:$C$53,3,FALSE)</f>
        <v>K030</v>
      </c>
      <c r="G1295">
        <f>'2020_5-2-2_Download'!AW55</f>
        <v>4.2116076014381099</v>
      </c>
    </row>
    <row r="1296" spans="1:7">
      <c r="A1296">
        <f>'2020_5-2-2_Download'!B56</f>
        <v>459</v>
      </c>
      <c r="B1296">
        <f>'2020_5-2-2_Download'!$AT$5</f>
        <v>2014</v>
      </c>
      <c r="C1296" t="str">
        <f>VLOOKUP(A2700,[1]Tabelle1!$A$1:$B$68,2,FALSE)</f>
        <v>Niedersachsen</v>
      </c>
      <c r="D1296" t="str">
        <f>'2020_5-2-2_Download'!$AW$7</f>
        <v>hoch</v>
      </c>
      <c r="E1296" t="s">
        <v>362</v>
      </c>
      <c r="F1296" s="266" t="str">
        <f>VLOOKUP(A2700,[2]Kreise!$A$2:$C$53,3,FALSE)</f>
        <v>K030</v>
      </c>
      <c r="G1296">
        <f>'2020_5-2-2_Download'!AW56</f>
        <v>4.323029542602943</v>
      </c>
    </row>
    <row r="1297" spans="1:7">
      <c r="A1297">
        <f>'2020_5-2-2_Download'!B57</f>
        <v>460</v>
      </c>
      <c r="B1297">
        <f>'2020_5-2-2_Download'!$AT$5</f>
        <v>2014</v>
      </c>
      <c r="C1297" t="str">
        <f>VLOOKUP(A2701,[1]Tabelle1!$A$1:$B$68,2,FALSE)</f>
        <v>Niedersachsen</v>
      </c>
      <c r="D1297" t="str">
        <f>'2020_5-2-2_Download'!$AW$7</f>
        <v>hoch</v>
      </c>
      <c r="E1297" t="s">
        <v>362</v>
      </c>
      <c r="F1297" s="266" t="str">
        <f>VLOOKUP(A2701,[2]Kreise!$A$2:$C$53,3,FALSE)</f>
        <v>K030</v>
      </c>
      <c r="G1297">
        <f>'2020_5-2-2_Download'!AW57</f>
        <v>3.9502332814930012</v>
      </c>
    </row>
    <row r="1298" spans="1:7">
      <c r="A1298">
        <f>'2020_5-2-2_Download'!B58</f>
        <v>461</v>
      </c>
      <c r="B1298">
        <f>'2020_5-2-2_Download'!$AT$5</f>
        <v>2014</v>
      </c>
      <c r="C1298" t="str">
        <f>VLOOKUP(A2702,[1]Tabelle1!$A$1:$B$68,2,FALSE)</f>
        <v>Niedersachsen</v>
      </c>
      <c r="D1298" t="str">
        <f>'2020_5-2-2_Download'!$AW$7</f>
        <v>hoch</v>
      </c>
      <c r="E1298" t="s">
        <v>362</v>
      </c>
      <c r="F1298" s="266" t="str">
        <f>VLOOKUP(A2702,[2]Kreise!$A$2:$C$53,3,FALSE)</f>
        <v>K030</v>
      </c>
      <c r="G1298">
        <f>'2020_5-2-2_Download'!AW58</f>
        <v>4.8120300751879705</v>
      </c>
    </row>
    <row r="1299" spans="1:7">
      <c r="A1299">
        <f>'2020_5-2-2_Download'!B59</f>
        <v>462</v>
      </c>
      <c r="B1299">
        <f>'2020_5-2-2_Download'!$AT$5</f>
        <v>2014</v>
      </c>
      <c r="C1299" t="str">
        <f>VLOOKUP(A2703,[1]Tabelle1!$A$1:$B$68,2,FALSE)</f>
        <v>Niedersachsen</v>
      </c>
      <c r="D1299" t="str">
        <f>'2020_5-2-2_Download'!$AW$7</f>
        <v>hoch</v>
      </c>
      <c r="E1299" t="s">
        <v>362</v>
      </c>
      <c r="F1299" s="266" t="str">
        <f>VLOOKUP(A2703,[2]Kreise!$A$2:$C$53,3,FALSE)</f>
        <v>K030</v>
      </c>
      <c r="G1299">
        <f>'2020_5-2-2_Download'!AW59</f>
        <v>4.0955631399317403</v>
      </c>
    </row>
    <row r="1300" spans="1:7">
      <c r="A1300">
        <f>'2020_5-2-2_Download'!B60</f>
        <v>4</v>
      </c>
      <c r="B1300">
        <f>'2020_5-2-2_Download'!$AT$5</f>
        <v>2014</v>
      </c>
      <c r="C1300" t="str">
        <f>VLOOKUP(A2704,[1]Tabelle1!$A$1:$B$68,2,FALSE)</f>
        <v>Niedersachsen</v>
      </c>
      <c r="D1300" t="str">
        <f>'2020_5-2-2_Download'!$AW$7</f>
        <v>hoch</v>
      </c>
      <c r="E1300" t="s">
        <v>362</v>
      </c>
      <c r="F1300" s="266" t="str">
        <f>VLOOKUP(A2704,[2]Kreise!$A$2:$C$53,3,FALSE)</f>
        <v>K030</v>
      </c>
      <c r="G1300">
        <f>'2020_5-2-2_Download'!AW60</f>
        <v>6.912721517750728</v>
      </c>
    </row>
    <row r="1301" spans="1:7">
      <c r="A1301">
        <f>'2020_5-2-2_Download'!B61</f>
        <v>0</v>
      </c>
      <c r="B1301">
        <f>'2020_5-2-2_Download'!$AT$5</f>
        <v>2014</v>
      </c>
      <c r="C1301" t="str">
        <f>VLOOKUP(A2705,[1]Tabelle1!$A$1:$B$68,2,FALSE)</f>
        <v>Niedersachsen</v>
      </c>
      <c r="D1301" t="str">
        <f>'2020_5-2-2_Download'!$AW$7</f>
        <v>hoch</v>
      </c>
      <c r="E1301" t="s">
        <v>362</v>
      </c>
      <c r="F1301" s="266" t="str">
        <f>VLOOKUP(A2705,[2]Kreise!$A$2:$C$53,3,FALSE)</f>
        <v>K030</v>
      </c>
      <c r="G1301">
        <f>'2020_5-2-2_Download'!AW61</f>
        <v>11.007544659109454</v>
      </c>
    </row>
    <row r="1302" spans="1:7">
      <c r="A1302">
        <f>'2020_5-2-2_Download'!B10</f>
        <v>101</v>
      </c>
      <c r="B1302">
        <f>'2020_5-2-2_Download'!$AT$5</f>
        <v>2014</v>
      </c>
      <c r="C1302" t="str">
        <f>VLOOKUP(A2706,[1]Tabelle1!$A$1:$B$68,2,FALSE)</f>
        <v>Niedersachsen</v>
      </c>
      <c r="D1302" t="str">
        <f>'2020_5-2-2_Download'!$AX$7</f>
        <v>mittel</v>
      </c>
      <c r="E1302" t="s">
        <v>362</v>
      </c>
      <c r="F1302" s="266" t="str">
        <f>VLOOKUP(A2706,[2]Kreise!$A$2:$C$53,3,FALSE)</f>
        <v>K030</v>
      </c>
      <c r="G1302">
        <f>'2020_5-2-2_Download'!AX10</f>
        <v>29.809172052939363</v>
      </c>
    </row>
    <row r="1303" spans="1:7">
      <c r="A1303">
        <f>'2020_5-2-2_Download'!B11</f>
        <v>102</v>
      </c>
      <c r="B1303">
        <f>'2020_5-2-2_Download'!$AT$5</f>
        <v>2014</v>
      </c>
      <c r="C1303" t="str">
        <f>VLOOKUP(A2707,[1]Tabelle1!$A$1:$B$68,2,FALSE)</f>
        <v>Niedersachsen</v>
      </c>
      <c r="D1303" t="str">
        <f>'2020_5-2-2_Download'!$AX$7</f>
        <v>mittel</v>
      </c>
      <c r="E1303" t="s">
        <v>362</v>
      </c>
      <c r="F1303" s="266" t="str">
        <f>VLOOKUP(A2707,[2]Kreise!$A$2:$C$53,3,FALSE)</f>
        <v>K030</v>
      </c>
      <c r="G1303">
        <f>'2020_5-2-2_Download'!AX11</f>
        <v>42.63371911166719</v>
      </c>
    </row>
    <row r="1304" spans="1:7">
      <c r="A1304">
        <f>'2020_5-2-2_Download'!B12</f>
        <v>103</v>
      </c>
      <c r="B1304">
        <f>'2020_5-2-2_Download'!$AT$5</f>
        <v>2014</v>
      </c>
      <c r="C1304" t="str">
        <f>VLOOKUP(A2708,[1]Tabelle1!$A$1:$B$68,2,FALSE)</f>
        <v>Niedersachsen</v>
      </c>
      <c r="D1304" t="str">
        <f>'2020_5-2-2_Download'!$AX$7</f>
        <v>mittel</v>
      </c>
      <c r="E1304" t="s">
        <v>362</v>
      </c>
      <c r="F1304" s="266" t="str">
        <f>VLOOKUP(A2708,[2]Kreise!$A$2:$C$53,3,FALSE)</f>
        <v>K030</v>
      </c>
      <c r="G1304">
        <f>'2020_5-2-2_Download'!AX12</f>
        <v>33.613659531090725</v>
      </c>
    </row>
    <row r="1305" spans="1:7">
      <c r="A1305">
        <f>'2020_5-2-2_Download'!B13</f>
        <v>151</v>
      </c>
      <c r="B1305">
        <f>'2020_5-2-2_Download'!$AT$5</f>
        <v>2014</v>
      </c>
      <c r="C1305" t="str">
        <f>VLOOKUP(A2709,[1]Tabelle1!$A$1:$B$68,2,FALSE)</f>
        <v>Niedersachsen</v>
      </c>
      <c r="D1305" t="str">
        <f>'2020_5-2-2_Download'!$AX$7</f>
        <v>mittel</v>
      </c>
      <c r="E1305" t="s">
        <v>362</v>
      </c>
      <c r="F1305" s="266" t="str">
        <f>VLOOKUP(A2709,[2]Kreise!$A$2:$C$53,3,FALSE)</f>
        <v>K030</v>
      </c>
      <c r="G1305">
        <f>'2020_5-2-2_Download'!AX13</f>
        <v>26.952922917744438</v>
      </c>
    </row>
    <row r="1306" spans="1:7">
      <c r="A1306">
        <f>'2020_5-2-2_Download'!B14</f>
        <v>153</v>
      </c>
      <c r="B1306">
        <f>'2020_5-2-2_Download'!$AT$5</f>
        <v>2014</v>
      </c>
      <c r="C1306" t="str">
        <f>VLOOKUP(A2710,[1]Tabelle1!$A$1:$B$68,2,FALSE)</f>
        <v>Niedersachsen</v>
      </c>
      <c r="D1306" t="str">
        <f>'2020_5-2-2_Download'!$AX$7</f>
        <v>mittel</v>
      </c>
      <c r="E1306" t="s">
        <v>362</v>
      </c>
      <c r="F1306" s="266" t="str">
        <f>VLOOKUP(A2710,[2]Kreise!$A$2:$C$53,3,FALSE)</f>
        <v>K030</v>
      </c>
      <c r="G1306">
        <f>'2020_5-2-2_Download'!AX14</f>
        <v>31.942125765164164</v>
      </c>
    </row>
    <row r="1307" spans="1:7">
      <c r="A1307">
        <f>'2020_5-2-2_Download'!B15</f>
        <v>154</v>
      </c>
      <c r="B1307">
        <f>'2020_5-2-2_Download'!$AT$5</f>
        <v>2014</v>
      </c>
      <c r="C1307" t="str">
        <f>VLOOKUP(A2711,[1]Tabelle1!$A$1:$B$68,2,FALSE)</f>
        <v>Niedersachsen</v>
      </c>
      <c r="D1307" t="str">
        <f>'2020_5-2-2_Download'!$AX$7</f>
        <v>mittel</v>
      </c>
      <c r="E1307" t="s">
        <v>362</v>
      </c>
      <c r="F1307" s="266" t="str">
        <f>VLOOKUP(A2711,[2]Kreise!$A$2:$C$53,3,FALSE)</f>
        <v>K030</v>
      </c>
      <c r="G1307">
        <f>'2020_5-2-2_Download'!AX15</f>
        <v>33.57988165680473</v>
      </c>
    </row>
    <row r="1308" spans="1:7">
      <c r="A1308">
        <f>'2020_5-2-2_Download'!B16</f>
        <v>155</v>
      </c>
      <c r="B1308">
        <f>'2020_5-2-2_Download'!$AT$5</f>
        <v>2014</v>
      </c>
      <c r="C1308" t="str">
        <f>VLOOKUP(A2712,[1]Tabelle1!$A$1:$B$68,2,FALSE)</f>
        <v>Niedersachsen</v>
      </c>
      <c r="D1308" t="str">
        <f>'2020_5-2-2_Download'!$AX$7</f>
        <v>mittel</v>
      </c>
      <c r="E1308" t="s">
        <v>362</v>
      </c>
      <c r="F1308" s="266" t="str">
        <f>VLOOKUP(A2712,[2]Kreise!$A$2:$C$53,3,FALSE)</f>
        <v>K030</v>
      </c>
      <c r="G1308">
        <f>'2020_5-2-2_Download'!AX16</f>
        <v>50.774159103043246</v>
      </c>
    </row>
    <row r="1309" spans="1:7">
      <c r="A1309">
        <f>'2020_5-2-2_Download'!B17</f>
        <v>157</v>
      </c>
      <c r="B1309">
        <f>'2020_5-2-2_Download'!$AT$5</f>
        <v>2014</v>
      </c>
      <c r="C1309" t="str">
        <f>VLOOKUP(A2713,[1]Tabelle1!$A$1:$B$68,2,FALSE)</f>
        <v>Niedersachsen</v>
      </c>
      <c r="D1309" t="str">
        <f>'2020_5-2-2_Download'!$AX$7</f>
        <v>mittel</v>
      </c>
      <c r="E1309" t="s">
        <v>362</v>
      </c>
      <c r="F1309" s="266" t="str">
        <f>VLOOKUP(A2713,[2]Kreise!$A$2:$C$53,3,FALSE)</f>
        <v>K030</v>
      </c>
      <c r="G1309">
        <f>'2020_5-2-2_Download'!AX17</f>
        <v>35.623229461756374</v>
      </c>
    </row>
    <row r="1310" spans="1:7">
      <c r="A1310">
        <f>'2020_5-2-2_Download'!B18</f>
        <v>158</v>
      </c>
      <c r="B1310">
        <f>'2020_5-2-2_Download'!$AT$5</f>
        <v>2014</v>
      </c>
      <c r="C1310" t="str">
        <f>VLOOKUP(A2714,[1]Tabelle1!$A$1:$B$68,2,FALSE)</f>
        <v>Niedersachsen</v>
      </c>
      <c r="D1310" t="str">
        <f>'2020_5-2-2_Download'!$AX$7</f>
        <v>mittel</v>
      </c>
      <c r="E1310" t="s">
        <v>362</v>
      </c>
      <c r="F1310" s="266" t="str">
        <f>VLOOKUP(A2714,[2]Kreise!$A$2:$C$53,3,FALSE)</f>
        <v>K030</v>
      </c>
      <c r="G1310">
        <f>'2020_5-2-2_Download'!AX18</f>
        <v>39.413265306122447</v>
      </c>
    </row>
    <row r="1311" spans="1:7">
      <c r="A1311">
        <f>'2020_5-2-2_Download'!B19</f>
        <v>159</v>
      </c>
      <c r="B1311">
        <f>'2020_5-2-2_Download'!$AT$5</f>
        <v>2014</v>
      </c>
      <c r="C1311" t="str">
        <f>VLOOKUP(A2715,[1]Tabelle1!$A$1:$B$68,2,FALSE)</f>
        <v>Niedersachsen</v>
      </c>
      <c r="D1311" t="str">
        <f>'2020_5-2-2_Download'!$AX$7</f>
        <v>mittel</v>
      </c>
      <c r="E1311" t="s">
        <v>362</v>
      </c>
      <c r="F1311" s="266" t="str">
        <f>VLOOKUP(A2715,[2]Kreise!$A$2:$C$53,3,FALSE)</f>
        <v>K030</v>
      </c>
      <c r="G1311">
        <f>'2020_5-2-2_Download'!AX19</f>
        <v>29.522968197879855</v>
      </c>
    </row>
    <row r="1312" spans="1:7">
      <c r="A1312">
        <f>'2020_5-2-2_Download'!B20</f>
        <v>1</v>
      </c>
      <c r="B1312">
        <f>'2020_5-2-2_Download'!$AT$5</f>
        <v>2014</v>
      </c>
      <c r="C1312" t="str">
        <f>VLOOKUP(A2716,[1]Tabelle1!$A$1:$B$68,2,FALSE)</f>
        <v>Niedersachsen</v>
      </c>
      <c r="D1312" t="str">
        <f>'2020_5-2-2_Download'!$AX$7</f>
        <v>mittel</v>
      </c>
      <c r="E1312" t="s">
        <v>362</v>
      </c>
      <c r="F1312" s="266" t="str">
        <f>VLOOKUP(A2716,[2]Kreise!$A$2:$C$53,3,FALSE)</f>
        <v>K030</v>
      </c>
      <c r="G1312">
        <f>'2020_5-2-2_Download'!AX20</f>
        <v>33.764798737174431</v>
      </c>
    </row>
    <row r="1313" spans="1:7">
      <c r="A1313">
        <f>'2020_5-2-2_Download'!B21</f>
        <v>241</v>
      </c>
      <c r="B1313">
        <f>'2020_5-2-2_Download'!$AT$5</f>
        <v>2014</v>
      </c>
      <c r="C1313" t="str">
        <f>VLOOKUP(A2717,[1]Tabelle1!$A$1:$B$68,2,FALSE)</f>
        <v>Niedersachsen</v>
      </c>
      <c r="D1313" t="str">
        <f>'2020_5-2-2_Download'!$AX$7</f>
        <v>mittel</v>
      </c>
      <c r="E1313" t="s">
        <v>362</v>
      </c>
      <c r="F1313" s="266" t="str">
        <f>VLOOKUP(A2717,[2]Kreise!$A$2:$C$53,3,FALSE)</f>
        <v>K030</v>
      </c>
      <c r="G1313">
        <f>'2020_5-2-2_Download'!AX21</f>
        <v>33.369430693069305</v>
      </c>
    </row>
    <row r="1314" spans="1:7">
      <c r="A1314">
        <f>'2020_5-2-2_Download'!B22</f>
        <v>241001</v>
      </c>
      <c r="B1314">
        <f>'2020_5-2-2_Download'!$AT$5</f>
        <v>2014</v>
      </c>
      <c r="C1314" t="str">
        <f>VLOOKUP(A2718,[1]Tabelle1!$A$1:$B$68,2,FALSE)</f>
        <v>Niedersachsen</v>
      </c>
      <c r="D1314" t="str">
        <f>'2020_5-2-2_Download'!$AX$7</f>
        <v>mittel</v>
      </c>
      <c r="E1314" t="s">
        <v>362</v>
      </c>
      <c r="F1314" s="266" t="str">
        <f>VLOOKUP(A2718,[2]Kreise!$A$2:$C$53,3,FALSE)</f>
        <v>K030</v>
      </c>
      <c r="G1314">
        <f>'2020_5-2-2_Download'!AX22</f>
        <v>33.043375580571521</v>
      </c>
    </row>
    <row r="1315" spans="1:7">
      <c r="A1315">
        <f>'2020_5-2-2_Download'!B23</f>
        <v>241999</v>
      </c>
      <c r="B1315">
        <f>'2020_5-2-2_Download'!$AT$5</f>
        <v>2014</v>
      </c>
      <c r="C1315" t="str">
        <f>VLOOKUP(A2719,[1]Tabelle1!$A$1:$B$68,2,FALSE)</f>
        <v>Niedersachsen</v>
      </c>
      <c r="D1315" t="str">
        <f>'2020_5-2-2_Download'!$AX$7</f>
        <v>mittel</v>
      </c>
      <c r="E1315" t="s">
        <v>362</v>
      </c>
      <c r="F1315" s="266" t="str">
        <f>VLOOKUP(A2719,[2]Kreise!$A$2:$C$53,3,FALSE)</f>
        <v>K030</v>
      </c>
      <c r="G1315">
        <f>'2020_5-2-2_Download'!AX23</f>
        <v>33.988638062490658</v>
      </c>
    </row>
    <row r="1316" spans="1:7">
      <c r="A1316">
        <f>'2020_5-2-2_Download'!B24</f>
        <v>251</v>
      </c>
      <c r="B1316">
        <f>'2020_5-2-2_Download'!$AT$5</f>
        <v>2014</v>
      </c>
      <c r="C1316" t="str">
        <f>VLOOKUP(A2720,[1]Tabelle1!$A$1:$B$68,2,FALSE)</f>
        <v>Niedersachsen</v>
      </c>
      <c r="D1316" t="str">
        <f>'2020_5-2-2_Download'!$AX$7</f>
        <v>mittel</v>
      </c>
      <c r="E1316" t="s">
        <v>362</v>
      </c>
      <c r="F1316" s="266" t="str">
        <f>VLOOKUP(A2720,[2]Kreise!$A$2:$C$53,3,FALSE)</f>
        <v>K030</v>
      </c>
      <c r="G1316">
        <f>'2020_5-2-2_Download'!AX24</f>
        <v>31.554524361948953</v>
      </c>
    </row>
    <row r="1317" spans="1:7">
      <c r="A1317">
        <f>'2020_5-2-2_Download'!B25</f>
        <v>252</v>
      </c>
      <c r="B1317">
        <f>'2020_5-2-2_Download'!$AT$5</f>
        <v>2014</v>
      </c>
      <c r="C1317" t="str">
        <f>VLOOKUP(A2721,[1]Tabelle1!$A$1:$B$68,2,FALSE)</f>
        <v>Niedersachsen</v>
      </c>
      <c r="D1317" t="str">
        <f>'2020_5-2-2_Download'!$AX$7</f>
        <v>mittel</v>
      </c>
      <c r="E1317" t="s">
        <v>362</v>
      </c>
      <c r="F1317" s="266" t="str">
        <f>VLOOKUP(A2721,[2]Kreise!$A$2:$C$53,3,FALSE)</f>
        <v>K030</v>
      </c>
      <c r="G1317">
        <f>'2020_5-2-2_Download'!AX25</f>
        <v>39.599198396793589</v>
      </c>
    </row>
    <row r="1318" spans="1:7">
      <c r="A1318">
        <f>'2020_5-2-2_Download'!B26</f>
        <v>254</v>
      </c>
      <c r="B1318">
        <f>'2020_5-2-2_Download'!$AT$5</f>
        <v>2014</v>
      </c>
      <c r="C1318" t="str">
        <f>VLOOKUP(A2722,[1]Tabelle1!$A$1:$B$68,2,FALSE)</f>
        <v>Niedersachsen</v>
      </c>
      <c r="D1318" t="str">
        <f>'2020_5-2-2_Download'!$AX$7</f>
        <v>mittel</v>
      </c>
      <c r="E1318" t="s">
        <v>362</v>
      </c>
      <c r="F1318" s="266" t="str">
        <f>VLOOKUP(A2722,[2]Kreise!$A$2:$C$53,3,FALSE)</f>
        <v>K030</v>
      </c>
      <c r="G1318">
        <f>'2020_5-2-2_Download'!AX26</f>
        <v>38.733389878428049</v>
      </c>
    </row>
    <row r="1319" spans="1:7">
      <c r="A1319">
        <f>'2020_5-2-2_Download'!B27</f>
        <v>255</v>
      </c>
      <c r="B1319">
        <f>'2020_5-2-2_Download'!$AT$5</f>
        <v>2014</v>
      </c>
      <c r="C1319" t="str">
        <f>VLOOKUP(A2723,[1]Tabelle1!$A$1:$B$68,2,FALSE)</f>
        <v>Niedersachsen</v>
      </c>
      <c r="D1319" t="str">
        <f>'2020_5-2-2_Download'!$AX$7</f>
        <v>mittel</v>
      </c>
      <c r="E1319" t="s">
        <v>362</v>
      </c>
      <c r="F1319" s="266" t="str">
        <f>VLOOKUP(A2723,[2]Kreise!$A$2:$C$53,3,FALSE)</f>
        <v>K030</v>
      </c>
      <c r="G1319">
        <f>'2020_5-2-2_Download'!AX27</f>
        <v>37.72893772893773</v>
      </c>
    </row>
    <row r="1320" spans="1:7">
      <c r="A1320">
        <f>'2020_5-2-2_Download'!B28</f>
        <v>256</v>
      </c>
      <c r="B1320">
        <f>'2020_5-2-2_Download'!$AT$5</f>
        <v>2014</v>
      </c>
      <c r="C1320" t="str">
        <f>VLOOKUP(A2724,[1]Tabelle1!$A$1:$B$68,2,FALSE)</f>
        <v>Niedersachsen</v>
      </c>
      <c r="D1320" t="str">
        <f>'2020_5-2-2_Download'!$AX$7</f>
        <v>mittel</v>
      </c>
      <c r="E1320" t="s">
        <v>362</v>
      </c>
      <c r="F1320" s="266" t="str">
        <f>VLOOKUP(A2724,[2]Kreise!$A$2:$C$53,3,FALSE)</f>
        <v>K030</v>
      </c>
      <c r="G1320">
        <f>'2020_5-2-2_Download'!AX28</f>
        <v>30.222222222222221</v>
      </c>
    </row>
    <row r="1321" spans="1:7">
      <c r="A1321">
        <f>'2020_5-2-2_Download'!B29</f>
        <v>257</v>
      </c>
      <c r="B1321">
        <f>'2020_5-2-2_Download'!$AT$5</f>
        <v>2014</v>
      </c>
      <c r="C1321" t="str">
        <f>VLOOKUP(A2725,[1]Tabelle1!$A$1:$B$68,2,FALSE)</f>
        <v>Niedersachsen</v>
      </c>
      <c r="D1321" t="str">
        <f>'2020_5-2-2_Download'!$AX$7</f>
        <v>mittel</v>
      </c>
      <c r="E1321" t="s">
        <v>362</v>
      </c>
      <c r="F1321" s="266" t="str">
        <f>VLOOKUP(A2725,[2]Kreise!$A$2:$C$53,3,FALSE)</f>
        <v>K030</v>
      </c>
      <c r="G1321">
        <f>'2020_5-2-2_Download'!AX29</f>
        <v>37.864583333333336</v>
      </c>
    </row>
    <row r="1322" spans="1:7">
      <c r="A1322">
        <f>'2020_5-2-2_Download'!B30</f>
        <v>2</v>
      </c>
      <c r="B1322">
        <f>'2020_5-2-2_Download'!$AT$5</f>
        <v>2014</v>
      </c>
      <c r="C1322" t="str">
        <f>VLOOKUP(A2726,[1]Tabelle1!$A$1:$B$68,2,FALSE)</f>
        <v>Niedersachsen</v>
      </c>
      <c r="D1322" t="str">
        <f>'2020_5-2-2_Download'!$AX$7</f>
        <v>mittel</v>
      </c>
      <c r="E1322" t="s">
        <v>362</v>
      </c>
      <c r="F1322" s="266" t="str">
        <f>VLOOKUP(A2726,[2]Kreise!$A$2:$C$53,3,FALSE)</f>
        <v>K030</v>
      </c>
      <c r="G1322">
        <f>'2020_5-2-2_Download'!AX30</f>
        <v>34.048728328114258</v>
      </c>
    </row>
    <row r="1323" spans="1:7">
      <c r="A1323">
        <f>'2020_5-2-2_Download'!B31</f>
        <v>351</v>
      </c>
      <c r="B1323">
        <f>'2020_5-2-2_Download'!$AT$5</f>
        <v>2014</v>
      </c>
      <c r="C1323" t="str">
        <f>VLOOKUP(A2727,[1]Tabelle1!$A$1:$B$68,2,FALSE)</f>
        <v>Niedersachsen</v>
      </c>
      <c r="D1323" t="str">
        <f>'2020_5-2-2_Download'!$AX$7</f>
        <v>mittel</v>
      </c>
      <c r="E1323" t="s">
        <v>362</v>
      </c>
      <c r="F1323" s="266" t="str">
        <f>VLOOKUP(A2727,[2]Kreise!$A$2:$C$53,3,FALSE)</f>
        <v>K030</v>
      </c>
      <c r="G1323">
        <f>'2020_5-2-2_Download'!AX31</f>
        <v>34.304068522483938</v>
      </c>
    </row>
    <row r="1324" spans="1:7">
      <c r="A1324">
        <f>'2020_5-2-2_Download'!B32</f>
        <v>352</v>
      </c>
      <c r="B1324">
        <f>'2020_5-2-2_Download'!$AT$5</f>
        <v>2014</v>
      </c>
      <c r="C1324" t="str">
        <f>VLOOKUP(A2728,[1]Tabelle1!$A$1:$B$68,2,FALSE)</f>
        <v>Niedersachsen</v>
      </c>
      <c r="D1324" t="str">
        <f>'2020_5-2-2_Download'!$AX$7</f>
        <v>mittel</v>
      </c>
      <c r="E1324" t="s">
        <v>362</v>
      </c>
      <c r="F1324" s="266" t="str">
        <f>VLOOKUP(A2728,[2]Kreise!$A$2:$C$53,3,FALSE)</f>
        <v>K030</v>
      </c>
      <c r="G1324">
        <f>'2020_5-2-2_Download'!AX32</f>
        <v>30.266955266955264</v>
      </c>
    </row>
    <row r="1325" spans="1:7">
      <c r="A1325">
        <f>'2020_5-2-2_Download'!B33</f>
        <v>353</v>
      </c>
      <c r="B1325">
        <f>'2020_5-2-2_Download'!$AT$5</f>
        <v>2014</v>
      </c>
      <c r="C1325" t="str">
        <f>VLOOKUP(A2729,[1]Tabelle1!$A$1:$B$68,2,FALSE)</f>
        <v>Niedersachsen</v>
      </c>
      <c r="D1325" t="str">
        <f>'2020_5-2-2_Download'!$AX$7</f>
        <v>mittel</v>
      </c>
      <c r="E1325" t="s">
        <v>362</v>
      </c>
      <c r="F1325" s="266" t="str">
        <f>VLOOKUP(A2729,[2]Kreise!$A$2:$C$53,3,FALSE)</f>
        <v>K030</v>
      </c>
      <c r="G1325">
        <f>'2020_5-2-2_Download'!AX33</f>
        <v>29.718346933403527</v>
      </c>
    </row>
    <row r="1326" spans="1:7">
      <c r="A1326">
        <f>'2020_5-2-2_Download'!B34</f>
        <v>354</v>
      </c>
      <c r="B1326">
        <f>'2020_5-2-2_Download'!$AT$5</f>
        <v>2014</v>
      </c>
      <c r="C1326" t="str">
        <f>VLOOKUP(A2730,[1]Tabelle1!$A$1:$B$68,2,FALSE)</f>
        <v>Niedersachsen</v>
      </c>
      <c r="D1326" t="str">
        <f>'2020_5-2-2_Download'!$AX$7</f>
        <v>mittel</v>
      </c>
      <c r="E1326" t="s">
        <v>362</v>
      </c>
      <c r="F1326" s="266" t="str">
        <f>VLOOKUP(A2730,[2]Kreise!$A$2:$C$53,3,FALSE)</f>
        <v>K030</v>
      </c>
      <c r="G1326">
        <f>'2020_5-2-2_Download'!AX34</f>
        <v>34.254143646408842</v>
      </c>
    </row>
    <row r="1327" spans="1:7">
      <c r="A1327">
        <f>'2020_5-2-2_Download'!B35</f>
        <v>355</v>
      </c>
      <c r="B1327">
        <f>'2020_5-2-2_Download'!$AT$5</f>
        <v>2014</v>
      </c>
      <c r="C1327" t="str">
        <f>VLOOKUP(A2731,[1]Tabelle1!$A$1:$B$68,2,FALSE)</f>
        <v>Niedersachsen</v>
      </c>
      <c r="D1327" t="str">
        <f>'2020_5-2-2_Download'!$AX$7</f>
        <v>mittel</v>
      </c>
      <c r="E1327" t="s">
        <v>362</v>
      </c>
      <c r="F1327" s="266" t="str">
        <f>VLOOKUP(A2731,[2]Kreise!$A$2:$C$53,3,FALSE)</f>
        <v>K030</v>
      </c>
      <c r="G1327">
        <f>'2020_5-2-2_Download'!AX35</f>
        <v>32.82223287014854</v>
      </c>
    </row>
    <row r="1328" spans="1:7">
      <c r="A1328">
        <f>'2020_5-2-2_Download'!B36</f>
        <v>356</v>
      </c>
      <c r="B1328">
        <f>'2020_5-2-2_Download'!$AT$5</f>
        <v>2014</v>
      </c>
      <c r="C1328" t="str">
        <f>VLOOKUP(A2732,[1]Tabelle1!$A$1:$B$68,2,FALSE)</f>
        <v>Niedersachsen</v>
      </c>
      <c r="D1328" t="str">
        <f>'2020_5-2-2_Download'!$AX$7</f>
        <v>mittel</v>
      </c>
      <c r="E1328" t="s">
        <v>362</v>
      </c>
      <c r="F1328" s="266" t="str">
        <f>VLOOKUP(A2732,[2]Kreise!$A$2:$C$53,3,FALSE)</f>
        <v>K030</v>
      </c>
      <c r="G1328">
        <f>'2020_5-2-2_Download'!AX36</f>
        <v>34.681496461071795</v>
      </c>
    </row>
    <row r="1329" spans="1:7">
      <c r="A1329">
        <f>'2020_5-2-2_Download'!B37</f>
        <v>357</v>
      </c>
      <c r="B1329">
        <f>'2020_5-2-2_Download'!$AT$5</f>
        <v>2014</v>
      </c>
      <c r="C1329" t="str">
        <f>VLOOKUP(A2733,[1]Tabelle1!$A$1:$B$68,2,FALSE)</f>
        <v>Niedersachsen</v>
      </c>
      <c r="D1329" t="str">
        <f>'2020_5-2-2_Download'!$AX$7</f>
        <v>mittel</v>
      </c>
      <c r="E1329" t="s">
        <v>362</v>
      </c>
      <c r="F1329" s="266" t="str">
        <f>VLOOKUP(A2733,[2]Kreise!$A$2:$C$53,3,FALSE)</f>
        <v>K030</v>
      </c>
      <c r="G1329">
        <f>'2020_5-2-2_Download'!AX37</f>
        <v>31.318136769078297</v>
      </c>
    </row>
    <row r="1330" spans="1:7">
      <c r="A1330">
        <f>'2020_5-2-2_Download'!B38</f>
        <v>358</v>
      </c>
      <c r="B1330">
        <f>'2020_5-2-2_Download'!$AT$5</f>
        <v>2014</v>
      </c>
      <c r="C1330" t="str">
        <f>VLOOKUP(A2734,[1]Tabelle1!$A$1:$B$68,2,FALSE)</f>
        <v>Niedersachsen</v>
      </c>
      <c r="D1330" t="str">
        <f>'2020_5-2-2_Download'!$AX$7</f>
        <v>mittel</v>
      </c>
      <c r="E1330" t="s">
        <v>362</v>
      </c>
      <c r="F1330" s="266" t="str">
        <f>VLOOKUP(A2734,[2]Kreise!$A$2:$C$53,3,FALSE)</f>
        <v>K030</v>
      </c>
      <c r="G1330">
        <f>'2020_5-2-2_Download'!AX38</f>
        <v>37.213403880070544</v>
      </c>
    </row>
    <row r="1331" spans="1:7">
      <c r="A1331">
        <f>'2020_5-2-2_Download'!B39</f>
        <v>359</v>
      </c>
      <c r="B1331">
        <f>'2020_5-2-2_Download'!$AT$5</f>
        <v>2014</v>
      </c>
      <c r="C1331" t="str">
        <f>VLOOKUP(A2735,[1]Tabelle1!$A$1:$B$68,2,FALSE)</f>
        <v>Niedersachsen</v>
      </c>
      <c r="D1331" t="str">
        <f>'2020_5-2-2_Download'!$AX$7</f>
        <v>mittel</v>
      </c>
      <c r="E1331" t="s">
        <v>362</v>
      </c>
      <c r="F1331" s="266" t="str">
        <f>VLOOKUP(A2735,[2]Kreise!$A$2:$C$53,3,FALSE)</f>
        <v>K030</v>
      </c>
      <c r="G1331">
        <f>'2020_5-2-2_Download'!AX39</f>
        <v>24.305555555555554</v>
      </c>
    </row>
    <row r="1332" spans="1:7">
      <c r="A1332">
        <f>'2020_5-2-2_Download'!B40</f>
        <v>360</v>
      </c>
      <c r="B1332">
        <f>'2020_5-2-2_Download'!$AT$5</f>
        <v>2014</v>
      </c>
      <c r="C1332" t="str">
        <f>VLOOKUP(A2736,[1]Tabelle1!$A$1:$B$68,2,FALSE)</f>
        <v>Niedersachsen</v>
      </c>
      <c r="D1332" t="str">
        <f>'2020_5-2-2_Download'!$AX$7</f>
        <v>mittel</v>
      </c>
      <c r="E1332" t="s">
        <v>362</v>
      </c>
      <c r="F1332" s="266" t="str">
        <f>VLOOKUP(A2736,[2]Kreise!$A$2:$C$53,3,FALSE)</f>
        <v>K030</v>
      </c>
      <c r="G1332">
        <f>'2020_5-2-2_Download'!AX40</f>
        <v>34.189031505250881</v>
      </c>
    </row>
    <row r="1333" spans="1:7">
      <c r="A1333">
        <f>'2020_5-2-2_Download'!B41</f>
        <v>361</v>
      </c>
      <c r="B1333">
        <f>'2020_5-2-2_Download'!$AT$5</f>
        <v>2014</v>
      </c>
      <c r="C1333" t="str">
        <f>VLOOKUP(A2737,[1]Tabelle1!$A$1:$B$68,2,FALSE)</f>
        <v>Niedersachsen</v>
      </c>
      <c r="D1333" t="str">
        <f>'2020_5-2-2_Download'!$AX$7</f>
        <v>mittel</v>
      </c>
      <c r="E1333" t="s">
        <v>362</v>
      </c>
      <c r="F1333" s="266" t="str">
        <f>VLOOKUP(A2737,[2]Kreise!$A$2:$C$53,3,FALSE)</f>
        <v>K030</v>
      </c>
      <c r="G1333">
        <f>'2020_5-2-2_Download'!AX41</f>
        <v>31.520395550061803</v>
      </c>
    </row>
    <row r="1334" spans="1:7">
      <c r="A1334">
        <f>'2020_5-2-2_Download'!B42</f>
        <v>3</v>
      </c>
      <c r="B1334">
        <f>'2020_5-2-2_Download'!$AT$5</f>
        <v>2014</v>
      </c>
      <c r="C1334" t="str">
        <f>VLOOKUP(A2738,[1]Tabelle1!$A$1:$B$68,2,FALSE)</f>
        <v>Niedersachsen</v>
      </c>
      <c r="D1334" t="str">
        <f>'2020_5-2-2_Download'!$AX$7</f>
        <v>mittel</v>
      </c>
      <c r="E1334" t="s">
        <v>362</v>
      </c>
      <c r="F1334" s="266" t="str">
        <f>VLOOKUP(A2738,[2]Kreise!$A$2:$C$53,3,FALSE)</f>
        <v>K030</v>
      </c>
      <c r="G1334">
        <f>'2020_5-2-2_Download'!AX42</f>
        <v>31.008717310087174</v>
      </c>
    </row>
    <row r="1335" spans="1:7">
      <c r="A1335">
        <f>'2020_5-2-2_Download'!B43</f>
        <v>401</v>
      </c>
      <c r="B1335">
        <f>'2020_5-2-2_Download'!$AT$5</f>
        <v>2014</v>
      </c>
      <c r="C1335" t="str">
        <f>VLOOKUP(A2739,[1]Tabelle1!$A$1:$B$68,2,FALSE)</f>
        <v>Niedersachsen</v>
      </c>
      <c r="D1335" t="str">
        <f>'2020_5-2-2_Download'!$AX$7</f>
        <v>mittel</v>
      </c>
      <c r="E1335" t="s">
        <v>362</v>
      </c>
      <c r="F1335" s="266" t="str">
        <f>VLOOKUP(A2739,[2]Kreise!$A$2:$C$53,3,FALSE)</f>
        <v>K030</v>
      </c>
      <c r="G1335">
        <f>'2020_5-2-2_Download'!AX43</f>
        <v>27.113970588235293</v>
      </c>
    </row>
    <row r="1336" spans="1:7">
      <c r="A1336">
        <f>'2020_5-2-2_Download'!B44</f>
        <v>402</v>
      </c>
      <c r="B1336">
        <f>'2020_5-2-2_Download'!$AT$5</f>
        <v>2014</v>
      </c>
      <c r="C1336" t="str">
        <f>VLOOKUP(A2740,[1]Tabelle1!$A$1:$B$68,2,FALSE)</f>
        <v>Niedersachsen</v>
      </c>
      <c r="D1336" t="str">
        <f>'2020_5-2-2_Download'!$AX$7</f>
        <v>mittel</v>
      </c>
      <c r="E1336" t="s">
        <v>362</v>
      </c>
      <c r="F1336" s="266" t="str">
        <f>VLOOKUP(A2740,[2]Kreise!$A$2:$C$53,3,FALSE)</f>
        <v>K030</v>
      </c>
      <c r="G1336">
        <f>'2020_5-2-2_Download'!AX44</f>
        <v>40.243902439024396</v>
      </c>
    </row>
    <row r="1337" spans="1:7">
      <c r="A1337">
        <f>'2020_5-2-2_Download'!B45</f>
        <v>403</v>
      </c>
      <c r="B1337">
        <f>'2020_5-2-2_Download'!$AT$5</f>
        <v>2014</v>
      </c>
      <c r="C1337" t="str">
        <f>VLOOKUP(A2741,[1]Tabelle1!$A$1:$B$68,2,FALSE)</f>
        <v>Niedersachsen</v>
      </c>
      <c r="D1337" t="str">
        <f>'2020_5-2-2_Download'!$AX$7</f>
        <v>mittel</v>
      </c>
      <c r="E1337" t="s">
        <v>362</v>
      </c>
      <c r="F1337" s="266" t="str">
        <f>VLOOKUP(A2741,[2]Kreise!$A$2:$C$53,3,FALSE)</f>
        <v>K030</v>
      </c>
      <c r="G1337">
        <f>'2020_5-2-2_Download'!AX45</f>
        <v>27.943700652248545</v>
      </c>
    </row>
    <row r="1338" spans="1:7">
      <c r="A1338">
        <f>'2020_5-2-2_Download'!B46</f>
        <v>404</v>
      </c>
      <c r="B1338">
        <f>'2020_5-2-2_Download'!$AT$5</f>
        <v>2014</v>
      </c>
      <c r="C1338" t="str">
        <f>VLOOKUP(A2742,[1]Tabelle1!$A$1:$B$68,2,FALSE)</f>
        <v>Niedersachsen</v>
      </c>
      <c r="D1338" t="str">
        <f>'2020_5-2-2_Download'!$AX$7</f>
        <v>mittel</v>
      </c>
      <c r="E1338" t="s">
        <v>362</v>
      </c>
      <c r="F1338" s="266" t="str">
        <f>VLOOKUP(A2742,[2]Kreise!$A$2:$C$53,3,FALSE)</f>
        <v>K030</v>
      </c>
      <c r="G1338">
        <f>'2020_5-2-2_Download'!AX46</f>
        <v>33.511798532619473</v>
      </c>
    </row>
    <row r="1339" spans="1:7">
      <c r="A1339">
        <f>'2020_5-2-2_Download'!B47</f>
        <v>405</v>
      </c>
      <c r="B1339">
        <f>'2020_5-2-2_Download'!$AT$5</f>
        <v>2014</v>
      </c>
      <c r="C1339" t="str">
        <f>VLOOKUP(A2743,[1]Tabelle1!$A$1:$B$68,2,FALSE)</f>
        <v>Niedersachsen</v>
      </c>
      <c r="D1339" t="str">
        <f>'2020_5-2-2_Download'!$AX$7</f>
        <v>mittel</v>
      </c>
      <c r="E1339" t="s">
        <v>362</v>
      </c>
      <c r="F1339" s="266" t="str">
        <f>VLOOKUP(A2743,[2]Kreise!$A$2:$C$53,3,FALSE)</f>
        <v>K030</v>
      </c>
      <c r="G1339">
        <f>'2020_5-2-2_Download'!AX47</f>
        <v>35.62176165803109</v>
      </c>
    </row>
    <row r="1340" spans="1:7">
      <c r="A1340">
        <f>'2020_5-2-2_Download'!B48</f>
        <v>451</v>
      </c>
      <c r="B1340">
        <f>'2020_5-2-2_Download'!$AT$5</f>
        <v>2014</v>
      </c>
      <c r="C1340" t="str">
        <f>VLOOKUP(A2744,[1]Tabelle1!$A$1:$B$68,2,FALSE)</f>
        <v>Niedersachsen</v>
      </c>
      <c r="D1340" t="str">
        <f>'2020_5-2-2_Download'!$AX$7</f>
        <v>mittel</v>
      </c>
      <c r="E1340" t="s">
        <v>362</v>
      </c>
      <c r="F1340" s="266" t="str">
        <f>VLOOKUP(A2744,[2]Kreise!$A$2:$C$53,3,FALSE)</f>
        <v>K030</v>
      </c>
      <c r="G1340">
        <f>'2020_5-2-2_Download'!AX48</f>
        <v>28.04878048780488</v>
      </c>
    </row>
    <row r="1341" spans="1:7">
      <c r="A1341">
        <f>'2020_5-2-2_Download'!B49</f>
        <v>452</v>
      </c>
      <c r="B1341">
        <f>'2020_5-2-2_Download'!$AT$5</f>
        <v>2014</v>
      </c>
      <c r="C1341" t="str">
        <f>VLOOKUP(A2745,[1]Tabelle1!$A$1:$B$68,2,FALSE)</f>
        <v>Niedersachsen</v>
      </c>
      <c r="D1341" t="str">
        <f>'2020_5-2-2_Download'!$AX$7</f>
        <v>mittel</v>
      </c>
      <c r="E1341" t="s">
        <v>362</v>
      </c>
      <c r="F1341" s="266" t="str">
        <f>VLOOKUP(A2745,[2]Kreise!$A$2:$C$53,3,FALSE)</f>
        <v>K030</v>
      </c>
      <c r="G1341">
        <f>'2020_5-2-2_Download'!AX49</f>
        <v>27.126099706744867</v>
      </c>
    </row>
    <row r="1342" spans="1:7">
      <c r="A1342">
        <f>'2020_5-2-2_Download'!B50</f>
        <v>453</v>
      </c>
      <c r="B1342">
        <f>'2020_5-2-2_Download'!$AT$5</f>
        <v>2014</v>
      </c>
      <c r="C1342" t="str">
        <f>VLOOKUP(A2746,[1]Tabelle1!$A$1:$B$68,2,FALSE)</f>
        <v>Niedersachsen</v>
      </c>
      <c r="D1342" t="str">
        <f>'2020_5-2-2_Download'!$AX$7</f>
        <v>mittel</v>
      </c>
      <c r="E1342" t="s">
        <v>362</v>
      </c>
      <c r="F1342" s="266" t="str">
        <f>VLOOKUP(A2746,[2]Kreise!$A$2:$C$53,3,FALSE)</f>
        <v>K030</v>
      </c>
      <c r="G1342">
        <f>'2020_5-2-2_Download'!AX50</f>
        <v>20.419305525223848</v>
      </c>
    </row>
    <row r="1343" spans="1:7">
      <c r="A1343">
        <f>'2020_5-2-2_Download'!B51</f>
        <v>454</v>
      </c>
      <c r="B1343">
        <f>'2020_5-2-2_Download'!$AT$5</f>
        <v>2014</v>
      </c>
      <c r="C1343" t="str">
        <f>VLOOKUP(A2747,[1]Tabelle1!$A$1:$B$68,2,FALSE)</f>
        <v>Niedersachsen</v>
      </c>
      <c r="D1343" t="str">
        <f>'2020_5-2-2_Download'!$AX$7</f>
        <v>mittel</v>
      </c>
      <c r="E1343" t="s">
        <v>362</v>
      </c>
      <c r="F1343" s="266" t="str">
        <f>VLOOKUP(A2747,[2]Kreise!$A$2:$C$53,3,FALSE)</f>
        <v>K030</v>
      </c>
      <c r="G1343">
        <f>'2020_5-2-2_Download'!AX51</f>
        <v>35.587188612099645</v>
      </c>
    </row>
    <row r="1344" spans="1:7">
      <c r="A1344">
        <f>'2020_5-2-2_Download'!B52</f>
        <v>455</v>
      </c>
      <c r="B1344">
        <f>'2020_5-2-2_Download'!$AT$5</f>
        <v>2014</v>
      </c>
      <c r="C1344" t="str">
        <f>VLOOKUP(A2748,[1]Tabelle1!$A$1:$B$68,2,FALSE)</f>
        <v>Niedersachsen</v>
      </c>
      <c r="D1344" t="str">
        <f>'2020_5-2-2_Download'!$AX$7</f>
        <v>mittel</v>
      </c>
      <c r="E1344" t="s">
        <v>362</v>
      </c>
      <c r="F1344" s="266" t="str">
        <f>VLOOKUP(A2748,[2]Kreise!$A$2:$C$53,3,FALSE)</f>
        <v>K030</v>
      </c>
      <c r="G1344">
        <f>'2020_5-2-2_Download'!AX52</f>
        <v>33.177570093457945</v>
      </c>
    </row>
    <row r="1345" spans="1:7">
      <c r="A1345">
        <f>'2020_5-2-2_Download'!B53</f>
        <v>456</v>
      </c>
      <c r="B1345">
        <f>'2020_5-2-2_Download'!$AT$5</f>
        <v>2014</v>
      </c>
      <c r="C1345" t="str">
        <f>VLOOKUP(A2749,[1]Tabelle1!$A$1:$B$68,2,FALSE)</f>
        <v>Niedersachsen</v>
      </c>
      <c r="D1345" t="str">
        <f>'2020_5-2-2_Download'!$AX$7</f>
        <v>mittel</v>
      </c>
      <c r="E1345" t="s">
        <v>362</v>
      </c>
      <c r="F1345" s="266" t="str">
        <f>VLOOKUP(A2749,[2]Kreise!$A$2:$C$53,3,FALSE)</f>
        <v>K030</v>
      </c>
      <c r="G1345">
        <f>'2020_5-2-2_Download'!AX53</f>
        <v>42.631898120072769</v>
      </c>
    </row>
    <row r="1346" spans="1:7">
      <c r="A1346">
        <f>'2020_5-2-2_Download'!B54</f>
        <v>457</v>
      </c>
      <c r="B1346">
        <f>'2020_5-2-2_Download'!$AT$5</f>
        <v>2014</v>
      </c>
      <c r="C1346" t="str">
        <f>VLOOKUP(A2750,[1]Tabelle1!$A$1:$B$68,2,FALSE)</f>
        <v>Niedersachsen</v>
      </c>
      <c r="D1346" t="str">
        <f>'2020_5-2-2_Download'!$AX$7</f>
        <v>mittel</v>
      </c>
      <c r="E1346" t="s">
        <v>362</v>
      </c>
      <c r="F1346" s="266" t="str">
        <f>VLOOKUP(A2750,[2]Kreise!$A$2:$C$53,3,FALSE)</f>
        <v>K030</v>
      </c>
      <c r="G1346">
        <f>'2020_5-2-2_Download'!AX54</f>
        <v>33.243823845327604</v>
      </c>
    </row>
    <row r="1347" spans="1:7">
      <c r="A1347">
        <f>'2020_5-2-2_Download'!B55</f>
        <v>458</v>
      </c>
      <c r="B1347">
        <f>'2020_5-2-2_Download'!$AT$5</f>
        <v>2014</v>
      </c>
      <c r="C1347" t="str">
        <f>VLOOKUP(A2751,[1]Tabelle1!$A$1:$B$68,2,FALSE)</f>
        <v>Niedersachsen</v>
      </c>
      <c r="D1347" t="str">
        <f>'2020_5-2-2_Download'!$AX$7</f>
        <v>mittel</v>
      </c>
      <c r="E1347" t="s">
        <v>362</v>
      </c>
      <c r="F1347" s="266" t="str">
        <f>VLOOKUP(A2751,[2]Kreise!$A$2:$C$53,3,FALSE)</f>
        <v>K030</v>
      </c>
      <c r="G1347">
        <f>'2020_5-2-2_Download'!AX55</f>
        <v>23.112480739599384</v>
      </c>
    </row>
    <row r="1348" spans="1:7">
      <c r="A1348">
        <f>'2020_5-2-2_Download'!B56</f>
        <v>459</v>
      </c>
      <c r="B1348">
        <f>'2020_5-2-2_Download'!$AT$5</f>
        <v>2014</v>
      </c>
      <c r="C1348" t="str">
        <f>VLOOKUP(A2752,[1]Tabelle1!$A$1:$B$68,2,FALSE)</f>
        <v>Niedersachsen</v>
      </c>
      <c r="D1348" t="str">
        <f>'2020_5-2-2_Download'!$AX$7</f>
        <v>mittel</v>
      </c>
      <c r="E1348" t="s">
        <v>362</v>
      </c>
      <c r="F1348" s="266" t="str">
        <f>VLOOKUP(A2752,[2]Kreise!$A$2:$C$53,3,FALSE)</f>
        <v>K030</v>
      </c>
      <c r="G1348">
        <f>'2020_5-2-2_Download'!AX56</f>
        <v>24.786129804950381</v>
      </c>
    </row>
    <row r="1349" spans="1:7">
      <c r="A1349">
        <f>'2020_5-2-2_Download'!B57</f>
        <v>460</v>
      </c>
      <c r="B1349">
        <f>'2020_5-2-2_Download'!$AT$5</f>
        <v>2014</v>
      </c>
      <c r="C1349" t="str">
        <f>VLOOKUP(A2753,[1]Tabelle1!$A$1:$B$68,2,FALSE)</f>
        <v>Niedersachsen</v>
      </c>
      <c r="D1349" t="str">
        <f>'2020_5-2-2_Download'!$AX$7</f>
        <v>mittel</v>
      </c>
      <c r="E1349" t="s">
        <v>362</v>
      </c>
      <c r="F1349" s="266" t="str">
        <f>VLOOKUP(A2753,[2]Kreise!$A$2:$C$53,3,FALSE)</f>
        <v>K030</v>
      </c>
      <c r="G1349">
        <f>'2020_5-2-2_Download'!AX57</f>
        <v>17.293934681181959</v>
      </c>
    </row>
    <row r="1350" spans="1:7">
      <c r="A1350">
        <f>'2020_5-2-2_Download'!B58</f>
        <v>461</v>
      </c>
      <c r="B1350">
        <f>'2020_5-2-2_Download'!$AT$5</f>
        <v>2014</v>
      </c>
      <c r="C1350" t="str">
        <f>VLOOKUP(A2754,[1]Tabelle1!$A$1:$B$68,2,FALSE)</f>
        <v>Niedersachsen</v>
      </c>
      <c r="D1350" t="str">
        <f>'2020_5-2-2_Download'!$AX$7</f>
        <v>mittel</v>
      </c>
      <c r="E1350" t="s">
        <v>362</v>
      </c>
      <c r="F1350" s="266" t="str">
        <f>VLOOKUP(A2754,[2]Kreise!$A$2:$C$53,3,FALSE)</f>
        <v>K030</v>
      </c>
      <c r="G1350">
        <f>'2020_5-2-2_Download'!AX58</f>
        <v>41.127819548872182</v>
      </c>
    </row>
    <row r="1351" spans="1:7">
      <c r="A1351">
        <f>'2020_5-2-2_Download'!B59</f>
        <v>462</v>
      </c>
      <c r="B1351">
        <f>'2020_5-2-2_Download'!$AT$5</f>
        <v>2014</v>
      </c>
      <c r="C1351" t="str">
        <f>VLOOKUP(A2755,[1]Tabelle1!$A$1:$B$68,2,FALSE)</f>
        <v>Niedersachsen</v>
      </c>
      <c r="D1351" t="str">
        <f>'2020_5-2-2_Download'!$AX$7</f>
        <v>mittel</v>
      </c>
      <c r="E1351" t="s">
        <v>362</v>
      </c>
      <c r="F1351" s="266" t="str">
        <f>VLOOKUP(A2755,[2]Kreise!$A$2:$C$53,3,FALSE)</f>
        <v>K030</v>
      </c>
      <c r="G1351">
        <f>'2020_5-2-2_Download'!AX59</f>
        <v>20.136518771331058</v>
      </c>
    </row>
    <row r="1352" spans="1:7">
      <c r="A1352">
        <f>'2020_5-2-2_Download'!B60</f>
        <v>4</v>
      </c>
      <c r="B1352">
        <f>'2020_5-2-2_Download'!$AT$5</f>
        <v>2014</v>
      </c>
      <c r="C1352" t="str">
        <f>VLOOKUP(A2756,[1]Tabelle1!$A$1:$B$68,2,FALSE)</f>
        <v>Niedersachsen</v>
      </c>
      <c r="D1352" t="str">
        <f>'2020_5-2-2_Download'!$AX$7</f>
        <v>mittel</v>
      </c>
      <c r="E1352" t="s">
        <v>362</v>
      </c>
      <c r="F1352" s="266" t="str">
        <f>VLOOKUP(A2756,[2]Kreise!$A$2:$C$53,3,FALSE)</f>
        <v>K030</v>
      </c>
      <c r="G1352">
        <f>'2020_5-2-2_Download'!AX60</f>
        <v>28.430472245559873</v>
      </c>
    </row>
    <row r="1353" spans="1:7">
      <c r="A1353">
        <f>'2020_5-2-2_Download'!B61</f>
        <v>0</v>
      </c>
      <c r="B1353">
        <f>'2020_5-2-2_Download'!$AT$5</f>
        <v>2014</v>
      </c>
      <c r="C1353" t="str">
        <f>VLOOKUP(A2757,[1]Tabelle1!$A$1:$B$68,2,FALSE)</f>
        <v>Niedersachsen</v>
      </c>
      <c r="D1353" t="str">
        <f>'2020_5-2-2_Download'!$AX$7</f>
        <v>mittel</v>
      </c>
      <c r="E1353" t="s">
        <v>362</v>
      </c>
      <c r="F1353" s="266" t="str">
        <f>VLOOKUP(A2757,[2]Kreise!$A$2:$C$53,3,FALSE)</f>
        <v>K030</v>
      </c>
      <c r="G1353">
        <f>'2020_5-2-2_Download'!AX61</f>
        <v>31.727739489574308</v>
      </c>
    </row>
    <row r="1354" spans="1:7">
      <c r="A1354">
        <f>'2020_5-2-2_Download'!B10</f>
        <v>101</v>
      </c>
      <c r="B1354">
        <f>'2020_5-2-2_Download'!$AT$5</f>
        <v>2014</v>
      </c>
      <c r="C1354" t="str">
        <f>VLOOKUP(A2758,[1]Tabelle1!$A$1:$B$68,2,FALSE)</f>
        <v>Niedersachsen</v>
      </c>
      <c r="D1354" t="str">
        <f>'2020_5-2-2_Download'!$AY$7</f>
        <v>niedrig</v>
      </c>
      <c r="E1354" t="s">
        <v>362</v>
      </c>
      <c r="F1354" s="266" t="str">
        <f>VLOOKUP(A2758,[2]Kreise!$A$2:$C$53,3,FALSE)</f>
        <v>K030</v>
      </c>
      <c r="G1354">
        <f>'2020_5-2-2_Download'!AY10</f>
        <v>18.990458602646967</v>
      </c>
    </row>
    <row r="1355" spans="1:7">
      <c r="A1355">
        <f>'2020_5-2-2_Download'!B11</f>
        <v>102</v>
      </c>
      <c r="B1355">
        <f>'2020_5-2-2_Download'!$AT$5</f>
        <v>2014</v>
      </c>
      <c r="C1355" t="str">
        <f>VLOOKUP(A2759,[1]Tabelle1!$A$1:$B$68,2,FALSE)</f>
        <v>Niedersachsen</v>
      </c>
      <c r="D1355" t="str">
        <f>'2020_5-2-2_Download'!$AY$7</f>
        <v>niedrig</v>
      </c>
      <c r="E1355" t="s">
        <v>362</v>
      </c>
      <c r="F1355" s="266" t="str">
        <f>VLOOKUP(A2759,[2]Kreise!$A$2:$C$53,3,FALSE)</f>
        <v>K030</v>
      </c>
      <c r="G1355">
        <f>'2020_5-2-2_Download'!AY11</f>
        <v>21.582733812949641</v>
      </c>
    </row>
    <row r="1356" spans="1:7">
      <c r="A1356">
        <f>'2020_5-2-2_Download'!B12</f>
        <v>103</v>
      </c>
      <c r="B1356">
        <f>'2020_5-2-2_Download'!$AT$5</f>
        <v>2014</v>
      </c>
      <c r="C1356" t="str">
        <f>VLOOKUP(A2760,[1]Tabelle1!$A$1:$B$68,2,FALSE)</f>
        <v>Niedersachsen</v>
      </c>
      <c r="D1356" t="str">
        <f>'2020_5-2-2_Download'!$AY$7</f>
        <v>niedrig</v>
      </c>
      <c r="E1356" t="s">
        <v>362</v>
      </c>
      <c r="F1356" s="266" t="str">
        <f>VLOOKUP(A2760,[2]Kreise!$A$2:$C$53,3,FALSE)</f>
        <v>K030</v>
      </c>
      <c r="G1356">
        <f>'2020_5-2-2_Download'!AY12</f>
        <v>11.1493374108053</v>
      </c>
    </row>
    <row r="1357" spans="1:7">
      <c r="A1357">
        <f>'2020_5-2-2_Download'!B13</f>
        <v>151</v>
      </c>
      <c r="B1357">
        <f>'2020_5-2-2_Download'!$AT$5</f>
        <v>2014</v>
      </c>
      <c r="C1357" t="str">
        <f>VLOOKUP(A2761,[1]Tabelle1!$A$1:$B$68,2,FALSE)</f>
        <v>Niedersachsen</v>
      </c>
      <c r="D1357" t="str">
        <f>'2020_5-2-2_Download'!$AY$7</f>
        <v>niedrig</v>
      </c>
      <c r="E1357" t="s">
        <v>362</v>
      </c>
      <c r="F1357" s="266" t="str">
        <f>VLOOKUP(A2761,[2]Kreise!$A$2:$C$53,3,FALSE)</f>
        <v>K030</v>
      </c>
      <c r="G1357">
        <f>'2020_5-2-2_Download'!AY13</f>
        <v>26.435592343507501</v>
      </c>
    </row>
    <row r="1358" spans="1:7">
      <c r="A1358">
        <f>'2020_5-2-2_Download'!B14</f>
        <v>153</v>
      </c>
      <c r="B1358">
        <f>'2020_5-2-2_Download'!$AT$5</f>
        <v>2014</v>
      </c>
      <c r="C1358" t="str">
        <f>VLOOKUP(A2762,[1]Tabelle1!$A$1:$B$68,2,FALSE)</f>
        <v>Niedersachsen</v>
      </c>
      <c r="D1358" t="str">
        <f>'2020_5-2-2_Download'!$AY$7</f>
        <v>niedrig</v>
      </c>
      <c r="E1358" t="s">
        <v>362</v>
      </c>
      <c r="F1358" s="266" t="str">
        <f>VLOOKUP(A2762,[2]Kreise!$A$2:$C$53,3,FALSE)</f>
        <v>K030</v>
      </c>
      <c r="G1358">
        <f>'2020_5-2-2_Download'!AY14</f>
        <v>18.809126321647192</v>
      </c>
    </row>
    <row r="1359" spans="1:7">
      <c r="A1359">
        <f>'2020_5-2-2_Download'!B15</f>
        <v>154</v>
      </c>
      <c r="B1359">
        <f>'2020_5-2-2_Download'!$AT$5</f>
        <v>2014</v>
      </c>
      <c r="C1359" t="str">
        <f>VLOOKUP(A2763,[1]Tabelle1!$A$1:$B$68,2,FALSE)</f>
        <v>Niedersachsen</v>
      </c>
      <c r="D1359" t="str">
        <f>'2020_5-2-2_Download'!$AY$7</f>
        <v>niedrig</v>
      </c>
      <c r="E1359" t="s">
        <v>362</v>
      </c>
      <c r="F1359" s="266" t="str">
        <f>VLOOKUP(A2763,[2]Kreise!$A$2:$C$53,3,FALSE)</f>
        <v>K030</v>
      </c>
      <c r="G1359">
        <f>'2020_5-2-2_Download'!AY15</f>
        <v>24.260355029585799</v>
      </c>
    </row>
    <row r="1360" spans="1:7">
      <c r="A1360">
        <f>'2020_5-2-2_Download'!B16</f>
        <v>155</v>
      </c>
      <c r="B1360">
        <f>'2020_5-2-2_Download'!$AT$5</f>
        <v>2014</v>
      </c>
      <c r="C1360" t="str">
        <f>VLOOKUP(A2764,[1]Tabelle1!$A$1:$B$68,2,FALSE)</f>
        <v>Niedersachsen</v>
      </c>
      <c r="D1360" t="str">
        <f>'2020_5-2-2_Download'!$AY$7</f>
        <v>niedrig</v>
      </c>
      <c r="E1360" t="s">
        <v>362</v>
      </c>
      <c r="F1360" s="266" t="str">
        <f>VLOOKUP(A2764,[2]Kreise!$A$2:$C$53,3,FALSE)</f>
        <v>K030</v>
      </c>
      <c r="G1360">
        <f>'2020_5-2-2_Download'!AY16</f>
        <v>17.405232247730911</v>
      </c>
    </row>
    <row r="1361" spans="1:7">
      <c r="A1361">
        <f>'2020_5-2-2_Download'!B17</f>
        <v>157</v>
      </c>
      <c r="B1361">
        <f>'2020_5-2-2_Download'!$AT$5</f>
        <v>2014</v>
      </c>
      <c r="C1361" t="str">
        <f>VLOOKUP(A2765,[1]Tabelle1!$A$1:$B$68,2,FALSE)</f>
        <v>Niedersachsen</v>
      </c>
      <c r="D1361" t="str">
        <f>'2020_5-2-2_Download'!$AY$7</f>
        <v>niedrig</v>
      </c>
      <c r="E1361" t="s">
        <v>362</v>
      </c>
      <c r="F1361" s="266" t="str">
        <f>VLOOKUP(A2765,[2]Kreise!$A$2:$C$53,3,FALSE)</f>
        <v>K030</v>
      </c>
      <c r="G1361">
        <f>'2020_5-2-2_Download'!AY17</f>
        <v>27.974504249291787</v>
      </c>
    </row>
    <row r="1362" spans="1:7">
      <c r="A1362">
        <f>'2020_5-2-2_Download'!B18</f>
        <v>158</v>
      </c>
      <c r="B1362">
        <f>'2020_5-2-2_Download'!$AT$5</f>
        <v>2014</v>
      </c>
      <c r="C1362" t="str">
        <f>VLOOKUP(A2766,[1]Tabelle1!$A$1:$B$68,2,FALSE)</f>
        <v>Niedersachsen</v>
      </c>
      <c r="D1362" t="str">
        <f>'2020_5-2-2_Download'!$AY$7</f>
        <v>niedrig</v>
      </c>
      <c r="E1362" t="s">
        <v>362</v>
      </c>
      <c r="F1362" s="266" t="str">
        <f>VLOOKUP(A2766,[2]Kreise!$A$2:$C$53,3,FALSE)</f>
        <v>K030</v>
      </c>
      <c r="G1362">
        <f>'2020_5-2-2_Download'!AY18</f>
        <v>18.494897959183675</v>
      </c>
    </row>
    <row r="1363" spans="1:7">
      <c r="A1363">
        <f>'2020_5-2-2_Download'!B19</f>
        <v>159</v>
      </c>
      <c r="B1363">
        <f>'2020_5-2-2_Download'!$AT$5</f>
        <v>2014</v>
      </c>
      <c r="C1363" t="str">
        <f>VLOOKUP(A2767,[1]Tabelle1!$A$1:$B$68,2,FALSE)</f>
        <v>Niedersachsen</v>
      </c>
      <c r="D1363" t="str">
        <f>'2020_5-2-2_Download'!$AY$7</f>
        <v>niedrig</v>
      </c>
      <c r="E1363" t="s">
        <v>362</v>
      </c>
      <c r="F1363" s="266" t="str">
        <f>VLOOKUP(A2767,[2]Kreise!$A$2:$C$53,3,FALSE)</f>
        <v>K030</v>
      </c>
      <c r="G1363">
        <f>'2020_5-2-2_Download'!AY19</f>
        <v>22.402826855123674</v>
      </c>
    </row>
    <row r="1364" spans="1:7">
      <c r="A1364">
        <f>'2020_5-2-2_Download'!B20</f>
        <v>1</v>
      </c>
      <c r="B1364">
        <f>'2020_5-2-2_Download'!$AT$5</f>
        <v>2014</v>
      </c>
      <c r="C1364" t="str">
        <f>VLOOKUP(A2768,[1]Tabelle1!$A$1:$B$68,2,FALSE)</f>
        <v>Niedersachsen</v>
      </c>
      <c r="D1364" t="str">
        <f>'2020_5-2-2_Download'!$AY$7</f>
        <v>niedrig</v>
      </c>
      <c r="E1364" t="s">
        <v>362</v>
      </c>
      <c r="F1364" s="266" t="str">
        <f>VLOOKUP(A2768,[2]Kreise!$A$2:$C$53,3,FALSE)</f>
        <v>K030</v>
      </c>
      <c r="G1364">
        <f>'2020_5-2-2_Download'!AY20</f>
        <v>18.771902131018152</v>
      </c>
    </row>
    <row r="1365" spans="1:7">
      <c r="A1365">
        <f>'2020_5-2-2_Download'!B21</f>
        <v>241</v>
      </c>
      <c r="B1365">
        <f>'2020_5-2-2_Download'!$AT$5</f>
        <v>2014</v>
      </c>
      <c r="C1365" t="str">
        <f>VLOOKUP(A2769,[1]Tabelle1!$A$1:$B$68,2,FALSE)</f>
        <v>Niedersachsen</v>
      </c>
      <c r="D1365" t="str">
        <f>'2020_5-2-2_Download'!$AY$7</f>
        <v>niedrig</v>
      </c>
      <c r="E1365" t="s">
        <v>362</v>
      </c>
      <c r="F1365" s="266" t="str">
        <f>VLOOKUP(A2769,[2]Kreise!$A$2:$C$53,3,FALSE)</f>
        <v>K030</v>
      </c>
      <c r="G1365">
        <f>'2020_5-2-2_Download'!AY21</f>
        <v>24.100144389438942</v>
      </c>
    </row>
    <row r="1366" spans="1:7">
      <c r="A1366">
        <f>'2020_5-2-2_Download'!B22</f>
        <v>241001</v>
      </c>
      <c r="B1366">
        <f>'2020_5-2-2_Download'!$AT$5</f>
        <v>2014</v>
      </c>
      <c r="C1366" t="str">
        <f>VLOOKUP(A2770,[1]Tabelle1!$A$1:$B$68,2,FALSE)</f>
        <v>Niedersachsen</v>
      </c>
      <c r="D1366" t="str">
        <f>'2020_5-2-2_Download'!$AY$7</f>
        <v>niedrig</v>
      </c>
      <c r="E1366" t="s">
        <v>362</v>
      </c>
      <c r="F1366" s="266" t="str">
        <f>VLOOKUP(A2770,[2]Kreise!$A$2:$C$53,3,FALSE)</f>
        <v>K030</v>
      </c>
      <c r="G1366">
        <f>'2020_5-2-2_Download'!AY22</f>
        <v>23.60072423836889</v>
      </c>
    </row>
    <row r="1367" spans="1:7">
      <c r="A1367">
        <f>'2020_5-2-2_Download'!B23</f>
        <v>241999</v>
      </c>
      <c r="B1367">
        <f>'2020_5-2-2_Download'!$AT$5</f>
        <v>2014</v>
      </c>
      <c r="C1367" t="str">
        <f>VLOOKUP(A2771,[1]Tabelle1!$A$1:$B$68,2,FALSE)</f>
        <v>Niedersachsen</v>
      </c>
      <c r="D1367" t="str">
        <f>'2020_5-2-2_Download'!$AY$7</f>
        <v>niedrig</v>
      </c>
      <c r="E1367" t="s">
        <v>362</v>
      </c>
      <c r="F1367" s="266" t="str">
        <f>VLOOKUP(A2771,[2]Kreise!$A$2:$C$53,3,FALSE)</f>
        <v>K030</v>
      </c>
      <c r="G1367">
        <f>'2020_5-2-2_Download'!AY23</f>
        <v>25.04858723277022</v>
      </c>
    </row>
    <row r="1368" spans="1:7">
      <c r="A1368">
        <f>'2020_5-2-2_Download'!B24</f>
        <v>251</v>
      </c>
      <c r="B1368">
        <f>'2020_5-2-2_Download'!$AT$5</f>
        <v>2014</v>
      </c>
      <c r="C1368" t="str">
        <f>VLOOKUP(A2772,[1]Tabelle1!$A$1:$B$68,2,FALSE)</f>
        <v>Niedersachsen</v>
      </c>
      <c r="D1368" t="str">
        <f>'2020_5-2-2_Download'!$AY$7</f>
        <v>niedrig</v>
      </c>
      <c r="E1368" t="s">
        <v>362</v>
      </c>
      <c r="F1368" s="266" t="str">
        <f>VLOOKUP(A2772,[2]Kreise!$A$2:$C$53,3,FALSE)</f>
        <v>K030</v>
      </c>
      <c r="G1368">
        <f>'2020_5-2-2_Download'!AY24</f>
        <v>20.914816042426253</v>
      </c>
    </row>
    <row r="1369" spans="1:7">
      <c r="A1369">
        <f>'2020_5-2-2_Download'!B25</f>
        <v>252</v>
      </c>
      <c r="B1369">
        <f>'2020_5-2-2_Download'!$AT$5</f>
        <v>2014</v>
      </c>
      <c r="C1369" t="str">
        <f>VLOOKUP(A2773,[1]Tabelle1!$A$1:$B$68,2,FALSE)</f>
        <v>Niedersachsen</v>
      </c>
      <c r="D1369" t="str">
        <f>'2020_5-2-2_Download'!$AY$7</f>
        <v>niedrig</v>
      </c>
      <c r="E1369" t="s">
        <v>362</v>
      </c>
      <c r="F1369" s="266" t="str">
        <f>VLOOKUP(A2773,[2]Kreise!$A$2:$C$53,3,FALSE)</f>
        <v>K030</v>
      </c>
      <c r="G1369">
        <f>'2020_5-2-2_Download'!AY25</f>
        <v>20.881763527054108</v>
      </c>
    </row>
    <row r="1370" spans="1:7">
      <c r="A1370">
        <f>'2020_5-2-2_Download'!B26</f>
        <v>254</v>
      </c>
      <c r="B1370">
        <f>'2020_5-2-2_Download'!$AT$5</f>
        <v>2014</v>
      </c>
      <c r="C1370" t="str">
        <f>VLOOKUP(A2774,[1]Tabelle1!$A$1:$B$68,2,FALSE)</f>
        <v>Niedersachsen</v>
      </c>
      <c r="D1370" t="str">
        <f>'2020_5-2-2_Download'!$AY$7</f>
        <v>niedrig</v>
      </c>
      <c r="E1370" t="s">
        <v>362</v>
      </c>
      <c r="F1370" s="266" t="str">
        <f>VLOOKUP(A2774,[2]Kreise!$A$2:$C$53,3,FALSE)</f>
        <v>K030</v>
      </c>
      <c r="G1370">
        <f>'2020_5-2-2_Download'!AY26</f>
        <v>23.664122137404579</v>
      </c>
    </row>
    <row r="1371" spans="1:7">
      <c r="A1371">
        <f>'2020_5-2-2_Download'!B27</f>
        <v>255</v>
      </c>
      <c r="B1371">
        <f>'2020_5-2-2_Download'!$AT$5</f>
        <v>2014</v>
      </c>
      <c r="C1371" t="str">
        <f>VLOOKUP(A2775,[1]Tabelle1!$A$1:$B$68,2,FALSE)</f>
        <v>Niedersachsen</v>
      </c>
      <c r="D1371" t="str">
        <f>'2020_5-2-2_Download'!$AY$7</f>
        <v>niedrig</v>
      </c>
      <c r="E1371" t="s">
        <v>362</v>
      </c>
      <c r="F1371" s="266" t="str">
        <f>VLOOKUP(A2775,[2]Kreise!$A$2:$C$53,3,FALSE)</f>
        <v>K030</v>
      </c>
      <c r="G1371">
        <f>'2020_5-2-2_Download'!AY27</f>
        <v>31.135531135531135</v>
      </c>
    </row>
    <row r="1372" spans="1:7">
      <c r="A1372">
        <f>'2020_5-2-2_Download'!B28</f>
        <v>256</v>
      </c>
      <c r="B1372">
        <f>'2020_5-2-2_Download'!$AT$5</f>
        <v>2014</v>
      </c>
      <c r="C1372" t="str">
        <f>VLOOKUP(A2776,[1]Tabelle1!$A$1:$B$68,2,FALSE)</f>
        <v>Niedersachsen</v>
      </c>
      <c r="D1372" t="str">
        <f>'2020_5-2-2_Download'!$AY$7</f>
        <v>niedrig</v>
      </c>
      <c r="E1372" t="s">
        <v>362</v>
      </c>
      <c r="F1372" s="266" t="str">
        <f>VLOOKUP(A2776,[2]Kreise!$A$2:$C$53,3,FALSE)</f>
        <v>K030</v>
      </c>
      <c r="G1372">
        <f>'2020_5-2-2_Download'!AY28</f>
        <v>25.611111111111111</v>
      </c>
    </row>
    <row r="1373" spans="1:7">
      <c r="A1373">
        <f>'2020_5-2-2_Download'!B29</f>
        <v>257</v>
      </c>
      <c r="B1373">
        <f>'2020_5-2-2_Download'!$AT$5</f>
        <v>2014</v>
      </c>
      <c r="C1373" t="str">
        <f>VLOOKUP(A2777,[1]Tabelle1!$A$1:$B$68,2,FALSE)</f>
        <v>Niedersachsen</v>
      </c>
      <c r="D1373" t="str">
        <f>'2020_5-2-2_Download'!$AY$7</f>
        <v>niedrig</v>
      </c>
      <c r="E1373" t="s">
        <v>362</v>
      </c>
      <c r="F1373" s="266" t="str">
        <f>VLOOKUP(A2777,[2]Kreise!$A$2:$C$53,3,FALSE)</f>
        <v>K030</v>
      </c>
      <c r="G1373">
        <f>'2020_5-2-2_Download'!AY29</f>
        <v>27.447916666666668</v>
      </c>
    </row>
    <row r="1374" spans="1:7">
      <c r="A1374">
        <f>'2020_5-2-2_Download'!B30</f>
        <v>2</v>
      </c>
      <c r="B1374">
        <f>'2020_5-2-2_Download'!$AT$5</f>
        <v>2014</v>
      </c>
      <c r="C1374" t="str">
        <f>VLOOKUP(A2778,[1]Tabelle1!$A$1:$B$68,2,FALSE)</f>
        <v>Niedersachsen</v>
      </c>
      <c r="D1374" t="str">
        <f>'2020_5-2-2_Download'!$AY$7</f>
        <v>niedrig</v>
      </c>
      <c r="E1374" t="s">
        <v>362</v>
      </c>
      <c r="F1374" s="266" t="str">
        <f>VLOOKUP(A2778,[2]Kreise!$A$2:$C$53,3,FALSE)</f>
        <v>K030</v>
      </c>
      <c r="G1374">
        <f>'2020_5-2-2_Download'!AY30</f>
        <v>24.018559535629727</v>
      </c>
    </row>
    <row r="1375" spans="1:7">
      <c r="A1375">
        <f>'2020_5-2-2_Download'!B31</f>
        <v>351</v>
      </c>
      <c r="B1375">
        <f>'2020_5-2-2_Download'!$AT$5</f>
        <v>2014</v>
      </c>
      <c r="C1375" t="str">
        <f>VLOOKUP(A2779,[1]Tabelle1!$A$1:$B$68,2,FALSE)</f>
        <v>Niedersachsen</v>
      </c>
      <c r="D1375" t="str">
        <f>'2020_5-2-2_Download'!$AY$7</f>
        <v>niedrig</v>
      </c>
      <c r="E1375" t="s">
        <v>362</v>
      </c>
      <c r="F1375" s="266" t="str">
        <f>VLOOKUP(A2779,[2]Kreise!$A$2:$C$53,3,FALSE)</f>
        <v>K030</v>
      </c>
      <c r="G1375">
        <f>'2020_5-2-2_Download'!AY31</f>
        <v>23.640256959314776</v>
      </c>
    </row>
    <row r="1376" spans="1:7">
      <c r="A1376">
        <f>'2020_5-2-2_Download'!B32</f>
        <v>352</v>
      </c>
      <c r="B1376">
        <f>'2020_5-2-2_Download'!$AT$5</f>
        <v>2014</v>
      </c>
      <c r="C1376" t="str">
        <f>VLOOKUP(A2780,[1]Tabelle1!$A$1:$B$68,2,FALSE)</f>
        <v>Niedersachsen</v>
      </c>
      <c r="D1376" t="str">
        <f>'2020_5-2-2_Download'!$AY$7</f>
        <v>niedrig</v>
      </c>
      <c r="E1376" t="s">
        <v>362</v>
      </c>
      <c r="F1376" s="266" t="str">
        <f>VLOOKUP(A2780,[2]Kreise!$A$2:$C$53,3,FALSE)</f>
        <v>K030</v>
      </c>
      <c r="G1376">
        <f>'2020_5-2-2_Download'!AY32</f>
        <v>21.103896103896101</v>
      </c>
    </row>
    <row r="1377" spans="1:7">
      <c r="A1377">
        <f>'2020_5-2-2_Download'!B33</f>
        <v>353</v>
      </c>
      <c r="B1377">
        <f>'2020_5-2-2_Download'!$AT$5</f>
        <v>2014</v>
      </c>
      <c r="C1377" t="str">
        <f>VLOOKUP(A2781,[1]Tabelle1!$A$1:$B$68,2,FALSE)</f>
        <v>Niedersachsen</v>
      </c>
      <c r="D1377" t="str">
        <f>'2020_5-2-2_Download'!$AY$7</f>
        <v>niedrig</v>
      </c>
      <c r="E1377" t="s">
        <v>362</v>
      </c>
      <c r="F1377" s="266" t="str">
        <f>VLOOKUP(A2781,[2]Kreise!$A$2:$C$53,3,FALSE)</f>
        <v>K030</v>
      </c>
      <c r="G1377">
        <f>'2020_5-2-2_Download'!AY33</f>
        <v>18.215319821005526</v>
      </c>
    </row>
    <row r="1378" spans="1:7">
      <c r="A1378">
        <f>'2020_5-2-2_Download'!B34</f>
        <v>354</v>
      </c>
      <c r="B1378">
        <f>'2020_5-2-2_Download'!$AT$5</f>
        <v>2014</v>
      </c>
      <c r="C1378" t="str">
        <f>VLOOKUP(A2782,[1]Tabelle1!$A$1:$B$68,2,FALSE)</f>
        <v>Niedersachsen</v>
      </c>
      <c r="D1378" t="str">
        <f>'2020_5-2-2_Download'!$AY$7</f>
        <v>niedrig</v>
      </c>
      <c r="E1378" t="s">
        <v>362</v>
      </c>
      <c r="F1378" s="266" t="str">
        <f>VLOOKUP(A2782,[2]Kreise!$A$2:$C$53,3,FALSE)</f>
        <v>K030</v>
      </c>
      <c r="G1378">
        <f>'2020_5-2-2_Download'!AY34</f>
        <v>13.259668508287293</v>
      </c>
    </row>
    <row r="1379" spans="1:7">
      <c r="A1379">
        <f>'2020_5-2-2_Download'!B35</f>
        <v>355</v>
      </c>
      <c r="B1379">
        <f>'2020_5-2-2_Download'!$AT$5</f>
        <v>2014</v>
      </c>
      <c r="C1379" t="str">
        <f>VLOOKUP(A2783,[1]Tabelle1!$A$1:$B$68,2,FALSE)</f>
        <v>Niedersachsen</v>
      </c>
      <c r="D1379" t="str">
        <f>'2020_5-2-2_Download'!$AY$7</f>
        <v>niedrig</v>
      </c>
      <c r="E1379" t="s">
        <v>362</v>
      </c>
      <c r="F1379" s="266" t="str">
        <f>VLOOKUP(A2783,[2]Kreise!$A$2:$C$53,3,FALSE)</f>
        <v>K030</v>
      </c>
      <c r="G1379">
        <f>'2020_5-2-2_Download'!AY35</f>
        <v>21.562050790608527</v>
      </c>
    </row>
    <row r="1380" spans="1:7">
      <c r="A1380">
        <f>'2020_5-2-2_Download'!B36</f>
        <v>356</v>
      </c>
      <c r="B1380">
        <f>'2020_5-2-2_Download'!$AT$5</f>
        <v>2014</v>
      </c>
      <c r="C1380" t="str">
        <f>VLOOKUP(A2784,[1]Tabelle1!$A$1:$B$68,2,FALSE)</f>
        <v>Niedersachsen</v>
      </c>
      <c r="D1380" t="str">
        <f>'2020_5-2-2_Download'!$AY$7</f>
        <v>niedrig</v>
      </c>
      <c r="E1380" t="s">
        <v>362</v>
      </c>
      <c r="F1380" s="266" t="str">
        <f>VLOOKUP(A2784,[2]Kreise!$A$2:$C$53,3,FALSE)</f>
        <v>K030</v>
      </c>
      <c r="G1380">
        <f>'2020_5-2-2_Download'!AY36</f>
        <v>24.165824064711831</v>
      </c>
    </row>
    <row r="1381" spans="1:7">
      <c r="A1381">
        <f>'2020_5-2-2_Download'!B37</f>
        <v>357</v>
      </c>
      <c r="B1381">
        <f>'2020_5-2-2_Download'!$AT$5</f>
        <v>2014</v>
      </c>
      <c r="C1381" t="str">
        <f>VLOOKUP(A2785,[1]Tabelle1!$A$1:$B$68,2,FALSE)</f>
        <v>Niedersachsen</v>
      </c>
      <c r="D1381" t="str">
        <f>'2020_5-2-2_Download'!$AY$7</f>
        <v>niedrig</v>
      </c>
      <c r="E1381" t="s">
        <v>362</v>
      </c>
      <c r="F1381" s="266" t="str">
        <f>VLOOKUP(A2785,[2]Kreise!$A$2:$C$53,3,FALSE)</f>
        <v>K030</v>
      </c>
      <c r="G1381">
        <f>'2020_5-2-2_Download'!AY37</f>
        <v>18.334985133795836</v>
      </c>
    </row>
    <row r="1382" spans="1:7">
      <c r="A1382">
        <f>'2020_5-2-2_Download'!B38</f>
        <v>358</v>
      </c>
      <c r="B1382">
        <f>'2020_5-2-2_Download'!$AT$5</f>
        <v>2014</v>
      </c>
      <c r="C1382" t="str">
        <f>VLOOKUP(A2786,[1]Tabelle1!$A$1:$B$68,2,FALSE)</f>
        <v>Niedersachsen</v>
      </c>
      <c r="D1382" t="str">
        <f>'2020_5-2-2_Download'!$AY$7</f>
        <v>niedrig</v>
      </c>
      <c r="E1382" t="s">
        <v>362</v>
      </c>
      <c r="F1382" s="266" t="str">
        <f>VLOOKUP(A2786,[2]Kreise!$A$2:$C$53,3,FALSE)</f>
        <v>K030</v>
      </c>
      <c r="G1382">
        <f>'2020_5-2-2_Download'!AY38</f>
        <v>18.562610229276896</v>
      </c>
    </row>
    <row r="1383" spans="1:7">
      <c r="A1383">
        <f>'2020_5-2-2_Download'!B39</f>
        <v>359</v>
      </c>
      <c r="B1383">
        <f>'2020_5-2-2_Download'!$AT$5</f>
        <v>2014</v>
      </c>
      <c r="C1383" t="str">
        <f>VLOOKUP(A2787,[1]Tabelle1!$A$1:$B$68,2,FALSE)</f>
        <v>Niedersachsen</v>
      </c>
      <c r="D1383" t="str">
        <f>'2020_5-2-2_Download'!$AY$7</f>
        <v>niedrig</v>
      </c>
      <c r="E1383" t="s">
        <v>362</v>
      </c>
      <c r="F1383" s="266" t="str">
        <f>VLOOKUP(A2787,[2]Kreise!$A$2:$C$53,3,FALSE)</f>
        <v>K030</v>
      </c>
      <c r="G1383">
        <f>'2020_5-2-2_Download'!AY39</f>
        <v>11.422413793103448</v>
      </c>
    </row>
    <row r="1384" spans="1:7">
      <c r="A1384">
        <f>'2020_5-2-2_Download'!B40</f>
        <v>360</v>
      </c>
      <c r="B1384">
        <f>'2020_5-2-2_Download'!$AT$5</f>
        <v>2014</v>
      </c>
      <c r="C1384" t="str">
        <f>VLOOKUP(A2788,[1]Tabelle1!$A$1:$B$68,2,FALSE)</f>
        <v>Niedersachsen</v>
      </c>
      <c r="D1384" t="str">
        <f>'2020_5-2-2_Download'!$AY$7</f>
        <v>niedrig</v>
      </c>
      <c r="E1384" t="s">
        <v>362</v>
      </c>
      <c r="F1384" s="266" t="str">
        <f>VLOOKUP(A2788,[2]Kreise!$A$2:$C$53,3,FALSE)</f>
        <v>K030</v>
      </c>
      <c r="G1384">
        <f>'2020_5-2-2_Download'!AY40</f>
        <v>15.402567094515755</v>
      </c>
    </row>
    <row r="1385" spans="1:7">
      <c r="A1385">
        <f>'2020_5-2-2_Download'!B41</f>
        <v>361</v>
      </c>
      <c r="B1385">
        <f>'2020_5-2-2_Download'!$AT$5</f>
        <v>2014</v>
      </c>
      <c r="C1385" t="str">
        <f>VLOOKUP(A2789,[1]Tabelle1!$A$1:$B$68,2,FALSE)</f>
        <v>Niedersachsen</v>
      </c>
      <c r="D1385" t="str">
        <f>'2020_5-2-2_Download'!$AY$7</f>
        <v>niedrig</v>
      </c>
      <c r="E1385" t="s">
        <v>362</v>
      </c>
      <c r="F1385" s="266" t="str">
        <f>VLOOKUP(A2789,[2]Kreise!$A$2:$C$53,3,FALSE)</f>
        <v>K030</v>
      </c>
      <c r="G1385">
        <f>'2020_5-2-2_Download'!AY41</f>
        <v>25.751957148743305</v>
      </c>
    </row>
    <row r="1386" spans="1:7">
      <c r="A1386">
        <f>'2020_5-2-2_Download'!B42</f>
        <v>3</v>
      </c>
      <c r="B1386">
        <f>'2020_5-2-2_Download'!$AT$5</f>
        <v>2014</v>
      </c>
      <c r="C1386" t="str">
        <f>VLOOKUP(A2790,[1]Tabelle1!$A$1:$B$68,2,FALSE)</f>
        <v>Niedersachsen</v>
      </c>
      <c r="D1386" t="str">
        <f>'2020_5-2-2_Download'!$AY$7</f>
        <v>niedrig</v>
      </c>
      <c r="E1386" t="s">
        <v>362</v>
      </c>
      <c r="F1386" s="266" t="str">
        <f>VLOOKUP(A2790,[2]Kreise!$A$2:$C$53,3,FALSE)</f>
        <v>K030</v>
      </c>
      <c r="G1386">
        <f>'2020_5-2-2_Download'!AY42</f>
        <v>19.057700290577003</v>
      </c>
    </row>
    <row r="1387" spans="1:7">
      <c r="A1387">
        <f>'2020_5-2-2_Download'!B43</f>
        <v>401</v>
      </c>
      <c r="B1387">
        <f>'2020_5-2-2_Download'!$AT$5</f>
        <v>2014</v>
      </c>
      <c r="C1387" t="str">
        <f>VLOOKUP(A2791,[1]Tabelle1!$A$1:$B$68,2,FALSE)</f>
        <v>Niedersachsen</v>
      </c>
      <c r="D1387" t="str">
        <f>'2020_5-2-2_Download'!$AY$7</f>
        <v>niedrig</v>
      </c>
      <c r="E1387" t="s">
        <v>362</v>
      </c>
      <c r="F1387" s="266" t="str">
        <f>VLOOKUP(A2791,[2]Kreise!$A$2:$C$53,3,FALSE)</f>
        <v>K030</v>
      </c>
      <c r="G1387">
        <f>'2020_5-2-2_Download'!AY43</f>
        <v>26.286764705882355</v>
      </c>
    </row>
    <row r="1388" spans="1:7">
      <c r="A1388">
        <f>'2020_5-2-2_Download'!B44</f>
        <v>402</v>
      </c>
      <c r="B1388">
        <f>'2020_5-2-2_Download'!$AT$5</f>
        <v>2014</v>
      </c>
      <c r="C1388" t="str">
        <f>VLOOKUP(A2792,[1]Tabelle1!$A$1:$B$68,2,FALSE)</f>
        <v>Niedersachsen</v>
      </c>
      <c r="D1388" t="str">
        <f>'2020_5-2-2_Download'!$AY$7</f>
        <v>niedrig</v>
      </c>
      <c r="E1388" t="s">
        <v>362</v>
      </c>
      <c r="F1388" s="266" t="str">
        <f>VLOOKUP(A2792,[2]Kreise!$A$2:$C$53,3,FALSE)</f>
        <v>K030</v>
      </c>
      <c r="G1388">
        <f>'2020_5-2-2_Download'!AY44</f>
        <v>16.747967479674799</v>
      </c>
    </row>
    <row r="1389" spans="1:7">
      <c r="A1389">
        <f>'2020_5-2-2_Download'!B45</f>
        <v>403</v>
      </c>
      <c r="B1389">
        <f>'2020_5-2-2_Download'!$AT$5</f>
        <v>2014</v>
      </c>
      <c r="C1389" t="str">
        <f>VLOOKUP(A2793,[1]Tabelle1!$A$1:$B$68,2,FALSE)</f>
        <v>Niedersachsen</v>
      </c>
      <c r="D1389" t="str">
        <f>'2020_5-2-2_Download'!$AY$7</f>
        <v>niedrig</v>
      </c>
      <c r="E1389" t="s">
        <v>362</v>
      </c>
      <c r="F1389" s="266" t="str">
        <f>VLOOKUP(A2793,[2]Kreise!$A$2:$C$53,3,FALSE)</f>
        <v>K030</v>
      </c>
      <c r="G1389">
        <f>'2020_5-2-2_Download'!AY45</f>
        <v>22.931685547545484</v>
      </c>
    </row>
    <row r="1390" spans="1:7">
      <c r="A1390">
        <f>'2020_5-2-2_Download'!B46</f>
        <v>404</v>
      </c>
      <c r="B1390">
        <f>'2020_5-2-2_Download'!$AT$5</f>
        <v>2014</v>
      </c>
      <c r="C1390" t="str">
        <f>VLOOKUP(A2794,[1]Tabelle1!$A$1:$B$68,2,FALSE)</f>
        <v>Niedersachsen</v>
      </c>
      <c r="D1390" t="str">
        <f>'2020_5-2-2_Download'!$AY$7</f>
        <v>niedrig</v>
      </c>
      <c r="E1390" t="s">
        <v>362</v>
      </c>
      <c r="F1390" s="266" t="str">
        <f>VLOOKUP(A2794,[2]Kreise!$A$2:$C$53,3,FALSE)</f>
        <v>K030</v>
      </c>
      <c r="G1390">
        <f>'2020_5-2-2_Download'!AY46</f>
        <v>26.174895895300416</v>
      </c>
    </row>
    <row r="1391" spans="1:7">
      <c r="A1391">
        <f>'2020_5-2-2_Download'!B47</f>
        <v>405</v>
      </c>
      <c r="B1391">
        <f>'2020_5-2-2_Download'!$AT$5</f>
        <v>2014</v>
      </c>
      <c r="C1391" t="str">
        <f>VLOOKUP(A2795,[1]Tabelle1!$A$1:$B$68,2,FALSE)</f>
        <v>Niedersachsen</v>
      </c>
      <c r="D1391" t="str">
        <f>'2020_5-2-2_Download'!$AY$7</f>
        <v>niedrig</v>
      </c>
      <c r="E1391" t="s">
        <v>362</v>
      </c>
      <c r="F1391" s="266" t="str">
        <f>VLOOKUP(A2795,[2]Kreise!$A$2:$C$53,3,FALSE)</f>
        <v>K030</v>
      </c>
      <c r="G1391">
        <f>'2020_5-2-2_Download'!AY47</f>
        <v>18.652849740932641</v>
      </c>
    </row>
    <row r="1392" spans="1:7">
      <c r="A1392">
        <f>'2020_5-2-2_Download'!B48</f>
        <v>451</v>
      </c>
      <c r="B1392">
        <f>'2020_5-2-2_Download'!$AT$5</f>
        <v>2014</v>
      </c>
      <c r="C1392" t="str">
        <f>VLOOKUP(A2796,[1]Tabelle1!$A$1:$B$68,2,FALSE)</f>
        <v>Niedersachsen</v>
      </c>
      <c r="D1392" t="str">
        <f>'2020_5-2-2_Download'!$AY$7</f>
        <v>niedrig</v>
      </c>
      <c r="E1392" t="s">
        <v>362</v>
      </c>
      <c r="F1392" s="266" t="str">
        <f>VLOOKUP(A2796,[2]Kreise!$A$2:$C$53,3,FALSE)</f>
        <v>K030</v>
      </c>
      <c r="G1392">
        <f>'2020_5-2-2_Download'!AY48</f>
        <v>18.714821763602252</v>
      </c>
    </row>
    <row r="1393" spans="1:7">
      <c r="A1393">
        <f>'2020_5-2-2_Download'!B49</f>
        <v>452</v>
      </c>
      <c r="B1393">
        <f>'2020_5-2-2_Download'!$AT$5</f>
        <v>2014</v>
      </c>
      <c r="C1393" t="str">
        <f>VLOOKUP(A2797,[1]Tabelle1!$A$1:$B$68,2,FALSE)</f>
        <v>Niedersachsen</v>
      </c>
      <c r="D1393" t="str">
        <f>'2020_5-2-2_Download'!$AY$7</f>
        <v>niedrig</v>
      </c>
      <c r="E1393" t="s">
        <v>362</v>
      </c>
      <c r="F1393" s="266" t="str">
        <f>VLOOKUP(A2797,[2]Kreise!$A$2:$C$53,3,FALSE)</f>
        <v>K030</v>
      </c>
      <c r="G1393">
        <f>'2020_5-2-2_Download'!AY49</f>
        <v>18.878299120234605</v>
      </c>
    </row>
    <row r="1394" spans="1:7">
      <c r="A1394">
        <f>'2020_5-2-2_Download'!B50</f>
        <v>453</v>
      </c>
      <c r="B1394">
        <f>'2020_5-2-2_Download'!$AT$5</f>
        <v>2014</v>
      </c>
      <c r="C1394" t="str">
        <f>VLOOKUP(A2798,[1]Tabelle1!$A$1:$B$68,2,FALSE)</f>
        <v>Niedersachsen</v>
      </c>
      <c r="D1394" t="str">
        <f>'2020_5-2-2_Download'!$AY$7</f>
        <v>niedrig</v>
      </c>
      <c r="E1394" t="s">
        <v>362</v>
      </c>
      <c r="F1394" s="266" t="str">
        <f>VLOOKUP(A2798,[2]Kreise!$A$2:$C$53,3,FALSE)</f>
        <v>K030</v>
      </c>
      <c r="G1394">
        <f>'2020_5-2-2_Download'!AY50</f>
        <v>22.493994321904346</v>
      </c>
    </row>
    <row r="1395" spans="1:7">
      <c r="A1395">
        <f>'2020_5-2-2_Download'!B51</f>
        <v>454</v>
      </c>
      <c r="B1395">
        <f>'2020_5-2-2_Download'!$AT$5</f>
        <v>2014</v>
      </c>
      <c r="C1395" t="str">
        <f>VLOOKUP(A2799,[1]Tabelle1!$A$1:$B$68,2,FALSE)</f>
        <v>Niedersachsen</v>
      </c>
      <c r="D1395" t="str">
        <f>'2020_5-2-2_Download'!$AY$7</f>
        <v>niedrig</v>
      </c>
      <c r="E1395" t="s">
        <v>362</v>
      </c>
      <c r="F1395" s="266" t="str">
        <f>VLOOKUP(A2799,[2]Kreise!$A$2:$C$53,3,FALSE)</f>
        <v>K030</v>
      </c>
      <c r="G1395">
        <f>'2020_5-2-2_Download'!AY51</f>
        <v>17.330960854092528</v>
      </c>
    </row>
    <row r="1396" spans="1:7">
      <c r="A1396">
        <f>'2020_5-2-2_Download'!B52</f>
        <v>455</v>
      </c>
      <c r="B1396">
        <f>'2020_5-2-2_Download'!$AT$5</f>
        <v>2014</v>
      </c>
      <c r="C1396" t="str">
        <f>VLOOKUP(A2800,[1]Tabelle1!$A$1:$B$68,2,FALSE)</f>
        <v>Niedersachsen</v>
      </c>
      <c r="D1396" t="str">
        <f>'2020_5-2-2_Download'!$AY$7</f>
        <v>niedrig</v>
      </c>
      <c r="E1396" t="s">
        <v>362</v>
      </c>
      <c r="F1396" s="266" t="str">
        <f>VLOOKUP(A2800,[2]Kreise!$A$2:$C$53,3,FALSE)</f>
        <v>K030</v>
      </c>
      <c r="G1396">
        <f>'2020_5-2-2_Download'!AY52</f>
        <v>19.859813084112147</v>
      </c>
    </row>
    <row r="1397" spans="1:7">
      <c r="A1397">
        <f>'2020_5-2-2_Download'!B53</f>
        <v>456</v>
      </c>
      <c r="B1397">
        <f>'2020_5-2-2_Download'!$AT$5</f>
        <v>2014</v>
      </c>
      <c r="C1397" t="str">
        <f>VLOOKUP(A2801,[1]Tabelle1!$A$1:$B$68,2,FALSE)</f>
        <v>Niedersachsen</v>
      </c>
      <c r="D1397" t="str">
        <f>'2020_5-2-2_Download'!$AY$7</f>
        <v>niedrig</v>
      </c>
      <c r="E1397" t="s">
        <v>362</v>
      </c>
      <c r="F1397" s="266" t="str">
        <f>VLOOKUP(A2801,[2]Kreise!$A$2:$C$53,3,FALSE)</f>
        <v>K030</v>
      </c>
      <c r="G1397">
        <f>'2020_5-2-2_Download'!AY53</f>
        <v>16.00970285021225</v>
      </c>
    </row>
    <row r="1398" spans="1:7">
      <c r="A1398">
        <f>'2020_5-2-2_Download'!B54</f>
        <v>457</v>
      </c>
      <c r="B1398">
        <f>'2020_5-2-2_Download'!$AT$5</f>
        <v>2014</v>
      </c>
      <c r="C1398" t="str">
        <f>VLOOKUP(A2802,[1]Tabelle1!$A$1:$B$68,2,FALSE)</f>
        <v>Niedersachsen</v>
      </c>
      <c r="D1398" t="str">
        <f>'2020_5-2-2_Download'!$AY$7</f>
        <v>niedrig</v>
      </c>
      <c r="E1398" t="s">
        <v>362</v>
      </c>
      <c r="F1398" s="266" t="str">
        <f>VLOOKUP(A2802,[2]Kreise!$A$2:$C$53,3,FALSE)</f>
        <v>K030</v>
      </c>
      <c r="G1398">
        <f>'2020_5-2-2_Download'!AY54</f>
        <v>13.48012889366273</v>
      </c>
    </row>
    <row r="1399" spans="1:7">
      <c r="A1399">
        <f>'2020_5-2-2_Download'!B55</f>
        <v>458</v>
      </c>
      <c r="B1399">
        <f>'2020_5-2-2_Download'!$AT$5</f>
        <v>2014</v>
      </c>
      <c r="C1399" t="str">
        <f>VLOOKUP(A2803,[1]Tabelle1!$A$1:$B$68,2,FALSE)</f>
        <v>Niedersachsen</v>
      </c>
      <c r="D1399" t="str">
        <f>'2020_5-2-2_Download'!$AY$7</f>
        <v>niedrig</v>
      </c>
      <c r="E1399" t="s">
        <v>362</v>
      </c>
      <c r="F1399" s="266" t="str">
        <f>VLOOKUP(A2803,[2]Kreise!$A$2:$C$53,3,FALSE)</f>
        <v>K030</v>
      </c>
      <c r="G1399">
        <f>'2020_5-2-2_Download'!AY55</f>
        <v>31.124807395993837</v>
      </c>
    </row>
    <row r="1400" spans="1:7">
      <c r="A1400">
        <f>'2020_5-2-2_Download'!B56</f>
        <v>459</v>
      </c>
      <c r="B1400">
        <f>'2020_5-2-2_Download'!$AT$5</f>
        <v>2014</v>
      </c>
      <c r="C1400" t="str">
        <f>VLOOKUP(A2804,[1]Tabelle1!$A$1:$B$68,2,FALSE)</f>
        <v>Niedersachsen</v>
      </c>
      <c r="D1400" t="str">
        <f>'2020_5-2-2_Download'!$AY$7</f>
        <v>niedrig</v>
      </c>
      <c r="E1400" t="s">
        <v>362</v>
      </c>
      <c r="F1400" s="266" t="str">
        <f>VLOOKUP(A2804,[2]Kreise!$A$2:$C$53,3,FALSE)</f>
        <v>K030</v>
      </c>
      <c r="G1400">
        <f>'2020_5-2-2_Download'!AY56</f>
        <v>26.896315729439944</v>
      </c>
    </row>
    <row r="1401" spans="1:7">
      <c r="A1401">
        <f>'2020_5-2-2_Download'!B57</f>
        <v>460</v>
      </c>
      <c r="B1401">
        <f>'2020_5-2-2_Download'!$AT$5</f>
        <v>2014</v>
      </c>
      <c r="C1401" t="str">
        <f>VLOOKUP(A2805,[1]Tabelle1!$A$1:$B$68,2,FALSE)</f>
        <v>Niedersachsen</v>
      </c>
      <c r="D1401" t="str">
        <f>'2020_5-2-2_Download'!$AY$7</f>
        <v>niedrig</v>
      </c>
      <c r="E1401" t="s">
        <v>362</v>
      </c>
      <c r="F1401" s="266" t="str">
        <f>VLOOKUP(A2805,[2]Kreise!$A$2:$C$53,3,FALSE)</f>
        <v>K030</v>
      </c>
      <c r="G1401">
        <f>'2020_5-2-2_Download'!AY57</f>
        <v>25.863141524105753</v>
      </c>
    </row>
    <row r="1402" spans="1:7">
      <c r="A1402">
        <f>'2020_5-2-2_Download'!B58</f>
        <v>461</v>
      </c>
      <c r="B1402">
        <f>'2020_5-2-2_Download'!$AT$5</f>
        <v>2014</v>
      </c>
      <c r="C1402" t="str">
        <f>VLOOKUP(A2806,[1]Tabelle1!$A$1:$B$68,2,FALSE)</f>
        <v>Niedersachsen</v>
      </c>
      <c r="D1402" t="str">
        <f>'2020_5-2-2_Download'!$AY$7</f>
        <v>niedrig</v>
      </c>
      <c r="E1402" t="s">
        <v>362</v>
      </c>
      <c r="F1402" s="266" t="str">
        <f>VLOOKUP(A2806,[2]Kreise!$A$2:$C$53,3,FALSE)</f>
        <v>K030</v>
      </c>
      <c r="G1402">
        <f>'2020_5-2-2_Download'!AY58</f>
        <v>20.375939849624061</v>
      </c>
    </row>
    <row r="1403" spans="1:7">
      <c r="A1403">
        <f>'2020_5-2-2_Download'!B59</f>
        <v>462</v>
      </c>
      <c r="B1403">
        <f>'2020_5-2-2_Download'!$AT$5</f>
        <v>2014</v>
      </c>
      <c r="C1403" t="str">
        <f>VLOOKUP(A2807,[1]Tabelle1!$A$1:$B$68,2,FALSE)</f>
        <v>Niedersachsen</v>
      </c>
      <c r="D1403" t="str">
        <f>'2020_5-2-2_Download'!$AY$7</f>
        <v>niedrig</v>
      </c>
      <c r="E1403" t="s">
        <v>362</v>
      </c>
      <c r="F1403" s="266" t="str">
        <f>VLOOKUP(A2807,[2]Kreise!$A$2:$C$53,3,FALSE)</f>
        <v>K030</v>
      </c>
      <c r="G1403">
        <f>'2020_5-2-2_Download'!AY59</f>
        <v>11.262798634812286</v>
      </c>
    </row>
    <row r="1404" spans="1:7">
      <c r="A1404">
        <f>'2020_5-2-2_Download'!B60</f>
        <v>4</v>
      </c>
      <c r="B1404">
        <f>'2020_5-2-2_Download'!$AT$5</f>
        <v>2014</v>
      </c>
      <c r="C1404" t="str">
        <f>VLOOKUP(A2808,[1]Tabelle1!$A$1:$B$68,2,FALSE)</f>
        <v>Niedersachsen</v>
      </c>
      <c r="D1404" t="str">
        <f>'2020_5-2-2_Download'!$AY$7</f>
        <v>niedrig</v>
      </c>
      <c r="E1404" t="s">
        <v>362</v>
      </c>
      <c r="F1404" s="266" t="str">
        <f>VLOOKUP(A2808,[2]Kreise!$A$2:$C$53,3,FALSE)</f>
        <v>K030</v>
      </c>
      <c r="G1404">
        <f>'2020_5-2-2_Download'!AY60</f>
        <v>22.3813524550126</v>
      </c>
    </row>
    <row r="1405" spans="1:7">
      <c r="A1405">
        <f>'2020_5-2-2_Download'!B61</f>
        <v>0</v>
      </c>
      <c r="B1405">
        <f>'2020_5-2-2_Download'!$AT$5</f>
        <v>2014</v>
      </c>
      <c r="C1405" t="str">
        <f>VLOOKUP(A2809,[1]Tabelle1!$A$1:$B$68,2,FALSE)</f>
        <v>Niedersachsen</v>
      </c>
      <c r="D1405" t="str">
        <f>'2020_5-2-2_Download'!$AY$7</f>
        <v>niedrig</v>
      </c>
      <c r="E1405" t="s">
        <v>362</v>
      </c>
      <c r="F1405" s="266" t="str">
        <f>VLOOKUP(A2809,[2]Kreise!$A$2:$C$53,3,FALSE)</f>
        <v>K030</v>
      </c>
      <c r="G1405">
        <f>'2020_5-2-2_Download'!AY61</f>
        <v>21.699368558480522</v>
      </c>
    </row>
    <row r="1406" spans="1:7">
      <c r="A1406">
        <f>'2020_5-2-2_Download'!B10</f>
        <v>101</v>
      </c>
      <c r="B1406">
        <f>'2020_5-2-2_Download'!$AT$5</f>
        <v>2014</v>
      </c>
      <c r="C1406" t="str">
        <f>VLOOKUP(A2810,[1]Tabelle1!$A$1:$B$68,2,FALSE)</f>
        <v>Niedersachsen</v>
      </c>
      <c r="D1406" t="str">
        <f>'2020_5-2-2_Download'!$AZ$7</f>
        <v>unbekannt</v>
      </c>
      <c r="E1406" t="s">
        <v>362</v>
      </c>
      <c r="F1406" s="266" t="str">
        <f>VLOOKUP(A2810,[2]Kreise!$A$2:$C$53,3,FALSE)</f>
        <v>K030</v>
      </c>
      <c r="G1406">
        <f>'2020_5-2-2_Download'!AZ10</f>
        <v>28.208679593721154</v>
      </c>
    </row>
    <row r="1407" spans="1:7">
      <c r="A1407">
        <f>'2020_5-2-2_Download'!B11</f>
        <v>102</v>
      </c>
      <c r="B1407">
        <f>'2020_5-2-2_Download'!$AT$5</f>
        <v>2014</v>
      </c>
      <c r="C1407" t="str">
        <f>VLOOKUP(A2811,[1]Tabelle1!$A$1:$B$68,2,FALSE)</f>
        <v>Niedersachsen</v>
      </c>
      <c r="D1407" t="str">
        <f>'2020_5-2-2_Download'!$AZ$7</f>
        <v>unbekannt</v>
      </c>
      <c r="E1407" t="s">
        <v>362</v>
      </c>
      <c r="F1407" s="266" t="str">
        <f>VLOOKUP(A2811,[2]Kreise!$A$2:$C$53,3,FALSE)</f>
        <v>K030</v>
      </c>
      <c r="G1407">
        <f>'2020_5-2-2_Download'!AZ11</f>
        <v>29.527682202064433</v>
      </c>
    </row>
    <row r="1408" spans="1:7">
      <c r="A1408">
        <f>'2020_5-2-2_Download'!B12</f>
        <v>103</v>
      </c>
      <c r="B1408">
        <f>'2020_5-2-2_Download'!$AT$5</f>
        <v>2014</v>
      </c>
      <c r="C1408" t="str">
        <f>VLOOKUP(A2812,[1]Tabelle1!$A$1:$B$68,2,FALSE)</f>
        <v>Niedersachsen</v>
      </c>
      <c r="D1408" t="str">
        <f>'2020_5-2-2_Download'!$AZ$7</f>
        <v>unbekannt</v>
      </c>
      <c r="E1408" t="s">
        <v>362</v>
      </c>
      <c r="F1408" s="266" t="str">
        <f>VLOOKUP(A2812,[2]Kreise!$A$2:$C$53,3,FALSE)</f>
        <v>K030</v>
      </c>
      <c r="G1408">
        <f>'2020_5-2-2_Download'!AZ12</f>
        <v>34.174311926605498</v>
      </c>
    </row>
    <row r="1409" spans="1:7">
      <c r="A1409">
        <f>'2020_5-2-2_Download'!B13</f>
        <v>151</v>
      </c>
      <c r="B1409">
        <f>'2020_5-2-2_Download'!$AT$5</f>
        <v>2014</v>
      </c>
      <c r="C1409" t="str">
        <f>VLOOKUP(A2813,[1]Tabelle1!$A$1:$B$68,2,FALSE)</f>
        <v>Niedersachsen</v>
      </c>
      <c r="D1409" t="str">
        <f>'2020_5-2-2_Download'!$AZ$7</f>
        <v>unbekannt</v>
      </c>
      <c r="E1409" t="s">
        <v>362</v>
      </c>
      <c r="F1409" s="266" t="str">
        <f>VLOOKUP(A2813,[2]Kreise!$A$2:$C$53,3,FALSE)</f>
        <v>K030</v>
      </c>
      <c r="G1409">
        <f>'2020_5-2-2_Download'!AZ13</f>
        <v>31.81583031557166</v>
      </c>
    </row>
    <row r="1410" spans="1:7">
      <c r="A1410">
        <f>'2020_5-2-2_Download'!B14</f>
        <v>153</v>
      </c>
      <c r="B1410">
        <f>'2020_5-2-2_Download'!$AT$5</f>
        <v>2014</v>
      </c>
      <c r="C1410" t="str">
        <f>VLOOKUP(A2814,[1]Tabelle1!$A$1:$B$68,2,FALSE)</f>
        <v>Niedersachsen</v>
      </c>
      <c r="D1410" t="str">
        <f>'2020_5-2-2_Download'!$AZ$7</f>
        <v>unbekannt</v>
      </c>
      <c r="E1410" t="s">
        <v>362</v>
      </c>
      <c r="F1410" s="266" t="str">
        <f>VLOOKUP(A2814,[2]Kreise!$A$2:$C$53,3,FALSE)</f>
        <v>K030</v>
      </c>
      <c r="G1410">
        <f>'2020_5-2-2_Download'!AZ14</f>
        <v>29.437952142459647</v>
      </c>
    </row>
    <row r="1411" spans="1:7">
      <c r="A1411">
        <f>'2020_5-2-2_Download'!B15</f>
        <v>154</v>
      </c>
      <c r="B1411">
        <f>'2020_5-2-2_Download'!$AT$5</f>
        <v>2014</v>
      </c>
      <c r="C1411" t="str">
        <f>VLOOKUP(A2815,[1]Tabelle1!$A$1:$B$68,2,FALSE)</f>
        <v>Niedersachsen</v>
      </c>
      <c r="D1411" t="str">
        <f>'2020_5-2-2_Download'!$AZ$7</f>
        <v>unbekannt</v>
      </c>
      <c r="E1411" t="s">
        <v>362</v>
      </c>
      <c r="F1411" s="266" t="str">
        <f>VLOOKUP(A2815,[2]Kreise!$A$2:$C$53,3,FALSE)</f>
        <v>K030</v>
      </c>
      <c r="G1411">
        <f>'2020_5-2-2_Download'!AZ15</f>
        <v>28.846153846153854</v>
      </c>
    </row>
    <row r="1412" spans="1:7">
      <c r="A1412">
        <f>'2020_5-2-2_Download'!B16</f>
        <v>155</v>
      </c>
      <c r="B1412">
        <f>'2020_5-2-2_Download'!$AT$5</f>
        <v>2014</v>
      </c>
      <c r="C1412" t="str">
        <f>VLOOKUP(A2816,[1]Tabelle1!$A$1:$B$68,2,FALSE)</f>
        <v>Niedersachsen</v>
      </c>
      <c r="D1412" t="str">
        <f>'2020_5-2-2_Download'!$AZ$7</f>
        <v>unbekannt</v>
      </c>
      <c r="E1412" t="s">
        <v>362</v>
      </c>
      <c r="F1412" s="266" t="str">
        <f>VLOOKUP(A2816,[2]Kreise!$A$2:$C$53,3,FALSE)</f>
        <v>K030</v>
      </c>
      <c r="G1412">
        <f>'2020_5-2-2_Download'!AZ16</f>
        <v>23.438334223171388</v>
      </c>
    </row>
    <row r="1413" spans="1:7">
      <c r="A1413">
        <f>'2020_5-2-2_Download'!B17</f>
        <v>157</v>
      </c>
      <c r="B1413">
        <f>'2020_5-2-2_Download'!$AT$5</f>
        <v>2014</v>
      </c>
      <c r="C1413" t="str">
        <f>VLOOKUP(A2817,[1]Tabelle1!$A$1:$B$68,2,FALSE)</f>
        <v>Niedersachsen</v>
      </c>
      <c r="D1413" t="str">
        <f>'2020_5-2-2_Download'!$AZ$7</f>
        <v>unbekannt</v>
      </c>
      <c r="E1413" t="s">
        <v>362</v>
      </c>
      <c r="F1413" s="266" t="str">
        <f>VLOOKUP(A2817,[2]Kreise!$A$2:$C$53,3,FALSE)</f>
        <v>K030</v>
      </c>
      <c r="G1413">
        <f>'2020_5-2-2_Download'!AZ17</f>
        <v>30.453257790368273</v>
      </c>
    </row>
    <row r="1414" spans="1:7">
      <c r="A1414">
        <f>'2020_5-2-2_Download'!B18</f>
        <v>158</v>
      </c>
      <c r="B1414">
        <f>'2020_5-2-2_Download'!$AT$5</f>
        <v>2014</v>
      </c>
      <c r="C1414" t="str">
        <f>VLOOKUP(A2818,[1]Tabelle1!$A$1:$B$68,2,FALSE)</f>
        <v>Niedersachsen</v>
      </c>
      <c r="D1414" t="str">
        <f>'2020_5-2-2_Download'!$AZ$7</f>
        <v>unbekannt</v>
      </c>
      <c r="E1414" t="s">
        <v>362</v>
      </c>
      <c r="F1414" s="266" t="str">
        <f>VLOOKUP(A2818,[2]Kreise!$A$2:$C$53,3,FALSE)</f>
        <v>K030</v>
      </c>
      <c r="G1414">
        <f>'2020_5-2-2_Download'!AZ18</f>
        <v>31.122448979591837</v>
      </c>
    </row>
    <row r="1415" spans="1:7">
      <c r="A1415">
        <f>'2020_5-2-2_Download'!B19</f>
        <v>159</v>
      </c>
      <c r="B1415">
        <f>'2020_5-2-2_Download'!$AT$5</f>
        <v>2014</v>
      </c>
      <c r="C1415" t="str">
        <f>VLOOKUP(A2819,[1]Tabelle1!$A$1:$B$68,2,FALSE)</f>
        <v>Niedersachsen</v>
      </c>
      <c r="D1415" t="str">
        <f>'2020_5-2-2_Download'!$AZ$7</f>
        <v>unbekannt</v>
      </c>
      <c r="E1415" t="s">
        <v>362</v>
      </c>
      <c r="F1415" s="266" t="str">
        <f>VLOOKUP(A2819,[2]Kreise!$A$2:$C$53,3,FALSE)</f>
        <v>K030</v>
      </c>
      <c r="G1415">
        <f>'2020_5-2-2_Download'!AZ19</f>
        <v>19.540636042402827</v>
      </c>
    </row>
    <row r="1416" spans="1:7">
      <c r="A1416">
        <f>'2020_5-2-2_Download'!B20</f>
        <v>1</v>
      </c>
      <c r="B1416">
        <f>'2020_5-2-2_Download'!$AT$5</f>
        <v>2014</v>
      </c>
      <c r="C1416" t="str">
        <f>VLOOKUP(A2820,[1]Tabelle1!$A$1:$B$68,2,FALSE)</f>
        <v>Niedersachsen</v>
      </c>
      <c r="D1416" t="str">
        <f>'2020_5-2-2_Download'!$AZ$7</f>
        <v>unbekannt</v>
      </c>
      <c r="E1416" t="s">
        <v>362</v>
      </c>
      <c r="F1416" s="266" t="str">
        <f>VLOOKUP(A2820,[2]Kreise!$A$2:$C$53,3,FALSE)</f>
        <v>K030</v>
      </c>
      <c r="G1416">
        <f>'2020_5-2-2_Download'!AZ20</f>
        <v>28.457774269928965</v>
      </c>
    </row>
    <row r="1417" spans="1:7">
      <c r="A1417">
        <f>'2020_5-2-2_Download'!B21</f>
        <v>241</v>
      </c>
      <c r="B1417">
        <f>'2020_5-2-2_Download'!$AT$5</f>
        <v>2014</v>
      </c>
      <c r="C1417" t="str">
        <f>VLOOKUP(A2821,[1]Tabelle1!$A$1:$B$68,2,FALSE)</f>
        <v>Niedersachsen</v>
      </c>
      <c r="D1417" t="str">
        <f>'2020_5-2-2_Download'!$AZ$7</f>
        <v>unbekannt</v>
      </c>
      <c r="E1417" t="s">
        <v>362</v>
      </c>
      <c r="F1417" s="266" t="str">
        <f>VLOOKUP(A2821,[2]Kreise!$A$2:$C$53,3,FALSE)</f>
        <v>K030</v>
      </c>
      <c r="G1417">
        <f>'2020_5-2-2_Download'!AZ21</f>
        <v>30.89418316831684</v>
      </c>
    </row>
    <row r="1418" spans="1:7">
      <c r="A1418">
        <f>'2020_5-2-2_Download'!B22</f>
        <v>241001</v>
      </c>
      <c r="B1418">
        <f>'2020_5-2-2_Download'!$AT$5</f>
        <v>2014</v>
      </c>
      <c r="C1418" t="str">
        <f>VLOOKUP(A2822,[1]Tabelle1!$A$1:$B$68,2,FALSE)</f>
        <v>Niedersachsen</v>
      </c>
      <c r="D1418" t="str">
        <f>'2020_5-2-2_Download'!$AZ$7</f>
        <v>unbekannt</v>
      </c>
      <c r="E1418" t="s">
        <v>362</v>
      </c>
      <c r="F1418" s="266" t="str">
        <f>VLOOKUP(A2822,[2]Kreise!$A$2:$C$53,3,FALSE)</f>
        <v>K030</v>
      </c>
      <c r="G1418">
        <f>'2020_5-2-2_Download'!AZ22</f>
        <v>28.823899866173349</v>
      </c>
    </row>
    <row r="1419" spans="1:7">
      <c r="A1419">
        <f>'2020_5-2-2_Download'!B23</f>
        <v>241999</v>
      </c>
      <c r="B1419">
        <f>'2020_5-2-2_Download'!$AT$5</f>
        <v>2014</v>
      </c>
      <c r="C1419" t="str">
        <f>VLOOKUP(A2823,[1]Tabelle1!$A$1:$B$68,2,FALSE)</f>
        <v>Niedersachsen</v>
      </c>
      <c r="D1419" t="str">
        <f>'2020_5-2-2_Download'!$AZ$7</f>
        <v>unbekannt</v>
      </c>
      <c r="E1419" t="s">
        <v>362</v>
      </c>
      <c r="F1419" s="266" t="str">
        <f>VLOOKUP(A2823,[2]Kreise!$A$2:$C$53,3,FALSE)</f>
        <v>K030</v>
      </c>
      <c r="G1419">
        <f>'2020_5-2-2_Download'!AZ23</f>
        <v>34.825833457915984</v>
      </c>
    </row>
    <row r="1420" spans="1:7">
      <c r="A1420">
        <f>'2020_5-2-2_Download'!B24</f>
        <v>251</v>
      </c>
      <c r="B1420">
        <f>'2020_5-2-2_Download'!$AT$5</f>
        <v>2014</v>
      </c>
      <c r="C1420" t="str">
        <f>VLOOKUP(A2824,[1]Tabelle1!$A$1:$B$68,2,FALSE)</f>
        <v>Niedersachsen</v>
      </c>
      <c r="D1420" t="str">
        <f>'2020_5-2-2_Download'!$AZ$7</f>
        <v>unbekannt</v>
      </c>
      <c r="E1420" t="s">
        <v>362</v>
      </c>
      <c r="F1420" s="266" t="str">
        <f>VLOOKUP(A2824,[2]Kreise!$A$2:$C$53,3,FALSE)</f>
        <v>K030</v>
      </c>
      <c r="G1420">
        <f>'2020_5-2-2_Download'!AZ24</f>
        <v>39.177991382167718</v>
      </c>
    </row>
    <row r="1421" spans="1:7">
      <c r="A1421">
        <f>'2020_5-2-2_Download'!B25</f>
        <v>252</v>
      </c>
      <c r="B1421">
        <f>'2020_5-2-2_Download'!$AT$5</f>
        <v>2014</v>
      </c>
      <c r="C1421" t="str">
        <f>VLOOKUP(A2825,[1]Tabelle1!$A$1:$B$68,2,FALSE)</f>
        <v>Niedersachsen</v>
      </c>
      <c r="D1421" t="str">
        <f>'2020_5-2-2_Download'!$AZ$7</f>
        <v>unbekannt</v>
      </c>
      <c r="E1421" t="s">
        <v>362</v>
      </c>
      <c r="F1421" s="266" t="str">
        <f>VLOOKUP(A2825,[2]Kreise!$A$2:$C$53,3,FALSE)</f>
        <v>K030</v>
      </c>
      <c r="G1421">
        <f>'2020_5-2-2_Download'!AZ25</f>
        <v>28.857715430861724</v>
      </c>
    </row>
    <row r="1422" spans="1:7">
      <c r="A1422">
        <f>'2020_5-2-2_Download'!B26</f>
        <v>254</v>
      </c>
      <c r="B1422">
        <f>'2020_5-2-2_Download'!$AT$5</f>
        <v>2014</v>
      </c>
      <c r="C1422" t="str">
        <f>VLOOKUP(A2826,[1]Tabelle1!$A$1:$B$68,2,FALSE)</f>
        <v>Niedersachsen</v>
      </c>
      <c r="D1422" t="str">
        <f>'2020_5-2-2_Download'!$AZ$7</f>
        <v>unbekannt</v>
      </c>
      <c r="E1422" t="s">
        <v>362</v>
      </c>
      <c r="F1422" s="266" t="str">
        <f>VLOOKUP(A2826,[2]Kreise!$A$2:$C$53,3,FALSE)</f>
        <v>K030</v>
      </c>
      <c r="G1422">
        <f>'2020_5-2-2_Download'!AZ26</f>
        <v>23.805484874187165</v>
      </c>
    </row>
    <row r="1423" spans="1:7">
      <c r="A1423">
        <f>'2020_5-2-2_Download'!B27</f>
        <v>255</v>
      </c>
      <c r="B1423">
        <f>'2020_5-2-2_Download'!$AT$5</f>
        <v>2014</v>
      </c>
      <c r="C1423" t="str">
        <f>VLOOKUP(A2827,[1]Tabelle1!$A$1:$B$68,2,FALSE)</f>
        <v>Niedersachsen</v>
      </c>
      <c r="D1423" t="str">
        <f>'2020_5-2-2_Download'!$AZ$7</f>
        <v>unbekannt</v>
      </c>
      <c r="E1423" t="s">
        <v>362</v>
      </c>
      <c r="F1423" s="266" t="str">
        <f>VLOOKUP(A2827,[2]Kreise!$A$2:$C$53,3,FALSE)</f>
        <v>K030</v>
      </c>
      <c r="G1423">
        <f>'2020_5-2-2_Download'!AZ27</f>
        <v>21.855921855921849</v>
      </c>
    </row>
    <row r="1424" spans="1:7">
      <c r="A1424">
        <f>'2020_5-2-2_Download'!B28</f>
        <v>256</v>
      </c>
      <c r="B1424">
        <f>'2020_5-2-2_Download'!$AT$5</f>
        <v>2014</v>
      </c>
      <c r="C1424" t="str">
        <f>VLOOKUP(A2828,[1]Tabelle1!$A$1:$B$68,2,FALSE)</f>
        <v>Niedersachsen</v>
      </c>
      <c r="D1424" t="str">
        <f>'2020_5-2-2_Download'!$AZ$7</f>
        <v>unbekannt</v>
      </c>
      <c r="E1424" t="s">
        <v>362</v>
      </c>
      <c r="F1424" s="266" t="str">
        <f>VLOOKUP(A2828,[2]Kreise!$A$2:$C$53,3,FALSE)</f>
        <v>K030</v>
      </c>
      <c r="G1424">
        <f>'2020_5-2-2_Download'!AZ28</f>
        <v>38.5</v>
      </c>
    </row>
    <row r="1425" spans="1:7">
      <c r="A1425">
        <f>'2020_5-2-2_Download'!B29</f>
        <v>257</v>
      </c>
      <c r="B1425">
        <f>'2020_5-2-2_Download'!$AT$5</f>
        <v>2014</v>
      </c>
      <c r="C1425" t="str">
        <f>VLOOKUP(A2829,[1]Tabelle1!$A$1:$B$68,2,FALSE)</f>
        <v>Niedersachsen</v>
      </c>
      <c r="D1425" t="str">
        <f>'2020_5-2-2_Download'!$AZ$7</f>
        <v>unbekannt</v>
      </c>
      <c r="E1425" t="s">
        <v>362</v>
      </c>
      <c r="F1425" s="266" t="str">
        <f>VLOOKUP(A2829,[2]Kreise!$A$2:$C$53,3,FALSE)</f>
        <v>K030</v>
      </c>
      <c r="G1425">
        <f>'2020_5-2-2_Download'!AZ29</f>
        <v>27.760416666666657</v>
      </c>
    </row>
    <row r="1426" spans="1:7">
      <c r="A1426">
        <f>'2020_5-2-2_Download'!B30</f>
        <v>2</v>
      </c>
      <c r="B1426">
        <f>'2020_5-2-2_Download'!$AT$5</f>
        <v>2014</v>
      </c>
      <c r="C1426" t="str">
        <f>VLOOKUP(A2830,[1]Tabelle1!$A$1:$B$68,2,FALSE)</f>
        <v>Niedersachsen</v>
      </c>
      <c r="D1426" t="str">
        <f>'2020_5-2-2_Download'!$AZ$7</f>
        <v>unbekannt</v>
      </c>
      <c r="E1426" t="s">
        <v>362</v>
      </c>
      <c r="F1426" s="266" t="str">
        <f>VLOOKUP(A2830,[2]Kreise!$A$2:$C$53,3,FALSE)</f>
        <v>K030</v>
      </c>
      <c r="G1426">
        <f>'2020_5-2-2_Download'!AZ30</f>
        <v>30.800809592912252</v>
      </c>
    </row>
    <row r="1427" spans="1:7">
      <c r="A1427">
        <f>'2020_5-2-2_Download'!B31</f>
        <v>351</v>
      </c>
      <c r="B1427">
        <f>'2020_5-2-2_Download'!$AT$5</f>
        <v>2014</v>
      </c>
      <c r="C1427" t="str">
        <f>VLOOKUP(A2831,[1]Tabelle1!$A$1:$B$68,2,FALSE)</f>
        <v>Niedersachsen</v>
      </c>
      <c r="D1427" t="str">
        <f>'2020_5-2-2_Download'!$AZ$7</f>
        <v>unbekannt</v>
      </c>
      <c r="E1427" t="s">
        <v>362</v>
      </c>
      <c r="F1427" s="266" t="str">
        <f>VLOOKUP(A2831,[2]Kreise!$A$2:$C$53,3,FALSE)</f>
        <v>K030</v>
      </c>
      <c r="G1427">
        <f>'2020_5-2-2_Download'!AZ31</f>
        <v>27.15203426124198</v>
      </c>
    </row>
    <row r="1428" spans="1:7">
      <c r="A1428">
        <f>'2020_5-2-2_Download'!B32</f>
        <v>352</v>
      </c>
      <c r="B1428">
        <f>'2020_5-2-2_Download'!$AT$5</f>
        <v>2014</v>
      </c>
      <c r="C1428" t="str">
        <f>VLOOKUP(A2832,[1]Tabelle1!$A$1:$B$68,2,FALSE)</f>
        <v>Niedersachsen</v>
      </c>
      <c r="D1428" t="str">
        <f>'2020_5-2-2_Download'!$AZ$7</f>
        <v>unbekannt</v>
      </c>
      <c r="E1428" t="s">
        <v>362</v>
      </c>
      <c r="F1428" s="266" t="str">
        <f>VLOOKUP(A2832,[2]Kreise!$A$2:$C$53,3,FALSE)</f>
        <v>K030</v>
      </c>
      <c r="G1428">
        <f>'2020_5-2-2_Download'!AZ32</f>
        <v>42.604617604617609</v>
      </c>
    </row>
    <row r="1429" spans="1:7">
      <c r="A1429">
        <f>'2020_5-2-2_Download'!B33</f>
        <v>353</v>
      </c>
      <c r="B1429">
        <f>'2020_5-2-2_Download'!$AT$5</f>
        <v>2014</v>
      </c>
      <c r="C1429" t="str">
        <f>VLOOKUP(A2833,[1]Tabelle1!$A$1:$B$68,2,FALSE)</f>
        <v>Niedersachsen</v>
      </c>
      <c r="D1429" t="str">
        <f>'2020_5-2-2_Download'!$AZ$7</f>
        <v>unbekannt</v>
      </c>
      <c r="E1429" t="s">
        <v>362</v>
      </c>
      <c r="F1429" s="266" t="str">
        <f>VLOOKUP(A2833,[2]Kreise!$A$2:$C$53,3,FALSE)</f>
        <v>K030</v>
      </c>
      <c r="G1429">
        <f>'2020_5-2-2_Download'!AZ33</f>
        <v>46.749144511713617</v>
      </c>
    </row>
    <row r="1430" spans="1:7">
      <c r="A1430">
        <f>'2020_5-2-2_Download'!B34</f>
        <v>354</v>
      </c>
      <c r="B1430">
        <f>'2020_5-2-2_Download'!$AT$5</f>
        <v>2014</v>
      </c>
      <c r="C1430" t="str">
        <f>VLOOKUP(A2834,[1]Tabelle1!$A$1:$B$68,2,FALSE)</f>
        <v>Niedersachsen</v>
      </c>
      <c r="D1430" t="str">
        <f>'2020_5-2-2_Download'!$AZ$7</f>
        <v>unbekannt</v>
      </c>
      <c r="E1430" t="s">
        <v>362</v>
      </c>
      <c r="F1430" s="266" t="str">
        <f>VLOOKUP(A2834,[2]Kreise!$A$2:$C$53,3,FALSE)</f>
        <v>K030</v>
      </c>
      <c r="G1430">
        <f>'2020_5-2-2_Download'!AZ34</f>
        <v>45.58011049723757</v>
      </c>
    </row>
    <row r="1431" spans="1:7">
      <c r="A1431">
        <f>'2020_5-2-2_Download'!B35</f>
        <v>355</v>
      </c>
      <c r="B1431">
        <f>'2020_5-2-2_Download'!$AT$5</f>
        <v>2014</v>
      </c>
      <c r="C1431" t="str">
        <f>VLOOKUP(A2835,[1]Tabelle1!$A$1:$B$68,2,FALSE)</f>
        <v>Niedersachsen</v>
      </c>
      <c r="D1431" t="str">
        <f>'2020_5-2-2_Download'!$AZ$7</f>
        <v>unbekannt</v>
      </c>
      <c r="E1431" t="s">
        <v>362</v>
      </c>
      <c r="F1431" s="266" t="str">
        <f>VLOOKUP(A2835,[2]Kreise!$A$2:$C$53,3,FALSE)</f>
        <v>K030</v>
      </c>
      <c r="G1431">
        <f>'2020_5-2-2_Download'!AZ35</f>
        <v>30.761859127934841</v>
      </c>
    </row>
    <row r="1432" spans="1:7">
      <c r="A1432">
        <f>'2020_5-2-2_Download'!B36</f>
        <v>356</v>
      </c>
      <c r="B1432">
        <f>'2020_5-2-2_Download'!$AT$5</f>
        <v>2014</v>
      </c>
      <c r="C1432" t="str">
        <f>VLOOKUP(A2836,[1]Tabelle1!$A$1:$B$68,2,FALSE)</f>
        <v>Niedersachsen</v>
      </c>
      <c r="D1432" t="str">
        <f>'2020_5-2-2_Download'!$AZ$7</f>
        <v>unbekannt</v>
      </c>
      <c r="E1432" t="s">
        <v>362</v>
      </c>
      <c r="F1432" s="266" t="str">
        <f>VLOOKUP(A2836,[2]Kreise!$A$2:$C$53,3,FALSE)</f>
        <v>K030</v>
      </c>
      <c r="G1432">
        <f>'2020_5-2-2_Download'!AZ36</f>
        <v>34.47927199191102</v>
      </c>
    </row>
    <row r="1433" spans="1:7">
      <c r="A1433">
        <f>'2020_5-2-2_Download'!B37</f>
        <v>357</v>
      </c>
      <c r="B1433">
        <f>'2020_5-2-2_Download'!$AT$5</f>
        <v>2014</v>
      </c>
      <c r="C1433" t="str">
        <f>VLOOKUP(A2837,[1]Tabelle1!$A$1:$B$68,2,FALSE)</f>
        <v>Niedersachsen</v>
      </c>
      <c r="D1433" t="str">
        <f>'2020_5-2-2_Download'!$AZ$7</f>
        <v>unbekannt</v>
      </c>
      <c r="E1433" t="s">
        <v>362</v>
      </c>
      <c r="F1433" s="266" t="str">
        <f>VLOOKUP(A2837,[2]Kreise!$A$2:$C$53,3,FALSE)</f>
        <v>K030</v>
      </c>
      <c r="G1433">
        <f>'2020_5-2-2_Download'!AZ37</f>
        <v>40.882061446977204</v>
      </c>
    </row>
    <row r="1434" spans="1:7">
      <c r="A1434">
        <f>'2020_5-2-2_Download'!B38</f>
        <v>358</v>
      </c>
      <c r="B1434">
        <f>'2020_5-2-2_Download'!$AT$5</f>
        <v>2014</v>
      </c>
      <c r="C1434" t="str">
        <f>VLOOKUP(A2838,[1]Tabelle1!$A$1:$B$68,2,FALSE)</f>
        <v>Niedersachsen</v>
      </c>
      <c r="D1434" t="str">
        <f>'2020_5-2-2_Download'!$AZ$7</f>
        <v>unbekannt</v>
      </c>
      <c r="E1434" t="s">
        <v>362</v>
      </c>
      <c r="F1434" s="266" t="str">
        <f>VLOOKUP(A2838,[2]Kreise!$A$2:$C$53,3,FALSE)</f>
        <v>K030</v>
      </c>
      <c r="G1434">
        <f>'2020_5-2-2_Download'!AZ38</f>
        <v>36.728395061728392</v>
      </c>
    </row>
    <row r="1435" spans="1:7">
      <c r="A1435">
        <f>'2020_5-2-2_Download'!B39</f>
        <v>359</v>
      </c>
      <c r="B1435">
        <f>'2020_5-2-2_Download'!$AT$5</f>
        <v>2014</v>
      </c>
      <c r="C1435" t="str">
        <f>VLOOKUP(A2839,[1]Tabelle1!$A$1:$B$68,2,FALSE)</f>
        <v>Niedersachsen</v>
      </c>
      <c r="D1435" t="str">
        <f>'2020_5-2-2_Download'!$AZ$7</f>
        <v>unbekannt</v>
      </c>
      <c r="E1435" t="s">
        <v>362</v>
      </c>
      <c r="F1435" s="266" t="str">
        <f>VLOOKUP(A2839,[2]Kreise!$A$2:$C$53,3,FALSE)</f>
        <v>K030</v>
      </c>
      <c r="G1435">
        <f>'2020_5-2-2_Download'!AZ39</f>
        <v>58.093869731800766</v>
      </c>
    </row>
    <row r="1436" spans="1:7">
      <c r="A1436">
        <f>'2020_5-2-2_Download'!B40</f>
        <v>360</v>
      </c>
      <c r="B1436">
        <f>'2020_5-2-2_Download'!$AT$5</f>
        <v>2014</v>
      </c>
      <c r="C1436" t="str">
        <f>VLOOKUP(A2840,[1]Tabelle1!$A$1:$B$68,2,FALSE)</f>
        <v>Niedersachsen</v>
      </c>
      <c r="D1436" t="str">
        <f>'2020_5-2-2_Download'!$AZ$7</f>
        <v>unbekannt</v>
      </c>
      <c r="E1436" t="s">
        <v>362</v>
      </c>
      <c r="F1436" s="266" t="str">
        <f>VLOOKUP(A2840,[2]Kreise!$A$2:$C$53,3,FALSE)</f>
        <v>K030</v>
      </c>
      <c r="G1436">
        <f>'2020_5-2-2_Download'!AZ40</f>
        <v>35.472578763127174</v>
      </c>
    </row>
    <row r="1437" spans="1:7">
      <c r="A1437">
        <f>'2020_5-2-2_Download'!B41</f>
        <v>361</v>
      </c>
      <c r="B1437">
        <f>'2020_5-2-2_Download'!$AT$5</f>
        <v>2014</v>
      </c>
      <c r="C1437" t="str">
        <f>VLOOKUP(A2841,[1]Tabelle1!$A$1:$B$68,2,FALSE)</f>
        <v>Niedersachsen</v>
      </c>
      <c r="D1437" t="str">
        <f>'2020_5-2-2_Download'!$AZ$7</f>
        <v>unbekannt</v>
      </c>
      <c r="E1437" t="s">
        <v>362</v>
      </c>
      <c r="F1437" s="266" t="str">
        <f>VLOOKUP(A2841,[2]Kreise!$A$2:$C$53,3,FALSE)</f>
        <v>K030</v>
      </c>
      <c r="G1437">
        <f>'2020_5-2-2_Download'!AZ41</f>
        <v>31.025957972805934</v>
      </c>
    </row>
    <row r="1438" spans="1:7">
      <c r="A1438">
        <f>'2020_5-2-2_Download'!B42</f>
        <v>3</v>
      </c>
      <c r="B1438">
        <f>'2020_5-2-2_Download'!$AT$5</f>
        <v>2014</v>
      </c>
      <c r="C1438" t="str">
        <f>VLOOKUP(A2842,[1]Tabelle1!$A$1:$B$68,2,FALSE)</f>
        <v>Niedersachsen</v>
      </c>
      <c r="D1438" t="str">
        <f>'2020_5-2-2_Download'!$AZ$7</f>
        <v>unbekannt</v>
      </c>
      <c r="E1438" t="s">
        <v>362</v>
      </c>
      <c r="F1438" s="266" t="str">
        <f>VLOOKUP(A2842,[2]Kreise!$A$2:$C$53,3,FALSE)</f>
        <v>K030</v>
      </c>
      <c r="G1438">
        <f>'2020_5-2-2_Download'!AZ42</f>
        <v>41.012868410128682</v>
      </c>
    </row>
    <row r="1439" spans="1:7">
      <c r="A1439">
        <f>'2020_5-2-2_Download'!B43</f>
        <v>401</v>
      </c>
      <c r="B1439">
        <f>'2020_5-2-2_Download'!$AT$5</f>
        <v>2014</v>
      </c>
      <c r="C1439" t="str">
        <f>VLOOKUP(A2843,[1]Tabelle1!$A$1:$B$68,2,FALSE)</f>
        <v>Niedersachsen</v>
      </c>
      <c r="D1439" t="str">
        <f>'2020_5-2-2_Download'!$AZ$7</f>
        <v>unbekannt</v>
      </c>
      <c r="E1439" t="s">
        <v>362</v>
      </c>
      <c r="F1439" s="266" t="str">
        <f>VLOOKUP(A2843,[2]Kreise!$A$2:$C$53,3,FALSE)</f>
        <v>K030</v>
      </c>
      <c r="G1439">
        <f>'2020_5-2-2_Download'!AZ43</f>
        <v>40.073529411764717</v>
      </c>
    </row>
    <row r="1440" spans="1:7">
      <c r="A1440">
        <f>'2020_5-2-2_Download'!B44</f>
        <v>402</v>
      </c>
      <c r="B1440">
        <f>'2020_5-2-2_Download'!$AT$5</f>
        <v>2014</v>
      </c>
      <c r="C1440" t="str">
        <f>VLOOKUP(A2844,[1]Tabelle1!$A$1:$B$68,2,FALSE)</f>
        <v>Niedersachsen</v>
      </c>
      <c r="D1440" t="str">
        <f>'2020_5-2-2_Download'!$AZ$7</f>
        <v>unbekannt</v>
      </c>
      <c r="E1440" t="s">
        <v>362</v>
      </c>
      <c r="F1440" s="266" t="str">
        <f>VLOOKUP(A2844,[2]Kreise!$A$2:$C$53,3,FALSE)</f>
        <v>K030</v>
      </c>
      <c r="G1440">
        <f>'2020_5-2-2_Download'!AZ44</f>
        <v>34.390243902439018</v>
      </c>
    </row>
    <row r="1441" spans="1:7">
      <c r="A1441">
        <f>'2020_5-2-2_Download'!B45</f>
        <v>403</v>
      </c>
      <c r="B1441">
        <f>'2020_5-2-2_Download'!$AT$5</f>
        <v>2014</v>
      </c>
      <c r="C1441" t="str">
        <f>VLOOKUP(A2845,[1]Tabelle1!$A$1:$B$68,2,FALSE)</f>
        <v>Niedersachsen</v>
      </c>
      <c r="D1441" t="str">
        <f>'2020_5-2-2_Download'!$AZ$7</f>
        <v>unbekannt</v>
      </c>
      <c r="E1441" t="s">
        <v>362</v>
      </c>
      <c r="F1441" s="266" t="str">
        <f>VLOOKUP(A2845,[2]Kreise!$A$2:$C$53,3,FALSE)</f>
        <v>K030</v>
      </c>
      <c r="G1441">
        <f>'2020_5-2-2_Download'!AZ45</f>
        <v>30.552694816340541</v>
      </c>
    </row>
    <row r="1442" spans="1:7">
      <c r="A1442">
        <f>'2020_5-2-2_Download'!B46</f>
        <v>404</v>
      </c>
      <c r="B1442">
        <f>'2020_5-2-2_Download'!$AT$5</f>
        <v>2014</v>
      </c>
      <c r="C1442" t="str">
        <f>VLOOKUP(A2846,[1]Tabelle1!$A$1:$B$68,2,FALSE)</f>
        <v>Niedersachsen</v>
      </c>
      <c r="D1442" t="str">
        <f>'2020_5-2-2_Download'!$AZ$7</f>
        <v>unbekannt</v>
      </c>
      <c r="E1442" t="s">
        <v>362</v>
      </c>
      <c r="F1442" s="266" t="str">
        <f>VLOOKUP(A2846,[2]Kreise!$A$2:$C$53,3,FALSE)</f>
        <v>K030</v>
      </c>
      <c r="G1442">
        <f>'2020_5-2-2_Download'!AZ46</f>
        <v>30.160618679357533</v>
      </c>
    </row>
    <row r="1443" spans="1:7">
      <c r="A1443">
        <f>'2020_5-2-2_Download'!B47</f>
        <v>405</v>
      </c>
      <c r="B1443">
        <f>'2020_5-2-2_Download'!$AT$5</f>
        <v>2014</v>
      </c>
      <c r="C1443" t="str">
        <f>VLOOKUP(A2847,[1]Tabelle1!$A$1:$B$68,2,FALSE)</f>
        <v>Niedersachsen</v>
      </c>
      <c r="D1443" t="str">
        <f>'2020_5-2-2_Download'!$AZ$7</f>
        <v>unbekannt</v>
      </c>
      <c r="E1443" t="s">
        <v>362</v>
      </c>
      <c r="F1443" s="266" t="str">
        <f>VLOOKUP(A2847,[2]Kreise!$A$2:$C$53,3,FALSE)</f>
        <v>K030</v>
      </c>
      <c r="G1443">
        <f>'2020_5-2-2_Download'!AZ47</f>
        <v>28.756476683937827</v>
      </c>
    </row>
    <row r="1444" spans="1:7">
      <c r="A1444">
        <f>'2020_5-2-2_Download'!B48</f>
        <v>451</v>
      </c>
      <c r="B1444">
        <f>'2020_5-2-2_Download'!$AT$5</f>
        <v>2014</v>
      </c>
      <c r="C1444" t="str">
        <f>VLOOKUP(A2848,[1]Tabelle1!$A$1:$B$68,2,FALSE)</f>
        <v>Niedersachsen</v>
      </c>
      <c r="D1444" t="str">
        <f>'2020_5-2-2_Download'!$AZ$7</f>
        <v>unbekannt</v>
      </c>
      <c r="E1444" t="s">
        <v>362</v>
      </c>
      <c r="F1444" s="266" t="str">
        <f>VLOOKUP(A2848,[2]Kreise!$A$2:$C$53,3,FALSE)</f>
        <v>K030</v>
      </c>
      <c r="G1444">
        <f>'2020_5-2-2_Download'!AZ48</f>
        <v>48.170731707317067</v>
      </c>
    </row>
    <row r="1445" spans="1:7">
      <c r="A1445">
        <f>'2020_5-2-2_Download'!B49</f>
        <v>452</v>
      </c>
      <c r="B1445">
        <f>'2020_5-2-2_Download'!$AT$5</f>
        <v>2014</v>
      </c>
      <c r="C1445" t="str">
        <f>VLOOKUP(A2849,[1]Tabelle1!$A$1:$B$68,2,FALSE)</f>
        <v>Niedersachsen</v>
      </c>
      <c r="D1445" t="str">
        <f>'2020_5-2-2_Download'!$AZ$7</f>
        <v>unbekannt</v>
      </c>
      <c r="E1445" t="s">
        <v>362</v>
      </c>
      <c r="F1445" s="266" t="str">
        <f>VLOOKUP(A2849,[2]Kreise!$A$2:$C$53,3,FALSE)</f>
        <v>K030</v>
      </c>
      <c r="G1445">
        <f>'2020_5-2-2_Download'!AZ49</f>
        <v>46.884164222873906</v>
      </c>
    </row>
    <row r="1446" spans="1:7">
      <c r="A1446">
        <f>'2020_5-2-2_Download'!B50</f>
        <v>453</v>
      </c>
      <c r="B1446">
        <f>'2020_5-2-2_Download'!$AT$5</f>
        <v>2014</v>
      </c>
      <c r="C1446" t="str">
        <f>VLOOKUP(A2850,[1]Tabelle1!$A$1:$B$68,2,FALSE)</f>
        <v>Niedersachsen</v>
      </c>
      <c r="D1446" t="str">
        <f>'2020_5-2-2_Download'!$AZ$7</f>
        <v>unbekannt</v>
      </c>
      <c r="E1446" t="s">
        <v>362</v>
      </c>
      <c r="F1446" s="266" t="str">
        <f>VLOOKUP(A2850,[2]Kreise!$A$2:$C$53,3,FALSE)</f>
        <v>K030</v>
      </c>
      <c r="G1446">
        <f>'2020_5-2-2_Download'!AZ50</f>
        <v>54.029264031447909</v>
      </c>
    </row>
    <row r="1447" spans="1:7">
      <c r="A1447">
        <f>'2020_5-2-2_Download'!B51</f>
        <v>454</v>
      </c>
      <c r="B1447">
        <f>'2020_5-2-2_Download'!$AT$5</f>
        <v>2014</v>
      </c>
      <c r="C1447" t="str">
        <f>VLOOKUP(A2851,[1]Tabelle1!$A$1:$B$68,2,FALSE)</f>
        <v>Niedersachsen</v>
      </c>
      <c r="D1447" t="str">
        <f>'2020_5-2-2_Download'!$AZ$7</f>
        <v>unbekannt</v>
      </c>
      <c r="E1447" t="s">
        <v>362</v>
      </c>
      <c r="F1447" s="266" t="str">
        <f>VLOOKUP(A2851,[2]Kreise!$A$2:$C$53,3,FALSE)</f>
        <v>K030</v>
      </c>
      <c r="G1447">
        <f>'2020_5-2-2_Download'!AZ51</f>
        <v>39.110320284697508</v>
      </c>
    </row>
    <row r="1448" spans="1:7">
      <c r="A1448">
        <f>'2020_5-2-2_Download'!B52</f>
        <v>455</v>
      </c>
      <c r="B1448">
        <f>'2020_5-2-2_Download'!$AT$5</f>
        <v>2014</v>
      </c>
      <c r="C1448" t="str">
        <f>VLOOKUP(A2852,[1]Tabelle1!$A$1:$B$68,2,FALSE)</f>
        <v>Niedersachsen</v>
      </c>
      <c r="D1448" t="str">
        <f>'2020_5-2-2_Download'!$AZ$7</f>
        <v>unbekannt</v>
      </c>
      <c r="E1448" t="s">
        <v>362</v>
      </c>
      <c r="F1448" s="266" t="str">
        <f>VLOOKUP(A2852,[2]Kreise!$A$2:$C$53,3,FALSE)</f>
        <v>K030</v>
      </c>
      <c r="G1448">
        <f>'2020_5-2-2_Download'!AZ52</f>
        <v>37.850467289719631</v>
      </c>
    </row>
    <row r="1449" spans="1:7">
      <c r="A1449">
        <f>'2020_5-2-2_Download'!B53</f>
        <v>456</v>
      </c>
      <c r="B1449">
        <f>'2020_5-2-2_Download'!$AT$5</f>
        <v>2014</v>
      </c>
      <c r="C1449" t="str">
        <f>VLOOKUP(A2853,[1]Tabelle1!$A$1:$B$68,2,FALSE)</f>
        <v>Niedersachsen</v>
      </c>
      <c r="D1449" t="str">
        <f>'2020_5-2-2_Download'!$AZ$7</f>
        <v>unbekannt</v>
      </c>
      <c r="E1449" t="s">
        <v>362</v>
      </c>
      <c r="F1449" s="266" t="str">
        <f>VLOOKUP(A2853,[2]Kreise!$A$2:$C$53,3,FALSE)</f>
        <v>K030</v>
      </c>
      <c r="G1449">
        <f>'2020_5-2-2_Download'!AZ53</f>
        <v>34.960582171012739</v>
      </c>
    </row>
    <row r="1450" spans="1:7">
      <c r="A1450">
        <f>'2020_5-2-2_Download'!B54</f>
        <v>457</v>
      </c>
      <c r="B1450">
        <f>'2020_5-2-2_Download'!$AT$5</f>
        <v>2014</v>
      </c>
      <c r="C1450" t="str">
        <f>VLOOKUP(A2854,[1]Tabelle1!$A$1:$B$68,2,FALSE)</f>
        <v>Niedersachsen</v>
      </c>
      <c r="D1450" t="str">
        <f>'2020_5-2-2_Download'!$AZ$7</f>
        <v>unbekannt</v>
      </c>
      <c r="E1450" t="s">
        <v>362</v>
      </c>
      <c r="F1450" s="266" t="str">
        <f>VLOOKUP(A2854,[2]Kreise!$A$2:$C$53,3,FALSE)</f>
        <v>K030</v>
      </c>
      <c r="G1450">
        <f>'2020_5-2-2_Download'!AZ54</f>
        <v>42.803437164339414</v>
      </c>
    </row>
    <row r="1451" spans="1:7">
      <c r="A1451">
        <f>'2020_5-2-2_Download'!B55</f>
        <v>458</v>
      </c>
      <c r="B1451">
        <f>'2020_5-2-2_Download'!$AT$5</f>
        <v>2014</v>
      </c>
      <c r="C1451" t="str">
        <f>VLOOKUP(A2855,[1]Tabelle1!$A$1:$B$68,2,FALSE)</f>
        <v>Niedersachsen</v>
      </c>
      <c r="D1451" t="str">
        <f>'2020_5-2-2_Download'!$AZ$7</f>
        <v>unbekannt</v>
      </c>
      <c r="E1451" t="s">
        <v>362</v>
      </c>
      <c r="F1451" s="266" t="str">
        <f>VLOOKUP(A2855,[2]Kreise!$A$2:$C$53,3,FALSE)</f>
        <v>K030</v>
      </c>
      <c r="G1451">
        <f>'2020_5-2-2_Download'!AZ55</f>
        <v>41.551104262968664</v>
      </c>
    </row>
    <row r="1452" spans="1:7">
      <c r="A1452">
        <f>'2020_5-2-2_Download'!B56</f>
        <v>459</v>
      </c>
      <c r="B1452">
        <f>'2020_5-2-2_Download'!$AT$5</f>
        <v>2014</v>
      </c>
      <c r="C1452" t="str">
        <f>VLOOKUP(A2856,[1]Tabelle1!$A$1:$B$68,2,FALSE)</f>
        <v>Niedersachsen</v>
      </c>
      <c r="D1452" t="str">
        <f>'2020_5-2-2_Download'!$AZ$7</f>
        <v>unbekannt</v>
      </c>
      <c r="E1452" t="s">
        <v>362</v>
      </c>
      <c r="F1452" s="266" t="str">
        <f>VLOOKUP(A2856,[2]Kreise!$A$2:$C$53,3,FALSE)</f>
        <v>K030</v>
      </c>
      <c r="G1452">
        <f>'2020_5-2-2_Download'!AZ56</f>
        <v>43.994524923006729</v>
      </c>
    </row>
    <row r="1453" spans="1:7">
      <c r="A1453">
        <f>'2020_5-2-2_Download'!B57</f>
        <v>460</v>
      </c>
      <c r="B1453">
        <f>'2020_5-2-2_Download'!$AT$5</f>
        <v>2014</v>
      </c>
      <c r="C1453" t="str">
        <f>VLOOKUP(A2857,[1]Tabelle1!$A$1:$B$68,2,FALSE)</f>
        <v>Niedersachsen</v>
      </c>
      <c r="D1453" t="str">
        <f>'2020_5-2-2_Download'!$AZ$7</f>
        <v>unbekannt</v>
      </c>
      <c r="E1453" t="s">
        <v>362</v>
      </c>
      <c r="F1453" s="266" t="str">
        <f>VLOOKUP(A2857,[2]Kreise!$A$2:$C$53,3,FALSE)</f>
        <v>K030</v>
      </c>
      <c r="G1453">
        <f>'2020_5-2-2_Download'!AZ57</f>
        <v>52.892690513219286</v>
      </c>
    </row>
    <row r="1454" spans="1:7">
      <c r="A1454">
        <f>'2020_5-2-2_Download'!B58</f>
        <v>461</v>
      </c>
      <c r="B1454">
        <f>'2020_5-2-2_Download'!$AT$5</f>
        <v>2014</v>
      </c>
      <c r="C1454" t="str">
        <f>VLOOKUP(A2858,[1]Tabelle1!$A$1:$B$68,2,FALSE)</f>
        <v>Niedersachsen</v>
      </c>
      <c r="D1454" t="str">
        <f>'2020_5-2-2_Download'!$AZ$7</f>
        <v>unbekannt</v>
      </c>
      <c r="E1454" t="s">
        <v>362</v>
      </c>
      <c r="F1454" s="266" t="str">
        <f>VLOOKUP(A2858,[2]Kreise!$A$2:$C$53,3,FALSE)</f>
        <v>K030</v>
      </c>
      <c r="G1454">
        <f>'2020_5-2-2_Download'!AZ58</f>
        <v>33.684210526315788</v>
      </c>
    </row>
    <row r="1455" spans="1:7">
      <c r="A1455">
        <f>'2020_5-2-2_Download'!B59</f>
        <v>462</v>
      </c>
      <c r="B1455">
        <f>'2020_5-2-2_Download'!$AT$5</f>
        <v>2014</v>
      </c>
      <c r="C1455" t="str">
        <f>VLOOKUP(A2859,[1]Tabelle1!$A$1:$B$68,2,FALSE)</f>
        <v>Niedersachsen</v>
      </c>
      <c r="D1455" t="str">
        <f>'2020_5-2-2_Download'!$AZ$7</f>
        <v>unbekannt</v>
      </c>
      <c r="E1455" t="s">
        <v>362</v>
      </c>
      <c r="F1455" s="266" t="str">
        <f>VLOOKUP(A2859,[2]Kreise!$A$2:$C$53,3,FALSE)</f>
        <v>K030</v>
      </c>
      <c r="G1455">
        <f>'2020_5-2-2_Download'!AZ59</f>
        <v>64.50511945392492</v>
      </c>
    </row>
    <row r="1456" spans="1:7">
      <c r="A1456">
        <f>'2020_5-2-2_Download'!B60</f>
        <v>4</v>
      </c>
      <c r="B1456">
        <f>'2020_5-2-2_Download'!$AT$5</f>
        <v>2014</v>
      </c>
      <c r="C1456" t="str">
        <f>VLOOKUP(A2860,[1]Tabelle1!$A$1:$B$68,2,FALSE)</f>
        <v>Niedersachsen</v>
      </c>
      <c r="D1456" t="str">
        <f>'2020_5-2-2_Download'!$AZ$7</f>
        <v>unbekannt</v>
      </c>
      <c r="E1456" t="s">
        <v>362</v>
      </c>
      <c r="F1456" s="266" t="str">
        <f>VLOOKUP(A2860,[2]Kreise!$A$2:$C$53,3,FALSE)</f>
        <v>K030</v>
      </c>
      <c r="G1456">
        <f>'2020_5-2-2_Download'!AZ60</f>
        <v>42.275453781676802</v>
      </c>
    </row>
    <row r="1457" spans="1:7">
      <c r="A1457">
        <f>'2020_5-2-2_Download'!B61</f>
        <v>0</v>
      </c>
      <c r="B1457">
        <f>'2020_5-2-2_Download'!$AT$5</f>
        <v>2014</v>
      </c>
      <c r="C1457" t="str">
        <f>VLOOKUP(A2861,[1]Tabelle1!$A$1:$B$68,2,FALSE)</f>
        <v>Niedersachsen</v>
      </c>
      <c r="D1457" t="str">
        <f>'2020_5-2-2_Download'!$AZ$7</f>
        <v>unbekannt</v>
      </c>
      <c r="E1457" t="s">
        <v>362</v>
      </c>
      <c r="F1457" s="266" t="str">
        <f>VLOOKUP(A2861,[2]Kreise!$A$2:$C$53,3,FALSE)</f>
        <v>K030</v>
      </c>
      <c r="G1457">
        <f>'2020_5-2-2_Download'!AZ61</f>
        <v>35.56534729283571</v>
      </c>
    </row>
    <row r="1458" spans="1:7">
      <c r="A1458">
        <f>'2020_5-2-2_Download'!B10</f>
        <v>101</v>
      </c>
      <c r="B1458">
        <f>'2020_5-2-2_Download'!$BA$5</f>
        <v>2013</v>
      </c>
      <c r="C1458" t="str">
        <f>VLOOKUP(A2862,[1]Tabelle1!$A$1:$B$68,2,FALSE)</f>
        <v>Niedersachsen</v>
      </c>
      <c r="D1458" t="str">
        <f>'2020_5-2-2_Download'!$BD$7</f>
        <v>hoch</v>
      </c>
      <c r="E1458" t="s">
        <v>362</v>
      </c>
      <c r="F1458" s="266" t="str">
        <f>VLOOKUP(A2862,[2]Kreise!$A$2:$C$53,3,FALSE)</f>
        <v>K030</v>
      </c>
      <c r="G1458">
        <f>'2020_5-2-2_Download'!BD10</f>
        <v>19.897959183673468</v>
      </c>
    </row>
    <row r="1459" spans="1:7">
      <c r="A1459">
        <f>'2020_5-2-2_Download'!B11</f>
        <v>102</v>
      </c>
      <c r="B1459">
        <f>'2020_5-2-2_Download'!$BA$5</f>
        <v>2013</v>
      </c>
      <c r="C1459" t="str">
        <f>VLOOKUP(A2863,[1]Tabelle1!$A$1:$B$68,2,FALSE)</f>
        <v>Niedersachsen</v>
      </c>
      <c r="D1459" t="str">
        <f>'2020_5-2-2_Download'!$BD$7</f>
        <v>hoch</v>
      </c>
      <c r="E1459" t="s">
        <v>362</v>
      </c>
      <c r="F1459" s="266" t="str">
        <f>VLOOKUP(A2863,[2]Kreise!$A$2:$C$53,3,FALSE)</f>
        <v>K030</v>
      </c>
      <c r="G1459">
        <f>'2020_5-2-2_Download'!BD11</f>
        <v>5.4226475279106863</v>
      </c>
    </row>
    <row r="1460" spans="1:7">
      <c r="A1460">
        <f>'2020_5-2-2_Download'!B12</f>
        <v>103</v>
      </c>
      <c r="B1460">
        <f>'2020_5-2-2_Download'!$BA$5</f>
        <v>2013</v>
      </c>
      <c r="C1460" t="str">
        <f>VLOOKUP(A2864,[1]Tabelle1!$A$1:$B$68,2,FALSE)</f>
        <v>Niedersachsen</v>
      </c>
      <c r="D1460" t="str">
        <f>'2020_5-2-2_Download'!$BD$7</f>
        <v>hoch</v>
      </c>
      <c r="E1460" t="s">
        <v>362</v>
      </c>
      <c r="F1460" s="266" t="str">
        <f>VLOOKUP(A2864,[2]Kreise!$A$2:$C$53,3,FALSE)</f>
        <v>K030</v>
      </c>
      <c r="G1460">
        <f>'2020_5-2-2_Download'!BD12</f>
        <v>17.124457878827705</v>
      </c>
    </row>
    <row r="1461" spans="1:7">
      <c r="A1461">
        <f>'2020_5-2-2_Download'!B13</f>
        <v>151</v>
      </c>
      <c r="B1461">
        <f>'2020_5-2-2_Download'!$BA$5</f>
        <v>2013</v>
      </c>
      <c r="C1461" t="str">
        <f>VLOOKUP(A2865,[1]Tabelle1!$A$1:$B$68,2,FALSE)</f>
        <v>Niedersachsen</v>
      </c>
      <c r="D1461" t="str">
        <f>'2020_5-2-2_Download'!$BD$7</f>
        <v>hoch</v>
      </c>
      <c r="E1461" t="s">
        <v>362</v>
      </c>
      <c r="F1461" s="266" t="str">
        <f>VLOOKUP(A2865,[2]Kreise!$A$2:$C$53,3,FALSE)</f>
        <v>K030</v>
      </c>
      <c r="G1461">
        <f>'2020_5-2-2_Download'!BD13</f>
        <v>12.763532763532764</v>
      </c>
    </row>
    <row r="1462" spans="1:7">
      <c r="A1462">
        <f>'2020_5-2-2_Download'!B14</f>
        <v>153</v>
      </c>
      <c r="B1462">
        <f>'2020_5-2-2_Download'!$BA$5</f>
        <v>2013</v>
      </c>
      <c r="C1462" t="str">
        <f>VLOOKUP(A2866,[1]Tabelle1!$A$1:$B$68,2,FALSE)</f>
        <v>Niedersachsen</v>
      </c>
      <c r="D1462" t="str">
        <f>'2020_5-2-2_Download'!$BD$7</f>
        <v>hoch</v>
      </c>
      <c r="E1462" t="s">
        <v>362</v>
      </c>
      <c r="F1462" s="266" t="str">
        <f>VLOOKUP(A2866,[2]Kreise!$A$2:$C$53,3,FALSE)</f>
        <v>K030</v>
      </c>
      <c r="G1462">
        <f>'2020_5-2-2_Download'!BD14</f>
        <v>20.609318996415769</v>
      </c>
    </row>
    <row r="1463" spans="1:7">
      <c r="A1463">
        <f>'2020_5-2-2_Download'!B15</f>
        <v>154</v>
      </c>
      <c r="B1463">
        <f>'2020_5-2-2_Download'!$BA$5</f>
        <v>2013</v>
      </c>
      <c r="C1463" t="str">
        <f>VLOOKUP(A2867,[1]Tabelle1!$A$1:$B$68,2,FALSE)</f>
        <v>Niedersachsen</v>
      </c>
      <c r="D1463" t="str">
        <f>'2020_5-2-2_Download'!$BD$7</f>
        <v>hoch</v>
      </c>
      <c r="E1463" t="s">
        <v>362</v>
      </c>
      <c r="F1463" s="266" t="str">
        <f>VLOOKUP(A2867,[2]Kreise!$A$2:$C$53,3,FALSE)</f>
        <v>K030</v>
      </c>
      <c r="G1463">
        <f>'2020_5-2-2_Download'!BD15</f>
        <v>11.41396933560477</v>
      </c>
    </row>
    <row r="1464" spans="1:7">
      <c r="A1464">
        <f>'2020_5-2-2_Download'!B16</f>
        <v>155</v>
      </c>
      <c r="B1464">
        <f>'2020_5-2-2_Download'!$BA$5</f>
        <v>2013</v>
      </c>
      <c r="C1464" t="str">
        <f>VLOOKUP(A2868,[1]Tabelle1!$A$1:$B$68,2,FALSE)</f>
        <v>Niedersachsen</v>
      </c>
      <c r="D1464" t="str">
        <f>'2020_5-2-2_Download'!$BD$7</f>
        <v>hoch</v>
      </c>
      <c r="E1464" t="s">
        <v>362</v>
      </c>
      <c r="F1464" s="266" t="str">
        <f>VLOOKUP(A2868,[2]Kreise!$A$2:$C$53,3,FALSE)</f>
        <v>K030</v>
      </c>
      <c r="G1464">
        <f>'2020_5-2-2_Download'!BD16</f>
        <v>10.453172205438065</v>
      </c>
    </row>
    <row r="1465" spans="1:7">
      <c r="A1465">
        <f>'2020_5-2-2_Download'!B17</f>
        <v>157</v>
      </c>
      <c r="B1465">
        <f>'2020_5-2-2_Download'!$BA$5</f>
        <v>2013</v>
      </c>
      <c r="C1465" t="str">
        <f>VLOOKUP(A2869,[1]Tabelle1!$A$1:$B$68,2,FALSE)</f>
        <v>Niedersachsen</v>
      </c>
      <c r="D1465" t="str">
        <f>'2020_5-2-2_Download'!$BD$7</f>
        <v>hoch</v>
      </c>
      <c r="E1465" t="s">
        <v>362</v>
      </c>
      <c r="F1465" s="266" t="str">
        <f>VLOOKUP(A2869,[2]Kreise!$A$2:$C$53,3,FALSE)</f>
        <v>K030</v>
      </c>
      <c r="G1465">
        <f>'2020_5-2-2_Download'!BD17</f>
        <v>5.5261165783497352</v>
      </c>
    </row>
    <row r="1466" spans="1:7">
      <c r="A1466">
        <f>'2020_5-2-2_Download'!B18</f>
        <v>158</v>
      </c>
      <c r="B1466">
        <f>'2020_5-2-2_Download'!$BA$5</f>
        <v>2013</v>
      </c>
      <c r="C1466" t="str">
        <f>VLOOKUP(A2870,[1]Tabelle1!$A$1:$B$68,2,FALSE)</f>
        <v>Niedersachsen</v>
      </c>
      <c r="D1466" t="str">
        <f>'2020_5-2-2_Download'!$BD$7</f>
        <v>hoch</v>
      </c>
      <c r="E1466" t="s">
        <v>362</v>
      </c>
      <c r="F1466" s="266" t="str">
        <f>VLOOKUP(A2870,[2]Kreise!$A$2:$C$53,3,FALSE)</f>
        <v>K030</v>
      </c>
      <c r="G1466">
        <f>'2020_5-2-2_Download'!BD18</f>
        <v>10.899182561307901</v>
      </c>
    </row>
    <row r="1467" spans="1:7">
      <c r="A1467">
        <f>'2020_5-2-2_Download'!B19</f>
        <v>159</v>
      </c>
      <c r="B1467">
        <f>'2020_5-2-2_Download'!$BA$5</f>
        <v>2013</v>
      </c>
      <c r="C1467" t="str">
        <f>VLOOKUP(A2871,[1]Tabelle1!$A$1:$B$68,2,FALSE)</f>
        <v>Niedersachsen</v>
      </c>
      <c r="D1467" t="str">
        <f>'2020_5-2-2_Download'!$BD$7</f>
        <v>hoch</v>
      </c>
      <c r="E1467" t="s">
        <v>362</v>
      </c>
      <c r="F1467" s="266" t="str">
        <f>VLOOKUP(A2871,[2]Kreise!$A$2:$C$53,3,FALSE)</f>
        <v>K030</v>
      </c>
      <c r="G1467">
        <f>'2020_5-2-2_Download'!BD19</f>
        <v>27.098505174396319</v>
      </c>
    </row>
    <row r="1468" spans="1:7">
      <c r="A1468">
        <f>'2020_5-2-2_Download'!B20</f>
        <v>1</v>
      </c>
      <c r="B1468">
        <f>'2020_5-2-2_Download'!$BA$5</f>
        <v>2013</v>
      </c>
      <c r="C1468" t="str">
        <f>VLOOKUP(A2872,[1]Tabelle1!$A$1:$B$68,2,FALSE)</f>
        <v>Niedersachsen</v>
      </c>
      <c r="D1468" t="str">
        <f>'2020_5-2-2_Download'!$BD$7</f>
        <v>hoch</v>
      </c>
      <c r="E1468" t="s">
        <v>362</v>
      </c>
      <c r="F1468" s="266" t="str">
        <f>VLOOKUP(A2872,[2]Kreise!$A$2:$C$53,3,FALSE)</f>
        <v>K030</v>
      </c>
      <c r="G1468">
        <f>'2020_5-2-2_Download'!BD20</f>
        <v>16.743734083902961</v>
      </c>
    </row>
    <row r="1469" spans="1:7">
      <c r="A1469">
        <f>'2020_5-2-2_Download'!B21</f>
        <v>241</v>
      </c>
      <c r="B1469">
        <f>'2020_5-2-2_Download'!$BA$5</f>
        <v>2013</v>
      </c>
      <c r="C1469" t="str">
        <f>VLOOKUP(A2873,[1]Tabelle1!$A$1:$B$68,2,FALSE)</f>
        <v>Niedersachsen</v>
      </c>
      <c r="D1469" t="str">
        <f>'2020_5-2-2_Download'!$BD$7</f>
        <v>hoch</v>
      </c>
      <c r="E1469" t="s">
        <v>362</v>
      </c>
      <c r="F1469" s="266" t="str">
        <f>VLOOKUP(A2873,[2]Kreise!$A$2:$C$53,3,FALSE)</f>
        <v>K030</v>
      </c>
      <c r="G1469">
        <f>'2020_5-2-2_Download'!BD21</f>
        <v>9.6961006011802997</v>
      </c>
    </row>
    <row r="1470" spans="1:7">
      <c r="A1470">
        <f>'2020_5-2-2_Download'!B22</f>
        <v>241001</v>
      </c>
      <c r="B1470">
        <f>'2020_5-2-2_Download'!$BA$5</f>
        <v>2013</v>
      </c>
      <c r="C1470" t="str">
        <f>VLOOKUP(A2874,[1]Tabelle1!$A$1:$B$68,2,FALSE)</f>
        <v>Niedersachsen</v>
      </c>
      <c r="D1470" t="str">
        <f>'2020_5-2-2_Download'!$BD$7</f>
        <v>hoch</v>
      </c>
      <c r="E1470" t="s">
        <v>362</v>
      </c>
      <c r="F1470" s="266" t="str">
        <f>VLOOKUP(A2874,[2]Kreise!$A$2:$C$53,3,FALSE)</f>
        <v>K030</v>
      </c>
      <c r="G1470">
        <f>'2020_5-2-2_Download'!BD22</f>
        <v>12.282977032171694</v>
      </c>
    </row>
    <row r="1471" spans="1:7">
      <c r="A1471">
        <f>'2020_5-2-2_Download'!B23</f>
        <v>241999</v>
      </c>
      <c r="B1471">
        <f>'2020_5-2-2_Download'!$BA$5</f>
        <v>2013</v>
      </c>
      <c r="C1471" t="str">
        <f>VLOOKUP(A2875,[1]Tabelle1!$A$1:$B$68,2,FALSE)</f>
        <v>Niedersachsen</v>
      </c>
      <c r="D1471" t="str">
        <f>'2020_5-2-2_Download'!$BD$7</f>
        <v>hoch</v>
      </c>
      <c r="E1471" t="s">
        <v>362</v>
      </c>
      <c r="F1471" s="266" t="str">
        <f>VLOOKUP(A2875,[2]Kreise!$A$2:$C$53,3,FALSE)</f>
        <v>K030</v>
      </c>
      <c r="G1471">
        <f>'2020_5-2-2_Download'!BD23</f>
        <v>4.692936321708876</v>
      </c>
    </row>
    <row r="1472" spans="1:7">
      <c r="A1472">
        <f>'2020_5-2-2_Download'!B24</f>
        <v>251</v>
      </c>
      <c r="B1472">
        <f>'2020_5-2-2_Download'!$BA$5</f>
        <v>2013</v>
      </c>
      <c r="C1472" t="str">
        <f>VLOOKUP(A2876,[1]Tabelle1!$A$1:$B$68,2,FALSE)</f>
        <v>Niedersachsen</v>
      </c>
      <c r="D1472" t="str">
        <f>'2020_5-2-2_Download'!$BD$7</f>
        <v>hoch</v>
      </c>
      <c r="E1472" t="s">
        <v>362</v>
      </c>
      <c r="F1472" s="266" t="str">
        <f>VLOOKUP(A2876,[2]Kreise!$A$2:$C$53,3,FALSE)</f>
        <v>K030</v>
      </c>
      <c r="G1472">
        <f>'2020_5-2-2_Download'!BD24</f>
        <v>8.1922016541945641</v>
      </c>
    </row>
    <row r="1473" spans="1:7">
      <c r="A1473">
        <f>'2020_5-2-2_Download'!B25</f>
        <v>252</v>
      </c>
      <c r="B1473">
        <f>'2020_5-2-2_Download'!$BA$5</f>
        <v>2013</v>
      </c>
      <c r="C1473" t="str">
        <f>VLOOKUP(A2877,[1]Tabelle1!$A$1:$B$68,2,FALSE)</f>
        <v>Niedersachsen</v>
      </c>
      <c r="D1473" t="str">
        <f>'2020_5-2-2_Download'!$BD$7</f>
        <v>hoch</v>
      </c>
      <c r="E1473" t="s">
        <v>362</v>
      </c>
      <c r="F1473" s="266" t="str">
        <f>VLOOKUP(A2877,[2]Kreise!$A$2:$C$53,3,FALSE)</f>
        <v>K030</v>
      </c>
      <c r="G1473">
        <f>'2020_5-2-2_Download'!BD25</f>
        <v>8.0165289256198342</v>
      </c>
    </row>
    <row r="1474" spans="1:7">
      <c r="A1474">
        <f>'2020_5-2-2_Download'!B26</f>
        <v>254</v>
      </c>
      <c r="B1474">
        <f>'2020_5-2-2_Download'!$BA$5</f>
        <v>2013</v>
      </c>
      <c r="C1474" t="str">
        <f>VLOOKUP(A2878,[1]Tabelle1!$A$1:$B$68,2,FALSE)</f>
        <v>Niedersachsen</v>
      </c>
      <c r="D1474" t="str">
        <f>'2020_5-2-2_Download'!$BD$7</f>
        <v>hoch</v>
      </c>
      <c r="E1474" t="s">
        <v>362</v>
      </c>
      <c r="F1474" s="266" t="str">
        <f>VLOOKUP(A2878,[2]Kreise!$A$2:$C$53,3,FALSE)</f>
        <v>K030</v>
      </c>
      <c r="G1474">
        <f>'2020_5-2-2_Download'!BD26</f>
        <v>11.8282797958571</v>
      </c>
    </row>
    <row r="1475" spans="1:7">
      <c r="A1475">
        <f>'2020_5-2-2_Download'!B27</f>
        <v>255</v>
      </c>
      <c r="B1475">
        <f>'2020_5-2-2_Download'!$BA$5</f>
        <v>2013</v>
      </c>
      <c r="C1475" t="str">
        <f>VLOOKUP(A2879,[1]Tabelle1!$A$1:$B$68,2,FALSE)</f>
        <v>Niedersachsen</v>
      </c>
      <c r="D1475" t="str">
        <f>'2020_5-2-2_Download'!$BD$7</f>
        <v>hoch</v>
      </c>
      <c r="E1475" t="s">
        <v>362</v>
      </c>
      <c r="F1475" s="266" t="str">
        <f>VLOOKUP(A2879,[2]Kreise!$A$2:$C$53,3,FALSE)</f>
        <v>K030</v>
      </c>
      <c r="G1475">
        <f>'2020_5-2-2_Download'!BD27</f>
        <v>9.1275167785234892</v>
      </c>
    </row>
    <row r="1476" spans="1:7">
      <c r="A1476">
        <f>'2020_5-2-2_Download'!B28</f>
        <v>256</v>
      </c>
      <c r="B1476">
        <f>'2020_5-2-2_Download'!$BA$5</f>
        <v>2013</v>
      </c>
      <c r="C1476" t="str">
        <f>VLOOKUP(A2880,[1]Tabelle1!$A$1:$B$68,2,FALSE)</f>
        <v>Niedersachsen</v>
      </c>
      <c r="D1476" t="str">
        <f>'2020_5-2-2_Download'!$BD$7</f>
        <v>hoch</v>
      </c>
      <c r="E1476" t="s">
        <v>362</v>
      </c>
      <c r="F1476" s="266" t="str">
        <f>VLOOKUP(A2880,[2]Kreise!$A$2:$C$53,3,FALSE)</f>
        <v>K030</v>
      </c>
      <c r="G1476">
        <f>'2020_5-2-2_Download'!BD28</f>
        <v>4.8869883934025662</v>
      </c>
    </row>
    <row r="1477" spans="1:7">
      <c r="A1477">
        <f>'2020_5-2-2_Download'!B29</f>
        <v>257</v>
      </c>
      <c r="B1477">
        <f>'2020_5-2-2_Download'!$BA$5</f>
        <v>2013</v>
      </c>
      <c r="C1477" t="str">
        <f>VLOOKUP(A2881,[1]Tabelle1!$A$1:$B$68,2,FALSE)</f>
        <v>Niedersachsen</v>
      </c>
      <c r="D1477" t="str">
        <f>'2020_5-2-2_Download'!$BD$7</f>
        <v>hoch</v>
      </c>
      <c r="E1477" t="s">
        <v>362</v>
      </c>
      <c r="F1477" s="266" t="str">
        <f>VLOOKUP(A2881,[2]Kreise!$A$2:$C$53,3,FALSE)</f>
        <v>K030</v>
      </c>
      <c r="G1477">
        <f>'2020_5-2-2_Download'!BD29</f>
        <v>6.6404051772650536</v>
      </c>
    </row>
    <row r="1478" spans="1:7">
      <c r="A1478">
        <f>'2020_5-2-2_Download'!B30</f>
        <v>2</v>
      </c>
      <c r="B1478">
        <f>'2020_5-2-2_Download'!$BA$5</f>
        <v>2013</v>
      </c>
      <c r="C1478" t="str">
        <f>VLOOKUP(A2882,[1]Tabelle1!$A$1:$B$68,2,FALSE)</f>
        <v>Niedersachsen</v>
      </c>
      <c r="D1478" t="str">
        <f>'2020_5-2-2_Download'!$BD$7</f>
        <v>hoch</v>
      </c>
      <c r="E1478" t="s">
        <v>362</v>
      </c>
      <c r="F1478" s="266" t="str">
        <f>VLOOKUP(A2882,[2]Kreise!$A$2:$C$53,3,FALSE)</f>
        <v>K030</v>
      </c>
      <c r="G1478">
        <f>'2020_5-2-2_Download'!BD30</f>
        <v>9.398287861058078</v>
      </c>
    </row>
    <row r="1479" spans="1:7">
      <c r="A1479">
        <f>'2020_5-2-2_Download'!B31</f>
        <v>351</v>
      </c>
      <c r="B1479">
        <f>'2020_5-2-2_Download'!$BA$5</f>
        <v>2013</v>
      </c>
      <c r="C1479" t="str">
        <f>VLOOKUP(A2883,[1]Tabelle1!$A$1:$B$68,2,FALSE)</f>
        <v>Niedersachsen</v>
      </c>
      <c r="D1479" t="str">
        <f>'2020_5-2-2_Download'!$BD$7</f>
        <v>hoch</v>
      </c>
      <c r="E1479" t="s">
        <v>362</v>
      </c>
      <c r="F1479" s="266" t="str">
        <f>VLOOKUP(A2883,[2]Kreise!$A$2:$C$53,3,FALSE)</f>
        <v>K030</v>
      </c>
      <c r="G1479">
        <f>'2020_5-2-2_Download'!BD31</f>
        <v>13.005911778080945</v>
      </c>
    </row>
    <row r="1480" spans="1:7">
      <c r="A1480">
        <f>'2020_5-2-2_Download'!B32</f>
        <v>352</v>
      </c>
      <c r="B1480">
        <f>'2020_5-2-2_Download'!$BA$5</f>
        <v>2013</v>
      </c>
      <c r="C1480" t="str">
        <f>VLOOKUP(A2884,[1]Tabelle1!$A$1:$B$68,2,FALSE)</f>
        <v>Niedersachsen</v>
      </c>
      <c r="D1480" t="str">
        <f>'2020_5-2-2_Download'!$BD$7</f>
        <v>hoch</v>
      </c>
      <c r="E1480" t="s">
        <v>362</v>
      </c>
      <c r="F1480" s="266" t="str">
        <f>VLOOKUP(A2884,[2]Kreise!$A$2:$C$53,3,FALSE)</f>
        <v>K030</v>
      </c>
      <c r="G1480">
        <f>'2020_5-2-2_Download'!BD32</f>
        <v>5.1550543697140556</v>
      </c>
    </row>
    <row r="1481" spans="1:7">
      <c r="A1481">
        <f>'2020_5-2-2_Download'!B33</f>
        <v>353</v>
      </c>
      <c r="B1481">
        <f>'2020_5-2-2_Download'!$BA$5</f>
        <v>2013</v>
      </c>
      <c r="C1481" t="str">
        <f>VLOOKUP(A2885,[1]Tabelle1!$A$1:$B$68,2,FALSE)</f>
        <v>Niedersachsen</v>
      </c>
      <c r="D1481" t="str">
        <f>'2020_5-2-2_Download'!$BD$7</f>
        <v>hoch</v>
      </c>
      <c r="E1481" t="s">
        <v>362</v>
      </c>
      <c r="F1481" s="266" t="str">
        <f>VLOOKUP(A2885,[2]Kreise!$A$2:$C$53,3,FALSE)</f>
        <v>K030</v>
      </c>
      <c r="G1481">
        <f>'2020_5-2-2_Download'!BD33</f>
        <v>3.9869086581374593</v>
      </c>
    </row>
    <row r="1482" spans="1:7">
      <c r="A1482">
        <f>'2020_5-2-2_Download'!B34</f>
        <v>354</v>
      </c>
      <c r="B1482">
        <f>'2020_5-2-2_Download'!$BA$5</f>
        <v>2013</v>
      </c>
      <c r="C1482" t="str">
        <f>VLOOKUP(A2886,[1]Tabelle1!$A$1:$B$68,2,FALSE)</f>
        <v>Niedersachsen</v>
      </c>
      <c r="D1482" t="str">
        <f>'2020_5-2-2_Download'!$BD$7</f>
        <v>hoch</v>
      </c>
      <c r="E1482" t="s">
        <v>362</v>
      </c>
      <c r="F1482" s="266" t="str">
        <f>VLOOKUP(A2886,[2]Kreise!$A$2:$C$53,3,FALSE)</f>
        <v>K030</v>
      </c>
      <c r="G1482">
        <f>'2020_5-2-2_Download'!BD34</f>
        <v>6.2706270627062706</v>
      </c>
    </row>
    <row r="1483" spans="1:7">
      <c r="A1483">
        <f>'2020_5-2-2_Download'!B35</f>
        <v>355</v>
      </c>
      <c r="B1483">
        <f>'2020_5-2-2_Download'!$BA$5</f>
        <v>2013</v>
      </c>
      <c r="C1483" t="str">
        <f>VLOOKUP(A2887,[1]Tabelle1!$A$1:$B$68,2,FALSE)</f>
        <v>Niedersachsen</v>
      </c>
      <c r="D1483" t="str">
        <f>'2020_5-2-2_Download'!$BD$7</f>
        <v>hoch</v>
      </c>
      <c r="E1483" t="s">
        <v>362</v>
      </c>
      <c r="F1483" s="266" t="str">
        <f>VLOOKUP(A2887,[2]Kreise!$A$2:$C$53,3,FALSE)</f>
        <v>K030</v>
      </c>
      <c r="G1483">
        <f>'2020_5-2-2_Download'!BD35</f>
        <v>13.004719454640798</v>
      </c>
    </row>
    <row r="1484" spans="1:7">
      <c r="A1484">
        <f>'2020_5-2-2_Download'!B36</f>
        <v>356</v>
      </c>
      <c r="B1484">
        <f>'2020_5-2-2_Download'!$BA$5</f>
        <v>2013</v>
      </c>
      <c r="C1484" t="str">
        <f>VLOOKUP(A2888,[1]Tabelle1!$A$1:$B$68,2,FALSE)</f>
        <v>Niedersachsen</v>
      </c>
      <c r="D1484" t="str">
        <f>'2020_5-2-2_Download'!$BD$7</f>
        <v>hoch</v>
      </c>
      <c r="E1484" t="s">
        <v>362</v>
      </c>
      <c r="F1484" s="266" t="str">
        <f>VLOOKUP(A2888,[2]Kreise!$A$2:$C$53,3,FALSE)</f>
        <v>K030</v>
      </c>
      <c r="G1484">
        <f>'2020_5-2-2_Download'!BD36</f>
        <v>4.5104510451045101</v>
      </c>
    </row>
    <row r="1485" spans="1:7">
      <c r="A1485">
        <f>'2020_5-2-2_Download'!B37</f>
        <v>357</v>
      </c>
      <c r="B1485">
        <f>'2020_5-2-2_Download'!$BA$5</f>
        <v>2013</v>
      </c>
      <c r="C1485" t="str">
        <f>VLOOKUP(A2889,[1]Tabelle1!$A$1:$B$68,2,FALSE)</f>
        <v>Niedersachsen</v>
      </c>
      <c r="D1485" t="str">
        <f>'2020_5-2-2_Download'!$BD$7</f>
        <v>hoch</v>
      </c>
      <c r="E1485" t="s">
        <v>362</v>
      </c>
      <c r="F1485" s="266" t="str">
        <f>VLOOKUP(A2889,[2]Kreise!$A$2:$C$53,3,FALSE)</f>
        <v>K030</v>
      </c>
      <c r="G1485">
        <f>'2020_5-2-2_Download'!BD37</f>
        <v>9.1894977168949765</v>
      </c>
    </row>
    <row r="1486" spans="1:7">
      <c r="A1486">
        <f>'2020_5-2-2_Download'!B38</f>
        <v>358</v>
      </c>
      <c r="B1486">
        <f>'2020_5-2-2_Download'!$BA$5</f>
        <v>2013</v>
      </c>
      <c r="C1486" t="str">
        <f>VLOOKUP(A2890,[1]Tabelle1!$A$1:$B$68,2,FALSE)</f>
        <v>Niedersachsen</v>
      </c>
      <c r="D1486" t="str">
        <f>'2020_5-2-2_Download'!$BD$7</f>
        <v>hoch</v>
      </c>
      <c r="E1486" t="s">
        <v>362</v>
      </c>
      <c r="F1486" s="266" t="str">
        <f>VLOOKUP(A2890,[2]Kreise!$A$2:$C$53,3,FALSE)</f>
        <v>K030</v>
      </c>
      <c r="G1486">
        <f>'2020_5-2-2_Download'!BD38</f>
        <v>5.3681710213776723</v>
      </c>
    </row>
    <row r="1487" spans="1:7">
      <c r="A1487">
        <f>'2020_5-2-2_Download'!B39</f>
        <v>359</v>
      </c>
      <c r="B1487">
        <f>'2020_5-2-2_Download'!$BA$5</f>
        <v>2013</v>
      </c>
      <c r="C1487" t="str">
        <f>VLOOKUP(A2891,[1]Tabelle1!$A$1:$B$68,2,FALSE)</f>
        <v>Niedersachsen</v>
      </c>
      <c r="D1487" t="str">
        <f>'2020_5-2-2_Download'!$BD$7</f>
        <v>hoch</v>
      </c>
      <c r="E1487" t="s">
        <v>362</v>
      </c>
      <c r="F1487" s="266" t="str">
        <f>VLOOKUP(A2891,[2]Kreise!$A$2:$C$53,3,FALSE)</f>
        <v>K030</v>
      </c>
      <c r="G1487">
        <f>'2020_5-2-2_Download'!BD39</f>
        <v>6.1311311311311307</v>
      </c>
    </row>
    <row r="1488" spans="1:7">
      <c r="A1488">
        <f>'2020_5-2-2_Download'!B40</f>
        <v>360</v>
      </c>
      <c r="B1488">
        <f>'2020_5-2-2_Download'!$BA$5</f>
        <v>2013</v>
      </c>
      <c r="C1488" t="str">
        <f>VLOOKUP(A2892,[1]Tabelle1!$A$1:$B$68,2,FALSE)</f>
        <v>Niedersachsen</v>
      </c>
      <c r="D1488" t="str">
        <f>'2020_5-2-2_Download'!$BD$7</f>
        <v>hoch</v>
      </c>
      <c r="E1488" t="s">
        <v>362</v>
      </c>
      <c r="F1488" s="266" t="str">
        <f>VLOOKUP(A2892,[2]Kreise!$A$2:$C$53,3,FALSE)</f>
        <v>K030</v>
      </c>
      <c r="G1488">
        <f>'2020_5-2-2_Download'!BD40</f>
        <v>12.5</v>
      </c>
    </row>
    <row r="1489" spans="1:7">
      <c r="A1489">
        <f>'2020_5-2-2_Download'!B41</f>
        <v>361</v>
      </c>
      <c r="B1489">
        <f>'2020_5-2-2_Download'!$BA$5</f>
        <v>2013</v>
      </c>
      <c r="C1489" t="str">
        <f>VLOOKUP(A2893,[1]Tabelle1!$A$1:$B$68,2,FALSE)</f>
        <v>Niedersachsen</v>
      </c>
      <c r="D1489" t="str">
        <f>'2020_5-2-2_Download'!$BD$7</f>
        <v>hoch</v>
      </c>
      <c r="E1489" t="s">
        <v>362</v>
      </c>
      <c r="F1489" s="266" t="str">
        <f>VLOOKUP(A2893,[2]Kreise!$A$2:$C$53,3,FALSE)</f>
        <v>K030</v>
      </c>
      <c r="G1489">
        <f>'2020_5-2-2_Download'!BD41</f>
        <v>10.45109423849933</v>
      </c>
    </row>
    <row r="1490" spans="1:7">
      <c r="A1490">
        <f>'2020_5-2-2_Download'!B42</f>
        <v>3</v>
      </c>
      <c r="B1490">
        <f>'2020_5-2-2_Download'!$BA$5</f>
        <v>2013</v>
      </c>
      <c r="C1490" t="str">
        <f>VLOOKUP(A2894,[1]Tabelle1!$A$1:$B$68,2,FALSE)</f>
        <v>Niedersachsen</v>
      </c>
      <c r="D1490" t="str">
        <f>'2020_5-2-2_Download'!$BD$7</f>
        <v>hoch</v>
      </c>
      <c r="E1490" t="s">
        <v>362</v>
      </c>
      <c r="F1490" s="266" t="str">
        <f>VLOOKUP(A2894,[2]Kreise!$A$2:$C$53,3,FALSE)</f>
        <v>K030</v>
      </c>
      <c r="G1490">
        <f>'2020_5-2-2_Download'!BD42</f>
        <v>7.7387985094974105</v>
      </c>
    </row>
    <row r="1491" spans="1:7">
      <c r="A1491">
        <f>'2020_5-2-2_Download'!B43</f>
        <v>401</v>
      </c>
      <c r="B1491">
        <f>'2020_5-2-2_Download'!$BA$5</f>
        <v>2013</v>
      </c>
      <c r="C1491" t="str">
        <f>VLOOKUP(A2895,[1]Tabelle1!$A$1:$B$68,2,FALSE)</f>
        <v>Niedersachsen</v>
      </c>
      <c r="D1491" t="str">
        <f>'2020_5-2-2_Download'!$BD$7</f>
        <v>hoch</v>
      </c>
      <c r="E1491" t="s">
        <v>362</v>
      </c>
      <c r="F1491" s="266" t="str">
        <f>VLOOKUP(A2895,[2]Kreise!$A$2:$C$53,3,FALSE)</f>
        <v>K030</v>
      </c>
      <c r="G1491">
        <f>'2020_5-2-2_Download'!BD43</f>
        <v>4.1545893719806761</v>
      </c>
    </row>
    <row r="1492" spans="1:7">
      <c r="A1492">
        <f>'2020_5-2-2_Download'!B44</f>
        <v>402</v>
      </c>
      <c r="B1492">
        <f>'2020_5-2-2_Download'!$BA$5</f>
        <v>2013</v>
      </c>
      <c r="C1492" t="str">
        <f>VLOOKUP(A2896,[1]Tabelle1!$A$1:$B$68,2,FALSE)</f>
        <v>Niedersachsen</v>
      </c>
      <c r="D1492" t="str">
        <f>'2020_5-2-2_Download'!$BD$7</f>
        <v>hoch</v>
      </c>
      <c r="E1492" t="s">
        <v>362</v>
      </c>
      <c r="F1492" s="266" t="str">
        <f>VLOOKUP(A2896,[2]Kreise!$A$2:$C$53,3,FALSE)</f>
        <v>K030</v>
      </c>
      <c r="G1492">
        <f>'2020_5-2-2_Download'!BD44</f>
        <v>8.1521739130434785</v>
      </c>
    </row>
    <row r="1493" spans="1:7">
      <c r="A1493">
        <f>'2020_5-2-2_Download'!B45</f>
        <v>403</v>
      </c>
      <c r="B1493">
        <f>'2020_5-2-2_Download'!$BA$5</f>
        <v>2013</v>
      </c>
      <c r="C1493" t="str">
        <f>VLOOKUP(A2897,[1]Tabelle1!$A$1:$B$68,2,FALSE)</f>
        <v>Niedersachsen</v>
      </c>
      <c r="D1493" t="str">
        <f>'2020_5-2-2_Download'!$BD$7</f>
        <v>hoch</v>
      </c>
      <c r="E1493" t="s">
        <v>362</v>
      </c>
      <c r="F1493" s="266" t="str">
        <f>VLOOKUP(A2897,[2]Kreise!$A$2:$C$53,3,FALSE)</f>
        <v>K030</v>
      </c>
      <c r="G1493">
        <f>'2020_5-2-2_Download'!BD45</f>
        <v>15.543859649122806</v>
      </c>
    </row>
    <row r="1494" spans="1:7">
      <c r="A1494">
        <f>'2020_5-2-2_Download'!B46</f>
        <v>404</v>
      </c>
      <c r="B1494">
        <f>'2020_5-2-2_Download'!$BA$5</f>
        <v>2013</v>
      </c>
      <c r="C1494" t="str">
        <f>VLOOKUP(A2898,[1]Tabelle1!$A$1:$B$68,2,FALSE)</f>
        <v>Niedersachsen</v>
      </c>
      <c r="D1494" t="str">
        <f>'2020_5-2-2_Download'!$BD$7</f>
        <v>hoch</v>
      </c>
      <c r="E1494" t="s">
        <v>362</v>
      </c>
      <c r="F1494" s="266" t="str">
        <f>VLOOKUP(A2898,[2]Kreise!$A$2:$C$53,3,FALSE)</f>
        <v>K030</v>
      </c>
      <c r="G1494">
        <f>'2020_5-2-2_Download'!BD46</f>
        <v>9.0728213290887378</v>
      </c>
    </row>
    <row r="1495" spans="1:7">
      <c r="A1495">
        <f>'2020_5-2-2_Download'!B47</f>
        <v>405</v>
      </c>
      <c r="B1495">
        <f>'2020_5-2-2_Download'!$BA$5</f>
        <v>2013</v>
      </c>
      <c r="C1495" t="str">
        <f>VLOOKUP(A2899,[1]Tabelle1!$A$1:$B$68,2,FALSE)</f>
        <v>Niedersachsen</v>
      </c>
      <c r="D1495" t="str">
        <f>'2020_5-2-2_Download'!$BD$7</f>
        <v>hoch</v>
      </c>
      <c r="E1495" t="s">
        <v>362</v>
      </c>
      <c r="F1495" s="266" t="str">
        <f>VLOOKUP(A2899,[2]Kreise!$A$2:$C$53,3,FALSE)</f>
        <v>K030</v>
      </c>
      <c r="G1495">
        <f>'2020_5-2-2_Download'!BD47</f>
        <v>11.495844875346259</v>
      </c>
    </row>
    <row r="1496" spans="1:7">
      <c r="A1496">
        <f>'2020_5-2-2_Download'!B48</f>
        <v>451</v>
      </c>
      <c r="B1496">
        <f>'2020_5-2-2_Download'!$BA$5</f>
        <v>2013</v>
      </c>
      <c r="C1496" t="str">
        <f>VLOOKUP(A2900,[1]Tabelle1!$A$1:$B$68,2,FALSE)</f>
        <v>Niedersachsen</v>
      </c>
      <c r="D1496" t="str">
        <f>'2020_5-2-2_Download'!$BD$7</f>
        <v>hoch</v>
      </c>
      <c r="E1496" t="s">
        <v>362</v>
      </c>
      <c r="F1496" s="266" t="str">
        <f>VLOOKUP(A2900,[2]Kreise!$A$2:$C$53,3,FALSE)</f>
        <v>K030</v>
      </c>
      <c r="G1496">
        <f>'2020_5-2-2_Download'!BD48</f>
        <v>4.9556598852373499</v>
      </c>
    </row>
    <row r="1497" spans="1:7">
      <c r="A1497">
        <f>'2020_5-2-2_Download'!B49</f>
        <v>452</v>
      </c>
      <c r="B1497">
        <f>'2020_5-2-2_Download'!$BA$5</f>
        <v>2013</v>
      </c>
      <c r="C1497" t="str">
        <f>VLOOKUP(A2901,[1]Tabelle1!$A$1:$B$68,2,FALSE)</f>
        <v>Niedersachsen</v>
      </c>
      <c r="D1497" t="str">
        <f>'2020_5-2-2_Download'!$BD$7</f>
        <v>hoch</v>
      </c>
      <c r="E1497" t="s">
        <v>362</v>
      </c>
      <c r="F1497" s="266" t="str">
        <f>VLOOKUP(A2901,[2]Kreise!$A$2:$C$53,3,FALSE)</f>
        <v>K030</v>
      </c>
      <c r="G1497">
        <f>'2020_5-2-2_Download'!BD49</f>
        <v>6.8677494199535962</v>
      </c>
    </row>
    <row r="1498" spans="1:7">
      <c r="A1498">
        <f>'2020_5-2-2_Download'!B50</f>
        <v>453</v>
      </c>
      <c r="B1498">
        <f>'2020_5-2-2_Download'!$BA$5</f>
        <v>2013</v>
      </c>
      <c r="C1498" t="str">
        <f>VLOOKUP(A2902,[1]Tabelle1!$A$1:$B$68,2,FALSE)</f>
        <v>Niedersachsen</v>
      </c>
      <c r="D1498" t="str">
        <f>'2020_5-2-2_Download'!$BD$7</f>
        <v>hoch</v>
      </c>
      <c r="E1498" t="s">
        <v>362</v>
      </c>
      <c r="F1498" s="266" t="str">
        <f>VLOOKUP(A2902,[2]Kreise!$A$2:$C$53,3,FALSE)</f>
        <v>K030</v>
      </c>
      <c r="G1498">
        <f>'2020_5-2-2_Download'!BD50</f>
        <v>2.2796352583586628</v>
      </c>
    </row>
    <row r="1499" spans="1:7">
      <c r="A1499">
        <f>'2020_5-2-2_Download'!B51</f>
        <v>454</v>
      </c>
      <c r="B1499">
        <f>'2020_5-2-2_Download'!$BA$5</f>
        <v>2013</v>
      </c>
      <c r="C1499" t="str">
        <f>VLOOKUP(A2903,[1]Tabelle1!$A$1:$B$68,2,FALSE)</f>
        <v>Niedersachsen</v>
      </c>
      <c r="D1499" t="str">
        <f>'2020_5-2-2_Download'!$BD$7</f>
        <v>hoch</v>
      </c>
      <c r="E1499" t="s">
        <v>362</v>
      </c>
      <c r="F1499" s="266" t="str">
        <f>VLOOKUP(A2903,[2]Kreise!$A$2:$C$53,3,FALSE)</f>
        <v>K030</v>
      </c>
      <c r="G1499">
        <f>'2020_5-2-2_Download'!BD51</f>
        <v>7.9510068507369729</v>
      </c>
    </row>
    <row r="1500" spans="1:7">
      <c r="A1500">
        <f>'2020_5-2-2_Download'!B52</f>
        <v>455</v>
      </c>
      <c r="B1500">
        <f>'2020_5-2-2_Download'!$BA$5</f>
        <v>2013</v>
      </c>
      <c r="C1500" t="str">
        <f>VLOOKUP(A2904,[1]Tabelle1!$A$1:$B$68,2,FALSE)</f>
        <v>Niedersachsen</v>
      </c>
      <c r="D1500" t="str">
        <f>'2020_5-2-2_Download'!$BD$7</f>
        <v>hoch</v>
      </c>
      <c r="E1500" t="s">
        <v>362</v>
      </c>
      <c r="F1500" s="266" t="str">
        <f>VLOOKUP(A2904,[2]Kreise!$A$2:$C$53,3,FALSE)</f>
        <v>K030</v>
      </c>
      <c r="G1500">
        <f>'2020_5-2-2_Download'!BD52</f>
        <v>8.0054274084124835</v>
      </c>
    </row>
    <row r="1501" spans="1:7">
      <c r="A1501">
        <f>'2020_5-2-2_Download'!B53</f>
        <v>456</v>
      </c>
      <c r="B1501">
        <f>'2020_5-2-2_Download'!$BA$5</f>
        <v>2013</v>
      </c>
      <c r="C1501" t="str">
        <f>VLOOKUP(A2905,[1]Tabelle1!$A$1:$B$68,2,FALSE)</f>
        <v>Niedersachsen</v>
      </c>
      <c r="D1501" t="str">
        <f>'2020_5-2-2_Download'!$BD$7</f>
        <v>hoch</v>
      </c>
      <c r="E1501" t="s">
        <v>362</v>
      </c>
      <c r="F1501" s="266" t="str">
        <f>VLOOKUP(A2905,[2]Kreise!$A$2:$C$53,3,FALSE)</f>
        <v>K030</v>
      </c>
      <c r="G1501">
        <f>'2020_5-2-2_Download'!BD53</f>
        <v>5.353728489483748</v>
      </c>
    </row>
    <row r="1502" spans="1:7">
      <c r="A1502">
        <f>'2020_5-2-2_Download'!B54</f>
        <v>457</v>
      </c>
      <c r="B1502">
        <f>'2020_5-2-2_Download'!$BA$5</f>
        <v>2013</v>
      </c>
      <c r="C1502" t="str">
        <f>VLOOKUP(A2906,[1]Tabelle1!$A$1:$B$68,2,FALSE)</f>
        <v>Niedersachsen</v>
      </c>
      <c r="D1502" t="str">
        <f>'2020_5-2-2_Download'!$BD$7</f>
        <v>hoch</v>
      </c>
      <c r="E1502" t="s">
        <v>362</v>
      </c>
      <c r="F1502" s="266" t="str">
        <f>VLOOKUP(A2906,[2]Kreise!$A$2:$C$53,3,FALSE)</f>
        <v>K030</v>
      </c>
      <c r="G1502">
        <f>'2020_5-2-2_Download'!BD54</f>
        <v>7.815964523281596</v>
      </c>
    </row>
    <row r="1503" spans="1:7">
      <c r="A1503">
        <f>'2020_5-2-2_Download'!B55</f>
        <v>458</v>
      </c>
      <c r="B1503">
        <f>'2020_5-2-2_Download'!$BA$5</f>
        <v>2013</v>
      </c>
      <c r="C1503" t="str">
        <f>VLOOKUP(A2907,[1]Tabelle1!$A$1:$B$68,2,FALSE)</f>
        <v>Niedersachsen</v>
      </c>
      <c r="D1503" t="str">
        <f>'2020_5-2-2_Download'!$BD$7</f>
        <v>hoch</v>
      </c>
      <c r="E1503" t="s">
        <v>362</v>
      </c>
      <c r="F1503" s="266" t="str">
        <f>VLOOKUP(A2907,[2]Kreise!$A$2:$C$53,3,FALSE)</f>
        <v>K030</v>
      </c>
      <c r="G1503">
        <f>'2020_5-2-2_Download'!BD55</f>
        <v>3.7059538274605104</v>
      </c>
    </row>
    <row r="1504" spans="1:7">
      <c r="A1504">
        <f>'2020_5-2-2_Download'!B56</f>
        <v>459</v>
      </c>
      <c r="B1504">
        <f>'2020_5-2-2_Download'!$BA$5</f>
        <v>2013</v>
      </c>
      <c r="C1504" t="str">
        <f>VLOOKUP(A2908,[1]Tabelle1!$A$1:$B$68,2,FALSE)</f>
        <v>Niedersachsen</v>
      </c>
      <c r="D1504" t="str">
        <f>'2020_5-2-2_Download'!$BD$7</f>
        <v>hoch</v>
      </c>
      <c r="E1504" t="s">
        <v>362</v>
      </c>
      <c r="F1504" s="266" t="str">
        <f>VLOOKUP(A2908,[2]Kreise!$A$2:$C$53,3,FALSE)</f>
        <v>K030</v>
      </c>
      <c r="G1504">
        <f>'2020_5-2-2_Download'!BD56</f>
        <v>3.7066560382622558</v>
      </c>
    </row>
    <row r="1505" spans="1:7">
      <c r="A1505">
        <f>'2020_5-2-2_Download'!B57</f>
        <v>460</v>
      </c>
      <c r="B1505">
        <f>'2020_5-2-2_Download'!$BA$5</f>
        <v>2013</v>
      </c>
      <c r="C1505" t="str">
        <f>VLOOKUP(A2909,[1]Tabelle1!$A$1:$B$68,2,FALSE)</f>
        <v>Niedersachsen</v>
      </c>
      <c r="D1505" t="str">
        <f>'2020_5-2-2_Download'!$BD$7</f>
        <v>hoch</v>
      </c>
      <c r="E1505" t="s">
        <v>362</v>
      </c>
      <c r="F1505" s="266" t="str">
        <f>VLOOKUP(A2909,[2]Kreise!$A$2:$C$53,3,FALSE)</f>
        <v>K030</v>
      </c>
      <c r="G1505">
        <f>'2020_5-2-2_Download'!BD57</f>
        <v>3.4937376400791038</v>
      </c>
    </row>
    <row r="1506" spans="1:7">
      <c r="A1506">
        <f>'2020_5-2-2_Download'!B58</f>
        <v>461</v>
      </c>
      <c r="B1506">
        <f>'2020_5-2-2_Download'!$BA$5</f>
        <v>2013</v>
      </c>
      <c r="C1506" t="str">
        <f>VLOOKUP(A2910,[1]Tabelle1!$A$1:$B$68,2,FALSE)</f>
        <v>Niedersachsen</v>
      </c>
      <c r="D1506" t="str">
        <f>'2020_5-2-2_Download'!$BD$7</f>
        <v>hoch</v>
      </c>
      <c r="E1506" t="s">
        <v>362</v>
      </c>
      <c r="F1506" s="266" t="str">
        <f>VLOOKUP(A2910,[2]Kreise!$A$2:$C$53,3,FALSE)</f>
        <v>K030</v>
      </c>
      <c r="G1506">
        <f>'2020_5-2-2_Download'!BD58</f>
        <v>4.435483870967742</v>
      </c>
    </row>
    <row r="1507" spans="1:7">
      <c r="A1507">
        <f>'2020_5-2-2_Download'!B59</f>
        <v>462</v>
      </c>
      <c r="B1507">
        <f>'2020_5-2-2_Download'!$BA$5</f>
        <v>2013</v>
      </c>
      <c r="C1507" t="str">
        <f>VLOOKUP(A2911,[1]Tabelle1!$A$1:$B$68,2,FALSE)</f>
        <v>Niedersachsen</v>
      </c>
      <c r="D1507" t="str">
        <f>'2020_5-2-2_Download'!$BD$7</f>
        <v>hoch</v>
      </c>
      <c r="E1507" t="s">
        <v>362</v>
      </c>
      <c r="F1507" s="266" t="str">
        <f>VLOOKUP(A2911,[2]Kreise!$A$2:$C$53,3,FALSE)</f>
        <v>K030</v>
      </c>
      <c r="G1507">
        <f>'2020_5-2-2_Download'!BD59</f>
        <v>4.435483870967742</v>
      </c>
    </row>
    <row r="1508" spans="1:7">
      <c r="A1508">
        <f>'2020_5-2-2_Download'!B60</f>
        <v>4</v>
      </c>
      <c r="B1508">
        <f>'2020_5-2-2_Download'!$BA$5</f>
        <v>2013</v>
      </c>
      <c r="C1508" t="str">
        <f>VLOOKUP(A2912,[1]Tabelle1!$A$1:$B$68,2,FALSE)</f>
        <v>Niedersachsen</v>
      </c>
      <c r="D1508" t="str">
        <f>'2020_5-2-2_Download'!$BD$7</f>
        <v>hoch</v>
      </c>
      <c r="E1508" t="s">
        <v>362</v>
      </c>
      <c r="F1508" s="266" t="str">
        <f>VLOOKUP(A2912,[2]Kreise!$A$2:$C$53,3,FALSE)</f>
        <v>K030</v>
      </c>
      <c r="G1508">
        <f>'2020_5-2-2_Download'!BD60</f>
        <v>6.1172398875189273</v>
      </c>
    </row>
    <row r="1509" spans="1:7">
      <c r="A1509">
        <f>'2020_5-2-2_Download'!B61</f>
        <v>0</v>
      </c>
      <c r="B1509">
        <f>'2020_5-2-2_Download'!$BA$5</f>
        <v>2013</v>
      </c>
      <c r="C1509" t="str">
        <f>VLOOKUP(A2913,[1]Tabelle1!$A$1:$B$68,2,FALSE)</f>
        <v>Niedersachsen</v>
      </c>
      <c r="D1509" t="str">
        <f>'2020_5-2-2_Download'!$BD$7</f>
        <v>hoch</v>
      </c>
      <c r="E1509" t="s">
        <v>362</v>
      </c>
      <c r="F1509" s="266" t="str">
        <f>VLOOKUP(A2913,[2]Kreise!$A$2:$C$53,3,FALSE)</f>
        <v>K030</v>
      </c>
      <c r="G1509">
        <f>'2020_5-2-2_Download'!BD61</f>
        <v>9.6095809688604881</v>
      </c>
    </row>
    <row r="1510" spans="1:7">
      <c r="A1510">
        <f>'2020_5-2-2_Download'!B10</f>
        <v>101</v>
      </c>
      <c r="B1510">
        <f>'2020_5-2-2_Download'!$BA$5</f>
        <v>2013</v>
      </c>
      <c r="C1510" t="str">
        <f>VLOOKUP(A2914,[1]Tabelle1!$A$1:$B$68,2,FALSE)</f>
        <v>Niedersachsen</v>
      </c>
      <c r="D1510" t="str">
        <f>'2020_5-2-2_Download'!$BE$7</f>
        <v>mittel</v>
      </c>
      <c r="E1510" t="s">
        <v>362</v>
      </c>
      <c r="F1510" s="266" t="str">
        <f>VLOOKUP(A2914,[2]Kreise!$A$2:$C$53,3,FALSE)</f>
        <v>K030</v>
      </c>
      <c r="G1510">
        <f>'2020_5-2-2_Download'!BE10</f>
        <v>26.645819618169845</v>
      </c>
    </row>
    <row r="1511" spans="1:7">
      <c r="A1511">
        <f>'2020_5-2-2_Download'!B11</f>
        <v>102</v>
      </c>
      <c r="B1511">
        <f>'2020_5-2-2_Download'!$BA$5</f>
        <v>2013</v>
      </c>
      <c r="C1511" t="str">
        <f>VLOOKUP(A2915,[1]Tabelle1!$A$1:$B$68,2,FALSE)</f>
        <v>Niedersachsen</v>
      </c>
      <c r="D1511" t="str">
        <f>'2020_5-2-2_Download'!$BE$7</f>
        <v>mittel</v>
      </c>
      <c r="E1511" t="s">
        <v>362</v>
      </c>
      <c r="F1511" s="266" t="str">
        <f>VLOOKUP(A2915,[2]Kreise!$A$2:$C$53,3,FALSE)</f>
        <v>K030</v>
      </c>
      <c r="G1511">
        <f>'2020_5-2-2_Download'!BE11</f>
        <v>38.819776714513551</v>
      </c>
    </row>
    <row r="1512" spans="1:7">
      <c r="A1512">
        <f>'2020_5-2-2_Download'!B12</f>
        <v>103</v>
      </c>
      <c r="B1512">
        <f>'2020_5-2-2_Download'!$BA$5</f>
        <v>2013</v>
      </c>
      <c r="C1512" t="str">
        <f>VLOOKUP(A2916,[1]Tabelle1!$A$1:$B$68,2,FALSE)</f>
        <v>Niedersachsen</v>
      </c>
      <c r="D1512" t="str">
        <f>'2020_5-2-2_Download'!$BE$7</f>
        <v>mittel</v>
      </c>
      <c r="E1512" t="s">
        <v>362</v>
      </c>
      <c r="F1512" s="266" t="str">
        <f>VLOOKUP(A2916,[2]Kreise!$A$2:$C$53,3,FALSE)</f>
        <v>K030</v>
      </c>
      <c r="G1512">
        <f>'2020_5-2-2_Download'!BE12</f>
        <v>32.8164016296491</v>
      </c>
    </row>
    <row r="1513" spans="1:7">
      <c r="A1513">
        <f>'2020_5-2-2_Download'!B13</f>
        <v>151</v>
      </c>
      <c r="B1513">
        <f>'2020_5-2-2_Download'!$BA$5</f>
        <v>2013</v>
      </c>
      <c r="C1513" t="str">
        <f>VLOOKUP(A2917,[1]Tabelle1!$A$1:$B$68,2,FALSE)</f>
        <v>Niedersachsen</v>
      </c>
      <c r="D1513" t="str">
        <f>'2020_5-2-2_Download'!$BE$7</f>
        <v>mittel</v>
      </c>
      <c r="E1513" t="s">
        <v>362</v>
      </c>
      <c r="F1513" s="266" t="str">
        <f>VLOOKUP(A2917,[2]Kreise!$A$2:$C$53,3,FALSE)</f>
        <v>K030</v>
      </c>
      <c r="G1513">
        <f>'2020_5-2-2_Download'!BE13</f>
        <v>23.646723646723647</v>
      </c>
    </row>
    <row r="1514" spans="1:7">
      <c r="A1514">
        <f>'2020_5-2-2_Download'!B14</f>
        <v>153</v>
      </c>
      <c r="B1514">
        <f>'2020_5-2-2_Download'!$BA$5</f>
        <v>2013</v>
      </c>
      <c r="C1514" t="str">
        <f>VLOOKUP(A2918,[1]Tabelle1!$A$1:$B$68,2,FALSE)</f>
        <v>Niedersachsen</v>
      </c>
      <c r="D1514" t="str">
        <f>'2020_5-2-2_Download'!$BE$7</f>
        <v>mittel</v>
      </c>
      <c r="E1514" t="s">
        <v>362</v>
      </c>
      <c r="F1514" s="266" t="str">
        <f>VLOOKUP(A2918,[2]Kreise!$A$2:$C$53,3,FALSE)</f>
        <v>K030</v>
      </c>
      <c r="G1514">
        <f>'2020_5-2-2_Download'!BE14</f>
        <v>26.642771804062125</v>
      </c>
    </row>
    <row r="1515" spans="1:7">
      <c r="A1515">
        <f>'2020_5-2-2_Download'!B15</f>
        <v>154</v>
      </c>
      <c r="B1515">
        <f>'2020_5-2-2_Download'!$BA$5</f>
        <v>2013</v>
      </c>
      <c r="C1515" t="str">
        <f>VLOOKUP(A2919,[1]Tabelle1!$A$1:$B$68,2,FALSE)</f>
        <v>Niedersachsen</v>
      </c>
      <c r="D1515" t="str">
        <f>'2020_5-2-2_Download'!$BE$7</f>
        <v>mittel</v>
      </c>
      <c r="E1515" t="s">
        <v>362</v>
      </c>
      <c r="F1515" s="266" t="str">
        <f>VLOOKUP(A2919,[2]Kreise!$A$2:$C$53,3,FALSE)</f>
        <v>K030</v>
      </c>
      <c r="G1515">
        <f>'2020_5-2-2_Download'!BE15</f>
        <v>29.982964224872234</v>
      </c>
    </row>
    <row r="1516" spans="1:7">
      <c r="A1516">
        <f>'2020_5-2-2_Download'!B16</f>
        <v>155</v>
      </c>
      <c r="B1516">
        <f>'2020_5-2-2_Download'!$BA$5</f>
        <v>2013</v>
      </c>
      <c r="C1516" t="str">
        <f>VLOOKUP(A2920,[1]Tabelle1!$A$1:$B$68,2,FALSE)</f>
        <v>Niedersachsen</v>
      </c>
      <c r="D1516" t="str">
        <f>'2020_5-2-2_Download'!$BE$7</f>
        <v>mittel</v>
      </c>
      <c r="E1516" t="s">
        <v>362</v>
      </c>
      <c r="F1516" s="266" t="str">
        <f>VLOOKUP(A2920,[2]Kreise!$A$2:$C$53,3,FALSE)</f>
        <v>K030</v>
      </c>
      <c r="G1516">
        <f>'2020_5-2-2_Download'!BE16</f>
        <v>44.350453172205441</v>
      </c>
    </row>
    <row r="1517" spans="1:7">
      <c r="A1517">
        <f>'2020_5-2-2_Download'!B17</f>
        <v>157</v>
      </c>
      <c r="B1517">
        <f>'2020_5-2-2_Download'!$BA$5</f>
        <v>2013</v>
      </c>
      <c r="C1517" t="str">
        <f>VLOOKUP(A2921,[1]Tabelle1!$A$1:$B$68,2,FALSE)</f>
        <v>Niedersachsen</v>
      </c>
      <c r="D1517" t="str">
        <f>'2020_5-2-2_Download'!$BE$7</f>
        <v>mittel</v>
      </c>
      <c r="E1517" t="s">
        <v>362</v>
      </c>
      <c r="F1517" s="266" t="str">
        <f>VLOOKUP(A2921,[2]Kreise!$A$2:$C$53,3,FALSE)</f>
        <v>K030</v>
      </c>
      <c r="G1517">
        <f>'2020_5-2-2_Download'!BE17</f>
        <v>31.94549583648751</v>
      </c>
    </row>
    <row r="1518" spans="1:7">
      <c r="A1518">
        <f>'2020_5-2-2_Download'!B18</f>
        <v>158</v>
      </c>
      <c r="B1518">
        <f>'2020_5-2-2_Download'!$BA$5</f>
        <v>2013</v>
      </c>
      <c r="C1518" t="str">
        <f>VLOOKUP(A2922,[1]Tabelle1!$A$1:$B$68,2,FALSE)</f>
        <v>Niedersachsen</v>
      </c>
      <c r="D1518" t="str">
        <f>'2020_5-2-2_Download'!$BE$7</f>
        <v>mittel</v>
      </c>
      <c r="E1518" t="s">
        <v>362</v>
      </c>
      <c r="F1518" s="266" t="str">
        <f>VLOOKUP(A2922,[2]Kreise!$A$2:$C$53,3,FALSE)</f>
        <v>K030</v>
      </c>
      <c r="G1518">
        <f>'2020_5-2-2_Download'!BE18</f>
        <v>35.422343324250683</v>
      </c>
    </row>
    <row r="1519" spans="1:7">
      <c r="A1519">
        <f>'2020_5-2-2_Download'!B19</f>
        <v>159</v>
      </c>
      <c r="B1519">
        <f>'2020_5-2-2_Download'!$BA$5</f>
        <v>2013</v>
      </c>
      <c r="C1519" t="str">
        <f>VLOOKUP(A2923,[1]Tabelle1!$A$1:$B$68,2,FALSE)</f>
        <v>Niedersachsen</v>
      </c>
      <c r="D1519" t="str">
        <f>'2020_5-2-2_Download'!$BE$7</f>
        <v>mittel</v>
      </c>
      <c r="E1519" t="s">
        <v>362</v>
      </c>
      <c r="F1519" s="266" t="str">
        <f>VLOOKUP(A2923,[2]Kreise!$A$2:$C$53,3,FALSE)</f>
        <v>K030</v>
      </c>
      <c r="G1519">
        <f>'2020_5-2-2_Download'!BE19</f>
        <v>29.781525488692985</v>
      </c>
    </row>
    <row r="1520" spans="1:7">
      <c r="A1520">
        <f>'2020_5-2-2_Download'!B20</f>
        <v>1</v>
      </c>
      <c r="B1520">
        <f>'2020_5-2-2_Download'!$BA$5</f>
        <v>2013</v>
      </c>
      <c r="C1520" t="str">
        <f>VLOOKUP(A2924,[1]Tabelle1!$A$1:$B$68,2,FALSE)</f>
        <v>Niedersachsen</v>
      </c>
      <c r="D1520" t="str">
        <f>'2020_5-2-2_Download'!$BE$7</f>
        <v>mittel</v>
      </c>
      <c r="E1520" t="s">
        <v>362</v>
      </c>
      <c r="F1520" s="266" t="str">
        <f>VLOOKUP(A2924,[2]Kreise!$A$2:$C$53,3,FALSE)</f>
        <v>K030</v>
      </c>
      <c r="G1520">
        <f>'2020_5-2-2_Download'!BE20</f>
        <v>30.907385069025601</v>
      </c>
    </row>
    <row r="1521" spans="1:7">
      <c r="A1521">
        <f>'2020_5-2-2_Download'!B21</f>
        <v>241</v>
      </c>
      <c r="B1521">
        <f>'2020_5-2-2_Download'!$BA$5</f>
        <v>2013</v>
      </c>
      <c r="C1521" t="str">
        <f>VLOOKUP(A2925,[1]Tabelle1!$A$1:$B$68,2,FALSE)</f>
        <v>Niedersachsen</v>
      </c>
      <c r="D1521" t="str">
        <f>'2020_5-2-2_Download'!$BE$7</f>
        <v>mittel</v>
      </c>
      <c r="E1521" t="s">
        <v>362</v>
      </c>
      <c r="F1521" s="266" t="str">
        <f>VLOOKUP(A2925,[2]Kreise!$A$2:$C$53,3,FALSE)</f>
        <v>K030</v>
      </c>
      <c r="G1521">
        <f>'2020_5-2-2_Download'!BE21</f>
        <v>29.253764271137829</v>
      </c>
    </row>
    <row r="1522" spans="1:7">
      <c r="A1522">
        <f>'2020_5-2-2_Download'!B22</f>
        <v>241001</v>
      </c>
      <c r="B1522">
        <f>'2020_5-2-2_Download'!$BA$5</f>
        <v>2013</v>
      </c>
      <c r="C1522" t="str">
        <f>VLOOKUP(A2926,[1]Tabelle1!$A$1:$B$68,2,FALSE)</f>
        <v>Niedersachsen</v>
      </c>
      <c r="D1522" t="str">
        <f>'2020_5-2-2_Download'!$BE$7</f>
        <v>mittel</v>
      </c>
      <c r="E1522" t="s">
        <v>362</v>
      </c>
      <c r="F1522" s="266" t="str">
        <f>VLOOKUP(A2926,[2]Kreise!$A$2:$C$53,3,FALSE)</f>
        <v>K030</v>
      </c>
      <c r="G1522">
        <f>'2020_5-2-2_Download'!BE22</f>
        <v>29.017278165920597</v>
      </c>
    </row>
    <row r="1523" spans="1:7">
      <c r="A1523">
        <f>'2020_5-2-2_Download'!B23</f>
        <v>241999</v>
      </c>
      <c r="B1523">
        <f>'2020_5-2-2_Download'!$BA$5</f>
        <v>2013</v>
      </c>
      <c r="C1523" t="str">
        <f>VLOOKUP(A2927,[1]Tabelle1!$A$1:$B$68,2,FALSE)</f>
        <v>Niedersachsen</v>
      </c>
      <c r="D1523" t="str">
        <f>'2020_5-2-2_Download'!$BE$7</f>
        <v>mittel</v>
      </c>
      <c r="E1523" t="s">
        <v>362</v>
      </c>
      <c r="F1523" s="266" t="str">
        <f>VLOOKUP(A2927,[2]Kreise!$A$2:$C$53,3,FALSE)</f>
        <v>K030</v>
      </c>
      <c r="G1523">
        <f>'2020_5-2-2_Download'!BE23</f>
        <v>29.711141678129298</v>
      </c>
    </row>
    <row r="1524" spans="1:7">
      <c r="A1524">
        <f>'2020_5-2-2_Download'!B24</f>
        <v>251</v>
      </c>
      <c r="B1524">
        <f>'2020_5-2-2_Download'!$BA$5</f>
        <v>2013</v>
      </c>
      <c r="C1524" t="str">
        <f>VLOOKUP(A2928,[1]Tabelle1!$A$1:$B$68,2,FALSE)</f>
        <v>Niedersachsen</v>
      </c>
      <c r="D1524" t="str">
        <f>'2020_5-2-2_Download'!$BE$7</f>
        <v>mittel</v>
      </c>
      <c r="E1524" t="s">
        <v>362</v>
      </c>
      <c r="F1524" s="266" t="str">
        <f>VLOOKUP(A2928,[2]Kreise!$A$2:$C$53,3,FALSE)</f>
        <v>K030</v>
      </c>
      <c r="G1524">
        <f>'2020_5-2-2_Download'!BE24</f>
        <v>27.097282394643564</v>
      </c>
    </row>
    <row r="1525" spans="1:7">
      <c r="A1525">
        <f>'2020_5-2-2_Download'!B25</f>
        <v>252</v>
      </c>
      <c r="B1525">
        <f>'2020_5-2-2_Download'!$BA$5</f>
        <v>2013</v>
      </c>
      <c r="C1525" t="str">
        <f>VLOOKUP(A2929,[1]Tabelle1!$A$1:$B$68,2,FALSE)</f>
        <v>Niedersachsen</v>
      </c>
      <c r="D1525" t="str">
        <f>'2020_5-2-2_Download'!$BE$7</f>
        <v>mittel</v>
      </c>
      <c r="E1525" t="s">
        <v>362</v>
      </c>
      <c r="F1525" s="266" t="str">
        <f>VLOOKUP(A2929,[2]Kreise!$A$2:$C$53,3,FALSE)</f>
        <v>K030</v>
      </c>
      <c r="G1525">
        <f>'2020_5-2-2_Download'!BE25</f>
        <v>35.495867768595041</v>
      </c>
    </row>
    <row r="1526" spans="1:7">
      <c r="A1526">
        <f>'2020_5-2-2_Download'!B26</f>
        <v>254</v>
      </c>
      <c r="B1526">
        <f>'2020_5-2-2_Download'!$BA$5</f>
        <v>2013</v>
      </c>
      <c r="C1526" t="str">
        <f>VLOOKUP(A2930,[1]Tabelle1!$A$1:$B$68,2,FALSE)</f>
        <v>Niedersachsen</v>
      </c>
      <c r="D1526" t="str">
        <f>'2020_5-2-2_Download'!$BE$7</f>
        <v>mittel</v>
      </c>
      <c r="E1526" t="s">
        <v>362</v>
      </c>
      <c r="F1526" s="266" t="str">
        <f>VLOOKUP(A2930,[2]Kreise!$A$2:$C$53,3,FALSE)</f>
        <v>K030</v>
      </c>
      <c r="G1526">
        <f>'2020_5-2-2_Download'!BE26</f>
        <v>34.614229960972679</v>
      </c>
    </row>
    <row r="1527" spans="1:7">
      <c r="A1527">
        <f>'2020_5-2-2_Download'!B27</f>
        <v>255</v>
      </c>
      <c r="B1527">
        <f>'2020_5-2-2_Download'!$BA$5</f>
        <v>2013</v>
      </c>
      <c r="C1527" t="str">
        <f>VLOOKUP(A2931,[1]Tabelle1!$A$1:$B$68,2,FALSE)</f>
        <v>Niedersachsen</v>
      </c>
      <c r="D1527" t="str">
        <f>'2020_5-2-2_Download'!$BE$7</f>
        <v>mittel</v>
      </c>
      <c r="E1527" t="s">
        <v>362</v>
      </c>
      <c r="F1527" s="266" t="str">
        <f>VLOOKUP(A2931,[2]Kreise!$A$2:$C$53,3,FALSE)</f>
        <v>K030</v>
      </c>
      <c r="G1527">
        <f>'2020_5-2-2_Download'!BE27</f>
        <v>35.167785234899327</v>
      </c>
    </row>
    <row r="1528" spans="1:7">
      <c r="A1528">
        <f>'2020_5-2-2_Download'!B28</f>
        <v>256</v>
      </c>
      <c r="B1528">
        <f>'2020_5-2-2_Download'!$BA$5</f>
        <v>2013</v>
      </c>
      <c r="C1528" t="str">
        <f>VLOOKUP(A2932,[1]Tabelle1!$A$1:$B$68,2,FALSE)</f>
        <v>Niedersachsen</v>
      </c>
      <c r="D1528" t="str">
        <f>'2020_5-2-2_Download'!$BE$7</f>
        <v>mittel</v>
      </c>
      <c r="E1528" t="s">
        <v>362</v>
      </c>
      <c r="F1528" s="266" t="str">
        <f>VLOOKUP(A2932,[2]Kreise!$A$2:$C$53,3,FALSE)</f>
        <v>K030</v>
      </c>
      <c r="G1528">
        <f>'2020_5-2-2_Download'!BE28</f>
        <v>27.306047648136833</v>
      </c>
    </row>
    <row r="1529" spans="1:7">
      <c r="A1529">
        <f>'2020_5-2-2_Download'!B29</f>
        <v>257</v>
      </c>
      <c r="B1529">
        <f>'2020_5-2-2_Download'!$BA$5</f>
        <v>2013</v>
      </c>
      <c r="C1529" t="str">
        <f>VLOOKUP(A2933,[1]Tabelle1!$A$1:$B$68,2,FALSE)</f>
        <v>Niedersachsen</v>
      </c>
      <c r="D1529" t="str">
        <f>'2020_5-2-2_Download'!$BE$7</f>
        <v>mittel</v>
      </c>
      <c r="E1529" t="s">
        <v>362</v>
      </c>
      <c r="F1529" s="266" t="str">
        <f>VLOOKUP(A2933,[2]Kreise!$A$2:$C$53,3,FALSE)</f>
        <v>K030</v>
      </c>
      <c r="G1529">
        <f>'2020_5-2-2_Download'!BE29</f>
        <v>36.015756893640969</v>
      </c>
    </row>
    <row r="1530" spans="1:7">
      <c r="A1530">
        <f>'2020_5-2-2_Download'!B30</f>
        <v>2</v>
      </c>
      <c r="B1530">
        <f>'2020_5-2-2_Download'!$BA$5</f>
        <v>2013</v>
      </c>
      <c r="C1530" t="str">
        <f>VLOOKUP(A2934,[1]Tabelle1!$A$1:$B$68,2,FALSE)</f>
        <v>Niedersachsen</v>
      </c>
      <c r="D1530" t="str">
        <f>'2020_5-2-2_Download'!$BE$7</f>
        <v>mittel</v>
      </c>
      <c r="E1530" t="s">
        <v>362</v>
      </c>
      <c r="F1530" s="266" t="str">
        <f>VLOOKUP(A2934,[2]Kreise!$A$2:$C$53,3,FALSE)</f>
        <v>K030</v>
      </c>
      <c r="G1530">
        <f>'2020_5-2-2_Download'!BE30</f>
        <v>30.089712795877727</v>
      </c>
    </row>
    <row r="1531" spans="1:7">
      <c r="A1531">
        <f>'2020_5-2-2_Download'!B31</f>
        <v>351</v>
      </c>
      <c r="B1531">
        <f>'2020_5-2-2_Download'!$BA$5</f>
        <v>2013</v>
      </c>
      <c r="C1531" t="str">
        <f>VLOOKUP(A2935,[1]Tabelle1!$A$1:$B$68,2,FALSE)</f>
        <v>Niedersachsen</v>
      </c>
      <c r="D1531" t="str">
        <f>'2020_5-2-2_Download'!$BE$7</f>
        <v>mittel</v>
      </c>
      <c r="E1531" t="s">
        <v>362</v>
      </c>
      <c r="F1531" s="266" t="str">
        <f>VLOOKUP(A2935,[2]Kreise!$A$2:$C$53,3,FALSE)</f>
        <v>K030</v>
      </c>
      <c r="G1531">
        <f>'2020_5-2-2_Download'!BE31</f>
        <v>31.832651205093228</v>
      </c>
    </row>
    <row r="1532" spans="1:7">
      <c r="A1532">
        <f>'2020_5-2-2_Download'!B32</f>
        <v>352</v>
      </c>
      <c r="B1532">
        <f>'2020_5-2-2_Download'!$BA$5</f>
        <v>2013</v>
      </c>
      <c r="C1532" t="str">
        <f>VLOOKUP(A2936,[1]Tabelle1!$A$1:$B$68,2,FALSE)</f>
        <v>Niedersachsen</v>
      </c>
      <c r="D1532" t="str">
        <f>'2020_5-2-2_Download'!$BE$7</f>
        <v>mittel</v>
      </c>
      <c r="E1532" t="s">
        <v>362</v>
      </c>
      <c r="F1532" s="266" t="str">
        <f>VLOOKUP(A2936,[2]Kreise!$A$2:$C$53,3,FALSE)</f>
        <v>K030</v>
      </c>
      <c r="G1532">
        <f>'2020_5-2-2_Download'!BE32</f>
        <v>26.29883205799436</v>
      </c>
    </row>
    <row r="1533" spans="1:7">
      <c r="A1533">
        <f>'2020_5-2-2_Download'!B33</f>
        <v>353</v>
      </c>
      <c r="B1533">
        <f>'2020_5-2-2_Download'!$BA$5</f>
        <v>2013</v>
      </c>
      <c r="C1533" t="str">
        <f>VLOOKUP(A2937,[1]Tabelle1!$A$1:$B$68,2,FALSE)</f>
        <v>Niedersachsen</v>
      </c>
      <c r="D1533" t="str">
        <f>'2020_5-2-2_Download'!$BE$7</f>
        <v>mittel</v>
      </c>
      <c r="E1533" t="s">
        <v>362</v>
      </c>
      <c r="F1533" s="266" t="str">
        <f>VLOOKUP(A2937,[2]Kreise!$A$2:$C$53,3,FALSE)</f>
        <v>K030</v>
      </c>
      <c r="G1533">
        <f>'2020_5-2-2_Download'!BE33</f>
        <v>24.843796489140139</v>
      </c>
    </row>
    <row r="1534" spans="1:7">
      <c r="A1534">
        <f>'2020_5-2-2_Download'!B34</f>
        <v>354</v>
      </c>
      <c r="B1534">
        <f>'2020_5-2-2_Download'!$BA$5</f>
        <v>2013</v>
      </c>
      <c r="C1534" t="str">
        <f>VLOOKUP(A2938,[1]Tabelle1!$A$1:$B$68,2,FALSE)</f>
        <v>Niedersachsen</v>
      </c>
      <c r="D1534" t="str">
        <f>'2020_5-2-2_Download'!$BE$7</f>
        <v>mittel</v>
      </c>
      <c r="E1534" t="s">
        <v>362</v>
      </c>
      <c r="F1534" s="266" t="str">
        <f>VLOOKUP(A2938,[2]Kreise!$A$2:$C$53,3,FALSE)</f>
        <v>K030</v>
      </c>
      <c r="G1534">
        <f>'2020_5-2-2_Download'!BE34</f>
        <v>34.323432343234323</v>
      </c>
    </row>
    <row r="1535" spans="1:7">
      <c r="A1535">
        <f>'2020_5-2-2_Download'!B35</f>
        <v>355</v>
      </c>
      <c r="B1535">
        <f>'2020_5-2-2_Download'!$BA$5</f>
        <v>2013</v>
      </c>
      <c r="C1535" t="str">
        <f>VLOOKUP(A2939,[1]Tabelle1!$A$1:$B$68,2,FALSE)</f>
        <v>Niedersachsen</v>
      </c>
      <c r="D1535" t="str">
        <f>'2020_5-2-2_Download'!$BE$7</f>
        <v>mittel</v>
      </c>
      <c r="E1535" t="s">
        <v>362</v>
      </c>
      <c r="F1535" s="266" t="str">
        <f>VLOOKUP(A2939,[2]Kreise!$A$2:$C$53,3,FALSE)</f>
        <v>K030</v>
      </c>
      <c r="G1535">
        <f>'2020_5-2-2_Download'!BE35</f>
        <v>28.211851074986889</v>
      </c>
    </row>
    <row r="1536" spans="1:7">
      <c r="A1536">
        <f>'2020_5-2-2_Download'!B36</f>
        <v>356</v>
      </c>
      <c r="B1536">
        <f>'2020_5-2-2_Download'!$BA$5</f>
        <v>2013</v>
      </c>
      <c r="C1536" t="str">
        <f>VLOOKUP(A2940,[1]Tabelle1!$A$1:$B$68,2,FALSE)</f>
        <v>Niedersachsen</v>
      </c>
      <c r="D1536" t="str">
        <f>'2020_5-2-2_Download'!$BE$7</f>
        <v>mittel</v>
      </c>
      <c r="E1536" t="s">
        <v>362</v>
      </c>
      <c r="F1536" s="266" t="str">
        <f>VLOOKUP(A2940,[2]Kreise!$A$2:$C$53,3,FALSE)</f>
        <v>K030</v>
      </c>
      <c r="G1536">
        <f>'2020_5-2-2_Download'!BE36</f>
        <v>31.573157315731574</v>
      </c>
    </row>
    <row r="1537" spans="1:7">
      <c r="A1537">
        <f>'2020_5-2-2_Download'!B37</f>
        <v>357</v>
      </c>
      <c r="B1537">
        <f>'2020_5-2-2_Download'!$BA$5</f>
        <v>2013</v>
      </c>
      <c r="C1537" t="str">
        <f>VLOOKUP(A2941,[1]Tabelle1!$A$1:$B$68,2,FALSE)</f>
        <v>Niedersachsen</v>
      </c>
      <c r="D1537" t="str">
        <f>'2020_5-2-2_Download'!$BE$7</f>
        <v>mittel</v>
      </c>
      <c r="E1537" t="s">
        <v>362</v>
      </c>
      <c r="F1537" s="266" t="str">
        <f>VLOOKUP(A2941,[2]Kreise!$A$2:$C$53,3,FALSE)</f>
        <v>K030</v>
      </c>
      <c r="G1537">
        <f>'2020_5-2-2_Download'!BE37</f>
        <v>27.853881278538811</v>
      </c>
    </row>
    <row r="1538" spans="1:7">
      <c r="A1538">
        <f>'2020_5-2-2_Download'!B38</f>
        <v>358</v>
      </c>
      <c r="B1538">
        <f>'2020_5-2-2_Download'!$BA$5</f>
        <v>2013</v>
      </c>
      <c r="C1538" t="str">
        <f>VLOOKUP(A2942,[1]Tabelle1!$A$1:$B$68,2,FALSE)</f>
        <v>Niedersachsen</v>
      </c>
      <c r="D1538" t="str">
        <f>'2020_5-2-2_Download'!$BE$7</f>
        <v>mittel</v>
      </c>
      <c r="E1538" t="s">
        <v>362</v>
      </c>
      <c r="F1538" s="266" t="str">
        <f>VLOOKUP(A2942,[2]Kreise!$A$2:$C$53,3,FALSE)</f>
        <v>K030</v>
      </c>
      <c r="G1538">
        <f>'2020_5-2-2_Download'!BE38</f>
        <v>30.023752969121141</v>
      </c>
    </row>
    <row r="1539" spans="1:7">
      <c r="A1539">
        <f>'2020_5-2-2_Download'!B39</f>
        <v>359</v>
      </c>
      <c r="B1539">
        <f>'2020_5-2-2_Download'!$BA$5</f>
        <v>2013</v>
      </c>
      <c r="C1539" t="str">
        <f>VLOOKUP(A2943,[1]Tabelle1!$A$1:$B$68,2,FALSE)</f>
        <v>Niedersachsen</v>
      </c>
      <c r="D1539" t="str">
        <f>'2020_5-2-2_Download'!$BE$7</f>
        <v>mittel</v>
      </c>
      <c r="E1539" t="s">
        <v>362</v>
      </c>
      <c r="F1539" s="266" t="str">
        <f>VLOOKUP(A2943,[2]Kreise!$A$2:$C$53,3,FALSE)</f>
        <v>K030</v>
      </c>
      <c r="G1539">
        <f>'2020_5-2-2_Download'!BE39</f>
        <v>22.797797797797799</v>
      </c>
    </row>
    <row r="1540" spans="1:7">
      <c r="A1540">
        <f>'2020_5-2-2_Download'!B40</f>
        <v>360</v>
      </c>
      <c r="B1540">
        <f>'2020_5-2-2_Download'!$BA$5</f>
        <v>2013</v>
      </c>
      <c r="C1540" t="str">
        <f>VLOOKUP(A2944,[1]Tabelle1!$A$1:$B$68,2,FALSE)</f>
        <v>Niedersachsen</v>
      </c>
      <c r="D1540" t="str">
        <f>'2020_5-2-2_Download'!$BE$7</f>
        <v>mittel</v>
      </c>
      <c r="E1540" t="s">
        <v>362</v>
      </c>
      <c r="F1540" s="266" t="str">
        <f>VLOOKUP(A2944,[2]Kreise!$A$2:$C$53,3,FALSE)</f>
        <v>K030</v>
      </c>
      <c r="G1540">
        <f>'2020_5-2-2_Download'!BE40</f>
        <v>29.920212765957448</v>
      </c>
    </row>
    <row r="1541" spans="1:7">
      <c r="A1541">
        <f>'2020_5-2-2_Download'!B41</f>
        <v>361</v>
      </c>
      <c r="B1541">
        <f>'2020_5-2-2_Download'!$BA$5</f>
        <v>2013</v>
      </c>
      <c r="C1541" t="str">
        <f>VLOOKUP(A2945,[1]Tabelle1!$A$1:$B$68,2,FALSE)</f>
        <v>Niedersachsen</v>
      </c>
      <c r="D1541" t="str">
        <f>'2020_5-2-2_Download'!$BE$7</f>
        <v>mittel</v>
      </c>
      <c r="E1541" t="s">
        <v>362</v>
      </c>
      <c r="F1541" s="266" t="str">
        <f>VLOOKUP(A2945,[2]Kreise!$A$2:$C$53,3,FALSE)</f>
        <v>K030</v>
      </c>
      <c r="G1541">
        <f>'2020_5-2-2_Download'!BE41</f>
        <v>28.271549799017421</v>
      </c>
    </row>
    <row r="1542" spans="1:7">
      <c r="A1542">
        <f>'2020_5-2-2_Download'!B42</f>
        <v>3</v>
      </c>
      <c r="B1542">
        <f>'2020_5-2-2_Download'!$BA$5</f>
        <v>2013</v>
      </c>
      <c r="C1542" t="str">
        <f>VLOOKUP(A2946,[1]Tabelle1!$A$1:$B$68,2,FALSE)</f>
        <v>Niedersachsen</v>
      </c>
      <c r="D1542" t="str">
        <f>'2020_5-2-2_Download'!$BE$7</f>
        <v>mittel</v>
      </c>
      <c r="E1542" t="s">
        <v>362</v>
      </c>
      <c r="F1542" s="266" t="str">
        <f>VLOOKUP(A2946,[2]Kreise!$A$2:$C$53,3,FALSE)</f>
        <v>K030</v>
      </c>
      <c r="G1542">
        <f>'2020_5-2-2_Download'!BE42</f>
        <v>27.292556575479416</v>
      </c>
    </row>
    <row r="1543" spans="1:7">
      <c r="A1543">
        <f>'2020_5-2-2_Download'!B43</f>
        <v>401</v>
      </c>
      <c r="B1543">
        <f>'2020_5-2-2_Download'!$BA$5</f>
        <v>2013</v>
      </c>
      <c r="C1543" t="str">
        <f>VLOOKUP(A2947,[1]Tabelle1!$A$1:$B$68,2,FALSE)</f>
        <v>Niedersachsen</v>
      </c>
      <c r="D1543" t="str">
        <f>'2020_5-2-2_Download'!$BE$7</f>
        <v>mittel</v>
      </c>
      <c r="E1543" t="s">
        <v>362</v>
      </c>
      <c r="F1543" s="266" t="str">
        <f>VLOOKUP(A2947,[2]Kreise!$A$2:$C$53,3,FALSE)</f>
        <v>K030</v>
      </c>
      <c r="G1543">
        <f>'2020_5-2-2_Download'!BE43</f>
        <v>23.188405797101449</v>
      </c>
    </row>
    <row r="1544" spans="1:7">
      <c r="A1544">
        <f>'2020_5-2-2_Download'!B44</f>
        <v>402</v>
      </c>
      <c r="B1544">
        <f>'2020_5-2-2_Download'!$BA$5</f>
        <v>2013</v>
      </c>
      <c r="C1544" t="str">
        <f>VLOOKUP(A2948,[1]Tabelle1!$A$1:$B$68,2,FALSE)</f>
        <v>Niedersachsen</v>
      </c>
      <c r="D1544" t="str">
        <f>'2020_5-2-2_Download'!$BE$7</f>
        <v>mittel</v>
      </c>
      <c r="E1544" t="s">
        <v>362</v>
      </c>
      <c r="F1544" s="266" t="str">
        <f>VLOOKUP(A2948,[2]Kreise!$A$2:$C$53,3,FALSE)</f>
        <v>K030</v>
      </c>
      <c r="G1544">
        <f>'2020_5-2-2_Download'!BE44</f>
        <v>35.054347826086953</v>
      </c>
    </row>
    <row r="1545" spans="1:7">
      <c r="A1545">
        <f>'2020_5-2-2_Download'!B45</f>
        <v>403</v>
      </c>
      <c r="B1545">
        <f>'2020_5-2-2_Download'!$BA$5</f>
        <v>2013</v>
      </c>
      <c r="C1545" t="str">
        <f>VLOOKUP(A2949,[1]Tabelle1!$A$1:$B$68,2,FALSE)</f>
        <v>Niedersachsen</v>
      </c>
      <c r="D1545" t="str">
        <f>'2020_5-2-2_Download'!$BE$7</f>
        <v>mittel</v>
      </c>
      <c r="E1545" t="s">
        <v>362</v>
      </c>
      <c r="F1545" s="266" t="str">
        <f>VLOOKUP(A2949,[2]Kreise!$A$2:$C$53,3,FALSE)</f>
        <v>K030</v>
      </c>
      <c r="G1545">
        <f>'2020_5-2-2_Download'!BE45</f>
        <v>22.280701754385966</v>
      </c>
    </row>
    <row r="1546" spans="1:7">
      <c r="A1546">
        <f>'2020_5-2-2_Download'!B46</f>
        <v>404</v>
      </c>
      <c r="B1546">
        <f>'2020_5-2-2_Download'!$BA$5</f>
        <v>2013</v>
      </c>
      <c r="C1546" t="str">
        <f>VLOOKUP(A2950,[1]Tabelle1!$A$1:$B$68,2,FALSE)</f>
        <v>Niedersachsen</v>
      </c>
      <c r="D1546" t="str">
        <f>'2020_5-2-2_Download'!$BE$7</f>
        <v>mittel</v>
      </c>
      <c r="E1546" t="s">
        <v>362</v>
      </c>
      <c r="F1546" s="266" t="str">
        <f>VLOOKUP(A2950,[2]Kreise!$A$2:$C$53,3,FALSE)</f>
        <v>K030</v>
      </c>
      <c r="G1546">
        <f>'2020_5-2-2_Download'!BE46</f>
        <v>26.064464783127733</v>
      </c>
    </row>
    <row r="1547" spans="1:7">
      <c r="A1547">
        <f>'2020_5-2-2_Download'!B47</f>
        <v>405</v>
      </c>
      <c r="B1547">
        <f>'2020_5-2-2_Download'!$BA$5</f>
        <v>2013</v>
      </c>
      <c r="C1547" t="str">
        <f>VLOOKUP(A2951,[1]Tabelle1!$A$1:$B$68,2,FALSE)</f>
        <v>Niedersachsen</v>
      </c>
      <c r="D1547" t="str">
        <f>'2020_5-2-2_Download'!$BE$7</f>
        <v>mittel</v>
      </c>
      <c r="E1547" t="s">
        <v>362</v>
      </c>
      <c r="F1547" s="266" t="str">
        <f>VLOOKUP(A2951,[2]Kreise!$A$2:$C$53,3,FALSE)</f>
        <v>K030</v>
      </c>
      <c r="G1547">
        <f>'2020_5-2-2_Download'!BE47</f>
        <v>30.886426592797783</v>
      </c>
    </row>
    <row r="1548" spans="1:7">
      <c r="A1548">
        <f>'2020_5-2-2_Download'!B48</f>
        <v>451</v>
      </c>
      <c r="B1548">
        <f>'2020_5-2-2_Download'!$BA$5</f>
        <v>2013</v>
      </c>
      <c r="C1548" t="str">
        <f>VLOOKUP(A2952,[1]Tabelle1!$A$1:$B$68,2,FALSE)</f>
        <v>Niedersachsen</v>
      </c>
      <c r="D1548" t="str">
        <f>'2020_5-2-2_Download'!$BE$7</f>
        <v>mittel</v>
      </c>
      <c r="E1548" t="s">
        <v>362</v>
      </c>
      <c r="F1548" s="266" t="str">
        <f>VLOOKUP(A2952,[2]Kreise!$A$2:$C$53,3,FALSE)</f>
        <v>K030</v>
      </c>
      <c r="G1548">
        <f>'2020_5-2-2_Download'!BE48</f>
        <v>23.526343244653102</v>
      </c>
    </row>
    <row r="1549" spans="1:7">
      <c r="A1549">
        <f>'2020_5-2-2_Download'!B49</f>
        <v>452</v>
      </c>
      <c r="B1549">
        <f>'2020_5-2-2_Download'!$BA$5</f>
        <v>2013</v>
      </c>
      <c r="C1549" t="str">
        <f>VLOOKUP(A2953,[1]Tabelle1!$A$1:$B$68,2,FALSE)</f>
        <v>Niedersachsen</v>
      </c>
      <c r="D1549" t="str">
        <f>'2020_5-2-2_Download'!$BE$7</f>
        <v>mittel</v>
      </c>
      <c r="E1549" t="s">
        <v>362</v>
      </c>
      <c r="F1549" s="266" t="str">
        <f>VLOOKUP(A2953,[2]Kreise!$A$2:$C$53,3,FALSE)</f>
        <v>K030</v>
      </c>
      <c r="G1549">
        <f>'2020_5-2-2_Download'!BE49</f>
        <v>24.222737819025522</v>
      </c>
    </row>
    <row r="1550" spans="1:7">
      <c r="A1550">
        <f>'2020_5-2-2_Download'!B50</f>
        <v>453</v>
      </c>
      <c r="B1550">
        <f>'2020_5-2-2_Download'!$BA$5</f>
        <v>2013</v>
      </c>
      <c r="C1550" t="str">
        <f>VLOOKUP(A2954,[1]Tabelle1!$A$1:$B$68,2,FALSE)</f>
        <v>Niedersachsen</v>
      </c>
      <c r="D1550" t="str">
        <f>'2020_5-2-2_Download'!$BE$7</f>
        <v>mittel</v>
      </c>
      <c r="E1550" t="s">
        <v>362</v>
      </c>
      <c r="F1550" s="266" t="str">
        <f>VLOOKUP(A2954,[2]Kreise!$A$2:$C$53,3,FALSE)</f>
        <v>K030</v>
      </c>
      <c r="G1550">
        <f>'2020_5-2-2_Download'!BE50</f>
        <v>16.742654508611956</v>
      </c>
    </row>
    <row r="1551" spans="1:7">
      <c r="A1551">
        <f>'2020_5-2-2_Download'!B51</f>
        <v>454</v>
      </c>
      <c r="B1551">
        <f>'2020_5-2-2_Download'!$BA$5</f>
        <v>2013</v>
      </c>
      <c r="C1551" t="str">
        <f>VLOOKUP(A2955,[1]Tabelle1!$A$1:$B$68,2,FALSE)</f>
        <v>Niedersachsen</v>
      </c>
      <c r="D1551" t="str">
        <f>'2020_5-2-2_Download'!$BE$7</f>
        <v>mittel</v>
      </c>
      <c r="E1551" t="s">
        <v>362</v>
      </c>
      <c r="F1551" s="266" t="str">
        <f>VLOOKUP(A2955,[2]Kreise!$A$2:$C$53,3,FALSE)</f>
        <v>K030</v>
      </c>
      <c r="G1551">
        <f>'2020_5-2-2_Download'!BE51</f>
        <v>32.592900145318666</v>
      </c>
    </row>
    <row r="1552" spans="1:7">
      <c r="A1552">
        <f>'2020_5-2-2_Download'!B52</f>
        <v>455</v>
      </c>
      <c r="B1552">
        <f>'2020_5-2-2_Download'!$BA$5</f>
        <v>2013</v>
      </c>
      <c r="C1552" t="str">
        <f>VLOOKUP(A2956,[1]Tabelle1!$A$1:$B$68,2,FALSE)</f>
        <v>Niedersachsen</v>
      </c>
      <c r="D1552" t="str">
        <f>'2020_5-2-2_Download'!$BE$7</f>
        <v>mittel</v>
      </c>
      <c r="E1552" t="s">
        <v>362</v>
      </c>
      <c r="F1552" s="266" t="str">
        <f>VLOOKUP(A2956,[2]Kreise!$A$2:$C$53,3,FALSE)</f>
        <v>K030</v>
      </c>
      <c r="G1552">
        <f>'2020_5-2-2_Download'!BE52</f>
        <v>25.915875169606512</v>
      </c>
    </row>
    <row r="1553" spans="1:7">
      <c r="A1553">
        <f>'2020_5-2-2_Download'!B53</f>
        <v>456</v>
      </c>
      <c r="B1553">
        <f>'2020_5-2-2_Download'!$BA$5</f>
        <v>2013</v>
      </c>
      <c r="C1553" t="str">
        <f>VLOOKUP(A2957,[1]Tabelle1!$A$1:$B$68,2,FALSE)</f>
        <v>Niedersachsen</v>
      </c>
      <c r="D1553" t="str">
        <f>'2020_5-2-2_Download'!$BE$7</f>
        <v>mittel</v>
      </c>
      <c r="E1553" t="s">
        <v>362</v>
      </c>
      <c r="F1553" s="266" t="str">
        <f>VLOOKUP(A2957,[2]Kreise!$A$2:$C$53,3,FALSE)</f>
        <v>K030</v>
      </c>
      <c r="G1553">
        <f>'2020_5-2-2_Download'!BE53</f>
        <v>37.667304015296367</v>
      </c>
    </row>
    <row r="1554" spans="1:7">
      <c r="A1554">
        <f>'2020_5-2-2_Download'!B54</f>
        <v>457</v>
      </c>
      <c r="B1554">
        <f>'2020_5-2-2_Download'!$BA$5</f>
        <v>2013</v>
      </c>
      <c r="C1554" t="str">
        <f>VLOOKUP(A2958,[1]Tabelle1!$A$1:$B$68,2,FALSE)</f>
        <v>Niedersachsen</v>
      </c>
      <c r="D1554" t="str">
        <f>'2020_5-2-2_Download'!$BE$7</f>
        <v>mittel</v>
      </c>
      <c r="E1554" t="s">
        <v>362</v>
      </c>
      <c r="F1554" s="266" t="str">
        <f>VLOOKUP(A2958,[2]Kreise!$A$2:$C$53,3,FALSE)</f>
        <v>K030</v>
      </c>
      <c r="G1554">
        <f>'2020_5-2-2_Download'!BE54</f>
        <v>24.778270509977826</v>
      </c>
    </row>
    <row r="1555" spans="1:7">
      <c r="A1555">
        <f>'2020_5-2-2_Download'!B55</f>
        <v>458</v>
      </c>
      <c r="B1555">
        <f>'2020_5-2-2_Download'!$BA$5</f>
        <v>2013</v>
      </c>
      <c r="C1555" t="str">
        <f>VLOOKUP(A2959,[1]Tabelle1!$A$1:$B$68,2,FALSE)</f>
        <v>Niedersachsen</v>
      </c>
      <c r="D1555" t="str">
        <f>'2020_5-2-2_Download'!$BE$7</f>
        <v>mittel</v>
      </c>
      <c r="E1555" t="s">
        <v>362</v>
      </c>
      <c r="F1555" s="266" t="str">
        <f>VLOOKUP(A2959,[2]Kreise!$A$2:$C$53,3,FALSE)</f>
        <v>K030</v>
      </c>
      <c r="G1555">
        <f>'2020_5-2-2_Download'!BE55</f>
        <v>20.473876063183475</v>
      </c>
    </row>
    <row r="1556" spans="1:7">
      <c r="A1556">
        <f>'2020_5-2-2_Download'!B56</f>
        <v>459</v>
      </c>
      <c r="B1556">
        <f>'2020_5-2-2_Download'!$BA$5</f>
        <v>2013</v>
      </c>
      <c r="C1556" t="str">
        <f>VLOOKUP(A2960,[1]Tabelle1!$A$1:$B$68,2,FALSE)</f>
        <v>Niedersachsen</v>
      </c>
      <c r="D1556" t="str">
        <f>'2020_5-2-2_Download'!$BE$7</f>
        <v>mittel</v>
      </c>
      <c r="E1556" t="s">
        <v>362</v>
      </c>
      <c r="F1556" s="266" t="str">
        <f>VLOOKUP(A2960,[2]Kreise!$A$2:$C$53,3,FALSE)</f>
        <v>K030</v>
      </c>
      <c r="G1556">
        <f>'2020_5-2-2_Download'!BE56</f>
        <v>22.492360834329748</v>
      </c>
    </row>
    <row r="1557" spans="1:7">
      <c r="A1557">
        <f>'2020_5-2-2_Download'!B57</f>
        <v>460</v>
      </c>
      <c r="B1557">
        <f>'2020_5-2-2_Download'!$BA$5</f>
        <v>2013</v>
      </c>
      <c r="C1557" t="str">
        <f>VLOOKUP(A2961,[1]Tabelle1!$A$1:$B$68,2,FALSE)</f>
        <v>Niedersachsen</v>
      </c>
      <c r="D1557" t="str">
        <f>'2020_5-2-2_Download'!$BE$7</f>
        <v>mittel</v>
      </c>
      <c r="E1557" t="s">
        <v>362</v>
      </c>
      <c r="F1557" s="266" t="str">
        <f>VLOOKUP(A2961,[2]Kreise!$A$2:$C$53,3,FALSE)</f>
        <v>K030</v>
      </c>
      <c r="G1557">
        <f>'2020_5-2-2_Download'!BE57</f>
        <v>12.673038892551089</v>
      </c>
    </row>
    <row r="1558" spans="1:7">
      <c r="A1558">
        <f>'2020_5-2-2_Download'!B58</f>
        <v>461</v>
      </c>
      <c r="B1558">
        <f>'2020_5-2-2_Download'!$BA$5</f>
        <v>2013</v>
      </c>
      <c r="C1558" t="str">
        <f>VLOOKUP(A2962,[1]Tabelle1!$A$1:$B$68,2,FALSE)</f>
        <v>Niedersachsen</v>
      </c>
      <c r="D1558" t="str">
        <f>'2020_5-2-2_Download'!$BE$7</f>
        <v>mittel</v>
      </c>
      <c r="E1558" t="s">
        <v>362</v>
      </c>
      <c r="F1558" s="266" t="str">
        <f>VLOOKUP(A2962,[2]Kreise!$A$2:$C$53,3,FALSE)</f>
        <v>K030</v>
      </c>
      <c r="G1558">
        <f>'2020_5-2-2_Download'!BE58</f>
        <v>40.887096774193552</v>
      </c>
    </row>
    <row r="1559" spans="1:7">
      <c r="A1559">
        <f>'2020_5-2-2_Download'!B59</f>
        <v>462</v>
      </c>
      <c r="B1559">
        <f>'2020_5-2-2_Download'!$BA$5</f>
        <v>2013</v>
      </c>
      <c r="C1559" t="str">
        <f>VLOOKUP(A2963,[1]Tabelle1!$A$1:$B$68,2,FALSE)</f>
        <v>Niedersachsen</v>
      </c>
      <c r="D1559" t="str">
        <f>'2020_5-2-2_Download'!$BE$7</f>
        <v>mittel</v>
      </c>
      <c r="E1559" t="s">
        <v>362</v>
      </c>
      <c r="F1559" s="266" t="str">
        <f>VLOOKUP(A2963,[2]Kreise!$A$2:$C$53,3,FALSE)</f>
        <v>K030</v>
      </c>
      <c r="G1559">
        <f>'2020_5-2-2_Download'!BE59</f>
        <v>16.33064516129032</v>
      </c>
    </row>
    <row r="1560" spans="1:7">
      <c r="A1560">
        <f>'2020_5-2-2_Download'!B60</f>
        <v>4</v>
      </c>
      <c r="B1560">
        <f>'2020_5-2-2_Download'!$BA$5</f>
        <v>2013</v>
      </c>
      <c r="C1560" t="str">
        <f>VLOOKUP(A2964,[1]Tabelle1!$A$1:$B$68,2,FALSE)</f>
        <v>Niedersachsen</v>
      </c>
      <c r="D1560" t="str">
        <f>'2020_5-2-2_Download'!$BE$7</f>
        <v>mittel</v>
      </c>
      <c r="E1560" t="s">
        <v>362</v>
      </c>
      <c r="F1560" s="266" t="str">
        <f>VLOOKUP(A2964,[2]Kreise!$A$2:$C$53,3,FALSE)</f>
        <v>K030</v>
      </c>
      <c r="G1560">
        <f>'2020_5-2-2_Download'!BE60</f>
        <v>24.239671209171533</v>
      </c>
    </row>
    <row r="1561" spans="1:7">
      <c r="A1561">
        <f>'2020_5-2-2_Download'!B61</f>
        <v>0</v>
      </c>
      <c r="B1561">
        <f>'2020_5-2-2_Download'!$BA$5</f>
        <v>2013</v>
      </c>
      <c r="C1561" t="str">
        <f>VLOOKUP(A2965,[1]Tabelle1!$A$1:$B$68,2,FALSE)</f>
        <v>Niedersachsen</v>
      </c>
      <c r="D1561" t="str">
        <f>'2020_5-2-2_Download'!$BE$7</f>
        <v>mittel</v>
      </c>
      <c r="E1561" t="s">
        <v>362</v>
      </c>
      <c r="F1561" s="266" t="str">
        <f>VLOOKUP(A2965,[2]Kreise!$A$2:$C$53,3,FALSE)</f>
        <v>K030</v>
      </c>
      <c r="G1561">
        <f>'2020_5-2-2_Download'!BE61</f>
        <v>27.994223079071606</v>
      </c>
    </row>
    <row r="1562" spans="1:7">
      <c r="A1562">
        <f>'2020_5-2-2_Download'!B10</f>
        <v>101</v>
      </c>
      <c r="B1562">
        <f>'2020_5-2-2_Download'!$BA$5</f>
        <v>2013</v>
      </c>
      <c r="C1562" t="str">
        <f>VLOOKUP(A2966,[1]Tabelle1!$A$1:$B$68,2,FALSE)</f>
        <v>Niedersachsen</v>
      </c>
      <c r="D1562" t="str">
        <f>'2020_5-2-2_Download'!$BF$7</f>
        <v>niedrig</v>
      </c>
      <c r="E1562" t="s">
        <v>362</v>
      </c>
      <c r="F1562" s="266" t="str">
        <f>VLOOKUP(A2966,[2]Kreise!$A$2:$C$53,3,FALSE)</f>
        <v>K030</v>
      </c>
      <c r="G1562">
        <f>'2020_5-2-2_Download'!BF10</f>
        <v>16.919025674786042</v>
      </c>
    </row>
    <row r="1563" spans="1:7">
      <c r="A1563">
        <f>'2020_5-2-2_Download'!B11</f>
        <v>102</v>
      </c>
      <c r="B1563">
        <f>'2020_5-2-2_Download'!$BA$5</f>
        <v>2013</v>
      </c>
      <c r="C1563" t="str">
        <f>VLOOKUP(A2967,[1]Tabelle1!$A$1:$B$68,2,FALSE)</f>
        <v>Niedersachsen</v>
      </c>
      <c r="D1563" t="str">
        <f>'2020_5-2-2_Download'!$BF$7</f>
        <v>niedrig</v>
      </c>
      <c r="E1563" t="s">
        <v>362</v>
      </c>
      <c r="F1563" s="266" t="str">
        <f>VLOOKUP(A2967,[2]Kreise!$A$2:$C$53,3,FALSE)</f>
        <v>K030</v>
      </c>
      <c r="G1563">
        <f>'2020_5-2-2_Download'!BF11</f>
        <v>20.797448165869216</v>
      </c>
    </row>
    <row r="1564" spans="1:7">
      <c r="A1564">
        <f>'2020_5-2-2_Download'!B12</f>
        <v>103</v>
      </c>
      <c r="B1564">
        <f>'2020_5-2-2_Download'!$BA$5</f>
        <v>2013</v>
      </c>
      <c r="C1564" t="str">
        <f>VLOOKUP(A2968,[1]Tabelle1!$A$1:$B$68,2,FALSE)</f>
        <v>Niedersachsen</v>
      </c>
      <c r="D1564" t="str">
        <f>'2020_5-2-2_Download'!$BF$7</f>
        <v>niedrig</v>
      </c>
      <c r="E1564" t="s">
        <v>362</v>
      </c>
      <c r="F1564" s="266" t="str">
        <f>VLOOKUP(A2968,[2]Kreise!$A$2:$C$53,3,FALSE)</f>
        <v>K030</v>
      </c>
      <c r="G1564">
        <f>'2020_5-2-2_Download'!BF12</f>
        <v>6.4266000788539888</v>
      </c>
    </row>
    <row r="1565" spans="1:7">
      <c r="A1565">
        <f>'2020_5-2-2_Download'!B13</f>
        <v>151</v>
      </c>
      <c r="B1565">
        <f>'2020_5-2-2_Download'!$BA$5</f>
        <v>2013</v>
      </c>
      <c r="C1565" t="str">
        <f>VLOOKUP(A2969,[1]Tabelle1!$A$1:$B$68,2,FALSE)</f>
        <v>Niedersachsen</v>
      </c>
      <c r="D1565" t="str">
        <f>'2020_5-2-2_Download'!$BF$7</f>
        <v>niedrig</v>
      </c>
      <c r="E1565" t="s">
        <v>362</v>
      </c>
      <c r="F1565" s="266" t="str">
        <f>VLOOKUP(A2969,[2]Kreise!$A$2:$C$53,3,FALSE)</f>
        <v>K030</v>
      </c>
      <c r="G1565">
        <f>'2020_5-2-2_Download'!BF13</f>
        <v>26.837606837606838</v>
      </c>
    </row>
    <row r="1566" spans="1:7">
      <c r="A1566">
        <f>'2020_5-2-2_Download'!B14</f>
        <v>153</v>
      </c>
      <c r="B1566">
        <f>'2020_5-2-2_Download'!$BA$5</f>
        <v>2013</v>
      </c>
      <c r="C1566" t="str">
        <f>VLOOKUP(A2970,[1]Tabelle1!$A$1:$B$68,2,FALSE)</f>
        <v>Niedersachsen</v>
      </c>
      <c r="D1566" t="str">
        <f>'2020_5-2-2_Download'!$BF$7</f>
        <v>niedrig</v>
      </c>
      <c r="E1566" t="s">
        <v>362</v>
      </c>
      <c r="F1566" s="266" t="str">
        <f>VLOOKUP(A2970,[2]Kreise!$A$2:$C$53,3,FALSE)</f>
        <v>K030</v>
      </c>
      <c r="G1566">
        <f>'2020_5-2-2_Download'!BF14</f>
        <v>20.43010752688172</v>
      </c>
    </row>
    <row r="1567" spans="1:7">
      <c r="A1567">
        <f>'2020_5-2-2_Download'!B15</f>
        <v>154</v>
      </c>
      <c r="B1567">
        <f>'2020_5-2-2_Download'!$BA$5</f>
        <v>2013</v>
      </c>
      <c r="C1567" t="str">
        <f>VLOOKUP(A2971,[1]Tabelle1!$A$1:$B$68,2,FALSE)</f>
        <v>Niedersachsen</v>
      </c>
      <c r="D1567" t="str">
        <f>'2020_5-2-2_Download'!$BF$7</f>
        <v>niedrig</v>
      </c>
      <c r="E1567" t="s">
        <v>362</v>
      </c>
      <c r="F1567" s="266" t="str">
        <f>VLOOKUP(A2971,[2]Kreise!$A$2:$C$53,3,FALSE)</f>
        <v>K030</v>
      </c>
      <c r="G1567">
        <f>'2020_5-2-2_Download'!BF15</f>
        <v>26.575809199318567</v>
      </c>
    </row>
    <row r="1568" spans="1:7">
      <c r="A1568">
        <f>'2020_5-2-2_Download'!B16</f>
        <v>155</v>
      </c>
      <c r="B1568">
        <f>'2020_5-2-2_Download'!$BA$5</f>
        <v>2013</v>
      </c>
      <c r="C1568" t="str">
        <f>VLOOKUP(A2972,[1]Tabelle1!$A$1:$B$68,2,FALSE)</f>
        <v>Niedersachsen</v>
      </c>
      <c r="D1568" t="str">
        <f>'2020_5-2-2_Download'!$BF$7</f>
        <v>niedrig</v>
      </c>
      <c r="E1568" t="s">
        <v>362</v>
      </c>
      <c r="F1568" s="266" t="str">
        <f>VLOOKUP(A2972,[2]Kreise!$A$2:$C$53,3,FALSE)</f>
        <v>K030</v>
      </c>
      <c r="G1568">
        <f>'2020_5-2-2_Download'!BF16</f>
        <v>17.039274924471297</v>
      </c>
    </row>
    <row r="1569" spans="1:7">
      <c r="A1569">
        <f>'2020_5-2-2_Download'!B17</f>
        <v>157</v>
      </c>
      <c r="B1569">
        <f>'2020_5-2-2_Download'!$BA$5</f>
        <v>2013</v>
      </c>
      <c r="C1569" t="str">
        <f>VLOOKUP(A2973,[1]Tabelle1!$A$1:$B$68,2,FALSE)</f>
        <v>Niedersachsen</v>
      </c>
      <c r="D1569" t="str">
        <f>'2020_5-2-2_Download'!$BF$7</f>
        <v>niedrig</v>
      </c>
      <c r="E1569" t="s">
        <v>362</v>
      </c>
      <c r="F1569" s="266" t="str">
        <f>VLOOKUP(A2973,[2]Kreise!$A$2:$C$53,3,FALSE)</f>
        <v>K030</v>
      </c>
      <c r="G1569">
        <f>'2020_5-2-2_Download'!BF17</f>
        <v>29.144587433762304</v>
      </c>
    </row>
    <row r="1570" spans="1:7">
      <c r="A1570">
        <f>'2020_5-2-2_Download'!B18</f>
        <v>158</v>
      </c>
      <c r="B1570">
        <f>'2020_5-2-2_Download'!$BA$5</f>
        <v>2013</v>
      </c>
      <c r="C1570" t="str">
        <f>VLOOKUP(A2974,[1]Tabelle1!$A$1:$B$68,2,FALSE)</f>
        <v>Niedersachsen</v>
      </c>
      <c r="D1570" t="str">
        <f>'2020_5-2-2_Download'!$BF$7</f>
        <v>niedrig</v>
      </c>
      <c r="E1570" t="s">
        <v>362</v>
      </c>
      <c r="F1570" s="266" t="str">
        <f>VLOOKUP(A2974,[2]Kreise!$A$2:$C$53,3,FALSE)</f>
        <v>K030</v>
      </c>
      <c r="G1570">
        <f>'2020_5-2-2_Download'!BF18</f>
        <v>16.757493188010901</v>
      </c>
    </row>
    <row r="1571" spans="1:7">
      <c r="A1571">
        <f>'2020_5-2-2_Download'!B19</f>
        <v>159</v>
      </c>
      <c r="B1571">
        <f>'2020_5-2-2_Download'!$BA$5</f>
        <v>2013</v>
      </c>
      <c r="C1571" t="str">
        <f>VLOOKUP(A2975,[1]Tabelle1!$A$1:$B$68,2,FALSE)</f>
        <v>Niedersachsen</v>
      </c>
      <c r="D1571" t="str">
        <f>'2020_5-2-2_Download'!$BF$7</f>
        <v>niedrig</v>
      </c>
      <c r="E1571" t="s">
        <v>362</v>
      </c>
      <c r="F1571" s="266" t="str">
        <f>VLOOKUP(A2975,[2]Kreise!$A$2:$C$53,3,FALSE)</f>
        <v>K030</v>
      </c>
      <c r="G1571">
        <f>'2020_5-2-2_Download'!BF19</f>
        <v>22.575699501724799</v>
      </c>
    </row>
    <row r="1572" spans="1:7">
      <c r="A1572">
        <f>'2020_5-2-2_Download'!B20</f>
        <v>1</v>
      </c>
      <c r="B1572">
        <f>'2020_5-2-2_Download'!$BA$5</f>
        <v>2013</v>
      </c>
      <c r="C1572" t="str">
        <f>VLOOKUP(A2976,[1]Tabelle1!$A$1:$B$68,2,FALSE)</f>
        <v>Niedersachsen</v>
      </c>
      <c r="D1572" t="str">
        <f>'2020_5-2-2_Download'!$BF$7</f>
        <v>niedrig</v>
      </c>
      <c r="E1572" t="s">
        <v>362</v>
      </c>
      <c r="F1572" s="266" t="str">
        <f>VLOOKUP(A2976,[2]Kreise!$A$2:$C$53,3,FALSE)</f>
        <v>K030</v>
      </c>
      <c r="G1572">
        <f>'2020_5-2-2_Download'!BF20</f>
        <v>16.968234821069561</v>
      </c>
    </row>
    <row r="1573" spans="1:7">
      <c r="A1573">
        <f>'2020_5-2-2_Download'!B21</f>
        <v>241</v>
      </c>
      <c r="B1573">
        <f>'2020_5-2-2_Download'!$BA$5</f>
        <v>2013</v>
      </c>
      <c r="C1573" t="str">
        <f>VLOOKUP(A2977,[1]Tabelle1!$A$1:$B$68,2,FALSE)</f>
        <v>Niedersachsen</v>
      </c>
      <c r="D1573" t="str">
        <f>'2020_5-2-2_Download'!$BF$7</f>
        <v>niedrig</v>
      </c>
      <c r="E1573" t="s">
        <v>362</v>
      </c>
      <c r="F1573" s="266" t="str">
        <f>VLOOKUP(A2977,[2]Kreise!$A$2:$C$53,3,FALSE)</f>
        <v>K030</v>
      </c>
      <c r="G1573">
        <f>'2020_5-2-2_Download'!BF21</f>
        <v>21.071645248469473</v>
      </c>
    </row>
    <row r="1574" spans="1:7">
      <c r="A1574">
        <f>'2020_5-2-2_Download'!B22</f>
        <v>241001</v>
      </c>
      <c r="B1574">
        <f>'2020_5-2-2_Download'!$BA$5</f>
        <v>2013</v>
      </c>
      <c r="C1574" t="str">
        <f>VLOOKUP(A2978,[1]Tabelle1!$A$1:$B$68,2,FALSE)</f>
        <v>Niedersachsen</v>
      </c>
      <c r="D1574" t="str">
        <f>'2020_5-2-2_Download'!$BF$7</f>
        <v>niedrig</v>
      </c>
      <c r="E1574" t="s">
        <v>362</v>
      </c>
      <c r="F1574" s="266" t="str">
        <f>VLOOKUP(A2978,[2]Kreise!$A$2:$C$53,3,FALSE)</f>
        <v>K030</v>
      </c>
      <c r="G1574">
        <f>'2020_5-2-2_Download'!BF22</f>
        <v>21.147973057775175</v>
      </c>
    </row>
    <row r="1575" spans="1:7">
      <c r="A1575">
        <f>'2020_5-2-2_Download'!B23</f>
        <v>241999</v>
      </c>
      <c r="B1575">
        <f>'2020_5-2-2_Download'!$BA$5</f>
        <v>2013</v>
      </c>
      <c r="C1575" t="str">
        <f>VLOOKUP(A2979,[1]Tabelle1!$A$1:$B$68,2,FALSE)</f>
        <v>Niedersachsen</v>
      </c>
      <c r="D1575" t="str">
        <f>'2020_5-2-2_Download'!$BF$7</f>
        <v>niedrig</v>
      </c>
      <c r="E1575" t="s">
        <v>362</v>
      </c>
      <c r="F1575" s="266" t="str">
        <f>VLOOKUP(A2979,[2]Kreise!$A$2:$C$53,3,FALSE)</f>
        <v>K030</v>
      </c>
      <c r="G1575">
        <f>'2020_5-2-2_Download'!BF23</f>
        <v>20.924022979205436</v>
      </c>
    </row>
    <row r="1576" spans="1:7">
      <c r="A1576">
        <f>'2020_5-2-2_Download'!B24</f>
        <v>251</v>
      </c>
      <c r="B1576">
        <f>'2020_5-2-2_Download'!$BA$5</f>
        <v>2013</v>
      </c>
      <c r="C1576" t="str">
        <f>VLOOKUP(A2980,[1]Tabelle1!$A$1:$B$68,2,FALSE)</f>
        <v>Niedersachsen</v>
      </c>
      <c r="D1576" t="str">
        <f>'2020_5-2-2_Download'!$BF$7</f>
        <v>niedrig</v>
      </c>
      <c r="E1576" t="s">
        <v>362</v>
      </c>
      <c r="F1576" s="266" t="str">
        <f>VLOOKUP(A2980,[2]Kreise!$A$2:$C$53,3,FALSE)</f>
        <v>K030</v>
      </c>
      <c r="G1576">
        <f>'2020_5-2-2_Download'!BF24</f>
        <v>18.314296967309964</v>
      </c>
    </row>
    <row r="1577" spans="1:7">
      <c r="A1577">
        <f>'2020_5-2-2_Download'!B25</f>
        <v>252</v>
      </c>
      <c r="B1577">
        <f>'2020_5-2-2_Download'!$BA$5</f>
        <v>2013</v>
      </c>
      <c r="C1577" t="str">
        <f>VLOOKUP(A2981,[1]Tabelle1!$A$1:$B$68,2,FALSE)</f>
        <v>Niedersachsen</v>
      </c>
      <c r="D1577" t="str">
        <f>'2020_5-2-2_Download'!$BF$7</f>
        <v>niedrig</v>
      </c>
      <c r="E1577" t="s">
        <v>362</v>
      </c>
      <c r="F1577" s="266" t="str">
        <f>VLOOKUP(A2981,[2]Kreise!$A$2:$C$53,3,FALSE)</f>
        <v>K030</v>
      </c>
      <c r="G1577">
        <f>'2020_5-2-2_Download'!BF25</f>
        <v>20.702479338842974</v>
      </c>
    </row>
    <row r="1578" spans="1:7">
      <c r="A1578">
        <f>'2020_5-2-2_Download'!B26</f>
        <v>254</v>
      </c>
      <c r="B1578">
        <f>'2020_5-2-2_Download'!$BA$5</f>
        <v>2013</v>
      </c>
      <c r="C1578" t="str">
        <f>VLOOKUP(A2982,[1]Tabelle1!$A$1:$B$68,2,FALSE)</f>
        <v>Niedersachsen</v>
      </c>
      <c r="D1578" t="str">
        <f>'2020_5-2-2_Download'!$BF$7</f>
        <v>niedrig</v>
      </c>
      <c r="E1578" t="s">
        <v>362</v>
      </c>
      <c r="F1578" s="266" t="str">
        <f>VLOOKUP(A2982,[2]Kreise!$A$2:$C$53,3,FALSE)</f>
        <v>K030</v>
      </c>
      <c r="G1578">
        <f>'2020_5-2-2_Download'!BF26</f>
        <v>23.146202341639146</v>
      </c>
    </row>
    <row r="1579" spans="1:7">
      <c r="A1579">
        <f>'2020_5-2-2_Download'!B27</f>
        <v>255</v>
      </c>
      <c r="B1579">
        <f>'2020_5-2-2_Download'!$BA$5</f>
        <v>2013</v>
      </c>
      <c r="C1579" t="str">
        <f>VLOOKUP(A2983,[1]Tabelle1!$A$1:$B$68,2,FALSE)</f>
        <v>Niedersachsen</v>
      </c>
      <c r="D1579" t="str">
        <f>'2020_5-2-2_Download'!$BF$7</f>
        <v>niedrig</v>
      </c>
      <c r="E1579" t="s">
        <v>362</v>
      </c>
      <c r="F1579" s="266" t="str">
        <f>VLOOKUP(A2983,[2]Kreise!$A$2:$C$53,3,FALSE)</f>
        <v>K030</v>
      </c>
      <c r="G1579">
        <f>'2020_5-2-2_Download'!BF27</f>
        <v>31.275167785234899</v>
      </c>
    </row>
    <row r="1580" spans="1:7">
      <c r="A1580">
        <f>'2020_5-2-2_Download'!B28</f>
        <v>256</v>
      </c>
      <c r="B1580">
        <f>'2020_5-2-2_Download'!$BA$5</f>
        <v>2013</v>
      </c>
      <c r="C1580" t="str">
        <f>VLOOKUP(A2984,[1]Tabelle1!$A$1:$B$68,2,FALSE)</f>
        <v>Niedersachsen</v>
      </c>
      <c r="D1580" t="str">
        <f>'2020_5-2-2_Download'!$BF$7</f>
        <v>niedrig</v>
      </c>
      <c r="E1580" t="s">
        <v>362</v>
      </c>
      <c r="F1580" s="266" t="str">
        <f>VLOOKUP(A2984,[2]Kreise!$A$2:$C$53,3,FALSE)</f>
        <v>K030</v>
      </c>
      <c r="G1580">
        <f>'2020_5-2-2_Download'!BF28</f>
        <v>25.045815516188146</v>
      </c>
    </row>
    <row r="1581" spans="1:7">
      <c r="A1581">
        <f>'2020_5-2-2_Download'!B29</f>
        <v>257</v>
      </c>
      <c r="B1581">
        <f>'2020_5-2-2_Download'!$BA$5</f>
        <v>2013</v>
      </c>
      <c r="C1581" t="str">
        <f>VLOOKUP(A2985,[1]Tabelle1!$A$1:$B$68,2,FALSE)</f>
        <v>Niedersachsen</v>
      </c>
      <c r="D1581" t="str">
        <f>'2020_5-2-2_Download'!$BF$7</f>
        <v>niedrig</v>
      </c>
      <c r="E1581" t="s">
        <v>362</v>
      </c>
      <c r="F1581" s="266" t="str">
        <f>VLOOKUP(A2985,[2]Kreise!$A$2:$C$53,3,FALSE)</f>
        <v>K030</v>
      </c>
      <c r="G1581">
        <f>'2020_5-2-2_Download'!BF29</f>
        <v>28.418683173888574</v>
      </c>
    </row>
    <row r="1582" spans="1:7">
      <c r="A1582">
        <f>'2020_5-2-2_Download'!B30</f>
        <v>2</v>
      </c>
      <c r="B1582">
        <f>'2020_5-2-2_Download'!$BA$5</f>
        <v>2013</v>
      </c>
      <c r="C1582" t="str">
        <f>VLOOKUP(A2986,[1]Tabelle1!$A$1:$B$68,2,FALSE)</f>
        <v>Niedersachsen</v>
      </c>
      <c r="D1582" t="str">
        <f>'2020_5-2-2_Download'!$BF$7</f>
        <v>niedrig</v>
      </c>
      <c r="E1582" t="s">
        <v>362</v>
      </c>
      <c r="F1582" s="266" t="str">
        <f>VLOOKUP(A2986,[2]Kreise!$A$2:$C$53,3,FALSE)</f>
        <v>K030</v>
      </c>
      <c r="G1582">
        <f>'2020_5-2-2_Download'!BF30</f>
        <v>21.609082137504878</v>
      </c>
    </row>
    <row r="1583" spans="1:7">
      <c r="A1583">
        <f>'2020_5-2-2_Download'!B31</f>
        <v>351</v>
      </c>
      <c r="B1583">
        <f>'2020_5-2-2_Download'!$BA$5</f>
        <v>2013</v>
      </c>
      <c r="C1583" t="str">
        <f>VLOOKUP(A2987,[1]Tabelle1!$A$1:$B$68,2,FALSE)</f>
        <v>Niedersachsen</v>
      </c>
      <c r="D1583" t="str">
        <f>'2020_5-2-2_Download'!$BF$7</f>
        <v>niedrig</v>
      </c>
      <c r="E1583" t="s">
        <v>362</v>
      </c>
      <c r="F1583" s="266" t="str">
        <f>VLOOKUP(A2987,[2]Kreise!$A$2:$C$53,3,FALSE)</f>
        <v>K030</v>
      </c>
      <c r="G1583">
        <f>'2020_5-2-2_Download'!BF31</f>
        <v>22.737608003638019</v>
      </c>
    </row>
    <row r="1584" spans="1:7">
      <c r="A1584">
        <f>'2020_5-2-2_Download'!B32</f>
        <v>352</v>
      </c>
      <c r="B1584">
        <f>'2020_5-2-2_Download'!$BA$5</f>
        <v>2013</v>
      </c>
      <c r="C1584" t="str">
        <f>VLOOKUP(A2988,[1]Tabelle1!$A$1:$B$68,2,FALSE)</f>
        <v>Niedersachsen</v>
      </c>
      <c r="D1584" t="str">
        <f>'2020_5-2-2_Download'!$BF$7</f>
        <v>niedrig</v>
      </c>
      <c r="E1584" t="s">
        <v>362</v>
      </c>
      <c r="F1584" s="266" t="str">
        <f>VLOOKUP(A2988,[2]Kreise!$A$2:$C$53,3,FALSE)</f>
        <v>K030</v>
      </c>
      <c r="G1584">
        <f>'2020_5-2-2_Download'!BF32</f>
        <v>19.009262988320579</v>
      </c>
    </row>
    <row r="1585" spans="1:7">
      <c r="A1585">
        <f>'2020_5-2-2_Download'!B33</f>
        <v>353</v>
      </c>
      <c r="B1585">
        <f>'2020_5-2-2_Download'!$BA$5</f>
        <v>2013</v>
      </c>
      <c r="C1585" t="str">
        <f>VLOOKUP(A2989,[1]Tabelle1!$A$1:$B$68,2,FALSE)</f>
        <v>Niedersachsen</v>
      </c>
      <c r="D1585" t="str">
        <f>'2020_5-2-2_Download'!$BF$7</f>
        <v>niedrig</v>
      </c>
      <c r="E1585" t="s">
        <v>362</v>
      </c>
      <c r="F1585" s="266" t="str">
        <f>VLOOKUP(A2989,[2]Kreise!$A$2:$C$53,3,FALSE)</f>
        <v>K030</v>
      </c>
      <c r="G1585">
        <f>'2020_5-2-2_Download'!BF33</f>
        <v>16.096399880987803</v>
      </c>
    </row>
    <row r="1586" spans="1:7">
      <c r="A1586">
        <f>'2020_5-2-2_Download'!B34</f>
        <v>354</v>
      </c>
      <c r="B1586">
        <f>'2020_5-2-2_Download'!$BA$5</f>
        <v>2013</v>
      </c>
      <c r="C1586" t="str">
        <f>VLOOKUP(A2990,[1]Tabelle1!$A$1:$B$68,2,FALSE)</f>
        <v>Niedersachsen</v>
      </c>
      <c r="D1586" t="str">
        <f>'2020_5-2-2_Download'!$BF$7</f>
        <v>niedrig</v>
      </c>
      <c r="E1586" t="s">
        <v>362</v>
      </c>
      <c r="F1586" s="266" t="str">
        <f>VLOOKUP(A2990,[2]Kreise!$A$2:$C$53,3,FALSE)</f>
        <v>K030</v>
      </c>
      <c r="G1586">
        <f>'2020_5-2-2_Download'!BF34</f>
        <v>10.891089108910892</v>
      </c>
    </row>
    <row r="1587" spans="1:7">
      <c r="A1587">
        <f>'2020_5-2-2_Download'!B35</f>
        <v>355</v>
      </c>
      <c r="B1587">
        <f>'2020_5-2-2_Download'!$BA$5</f>
        <v>2013</v>
      </c>
      <c r="C1587" t="str">
        <f>VLOOKUP(A2991,[1]Tabelle1!$A$1:$B$68,2,FALSE)</f>
        <v>Niedersachsen</v>
      </c>
      <c r="D1587" t="str">
        <f>'2020_5-2-2_Download'!$BF$7</f>
        <v>niedrig</v>
      </c>
      <c r="E1587" t="s">
        <v>362</v>
      </c>
      <c r="F1587" s="266" t="str">
        <f>VLOOKUP(A2991,[2]Kreise!$A$2:$C$53,3,FALSE)</f>
        <v>K030</v>
      </c>
      <c r="G1587">
        <f>'2020_5-2-2_Download'!BF35</f>
        <v>19.611955951756684</v>
      </c>
    </row>
    <row r="1588" spans="1:7">
      <c r="A1588">
        <f>'2020_5-2-2_Download'!B36</f>
        <v>356</v>
      </c>
      <c r="B1588">
        <f>'2020_5-2-2_Download'!$BA$5</f>
        <v>2013</v>
      </c>
      <c r="C1588" t="str">
        <f>VLOOKUP(A2992,[1]Tabelle1!$A$1:$B$68,2,FALSE)</f>
        <v>Niedersachsen</v>
      </c>
      <c r="D1588" t="str">
        <f>'2020_5-2-2_Download'!$BF$7</f>
        <v>niedrig</v>
      </c>
      <c r="E1588" t="s">
        <v>362</v>
      </c>
      <c r="F1588" s="266" t="str">
        <f>VLOOKUP(A2992,[2]Kreise!$A$2:$C$53,3,FALSE)</f>
        <v>K030</v>
      </c>
      <c r="G1588">
        <f>'2020_5-2-2_Download'!BF36</f>
        <v>22.442244224422442</v>
      </c>
    </row>
    <row r="1589" spans="1:7">
      <c r="A1589">
        <f>'2020_5-2-2_Download'!B37</f>
        <v>357</v>
      </c>
      <c r="B1589">
        <f>'2020_5-2-2_Download'!$BA$5</f>
        <v>2013</v>
      </c>
      <c r="C1589" t="str">
        <f>VLOOKUP(A2993,[1]Tabelle1!$A$1:$B$68,2,FALSE)</f>
        <v>Niedersachsen</v>
      </c>
      <c r="D1589" t="str">
        <f>'2020_5-2-2_Download'!$BF$7</f>
        <v>niedrig</v>
      </c>
      <c r="E1589" t="s">
        <v>362</v>
      </c>
      <c r="F1589" s="266" t="str">
        <f>VLOOKUP(A2993,[2]Kreise!$A$2:$C$53,3,FALSE)</f>
        <v>K030</v>
      </c>
      <c r="G1589">
        <f>'2020_5-2-2_Download'!BF37</f>
        <v>17.751141552511417</v>
      </c>
    </row>
    <row r="1590" spans="1:7">
      <c r="A1590">
        <f>'2020_5-2-2_Download'!B38</f>
        <v>358</v>
      </c>
      <c r="B1590">
        <f>'2020_5-2-2_Download'!$BA$5</f>
        <v>2013</v>
      </c>
      <c r="C1590" t="str">
        <f>VLOOKUP(A2994,[1]Tabelle1!$A$1:$B$68,2,FALSE)</f>
        <v>Niedersachsen</v>
      </c>
      <c r="D1590" t="str">
        <f>'2020_5-2-2_Download'!$BF$7</f>
        <v>niedrig</v>
      </c>
      <c r="E1590" t="s">
        <v>362</v>
      </c>
      <c r="F1590" s="266" t="str">
        <f>VLOOKUP(A2994,[2]Kreise!$A$2:$C$53,3,FALSE)</f>
        <v>K030</v>
      </c>
      <c r="G1590">
        <f>'2020_5-2-2_Download'!BF38</f>
        <v>16.959619952494062</v>
      </c>
    </row>
    <row r="1591" spans="1:7">
      <c r="A1591">
        <f>'2020_5-2-2_Download'!B39</f>
        <v>359</v>
      </c>
      <c r="B1591">
        <f>'2020_5-2-2_Download'!$BA$5</f>
        <v>2013</v>
      </c>
      <c r="C1591" t="str">
        <f>VLOOKUP(A2995,[1]Tabelle1!$A$1:$B$68,2,FALSE)</f>
        <v>Niedersachsen</v>
      </c>
      <c r="D1591" t="str">
        <f>'2020_5-2-2_Download'!$BF$7</f>
        <v>niedrig</v>
      </c>
      <c r="E1591" t="s">
        <v>362</v>
      </c>
      <c r="F1591" s="266" t="str">
        <f>VLOOKUP(A2995,[2]Kreise!$A$2:$C$53,3,FALSE)</f>
        <v>K030</v>
      </c>
      <c r="G1591">
        <f>'2020_5-2-2_Download'!BF39</f>
        <v>9.5095095095095097</v>
      </c>
    </row>
    <row r="1592" spans="1:7">
      <c r="A1592">
        <f>'2020_5-2-2_Download'!B40</f>
        <v>360</v>
      </c>
      <c r="B1592">
        <f>'2020_5-2-2_Download'!$BA$5</f>
        <v>2013</v>
      </c>
      <c r="C1592" t="str">
        <f>VLOOKUP(A2996,[1]Tabelle1!$A$1:$B$68,2,FALSE)</f>
        <v>Niedersachsen</v>
      </c>
      <c r="D1592" t="str">
        <f>'2020_5-2-2_Download'!$BF$7</f>
        <v>niedrig</v>
      </c>
      <c r="E1592" t="s">
        <v>362</v>
      </c>
      <c r="F1592" s="266" t="str">
        <f>VLOOKUP(A2996,[2]Kreise!$A$2:$C$53,3,FALSE)</f>
        <v>K030</v>
      </c>
      <c r="G1592">
        <f>'2020_5-2-2_Download'!BF40</f>
        <v>11.569148936170212</v>
      </c>
    </row>
    <row r="1593" spans="1:7">
      <c r="A1593">
        <f>'2020_5-2-2_Download'!B41</f>
        <v>361</v>
      </c>
      <c r="B1593">
        <f>'2020_5-2-2_Download'!$BA$5</f>
        <v>2013</v>
      </c>
      <c r="C1593" t="str">
        <f>VLOOKUP(A2997,[1]Tabelle1!$A$1:$B$68,2,FALSE)</f>
        <v>Niedersachsen</v>
      </c>
      <c r="D1593" t="str">
        <f>'2020_5-2-2_Download'!$BF$7</f>
        <v>niedrig</v>
      </c>
      <c r="E1593" t="s">
        <v>362</v>
      </c>
      <c r="F1593" s="266" t="str">
        <f>VLOOKUP(A2997,[2]Kreise!$A$2:$C$53,3,FALSE)</f>
        <v>K030</v>
      </c>
      <c r="G1593">
        <f>'2020_5-2-2_Download'!BF41</f>
        <v>24.47521214828048</v>
      </c>
    </row>
    <row r="1594" spans="1:7">
      <c r="A1594">
        <f>'2020_5-2-2_Download'!B42</f>
        <v>3</v>
      </c>
      <c r="B1594">
        <f>'2020_5-2-2_Download'!$BA$5</f>
        <v>2013</v>
      </c>
      <c r="C1594" t="str">
        <f>VLOOKUP(A2998,[1]Tabelle1!$A$1:$B$68,2,FALSE)</f>
        <v>Niedersachsen</v>
      </c>
      <c r="D1594" t="str">
        <f>'2020_5-2-2_Download'!$BF$7</f>
        <v>niedrig</v>
      </c>
      <c r="E1594" t="s">
        <v>362</v>
      </c>
      <c r="F1594" s="266" t="str">
        <f>VLOOKUP(A2998,[2]Kreise!$A$2:$C$53,3,FALSE)</f>
        <v>K030</v>
      </c>
      <c r="G1594">
        <f>'2020_5-2-2_Download'!BF42</f>
        <v>17.299827319821866</v>
      </c>
    </row>
    <row r="1595" spans="1:7">
      <c r="A1595">
        <f>'2020_5-2-2_Download'!B43</f>
        <v>401</v>
      </c>
      <c r="B1595">
        <f>'2020_5-2-2_Download'!$BA$5</f>
        <v>2013</v>
      </c>
      <c r="C1595" t="str">
        <f>VLOOKUP(A2999,[1]Tabelle1!$A$1:$B$68,2,FALSE)</f>
        <v>Niedersachsen</v>
      </c>
      <c r="D1595" t="str">
        <f>'2020_5-2-2_Download'!$BF$7</f>
        <v>niedrig</v>
      </c>
      <c r="E1595" t="s">
        <v>362</v>
      </c>
      <c r="F1595" s="266" t="str">
        <f>VLOOKUP(A2999,[2]Kreise!$A$2:$C$53,3,FALSE)</f>
        <v>K030</v>
      </c>
      <c r="G1595">
        <f>'2020_5-2-2_Download'!BF43</f>
        <v>18.55072463768116</v>
      </c>
    </row>
    <row r="1596" spans="1:7">
      <c r="A1596">
        <f>'2020_5-2-2_Download'!B44</f>
        <v>402</v>
      </c>
      <c r="B1596">
        <f>'2020_5-2-2_Download'!$BA$5</f>
        <v>2013</v>
      </c>
      <c r="C1596" t="str">
        <f>VLOOKUP(A3000,[1]Tabelle1!$A$1:$B$68,2,FALSE)</f>
        <v>Niedersachsen</v>
      </c>
      <c r="D1596" t="str">
        <f>'2020_5-2-2_Download'!$BF$7</f>
        <v>niedrig</v>
      </c>
      <c r="E1596" t="s">
        <v>362</v>
      </c>
      <c r="F1596" s="266" t="str">
        <f>VLOOKUP(A3000,[2]Kreise!$A$2:$C$53,3,FALSE)</f>
        <v>K030</v>
      </c>
      <c r="G1596">
        <f>'2020_5-2-2_Download'!BF44</f>
        <v>18.659420289855071</v>
      </c>
    </row>
    <row r="1597" spans="1:7">
      <c r="A1597">
        <f>'2020_5-2-2_Download'!B45</f>
        <v>403</v>
      </c>
      <c r="B1597">
        <f>'2020_5-2-2_Download'!$BA$5</f>
        <v>2013</v>
      </c>
      <c r="C1597" t="str">
        <f>VLOOKUP(A3001,[1]Tabelle1!$A$1:$B$68,2,FALSE)</f>
        <v>Niedersachsen</v>
      </c>
      <c r="D1597" t="str">
        <f>'2020_5-2-2_Download'!$BF$7</f>
        <v>niedrig</v>
      </c>
      <c r="E1597" t="s">
        <v>362</v>
      </c>
      <c r="F1597" s="266" t="str">
        <f>VLOOKUP(A3001,[2]Kreise!$A$2:$C$53,3,FALSE)</f>
        <v>K030</v>
      </c>
      <c r="G1597">
        <f>'2020_5-2-2_Download'!BF45</f>
        <v>21.438596491228072</v>
      </c>
    </row>
    <row r="1598" spans="1:7">
      <c r="A1598">
        <f>'2020_5-2-2_Download'!B46</f>
        <v>404</v>
      </c>
      <c r="B1598">
        <f>'2020_5-2-2_Download'!$BA$5</f>
        <v>2013</v>
      </c>
      <c r="C1598" t="str">
        <f>VLOOKUP(A3002,[1]Tabelle1!$A$1:$B$68,2,FALSE)</f>
        <v>Niedersachsen</v>
      </c>
      <c r="D1598" t="str">
        <f>'2020_5-2-2_Download'!$BF$7</f>
        <v>niedrig</v>
      </c>
      <c r="E1598" t="s">
        <v>362</v>
      </c>
      <c r="F1598" s="266" t="str">
        <f>VLOOKUP(A3002,[2]Kreise!$A$2:$C$53,3,FALSE)</f>
        <v>K030</v>
      </c>
      <c r="G1598">
        <f>'2020_5-2-2_Download'!BF46</f>
        <v>22.22443294866693</v>
      </c>
    </row>
    <row r="1599" spans="1:7">
      <c r="A1599">
        <f>'2020_5-2-2_Download'!B47</f>
        <v>405</v>
      </c>
      <c r="B1599">
        <f>'2020_5-2-2_Download'!$BA$5</f>
        <v>2013</v>
      </c>
      <c r="C1599" t="str">
        <f>VLOOKUP(A3003,[1]Tabelle1!$A$1:$B$68,2,FALSE)</f>
        <v>Niedersachsen</v>
      </c>
      <c r="D1599" t="str">
        <f>'2020_5-2-2_Download'!$BF$7</f>
        <v>niedrig</v>
      </c>
      <c r="E1599" t="s">
        <v>362</v>
      </c>
      <c r="F1599" s="266" t="str">
        <f>VLOOKUP(A3003,[2]Kreise!$A$2:$C$53,3,FALSE)</f>
        <v>K030</v>
      </c>
      <c r="G1599">
        <f>'2020_5-2-2_Download'!BF47</f>
        <v>19.94459833795014</v>
      </c>
    </row>
    <row r="1600" spans="1:7">
      <c r="A1600">
        <f>'2020_5-2-2_Download'!B48</f>
        <v>451</v>
      </c>
      <c r="B1600">
        <f>'2020_5-2-2_Download'!$BA$5</f>
        <v>2013</v>
      </c>
      <c r="C1600" t="str">
        <f>VLOOKUP(A3004,[1]Tabelle1!$A$1:$B$68,2,FALSE)</f>
        <v>Niedersachsen</v>
      </c>
      <c r="D1600" t="str">
        <f>'2020_5-2-2_Download'!$BF$7</f>
        <v>niedrig</v>
      </c>
      <c r="E1600" t="s">
        <v>362</v>
      </c>
      <c r="F1600" s="266" t="str">
        <f>VLOOKUP(A3004,[2]Kreise!$A$2:$C$53,3,FALSE)</f>
        <v>K030</v>
      </c>
      <c r="G1600">
        <f>'2020_5-2-2_Download'!BF48</f>
        <v>15.805946791862285</v>
      </c>
    </row>
    <row r="1601" spans="1:7">
      <c r="A1601">
        <f>'2020_5-2-2_Download'!B49</f>
        <v>452</v>
      </c>
      <c r="B1601">
        <f>'2020_5-2-2_Download'!$BA$5</f>
        <v>2013</v>
      </c>
      <c r="C1601" t="str">
        <f>VLOOKUP(A3005,[1]Tabelle1!$A$1:$B$68,2,FALSE)</f>
        <v>Niedersachsen</v>
      </c>
      <c r="D1601" t="str">
        <f>'2020_5-2-2_Download'!$BF$7</f>
        <v>niedrig</v>
      </c>
      <c r="E1601" t="s">
        <v>362</v>
      </c>
      <c r="F1601" s="266" t="str">
        <f>VLOOKUP(A3005,[2]Kreise!$A$2:$C$53,3,FALSE)</f>
        <v>K030</v>
      </c>
      <c r="G1601">
        <f>'2020_5-2-2_Download'!BF49</f>
        <v>18.561484918793504</v>
      </c>
    </row>
    <row r="1602" spans="1:7">
      <c r="A1602">
        <f>'2020_5-2-2_Download'!B50</f>
        <v>453</v>
      </c>
      <c r="B1602">
        <f>'2020_5-2-2_Download'!$BA$5</f>
        <v>2013</v>
      </c>
      <c r="C1602" t="str">
        <f>VLOOKUP(A3006,[1]Tabelle1!$A$1:$B$68,2,FALSE)</f>
        <v>Niedersachsen</v>
      </c>
      <c r="D1602" t="str">
        <f>'2020_5-2-2_Download'!$BF$7</f>
        <v>niedrig</v>
      </c>
      <c r="E1602" t="s">
        <v>362</v>
      </c>
      <c r="F1602" s="266" t="str">
        <f>VLOOKUP(A3006,[2]Kreise!$A$2:$C$53,3,FALSE)</f>
        <v>K030</v>
      </c>
      <c r="G1602">
        <f>'2020_5-2-2_Download'!BF50</f>
        <v>18.009118541033434</v>
      </c>
    </row>
    <row r="1603" spans="1:7">
      <c r="A1603">
        <f>'2020_5-2-2_Download'!B51</f>
        <v>454</v>
      </c>
      <c r="B1603">
        <f>'2020_5-2-2_Download'!$BA$5</f>
        <v>2013</v>
      </c>
      <c r="C1603" t="str">
        <f>VLOOKUP(A3007,[1]Tabelle1!$A$1:$B$68,2,FALSE)</f>
        <v>Niedersachsen</v>
      </c>
      <c r="D1603" t="str">
        <f>'2020_5-2-2_Download'!$BF$7</f>
        <v>niedrig</v>
      </c>
      <c r="E1603" t="s">
        <v>362</v>
      </c>
      <c r="F1603" s="266" t="str">
        <f>VLOOKUP(A3007,[2]Kreise!$A$2:$C$53,3,FALSE)</f>
        <v>K030</v>
      </c>
      <c r="G1603">
        <f>'2020_5-2-2_Download'!BF51</f>
        <v>14.780984014947062</v>
      </c>
    </row>
    <row r="1604" spans="1:7">
      <c r="A1604">
        <f>'2020_5-2-2_Download'!B52</f>
        <v>455</v>
      </c>
      <c r="B1604">
        <f>'2020_5-2-2_Download'!$BA$5</f>
        <v>2013</v>
      </c>
      <c r="C1604" t="str">
        <f>VLOOKUP(A3008,[1]Tabelle1!$A$1:$B$68,2,FALSE)</f>
        <v>Niedersachsen</v>
      </c>
      <c r="D1604" t="str">
        <f>'2020_5-2-2_Download'!$BF$7</f>
        <v>niedrig</v>
      </c>
      <c r="E1604" t="s">
        <v>362</v>
      </c>
      <c r="F1604" s="266" t="str">
        <f>VLOOKUP(A3008,[2]Kreise!$A$2:$C$53,3,FALSE)</f>
        <v>K030</v>
      </c>
      <c r="G1604">
        <f>'2020_5-2-2_Download'!BF52</f>
        <v>17.503392130257804</v>
      </c>
    </row>
    <row r="1605" spans="1:7">
      <c r="A1605">
        <f>'2020_5-2-2_Download'!B53</f>
        <v>456</v>
      </c>
      <c r="B1605">
        <f>'2020_5-2-2_Download'!$BA$5</f>
        <v>2013</v>
      </c>
      <c r="C1605" t="str">
        <f>VLOOKUP(A3009,[1]Tabelle1!$A$1:$B$68,2,FALSE)</f>
        <v>Niedersachsen</v>
      </c>
      <c r="D1605" t="str">
        <f>'2020_5-2-2_Download'!$BF$7</f>
        <v>niedrig</v>
      </c>
      <c r="E1605" t="s">
        <v>362</v>
      </c>
      <c r="F1605" s="266" t="str">
        <f>VLOOKUP(A3009,[2]Kreise!$A$2:$C$53,3,FALSE)</f>
        <v>K030</v>
      </c>
      <c r="G1605">
        <f>'2020_5-2-2_Download'!BF53</f>
        <v>15.423836838750796</v>
      </c>
    </row>
    <row r="1606" spans="1:7">
      <c r="A1606">
        <f>'2020_5-2-2_Download'!B54</f>
        <v>457</v>
      </c>
      <c r="B1606">
        <f>'2020_5-2-2_Download'!$BA$5</f>
        <v>2013</v>
      </c>
      <c r="C1606" t="str">
        <f>VLOOKUP(A3010,[1]Tabelle1!$A$1:$B$68,2,FALSE)</f>
        <v>Niedersachsen</v>
      </c>
      <c r="D1606" t="str">
        <f>'2020_5-2-2_Download'!$BF$7</f>
        <v>niedrig</v>
      </c>
      <c r="E1606" t="s">
        <v>362</v>
      </c>
      <c r="F1606" s="266" t="str">
        <f>VLOOKUP(A3010,[2]Kreise!$A$2:$C$53,3,FALSE)</f>
        <v>K030</v>
      </c>
      <c r="G1606">
        <f>'2020_5-2-2_Download'!BF54</f>
        <v>12.472283813747229</v>
      </c>
    </row>
    <row r="1607" spans="1:7">
      <c r="A1607">
        <f>'2020_5-2-2_Download'!B55</f>
        <v>458</v>
      </c>
      <c r="B1607">
        <f>'2020_5-2-2_Download'!$BA$5</f>
        <v>2013</v>
      </c>
      <c r="C1607" t="str">
        <f>VLOOKUP(A3011,[1]Tabelle1!$A$1:$B$68,2,FALSE)</f>
        <v>Niedersachsen</v>
      </c>
      <c r="D1607" t="str">
        <f>'2020_5-2-2_Download'!$BF$7</f>
        <v>niedrig</v>
      </c>
      <c r="E1607" t="s">
        <v>362</v>
      </c>
      <c r="F1607" s="266" t="str">
        <f>VLOOKUP(A3011,[2]Kreise!$A$2:$C$53,3,FALSE)</f>
        <v>K030</v>
      </c>
      <c r="G1607">
        <f>'2020_5-2-2_Download'!BF55</f>
        <v>27.52126366950182</v>
      </c>
    </row>
    <row r="1608" spans="1:7">
      <c r="A1608">
        <f>'2020_5-2-2_Download'!B56</f>
        <v>459</v>
      </c>
      <c r="B1608">
        <f>'2020_5-2-2_Download'!$BA$5</f>
        <v>2013</v>
      </c>
      <c r="C1608" t="str">
        <f>VLOOKUP(A3012,[1]Tabelle1!$A$1:$B$68,2,FALSE)</f>
        <v>Niedersachsen</v>
      </c>
      <c r="D1608" t="str">
        <f>'2020_5-2-2_Download'!$BF$7</f>
        <v>niedrig</v>
      </c>
      <c r="E1608" t="s">
        <v>362</v>
      </c>
      <c r="F1608" s="266" t="str">
        <f>VLOOKUP(A3012,[2]Kreise!$A$2:$C$53,3,FALSE)</f>
        <v>K030</v>
      </c>
      <c r="G1608">
        <f>'2020_5-2-2_Download'!BF56</f>
        <v>25.680882157566092</v>
      </c>
    </row>
    <row r="1609" spans="1:7">
      <c r="A1609">
        <f>'2020_5-2-2_Download'!B57</f>
        <v>460</v>
      </c>
      <c r="B1609">
        <f>'2020_5-2-2_Download'!$BA$5</f>
        <v>2013</v>
      </c>
      <c r="C1609" t="str">
        <f>VLOOKUP(A3013,[1]Tabelle1!$A$1:$B$68,2,FALSE)</f>
        <v>Niedersachsen</v>
      </c>
      <c r="D1609" t="str">
        <f>'2020_5-2-2_Download'!$BF$7</f>
        <v>niedrig</v>
      </c>
      <c r="E1609" t="s">
        <v>362</v>
      </c>
      <c r="F1609" s="266" t="str">
        <f>VLOOKUP(A3013,[2]Kreise!$A$2:$C$53,3,FALSE)</f>
        <v>K030</v>
      </c>
      <c r="G1609">
        <f>'2020_5-2-2_Download'!BF57</f>
        <v>21.704021094264998</v>
      </c>
    </row>
    <row r="1610" spans="1:7">
      <c r="A1610">
        <f>'2020_5-2-2_Download'!B58</f>
        <v>461</v>
      </c>
      <c r="B1610">
        <f>'2020_5-2-2_Download'!$BA$5</f>
        <v>2013</v>
      </c>
      <c r="C1610" t="str">
        <f>VLOOKUP(A3014,[1]Tabelle1!$A$1:$B$68,2,FALSE)</f>
        <v>Niedersachsen</v>
      </c>
      <c r="D1610" t="str">
        <f>'2020_5-2-2_Download'!$BF$7</f>
        <v>niedrig</v>
      </c>
      <c r="E1610" t="s">
        <v>362</v>
      </c>
      <c r="F1610" s="266" t="str">
        <f>VLOOKUP(A3014,[2]Kreise!$A$2:$C$53,3,FALSE)</f>
        <v>K030</v>
      </c>
      <c r="G1610">
        <f>'2020_5-2-2_Download'!BF58</f>
        <v>22.016129032258064</v>
      </c>
    </row>
    <row r="1611" spans="1:7">
      <c r="A1611">
        <f>'2020_5-2-2_Download'!B59</f>
        <v>462</v>
      </c>
      <c r="B1611">
        <f>'2020_5-2-2_Download'!$BA$5</f>
        <v>2013</v>
      </c>
      <c r="C1611" t="str">
        <f>VLOOKUP(A3015,[1]Tabelle1!$A$1:$B$68,2,FALSE)</f>
        <v>Niedersachsen</v>
      </c>
      <c r="D1611" t="str">
        <f>'2020_5-2-2_Download'!$BF$7</f>
        <v>niedrig</v>
      </c>
      <c r="E1611" t="s">
        <v>362</v>
      </c>
      <c r="F1611" s="266" t="str">
        <f>VLOOKUP(A3015,[2]Kreise!$A$2:$C$53,3,FALSE)</f>
        <v>K030</v>
      </c>
      <c r="G1611">
        <f>'2020_5-2-2_Download'!BF59</f>
        <v>9.879032258064516</v>
      </c>
    </row>
    <row r="1612" spans="1:7">
      <c r="A1612">
        <f>'2020_5-2-2_Download'!B60</f>
        <v>4</v>
      </c>
      <c r="B1612">
        <f>'2020_5-2-2_Download'!$BA$5</f>
        <v>2013</v>
      </c>
      <c r="C1612" t="str">
        <f>VLOOKUP(A3016,[1]Tabelle1!$A$1:$B$68,2,FALSE)</f>
        <v>Niedersachsen</v>
      </c>
      <c r="D1612" t="str">
        <f>'2020_5-2-2_Download'!$BF$7</f>
        <v>niedrig</v>
      </c>
      <c r="E1612" t="s">
        <v>362</v>
      </c>
      <c r="F1612" s="266" t="str">
        <f>VLOOKUP(A3016,[2]Kreise!$A$2:$C$53,3,FALSE)</f>
        <v>K030</v>
      </c>
      <c r="G1612">
        <f>'2020_5-2-2_Download'!BF60</f>
        <v>20.028120268224097</v>
      </c>
    </row>
    <row r="1613" spans="1:7">
      <c r="A1613">
        <f>'2020_5-2-2_Download'!B61</f>
        <v>0</v>
      </c>
      <c r="B1613">
        <f>'2020_5-2-2_Download'!$BA$5</f>
        <v>2013</v>
      </c>
      <c r="C1613" t="str">
        <f>VLOOKUP(A3017,[1]Tabelle1!$A$1:$B$68,2,FALSE)</f>
        <v>Niedersachsen</v>
      </c>
      <c r="D1613" t="str">
        <f>'2020_5-2-2_Download'!$BF$7</f>
        <v>niedrig</v>
      </c>
      <c r="E1613" t="s">
        <v>362</v>
      </c>
      <c r="F1613" s="266" t="str">
        <f>VLOOKUP(A3017,[2]Kreise!$A$2:$C$53,3,FALSE)</f>
        <v>K030</v>
      </c>
      <c r="G1613">
        <f>'2020_5-2-2_Download'!BF61</f>
        <v>19.52163279765108</v>
      </c>
    </row>
    <row r="1614" spans="1:7">
      <c r="A1614">
        <f>'2020_5-2-2_Download'!B10</f>
        <v>101</v>
      </c>
      <c r="B1614">
        <f>'2020_5-2-2_Download'!$BA$5</f>
        <v>2013</v>
      </c>
      <c r="C1614" t="str">
        <f>VLOOKUP(A3018,[1]Tabelle1!$A$1:$B$68,2,FALSE)</f>
        <v>Niedersachsen</v>
      </c>
      <c r="D1614" t="str">
        <f>'2020_5-2-2_Download'!$BG$7</f>
        <v>unbekannt</v>
      </c>
      <c r="E1614" t="s">
        <v>362</v>
      </c>
      <c r="F1614" s="266" t="str">
        <f>VLOOKUP(A3018,[2]Kreise!$A$2:$C$53,3,FALSE)</f>
        <v>K030</v>
      </c>
      <c r="G1614">
        <f>'2020_5-2-2_Download'!BG10</f>
        <v>36.537195523370642</v>
      </c>
    </row>
    <row r="1615" spans="1:7">
      <c r="A1615">
        <f>'2020_5-2-2_Download'!B11</f>
        <v>102</v>
      </c>
      <c r="B1615">
        <f>'2020_5-2-2_Download'!$BA$5</f>
        <v>2013</v>
      </c>
      <c r="C1615" t="str">
        <f>VLOOKUP(A3019,[1]Tabelle1!$A$1:$B$68,2,FALSE)</f>
        <v>Niedersachsen</v>
      </c>
      <c r="D1615" t="str">
        <f>'2020_5-2-2_Download'!$BG$7</f>
        <v>unbekannt</v>
      </c>
      <c r="E1615" t="s">
        <v>362</v>
      </c>
      <c r="F1615" s="266" t="str">
        <f>VLOOKUP(A3019,[2]Kreise!$A$2:$C$53,3,FALSE)</f>
        <v>K030</v>
      </c>
      <c r="G1615">
        <f>'2020_5-2-2_Download'!BG11</f>
        <v>34.960127591706552</v>
      </c>
    </row>
    <row r="1616" spans="1:7">
      <c r="A1616">
        <f>'2020_5-2-2_Download'!B12</f>
        <v>103</v>
      </c>
      <c r="B1616">
        <f>'2020_5-2-2_Download'!$BA$5</f>
        <v>2013</v>
      </c>
      <c r="C1616" t="str">
        <f>VLOOKUP(A3020,[1]Tabelle1!$A$1:$B$68,2,FALSE)</f>
        <v>Niedersachsen</v>
      </c>
      <c r="D1616" t="str">
        <f>'2020_5-2-2_Download'!$BG$7</f>
        <v>unbekannt</v>
      </c>
      <c r="E1616" t="s">
        <v>362</v>
      </c>
      <c r="F1616" s="266" t="str">
        <f>VLOOKUP(A3020,[2]Kreise!$A$2:$C$53,3,FALSE)</f>
        <v>K030</v>
      </c>
      <c r="G1616">
        <f>'2020_5-2-2_Download'!BG12</f>
        <v>43.632540412669201</v>
      </c>
    </row>
    <row r="1617" spans="1:7">
      <c r="A1617">
        <f>'2020_5-2-2_Download'!B13</f>
        <v>151</v>
      </c>
      <c r="B1617">
        <f>'2020_5-2-2_Download'!$BA$5</f>
        <v>2013</v>
      </c>
      <c r="C1617" t="str">
        <f>VLOOKUP(A3021,[1]Tabelle1!$A$1:$B$68,2,FALSE)</f>
        <v>Niedersachsen</v>
      </c>
      <c r="D1617" t="str">
        <f>'2020_5-2-2_Download'!$BG$7</f>
        <v>unbekannt</v>
      </c>
      <c r="E1617" t="s">
        <v>362</v>
      </c>
      <c r="F1617" s="266" t="str">
        <f>VLOOKUP(A3021,[2]Kreise!$A$2:$C$53,3,FALSE)</f>
        <v>K030</v>
      </c>
      <c r="G1617">
        <f>'2020_5-2-2_Download'!BG13</f>
        <v>36.752136752136749</v>
      </c>
    </row>
    <row r="1618" spans="1:7">
      <c r="A1618">
        <f>'2020_5-2-2_Download'!B14</f>
        <v>153</v>
      </c>
      <c r="B1618">
        <f>'2020_5-2-2_Download'!$BA$5</f>
        <v>2013</v>
      </c>
      <c r="C1618" t="str">
        <f>VLOOKUP(A3022,[1]Tabelle1!$A$1:$B$68,2,FALSE)</f>
        <v>Niedersachsen</v>
      </c>
      <c r="D1618" t="str">
        <f>'2020_5-2-2_Download'!$BG$7</f>
        <v>unbekannt</v>
      </c>
      <c r="E1618" t="s">
        <v>362</v>
      </c>
      <c r="F1618" s="266" t="str">
        <f>VLOOKUP(A3022,[2]Kreise!$A$2:$C$53,3,FALSE)</f>
        <v>K030</v>
      </c>
      <c r="G1618">
        <f>'2020_5-2-2_Download'!BG14</f>
        <v>32.317801672640385</v>
      </c>
    </row>
    <row r="1619" spans="1:7">
      <c r="A1619">
        <f>'2020_5-2-2_Download'!B15</f>
        <v>154</v>
      </c>
      <c r="B1619">
        <f>'2020_5-2-2_Download'!$BA$5</f>
        <v>2013</v>
      </c>
      <c r="C1619" t="str">
        <f>VLOOKUP(A3023,[1]Tabelle1!$A$1:$B$68,2,FALSE)</f>
        <v>Niedersachsen</v>
      </c>
      <c r="D1619" t="str">
        <f>'2020_5-2-2_Download'!$BG$7</f>
        <v>unbekannt</v>
      </c>
      <c r="E1619" t="s">
        <v>362</v>
      </c>
      <c r="F1619" s="266" t="str">
        <f>VLOOKUP(A3023,[2]Kreise!$A$2:$C$53,3,FALSE)</f>
        <v>K030</v>
      </c>
      <c r="G1619">
        <f>'2020_5-2-2_Download'!BG15</f>
        <v>32.027257240204428</v>
      </c>
    </row>
    <row r="1620" spans="1:7">
      <c r="A1620">
        <f>'2020_5-2-2_Download'!B16</f>
        <v>155</v>
      </c>
      <c r="B1620">
        <f>'2020_5-2-2_Download'!$BA$5</f>
        <v>2013</v>
      </c>
      <c r="C1620" t="str">
        <f>VLOOKUP(A3024,[1]Tabelle1!$A$1:$B$68,2,FALSE)</f>
        <v>Niedersachsen</v>
      </c>
      <c r="D1620" t="str">
        <f>'2020_5-2-2_Download'!$BG$7</f>
        <v>unbekannt</v>
      </c>
      <c r="E1620" t="s">
        <v>362</v>
      </c>
      <c r="F1620" s="266" t="str">
        <f>VLOOKUP(A3024,[2]Kreise!$A$2:$C$53,3,FALSE)</f>
        <v>K030</v>
      </c>
      <c r="G1620">
        <f>'2020_5-2-2_Download'!BG16</f>
        <v>28.157099697885194</v>
      </c>
    </row>
    <row r="1621" spans="1:7">
      <c r="A1621">
        <f>'2020_5-2-2_Download'!B17</f>
        <v>157</v>
      </c>
      <c r="B1621">
        <f>'2020_5-2-2_Download'!$BA$5</f>
        <v>2013</v>
      </c>
      <c r="C1621" t="str">
        <f>VLOOKUP(A3025,[1]Tabelle1!$A$1:$B$68,2,FALSE)</f>
        <v>Niedersachsen</v>
      </c>
      <c r="D1621" t="str">
        <f>'2020_5-2-2_Download'!$BG$7</f>
        <v>unbekannt</v>
      </c>
      <c r="E1621" t="s">
        <v>362</v>
      </c>
      <c r="F1621" s="266" t="str">
        <f>VLOOKUP(A3025,[2]Kreise!$A$2:$C$53,3,FALSE)</f>
        <v>K030</v>
      </c>
      <c r="G1621">
        <f>'2020_5-2-2_Download'!BG17</f>
        <v>33.383800151400457</v>
      </c>
    </row>
    <row r="1622" spans="1:7">
      <c r="A1622">
        <f>'2020_5-2-2_Download'!B18</f>
        <v>158</v>
      </c>
      <c r="B1622">
        <f>'2020_5-2-2_Download'!$BA$5</f>
        <v>2013</v>
      </c>
      <c r="C1622" t="str">
        <f>VLOOKUP(A3026,[1]Tabelle1!$A$1:$B$68,2,FALSE)</f>
        <v>Niedersachsen</v>
      </c>
      <c r="D1622" t="str">
        <f>'2020_5-2-2_Download'!$BG$7</f>
        <v>unbekannt</v>
      </c>
      <c r="E1622" t="s">
        <v>362</v>
      </c>
      <c r="F1622" s="266" t="str">
        <f>VLOOKUP(A3026,[2]Kreise!$A$2:$C$53,3,FALSE)</f>
        <v>K030</v>
      </c>
      <c r="G1622">
        <f>'2020_5-2-2_Download'!BG18</f>
        <v>36.920980926430516</v>
      </c>
    </row>
    <row r="1623" spans="1:7">
      <c r="A1623">
        <f>'2020_5-2-2_Download'!B19</f>
        <v>159</v>
      </c>
      <c r="B1623">
        <f>'2020_5-2-2_Download'!$BA$5</f>
        <v>2013</v>
      </c>
      <c r="C1623" t="str">
        <f>VLOOKUP(A3027,[1]Tabelle1!$A$1:$B$68,2,FALSE)</f>
        <v>Niedersachsen</v>
      </c>
      <c r="D1623" t="str">
        <f>'2020_5-2-2_Download'!$BG$7</f>
        <v>unbekannt</v>
      </c>
      <c r="E1623" t="s">
        <v>362</v>
      </c>
      <c r="F1623" s="266" t="str">
        <f>VLOOKUP(A3027,[2]Kreise!$A$2:$C$53,3,FALSE)</f>
        <v>K030</v>
      </c>
      <c r="G1623">
        <f>'2020_5-2-2_Download'!BG19</f>
        <v>20.544269835185894</v>
      </c>
    </row>
    <row r="1624" spans="1:7">
      <c r="A1624">
        <f>'2020_5-2-2_Download'!B20</f>
        <v>1</v>
      </c>
      <c r="B1624">
        <f>'2020_5-2-2_Download'!$BA$5</f>
        <v>2013</v>
      </c>
      <c r="C1624" t="str">
        <f>VLOOKUP(A3028,[1]Tabelle1!$A$1:$B$68,2,FALSE)</f>
        <v>Niedersachsen</v>
      </c>
      <c r="D1624" t="str">
        <f>'2020_5-2-2_Download'!$BG$7</f>
        <v>unbekannt</v>
      </c>
      <c r="E1624" t="s">
        <v>362</v>
      </c>
      <c r="F1624" s="266" t="str">
        <f>VLOOKUP(A3028,[2]Kreise!$A$2:$C$53,3,FALSE)</f>
        <v>K030</v>
      </c>
      <c r="G1624">
        <f>'2020_5-2-2_Download'!BG20</f>
        <v>35.380646026001884</v>
      </c>
    </row>
    <row r="1625" spans="1:7">
      <c r="A1625">
        <f>'2020_5-2-2_Download'!B21</f>
        <v>241</v>
      </c>
      <c r="B1625">
        <f>'2020_5-2-2_Download'!$BA$5</f>
        <v>2013</v>
      </c>
      <c r="C1625" t="str">
        <f>VLOOKUP(A3029,[1]Tabelle1!$A$1:$B$68,2,FALSE)</f>
        <v>Niedersachsen</v>
      </c>
      <c r="D1625" t="str">
        <f>'2020_5-2-2_Download'!$BG$7</f>
        <v>unbekannt</v>
      </c>
      <c r="E1625" t="s">
        <v>362</v>
      </c>
      <c r="F1625" s="266" t="str">
        <f>VLOOKUP(A3029,[2]Kreise!$A$2:$C$53,3,FALSE)</f>
        <v>K030</v>
      </c>
      <c r="G1625">
        <f>'2020_5-2-2_Download'!BG21</f>
        <v>39.978489879212397</v>
      </c>
    </row>
    <row r="1626" spans="1:7">
      <c r="A1626">
        <f>'2020_5-2-2_Download'!B22</f>
        <v>241001</v>
      </c>
      <c r="B1626">
        <f>'2020_5-2-2_Download'!$BA$5</f>
        <v>2013</v>
      </c>
      <c r="C1626" t="str">
        <f>VLOOKUP(A3030,[1]Tabelle1!$A$1:$B$68,2,FALSE)</f>
        <v>Niedersachsen</v>
      </c>
      <c r="D1626" t="str">
        <f>'2020_5-2-2_Download'!$BG$7</f>
        <v>unbekannt</v>
      </c>
      <c r="E1626" t="s">
        <v>362</v>
      </c>
      <c r="F1626" s="266" t="str">
        <f>VLOOKUP(A3030,[2]Kreise!$A$2:$C$53,3,FALSE)</f>
        <v>K030</v>
      </c>
      <c r="G1626">
        <f>'2020_5-2-2_Download'!BG22</f>
        <v>37.55177174413253</v>
      </c>
    </row>
    <row r="1627" spans="1:7">
      <c r="A1627">
        <f>'2020_5-2-2_Download'!B23</f>
        <v>241999</v>
      </c>
      <c r="B1627">
        <f>'2020_5-2-2_Download'!$BA$5</f>
        <v>2013</v>
      </c>
      <c r="C1627" t="str">
        <f>VLOOKUP(A3031,[1]Tabelle1!$A$1:$B$68,2,FALSE)</f>
        <v>Niedersachsen</v>
      </c>
      <c r="D1627" t="str">
        <f>'2020_5-2-2_Download'!$BG$7</f>
        <v>unbekannt</v>
      </c>
      <c r="E1627" t="s">
        <v>362</v>
      </c>
      <c r="F1627" s="266" t="str">
        <f>VLOOKUP(A3031,[2]Kreise!$A$2:$C$53,3,FALSE)</f>
        <v>K030</v>
      </c>
      <c r="G1627">
        <f>'2020_5-2-2_Download'!BG23</f>
        <v>44.671899020956396</v>
      </c>
    </row>
    <row r="1628" spans="1:7">
      <c r="A1628">
        <f>'2020_5-2-2_Download'!B24</f>
        <v>251</v>
      </c>
      <c r="B1628">
        <f>'2020_5-2-2_Download'!$BA$5</f>
        <v>2013</v>
      </c>
      <c r="C1628" t="str">
        <f>VLOOKUP(A3032,[1]Tabelle1!$A$1:$B$68,2,FALSE)</f>
        <v>Niedersachsen</v>
      </c>
      <c r="D1628" t="str">
        <f>'2020_5-2-2_Download'!$BG$7</f>
        <v>unbekannt</v>
      </c>
      <c r="E1628" t="s">
        <v>362</v>
      </c>
      <c r="F1628" s="266" t="str">
        <f>VLOOKUP(A3032,[2]Kreise!$A$2:$C$53,3,FALSE)</f>
        <v>K030</v>
      </c>
      <c r="G1628">
        <f>'2020_5-2-2_Download'!BG24</f>
        <v>46.396218983851917</v>
      </c>
    </row>
    <row r="1629" spans="1:7">
      <c r="A1629">
        <f>'2020_5-2-2_Download'!B25</f>
        <v>252</v>
      </c>
      <c r="B1629">
        <f>'2020_5-2-2_Download'!$BA$5</f>
        <v>2013</v>
      </c>
      <c r="C1629" t="str">
        <f>VLOOKUP(A3033,[1]Tabelle1!$A$1:$B$68,2,FALSE)</f>
        <v>Niedersachsen</v>
      </c>
      <c r="D1629" t="str">
        <f>'2020_5-2-2_Download'!$BG$7</f>
        <v>unbekannt</v>
      </c>
      <c r="E1629" t="s">
        <v>362</v>
      </c>
      <c r="F1629" s="266" t="str">
        <f>VLOOKUP(A3033,[2]Kreise!$A$2:$C$53,3,FALSE)</f>
        <v>K030</v>
      </c>
      <c r="G1629">
        <f>'2020_5-2-2_Download'!BG25</f>
        <v>35.785123966942152</v>
      </c>
    </row>
    <row r="1630" spans="1:7">
      <c r="A1630">
        <f>'2020_5-2-2_Download'!B26</f>
        <v>254</v>
      </c>
      <c r="B1630">
        <f>'2020_5-2-2_Download'!$BA$5</f>
        <v>2013</v>
      </c>
      <c r="C1630" t="str">
        <f>VLOOKUP(A3034,[1]Tabelle1!$A$1:$B$68,2,FALSE)</f>
        <v>Niedersachsen</v>
      </c>
      <c r="D1630" t="str">
        <f>'2020_5-2-2_Download'!$BG$7</f>
        <v>unbekannt</v>
      </c>
      <c r="E1630" t="s">
        <v>362</v>
      </c>
      <c r="F1630" s="266" t="str">
        <f>VLOOKUP(A3034,[2]Kreise!$A$2:$C$53,3,FALSE)</f>
        <v>K030</v>
      </c>
      <c r="G1630">
        <f>'2020_5-2-2_Download'!BG26</f>
        <v>30.411287901531082</v>
      </c>
    </row>
    <row r="1631" spans="1:7">
      <c r="A1631">
        <f>'2020_5-2-2_Download'!B27</f>
        <v>255</v>
      </c>
      <c r="B1631">
        <f>'2020_5-2-2_Download'!$BA$5</f>
        <v>2013</v>
      </c>
      <c r="C1631" t="str">
        <f>VLOOKUP(A3035,[1]Tabelle1!$A$1:$B$68,2,FALSE)</f>
        <v>Niedersachsen</v>
      </c>
      <c r="D1631" t="str">
        <f>'2020_5-2-2_Download'!$BG$7</f>
        <v>unbekannt</v>
      </c>
      <c r="E1631" t="s">
        <v>362</v>
      </c>
      <c r="F1631" s="266" t="str">
        <f>VLOOKUP(A3035,[2]Kreise!$A$2:$C$53,3,FALSE)</f>
        <v>K030</v>
      </c>
      <c r="G1631">
        <f>'2020_5-2-2_Download'!BG27</f>
        <v>24.429530201342285</v>
      </c>
    </row>
    <row r="1632" spans="1:7">
      <c r="A1632">
        <f>'2020_5-2-2_Download'!B28</f>
        <v>256</v>
      </c>
      <c r="B1632">
        <f>'2020_5-2-2_Download'!$BA$5</f>
        <v>2013</v>
      </c>
      <c r="C1632" t="str">
        <f>VLOOKUP(A3036,[1]Tabelle1!$A$1:$B$68,2,FALSE)</f>
        <v>Niedersachsen</v>
      </c>
      <c r="D1632" t="str">
        <f>'2020_5-2-2_Download'!$BG$7</f>
        <v>unbekannt</v>
      </c>
      <c r="E1632" t="s">
        <v>362</v>
      </c>
      <c r="F1632" s="266" t="str">
        <f>VLOOKUP(A3036,[2]Kreise!$A$2:$C$53,3,FALSE)</f>
        <v>K030</v>
      </c>
      <c r="G1632">
        <f>'2020_5-2-2_Download'!BG28</f>
        <v>42.761148442272457</v>
      </c>
    </row>
    <row r="1633" spans="1:7">
      <c r="A1633">
        <f>'2020_5-2-2_Download'!B29</f>
        <v>257</v>
      </c>
      <c r="B1633">
        <f>'2020_5-2-2_Download'!$BA$5</f>
        <v>2013</v>
      </c>
      <c r="C1633" t="str">
        <f>VLOOKUP(A3037,[1]Tabelle1!$A$1:$B$68,2,FALSE)</f>
        <v>Niedersachsen</v>
      </c>
      <c r="D1633" t="str">
        <f>'2020_5-2-2_Download'!$BG$7</f>
        <v>unbekannt</v>
      </c>
      <c r="E1633" t="s">
        <v>362</v>
      </c>
      <c r="F1633" s="266" t="str">
        <f>VLOOKUP(A3037,[2]Kreise!$A$2:$C$53,3,FALSE)</f>
        <v>K030</v>
      </c>
      <c r="G1633">
        <f>'2020_5-2-2_Download'!BG29</f>
        <v>28.925154755205398</v>
      </c>
    </row>
    <row r="1634" spans="1:7">
      <c r="A1634">
        <f>'2020_5-2-2_Download'!B30</f>
        <v>2</v>
      </c>
      <c r="B1634">
        <f>'2020_5-2-2_Download'!$BA$5</f>
        <v>2013</v>
      </c>
      <c r="C1634" t="str">
        <f>VLOOKUP(A3038,[1]Tabelle1!$A$1:$B$68,2,FALSE)</f>
        <v>Niedersachsen</v>
      </c>
      <c r="D1634" t="str">
        <f>'2020_5-2-2_Download'!$BG$7</f>
        <v>unbekannt</v>
      </c>
      <c r="E1634" t="s">
        <v>362</v>
      </c>
      <c r="F1634" s="266" t="str">
        <f>VLOOKUP(A3038,[2]Kreise!$A$2:$C$53,3,FALSE)</f>
        <v>K030</v>
      </c>
      <c r="G1634">
        <f>'2020_5-2-2_Download'!BG30</f>
        <v>38.902917205559305</v>
      </c>
    </row>
    <row r="1635" spans="1:7">
      <c r="A1635">
        <f>'2020_5-2-2_Download'!B31</f>
        <v>351</v>
      </c>
      <c r="B1635">
        <f>'2020_5-2-2_Download'!$BA$5</f>
        <v>2013</v>
      </c>
      <c r="C1635" t="str">
        <f>VLOOKUP(A3039,[1]Tabelle1!$A$1:$B$68,2,FALSE)</f>
        <v>Niedersachsen</v>
      </c>
      <c r="D1635" t="str">
        <f>'2020_5-2-2_Download'!$BG$7</f>
        <v>unbekannt</v>
      </c>
      <c r="E1635" t="s">
        <v>362</v>
      </c>
      <c r="F1635" s="266" t="str">
        <f>VLOOKUP(A3039,[2]Kreise!$A$2:$C$53,3,FALSE)</f>
        <v>K030</v>
      </c>
      <c r="G1635">
        <f>'2020_5-2-2_Download'!BG31</f>
        <v>32.423829013187813</v>
      </c>
    </row>
    <row r="1636" spans="1:7">
      <c r="A1636">
        <f>'2020_5-2-2_Download'!B32</f>
        <v>352</v>
      </c>
      <c r="B1636">
        <f>'2020_5-2-2_Download'!$BA$5</f>
        <v>2013</v>
      </c>
      <c r="C1636" t="str">
        <f>VLOOKUP(A3040,[1]Tabelle1!$A$1:$B$68,2,FALSE)</f>
        <v>Niedersachsen</v>
      </c>
      <c r="D1636" t="str">
        <f>'2020_5-2-2_Download'!$BG$7</f>
        <v>unbekannt</v>
      </c>
      <c r="E1636" t="s">
        <v>362</v>
      </c>
      <c r="F1636" s="266" t="str">
        <f>VLOOKUP(A3040,[2]Kreise!$A$2:$C$53,3,FALSE)</f>
        <v>K030</v>
      </c>
      <c r="G1636">
        <f>'2020_5-2-2_Download'!BG32</f>
        <v>49.536850583970995</v>
      </c>
    </row>
    <row r="1637" spans="1:7">
      <c r="A1637">
        <f>'2020_5-2-2_Download'!B33</f>
        <v>353</v>
      </c>
      <c r="B1637">
        <f>'2020_5-2-2_Download'!$BA$5</f>
        <v>2013</v>
      </c>
      <c r="C1637" t="str">
        <f>VLOOKUP(A3041,[1]Tabelle1!$A$1:$B$68,2,FALSE)</f>
        <v>Niedersachsen</v>
      </c>
      <c r="D1637" t="str">
        <f>'2020_5-2-2_Download'!$BG$7</f>
        <v>unbekannt</v>
      </c>
      <c r="E1637" t="s">
        <v>362</v>
      </c>
      <c r="F1637" s="266" t="str">
        <f>VLOOKUP(A3041,[2]Kreise!$A$2:$C$53,3,FALSE)</f>
        <v>K030</v>
      </c>
      <c r="G1637">
        <f>'2020_5-2-2_Download'!BG33</f>
        <v>55.072894971734598</v>
      </c>
    </row>
    <row r="1638" spans="1:7">
      <c r="A1638">
        <f>'2020_5-2-2_Download'!B34</f>
        <v>354</v>
      </c>
      <c r="B1638">
        <f>'2020_5-2-2_Download'!$BA$5</f>
        <v>2013</v>
      </c>
      <c r="C1638" t="str">
        <f>VLOOKUP(A3042,[1]Tabelle1!$A$1:$B$68,2,FALSE)</f>
        <v>Niedersachsen</v>
      </c>
      <c r="D1638" t="str">
        <f>'2020_5-2-2_Download'!$BG$7</f>
        <v>unbekannt</v>
      </c>
      <c r="E1638" t="s">
        <v>362</v>
      </c>
      <c r="F1638" s="266" t="str">
        <f>VLOOKUP(A3042,[2]Kreise!$A$2:$C$53,3,FALSE)</f>
        <v>K030</v>
      </c>
      <c r="G1638">
        <f>'2020_5-2-2_Download'!BG34</f>
        <v>48.514851485148519</v>
      </c>
    </row>
    <row r="1639" spans="1:7">
      <c r="A1639">
        <f>'2020_5-2-2_Download'!B35</f>
        <v>355</v>
      </c>
      <c r="B1639">
        <f>'2020_5-2-2_Download'!$BA$5</f>
        <v>2013</v>
      </c>
      <c r="C1639" t="str">
        <f>VLOOKUP(A3043,[1]Tabelle1!$A$1:$B$68,2,FALSE)</f>
        <v>Niedersachsen</v>
      </c>
      <c r="D1639" t="str">
        <f>'2020_5-2-2_Download'!$BG$7</f>
        <v>unbekannt</v>
      </c>
      <c r="E1639" t="s">
        <v>362</v>
      </c>
      <c r="F1639" s="266" t="str">
        <f>VLOOKUP(A3043,[2]Kreise!$A$2:$C$53,3,FALSE)</f>
        <v>K030</v>
      </c>
      <c r="G1639">
        <f>'2020_5-2-2_Download'!BG35</f>
        <v>39.171473518615628</v>
      </c>
    </row>
    <row r="1640" spans="1:7">
      <c r="A1640">
        <f>'2020_5-2-2_Download'!B36</f>
        <v>356</v>
      </c>
      <c r="B1640">
        <f>'2020_5-2-2_Download'!$BA$5</f>
        <v>2013</v>
      </c>
      <c r="C1640" t="str">
        <f>VLOOKUP(A3044,[1]Tabelle1!$A$1:$B$68,2,FALSE)</f>
        <v>Niedersachsen</v>
      </c>
      <c r="D1640" t="str">
        <f>'2020_5-2-2_Download'!$BG$7</f>
        <v>unbekannt</v>
      </c>
      <c r="E1640" t="s">
        <v>362</v>
      </c>
      <c r="F1640" s="266" t="str">
        <f>VLOOKUP(A3044,[2]Kreise!$A$2:$C$53,3,FALSE)</f>
        <v>K030</v>
      </c>
      <c r="G1640">
        <f>'2020_5-2-2_Download'!BG36</f>
        <v>41.474147414741473</v>
      </c>
    </row>
    <row r="1641" spans="1:7">
      <c r="A1641">
        <f>'2020_5-2-2_Download'!B37</f>
        <v>357</v>
      </c>
      <c r="B1641">
        <f>'2020_5-2-2_Download'!$BA$5</f>
        <v>2013</v>
      </c>
      <c r="C1641" t="str">
        <f>VLOOKUP(A3045,[1]Tabelle1!$A$1:$B$68,2,FALSE)</f>
        <v>Niedersachsen</v>
      </c>
      <c r="D1641" t="str">
        <f>'2020_5-2-2_Download'!$BG$7</f>
        <v>unbekannt</v>
      </c>
      <c r="E1641" t="s">
        <v>362</v>
      </c>
      <c r="F1641" s="266" t="str">
        <f>VLOOKUP(A3045,[2]Kreise!$A$2:$C$53,3,FALSE)</f>
        <v>K030</v>
      </c>
      <c r="G1641">
        <f>'2020_5-2-2_Download'!BG37</f>
        <v>45.205479452054803</v>
      </c>
    </row>
    <row r="1642" spans="1:7">
      <c r="A1642">
        <f>'2020_5-2-2_Download'!B38</f>
        <v>358</v>
      </c>
      <c r="B1642">
        <f>'2020_5-2-2_Download'!$BA$5</f>
        <v>2013</v>
      </c>
      <c r="C1642" t="str">
        <f>VLOOKUP(A3046,[1]Tabelle1!$A$1:$B$68,2,FALSE)</f>
        <v>Niedersachsen</v>
      </c>
      <c r="D1642" t="str">
        <f>'2020_5-2-2_Download'!$BG$7</f>
        <v>unbekannt</v>
      </c>
      <c r="E1642" t="s">
        <v>362</v>
      </c>
      <c r="F1642" s="266" t="str">
        <f>VLOOKUP(A3046,[2]Kreise!$A$2:$C$53,3,FALSE)</f>
        <v>K030</v>
      </c>
      <c r="G1642">
        <f>'2020_5-2-2_Download'!BG38</f>
        <v>47.648456057007124</v>
      </c>
    </row>
    <row r="1643" spans="1:7">
      <c r="A1643">
        <f>'2020_5-2-2_Download'!B39</f>
        <v>359</v>
      </c>
      <c r="B1643">
        <f>'2020_5-2-2_Download'!$BA$5</f>
        <v>2013</v>
      </c>
      <c r="C1643" t="str">
        <f>VLOOKUP(A3047,[1]Tabelle1!$A$1:$B$68,2,FALSE)</f>
        <v>Niedersachsen</v>
      </c>
      <c r="D1643" t="str">
        <f>'2020_5-2-2_Download'!$BG$7</f>
        <v>unbekannt</v>
      </c>
      <c r="E1643" t="s">
        <v>362</v>
      </c>
      <c r="F1643" s="266" t="str">
        <f>VLOOKUP(A3047,[2]Kreise!$A$2:$C$53,3,FALSE)</f>
        <v>K030</v>
      </c>
      <c r="G1643">
        <f>'2020_5-2-2_Download'!BG39</f>
        <v>61.561561561561561</v>
      </c>
    </row>
    <row r="1644" spans="1:7">
      <c r="A1644">
        <f>'2020_5-2-2_Download'!B40</f>
        <v>360</v>
      </c>
      <c r="B1644">
        <f>'2020_5-2-2_Download'!$BA$5</f>
        <v>2013</v>
      </c>
      <c r="C1644" t="str">
        <f>VLOOKUP(A3048,[1]Tabelle1!$A$1:$B$68,2,FALSE)</f>
        <v>Niedersachsen</v>
      </c>
      <c r="D1644" t="str">
        <f>'2020_5-2-2_Download'!$BG$7</f>
        <v>unbekannt</v>
      </c>
      <c r="E1644" t="s">
        <v>362</v>
      </c>
      <c r="F1644" s="266" t="str">
        <f>VLOOKUP(A3048,[2]Kreise!$A$2:$C$53,3,FALSE)</f>
        <v>K030</v>
      </c>
      <c r="G1644">
        <f>'2020_5-2-2_Download'!BG40</f>
        <v>46.010638297872347</v>
      </c>
    </row>
    <row r="1645" spans="1:7">
      <c r="A1645">
        <f>'2020_5-2-2_Download'!B41</f>
        <v>361</v>
      </c>
      <c r="B1645">
        <f>'2020_5-2-2_Download'!$BA$5</f>
        <v>2013</v>
      </c>
      <c r="C1645" t="str">
        <f>VLOOKUP(A3049,[1]Tabelle1!$A$1:$B$68,2,FALSE)</f>
        <v>Niedersachsen</v>
      </c>
      <c r="D1645" t="str">
        <f>'2020_5-2-2_Download'!$BG$7</f>
        <v>unbekannt</v>
      </c>
      <c r="E1645" t="s">
        <v>362</v>
      </c>
      <c r="F1645" s="266" t="str">
        <f>VLOOKUP(A3049,[2]Kreise!$A$2:$C$53,3,FALSE)</f>
        <v>K030</v>
      </c>
      <c r="G1645">
        <f>'2020_5-2-2_Download'!BG41</f>
        <v>36.802143814202772</v>
      </c>
    </row>
    <row r="1646" spans="1:7">
      <c r="A1646">
        <f>'2020_5-2-2_Download'!B42</f>
        <v>3</v>
      </c>
      <c r="B1646">
        <f>'2020_5-2-2_Download'!$BA$5</f>
        <v>2013</v>
      </c>
      <c r="C1646" t="str">
        <f>VLOOKUP(A3050,[1]Tabelle1!$A$1:$B$68,2,FALSE)</f>
        <v>Niedersachsen</v>
      </c>
      <c r="D1646" t="str">
        <f>'2020_5-2-2_Download'!$BG$7</f>
        <v>unbekannt</v>
      </c>
      <c r="E1646" t="s">
        <v>362</v>
      </c>
      <c r="F1646" s="266" t="str">
        <f>VLOOKUP(A3050,[2]Kreise!$A$2:$C$53,3,FALSE)</f>
        <v>K030</v>
      </c>
      <c r="G1646">
        <f>'2020_5-2-2_Download'!BG42</f>
        <v>47.668817595201304</v>
      </c>
    </row>
    <row r="1647" spans="1:7">
      <c r="A1647">
        <f>'2020_5-2-2_Download'!B43</f>
        <v>401</v>
      </c>
      <c r="B1647">
        <f>'2020_5-2-2_Download'!$BA$5</f>
        <v>2013</v>
      </c>
      <c r="C1647" t="str">
        <f>VLOOKUP(A3051,[1]Tabelle1!$A$1:$B$68,2,FALSE)</f>
        <v>Niedersachsen</v>
      </c>
      <c r="D1647" t="str">
        <f>'2020_5-2-2_Download'!$BG$7</f>
        <v>unbekannt</v>
      </c>
      <c r="E1647" t="s">
        <v>362</v>
      </c>
      <c r="F1647" s="266" t="str">
        <f>VLOOKUP(A3051,[2]Kreise!$A$2:$C$53,3,FALSE)</f>
        <v>K030</v>
      </c>
      <c r="G1647">
        <f>'2020_5-2-2_Download'!BG43</f>
        <v>54.106280193236714</v>
      </c>
    </row>
    <row r="1648" spans="1:7">
      <c r="A1648">
        <f>'2020_5-2-2_Download'!B44</f>
        <v>402</v>
      </c>
      <c r="B1648">
        <f>'2020_5-2-2_Download'!$BA$5</f>
        <v>2013</v>
      </c>
      <c r="C1648" t="str">
        <f>VLOOKUP(A3052,[1]Tabelle1!$A$1:$B$68,2,FALSE)</f>
        <v>Niedersachsen</v>
      </c>
      <c r="D1648" t="str">
        <f>'2020_5-2-2_Download'!$BG$7</f>
        <v>unbekannt</v>
      </c>
      <c r="E1648" t="s">
        <v>362</v>
      </c>
      <c r="F1648" s="266" t="str">
        <f>VLOOKUP(A3052,[2]Kreise!$A$2:$C$53,3,FALSE)</f>
        <v>K030</v>
      </c>
      <c r="G1648">
        <f>'2020_5-2-2_Download'!BG44</f>
        <v>38.134057971014506</v>
      </c>
    </row>
    <row r="1649" spans="1:7">
      <c r="A1649">
        <f>'2020_5-2-2_Download'!B45</f>
        <v>403</v>
      </c>
      <c r="B1649">
        <f>'2020_5-2-2_Download'!$BA$5</f>
        <v>2013</v>
      </c>
      <c r="C1649" t="str">
        <f>VLOOKUP(A3053,[1]Tabelle1!$A$1:$B$68,2,FALSE)</f>
        <v>Niedersachsen</v>
      </c>
      <c r="D1649" t="str">
        <f>'2020_5-2-2_Download'!$BG$7</f>
        <v>unbekannt</v>
      </c>
      <c r="E1649" t="s">
        <v>362</v>
      </c>
      <c r="F1649" s="266" t="str">
        <f>VLOOKUP(A3053,[2]Kreise!$A$2:$C$53,3,FALSE)</f>
        <v>K030</v>
      </c>
      <c r="G1649">
        <f>'2020_5-2-2_Download'!BG45</f>
        <v>40.736842105263158</v>
      </c>
    </row>
    <row r="1650" spans="1:7">
      <c r="A1650">
        <f>'2020_5-2-2_Download'!B46</f>
        <v>404</v>
      </c>
      <c r="B1650">
        <f>'2020_5-2-2_Download'!$BA$5</f>
        <v>2013</v>
      </c>
      <c r="C1650" t="str">
        <f>VLOOKUP(A3054,[1]Tabelle1!$A$1:$B$68,2,FALSE)</f>
        <v>Niedersachsen</v>
      </c>
      <c r="D1650" t="str">
        <f>'2020_5-2-2_Download'!$BG$7</f>
        <v>unbekannt</v>
      </c>
      <c r="E1650" t="s">
        <v>362</v>
      </c>
      <c r="F1650" s="266" t="str">
        <f>VLOOKUP(A3054,[2]Kreise!$A$2:$C$53,3,FALSE)</f>
        <v>K030</v>
      </c>
      <c r="G1650">
        <f>'2020_5-2-2_Download'!BG46</f>
        <v>42.638280939116598</v>
      </c>
    </row>
    <row r="1651" spans="1:7">
      <c r="A1651">
        <f>'2020_5-2-2_Download'!B47</f>
        <v>405</v>
      </c>
      <c r="B1651">
        <f>'2020_5-2-2_Download'!$BA$5</f>
        <v>2013</v>
      </c>
      <c r="C1651" t="str">
        <f>VLOOKUP(A3055,[1]Tabelle1!$A$1:$B$68,2,FALSE)</f>
        <v>Niedersachsen</v>
      </c>
      <c r="D1651" t="str">
        <f>'2020_5-2-2_Download'!$BG$7</f>
        <v>unbekannt</v>
      </c>
      <c r="E1651" t="s">
        <v>362</v>
      </c>
      <c r="F1651" s="266" t="str">
        <f>VLOOKUP(A3055,[2]Kreise!$A$2:$C$53,3,FALSE)</f>
        <v>K030</v>
      </c>
      <c r="G1651">
        <f>'2020_5-2-2_Download'!BG47</f>
        <v>37.67313019390582</v>
      </c>
    </row>
    <row r="1652" spans="1:7">
      <c r="A1652">
        <f>'2020_5-2-2_Download'!B48</f>
        <v>451</v>
      </c>
      <c r="B1652">
        <f>'2020_5-2-2_Download'!$BA$5</f>
        <v>2013</v>
      </c>
      <c r="C1652" t="str">
        <f>VLOOKUP(A3056,[1]Tabelle1!$A$1:$B$68,2,FALSE)</f>
        <v>Niedersachsen</v>
      </c>
      <c r="D1652" t="str">
        <f>'2020_5-2-2_Download'!$BG$7</f>
        <v>unbekannt</v>
      </c>
      <c r="E1652" t="s">
        <v>362</v>
      </c>
      <c r="F1652" s="266" t="str">
        <f>VLOOKUP(A3056,[2]Kreise!$A$2:$C$53,3,FALSE)</f>
        <v>K030</v>
      </c>
      <c r="G1652">
        <f>'2020_5-2-2_Download'!BG48</f>
        <v>55.712050078247259</v>
      </c>
    </row>
    <row r="1653" spans="1:7">
      <c r="A1653">
        <f>'2020_5-2-2_Download'!B49</f>
        <v>452</v>
      </c>
      <c r="B1653">
        <f>'2020_5-2-2_Download'!$BA$5</f>
        <v>2013</v>
      </c>
      <c r="C1653" t="str">
        <f>VLOOKUP(A3057,[1]Tabelle1!$A$1:$B$68,2,FALSE)</f>
        <v>Niedersachsen</v>
      </c>
      <c r="D1653" t="str">
        <f>'2020_5-2-2_Download'!$BG$7</f>
        <v>unbekannt</v>
      </c>
      <c r="E1653" t="s">
        <v>362</v>
      </c>
      <c r="F1653" s="266" t="str">
        <f>VLOOKUP(A3057,[2]Kreise!$A$2:$C$53,3,FALSE)</f>
        <v>K030</v>
      </c>
      <c r="G1653">
        <f>'2020_5-2-2_Download'!BG49</f>
        <v>50.348027842227381</v>
      </c>
    </row>
    <row r="1654" spans="1:7">
      <c r="A1654">
        <f>'2020_5-2-2_Download'!B50</f>
        <v>453</v>
      </c>
      <c r="B1654">
        <f>'2020_5-2-2_Download'!$BA$5</f>
        <v>2013</v>
      </c>
      <c r="C1654" t="str">
        <f>VLOOKUP(A3058,[1]Tabelle1!$A$1:$B$68,2,FALSE)</f>
        <v>Niedersachsen</v>
      </c>
      <c r="D1654" t="str">
        <f>'2020_5-2-2_Download'!$BG$7</f>
        <v>unbekannt</v>
      </c>
      <c r="E1654" t="s">
        <v>362</v>
      </c>
      <c r="F1654" s="266" t="str">
        <f>VLOOKUP(A3058,[2]Kreise!$A$2:$C$53,3,FALSE)</f>
        <v>K030</v>
      </c>
      <c r="G1654">
        <f>'2020_5-2-2_Download'!BG50</f>
        <v>62.968591691995961</v>
      </c>
    </row>
    <row r="1655" spans="1:7">
      <c r="A1655">
        <f>'2020_5-2-2_Download'!B51</f>
        <v>454</v>
      </c>
      <c r="B1655">
        <f>'2020_5-2-2_Download'!$BA$5</f>
        <v>2013</v>
      </c>
      <c r="C1655" t="str">
        <f>VLOOKUP(A3059,[1]Tabelle1!$A$1:$B$68,2,FALSE)</f>
        <v>Niedersachsen</v>
      </c>
      <c r="D1655" t="str">
        <f>'2020_5-2-2_Download'!$BG$7</f>
        <v>unbekannt</v>
      </c>
      <c r="E1655" t="s">
        <v>362</v>
      </c>
      <c r="F1655" s="266" t="str">
        <f>VLOOKUP(A3059,[2]Kreise!$A$2:$C$53,3,FALSE)</f>
        <v>K030</v>
      </c>
      <c r="G1655">
        <f>'2020_5-2-2_Download'!BG51</f>
        <v>44.675108988997295</v>
      </c>
    </row>
    <row r="1656" spans="1:7">
      <c r="A1656">
        <f>'2020_5-2-2_Download'!B52</f>
        <v>455</v>
      </c>
      <c r="B1656">
        <f>'2020_5-2-2_Download'!$BA$5</f>
        <v>2013</v>
      </c>
      <c r="C1656" t="str">
        <f>VLOOKUP(A3060,[1]Tabelle1!$A$1:$B$68,2,FALSE)</f>
        <v>Niedersachsen</v>
      </c>
      <c r="D1656" t="str">
        <f>'2020_5-2-2_Download'!$BG$7</f>
        <v>unbekannt</v>
      </c>
      <c r="E1656" t="s">
        <v>362</v>
      </c>
      <c r="F1656" s="266" t="str">
        <f>VLOOKUP(A3060,[2]Kreise!$A$2:$C$53,3,FALSE)</f>
        <v>K030</v>
      </c>
      <c r="G1656">
        <f>'2020_5-2-2_Download'!BG52</f>
        <v>48.575305291723197</v>
      </c>
    </row>
    <row r="1657" spans="1:7">
      <c r="A1657">
        <f>'2020_5-2-2_Download'!B53</f>
        <v>456</v>
      </c>
      <c r="B1657">
        <f>'2020_5-2-2_Download'!$BA$5</f>
        <v>2013</v>
      </c>
      <c r="C1657" t="str">
        <f>VLOOKUP(A3061,[1]Tabelle1!$A$1:$B$68,2,FALSE)</f>
        <v>Niedersachsen</v>
      </c>
      <c r="D1657" t="str">
        <f>'2020_5-2-2_Download'!$BG$7</f>
        <v>unbekannt</v>
      </c>
      <c r="E1657" t="s">
        <v>362</v>
      </c>
      <c r="F1657" s="266" t="str">
        <f>VLOOKUP(A3061,[2]Kreise!$A$2:$C$53,3,FALSE)</f>
        <v>K030</v>
      </c>
      <c r="G1657">
        <f>'2020_5-2-2_Download'!BG53</f>
        <v>41.555130656469082</v>
      </c>
    </row>
    <row r="1658" spans="1:7">
      <c r="A1658">
        <f>'2020_5-2-2_Download'!B54</f>
        <v>457</v>
      </c>
      <c r="B1658">
        <f>'2020_5-2-2_Download'!$BA$5</f>
        <v>2013</v>
      </c>
      <c r="C1658" t="str">
        <f>VLOOKUP(A3062,[1]Tabelle1!$A$1:$B$68,2,FALSE)</f>
        <v>Niedersachsen</v>
      </c>
      <c r="D1658" t="str">
        <f>'2020_5-2-2_Download'!$BG$7</f>
        <v>unbekannt</v>
      </c>
      <c r="E1658" t="s">
        <v>362</v>
      </c>
      <c r="F1658" s="266" t="str">
        <f>VLOOKUP(A3062,[2]Kreise!$A$2:$C$53,3,FALSE)</f>
        <v>K030</v>
      </c>
      <c r="G1658">
        <f>'2020_5-2-2_Download'!BG54</f>
        <v>54.933481152993352</v>
      </c>
    </row>
    <row r="1659" spans="1:7">
      <c r="A1659">
        <f>'2020_5-2-2_Download'!B55</f>
        <v>458</v>
      </c>
      <c r="B1659">
        <f>'2020_5-2-2_Download'!$BA$5</f>
        <v>2013</v>
      </c>
      <c r="C1659" t="str">
        <f>VLOOKUP(A3063,[1]Tabelle1!$A$1:$B$68,2,FALSE)</f>
        <v>Niedersachsen</v>
      </c>
      <c r="D1659" t="str">
        <f>'2020_5-2-2_Download'!$BG$7</f>
        <v>unbekannt</v>
      </c>
      <c r="E1659" t="s">
        <v>362</v>
      </c>
      <c r="F1659" s="266" t="str">
        <f>VLOOKUP(A3063,[2]Kreise!$A$2:$C$53,3,FALSE)</f>
        <v>K030</v>
      </c>
      <c r="G1659">
        <f>'2020_5-2-2_Download'!BG55</f>
        <v>48.298906439854193</v>
      </c>
    </row>
    <row r="1660" spans="1:7">
      <c r="A1660">
        <f>'2020_5-2-2_Download'!B56</f>
        <v>459</v>
      </c>
      <c r="B1660">
        <f>'2020_5-2-2_Download'!$BA$5</f>
        <v>2013</v>
      </c>
      <c r="C1660" t="str">
        <f>VLOOKUP(A3064,[1]Tabelle1!$A$1:$B$68,2,FALSE)</f>
        <v>Niedersachsen</v>
      </c>
      <c r="D1660" t="str">
        <f>'2020_5-2-2_Download'!$BG$7</f>
        <v>unbekannt</v>
      </c>
      <c r="E1660" t="s">
        <v>362</v>
      </c>
      <c r="F1660" s="266" t="str">
        <f>VLOOKUP(A3064,[2]Kreise!$A$2:$C$53,3,FALSE)</f>
        <v>K030</v>
      </c>
      <c r="G1660">
        <f>'2020_5-2-2_Download'!BG56</f>
        <v>48.120100969841914</v>
      </c>
    </row>
    <row r="1661" spans="1:7">
      <c r="A1661">
        <f>'2020_5-2-2_Download'!B57</f>
        <v>460</v>
      </c>
      <c r="B1661">
        <f>'2020_5-2-2_Download'!$BA$5</f>
        <v>2013</v>
      </c>
      <c r="C1661" t="str">
        <f>VLOOKUP(A3065,[1]Tabelle1!$A$1:$B$68,2,FALSE)</f>
        <v>Niedersachsen</v>
      </c>
      <c r="D1661" t="str">
        <f>'2020_5-2-2_Download'!$BG$7</f>
        <v>unbekannt</v>
      </c>
      <c r="E1661" t="s">
        <v>362</v>
      </c>
      <c r="F1661" s="266" t="str">
        <f>VLOOKUP(A3065,[2]Kreise!$A$2:$C$53,3,FALSE)</f>
        <v>K030</v>
      </c>
      <c r="G1661">
        <f>'2020_5-2-2_Download'!BG57</f>
        <v>62.129202373104803</v>
      </c>
    </row>
    <row r="1662" spans="1:7">
      <c r="A1662">
        <f>'2020_5-2-2_Download'!B58</f>
        <v>461</v>
      </c>
      <c r="B1662">
        <f>'2020_5-2-2_Download'!$BA$5</f>
        <v>2013</v>
      </c>
      <c r="C1662" t="str">
        <f>VLOOKUP(A3066,[1]Tabelle1!$A$1:$B$68,2,FALSE)</f>
        <v>Niedersachsen</v>
      </c>
      <c r="D1662" t="str">
        <f>'2020_5-2-2_Download'!$BG$7</f>
        <v>unbekannt</v>
      </c>
      <c r="E1662" t="s">
        <v>362</v>
      </c>
      <c r="F1662" s="266" t="str">
        <f>VLOOKUP(A3066,[2]Kreise!$A$2:$C$53,3,FALSE)</f>
        <v>K030</v>
      </c>
      <c r="G1662">
        <f>'2020_5-2-2_Download'!BG58</f>
        <v>32.661290322580641</v>
      </c>
    </row>
    <row r="1663" spans="1:7">
      <c r="A1663">
        <f>'2020_5-2-2_Download'!B59</f>
        <v>462</v>
      </c>
      <c r="B1663">
        <f>'2020_5-2-2_Download'!$BA$5</f>
        <v>2013</v>
      </c>
      <c r="C1663" t="str">
        <f>VLOOKUP(A3067,[1]Tabelle1!$A$1:$B$68,2,FALSE)</f>
        <v>Niedersachsen</v>
      </c>
      <c r="D1663" t="str">
        <f>'2020_5-2-2_Download'!$BG$7</f>
        <v>unbekannt</v>
      </c>
      <c r="E1663" t="s">
        <v>362</v>
      </c>
      <c r="F1663" s="266" t="str">
        <f>VLOOKUP(A3067,[2]Kreise!$A$2:$C$53,3,FALSE)</f>
        <v>K030</v>
      </c>
      <c r="G1663">
        <f>'2020_5-2-2_Download'!BG59</f>
        <v>69.354838709677423</v>
      </c>
    </row>
    <row r="1664" spans="1:7">
      <c r="A1664">
        <f>'2020_5-2-2_Download'!B60</f>
        <v>4</v>
      </c>
      <c r="B1664">
        <f>'2020_5-2-2_Download'!$BA$5</f>
        <v>2013</v>
      </c>
      <c r="C1664" t="str">
        <f>VLOOKUP(A3068,[1]Tabelle1!$A$1:$B$68,2,FALSE)</f>
        <v>Niedersachsen</v>
      </c>
      <c r="D1664" t="str">
        <f>'2020_5-2-2_Download'!$BG$7</f>
        <v>unbekannt</v>
      </c>
      <c r="E1664" t="s">
        <v>362</v>
      </c>
      <c r="F1664" s="266" t="str">
        <f>VLOOKUP(A3068,[2]Kreise!$A$2:$C$53,3,FALSE)</f>
        <v>K030</v>
      </c>
      <c r="G1664">
        <f>'2020_5-2-2_Download'!BG60</f>
        <v>49.61496863508544</v>
      </c>
    </row>
    <row r="1665" spans="1:7">
      <c r="A1665">
        <f>'2020_5-2-2_Download'!B61</f>
        <v>0</v>
      </c>
      <c r="B1665">
        <f>'2020_5-2-2_Download'!$BA$5</f>
        <v>2013</v>
      </c>
      <c r="C1665" t="str">
        <f>VLOOKUP(A3069,[1]Tabelle1!$A$1:$B$68,2,FALSE)</f>
        <v>Niedersachsen</v>
      </c>
      <c r="D1665" t="str">
        <f>'2020_5-2-2_Download'!$BG$7</f>
        <v>unbekannt</v>
      </c>
      <c r="E1665" t="s">
        <v>362</v>
      </c>
      <c r="F1665" s="266" t="str">
        <f>VLOOKUP(A3069,[2]Kreise!$A$2:$C$53,3,FALSE)</f>
        <v>K030</v>
      </c>
      <c r="G1665">
        <f>'2020_5-2-2_Download'!BG61</f>
        <v>42.874563154416833</v>
      </c>
    </row>
    <row r="1666" spans="1:7">
      <c r="A1666">
        <f>'2020_5-2-2_Download'!B10</f>
        <v>101</v>
      </c>
      <c r="B1666">
        <f>'2020_5-2-2_Download'!$BH$5</f>
        <v>2011</v>
      </c>
      <c r="C1666" t="str">
        <f>VLOOKUP(A3070,[1]Tabelle1!$A$1:$B$68,2,FALSE)</f>
        <v>Niedersachsen</v>
      </c>
      <c r="D1666" t="str">
        <f>'2020_5-2-2_Download'!$BK$7</f>
        <v>hoch</v>
      </c>
      <c r="E1666" t="s">
        <v>362</v>
      </c>
      <c r="F1666" s="266" t="str">
        <f>VLOOKUP(A3070,[2]Kreise!$A$2:$C$53,3,FALSE)</f>
        <v>K030</v>
      </c>
      <c r="G1666">
        <f>'2020_5-2-2_Download'!BK10</f>
        <v>16.522082018927446</v>
      </c>
    </row>
    <row r="1667" spans="1:7">
      <c r="A1667">
        <f>'2020_5-2-2_Download'!B11</f>
        <v>102</v>
      </c>
      <c r="B1667">
        <f>'2020_5-2-2_Download'!$BH$5</f>
        <v>2011</v>
      </c>
      <c r="C1667" t="str">
        <f>VLOOKUP(A3071,[1]Tabelle1!$A$1:$B$68,2,FALSE)</f>
        <v>Niedersachsen</v>
      </c>
      <c r="D1667" t="str">
        <f>'2020_5-2-2_Download'!$BK$7</f>
        <v>hoch</v>
      </c>
      <c r="E1667" t="s">
        <v>362</v>
      </c>
      <c r="F1667" s="266" t="str">
        <f>VLOOKUP(A3071,[2]Kreise!$A$2:$C$53,3,FALSE)</f>
        <v>K030</v>
      </c>
      <c r="G1667">
        <f>'2020_5-2-2_Download'!BK11</f>
        <v>3.9525691699604746</v>
      </c>
    </row>
    <row r="1668" spans="1:7">
      <c r="A1668">
        <f>'2020_5-2-2_Download'!B12</f>
        <v>103</v>
      </c>
      <c r="B1668">
        <f>'2020_5-2-2_Download'!$BH$5</f>
        <v>2011</v>
      </c>
      <c r="C1668" t="str">
        <f>VLOOKUP(A3072,[1]Tabelle1!$A$1:$B$68,2,FALSE)</f>
        <v>Niedersachsen</v>
      </c>
      <c r="D1668" t="str">
        <f>'2020_5-2-2_Download'!$BK$7</f>
        <v>hoch</v>
      </c>
      <c r="E1668" t="s">
        <v>362</v>
      </c>
      <c r="F1668" s="266" t="str">
        <f>VLOOKUP(A3072,[2]Kreise!$A$2:$C$53,3,FALSE)</f>
        <v>K030</v>
      </c>
      <c r="G1668">
        <f>'2020_5-2-2_Download'!BK12</f>
        <v>12.630431396978665</v>
      </c>
    </row>
    <row r="1669" spans="1:7">
      <c r="A1669">
        <f>'2020_5-2-2_Download'!B13</f>
        <v>151</v>
      </c>
      <c r="B1669">
        <f>'2020_5-2-2_Download'!$BH$5</f>
        <v>2011</v>
      </c>
      <c r="C1669" t="str">
        <f>VLOOKUP(A3073,[1]Tabelle1!$A$1:$B$68,2,FALSE)</f>
        <v>Niedersachsen</v>
      </c>
      <c r="D1669" t="str">
        <f>'2020_5-2-2_Download'!$BK$7</f>
        <v>hoch</v>
      </c>
      <c r="E1669" t="s">
        <v>362</v>
      </c>
      <c r="F1669" s="266" t="str">
        <f>VLOOKUP(A3073,[2]Kreise!$A$2:$C$53,3,FALSE)</f>
        <v>K030</v>
      </c>
      <c r="G1669">
        <f>'2020_5-2-2_Download'!BK13</f>
        <v>9.9487929773226043</v>
      </c>
    </row>
    <row r="1670" spans="1:7">
      <c r="A1670">
        <f>'2020_5-2-2_Download'!B14</f>
        <v>153</v>
      </c>
      <c r="B1670">
        <f>'2020_5-2-2_Download'!$BH$5</f>
        <v>2011</v>
      </c>
      <c r="C1670" t="str">
        <f>VLOOKUP(A3074,[1]Tabelle1!$A$1:$B$68,2,FALSE)</f>
        <v>Niedersachsen</v>
      </c>
      <c r="D1670" t="str">
        <f>'2020_5-2-2_Download'!$BK$7</f>
        <v>hoch</v>
      </c>
      <c r="E1670" t="s">
        <v>362</v>
      </c>
      <c r="F1670" s="266" t="str">
        <f>VLOOKUP(A3074,[2]Kreise!$A$2:$C$53,3,FALSE)</f>
        <v>K030</v>
      </c>
      <c r="G1670">
        <f>'2020_5-2-2_Download'!BK14</f>
        <v>18.492176386913229</v>
      </c>
    </row>
    <row r="1671" spans="1:7">
      <c r="A1671">
        <f>'2020_5-2-2_Download'!B15</f>
        <v>154</v>
      </c>
      <c r="B1671">
        <f>'2020_5-2-2_Download'!$BH$5</f>
        <v>2011</v>
      </c>
      <c r="C1671" t="str">
        <f>VLOOKUP(A3075,[1]Tabelle1!$A$1:$B$68,2,FALSE)</f>
        <v>Niedersachsen</v>
      </c>
      <c r="D1671" t="str">
        <f>'2020_5-2-2_Download'!$BK$7</f>
        <v>hoch</v>
      </c>
      <c r="E1671" t="s">
        <v>362</v>
      </c>
      <c r="F1671" s="266" t="str">
        <f>VLOOKUP(A3075,[2]Kreise!$A$2:$C$53,3,FALSE)</f>
        <v>K030</v>
      </c>
      <c r="G1671">
        <f>'2020_5-2-2_Download'!BK15</f>
        <v>9.7457627118644066</v>
      </c>
    </row>
    <row r="1672" spans="1:7">
      <c r="A1672">
        <f>'2020_5-2-2_Download'!B16</f>
        <v>155</v>
      </c>
      <c r="B1672">
        <f>'2020_5-2-2_Download'!$BH$5</f>
        <v>2011</v>
      </c>
      <c r="C1672" t="str">
        <f>VLOOKUP(A3076,[1]Tabelle1!$A$1:$B$68,2,FALSE)</f>
        <v>Niedersachsen</v>
      </c>
      <c r="D1672" t="str">
        <f>'2020_5-2-2_Download'!$BK$7</f>
        <v>hoch</v>
      </c>
      <c r="E1672" t="s">
        <v>362</v>
      </c>
      <c r="F1672" s="266" t="str">
        <f>VLOOKUP(A3076,[2]Kreise!$A$2:$C$53,3,FALSE)</f>
        <v>K030</v>
      </c>
      <c r="G1672">
        <f>'2020_5-2-2_Download'!BK16</f>
        <v>10.798548094373865</v>
      </c>
    </row>
    <row r="1673" spans="1:7">
      <c r="A1673">
        <f>'2020_5-2-2_Download'!B17</f>
        <v>157</v>
      </c>
      <c r="B1673">
        <f>'2020_5-2-2_Download'!$BH$5</f>
        <v>2011</v>
      </c>
      <c r="C1673" t="str">
        <f>VLOOKUP(A3077,[1]Tabelle1!$A$1:$B$68,2,FALSE)</f>
        <v>Niedersachsen</v>
      </c>
      <c r="D1673" t="str">
        <f>'2020_5-2-2_Download'!$BK$7</f>
        <v>hoch</v>
      </c>
      <c r="E1673" t="s">
        <v>362</v>
      </c>
      <c r="F1673" s="266" t="str">
        <f>VLOOKUP(A3077,[2]Kreise!$A$2:$C$53,3,FALSE)</f>
        <v>K030</v>
      </c>
      <c r="G1673">
        <f>'2020_5-2-2_Download'!BK17</f>
        <v>4.0239726027397262</v>
      </c>
    </row>
    <row r="1674" spans="1:7">
      <c r="A1674">
        <f>'2020_5-2-2_Download'!B18</f>
        <v>158</v>
      </c>
      <c r="B1674">
        <f>'2020_5-2-2_Download'!$BH$5</f>
        <v>2011</v>
      </c>
      <c r="C1674" t="str">
        <f>VLOOKUP(A3078,[1]Tabelle1!$A$1:$B$68,2,FALSE)</f>
        <v>Niedersachsen</v>
      </c>
      <c r="D1674" t="str">
        <f>'2020_5-2-2_Download'!$BK$7</f>
        <v>hoch</v>
      </c>
      <c r="E1674" t="s">
        <v>362</v>
      </c>
      <c r="F1674" s="266" t="str">
        <f>VLOOKUP(A3078,[2]Kreise!$A$2:$C$53,3,FALSE)</f>
        <v>K030</v>
      </c>
      <c r="G1674">
        <f>'2020_5-2-2_Download'!BK18</f>
        <v>7.7338129496402885</v>
      </c>
    </row>
    <row r="1675" spans="1:7">
      <c r="A1675">
        <f>'2020_5-2-2_Download'!B19</f>
        <v>159</v>
      </c>
      <c r="B1675">
        <f>'2020_5-2-2_Download'!$BH$5</f>
        <v>2011</v>
      </c>
      <c r="C1675" t="str">
        <f>VLOOKUP(A3079,[1]Tabelle1!$A$1:$B$68,2,FALSE)</f>
        <v>Niedersachsen</v>
      </c>
      <c r="D1675" t="str">
        <f>'2020_5-2-2_Download'!$BK$7</f>
        <v>hoch</v>
      </c>
      <c r="E1675" t="s">
        <v>362</v>
      </c>
      <c r="F1675" s="266" t="str">
        <f>VLOOKUP(A3079,[2]Kreise!$A$2:$C$53,3,FALSE)</f>
        <v>K030</v>
      </c>
      <c r="G1675">
        <f>'2020_5-2-2_Download'!BK19</f>
        <v>20.36082474226804</v>
      </c>
    </row>
    <row r="1676" spans="1:7">
      <c r="A1676">
        <f>'2020_5-2-2_Download'!B20</f>
        <v>1</v>
      </c>
      <c r="B1676">
        <f>'2020_5-2-2_Download'!$BH$5</f>
        <v>2011</v>
      </c>
      <c r="C1676" t="str">
        <f>VLOOKUP(A3080,[1]Tabelle1!$A$1:$B$68,2,FALSE)</f>
        <v>Niedersachsen</v>
      </c>
      <c r="D1676" t="str">
        <f>'2020_5-2-2_Download'!$BK$7</f>
        <v>hoch</v>
      </c>
      <c r="E1676" t="s">
        <v>362</v>
      </c>
      <c r="F1676" s="266" t="str">
        <f>VLOOKUP(A3080,[2]Kreise!$A$2:$C$53,3,FALSE)</f>
        <v>K030</v>
      </c>
      <c r="G1676">
        <f>'2020_5-2-2_Download'!BK20</f>
        <v>13.725958666825946</v>
      </c>
    </row>
    <row r="1677" spans="1:7">
      <c r="A1677">
        <f>'2020_5-2-2_Download'!B21</f>
        <v>241</v>
      </c>
      <c r="B1677">
        <f>'2020_5-2-2_Download'!$BH$5</f>
        <v>2011</v>
      </c>
      <c r="C1677" t="str">
        <f>VLOOKUP(A3081,[1]Tabelle1!$A$1:$B$68,2,FALSE)</f>
        <v>Niedersachsen</v>
      </c>
      <c r="D1677" t="str">
        <f>'2020_5-2-2_Download'!$BK$7</f>
        <v>hoch</v>
      </c>
      <c r="E1677" t="s">
        <v>362</v>
      </c>
      <c r="F1677" s="266" t="str">
        <f>VLOOKUP(A3081,[2]Kreise!$A$2:$C$53,3,FALSE)</f>
        <v>K030</v>
      </c>
      <c r="G1677">
        <f>'2020_5-2-2_Download'!BK21</f>
        <v>8.139722231173268</v>
      </c>
    </row>
    <row r="1678" spans="1:7">
      <c r="A1678">
        <f>'2020_5-2-2_Download'!B22</f>
        <v>241001</v>
      </c>
      <c r="B1678">
        <f>'2020_5-2-2_Download'!$BH$5</f>
        <v>2011</v>
      </c>
      <c r="C1678" t="str">
        <f>VLOOKUP(A3082,[1]Tabelle1!$A$1:$B$68,2,FALSE)</f>
        <v>Niedersachsen</v>
      </c>
      <c r="D1678" t="str">
        <f>'2020_5-2-2_Download'!$BK$7</f>
        <v>hoch</v>
      </c>
      <c r="E1678" t="s">
        <v>362</v>
      </c>
      <c r="F1678" s="266" t="str">
        <f>VLOOKUP(A3082,[2]Kreise!$A$2:$C$53,3,FALSE)</f>
        <v>K030</v>
      </c>
      <c r="G1678">
        <f>'2020_5-2-2_Download'!BK22</f>
        <v>10.284757118927972</v>
      </c>
    </row>
    <row r="1679" spans="1:7">
      <c r="A1679">
        <f>'2020_5-2-2_Download'!B23</f>
        <v>241999</v>
      </c>
      <c r="B1679">
        <f>'2020_5-2-2_Download'!$BH$5</f>
        <v>2011</v>
      </c>
      <c r="C1679" t="str">
        <f>VLOOKUP(A3083,[1]Tabelle1!$A$1:$B$68,2,FALSE)</f>
        <v>Niedersachsen</v>
      </c>
      <c r="D1679" t="str">
        <f>'2020_5-2-2_Download'!$BK$7</f>
        <v>hoch</v>
      </c>
      <c r="E1679" t="s">
        <v>362</v>
      </c>
      <c r="F1679" s="266" t="str">
        <f>VLOOKUP(A3083,[2]Kreise!$A$2:$C$53,3,FALSE)</f>
        <v>K030</v>
      </c>
      <c r="G1679">
        <f>'2020_5-2-2_Download'!BK23</f>
        <v>3.7186821858354699</v>
      </c>
    </row>
    <row r="1680" spans="1:7">
      <c r="A1680">
        <f>'2020_5-2-2_Download'!B24</f>
        <v>251</v>
      </c>
      <c r="B1680">
        <f>'2020_5-2-2_Download'!$BH$5</f>
        <v>2011</v>
      </c>
      <c r="C1680" t="str">
        <f>VLOOKUP(A3084,[1]Tabelle1!$A$1:$B$68,2,FALSE)</f>
        <v>Niedersachsen</v>
      </c>
      <c r="D1680" t="str">
        <f>'2020_5-2-2_Download'!$BK$7</f>
        <v>hoch</v>
      </c>
      <c r="E1680" t="s">
        <v>362</v>
      </c>
      <c r="F1680" s="266" t="str">
        <f>VLOOKUP(A3084,[2]Kreise!$A$2:$C$53,3,FALSE)</f>
        <v>K030</v>
      </c>
      <c r="G1680">
        <f>'2020_5-2-2_Download'!BK24</f>
        <v>7.0831283817019184</v>
      </c>
    </row>
    <row r="1681" spans="1:7">
      <c r="A1681">
        <f>'2020_5-2-2_Download'!B25</f>
        <v>252</v>
      </c>
      <c r="B1681">
        <f>'2020_5-2-2_Download'!$BH$5</f>
        <v>2011</v>
      </c>
      <c r="C1681" t="str">
        <f>VLOOKUP(A3085,[1]Tabelle1!$A$1:$B$68,2,FALSE)</f>
        <v>Niedersachsen</v>
      </c>
      <c r="D1681" t="str">
        <f>'2020_5-2-2_Download'!$BK$7</f>
        <v>hoch</v>
      </c>
      <c r="E1681" t="s">
        <v>362</v>
      </c>
      <c r="F1681" s="266" t="str">
        <f>VLOOKUP(A3085,[2]Kreise!$A$2:$C$53,3,FALSE)</f>
        <v>K030</v>
      </c>
      <c r="G1681">
        <f>'2020_5-2-2_Download'!BK25</f>
        <v>5.9225512528473807</v>
      </c>
    </row>
    <row r="1682" spans="1:7">
      <c r="A1682">
        <f>'2020_5-2-2_Download'!B26</f>
        <v>254</v>
      </c>
      <c r="B1682">
        <f>'2020_5-2-2_Download'!$BH$5</f>
        <v>2011</v>
      </c>
      <c r="C1682" t="str">
        <f>VLOOKUP(A3086,[1]Tabelle1!$A$1:$B$68,2,FALSE)</f>
        <v>Niedersachsen</v>
      </c>
      <c r="D1682" t="str">
        <f>'2020_5-2-2_Download'!$BK$7</f>
        <v>hoch</v>
      </c>
      <c r="E1682" t="s">
        <v>362</v>
      </c>
      <c r="F1682" s="266" t="str">
        <f>VLOOKUP(A3086,[2]Kreise!$A$2:$C$53,3,FALSE)</f>
        <v>K030</v>
      </c>
      <c r="G1682">
        <f>'2020_5-2-2_Download'!BK26</f>
        <v>8.3846680355920604</v>
      </c>
    </row>
    <row r="1683" spans="1:7">
      <c r="A1683">
        <f>'2020_5-2-2_Download'!B27</f>
        <v>255</v>
      </c>
      <c r="B1683">
        <f>'2020_5-2-2_Download'!$BH$5</f>
        <v>2011</v>
      </c>
      <c r="C1683" t="str">
        <f>VLOOKUP(A3087,[1]Tabelle1!$A$1:$B$68,2,FALSE)</f>
        <v>Niedersachsen</v>
      </c>
      <c r="D1683" t="str">
        <f>'2020_5-2-2_Download'!$BK$7</f>
        <v>hoch</v>
      </c>
      <c r="E1683" t="s">
        <v>362</v>
      </c>
      <c r="F1683" s="266" t="str">
        <f>VLOOKUP(A3087,[2]Kreise!$A$2:$C$53,3,FALSE)</f>
        <v>K030</v>
      </c>
      <c r="G1683">
        <f>'2020_5-2-2_Download'!BK27</f>
        <v>6.6469719350073859</v>
      </c>
    </row>
    <row r="1684" spans="1:7">
      <c r="A1684">
        <f>'2020_5-2-2_Download'!B28</f>
        <v>256</v>
      </c>
      <c r="B1684">
        <f>'2020_5-2-2_Download'!$BH$5</f>
        <v>2011</v>
      </c>
      <c r="C1684" t="str">
        <f>VLOOKUP(A3088,[1]Tabelle1!$A$1:$B$68,2,FALSE)</f>
        <v>Niedersachsen</v>
      </c>
      <c r="D1684" t="str">
        <f>'2020_5-2-2_Download'!$BK$7</f>
        <v>hoch</v>
      </c>
      <c r="E1684" t="s">
        <v>362</v>
      </c>
      <c r="F1684" s="266" t="str">
        <f>VLOOKUP(A3088,[2]Kreise!$A$2:$C$53,3,FALSE)</f>
        <v>K030</v>
      </c>
      <c r="G1684">
        <f>'2020_5-2-2_Download'!BK28</f>
        <v>3.2128514056224895</v>
      </c>
    </row>
    <row r="1685" spans="1:7">
      <c r="A1685">
        <f>'2020_5-2-2_Download'!B29</f>
        <v>257</v>
      </c>
      <c r="B1685">
        <f>'2020_5-2-2_Download'!$BH$5</f>
        <v>2011</v>
      </c>
      <c r="C1685" t="str">
        <f>VLOOKUP(A3089,[1]Tabelle1!$A$1:$B$68,2,FALSE)</f>
        <v>Niedersachsen</v>
      </c>
      <c r="D1685" t="str">
        <f>'2020_5-2-2_Download'!$BK$7</f>
        <v>hoch</v>
      </c>
      <c r="E1685" t="s">
        <v>362</v>
      </c>
      <c r="F1685" s="266" t="str">
        <f>VLOOKUP(A3089,[2]Kreise!$A$2:$C$53,3,FALSE)</f>
        <v>K030</v>
      </c>
      <c r="G1685">
        <f>'2020_5-2-2_Download'!BK29</f>
        <v>5.2665799739921981</v>
      </c>
    </row>
    <row r="1686" spans="1:7">
      <c r="A1686">
        <f>'2020_5-2-2_Download'!B30</f>
        <v>2</v>
      </c>
      <c r="B1686">
        <f>'2020_5-2-2_Download'!$BH$5</f>
        <v>2011</v>
      </c>
      <c r="C1686" t="str">
        <f>VLOOKUP(A3090,[1]Tabelle1!$A$1:$B$68,2,FALSE)</f>
        <v>Niedersachsen</v>
      </c>
      <c r="D1686" t="str">
        <f>'2020_5-2-2_Download'!$BK$7</f>
        <v>hoch</v>
      </c>
      <c r="E1686" t="s">
        <v>362</v>
      </c>
      <c r="F1686" s="266" t="str">
        <f>VLOOKUP(A3090,[2]Kreise!$A$2:$C$53,3,FALSE)</f>
        <v>K030</v>
      </c>
      <c r="G1686">
        <f>'2020_5-2-2_Download'!BK30</f>
        <v>7.7107797228825978</v>
      </c>
    </row>
    <row r="1687" spans="1:7">
      <c r="A1687">
        <f>'2020_5-2-2_Download'!B31</f>
        <v>351</v>
      </c>
      <c r="B1687">
        <f>'2020_5-2-2_Download'!$BH$5</f>
        <v>2011</v>
      </c>
      <c r="C1687" t="str">
        <f>VLOOKUP(A3091,[1]Tabelle1!$A$1:$B$68,2,FALSE)</f>
        <v>Niedersachsen</v>
      </c>
      <c r="D1687" t="str">
        <f>'2020_5-2-2_Download'!$BK$7</f>
        <v>hoch</v>
      </c>
      <c r="E1687" t="s">
        <v>362</v>
      </c>
      <c r="F1687" s="266" t="str">
        <f>VLOOKUP(A3091,[2]Kreise!$A$2:$C$53,3,FALSE)</f>
        <v>K030</v>
      </c>
      <c r="G1687">
        <f>'2020_5-2-2_Download'!BK31</f>
        <v>12.678571428571427</v>
      </c>
    </row>
    <row r="1688" spans="1:7">
      <c r="A1688">
        <f>'2020_5-2-2_Download'!B32</f>
        <v>352</v>
      </c>
      <c r="B1688">
        <f>'2020_5-2-2_Download'!$BH$5</f>
        <v>2011</v>
      </c>
      <c r="C1688" t="str">
        <f>VLOOKUP(A3092,[1]Tabelle1!$A$1:$B$68,2,FALSE)</f>
        <v>Niedersachsen</v>
      </c>
      <c r="D1688" t="str">
        <f>'2020_5-2-2_Download'!$BK$7</f>
        <v>hoch</v>
      </c>
      <c r="E1688" t="s">
        <v>362</v>
      </c>
      <c r="F1688" s="266" t="str">
        <f>VLOOKUP(A3092,[2]Kreise!$A$2:$C$53,3,FALSE)</f>
        <v>K030</v>
      </c>
      <c r="G1688">
        <f>'2020_5-2-2_Download'!BK32</f>
        <v>4.0174249757986447</v>
      </c>
    </row>
    <row r="1689" spans="1:7">
      <c r="A1689">
        <f>'2020_5-2-2_Download'!B33</f>
        <v>353</v>
      </c>
      <c r="B1689">
        <f>'2020_5-2-2_Download'!$BH$5</f>
        <v>2011</v>
      </c>
      <c r="C1689" t="str">
        <f>VLOOKUP(A3093,[1]Tabelle1!$A$1:$B$68,2,FALSE)</f>
        <v>Niedersachsen</v>
      </c>
      <c r="D1689" t="str">
        <f>'2020_5-2-2_Download'!$BK$7</f>
        <v>hoch</v>
      </c>
      <c r="E1689" t="s">
        <v>362</v>
      </c>
      <c r="F1689" s="266" t="str">
        <f>VLOOKUP(A3093,[2]Kreise!$A$2:$C$53,3,FALSE)</f>
        <v>K030</v>
      </c>
      <c r="G1689">
        <f>'2020_5-2-2_Download'!BK33</f>
        <v>3.352601156069364</v>
      </c>
    </row>
    <row r="1690" spans="1:7">
      <c r="A1690">
        <f>'2020_5-2-2_Download'!B34</f>
        <v>354</v>
      </c>
      <c r="B1690">
        <f>'2020_5-2-2_Download'!$BH$5</f>
        <v>2011</v>
      </c>
      <c r="C1690" t="str">
        <f>VLOOKUP(A3094,[1]Tabelle1!$A$1:$B$68,2,FALSE)</f>
        <v>Niedersachsen</v>
      </c>
      <c r="D1690" t="str">
        <f>'2020_5-2-2_Download'!$BK$7</f>
        <v>hoch</v>
      </c>
      <c r="E1690" t="s">
        <v>362</v>
      </c>
      <c r="F1690" s="266" t="str">
        <f>VLOOKUP(A3094,[2]Kreise!$A$2:$C$53,3,FALSE)</f>
        <v>K030</v>
      </c>
      <c r="G1690">
        <f>'2020_5-2-2_Download'!BK34</f>
        <v>7.1038251366120218</v>
      </c>
    </row>
    <row r="1691" spans="1:7">
      <c r="A1691">
        <f>'2020_5-2-2_Download'!B35</f>
        <v>355</v>
      </c>
      <c r="B1691">
        <f>'2020_5-2-2_Download'!$BH$5</f>
        <v>2011</v>
      </c>
      <c r="C1691" t="str">
        <f>VLOOKUP(A3095,[1]Tabelle1!$A$1:$B$68,2,FALSE)</f>
        <v>Niedersachsen</v>
      </c>
      <c r="D1691" t="str">
        <f>'2020_5-2-2_Download'!$BK$7</f>
        <v>hoch</v>
      </c>
      <c r="E1691" t="s">
        <v>362</v>
      </c>
      <c r="F1691" s="266" t="str">
        <f>VLOOKUP(A3095,[2]Kreise!$A$2:$C$53,3,FALSE)</f>
        <v>K030</v>
      </c>
      <c r="G1691">
        <f>'2020_5-2-2_Download'!BK35</f>
        <v>10.119760479041915</v>
      </c>
    </row>
    <row r="1692" spans="1:7">
      <c r="A1692">
        <f>'2020_5-2-2_Download'!B36</f>
        <v>356</v>
      </c>
      <c r="B1692">
        <f>'2020_5-2-2_Download'!$BH$5</f>
        <v>2011</v>
      </c>
      <c r="C1692" t="str">
        <f>VLOOKUP(A3096,[1]Tabelle1!$A$1:$B$68,2,FALSE)</f>
        <v>Niedersachsen</v>
      </c>
      <c r="D1692" t="str">
        <f>'2020_5-2-2_Download'!$BK$7</f>
        <v>hoch</v>
      </c>
      <c r="E1692" t="s">
        <v>362</v>
      </c>
      <c r="F1692" s="266" t="str">
        <f>VLOOKUP(A3096,[2]Kreise!$A$2:$C$53,3,FALSE)</f>
        <v>K030</v>
      </c>
      <c r="G1692">
        <f>'2020_5-2-2_Download'!BK36</f>
        <v>3.225806451612903</v>
      </c>
    </row>
    <row r="1693" spans="1:7">
      <c r="A1693">
        <f>'2020_5-2-2_Download'!B37</f>
        <v>357</v>
      </c>
      <c r="B1693">
        <f>'2020_5-2-2_Download'!$BH$5</f>
        <v>2011</v>
      </c>
      <c r="C1693" t="str">
        <f>VLOOKUP(A3097,[1]Tabelle1!$A$1:$B$68,2,FALSE)</f>
        <v>Niedersachsen</v>
      </c>
      <c r="D1693" t="str">
        <f>'2020_5-2-2_Download'!$BK$7</f>
        <v>hoch</v>
      </c>
      <c r="E1693" t="s">
        <v>362</v>
      </c>
      <c r="F1693" s="266" t="str">
        <f>VLOOKUP(A3097,[2]Kreise!$A$2:$C$53,3,FALSE)</f>
        <v>K030</v>
      </c>
      <c r="G1693">
        <f>'2020_5-2-2_Download'!BK37</f>
        <v>6.8197633959638138</v>
      </c>
    </row>
    <row r="1694" spans="1:7">
      <c r="A1694">
        <f>'2020_5-2-2_Download'!B38</f>
        <v>358</v>
      </c>
      <c r="B1694">
        <f>'2020_5-2-2_Download'!$BH$5</f>
        <v>2011</v>
      </c>
      <c r="C1694" t="str">
        <f>VLOOKUP(A3098,[1]Tabelle1!$A$1:$B$68,2,FALSE)</f>
        <v>Niedersachsen</v>
      </c>
      <c r="D1694" t="str">
        <f>'2020_5-2-2_Download'!$BK$7</f>
        <v>hoch</v>
      </c>
      <c r="E1694" t="s">
        <v>362</v>
      </c>
      <c r="F1694" s="266" t="str">
        <f>VLOOKUP(A3098,[2]Kreise!$A$2:$C$53,3,FALSE)</f>
        <v>K030</v>
      </c>
      <c r="G1694">
        <f>'2020_5-2-2_Download'!BK38</f>
        <v>4.6349942062572422</v>
      </c>
    </row>
    <row r="1695" spans="1:7">
      <c r="A1695">
        <f>'2020_5-2-2_Download'!B39</f>
        <v>359</v>
      </c>
      <c r="B1695">
        <f>'2020_5-2-2_Download'!$BH$5</f>
        <v>2011</v>
      </c>
      <c r="C1695" t="str">
        <f>VLOOKUP(A3099,[1]Tabelle1!$A$1:$B$68,2,FALSE)</f>
        <v>Niedersachsen</v>
      </c>
      <c r="D1695" t="str">
        <f>'2020_5-2-2_Download'!$BK$7</f>
        <v>hoch</v>
      </c>
      <c r="E1695" t="s">
        <v>362</v>
      </c>
      <c r="F1695" s="266" t="str">
        <f>VLOOKUP(A3099,[2]Kreise!$A$2:$C$53,3,FALSE)</f>
        <v>K030</v>
      </c>
      <c r="G1695">
        <f>'2020_5-2-2_Download'!BK39</f>
        <v>10.710526315789473</v>
      </c>
    </row>
    <row r="1696" spans="1:7">
      <c r="A1696">
        <f>'2020_5-2-2_Download'!B40</f>
        <v>360</v>
      </c>
      <c r="B1696">
        <f>'2020_5-2-2_Download'!$BH$5</f>
        <v>2011</v>
      </c>
      <c r="C1696" t="str">
        <f>VLOOKUP(A3100,[1]Tabelle1!$A$1:$B$68,2,FALSE)</f>
        <v>Niedersachsen</v>
      </c>
      <c r="D1696" t="str">
        <f>'2020_5-2-2_Download'!$BK$7</f>
        <v>hoch</v>
      </c>
      <c r="E1696" t="s">
        <v>362</v>
      </c>
      <c r="F1696" s="266" t="str">
        <f>VLOOKUP(A3100,[2]Kreise!$A$2:$C$53,3,FALSE)</f>
        <v>K030</v>
      </c>
      <c r="G1696">
        <f>'2020_5-2-2_Download'!BK40</f>
        <v>9.2281879194630871</v>
      </c>
    </row>
    <row r="1697" spans="1:7">
      <c r="A1697">
        <f>'2020_5-2-2_Download'!B41</f>
        <v>361</v>
      </c>
      <c r="B1697">
        <f>'2020_5-2-2_Download'!$BH$5</f>
        <v>2011</v>
      </c>
      <c r="C1697" t="str">
        <f>VLOOKUP(A3101,[1]Tabelle1!$A$1:$B$68,2,FALSE)</f>
        <v>Niedersachsen</v>
      </c>
      <c r="D1697" t="str">
        <f>'2020_5-2-2_Download'!$BK$7</f>
        <v>hoch</v>
      </c>
      <c r="E1697" t="s">
        <v>362</v>
      </c>
      <c r="F1697" s="266" t="str">
        <f>VLOOKUP(A3101,[2]Kreise!$A$2:$C$53,3,FALSE)</f>
        <v>K030</v>
      </c>
      <c r="G1697">
        <f>'2020_5-2-2_Download'!BK41</f>
        <v>7.8229541945445193</v>
      </c>
    </row>
    <row r="1698" spans="1:7">
      <c r="A1698">
        <f>'2020_5-2-2_Download'!B42</f>
        <v>3</v>
      </c>
      <c r="B1698">
        <f>'2020_5-2-2_Download'!$BH$5</f>
        <v>2011</v>
      </c>
      <c r="C1698" t="str">
        <f>VLOOKUP(A3102,[1]Tabelle1!$A$1:$B$68,2,FALSE)</f>
        <v>Niedersachsen</v>
      </c>
      <c r="D1698" t="str">
        <f>'2020_5-2-2_Download'!$BK$7</f>
        <v>hoch</v>
      </c>
      <c r="E1698" t="s">
        <v>362</v>
      </c>
      <c r="F1698" s="266" t="str">
        <f>VLOOKUP(A3102,[2]Kreise!$A$2:$C$53,3,FALSE)</f>
        <v>K030</v>
      </c>
      <c r="G1698">
        <f>'2020_5-2-2_Download'!BK42</f>
        <v>7.4819988089437501</v>
      </c>
    </row>
    <row r="1699" spans="1:7">
      <c r="A1699">
        <f>'2020_5-2-2_Download'!B43</f>
        <v>401</v>
      </c>
      <c r="B1699">
        <f>'2020_5-2-2_Download'!$BH$5</f>
        <v>2011</v>
      </c>
      <c r="C1699" t="str">
        <f>VLOOKUP(A3103,[1]Tabelle1!$A$1:$B$68,2,FALSE)</f>
        <v>Niedersachsen</v>
      </c>
      <c r="D1699" t="str">
        <f>'2020_5-2-2_Download'!$BK$7</f>
        <v>hoch</v>
      </c>
      <c r="E1699" t="s">
        <v>362</v>
      </c>
      <c r="F1699" s="266" t="str">
        <f>VLOOKUP(A3103,[2]Kreise!$A$2:$C$53,3,FALSE)</f>
        <v>K030</v>
      </c>
      <c r="G1699">
        <f>'2020_5-2-2_Download'!BK43</f>
        <v>3.6065573770491808</v>
      </c>
    </row>
    <row r="1700" spans="1:7">
      <c r="A1700">
        <f>'2020_5-2-2_Download'!B44</f>
        <v>402</v>
      </c>
      <c r="B1700">
        <f>'2020_5-2-2_Download'!$BH$5</f>
        <v>2011</v>
      </c>
      <c r="C1700" t="str">
        <f>VLOOKUP(A3104,[1]Tabelle1!$A$1:$B$68,2,FALSE)</f>
        <v>Niedersachsen</v>
      </c>
      <c r="D1700" t="str">
        <f>'2020_5-2-2_Download'!$BK$7</f>
        <v>hoch</v>
      </c>
      <c r="E1700" t="s">
        <v>362</v>
      </c>
      <c r="F1700" s="266" t="str">
        <f>VLOOKUP(A3104,[2]Kreise!$A$2:$C$53,3,FALSE)</f>
        <v>K030</v>
      </c>
      <c r="G1700">
        <f>'2020_5-2-2_Download'!BK44</f>
        <v>6.6006600660065997</v>
      </c>
    </row>
    <row r="1701" spans="1:7">
      <c r="A1701">
        <f>'2020_5-2-2_Download'!B45</f>
        <v>403</v>
      </c>
      <c r="B1701">
        <f>'2020_5-2-2_Download'!$BH$5</f>
        <v>2011</v>
      </c>
      <c r="C1701" t="str">
        <f>VLOOKUP(A3105,[1]Tabelle1!$A$1:$B$68,2,FALSE)</f>
        <v>Niedersachsen</v>
      </c>
      <c r="D1701" t="str">
        <f>'2020_5-2-2_Download'!$BK$7</f>
        <v>hoch</v>
      </c>
      <c r="E1701" t="s">
        <v>362</v>
      </c>
      <c r="F1701" s="266" t="str">
        <f>VLOOKUP(A3105,[2]Kreise!$A$2:$C$53,3,FALSE)</f>
        <v>K030</v>
      </c>
      <c r="G1701">
        <f>'2020_5-2-2_Download'!BK45</f>
        <v>13.407572383073497</v>
      </c>
    </row>
    <row r="1702" spans="1:7">
      <c r="A1702">
        <f>'2020_5-2-2_Download'!B46</f>
        <v>404</v>
      </c>
      <c r="B1702">
        <f>'2020_5-2-2_Download'!$BH$5</f>
        <v>2011</v>
      </c>
      <c r="C1702" t="str">
        <f>VLOOKUP(A3106,[1]Tabelle1!$A$1:$B$68,2,FALSE)</f>
        <v>Niedersachsen</v>
      </c>
      <c r="D1702" t="str">
        <f>'2020_5-2-2_Download'!$BK$7</f>
        <v>hoch</v>
      </c>
      <c r="E1702" t="s">
        <v>362</v>
      </c>
      <c r="F1702" s="266" t="str">
        <f>VLOOKUP(A3106,[2]Kreise!$A$2:$C$53,3,FALSE)</f>
        <v>K030</v>
      </c>
      <c r="G1702">
        <f>'2020_5-2-2_Download'!BK46</f>
        <v>7.8467574428802216</v>
      </c>
    </row>
    <row r="1703" spans="1:7">
      <c r="A1703">
        <f>'2020_5-2-2_Download'!B47</f>
        <v>405</v>
      </c>
      <c r="B1703">
        <f>'2020_5-2-2_Download'!$BH$5</f>
        <v>2011</v>
      </c>
      <c r="C1703" t="str">
        <f>VLOOKUP(A3107,[1]Tabelle1!$A$1:$B$68,2,FALSE)</f>
        <v>Niedersachsen</v>
      </c>
      <c r="D1703" t="str">
        <f>'2020_5-2-2_Download'!$BK$7</f>
        <v>hoch</v>
      </c>
      <c r="E1703" t="s">
        <v>362</v>
      </c>
      <c r="F1703" s="266" t="str">
        <f>VLOOKUP(A3107,[2]Kreise!$A$2:$C$53,3,FALSE)</f>
        <v>K030</v>
      </c>
      <c r="G1703">
        <f>'2020_5-2-2_Download'!BK47</f>
        <v>13.915857605177994</v>
      </c>
    </row>
    <row r="1704" spans="1:7">
      <c r="A1704">
        <f>'2020_5-2-2_Download'!B48</f>
        <v>451</v>
      </c>
      <c r="B1704">
        <f>'2020_5-2-2_Download'!$BH$5</f>
        <v>2011</v>
      </c>
      <c r="C1704" t="str">
        <f>VLOOKUP(A3108,[1]Tabelle1!$A$1:$B$68,2,FALSE)</f>
        <v>Niedersachsen</v>
      </c>
      <c r="D1704" t="str">
        <f>'2020_5-2-2_Download'!$BK$7</f>
        <v>hoch</v>
      </c>
      <c r="E1704" t="s">
        <v>362</v>
      </c>
      <c r="F1704" s="266" t="str">
        <f>VLOOKUP(A3108,[2]Kreise!$A$2:$C$53,3,FALSE)</f>
        <v>K030</v>
      </c>
      <c r="G1704">
        <f>'2020_5-2-2_Download'!BK48</f>
        <v>3.6809815950920246</v>
      </c>
    </row>
    <row r="1705" spans="1:7">
      <c r="A1705">
        <f>'2020_5-2-2_Download'!B49</f>
        <v>452</v>
      </c>
      <c r="B1705">
        <f>'2020_5-2-2_Download'!$BH$5</f>
        <v>2011</v>
      </c>
      <c r="C1705" t="str">
        <f>VLOOKUP(A3109,[1]Tabelle1!$A$1:$B$68,2,FALSE)</f>
        <v>Niedersachsen</v>
      </c>
      <c r="D1705" t="str">
        <f>'2020_5-2-2_Download'!$BK$7</f>
        <v>hoch</v>
      </c>
      <c r="E1705" t="s">
        <v>362</v>
      </c>
      <c r="F1705" s="266" t="str">
        <f>VLOOKUP(A3109,[2]Kreise!$A$2:$C$53,3,FALSE)</f>
        <v>K030</v>
      </c>
      <c r="G1705">
        <f>'2020_5-2-2_Download'!BK49</f>
        <v>5.636604774535809</v>
      </c>
    </row>
    <row r="1706" spans="1:7">
      <c r="A1706">
        <f>'2020_5-2-2_Download'!B50</f>
        <v>453</v>
      </c>
      <c r="B1706">
        <f>'2020_5-2-2_Download'!$BH$5</f>
        <v>2011</v>
      </c>
      <c r="C1706" t="str">
        <f>VLOOKUP(A3110,[1]Tabelle1!$A$1:$B$68,2,FALSE)</f>
        <v>Niedersachsen</v>
      </c>
      <c r="D1706" t="str">
        <f>'2020_5-2-2_Download'!$BK$7</f>
        <v>hoch</v>
      </c>
      <c r="E1706" t="s">
        <v>362</v>
      </c>
      <c r="F1706" s="266" t="str">
        <f>VLOOKUP(A3110,[2]Kreise!$A$2:$C$53,3,FALSE)</f>
        <v>K030</v>
      </c>
      <c r="G1706">
        <f>'2020_5-2-2_Download'!BK50</f>
        <v>2.0762551906379767</v>
      </c>
    </row>
    <row r="1707" spans="1:7">
      <c r="A1707">
        <f>'2020_5-2-2_Download'!B51</f>
        <v>454</v>
      </c>
      <c r="B1707">
        <f>'2020_5-2-2_Download'!$BH$5</f>
        <v>2011</v>
      </c>
      <c r="C1707" t="str">
        <f>VLOOKUP(A3111,[1]Tabelle1!$A$1:$B$68,2,FALSE)</f>
        <v>Niedersachsen</v>
      </c>
      <c r="D1707" t="str">
        <f>'2020_5-2-2_Download'!$BK$7</f>
        <v>hoch</v>
      </c>
      <c r="E1707" t="s">
        <v>362</v>
      </c>
      <c r="F1707" s="266" t="str">
        <f>VLOOKUP(A3111,[2]Kreise!$A$2:$C$53,3,FALSE)</f>
        <v>K030</v>
      </c>
      <c r="G1707">
        <f>'2020_5-2-2_Download'!BK51</f>
        <v>7.4254215304798965</v>
      </c>
    </row>
    <row r="1708" spans="1:7">
      <c r="A1708">
        <f>'2020_5-2-2_Download'!B52</f>
        <v>455</v>
      </c>
      <c r="B1708">
        <f>'2020_5-2-2_Download'!$BH$5</f>
        <v>2011</v>
      </c>
      <c r="C1708" t="str">
        <f>VLOOKUP(A3112,[1]Tabelle1!$A$1:$B$68,2,FALSE)</f>
        <v>Niedersachsen</v>
      </c>
      <c r="D1708" t="str">
        <f>'2020_5-2-2_Download'!$BK$7</f>
        <v>hoch</v>
      </c>
      <c r="E1708" t="s">
        <v>362</v>
      </c>
      <c r="F1708" s="266" t="str">
        <f>VLOOKUP(A3112,[2]Kreise!$A$2:$C$53,3,FALSE)</f>
        <v>K030</v>
      </c>
      <c r="G1708">
        <f>'2020_5-2-2_Download'!BK52</f>
        <v>6.6176470588235299</v>
      </c>
    </row>
    <row r="1709" spans="1:7">
      <c r="A1709">
        <f>'2020_5-2-2_Download'!B53</f>
        <v>456</v>
      </c>
      <c r="B1709">
        <f>'2020_5-2-2_Download'!$BH$5</f>
        <v>2011</v>
      </c>
      <c r="C1709" t="str">
        <f>VLOOKUP(A3113,[1]Tabelle1!$A$1:$B$68,2,FALSE)</f>
        <v>Niedersachsen</v>
      </c>
      <c r="D1709" t="str">
        <f>'2020_5-2-2_Download'!$BK$7</f>
        <v>hoch</v>
      </c>
      <c r="E1709" t="s">
        <v>362</v>
      </c>
      <c r="F1709" s="266" t="str">
        <f>VLOOKUP(A3113,[2]Kreise!$A$2:$C$53,3,FALSE)</f>
        <v>K030</v>
      </c>
      <c r="G1709">
        <f>'2020_5-2-2_Download'!BK53</f>
        <v>4.5294413688978361</v>
      </c>
    </row>
    <row r="1710" spans="1:7">
      <c r="A1710">
        <f>'2020_5-2-2_Download'!B54</f>
        <v>457</v>
      </c>
      <c r="B1710">
        <f>'2020_5-2-2_Download'!$BH$5</f>
        <v>2011</v>
      </c>
      <c r="C1710" t="str">
        <f>VLOOKUP(A3114,[1]Tabelle1!$A$1:$B$68,2,FALSE)</f>
        <v>Niedersachsen</v>
      </c>
      <c r="D1710" t="str">
        <f>'2020_5-2-2_Download'!$BK$7</f>
        <v>hoch</v>
      </c>
      <c r="E1710" t="s">
        <v>362</v>
      </c>
      <c r="F1710" s="266" t="str">
        <f>VLOOKUP(A3114,[2]Kreise!$A$2:$C$53,3,FALSE)</f>
        <v>K030</v>
      </c>
      <c r="G1710">
        <f>'2020_5-2-2_Download'!BK54</f>
        <v>4.9446974625894597</v>
      </c>
    </row>
    <row r="1711" spans="1:7">
      <c r="A1711">
        <f>'2020_5-2-2_Download'!B55</f>
        <v>458</v>
      </c>
      <c r="B1711">
        <f>'2020_5-2-2_Download'!$BH$5</f>
        <v>2011</v>
      </c>
      <c r="C1711" t="str">
        <f>VLOOKUP(A3115,[1]Tabelle1!$A$1:$B$68,2,FALSE)</f>
        <v>Niedersachsen</v>
      </c>
      <c r="D1711" t="str">
        <f>'2020_5-2-2_Download'!$BK$7</f>
        <v>hoch</v>
      </c>
      <c r="E1711" t="s">
        <v>362</v>
      </c>
      <c r="F1711" s="266" t="str">
        <f>VLOOKUP(A3115,[2]Kreise!$A$2:$C$53,3,FALSE)</f>
        <v>K030</v>
      </c>
      <c r="G1711">
        <f>'2020_5-2-2_Download'!BK55</f>
        <v>2.0408163265306123</v>
      </c>
    </row>
    <row r="1712" spans="1:7">
      <c r="A1712">
        <f>'2020_5-2-2_Download'!B56</f>
        <v>459</v>
      </c>
      <c r="B1712">
        <f>'2020_5-2-2_Download'!$BH$5</f>
        <v>2011</v>
      </c>
      <c r="C1712" t="str">
        <f>VLOOKUP(A3116,[1]Tabelle1!$A$1:$B$68,2,FALSE)</f>
        <v>Niedersachsen</v>
      </c>
      <c r="D1712" t="str">
        <f>'2020_5-2-2_Download'!$BK$7</f>
        <v>hoch</v>
      </c>
      <c r="E1712" t="s">
        <v>362</v>
      </c>
      <c r="F1712" s="266" t="str">
        <f>VLOOKUP(A3116,[2]Kreise!$A$2:$C$53,3,FALSE)</f>
        <v>K030</v>
      </c>
      <c r="G1712">
        <f>'2020_5-2-2_Download'!BK56</f>
        <v>3.0211958241062953</v>
      </c>
    </row>
    <row r="1713" spans="1:7">
      <c r="A1713">
        <f>'2020_5-2-2_Download'!B57</f>
        <v>460</v>
      </c>
      <c r="B1713">
        <f>'2020_5-2-2_Download'!$BH$5</f>
        <v>2011</v>
      </c>
      <c r="C1713" t="str">
        <f>VLOOKUP(A3117,[1]Tabelle1!$A$1:$B$68,2,FALSE)</f>
        <v>Niedersachsen</v>
      </c>
      <c r="D1713" t="str">
        <f>'2020_5-2-2_Download'!$BK$7</f>
        <v>hoch</v>
      </c>
      <c r="E1713" t="s">
        <v>362</v>
      </c>
      <c r="F1713" s="266" t="str">
        <f>VLOOKUP(A3117,[2]Kreise!$A$2:$C$53,3,FALSE)</f>
        <v>K030</v>
      </c>
      <c r="G1713">
        <f>'2020_5-2-2_Download'!BK57</f>
        <v>3.2626766417290107</v>
      </c>
    </row>
    <row r="1714" spans="1:7">
      <c r="A1714">
        <f>'2020_5-2-2_Download'!B58</f>
        <v>461</v>
      </c>
      <c r="B1714">
        <f>'2020_5-2-2_Download'!$BH$5</f>
        <v>2011</v>
      </c>
      <c r="C1714" t="str">
        <f>VLOOKUP(A3118,[1]Tabelle1!$A$1:$B$68,2,FALSE)</f>
        <v>Niedersachsen</v>
      </c>
      <c r="D1714" t="str">
        <f>'2020_5-2-2_Download'!$BK$7</f>
        <v>hoch</v>
      </c>
      <c r="E1714" t="s">
        <v>362</v>
      </c>
      <c r="F1714" s="266" t="str">
        <f>VLOOKUP(A3118,[2]Kreise!$A$2:$C$53,3,FALSE)</f>
        <v>K030</v>
      </c>
      <c r="G1714">
        <f>'2020_5-2-2_Download'!BK58</f>
        <v>5.1557465091299681</v>
      </c>
    </row>
    <row r="1715" spans="1:7">
      <c r="A1715">
        <f>'2020_5-2-2_Download'!B59</f>
        <v>462</v>
      </c>
      <c r="B1715">
        <f>'2020_5-2-2_Download'!$BH$5</f>
        <v>2011</v>
      </c>
      <c r="C1715" t="str">
        <f>VLOOKUP(A3119,[1]Tabelle1!$A$1:$B$68,2,FALSE)</f>
        <v>Niedersachsen</v>
      </c>
      <c r="D1715" t="str">
        <f>'2020_5-2-2_Download'!$BK$7</f>
        <v>hoch</v>
      </c>
      <c r="E1715" t="s">
        <v>362</v>
      </c>
      <c r="F1715" s="266" t="str">
        <f>VLOOKUP(A3119,[2]Kreise!$A$2:$C$53,3,FALSE)</f>
        <v>K030</v>
      </c>
      <c r="G1715">
        <f>'2020_5-2-2_Download'!BK59</f>
        <v>5.6555269922879177</v>
      </c>
    </row>
    <row r="1716" spans="1:7">
      <c r="A1716">
        <f>'2020_5-2-2_Download'!B60</f>
        <v>4</v>
      </c>
      <c r="B1716">
        <f>'2020_5-2-2_Download'!$BH$5</f>
        <v>2011</v>
      </c>
      <c r="C1716" t="str">
        <f>VLOOKUP(A3120,[1]Tabelle1!$A$1:$B$68,2,FALSE)</f>
        <v>Niedersachsen</v>
      </c>
      <c r="D1716" t="str">
        <f>'2020_5-2-2_Download'!$BK$7</f>
        <v>hoch</v>
      </c>
      <c r="E1716" t="s">
        <v>362</v>
      </c>
      <c r="F1716" s="266" t="str">
        <f>VLOOKUP(A3120,[2]Kreise!$A$2:$C$53,3,FALSE)</f>
        <v>K030</v>
      </c>
      <c r="G1716">
        <f>'2020_5-2-2_Download'!BK60</f>
        <v>5.3085172084666779</v>
      </c>
    </row>
    <row r="1717" spans="1:7">
      <c r="A1717">
        <f>'2020_5-2-2_Download'!B61</f>
        <v>0</v>
      </c>
      <c r="B1717">
        <f>'2020_5-2-2_Download'!$BH$5</f>
        <v>2011</v>
      </c>
      <c r="C1717" t="str">
        <f>VLOOKUP(A3121,[1]Tabelle1!$A$1:$B$68,2,FALSE)</f>
        <v>Niedersachsen</v>
      </c>
      <c r="D1717" t="str">
        <f>'2020_5-2-2_Download'!$BK$7</f>
        <v>hoch</v>
      </c>
      <c r="E1717" t="s">
        <v>362</v>
      </c>
      <c r="F1717" s="266" t="str">
        <f>VLOOKUP(A3121,[2]Kreise!$A$2:$C$53,3,FALSE)</f>
        <v>K030</v>
      </c>
      <c r="G1717">
        <f>'2020_5-2-2_Download'!BK61</f>
        <v>8.217693154266895</v>
      </c>
    </row>
    <row r="1718" spans="1:7">
      <c r="A1718">
        <f>'2020_5-2-2_Download'!B10</f>
        <v>101</v>
      </c>
      <c r="B1718">
        <f>'2020_5-2-2_Download'!$BH$5</f>
        <v>2011</v>
      </c>
      <c r="C1718" t="str">
        <f>VLOOKUP(A3122,[1]Tabelle1!$A$1:$B$68,2,FALSE)</f>
        <v>Niedersachsen</v>
      </c>
      <c r="D1718" t="str">
        <f>'2020_5-2-2_Download'!$BL$7</f>
        <v>mittel</v>
      </c>
      <c r="E1718" t="s">
        <v>362</v>
      </c>
      <c r="F1718" s="266" t="str">
        <f>VLOOKUP(A3122,[2]Kreise!$A$2:$C$53,3,FALSE)</f>
        <v>K030</v>
      </c>
      <c r="G1718">
        <f>'2020_5-2-2_Download'!BL10</f>
        <v>26.419558359621455</v>
      </c>
    </row>
    <row r="1719" spans="1:7">
      <c r="A1719">
        <f>'2020_5-2-2_Download'!B11</f>
        <v>102</v>
      </c>
      <c r="B1719">
        <f>'2020_5-2-2_Download'!$BH$5</f>
        <v>2011</v>
      </c>
      <c r="C1719" t="str">
        <f>VLOOKUP(A3123,[1]Tabelle1!$A$1:$B$68,2,FALSE)</f>
        <v>Niedersachsen</v>
      </c>
      <c r="D1719" t="str">
        <f>'2020_5-2-2_Download'!$BL$7</f>
        <v>mittel</v>
      </c>
      <c r="E1719" t="s">
        <v>362</v>
      </c>
      <c r="F1719" s="266" t="str">
        <f>VLOOKUP(A3123,[2]Kreise!$A$2:$C$53,3,FALSE)</f>
        <v>K030</v>
      </c>
      <c r="G1719">
        <f>'2020_5-2-2_Download'!BL11</f>
        <v>43.370463528566297</v>
      </c>
    </row>
    <row r="1720" spans="1:7">
      <c r="A1720">
        <f>'2020_5-2-2_Download'!B12</f>
        <v>103</v>
      </c>
      <c r="B1720">
        <f>'2020_5-2-2_Download'!$BH$5</f>
        <v>2011</v>
      </c>
      <c r="C1720" t="str">
        <f>VLOOKUP(A3124,[1]Tabelle1!$A$1:$B$68,2,FALSE)</f>
        <v>Niedersachsen</v>
      </c>
      <c r="D1720" t="str">
        <f>'2020_5-2-2_Download'!$BL$7</f>
        <v>mittel</v>
      </c>
      <c r="E1720" t="s">
        <v>362</v>
      </c>
      <c r="F1720" s="266" t="str">
        <f>VLOOKUP(A3124,[2]Kreise!$A$2:$C$53,3,FALSE)</f>
        <v>K030</v>
      </c>
      <c r="G1720">
        <f>'2020_5-2-2_Download'!BL12</f>
        <v>43.933966671857966</v>
      </c>
    </row>
    <row r="1721" spans="1:7">
      <c r="A1721">
        <f>'2020_5-2-2_Download'!B13</f>
        <v>151</v>
      </c>
      <c r="B1721">
        <f>'2020_5-2-2_Download'!$BH$5</f>
        <v>2011</v>
      </c>
      <c r="C1721" t="str">
        <f>VLOOKUP(A3125,[1]Tabelle1!$A$1:$B$68,2,FALSE)</f>
        <v>Niedersachsen</v>
      </c>
      <c r="D1721" t="str">
        <f>'2020_5-2-2_Download'!$BL$7</f>
        <v>mittel</v>
      </c>
      <c r="E1721" t="s">
        <v>362</v>
      </c>
      <c r="F1721" s="266" t="str">
        <f>VLOOKUP(A3125,[2]Kreise!$A$2:$C$53,3,FALSE)</f>
        <v>K030</v>
      </c>
      <c r="G1721">
        <f>'2020_5-2-2_Download'!BL13</f>
        <v>23.116313094367229</v>
      </c>
    </row>
    <row r="1722" spans="1:7">
      <c r="A1722">
        <f>'2020_5-2-2_Download'!B14</f>
        <v>153</v>
      </c>
      <c r="B1722">
        <f>'2020_5-2-2_Download'!$BH$5</f>
        <v>2011</v>
      </c>
      <c r="C1722" t="str">
        <f>VLOOKUP(A3126,[1]Tabelle1!$A$1:$B$68,2,FALSE)</f>
        <v>Niedersachsen</v>
      </c>
      <c r="D1722" t="str">
        <f>'2020_5-2-2_Download'!$BL$7</f>
        <v>mittel</v>
      </c>
      <c r="E1722" t="s">
        <v>362</v>
      </c>
      <c r="F1722" s="266" t="str">
        <f>VLOOKUP(A3126,[2]Kreise!$A$2:$C$53,3,FALSE)</f>
        <v>K030</v>
      </c>
      <c r="G1722">
        <f>'2020_5-2-2_Download'!BL14</f>
        <v>26.600284495021338</v>
      </c>
    </row>
    <row r="1723" spans="1:7">
      <c r="A1723">
        <f>'2020_5-2-2_Download'!B15</f>
        <v>154</v>
      </c>
      <c r="B1723">
        <f>'2020_5-2-2_Download'!$BH$5</f>
        <v>2011</v>
      </c>
      <c r="C1723" t="str">
        <f>VLOOKUP(A3127,[1]Tabelle1!$A$1:$B$68,2,FALSE)</f>
        <v>Niedersachsen</v>
      </c>
      <c r="D1723" t="str">
        <f>'2020_5-2-2_Download'!$BL$7</f>
        <v>mittel</v>
      </c>
      <c r="E1723" t="s">
        <v>362</v>
      </c>
      <c r="F1723" s="266" t="str">
        <f>VLOOKUP(A3127,[2]Kreise!$A$2:$C$53,3,FALSE)</f>
        <v>K030</v>
      </c>
      <c r="G1723">
        <f>'2020_5-2-2_Download'!BL15</f>
        <v>30.932203389830509</v>
      </c>
    </row>
    <row r="1724" spans="1:7">
      <c r="A1724">
        <f>'2020_5-2-2_Download'!B16</f>
        <v>155</v>
      </c>
      <c r="B1724">
        <f>'2020_5-2-2_Download'!$BH$5</f>
        <v>2011</v>
      </c>
      <c r="C1724" t="str">
        <f>VLOOKUP(A3128,[1]Tabelle1!$A$1:$B$68,2,FALSE)</f>
        <v>Niedersachsen</v>
      </c>
      <c r="D1724" t="str">
        <f>'2020_5-2-2_Download'!$BL$7</f>
        <v>mittel</v>
      </c>
      <c r="E1724" t="s">
        <v>362</v>
      </c>
      <c r="F1724" s="266" t="str">
        <f>VLOOKUP(A3128,[2]Kreise!$A$2:$C$53,3,FALSE)</f>
        <v>K030</v>
      </c>
      <c r="G1724">
        <f>'2020_5-2-2_Download'!BL16</f>
        <v>31.760435571687839</v>
      </c>
    </row>
    <row r="1725" spans="1:7">
      <c r="A1725">
        <f>'2020_5-2-2_Download'!B17</f>
        <v>157</v>
      </c>
      <c r="B1725">
        <f>'2020_5-2-2_Download'!$BH$5</f>
        <v>2011</v>
      </c>
      <c r="C1725" t="str">
        <f>VLOOKUP(A3129,[1]Tabelle1!$A$1:$B$68,2,FALSE)</f>
        <v>Niedersachsen</v>
      </c>
      <c r="D1725" t="str">
        <f>'2020_5-2-2_Download'!$BL$7</f>
        <v>mittel</v>
      </c>
      <c r="E1725" t="s">
        <v>362</v>
      </c>
      <c r="F1725" s="266" t="str">
        <f>VLOOKUP(A3129,[2]Kreise!$A$2:$C$53,3,FALSE)</f>
        <v>K030</v>
      </c>
      <c r="G1725">
        <f>'2020_5-2-2_Download'!BL17</f>
        <v>27.739726027397261</v>
      </c>
    </row>
    <row r="1726" spans="1:7">
      <c r="A1726">
        <f>'2020_5-2-2_Download'!B18</f>
        <v>158</v>
      </c>
      <c r="B1726">
        <f>'2020_5-2-2_Download'!$BH$5</f>
        <v>2011</v>
      </c>
      <c r="C1726" t="str">
        <f>VLOOKUP(A3130,[1]Tabelle1!$A$1:$B$68,2,FALSE)</f>
        <v>Niedersachsen</v>
      </c>
      <c r="D1726" t="str">
        <f>'2020_5-2-2_Download'!$BL$7</f>
        <v>mittel</v>
      </c>
      <c r="E1726" t="s">
        <v>362</v>
      </c>
      <c r="F1726" s="266" t="str">
        <f>VLOOKUP(A3130,[2]Kreise!$A$2:$C$53,3,FALSE)</f>
        <v>K030</v>
      </c>
      <c r="G1726">
        <f>'2020_5-2-2_Download'!BL18</f>
        <v>30.39568345323741</v>
      </c>
    </row>
    <row r="1727" spans="1:7">
      <c r="A1727">
        <f>'2020_5-2-2_Download'!B19</f>
        <v>159</v>
      </c>
      <c r="B1727">
        <f>'2020_5-2-2_Download'!$BH$5</f>
        <v>2011</v>
      </c>
      <c r="C1727" t="str">
        <f>VLOOKUP(A3131,[1]Tabelle1!$A$1:$B$68,2,FALSE)</f>
        <v>Niedersachsen</v>
      </c>
      <c r="D1727" t="str">
        <f>'2020_5-2-2_Download'!$BL$7</f>
        <v>mittel</v>
      </c>
      <c r="E1727" t="s">
        <v>362</v>
      </c>
      <c r="F1727" s="266" t="str">
        <f>VLOOKUP(A3131,[2]Kreise!$A$2:$C$53,3,FALSE)</f>
        <v>K030</v>
      </c>
      <c r="G1727">
        <f>'2020_5-2-2_Download'!BL19</f>
        <v>26.396048109965637</v>
      </c>
    </row>
    <row r="1728" spans="1:7">
      <c r="A1728">
        <f>'2020_5-2-2_Download'!B20</f>
        <v>1</v>
      </c>
      <c r="B1728">
        <f>'2020_5-2-2_Download'!$BH$5</f>
        <v>2011</v>
      </c>
      <c r="C1728" t="str">
        <f>VLOOKUP(A3132,[1]Tabelle1!$A$1:$B$68,2,FALSE)</f>
        <v>Niedersachsen</v>
      </c>
      <c r="D1728" t="str">
        <f>'2020_5-2-2_Download'!$BL$7</f>
        <v>mittel</v>
      </c>
      <c r="E1728" t="s">
        <v>362</v>
      </c>
      <c r="F1728" s="266" t="str">
        <f>VLOOKUP(A3132,[2]Kreise!$A$2:$C$53,3,FALSE)</f>
        <v>K030</v>
      </c>
      <c r="G1728">
        <f>'2020_5-2-2_Download'!BL20</f>
        <v>33.030701230438417</v>
      </c>
    </row>
    <row r="1729" spans="1:7">
      <c r="A1729">
        <f>'2020_5-2-2_Download'!B21</f>
        <v>241</v>
      </c>
      <c r="B1729">
        <f>'2020_5-2-2_Download'!$BH$5</f>
        <v>2011</v>
      </c>
      <c r="C1729" t="str">
        <f>VLOOKUP(A3133,[1]Tabelle1!$A$1:$B$68,2,FALSE)</f>
        <v>Niedersachsen</v>
      </c>
      <c r="D1729" t="str">
        <f>'2020_5-2-2_Download'!$BL$7</f>
        <v>mittel</v>
      </c>
      <c r="E1729" t="s">
        <v>362</v>
      </c>
      <c r="F1729" s="266" t="str">
        <f>VLOOKUP(A3133,[2]Kreise!$A$2:$C$53,3,FALSE)</f>
        <v>K030</v>
      </c>
      <c r="G1729">
        <f>'2020_5-2-2_Download'!BL21</f>
        <v>28.949827602874361</v>
      </c>
    </row>
    <row r="1730" spans="1:7">
      <c r="A1730">
        <f>'2020_5-2-2_Download'!B22</f>
        <v>241001</v>
      </c>
      <c r="B1730">
        <f>'2020_5-2-2_Download'!$BH$5</f>
        <v>2011</v>
      </c>
      <c r="C1730" t="str">
        <f>VLOOKUP(A3134,[1]Tabelle1!$A$1:$B$68,2,FALSE)</f>
        <v>Niedersachsen</v>
      </c>
      <c r="D1730" t="str">
        <f>'2020_5-2-2_Download'!$BL$7</f>
        <v>mittel</v>
      </c>
      <c r="E1730" t="s">
        <v>362</v>
      </c>
      <c r="F1730" s="266" t="str">
        <f>VLOOKUP(A3134,[2]Kreise!$A$2:$C$53,3,FALSE)</f>
        <v>K030</v>
      </c>
      <c r="G1730">
        <f>'2020_5-2-2_Download'!BL22</f>
        <v>30.437903804737974</v>
      </c>
    </row>
    <row r="1731" spans="1:7">
      <c r="A1731">
        <f>'2020_5-2-2_Download'!B23</f>
        <v>241999</v>
      </c>
      <c r="B1731">
        <f>'2020_5-2-2_Download'!$BH$5</f>
        <v>2011</v>
      </c>
      <c r="C1731" t="str">
        <f>VLOOKUP(A3135,[1]Tabelle1!$A$1:$B$68,2,FALSE)</f>
        <v>Niedersachsen</v>
      </c>
      <c r="D1731" t="str">
        <f>'2020_5-2-2_Download'!$BL$7</f>
        <v>mittel</v>
      </c>
      <c r="E1731" t="s">
        <v>362</v>
      </c>
      <c r="F1731" s="266" t="str">
        <f>VLOOKUP(A3135,[2]Kreise!$A$2:$C$53,3,FALSE)</f>
        <v>K030</v>
      </c>
      <c r="G1731">
        <f>'2020_5-2-2_Download'!BL23</f>
        <v>25.882817123693037</v>
      </c>
    </row>
    <row r="1732" spans="1:7">
      <c r="A1732">
        <f>'2020_5-2-2_Download'!B24</f>
        <v>251</v>
      </c>
      <c r="B1732">
        <f>'2020_5-2-2_Download'!$BH$5</f>
        <v>2011</v>
      </c>
      <c r="C1732" t="str">
        <f>VLOOKUP(A3136,[1]Tabelle1!$A$1:$B$68,2,FALSE)</f>
        <v>Niedersachsen</v>
      </c>
      <c r="D1732" t="str">
        <f>'2020_5-2-2_Download'!$BL$7</f>
        <v>mittel</v>
      </c>
      <c r="E1732" t="s">
        <v>362</v>
      </c>
      <c r="F1732" s="266" t="str">
        <f>VLOOKUP(A3136,[2]Kreise!$A$2:$C$53,3,FALSE)</f>
        <v>K030</v>
      </c>
      <c r="G1732">
        <f>'2020_5-2-2_Download'!BL24</f>
        <v>23.167732415150024</v>
      </c>
    </row>
    <row r="1733" spans="1:7">
      <c r="A1733">
        <f>'2020_5-2-2_Download'!B25</f>
        <v>252</v>
      </c>
      <c r="B1733">
        <f>'2020_5-2-2_Download'!$BH$5</f>
        <v>2011</v>
      </c>
      <c r="C1733" t="str">
        <f>VLOOKUP(A3137,[1]Tabelle1!$A$1:$B$68,2,FALSE)</f>
        <v>Niedersachsen</v>
      </c>
      <c r="D1733" t="str">
        <f>'2020_5-2-2_Download'!$BL$7</f>
        <v>mittel</v>
      </c>
      <c r="E1733" t="s">
        <v>362</v>
      </c>
      <c r="F1733" s="266" t="str">
        <f>VLOOKUP(A3137,[2]Kreise!$A$2:$C$53,3,FALSE)</f>
        <v>K030</v>
      </c>
      <c r="G1733">
        <f>'2020_5-2-2_Download'!BL25</f>
        <v>31.75398633257403</v>
      </c>
    </row>
    <row r="1734" spans="1:7">
      <c r="A1734">
        <f>'2020_5-2-2_Download'!B26</f>
        <v>254</v>
      </c>
      <c r="B1734">
        <f>'2020_5-2-2_Download'!$BH$5</f>
        <v>2011</v>
      </c>
      <c r="C1734" t="str">
        <f>VLOOKUP(A3138,[1]Tabelle1!$A$1:$B$68,2,FALSE)</f>
        <v>Niedersachsen</v>
      </c>
      <c r="D1734" t="str">
        <f>'2020_5-2-2_Download'!$BL$7</f>
        <v>mittel</v>
      </c>
      <c r="E1734" t="s">
        <v>362</v>
      </c>
      <c r="F1734" s="266" t="str">
        <f>VLOOKUP(A3138,[2]Kreise!$A$2:$C$53,3,FALSE)</f>
        <v>K030</v>
      </c>
      <c r="G1734">
        <f>'2020_5-2-2_Download'!BL26</f>
        <v>32.477754962354553</v>
      </c>
    </row>
    <row r="1735" spans="1:7">
      <c r="A1735">
        <f>'2020_5-2-2_Download'!B27</f>
        <v>255</v>
      </c>
      <c r="B1735">
        <f>'2020_5-2-2_Download'!$BH$5</f>
        <v>2011</v>
      </c>
      <c r="C1735" t="str">
        <f>VLOOKUP(A3139,[1]Tabelle1!$A$1:$B$68,2,FALSE)</f>
        <v>Niedersachsen</v>
      </c>
      <c r="D1735" t="str">
        <f>'2020_5-2-2_Download'!$BL$7</f>
        <v>mittel</v>
      </c>
      <c r="E1735" t="s">
        <v>362</v>
      </c>
      <c r="F1735" s="266" t="str">
        <f>VLOOKUP(A3139,[2]Kreise!$A$2:$C$53,3,FALSE)</f>
        <v>K030</v>
      </c>
      <c r="G1735">
        <f>'2020_5-2-2_Download'!BL27</f>
        <v>31.905465288035451</v>
      </c>
    </row>
    <row r="1736" spans="1:7">
      <c r="A1736">
        <f>'2020_5-2-2_Download'!B28</f>
        <v>256</v>
      </c>
      <c r="B1736">
        <f>'2020_5-2-2_Download'!$BH$5</f>
        <v>2011</v>
      </c>
      <c r="C1736" t="str">
        <f>VLOOKUP(A3140,[1]Tabelle1!$A$1:$B$68,2,FALSE)</f>
        <v>Niedersachsen</v>
      </c>
      <c r="D1736" t="str">
        <f>'2020_5-2-2_Download'!$BL$7</f>
        <v>mittel</v>
      </c>
      <c r="E1736" t="s">
        <v>362</v>
      </c>
      <c r="F1736" s="266" t="str">
        <f>VLOOKUP(A3140,[2]Kreise!$A$2:$C$53,3,FALSE)</f>
        <v>K030</v>
      </c>
      <c r="G1736">
        <f>'2020_5-2-2_Download'!BL28</f>
        <v>24.016064257028113</v>
      </c>
    </row>
    <row r="1737" spans="1:7">
      <c r="A1737">
        <f>'2020_5-2-2_Download'!B29</f>
        <v>257</v>
      </c>
      <c r="B1737">
        <f>'2020_5-2-2_Download'!$BH$5</f>
        <v>2011</v>
      </c>
      <c r="C1737" t="str">
        <f>VLOOKUP(A3141,[1]Tabelle1!$A$1:$B$68,2,FALSE)</f>
        <v>Niedersachsen</v>
      </c>
      <c r="D1737" t="str">
        <f>'2020_5-2-2_Download'!$BL$7</f>
        <v>mittel</v>
      </c>
      <c r="E1737" t="s">
        <v>362</v>
      </c>
      <c r="F1737" s="266" t="str">
        <f>VLOOKUP(A3141,[2]Kreise!$A$2:$C$53,3,FALSE)</f>
        <v>K030</v>
      </c>
      <c r="G1737">
        <f>'2020_5-2-2_Download'!BL29</f>
        <v>31.144343302990897</v>
      </c>
    </row>
    <row r="1738" spans="1:7">
      <c r="A1738">
        <f>'2020_5-2-2_Download'!B30</f>
        <v>2</v>
      </c>
      <c r="B1738">
        <f>'2020_5-2-2_Download'!$BH$5</f>
        <v>2011</v>
      </c>
      <c r="C1738" t="str">
        <f>VLOOKUP(A3142,[1]Tabelle1!$A$1:$B$68,2,FALSE)</f>
        <v>Niedersachsen</v>
      </c>
      <c r="D1738" t="str">
        <f>'2020_5-2-2_Download'!$BL$7</f>
        <v>mittel</v>
      </c>
      <c r="E1738" t="s">
        <v>362</v>
      </c>
      <c r="F1738" s="266" t="str">
        <f>VLOOKUP(A3142,[2]Kreise!$A$2:$C$53,3,FALSE)</f>
        <v>K030</v>
      </c>
      <c r="G1738">
        <f>'2020_5-2-2_Download'!BL30</f>
        <v>29.044497274451892</v>
      </c>
    </row>
    <row r="1739" spans="1:7">
      <c r="A1739">
        <f>'2020_5-2-2_Download'!B31</f>
        <v>351</v>
      </c>
      <c r="B1739">
        <f>'2020_5-2-2_Download'!$BH$5</f>
        <v>2011</v>
      </c>
      <c r="C1739" t="str">
        <f>VLOOKUP(A3143,[1]Tabelle1!$A$1:$B$68,2,FALSE)</f>
        <v>Niedersachsen</v>
      </c>
      <c r="D1739" t="str">
        <f>'2020_5-2-2_Download'!$BL$7</f>
        <v>mittel</v>
      </c>
      <c r="E1739" t="s">
        <v>362</v>
      </c>
      <c r="F1739" s="266" t="str">
        <f>VLOOKUP(A3143,[2]Kreise!$A$2:$C$53,3,FALSE)</f>
        <v>K030</v>
      </c>
      <c r="G1739">
        <f>'2020_5-2-2_Download'!BL31</f>
        <v>31.36904761904762</v>
      </c>
    </row>
    <row r="1740" spans="1:7">
      <c r="A1740">
        <f>'2020_5-2-2_Download'!B32</f>
        <v>352</v>
      </c>
      <c r="B1740">
        <f>'2020_5-2-2_Download'!$BH$5</f>
        <v>2011</v>
      </c>
      <c r="C1740" t="str">
        <f>VLOOKUP(A3144,[1]Tabelle1!$A$1:$B$68,2,FALSE)</f>
        <v>Niedersachsen</v>
      </c>
      <c r="D1740" t="str">
        <f>'2020_5-2-2_Download'!$BL$7</f>
        <v>mittel</v>
      </c>
      <c r="E1740" t="s">
        <v>362</v>
      </c>
      <c r="F1740" s="266" t="str">
        <f>VLOOKUP(A3144,[2]Kreise!$A$2:$C$53,3,FALSE)</f>
        <v>K030</v>
      </c>
      <c r="G1740">
        <f>'2020_5-2-2_Download'!BL32</f>
        <v>22.749273959341725</v>
      </c>
    </row>
    <row r="1741" spans="1:7">
      <c r="A1741">
        <f>'2020_5-2-2_Download'!B33</f>
        <v>353</v>
      </c>
      <c r="B1741">
        <f>'2020_5-2-2_Download'!$BH$5</f>
        <v>2011</v>
      </c>
      <c r="C1741" t="str">
        <f>VLOOKUP(A3145,[1]Tabelle1!$A$1:$B$68,2,FALSE)</f>
        <v>Niedersachsen</v>
      </c>
      <c r="D1741" t="str">
        <f>'2020_5-2-2_Download'!$BL$7</f>
        <v>mittel</v>
      </c>
      <c r="E1741" t="s">
        <v>362</v>
      </c>
      <c r="F1741" s="266" t="str">
        <f>VLOOKUP(A3145,[2]Kreise!$A$2:$C$53,3,FALSE)</f>
        <v>K030</v>
      </c>
      <c r="G1741">
        <f>'2020_5-2-2_Download'!BL33</f>
        <v>20.616570327552985</v>
      </c>
    </row>
    <row r="1742" spans="1:7">
      <c r="A1742">
        <f>'2020_5-2-2_Download'!B34</f>
        <v>354</v>
      </c>
      <c r="B1742">
        <f>'2020_5-2-2_Download'!$BH$5</f>
        <v>2011</v>
      </c>
      <c r="C1742" t="str">
        <f>VLOOKUP(A3146,[1]Tabelle1!$A$1:$B$68,2,FALSE)</f>
        <v>Niedersachsen</v>
      </c>
      <c r="D1742" t="str">
        <f>'2020_5-2-2_Download'!$BL$7</f>
        <v>mittel</v>
      </c>
      <c r="E1742" t="s">
        <v>362</v>
      </c>
      <c r="F1742" s="266" t="str">
        <f>VLOOKUP(A3146,[2]Kreise!$A$2:$C$53,3,FALSE)</f>
        <v>K030</v>
      </c>
      <c r="G1742">
        <f>'2020_5-2-2_Download'!BL34</f>
        <v>28.415300546448087</v>
      </c>
    </row>
    <row r="1743" spans="1:7">
      <c r="A1743">
        <f>'2020_5-2-2_Download'!B35</f>
        <v>355</v>
      </c>
      <c r="B1743">
        <f>'2020_5-2-2_Download'!$BH$5</f>
        <v>2011</v>
      </c>
      <c r="C1743" t="str">
        <f>VLOOKUP(A3147,[1]Tabelle1!$A$1:$B$68,2,FALSE)</f>
        <v>Niedersachsen</v>
      </c>
      <c r="D1743" t="str">
        <f>'2020_5-2-2_Download'!$BL$7</f>
        <v>mittel</v>
      </c>
      <c r="E1743" t="s">
        <v>362</v>
      </c>
      <c r="F1743" s="266" t="str">
        <f>VLOOKUP(A3147,[2]Kreise!$A$2:$C$53,3,FALSE)</f>
        <v>K030</v>
      </c>
      <c r="G1743">
        <f>'2020_5-2-2_Download'!BL35</f>
        <v>24.491017964071858</v>
      </c>
    </row>
    <row r="1744" spans="1:7">
      <c r="A1744">
        <f>'2020_5-2-2_Download'!B36</f>
        <v>356</v>
      </c>
      <c r="B1744">
        <f>'2020_5-2-2_Download'!$BH$5</f>
        <v>2011</v>
      </c>
      <c r="C1744" t="str">
        <f>VLOOKUP(A3148,[1]Tabelle1!$A$1:$B$68,2,FALSE)</f>
        <v>Niedersachsen</v>
      </c>
      <c r="D1744" t="str">
        <f>'2020_5-2-2_Download'!$BL$7</f>
        <v>mittel</v>
      </c>
      <c r="E1744" t="s">
        <v>362</v>
      </c>
      <c r="F1744" s="266" t="str">
        <f>VLOOKUP(A3148,[2]Kreise!$A$2:$C$53,3,FALSE)</f>
        <v>K030</v>
      </c>
      <c r="G1744">
        <f>'2020_5-2-2_Download'!BL36</f>
        <v>28.258064516129032</v>
      </c>
    </row>
    <row r="1745" spans="1:7">
      <c r="A1745">
        <f>'2020_5-2-2_Download'!B37</f>
        <v>357</v>
      </c>
      <c r="B1745">
        <f>'2020_5-2-2_Download'!$BH$5</f>
        <v>2011</v>
      </c>
      <c r="C1745" t="str">
        <f>VLOOKUP(A3149,[1]Tabelle1!$A$1:$B$68,2,FALSE)</f>
        <v>Niedersachsen</v>
      </c>
      <c r="D1745" t="str">
        <f>'2020_5-2-2_Download'!$BL$7</f>
        <v>mittel</v>
      </c>
      <c r="E1745" t="s">
        <v>362</v>
      </c>
      <c r="F1745" s="266" t="str">
        <f>VLOOKUP(A3149,[2]Kreise!$A$2:$C$53,3,FALSE)</f>
        <v>K030</v>
      </c>
      <c r="G1745">
        <f>'2020_5-2-2_Download'!BL37</f>
        <v>27.20946416144746</v>
      </c>
    </row>
    <row r="1746" spans="1:7">
      <c r="A1746">
        <f>'2020_5-2-2_Download'!B38</f>
        <v>358</v>
      </c>
      <c r="B1746">
        <f>'2020_5-2-2_Download'!$BH$5</f>
        <v>2011</v>
      </c>
      <c r="C1746" t="str">
        <f>VLOOKUP(A3150,[1]Tabelle1!$A$1:$B$68,2,FALSE)</f>
        <v>Niedersachsen</v>
      </c>
      <c r="D1746" t="str">
        <f>'2020_5-2-2_Download'!$BL$7</f>
        <v>mittel</v>
      </c>
      <c r="E1746" t="s">
        <v>362</v>
      </c>
      <c r="F1746" s="266" t="str">
        <f>VLOOKUP(A3150,[2]Kreise!$A$2:$C$53,3,FALSE)</f>
        <v>K030</v>
      </c>
      <c r="G1746">
        <f>'2020_5-2-2_Download'!BL38</f>
        <v>26.709154113557361</v>
      </c>
    </row>
    <row r="1747" spans="1:7">
      <c r="A1747">
        <f>'2020_5-2-2_Download'!B39</f>
        <v>359</v>
      </c>
      <c r="B1747">
        <f>'2020_5-2-2_Download'!$BH$5</f>
        <v>2011</v>
      </c>
      <c r="C1747" t="str">
        <f>VLOOKUP(A3151,[1]Tabelle1!$A$1:$B$68,2,FALSE)</f>
        <v>Niedersachsen</v>
      </c>
      <c r="D1747" t="str">
        <f>'2020_5-2-2_Download'!$BL$7</f>
        <v>mittel</v>
      </c>
      <c r="E1747" t="s">
        <v>362</v>
      </c>
      <c r="F1747" s="266" t="str">
        <f>VLOOKUP(A3151,[2]Kreise!$A$2:$C$53,3,FALSE)</f>
        <v>K030</v>
      </c>
      <c r="G1747">
        <f>'2020_5-2-2_Download'!BL39</f>
        <v>22.973684210526315</v>
      </c>
    </row>
    <row r="1748" spans="1:7">
      <c r="A1748">
        <f>'2020_5-2-2_Download'!B40</f>
        <v>360</v>
      </c>
      <c r="B1748">
        <f>'2020_5-2-2_Download'!$BH$5</f>
        <v>2011</v>
      </c>
      <c r="C1748" t="str">
        <f>VLOOKUP(A3152,[1]Tabelle1!$A$1:$B$68,2,FALSE)</f>
        <v>Niedersachsen</v>
      </c>
      <c r="D1748" t="str">
        <f>'2020_5-2-2_Download'!$BL$7</f>
        <v>mittel</v>
      </c>
      <c r="E1748" t="s">
        <v>362</v>
      </c>
      <c r="F1748" s="266" t="str">
        <f>VLOOKUP(A3152,[2]Kreise!$A$2:$C$53,3,FALSE)</f>
        <v>K030</v>
      </c>
      <c r="G1748">
        <f>'2020_5-2-2_Download'!BL40</f>
        <v>29.194630872483224</v>
      </c>
    </row>
    <row r="1749" spans="1:7">
      <c r="A1749">
        <f>'2020_5-2-2_Download'!B41</f>
        <v>361</v>
      </c>
      <c r="B1749">
        <f>'2020_5-2-2_Download'!$BH$5</f>
        <v>2011</v>
      </c>
      <c r="C1749" t="str">
        <f>VLOOKUP(A3153,[1]Tabelle1!$A$1:$B$68,2,FALSE)</f>
        <v>Niedersachsen</v>
      </c>
      <c r="D1749" t="str">
        <f>'2020_5-2-2_Download'!$BL$7</f>
        <v>mittel</v>
      </c>
      <c r="E1749" t="s">
        <v>362</v>
      </c>
      <c r="F1749" s="266" t="str">
        <f>VLOOKUP(A3153,[2]Kreise!$A$2:$C$53,3,FALSE)</f>
        <v>K030</v>
      </c>
      <c r="G1749">
        <f>'2020_5-2-2_Download'!BL41</f>
        <v>24.395265054040145</v>
      </c>
    </row>
    <row r="1750" spans="1:7">
      <c r="A1750">
        <f>'2020_5-2-2_Download'!B42</f>
        <v>3</v>
      </c>
      <c r="B1750">
        <f>'2020_5-2-2_Download'!$BH$5</f>
        <v>2011</v>
      </c>
      <c r="C1750" t="str">
        <f>VLOOKUP(A3154,[1]Tabelle1!$A$1:$B$68,2,FALSE)</f>
        <v>Niedersachsen</v>
      </c>
      <c r="D1750" t="str">
        <f>'2020_5-2-2_Download'!$BL$7</f>
        <v>mittel</v>
      </c>
      <c r="E1750" t="s">
        <v>362</v>
      </c>
      <c r="F1750" s="266" t="str">
        <f>VLOOKUP(A3154,[2]Kreise!$A$2:$C$53,3,FALSE)</f>
        <v>K030</v>
      </c>
      <c r="G1750">
        <f>'2020_5-2-2_Download'!BL42</f>
        <v>24.822695035460992</v>
      </c>
    </row>
    <row r="1751" spans="1:7">
      <c r="A1751">
        <f>'2020_5-2-2_Download'!B43</f>
        <v>401</v>
      </c>
      <c r="B1751">
        <f>'2020_5-2-2_Download'!$BH$5</f>
        <v>2011</v>
      </c>
      <c r="C1751" t="str">
        <f>VLOOKUP(A3155,[1]Tabelle1!$A$1:$B$68,2,FALSE)</f>
        <v>Niedersachsen</v>
      </c>
      <c r="D1751" t="str">
        <f>'2020_5-2-2_Download'!$BL$7</f>
        <v>mittel</v>
      </c>
      <c r="E1751" t="s">
        <v>362</v>
      </c>
      <c r="F1751" s="266" t="str">
        <f>VLOOKUP(A3155,[2]Kreise!$A$2:$C$53,3,FALSE)</f>
        <v>K030</v>
      </c>
      <c r="G1751">
        <f>'2020_5-2-2_Download'!BL43</f>
        <v>23.169398907103826</v>
      </c>
    </row>
    <row r="1752" spans="1:7">
      <c r="A1752">
        <f>'2020_5-2-2_Download'!B44</f>
        <v>402</v>
      </c>
      <c r="B1752">
        <f>'2020_5-2-2_Download'!$BH$5</f>
        <v>2011</v>
      </c>
      <c r="C1752" t="str">
        <f>VLOOKUP(A3156,[1]Tabelle1!$A$1:$B$68,2,FALSE)</f>
        <v>Niedersachsen</v>
      </c>
      <c r="D1752" t="str">
        <f>'2020_5-2-2_Download'!$BL$7</f>
        <v>mittel</v>
      </c>
      <c r="E1752" t="s">
        <v>362</v>
      </c>
      <c r="F1752" s="266" t="str">
        <f>VLOOKUP(A3156,[2]Kreise!$A$2:$C$53,3,FALSE)</f>
        <v>K030</v>
      </c>
      <c r="G1752">
        <f>'2020_5-2-2_Download'!BL44</f>
        <v>35.093509350935093</v>
      </c>
    </row>
    <row r="1753" spans="1:7">
      <c r="A1753">
        <f>'2020_5-2-2_Download'!B45</f>
        <v>403</v>
      </c>
      <c r="B1753">
        <f>'2020_5-2-2_Download'!$BH$5</f>
        <v>2011</v>
      </c>
      <c r="C1753" t="str">
        <f>VLOOKUP(A3157,[1]Tabelle1!$A$1:$B$68,2,FALSE)</f>
        <v>Niedersachsen</v>
      </c>
      <c r="D1753" t="str">
        <f>'2020_5-2-2_Download'!$BL$7</f>
        <v>mittel</v>
      </c>
      <c r="E1753" t="s">
        <v>362</v>
      </c>
      <c r="F1753" s="266" t="str">
        <f>VLOOKUP(A3157,[2]Kreise!$A$2:$C$53,3,FALSE)</f>
        <v>K030</v>
      </c>
      <c r="G1753">
        <f>'2020_5-2-2_Download'!BL45</f>
        <v>23.518930957683743</v>
      </c>
    </row>
    <row r="1754" spans="1:7">
      <c r="A1754">
        <f>'2020_5-2-2_Download'!B46</f>
        <v>404</v>
      </c>
      <c r="B1754">
        <f>'2020_5-2-2_Download'!$BH$5</f>
        <v>2011</v>
      </c>
      <c r="C1754" t="str">
        <f>VLOOKUP(A3158,[1]Tabelle1!$A$1:$B$68,2,FALSE)</f>
        <v>Niedersachsen</v>
      </c>
      <c r="D1754" t="str">
        <f>'2020_5-2-2_Download'!$BL$7</f>
        <v>mittel</v>
      </c>
      <c r="E1754" t="s">
        <v>362</v>
      </c>
      <c r="F1754" s="266" t="str">
        <f>VLOOKUP(A3158,[2]Kreise!$A$2:$C$53,3,FALSE)</f>
        <v>K030</v>
      </c>
      <c r="G1754">
        <f>'2020_5-2-2_Download'!BL46</f>
        <v>25.571197784444959</v>
      </c>
    </row>
    <row r="1755" spans="1:7">
      <c r="A1755">
        <f>'2020_5-2-2_Download'!B47</f>
        <v>405</v>
      </c>
      <c r="B1755">
        <f>'2020_5-2-2_Download'!$BH$5</f>
        <v>2011</v>
      </c>
      <c r="C1755" t="str">
        <f>VLOOKUP(A3159,[1]Tabelle1!$A$1:$B$68,2,FALSE)</f>
        <v>Niedersachsen</v>
      </c>
      <c r="D1755" t="str">
        <f>'2020_5-2-2_Download'!$BL$7</f>
        <v>mittel</v>
      </c>
      <c r="E1755" t="s">
        <v>362</v>
      </c>
      <c r="F1755" s="266" t="str">
        <f>VLOOKUP(A3159,[2]Kreise!$A$2:$C$53,3,FALSE)</f>
        <v>K030</v>
      </c>
      <c r="G1755">
        <f>'2020_5-2-2_Download'!BL47</f>
        <v>27.831715210355988</v>
      </c>
    </row>
    <row r="1756" spans="1:7">
      <c r="A1756">
        <f>'2020_5-2-2_Download'!B48</f>
        <v>451</v>
      </c>
      <c r="B1756">
        <f>'2020_5-2-2_Download'!$BH$5</f>
        <v>2011</v>
      </c>
      <c r="C1756" t="str">
        <f>VLOOKUP(A3160,[1]Tabelle1!$A$1:$B$68,2,FALSE)</f>
        <v>Niedersachsen</v>
      </c>
      <c r="D1756" t="str">
        <f>'2020_5-2-2_Download'!$BL$7</f>
        <v>mittel</v>
      </c>
      <c r="E1756" t="s">
        <v>362</v>
      </c>
      <c r="F1756" s="266" t="str">
        <f>VLOOKUP(A3160,[2]Kreise!$A$2:$C$53,3,FALSE)</f>
        <v>K030</v>
      </c>
      <c r="G1756">
        <f>'2020_5-2-2_Download'!BL48</f>
        <v>21.199727334696661</v>
      </c>
    </row>
    <row r="1757" spans="1:7">
      <c r="A1757">
        <f>'2020_5-2-2_Download'!B49</f>
        <v>452</v>
      </c>
      <c r="B1757">
        <f>'2020_5-2-2_Download'!$BH$5</f>
        <v>2011</v>
      </c>
      <c r="C1757" t="str">
        <f>VLOOKUP(A3161,[1]Tabelle1!$A$1:$B$68,2,FALSE)</f>
        <v>Niedersachsen</v>
      </c>
      <c r="D1757" t="str">
        <f>'2020_5-2-2_Download'!$BL$7</f>
        <v>mittel</v>
      </c>
      <c r="E1757" t="s">
        <v>362</v>
      </c>
      <c r="F1757" s="266" t="str">
        <f>VLOOKUP(A3161,[2]Kreise!$A$2:$C$53,3,FALSE)</f>
        <v>K030</v>
      </c>
      <c r="G1757">
        <f>'2020_5-2-2_Download'!BL49</f>
        <v>23.209549071618039</v>
      </c>
    </row>
    <row r="1758" spans="1:7">
      <c r="A1758">
        <f>'2020_5-2-2_Download'!B50</f>
        <v>453</v>
      </c>
      <c r="B1758">
        <f>'2020_5-2-2_Download'!$BH$5</f>
        <v>2011</v>
      </c>
      <c r="C1758" t="str">
        <f>VLOOKUP(A3162,[1]Tabelle1!$A$1:$B$68,2,FALSE)</f>
        <v>Niedersachsen</v>
      </c>
      <c r="D1758" t="str">
        <f>'2020_5-2-2_Download'!$BL$7</f>
        <v>mittel</v>
      </c>
      <c r="E1758" t="s">
        <v>362</v>
      </c>
      <c r="F1758" s="266" t="str">
        <f>VLOOKUP(A3162,[2]Kreise!$A$2:$C$53,3,FALSE)</f>
        <v>K030</v>
      </c>
      <c r="G1758">
        <f>'2020_5-2-2_Download'!BL50</f>
        <v>16.572291430728576</v>
      </c>
    </row>
    <row r="1759" spans="1:7">
      <c r="A1759">
        <f>'2020_5-2-2_Download'!B51</f>
        <v>454</v>
      </c>
      <c r="B1759">
        <f>'2020_5-2-2_Download'!$BH$5</f>
        <v>2011</v>
      </c>
      <c r="C1759" t="str">
        <f>VLOOKUP(A3163,[1]Tabelle1!$A$1:$B$68,2,FALSE)</f>
        <v>Niedersachsen</v>
      </c>
      <c r="D1759" t="str">
        <f>'2020_5-2-2_Download'!$BL$7</f>
        <v>mittel</v>
      </c>
      <c r="E1759" t="s">
        <v>362</v>
      </c>
      <c r="F1759" s="266" t="str">
        <f>VLOOKUP(A3163,[2]Kreise!$A$2:$C$53,3,FALSE)</f>
        <v>K030</v>
      </c>
      <c r="G1759">
        <f>'2020_5-2-2_Download'!BL51</f>
        <v>35.376134889753565</v>
      </c>
    </row>
    <row r="1760" spans="1:7">
      <c r="A1760">
        <f>'2020_5-2-2_Download'!B52</f>
        <v>455</v>
      </c>
      <c r="B1760">
        <f>'2020_5-2-2_Download'!$BH$5</f>
        <v>2011</v>
      </c>
      <c r="C1760" t="str">
        <f>VLOOKUP(A3164,[1]Tabelle1!$A$1:$B$68,2,FALSE)</f>
        <v>Niedersachsen</v>
      </c>
      <c r="D1760" t="str">
        <f>'2020_5-2-2_Download'!$BL$7</f>
        <v>mittel</v>
      </c>
      <c r="E1760" t="s">
        <v>362</v>
      </c>
      <c r="F1760" s="266" t="str">
        <f>VLOOKUP(A3164,[2]Kreise!$A$2:$C$53,3,FALSE)</f>
        <v>K030</v>
      </c>
      <c r="G1760">
        <f>'2020_5-2-2_Download'!BL52</f>
        <v>29.963235294117645</v>
      </c>
    </row>
    <row r="1761" spans="1:7">
      <c r="A1761">
        <f>'2020_5-2-2_Download'!B53</f>
        <v>456</v>
      </c>
      <c r="B1761">
        <f>'2020_5-2-2_Download'!$BH$5</f>
        <v>2011</v>
      </c>
      <c r="C1761" t="str">
        <f>VLOOKUP(A3165,[1]Tabelle1!$A$1:$B$68,2,FALSE)</f>
        <v>Niedersachsen</v>
      </c>
      <c r="D1761" t="str">
        <f>'2020_5-2-2_Download'!$BL$7</f>
        <v>mittel</v>
      </c>
      <c r="E1761" t="s">
        <v>362</v>
      </c>
      <c r="F1761" s="266" t="str">
        <f>VLOOKUP(A3165,[2]Kreise!$A$2:$C$53,3,FALSE)</f>
        <v>K030</v>
      </c>
      <c r="G1761">
        <f>'2020_5-2-2_Download'!BL53</f>
        <v>36.48716658278812</v>
      </c>
    </row>
    <row r="1762" spans="1:7">
      <c r="A1762">
        <f>'2020_5-2-2_Download'!B54</f>
        <v>457</v>
      </c>
      <c r="B1762">
        <f>'2020_5-2-2_Download'!$BH$5</f>
        <v>2011</v>
      </c>
      <c r="C1762" t="str">
        <f>VLOOKUP(A3166,[1]Tabelle1!$A$1:$B$68,2,FALSE)</f>
        <v>Niedersachsen</v>
      </c>
      <c r="D1762" t="str">
        <f>'2020_5-2-2_Download'!$BL$7</f>
        <v>mittel</v>
      </c>
      <c r="E1762" t="s">
        <v>362</v>
      </c>
      <c r="F1762" s="266" t="str">
        <f>VLOOKUP(A3166,[2]Kreise!$A$2:$C$53,3,FALSE)</f>
        <v>K030</v>
      </c>
      <c r="G1762">
        <f>'2020_5-2-2_Download'!BL54</f>
        <v>22.381262199089136</v>
      </c>
    </row>
    <row r="1763" spans="1:7">
      <c r="A1763">
        <f>'2020_5-2-2_Download'!B55</f>
        <v>458</v>
      </c>
      <c r="B1763">
        <f>'2020_5-2-2_Download'!$BH$5</f>
        <v>2011</v>
      </c>
      <c r="C1763" t="str">
        <f>VLOOKUP(A3167,[1]Tabelle1!$A$1:$B$68,2,FALSE)</f>
        <v>Niedersachsen</v>
      </c>
      <c r="D1763" t="str">
        <f>'2020_5-2-2_Download'!$BL$7</f>
        <v>mittel</v>
      </c>
      <c r="E1763" t="s">
        <v>362</v>
      </c>
      <c r="F1763" s="266" t="str">
        <f>VLOOKUP(A3167,[2]Kreise!$A$2:$C$53,3,FALSE)</f>
        <v>K030</v>
      </c>
      <c r="G1763">
        <f>'2020_5-2-2_Download'!BL55</f>
        <v>18.367346938775512</v>
      </c>
    </row>
    <row r="1764" spans="1:7">
      <c r="A1764">
        <f>'2020_5-2-2_Download'!B56</f>
        <v>459</v>
      </c>
      <c r="B1764">
        <f>'2020_5-2-2_Download'!$BH$5</f>
        <v>2011</v>
      </c>
      <c r="C1764" t="str">
        <f>VLOOKUP(A3168,[1]Tabelle1!$A$1:$B$68,2,FALSE)</f>
        <v>Niedersachsen</v>
      </c>
      <c r="D1764" t="str">
        <f>'2020_5-2-2_Download'!$BL$7</f>
        <v>mittel</v>
      </c>
      <c r="E1764" t="s">
        <v>362</v>
      </c>
      <c r="F1764" s="266" t="str">
        <f>VLOOKUP(A3168,[2]Kreise!$A$2:$C$53,3,FALSE)</f>
        <v>K030</v>
      </c>
      <c r="G1764">
        <f>'2020_5-2-2_Download'!BL56</f>
        <v>18.664979436887062</v>
      </c>
    </row>
    <row r="1765" spans="1:7">
      <c r="A1765">
        <f>'2020_5-2-2_Download'!B57</f>
        <v>460</v>
      </c>
      <c r="B1765">
        <f>'2020_5-2-2_Download'!$BH$5</f>
        <v>2011</v>
      </c>
      <c r="C1765" t="str">
        <f>VLOOKUP(A3169,[1]Tabelle1!$A$1:$B$68,2,FALSE)</f>
        <v>Niedersachsen</v>
      </c>
      <c r="D1765" t="str">
        <f>'2020_5-2-2_Download'!$BL$7</f>
        <v>mittel</v>
      </c>
      <c r="E1765" t="s">
        <v>362</v>
      </c>
      <c r="F1765" s="266" t="str">
        <f>VLOOKUP(A3169,[2]Kreise!$A$2:$C$53,3,FALSE)</f>
        <v>K030</v>
      </c>
      <c r="G1765">
        <f>'2020_5-2-2_Download'!BL57</f>
        <v>10.203657522859517</v>
      </c>
    </row>
    <row r="1766" spans="1:7">
      <c r="A1766">
        <f>'2020_5-2-2_Download'!B58</f>
        <v>461</v>
      </c>
      <c r="B1766">
        <f>'2020_5-2-2_Download'!$BH$5</f>
        <v>2011</v>
      </c>
      <c r="C1766" t="str">
        <f>VLOOKUP(A3170,[1]Tabelle1!$A$1:$B$68,2,FALSE)</f>
        <v>Niedersachsen</v>
      </c>
      <c r="D1766" t="str">
        <f>'2020_5-2-2_Download'!$BL$7</f>
        <v>mittel</v>
      </c>
      <c r="E1766" t="s">
        <v>362</v>
      </c>
      <c r="F1766" s="266" t="str">
        <f>VLOOKUP(A3170,[2]Kreise!$A$2:$C$53,3,FALSE)</f>
        <v>K030</v>
      </c>
      <c r="G1766">
        <f>'2020_5-2-2_Download'!BL58</f>
        <v>40.064446831364123</v>
      </c>
    </row>
    <row r="1767" spans="1:7">
      <c r="A1767">
        <f>'2020_5-2-2_Download'!B59</f>
        <v>462</v>
      </c>
      <c r="B1767">
        <f>'2020_5-2-2_Download'!$BH$5</f>
        <v>2011</v>
      </c>
      <c r="C1767" t="str">
        <f>VLOOKUP(A3171,[1]Tabelle1!$A$1:$B$68,2,FALSE)</f>
        <v>Niedersachsen</v>
      </c>
      <c r="D1767" t="str">
        <f>'2020_5-2-2_Download'!$BL$7</f>
        <v>mittel</v>
      </c>
      <c r="E1767" t="s">
        <v>362</v>
      </c>
      <c r="F1767" s="266" t="str">
        <f>VLOOKUP(A3171,[2]Kreise!$A$2:$C$53,3,FALSE)</f>
        <v>K030</v>
      </c>
      <c r="G1767">
        <f>'2020_5-2-2_Download'!BL59</f>
        <v>17.480719794344473</v>
      </c>
    </row>
    <row r="1768" spans="1:7">
      <c r="A1768">
        <f>'2020_5-2-2_Download'!B60</f>
        <v>4</v>
      </c>
      <c r="B1768">
        <f>'2020_5-2-2_Download'!$BH$5</f>
        <v>2011</v>
      </c>
      <c r="C1768" t="str">
        <f>VLOOKUP(A3172,[1]Tabelle1!$A$1:$B$68,2,FALSE)</f>
        <v>Niedersachsen</v>
      </c>
      <c r="D1768" t="str">
        <f>'2020_5-2-2_Download'!$BL$7</f>
        <v>mittel</v>
      </c>
      <c r="E1768" t="s">
        <v>362</v>
      </c>
      <c r="F1768" s="266" t="str">
        <f>VLOOKUP(A3172,[2]Kreise!$A$2:$C$53,3,FALSE)</f>
        <v>K030</v>
      </c>
      <c r="G1768">
        <f>'2020_5-2-2_Download'!BL60</f>
        <v>22.811745550502501</v>
      </c>
    </row>
    <row r="1769" spans="1:7">
      <c r="A1769">
        <f>'2020_5-2-2_Download'!B61</f>
        <v>0</v>
      </c>
      <c r="B1769">
        <f>'2020_5-2-2_Download'!$BH$5</f>
        <v>2011</v>
      </c>
      <c r="C1769" t="str">
        <f>VLOOKUP(A3173,[1]Tabelle1!$A$1:$B$68,2,FALSE)</f>
        <v>Niedersachsen</v>
      </c>
      <c r="D1769" t="str">
        <f>'2020_5-2-2_Download'!$BL$7</f>
        <v>mittel</v>
      </c>
      <c r="E1769" t="s">
        <v>362</v>
      </c>
      <c r="F1769" s="266" t="str">
        <f>VLOOKUP(A3173,[2]Kreise!$A$2:$C$53,3,FALSE)</f>
        <v>K030</v>
      </c>
      <c r="G1769">
        <f>'2020_5-2-2_Download'!BL61</f>
        <v>27.390379730076376</v>
      </c>
    </row>
    <row r="1770" spans="1:7">
      <c r="A1770">
        <f>'2020_5-2-2_Download'!B10</f>
        <v>101</v>
      </c>
      <c r="B1770">
        <f>'2020_5-2-2_Download'!$BH$5</f>
        <v>2011</v>
      </c>
      <c r="C1770" t="str">
        <f>VLOOKUP(A3174,[1]Tabelle1!$A$1:$B$68,2,FALSE)</f>
        <v>Niedersachsen</v>
      </c>
      <c r="D1770" t="str">
        <f>'2020_5-2-2_Download'!$BM$7</f>
        <v>niedrig</v>
      </c>
      <c r="E1770" t="s">
        <v>362</v>
      </c>
      <c r="F1770" s="266" t="str">
        <f>VLOOKUP(A3174,[2]Kreise!$A$2:$C$53,3,FALSE)</f>
        <v>K030</v>
      </c>
      <c r="G1770">
        <f>'2020_5-2-2_Download'!BM10</f>
        <v>20.465299684542586</v>
      </c>
    </row>
    <row r="1771" spans="1:7">
      <c r="A1771">
        <f>'2020_5-2-2_Download'!B11</f>
        <v>102</v>
      </c>
      <c r="B1771">
        <f>'2020_5-2-2_Download'!$BH$5</f>
        <v>2011</v>
      </c>
      <c r="C1771" t="str">
        <f>VLOOKUP(A3175,[1]Tabelle1!$A$1:$B$68,2,FALSE)</f>
        <v>Niedersachsen</v>
      </c>
      <c r="D1771" t="str">
        <f>'2020_5-2-2_Download'!$BM$7</f>
        <v>niedrig</v>
      </c>
      <c r="E1771" t="s">
        <v>362</v>
      </c>
      <c r="F1771" s="266" t="str">
        <f>VLOOKUP(A3175,[2]Kreise!$A$2:$C$53,3,FALSE)</f>
        <v>K030</v>
      </c>
      <c r="G1771">
        <f>'2020_5-2-2_Download'!BM11</f>
        <v>33.668702838663314</v>
      </c>
    </row>
    <row r="1772" spans="1:7">
      <c r="A1772">
        <f>'2020_5-2-2_Download'!B12</f>
        <v>103</v>
      </c>
      <c r="B1772">
        <f>'2020_5-2-2_Download'!$BH$5</f>
        <v>2011</v>
      </c>
      <c r="C1772" t="str">
        <f>VLOOKUP(A3176,[1]Tabelle1!$A$1:$B$68,2,FALSE)</f>
        <v>Niedersachsen</v>
      </c>
      <c r="D1772" t="str">
        <f>'2020_5-2-2_Download'!$BM$7</f>
        <v>niedrig</v>
      </c>
      <c r="E1772" t="s">
        <v>362</v>
      </c>
      <c r="F1772" s="266" t="str">
        <f>VLOOKUP(A3176,[2]Kreise!$A$2:$C$53,3,FALSE)</f>
        <v>K030</v>
      </c>
      <c r="G1772">
        <f>'2020_5-2-2_Download'!BM12</f>
        <v>12.973057156206199</v>
      </c>
    </row>
    <row r="1773" spans="1:7">
      <c r="A1773">
        <f>'2020_5-2-2_Download'!B13</f>
        <v>151</v>
      </c>
      <c r="B1773">
        <f>'2020_5-2-2_Download'!$BH$5</f>
        <v>2011</v>
      </c>
      <c r="C1773" t="str">
        <f>VLOOKUP(A3177,[1]Tabelle1!$A$1:$B$68,2,FALSE)</f>
        <v>Niedersachsen</v>
      </c>
      <c r="D1773" t="str">
        <f>'2020_5-2-2_Download'!$BM$7</f>
        <v>niedrig</v>
      </c>
      <c r="E1773" t="s">
        <v>362</v>
      </c>
      <c r="F1773" s="266" t="str">
        <f>VLOOKUP(A3177,[2]Kreise!$A$2:$C$53,3,FALSE)</f>
        <v>K030</v>
      </c>
      <c r="G1773">
        <f>'2020_5-2-2_Download'!BM13</f>
        <v>32.845647403072419</v>
      </c>
    </row>
    <row r="1774" spans="1:7">
      <c r="A1774">
        <f>'2020_5-2-2_Download'!B14</f>
        <v>153</v>
      </c>
      <c r="B1774">
        <f>'2020_5-2-2_Download'!$BH$5</f>
        <v>2011</v>
      </c>
      <c r="C1774" t="str">
        <f>VLOOKUP(A3178,[1]Tabelle1!$A$1:$B$68,2,FALSE)</f>
        <v>Niedersachsen</v>
      </c>
      <c r="D1774" t="str">
        <f>'2020_5-2-2_Download'!$BM$7</f>
        <v>niedrig</v>
      </c>
      <c r="E1774" t="s">
        <v>362</v>
      </c>
      <c r="F1774" s="266" t="str">
        <f>VLOOKUP(A3178,[2]Kreise!$A$2:$C$53,3,FALSE)</f>
        <v>K030</v>
      </c>
      <c r="G1774">
        <f>'2020_5-2-2_Download'!BM14</f>
        <v>19.274537695590325</v>
      </c>
    </row>
    <row r="1775" spans="1:7">
      <c r="A1775">
        <f>'2020_5-2-2_Download'!B15</f>
        <v>154</v>
      </c>
      <c r="B1775">
        <f>'2020_5-2-2_Download'!$BH$5</f>
        <v>2011</v>
      </c>
      <c r="C1775" t="str">
        <f>VLOOKUP(A3179,[1]Tabelle1!$A$1:$B$68,2,FALSE)</f>
        <v>Niedersachsen</v>
      </c>
      <c r="D1775" t="str">
        <f>'2020_5-2-2_Download'!$BM$7</f>
        <v>niedrig</v>
      </c>
      <c r="E1775" t="s">
        <v>362</v>
      </c>
      <c r="F1775" s="266" t="str">
        <f>VLOOKUP(A3179,[2]Kreise!$A$2:$C$53,3,FALSE)</f>
        <v>K030</v>
      </c>
      <c r="G1775">
        <f>'2020_5-2-2_Download'!BM15</f>
        <v>33.299999999999997</v>
      </c>
    </row>
    <row r="1776" spans="1:7">
      <c r="A1776">
        <f>'2020_5-2-2_Download'!B16</f>
        <v>155</v>
      </c>
      <c r="B1776">
        <f>'2020_5-2-2_Download'!$BH$5</f>
        <v>2011</v>
      </c>
      <c r="C1776" t="str">
        <f>VLOOKUP(A3180,[1]Tabelle1!$A$1:$B$68,2,FALSE)</f>
        <v>Niedersachsen</v>
      </c>
      <c r="D1776" t="str">
        <f>'2020_5-2-2_Download'!$BM$7</f>
        <v>niedrig</v>
      </c>
      <c r="E1776" t="s">
        <v>362</v>
      </c>
      <c r="F1776" s="266" t="str">
        <f>VLOOKUP(A3180,[2]Kreise!$A$2:$C$53,3,FALSE)</f>
        <v>K030</v>
      </c>
      <c r="G1776">
        <f>'2020_5-2-2_Download'!BM16</f>
        <v>24.954627949183301</v>
      </c>
    </row>
    <row r="1777" spans="1:7">
      <c r="A1777">
        <f>'2020_5-2-2_Download'!B17</f>
        <v>157</v>
      </c>
      <c r="B1777">
        <f>'2020_5-2-2_Download'!$BH$5</f>
        <v>2011</v>
      </c>
      <c r="C1777" t="str">
        <f>VLOOKUP(A3181,[1]Tabelle1!$A$1:$B$68,2,FALSE)</f>
        <v>Niedersachsen</v>
      </c>
      <c r="D1777" t="str">
        <f>'2020_5-2-2_Download'!$BM$7</f>
        <v>niedrig</v>
      </c>
      <c r="E1777" t="s">
        <v>362</v>
      </c>
      <c r="F1777" s="266" t="str">
        <f>VLOOKUP(A3181,[2]Kreise!$A$2:$C$53,3,FALSE)</f>
        <v>K030</v>
      </c>
      <c r="G1777">
        <f>'2020_5-2-2_Download'!BM17</f>
        <v>29.280821917808218</v>
      </c>
    </row>
    <row r="1778" spans="1:7">
      <c r="A1778">
        <f>'2020_5-2-2_Download'!B18</f>
        <v>158</v>
      </c>
      <c r="B1778">
        <f>'2020_5-2-2_Download'!$BH$5</f>
        <v>2011</v>
      </c>
      <c r="C1778" t="str">
        <f>VLOOKUP(A3182,[1]Tabelle1!$A$1:$B$68,2,FALSE)</f>
        <v>Niedersachsen</v>
      </c>
      <c r="D1778" t="str">
        <f>'2020_5-2-2_Download'!$BM$7</f>
        <v>niedrig</v>
      </c>
      <c r="E1778" t="s">
        <v>362</v>
      </c>
      <c r="F1778" s="266" t="str">
        <f>VLOOKUP(A3182,[2]Kreise!$A$2:$C$53,3,FALSE)</f>
        <v>K030</v>
      </c>
      <c r="G1778">
        <f>'2020_5-2-2_Download'!BM18</f>
        <v>20.68345323741007</v>
      </c>
    </row>
    <row r="1779" spans="1:7">
      <c r="A1779">
        <f>'2020_5-2-2_Download'!B19</f>
        <v>159</v>
      </c>
      <c r="B1779">
        <f>'2020_5-2-2_Download'!$BH$5</f>
        <v>2011</v>
      </c>
      <c r="C1779" t="str">
        <f>VLOOKUP(A3183,[1]Tabelle1!$A$1:$B$68,2,FALSE)</f>
        <v>Niedersachsen</v>
      </c>
      <c r="D1779" t="str">
        <f>'2020_5-2-2_Download'!$BM$7</f>
        <v>niedrig</v>
      </c>
      <c r="E1779" t="s">
        <v>362</v>
      </c>
      <c r="F1779" s="266" t="str">
        <f>VLOOKUP(A3183,[2]Kreise!$A$2:$C$53,3,FALSE)</f>
        <v>K030</v>
      </c>
      <c r="G1779">
        <f>'2020_5-2-2_Download'!BM19</f>
        <v>10.352233676975946</v>
      </c>
    </row>
    <row r="1780" spans="1:7">
      <c r="A1780">
        <f>'2020_5-2-2_Download'!B20</f>
        <v>1</v>
      </c>
      <c r="B1780">
        <f>'2020_5-2-2_Download'!$BH$5</f>
        <v>2011</v>
      </c>
      <c r="C1780" t="str">
        <f>VLOOKUP(A3184,[1]Tabelle1!$A$1:$B$68,2,FALSE)</f>
        <v>Niedersachsen</v>
      </c>
      <c r="D1780" t="str">
        <f>'2020_5-2-2_Download'!$BM$7</f>
        <v>niedrig</v>
      </c>
      <c r="E1780" t="s">
        <v>362</v>
      </c>
      <c r="F1780" s="266" t="str">
        <f>VLOOKUP(A3184,[2]Kreise!$A$2:$C$53,3,FALSE)</f>
        <v>K030</v>
      </c>
      <c r="G1780">
        <f>'2020_5-2-2_Download'!BM20</f>
        <v>21.932863457173575</v>
      </c>
    </row>
    <row r="1781" spans="1:7">
      <c r="A1781">
        <f>'2020_5-2-2_Download'!B21</f>
        <v>241</v>
      </c>
      <c r="B1781">
        <f>'2020_5-2-2_Download'!$BH$5</f>
        <v>2011</v>
      </c>
      <c r="C1781" t="str">
        <f>VLOOKUP(A3185,[1]Tabelle1!$A$1:$B$68,2,FALSE)</f>
        <v>Niedersachsen</v>
      </c>
      <c r="D1781" t="str">
        <f>'2020_5-2-2_Download'!$BM$7</f>
        <v>niedrig</v>
      </c>
      <c r="E1781" t="s">
        <v>362</v>
      </c>
      <c r="F1781" s="266" t="str">
        <f>VLOOKUP(A3185,[2]Kreise!$A$2:$C$53,3,FALSE)</f>
        <v>K030</v>
      </c>
      <c r="G1781">
        <f>'2020_5-2-2_Download'!BM21</f>
        <v>22.356845938194823</v>
      </c>
    </row>
    <row r="1782" spans="1:7">
      <c r="A1782">
        <f>'2020_5-2-2_Download'!B22</f>
        <v>241001</v>
      </c>
      <c r="B1782">
        <f>'2020_5-2-2_Download'!$BH$5</f>
        <v>2011</v>
      </c>
      <c r="C1782" t="str">
        <f>VLOOKUP(A3186,[1]Tabelle1!$A$1:$B$68,2,FALSE)</f>
        <v>Niedersachsen</v>
      </c>
      <c r="D1782" t="str">
        <f>'2020_5-2-2_Download'!$BM$7</f>
        <v>niedrig</v>
      </c>
      <c r="E1782" t="s">
        <v>362</v>
      </c>
      <c r="F1782" s="266" t="str">
        <f>VLOOKUP(A3186,[2]Kreise!$A$2:$C$53,3,FALSE)</f>
        <v>K030</v>
      </c>
      <c r="G1782">
        <f>'2020_5-2-2_Download'!BM22</f>
        <v>23.129935391241922</v>
      </c>
    </row>
    <row r="1783" spans="1:7">
      <c r="A1783">
        <f>'2020_5-2-2_Download'!B23</f>
        <v>241999</v>
      </c>
      <c r="B1783">
        <f>'2020_5-2-2_Download'!$BH$5</f>
        <v>2011</v>
      </c>
      <c r="C1783" t="str">
        <f>VLOOKUP(A3187,[1]Tabelle1!$A$1:$B$68,2,FALSE)</f>
        <v>Niedersachsen</v>
      </c>
      <c r="D1783" t="str">
        <f>'2020_5-2-2_Download'!$BM$7</f>
        <v>niedrig</v>
      </c>
      <c r="E1783" t="s">
        <v>362</v>
      </c>
      <c r="F1783" s="266" t="str">
        <f>VLOOKUP(A3187,[2]Kreise!$A$2:$C$53,3,FALSE)</f>
        <v>K030</v>
      </c>
      <c r="G1783">
        <f>'2020_5-2-2_Download'!BM23</f>
        <v>20.763464194121127</v>
      </c>
    </row>
    <row r="1784" spans="1:7">
      <c r="A1784">
        <f>'2020_5-2-2_Download'!B24</f>
        <v>251</v>
      </c>
      <c r="B1784">
        <f>'2020_5-2-2_Download'!$BH$5</f>
        <v>2011</v>
      </c>
      <c r="C1784" t="str">
        <f>VLOOKUP(A3188,[1]Tabelle1!$A$1:$B$68,2,FALSE)</f>
        <v>Niedersachsen</v>
      </c>
      <c r="D1784" t="str">
        <f>'2020_5-2-2_Download'!$BM$7</f>
        <v>niedrig</v>
      </c>
      <c r="E1784" t="s">
        <v>362</v>
      </c>
      <c r="F1784" s="266" t="str">
        <f>VLOOKUP(A3188,[2]Kreise!$A$2:$C$53,3,FALSE)</f>
        <v>K030</v>
      </c>
      <c r="G1784">
        <f>'2020_5-2-2_Download'!BM24</f>
        <v>19.183472700442692</v>
      </c>
    </row>
    <row r="1785" spans="1:7">
      <c r="A1785">
        <f>'2020_5-2-2_Download'!B25</f>
        <v>252</v>
      </c>
      <c r="B1785">
        <f>'2020_5-2-2_Download'!$BH$5</f>
        <v>2011</v>
      </c>
      <c r="C1785" t="str">
        <f>VLOOKUP(A3189,[1]Tabelle1!$A$1:$B$68,2,FALSE)</f>
        <v>Niedersachsen</v>
      </c>
      <c r="D1785" t="str">
        <f>'2020_5-2-2_Download'!$BM$7</f>
        <v>niedrig</v>
      </c>
      <c r="E1785" t="s">
        <v>362</v>
      </c>
      <c r="F1785" s="266" t="str">
        <f>VLOOKUP(A3189,[2]Kreise!$A$2:$C$53,3,FALSE)</f>
        <v>K030</v>
      </c>
      <c r="G1785">
        <f>'2020_5-2-2_Download'!BM25</f>
        <v>30.113895216400909</v>
      </c>
    </row>
    <row r="1786" spans="1:7">
      <c r="A1786">
        <f>'2020_5-2-2_Download'!B26</f>
        <v>254</v>
      </c>
      <c r="B1786">
        <f>'2020_5-2-2_Download'!$BH$5</f>
        <v>2011</v>
      </c>
      <c r="C1786" t="str">
        <f>VLOOKUP(A3190,[1]Tabelle1!$A$1:$B$68,2,FALSE)</f>
        <v>Niedersachsen</v>
      </c>
      <c r="D1786" t="str">
        <f>'2020_5-2-2_Download'!$BM$7</f>
        <v>niedrig</v>
      </c>
      <c r="E1786" t="s">
        <v>362</v>
      </c>
      <c r="F1786" s="266" t="str">
        <f>VLOOKUP(A3190,[2]Kreise!$A$2:$C$53,3,FALSE)</f>
        <v>K030</v>
      </c>
      <c r="G1786">
        <f>'2020_5-2-2_Download'!BM26</f>
        <v>24.503764544832308</v>
      </c>
    </row>
    <row r="1787" spans="1:7">
      <c r="A1787">
        <f>'2020_5-2-2_Download'!B27</f>
        <v>255</v>
      </c>
      <c r="B1787">
        <f>'2020_5-2-2_Download'!$BH$5</f>
        <v>2011</v>
      </c>
      <c r="C1787" t="str">
        <f>VLOOKUP(A3191,[1]Tabelle1!$A$1:$B$68,2,FALSE)</f>
        <v>Niedersachsen</v>
      </c>
      <c r="D1787" t="str">
        <f>'2020_5-2-2_Download'!$BM$7</f>
        <v>niedrig</v>
      </c>
      <c r="E1787" t="s">
        <v>362</v>
      </c>
      <c r="F1787" s="266" t="str">
        <f>VLOOKUP(A3191,[2]Kreise!$A$2:$C$53,3,FALSE)</f>
        <v>K030</v>
      </c>
      <c r="G1787">
        <f>'2020_5-2-2_Download'!BM27</f>
        <v>36.779911373707534</v>
      </c>
    </row>
    <row r="1788" spans="1:7">
      <c r="A1788">
        <f>'2020_5-2-2_Download'!B28</f>
        <v>256</v>
      </c>
      <c r="B1788">
        <f>'2020_5-2-2_Download'!$BH$5</f>
        <v>2011</v>
      </c>
      <c r="C1788" t="str">
        <f>VLOOKUP(A3192,[1]Tabelle1!$A$1:$B$68,2,FALSE)</f>
        <v>Niedersachsen</v>
      </c>
      <c r="D1788" t="str">
        <f>'2020_5-2-2_Download'!$BM$7</f>
        <v>niedrig</v>
      </c>
      <c r="E1788" t="s">
        <v>362</v>
      </c>
      <c r="F1788" s="266" t="str">
        <f>VLOOKUP(A3192,[2]Kreise!$A$2:$C$53,3,FALSE)</f>
        <v>K030</v>
      </c>
      <c r="G1788">
        <f>'2020_5-2-2_Download'!BM28</f>
        <v>30.200803212851408</v>
      </c>
    </row>
    <row r="1789" spans="1:7">
      <c r="A1789">
        <f>'2020_5-2-2_Download'!B29</f>
        <v>257</v>
      </c>
      <c r="B1789">
        <f>'2020_5-2-2_Download'!$BH$5</f>
        <v>2011</v>
      </c>
      <c r="C1789" t="str">
        <f>VLOOKUP(A3193,[1]Tabelle1!$A$1:$B$68,2,FALSE)</f>
        <v>Niedersachsen</v>
      </c>
      <c r="D1789" t="str">
        <f>'2020_5-2-2_Download'!$BM$7</f>
        <v>niedrig</v>
      </c>
      <c r="E1789" t="s">
        <v>362</v>
      </c>
      <c r="F1789" s="266" t="str">
        <f>VLOOKUP(A3193,[2]Kreise!$A$2:$C$53,3,FALSE)</f>
        <v>K030</v>
      </c>
      <c r="G1789">
        <f>'2020_5-2-2_Download'!BM29</f>
        <v>30.754226267880362</v>
      </c>
    </row>
    <row r="1790" spans="1:7">
      <c r="A1790">
        <f>'2020_5-2-2_Download'!B30</f>
        <v>2</v>
      </c>
      <c r="B1790">
        <f>'2020_5-2-2_Download'!$BH$5</f>
        <v>2011</v>
      </c>
      <c r="C1790" t="str">
        <f>VLOOKUP(A3194,[1]Tabelle1!$A$1:$B$68,2,FALSE)</f>
        <v>Niedersachsen</v>
      </c>
      <c r="D1790" t="str">
        <f>'2020_5-2-2_Download'!$BM$7</f>
        <v>niedrig</v>
      </c>
      <c r="E1790" t="s">
        <v>362</v>
      </c>
      <c r="F1790" s="266" t="str">
        <f>VLOOKUP(A3194,[2]Kreise!$A$2:$C$53,3,FALSE)</f>
        <v>K030</v>
      </c>
      <c r="G1790">
        <f>'2020_5-2-2_Download'!BM30</f>
        <v>23.540571044353193</v>
      </c>
    </row>
    <row r="1791" spans="1:7">
      <c r="A1791">
        <f>'2020_5-2-2_Download'!B31</f>
        <v>351</v>
      </c>
      <c r="B1791">
        <f>'2020_5-2-2_Download'!$BH$5</f>
        <v>2011</v>
      </c>
      <c r="C1791" t="str">
        <f>VLOOKUP(A3195,[1]Tabelle1!$A$1:$B$68,2,FALSE)</f>
        <v>Niedersachsen</v>
      </c>
      <c r="D1791" t="str">
        <f>'2020_5-2-2_Download'!$BM$7</f>
        <v>niedrig</v>
      </c>
      <c r="E1791" t="s">
        <v>362</v>
      </c>
      <c r="F1791" s="266" t="str">
        <f>VLOOKUP(A3195,[2]Kreise!$A$2:$C$53,3,FALSE)</f>
        <v>K030</v>
      </c>
      <c r="G1791">
        <f>'2020_5-2-2_Download'!BM31</f>
        <v>21.964285714285715</v>
      </c>
    </row>
    <row r="1792" spans="1:7">
      <c r="A1792">
        <f>'2020_5-2-2_Download'!B32</f>
        <v>352</v>
      </c>
      <c r="B1792">
        <f>'2020_5-2-2_Download'!$BH$5</f>
        <v>2011</v>
      </c>
      <c r="C1792" t="str">
        <f>VLOOKUP(A3196,[1]Tabelle1!$A$1:$B$68,2,FALSE)</f>
        <v>Niedersachsen</v>
      </c>
      <c r="D1792" t="str">
        <f>'2020_5-2-2_Download'!$BM$7</f>
        <v>niedrig</v>
      </c>
      <c r="E1792" t="s">
        <v>362</v>
      </c>
      <c r="F1792" s="266" t="str">
        <f>VLOOKUP(A3196,[2]Kreise!$A$2:$C$53,3,FALSE)</f>
        <v>K030</v>
      </c>
      <c r="G1792">
        <f>'2020_5-2-2_Download'!BM32</f>
        <v>26.621490803484992</v>
      </c>
    </row>
    <row r="1793" spans="1:7">
      <c r="A1793">
        <f>'2020_5-2-2_Download'!B33</f>
        <v>353</v>
      </c>
      <c r="B1793">
        <f>'2020_5-2-2_Download'!$BH$5</f>
        <v>2011</v>
      </c>
      <c r="C1793" t="str">
        <f>VLOOKUP(A3197,[1]Tabelle1!$A$1:$B$68,2,FALSE)</f>
        <v>Niedersachsen</v>
      </c>
      <c r="D1793" t="str">
        <f>'2020_5-2-2_Download'!$BM$7</f>
        <v>niedrig</v>
      </c>
      <c r="E1793" t="s">
        <v>362</v>
      </c>
      <c r="F1793" s="266" t="str">
        <f>VLOOKUP(A3197,[2]Kreise!$A$2:$C$53,3,FALSE)</f>
        <v>K030</v>
      </c>
      <c r="G1793">
        <f>'2020_5-2-2_Download'!BM33</f>
        <v>20.809248554913296</v>
      </c>
    </row>
    <row r="1794" spans="1:7">
      <c r="A1794">
        <f>'2020_5-2-2_Download'!B34</f>
        <v>354</v>
      </c>
      <c r="B1794">
        <f>'2020_5-2-2_Download'!$BH$5</f>
        <v>2011</v>
      </c>
      <c r="C1794" t="str">
        <f>VLOOKUP(A3198,[1]Tabelle1!$A$1:$B$68,2,FALSE)</f>
        <v>Niedersachsen</v>
      </c>
      <c r="D1794" t="str">
        <f>'2020_5-2-2_Download'!$BM$7</f>
        <v>niedrig</v>
      </c>
      <c r="E1794" t="s">
        <v>362</v>
      </c>
      <c r="F1794" s="266" t="str">
        <f>VLOOKUP(A3198,[2]Kreise!$A$2:$C$53,3,FALSE)</f>
        <v>K030</v>
      </c>
      <c r="G1794">
        <f>'2020_5-2-2_Download'!BM34</f>
        <v>11.475409836065573</v>
      </c>
    </row>
    <row r="1795" spans="1:7">
      <c r="A1795">
        <f>'2020_5-2-2_Download'!B35</f>
        <v>355</v>
      </c>
      <c r="B1795">
        <f>'2020_5-2-2_Download'!$BH$5</f>
        <v>2011</v>
      </c>
      <c r="C1795" t="str">
        <f>VLOOKUP(A3199,[1]Tabelle1!$A$1:$B$68,2,FALSE)</f>
        <v>Niedersachsen</v>
      </c>
      <c r="D1795" t="str">
        <f>'2020_5-2-2_Download'!$BM$7</f>
        <v>niedrig</v>
      </c>
      <c r="E1795" t="s">
        <v>362</v>
      </c>
      <c r="F1795" s="266" t="str">
        <f>VLOOKUP(A3199,[2]Kreise!$A$2:$C$53,3,FALSE)</f>
        <v>K030</v>
      </c>
      <c r="G1795">
        <f>'2020_5-2-2_Download'!BM35</f>
        <v>20.838323353293415</v>
      </c>
    </row>
    <row r="1796" spans="1:7">
      <c r="A1796">
        <f>'2020_5-2-2_Download'!B36</f>
        <v>356</v>
      </c>
      <c r="B1796">
        <f>'2020_5-2-2_Download'!$BH$5</f>
        <v>2011</v>
      </c>
      <c r="C1796" t="str">
        <f>VLOOKUP(A3200,[1]Tabelle1!$A$1:$B$68,2,FALSE)</f>
        <v>Niedersachsen</v>
      </c>
      <c r="D1796" t="str">
        <f>'2020_5-2-2_Download'!$BM$7</f>
        <v>niedrig</v>
      </c>
      <c r="E1796" t="s">
        <v>362</v>
      </c>
      <c r="F1796" s="266" t="str">
        <f>VLOOKUP(A3200,[2]Kreise!$A$2:$C$53,3,FALSE)</f>
        <v>K030</v>
      </c>
      <c r="G1796">
        <f>'2020_5-2-2_Download'!BM36</f>
        <v>18.70967741935484</v>
      </c>
    </row>
    <row r="1797" spans="1:7">
      <c r="A1797">
        <f>'2020_5-2-2_Download'!B37</f>
        <v>357</v>
      </c>
      <c r="B1797">
        <f>'2020_5-2-2_Download'!$BH$5</f>
        <v>2011</v>
      </c>
      <c r="C1797" t="str">
        <f>VLOOKUP(A3201,[1]Tabelle1!$A$1:$B$68,2,FALSE)</f>
        <v>Niedersachsen</v>
      </c>
      <c r="D1797" t="str">
        <f>'2020_5-2-2_Download'!$BM$7</f>
        <v>niedrig</v>
      </c>
      <c r="E1797" t="s">
        <v>362</v>
      </c>
      <c r="F1797" s="266" t="str">
        <f>VLOOKUP(A3201,[2]Kreise!$A$2:$C$53,3,FALSE)</f>
        <v>K030</v>
      </c>
      <c r="G1797">
        <f>'2020_5-2-2_Download'!BM37</f>
        <v>27.905358385525403</v>
      </c>
    </row>
    <row r="1798" spans="1:7">
      <c r="A1798">
        <f>'2020_5-2-2_Download'!B38</f>
        <v>358</v>
      </c>
      <c r="B1798">
        <f>'2020_5-2-2_Download'!$BH$5</f>
        <v>2011</v>
      </c>
      <c r="C1798" t="str">
        <f>VLOOKUP(A3202,[1]Tabelle1!$A$1:$B$68,2,FALSE)</f>
        <v>Niedersachsen</v>
      </c>
      <c r="D1798" t="str">
        <f>'2020_5-2-2_Download'!$BM$7</f>
        <v>niedrig</v>
      </c>
      <c r="E1798" t="s">
        <v>362</v>
      </c>
      <c r="F1798" s="266" t="str">
        <f>VLOOKUP(A3202,[2]Kreise!$A$2:$C$53,3,FALSE)</f>
        <v>K030</v>
      </c>
      <c r="G1798">
        <f>'2020_5-2-2_Download'!BM38</f>
        <v>24.449594438006951</v>
      </c>
    </row>
    <row r="1799" spans="1:7">
      <c r="A1799">
        <f>'2020_5-2-2_Download'!B39</f>
        <v>359</v>
      </c>
      <c r="B1799">
        <f>'2020_5-2-2_Download'!$BH$5</f>
        <v>2011</v>
      </c>
      <c r="C1799" t="str">
        <f>VLOOKUP(A3203,[1]Tabelle1!$A$1:$B$68,2,FALSE)</f>
        <v>Niedersachsen</v>
      </c>
      <c r="D1799" t="str">
        <f>'2020_5-2-2_Download'!$BM$7</f>
        <v>niedrig</v>
      </c>
      <c r="E1799" t="s">
        <v>362</v>
      </c>
      <c r="F1799" s="266" t="str">
        <f>VLOOKUP(A3203,[2]Kreise!$A$2:$C$53,3,FALSE)</f>
        <v>K030</v>
      </c>
      <c r="G1799">
        <f>'2020_5-2-2_Download'!BM39</f>
        <v>7.8157894736842106</v>
      </c>
    </row>
    <row r="1800" spans="1:7">
      <c r="A1800">
        <f>'2020_5-2-2_Download'!B40</f>
        <v>360</v>
      </c>
      <c r="B1800">
        <f>'2020_5-2-2_Download'!$BH$5</f>
        <v>2011</v>
      </c>
      <c r="C1800" t="str">
        <f>VLOOKUP(A3204,[1]Tabelle1!$A$1:$B$68,2,FALSE)</f>
        <v>Niedersachsen</v>
      </c>
      <c r="D1800" t="str">
        <f>'2020_5-2-2_Download'!$BM$7</f>
        <v>niedrig</v>
      </c>
      <c r="E1800" t="s">
        <v>362</v>
      </c>
      <c r="F1800" s="266" t="str">
        <f>VLOOKUP(A3204,[2]Kreise!$A$2:$C$53,3,FALSE)</f>
        <v>K030</v>
      </c>
      <c r="G1800">
        <f>'2020_5-2-2_Download'!BM40</f>
        <v>11.409395973154362</v>
      </c>
    </row>
    <row r="1801" spans="1:7">
      <c r="A1801">
        <f>'2020_5-2-2_Download'!B41</f>
        <v>361</v>
      </c>
      <c r="B1801">
        <f>'2020_5-2-2_Download'!$BH$5</f>
        <v>2011</v>
      </c>
      <c r="C1801" t="str">
        <f>VLOOKUP(A3205,[1]Tabelle1!$A$1:$B$68,2,FALSE)</f>
        <v>Niedersachsen</v>
      </c>
      <c r="D1801" t="str">
        <f>'2020_5-2-2_Download'!$BM$7</f>
        <v>niedrig</v>
      </c>
      <c r="E1801" t="s">
        <v>362</v>
      </c>
      <c r="F1801" s="266" t="str">
        <f>VLOOKUP(A3205,[2]Kreise!$A$2:$C$53,3,FALSE)</f>
        <v>K030</v>
      </c>
      <c r="G1801">
        <f>'2020_5-2-2_Download'!BM41</f>
        <v>33.093154915079772</v>
      </c>
    </row>
    <row r="1802" spans="1:7">
      <c r="A1802">
        <f>'2020_5-2-2_Download'!B42</f>
        <v>3</v>
      </c>
      <c r="B1802">
        <f>'2020_5-2-2_Download'!$BH$5</f>
        <v>2011</v>
      </c>
      <c r="C1802" t="str">
        <f>VLOOKUP(A3206,[1]Tabelle1!$A$1:$B$68,2,FALSE)</f>
        <v>Niedersachsen</v>
      </c>
      <c r="D1802" t="str">
        <f>'2020_5-2-2_Download'!$BM$7</f>
        <v>niedrig</v>
      </c>
      <c r="E1802" t="s">
        <v>362</v>
      </c>
      <c r="F1802" s="266" t="str">
        <f>VLOOKUP(A3206,[2]Kreise!$A$2:$C$53,3,FALSE)</f>
        <v>K030</v>
      </c>
      <c r="G1802">
        <f>'2020_5-2-2_Download'!BM42</f>
        <v>20.594445346759784</v>
      </c>
    </row>
    <row r="1803" spans="1:7">
      <c r="A1803">
        <f>'2020_5-2-2_Download'!B43</f>
        <v>401</v>
      </c>
      <c r="B1803">
        <f>'2020_5-2-2_Download'!$BH$5</f>
        <v>2011</v>
      </c>
      <c r="C1803" t="str">
        <f>VLOOKUP(A3207,[1]Tabelle1!$A$1:$B$68,2,FALSE)</f>
        <v>Niedersachsen</v>
      </c>
      <c r="D1803" t="str">
        <f>'2020_5-2-2_Download'!$BM$7</f>
        <v>niedrig</v>
      </c>
      <c r="E1803" t="s">
        <v>362</v>
      </c>
      <c r="F1803" s="266" t="str">
        <f>VLOOKUP(A3207,[2]Kreise!$A$2:$C$53,3,FALSE)</f>
        <v>K030</v>
      </c>
      <c r="G1803">
        <f>'2020_5-2-2_Download'!BM43</f>
        <v>18.797814207650273</v>
      </c>
    </row>
    <row r="1804" spans="1:7">
      <c r="A1804">
        <f>'2020_5-2-2_Download'!B44</f>
        <v>402</v>
      </c>
      <c r="B1804">
        <f>'2020_5-2-2_Download'!$BH$5</f>
        <v>2011</v>
      </c>
      <c r="C1804" t="str">
        <f>VLOOKUP(A3208,[1]Tabelle1!$A$1:$B$68,2,FALSE)</f>
        <v>Niedersachsen</v>
      </c>
      <c r="D1804" t="str">
        <f>'2020_5-2-2_Download'!$BM$7</f>
        <v>niedrig</v>
      </c>
      <c r="E1804" t="s">
        <v>362</v>
      </c>
      <c r="F1804" s="266" t="str">
        <f>VLOOKUP(A3208,[2]Kreise!$A$2:$C$53,3,FALSE)</f>
        <v>K030</v>
      </c>
      <c r="G1804">
        <f>'2020_5-2-2_Download'!BM44</f>
        <v>16.061606160616062</v>
      </c>
    </row>
    <row r="1805" spans="1:7">
      <c r="A1805">
        <f>'2020_5-2-2_Download'!B45</f>
        <v>403</v>
      </c>
      <c r="B1805">
        <f>'2020_5-2-2_Download'!$BH$5</f>
        <v>2011</v>
      </c>
      <c r="C1805" t="str">
        <f>VLOOKUP(A3209,[1]Tabelle1!$A$1:$B$68,2,FALSE)</f>
        <v>Niedersachsen</v>
      </c>
      <c r="D1805" t="str">
        <f>'2020_5-2-2_Download'!$BM$7</f>
        <v>niedrig</v>
      </c>
      <c r="E1805" t="s">
        <v>362</v>
      </c>
      <c r="F1805" s="266" t="str">
        <f>VLOOKUP(A3209,[2]Kreise!$A$2:$C$53,3,FALSE)</f>
        <v>K030</v>
      </c>
      <c r="G1805">
        <f>'2020_5-2-2_Download'!BM45</f>
        <v>21.202672605790646</v>
      </c>
    </row>
    <row r="1806" spans="1:7">
      <c r="A1806">
        <f>'2020_5-2-2_Download'!B46</f>
        <v>404</v>
      </c>
      <c r="B1806">
        <f>'2020_5-2-2_Download'!$BH$5</f>
        <v>2011</v>
      </c>
      <c r="C1806" t="str">
        <f>VLOOKUP(A3210,[1]Tabelle1!$A$1:$B$68,2,FALSE)</f>
        <v>Niedersachsen</v>
      </c>
      <c r="D1806" t="str">
        <f>'2020_5-2-2_Download'!$BM$7</f>
        <v>niedrig</v>
      </c>
      <c r="E1806" t="s">
        <v>362</v>
      </c>
      <c r="F1806" s="266" t="str">
        <f>VLOOKUP(A3210,[2]Kreise!$A$2:$C$53,3,FALSE)</f>
        <v>K030</v>
      </c>
      <c r="G1806">
        <f>'2020_5-2-2_Download'!BM46</f>
        <v>31.940918532194786</v>
      </c>
    </row>
    <row r="1807" spans="1:7">
      <c r="A1807">
        <f>'2020_5-2-2_Download'!B47</f>
        <v>405</v>
      </c>
      <c r="B1807">
        <f>'2020_5-2-2_Download'!$BH$5</f>
        <v>2011</v>
      </c>
      <c r="C1807" t="str">
        <f>VLOOKUP(A3211,[1]Tabelle1!$A$1:$B$68,2,FALSE)</f>
        <v>Niedersachsen</v>
      </c>
      <c r="D1807" t="str">
        <f>'2020_5-2-2_Download'!$BM$7</f>
        <v>niedrig</v>
      </c>
      <c r="E1807" t="s">
        <v>362</v>
      </c>
      <c r="F1807" s="266" t="str">
        <f>VLOOKUP(A3211,[2]Kreise!$A$2:$C$53,3,FALSE)</f>
        <v>K030</v>
      </c>
      <c r="G1807">
        <f>'2020_5-2-2_Download'!BM47</f>
        <v>20.550161812297734</v>
      </c>
    </row>
    <row r="1808" spans="1:7">
      <c r="A1808">
        <f>'2020_5-2-2_Download'!B48</f>
        <v>451</v>
      </c>
      <c r="B1808">
        <f>'2020_5-2-2_Download'!$BH$5</f>
        <v>2011</v>
      </c>
      <c r="C1808" t="str">
        <f>VLOOKUP(A3212,[1]Tabelle1!$A$1:$B$68,2,FALSE)</f>
        <v>Niedersachsen</v>
      </c>
      <c r="D1808" t="str">
        <f>'2020_5-2-2_Download'!$BM$7</f>
        <v>niedrig</v>
      </c>
      <c r="E1808" t="s">
        <v>362</v>
      </c>
      <c r="F1808" s="266" t="str">
        <f>VLOOKUP(A3212,[2]Kreise!$A$2:$C$53,3,FALSE)</f>
        <v>K030</v>
      </c>
      <c r="G1808">
        <f>'2020_5-2-2_Download'!BM48</f>
        <v>23.790047716428084</v>
      </c>
    </row>
    <row r="1809" spans="1:7">
      <c r="A1809">
        <f>'2020_5-2-2_Download'!B49</f>
        <v>452</v>
      </c>
      <c r="B1809">
        <f>'2020_5-2-2_Download'!$BH$5</f>
        <v>2011</v>
      </c>
      <c r="C1809" t="str">
        <f>VLOOKUP(A3213,[1]Tabelle1!$A$1:$B$68,2,FALSE)</f>
        <v>Niedersachsen</v>
      </c>
      <c r="D1809" t="str">
        <f>'2020_5-2-2_Download'!$BM$7</f>
        <v>niedrig</v>
      </c>
      <c r="E1809" t="s">
        <v>362</v>
      </c>
      <c r="F1809" s="266" t="str">
        <f>VLOOKUP(A3213,[2]Kreise!$A$2:$C$53,3,FALSE)</f>
        <v>K030</v>
      </c>
      <c r="G1809">
        <f>'2020_5-2-2_Download'!BM49</f>
        <v>20.755968169761275</v>
      </c>
    </row>
    <row r="1810" spans="1:7">
      <c r="A1810">
        <f>'2020_5-2-2_Download'!B50</f>
        <v>453</v>
      </c>
      <c r="B1810">
        <f>'2020_5-2-2_Download'!$BH$5</f>
        <v>2011</v>
      </c>
      <c r="C1810" t="str">
        <f>VLOOKUP(A3214,[1]Tabelle1!$A$1:$B$68,2,FALSE)</f>
        <v>Niedersachsen</v>
      </c>
      <c r="D1810" t="str">
        <f>'2020_5-2-2_Download'!$BM$7</f>
        <v>niedrig</v>
      </c>
      <c r="E1810" t="s">
        <v>362</v>
      </c>
      <c r="F1810" s="266" t="str">
        <f>VLOOKUP(A3214,[2]Kreise!$A$2:$C$53,3,FALSE)</f>
        <v>K030</v>
      </c>
      <c r="G1810">
        <f>'2020_5-2-2_Download'!BM50</f>
        <v>25.519063797659491</v>
      </c>
    </row>
    <row r="1811" spans="1:7">
      <c r="A1811">
        <f>'2020_5-2-2_Download'!B51</f>
        <v>454</v>
      </c>
      <c r="B1811">
        <f>'2020_5-2-2_Download'!$BH$5</f>
        <v>2011</v>
      </c>
      <c r="C1811" t="str">
        <f>VLOOKUP(A3215,[1]Tabelle1!$A$1:$B$68,2,FALSE)</f>
        <v>Niedersachsen</v>
      </c>
      <c r="D1811" t="str">
        <f>'2020_5-2-2_Download'!$BM$7</f>
        <v>niedrig</v>
      </c>
      <c r="E1811" t="s">
        <v>362</v>
      </c>
      <c r="F1811" s="266" t="str">
        <f>VLOOKUP(A3215,[2]Kreise!$A$2:$C$53,3,FALSE)</f>
        <v>K030</v>
      </c>
      <c r="G1811">
        <f>'2020_5-2-2_Download'!BM51</f>
        <v>17.866407263294423</v>
      </c>
    </row>
    <row r="1812" spans="1:7">
      <c r="A1812">
        <f>'2020_5-2-2_Download'!B52</f>
        <v>455</v>
      </c>
      <c r="B1812">
        <f>'2020_5-2-2_Download'!$BH$5</f>
        <v>2011</v>
      </c>
      <c r="C1812" t="str">
        <f>VLOOKUP(A3216,[1]Tabelle1!$A$1:$B$68,2,FALSE)</f>
        <v>Niedersachsen</v>
      </c>
      <c r="D1812" t="str">
        <f>'2020_5-2-2_Download'!$BM$7</f>
        <v>niedrig</v>
      </c>
      <c r="E1812" t="s">
        <v>362</v>
      </c>
      <c r="F1812" s="266" t="str">
        <f>VLOOKUP(A3216,[2]Kreise!$A$2:$C$53,3,FALSE)</f>
        <v>K030</v>
      </c>
      <c r="G1812">
        <f>'2020_5-2-2_Download'!BM52</f>
        <v>18.382352941176471</v>
      </c>
    </row>
    <row r="1813" spans="1:7">
      <c r="A1813">
        <f>'2020_5-2-2_Download'!B53</f>
        <v>456</v>
      </c>
      <c r="B1813">
        <f>'2020_5-2-2_Download'!$BH$5</f>
        <v>2011</v>
      </c>
      <c r="C1813" t="str">
        <f>VLOOKUP(A3217,[1]Tabelle1!$A$1:$B$68,2,FALSE)</f>
        <v>Niedersachsen</v>
      </c>
      <c r="D1813" t="str">
        <f>'2020_5-2-2_Download'!$BM$7</f>
        <v>niedrig</v>
      </c>
      <c r="E1813" t="s">
        <v>362</v>
      </c>
      <c r="F1813" s="266" t="str">
        <f>VLOOKUP(A3217,[2]Kreise!$A$2:$C$53,3,FALSE)</f>
        <v>K030</v>
      </c>
      <c r="G1813">
        <f>'2020_5-2-2_Download'!BM53</f>
        <v>20.684448917966783</v>
      </c>
    </row>
    <row r="1814" spans="1:7">
      <c r="A1814">
        <f>'2020_5-2-2_Download'!B54</f>
        <v>457</v>
      </c>
      <c r="B1814">
        <f>'2020_5-2-2_Download'!$BH$5</f>
        <v>2011</v>
      </c>
      <c r="C1814" t="str">
        <f>VLOOKUP(A3218,[1]Tabelle1!$A$1:$B$68,2,FALSE)</f>
        <v>Niedersachsen</v>
      </c>
      <c r="D1814" t="str">
        <f>'2020_5-2-2_Download'!$BM$7</f>
        <v>niedrig</v>
      </c>
      <c r="E1814" t="s">
        <v>362</v>
      </c>
      <c r="F1814" s="266" t="str">
        <f>VLOOKUP(A3218,[2]Kreise!$A$2:$C$53,3,FALSE)</f>
        <v>K030</v>
      </c>
      <c r="G1814">
        <f>'2020_5-2-2_Download'!BM54</f>
        <v>13.467794404684449</v>
      </c>
    </row>
    <row r="1815" spans="1:7">
      <c r="A1815">
        <f>'2020_5-2-2_Download'!B55</f>
        <v>458</v>
      </c>
      <c r="B1815">
        <f>'2020_5-2-2_Download'!$BH$5</f>
        <v>2011</v>
      </c>
      <c r="C1815" t="str">
        <f>VLOOKUP(A3219,[1]Tabelle1!$A$1:$B$68,2,FALSE)</f>
        <v>Niedersachsen</v>
      </c>
      <c r="D1815" t="str">
        <f>'2020_5-2-2_Download'!$BM$7</f>
        <v>niedrig</v>
      </c>
      <c r="E1815" t="s">
        <v>362</v>
      </c>
      <c r="F1815" s="266" t="str">
        <f>VLOOKUP(A3219,[2]Kreise!$A$2:$C$53,3,FALSE)</f>
        <v>K030</v>
      </c>
      <c r="G1815">
        <f>'2020_5-2-2_Download'!BM55</f>
        <v>16.326530612244898</v>
      </c>
    </row>
    <row r="1816" spans="1:7">
      <c r="A1816">
        <f>'2020_5-2-2_Download'!B56</f>
        <v>459</v>
      </c>
      <c r="B1816">
        <f>'2020_5-2-2_Download'!$BH$5</f>
        <v>2011</v>
      </c>
      <c r="C1816" t="str">
        <f>VLOOKUP(A3220,[1]Tabelle1!$A$1:$B$68,2,FALSE)</f>
        <v>Niedersachsen</v>
      </c>
      <c r="D1816" t="str">
        <f>'2020_5-2-2_Download'!$BM$7</f>
        <v>niedrig</v>
      </c>
      <c r="E1816" t="s">
        <v>362</v>
      </c>
      <c r="F1816" s="266" t="str">
        <f>VLOOKUP(A3220,[2]Kreise!$A$2:$C$53,3,FALSE)</f>
        <v>K030</v>
      </c>
      <c r="G1816">
        <f>'2020_5-2-2_Download'!BM56</f>
        <v>36.048718759886114</v>
      </c>
    </row>
    <row r="1817" spans="1:7">
      <c r="A1817">
        <f>'2020_5-2-2_Download'!B57</f>
        <v>460</v>
      </c>
      <c r="B1817">
        <f>'2020_5-2-2_Download'!$BH$5</f>
        <v>2011</v>
      </c>
      <c r="C1817" t="str">
        <f>VLOOKUP(A3221,[1]Tabelle1!$A$1:$B$68,2,FALSE)</f>
        <v>Niedersachsen</v>
      </c>
      <c r="D1817" t="str">
        <f>'2020_5-2-2_Download'!$BM$7</f>
        <v>niedrig</v>
      </c>
      <c r="E1817" t="s">
        <v>362</v>
      </c>
      <c r="F1817" s="266" t="str">
        <f>VLOOKUP(A3221,[2]Kreise!$A$2:$C$53,3,FALSE)</f>
        <v>K030</v>
      </c>
      <c r="G1817">
        <f>'2020_5-2-2_Download'!BM57</f>
        <v>20.802161263507895</v>
      </c>
    </row>
    <row r="1818" spans="1:7">
      <c r="A1818">
        <f>'2020_5-2-2_Download'!B58</f>
        <v>461</v>
      </c>
      <c r="B1818">
        <f>'2020_5-2-2_Download'!$BH$5</f>
        <v>2011</v>
      </c>
      <c r="C1818" t="str">
        <f>VLOOKUP(A3222,[1]Tabelle1!$A$1:$B$68,2,FALSE)</f>
        <v>Niedersachsen</v>
      </c>
      <c r="D1818" t="str">
        <f>'2020_5-2-2_Download'!$BM$7</f>
        <v>niedrig</v>
      </c>
      <c r="E1818" t="s">
        <v>362</v>
      </c>
      <c r="F1818" s="266" t="str">
        <f>VLOOKUP(A3222,[2]Kreise!$A$2:$C$53,3,FALSE)</f>
        <v>K030</v>
      </c>
      <c r="G1818">
        <f>'2020_5-2-2_Download'!BM58</f>
        <v>21.267454350161117</v>
      </c>
    </row>
    <row r="1819" spans="1:7">
      <c r="A1819">
        <f>'2020_5-2-2_Download'!B59</f>
        <v>462</v>
      </c>
      <c r="B1819">
        <f>'2020_5-2-2_Download'!$BH$5</f>
        <v>2011</v>
      </c>
      <c r="C1819" t="str">
        <f>VLOOKUP(A3223,[1]Tabelle1!$A$1:$B$68,2,FALSE)</f>
        <v>Niedersachsen</v>
      </c>
      <c r="D1819" t="str">
        <f>'2020_5-2-2_Download'!$BM$7</f>
        <v>niedrig</v>
      </c>
      <c r="E1819" t="s">
        <v>362</v>
      </c>
      <c r="F1819" s="266" t="str">
        <f>VLOOKUP(A3223,[2]Kreise!$A$2:$C$53,3,FALSE)</f>
        <v>K030</v>
      </c>
      <c r="G1819" t="str">
        <f>'2020_5-2-2_Download'!BM59</f>
        <v>.</v>
      </c>
    </row>
    <row r="1820" spans="1:7">
      <c r="A1820">
        <f>'2020_5-2-2_Download'!B60</f>
        <v>4</v>
      </c>
      <c r="B1820">
        <f>'2020_5-2-2_Download'!$BH$5</f>
        <v>2011</v>
      </c>
      <c r="C1820" t="str">
        <f>VLOOKUP(A3224,[1]Tabelle1!$A$1:$B$68,2,FALSE)</f>
        <v>Niedersachsen</v>
      </c>
      <c r="D1820" t="str">
        <f>'2020_5-2-2_Download'!$BM$7</f>
        <v>niedrig</v>
      </c>
      <c r="E1820" t="s">
        <v>362</v>
      </c>
      <c r="F1820" s="266" t="str">
        <f>VLOOKUP(A3224,[2]Kreise!$A$2:$C$53,3,FALSE)</f>
        <v>K030</v>
      </c>
      <c r="G1820">
        <f>'2020_5-2-2_Download'!BM60</f>
        <v>24.308011902756725</v>
      </c>
    </row>
    <row r="1821" spans="1:7">
      <c r="A1821">
        <f>'2020_5-2-2_Download'!B61</f>
        <v>0</v>
      </c>
      <c r="B1821">
        <f>'2020_5-2-2_Download'!$BH$5</f>
        <v>2011</v>
      </c>
      <c r="C1821" t="str">
        <f>VLOOKUP(A3225,[1]Tabelle1!$A$1:$B$68,2,FALSE)</f>
        <v>Niedersachsen</v>
      </c>
      <c r="D1821" t="str">
        <f>'2020_5-2-2_Download'!$BM$7</f>
        <v>niedrig</v>
      </c>
      <c r="E1821" t="s">
        <v>362</v>
      </c>
      <c r="F1821" s="266" t="str">
        <f>VLOOKUP(A3225,[2]Kreise!$A$2:$C$53,3,FALSE)</f>
        <v>K030</v>
      </c>
      <c r="G1821">
        <f>'2020_5-2-2_Download'!BM61</f>
        <v>22.982399523372145</v>
      </c>
    </row>
    <row r="1822" spans="1:7">
      <c r="A1822">
        <f>'2020_5-2-2_Download'!B10</f>
        <v>101</v>
      </c>
      <c r="B1822">
        <f>'2020_5-2-2_Download'!$BH$5</f>
        <v>2011</v>
      </c>
      <c r="C1822" t="str">
        <f>VLOOKUP(A3226,[1]Tabelle1!$A$1:$B$68,2,FALSE)</f>
        <v>Niedersachsen</v>
      </c>
      <c r="D1822" t="str">
        <f>'2020_5-2-2_Download'!$BN$7</f>
        <v>unbekannt</v>
      </c>
      <c r="E1822" t="s">
        <v>362</v>
      </c>
      <c r="F1822" s="266" t="str">
        <f>VLOOKUP(A3226,[2]Kreise!$A$2:$C$53,3,FALSE)</f>
        <v>K030</v>
      </c>
      <c r="G1822">
        <f>'2020_5-2-2_Download'!BN10</f>
        <v>36.593059936908517</v>
      </c>
    </row>
    <row r="1823" spans="1:7">
      <c r="A1823">
        <f>'2020_5-2-2_Download'!B11</f>
        <v>102</v>
      </c>
      <c r="B1823">
        <f>'2020_5-2-2_Download'!$BH$5</f>
        <v>2011</v>
      </c>
      <c r="C1823" t="str">
        <f>VLOOKUP(A3227,[1]Tabelle1!$A$1:$B$68,2,FALSE)</f>
        <v>Niedersachsen</v>
      </c>
      <c r="D1823" t="str">
        <f>'2020_5-2-2_Download'!$BN$7</f>
        <v>unbekannt</v>
      </c>
      <c r="E1823" t="s">
        <v>362</v>
      </c>
      <c r="F1823" s="266" t="str">
        <f>VLOOKUP(A3227,[2]Kreise!$A$2:$C$53,3,FALSE)</f>
        <v>K030</v>
      </c>
      <c r="G1823">
        <f>'2020_5-2-2_Download'!BN11</f>
        <v>19.008264462809919</v>
      </c>
    </row>
    <row r="1824" spans="1:7">
      <c r="A1824">
        <f>'2020_5-2-2_Download'!B12</f>
        <v>103</v>
      </c>
      <c r="B1824">
        <f>'2020_5-2-2_Download'!$BH$5</f>
        <v>2011</v>
      </c>
      <c r="C1824" t="str">
        <f>VLOOKUP(A3228,[1]Tabelle1!$A$1:$B$68,2,FALSE)</f>
        <v>Niedersachsen</v>
      </c>
      <c r="D1824" t="str">
        <f>'2020_5-2-2_Download'!$BN$7</f>
        <v>unbekannt</v>
      </c>
      <c r="E1824" t="s">
        <v>362</v>
      </c>
      <c r="F1824" s="266" t="str">
        <f>VLOOKUP(A3228,[2]Kreise!$A$2:$C$53,3,FALSE)</f>
        <v>K030</v>
      </c>
      <c r="G1824">
        <f>'2020_5-2-2_Download'!BN12</f>
        <v>30.462544774957173</v>
      </c>
    </row>
    <row r="1825" spans="1:7">
      <c r="A1825">
        <f>'2020_5-2-2_Download'!B13</f>
        <v>151</v>
      </c>
      <c r="B1825">
        <f>'2020_5-2-2_Download'!$BH$5</f>
        <v>2011</v>
      </c>
      <c r="C1825" t="str">
        <f>VLOOKUP(A3229,[1]Tabelle1!$A$1:$B$68,2,FALSE)</f>
        <v>Niedersachsen</v>
      </c>
      <c r="D1825" t="str">
        <f>'2020_5-2-2_Download'!$BN$7</f>
        <v>unbekannt</v>
      </c>
      <c r="E1825" t="s">
        <v>362</v>
      </c>
      <c r="F1825" s="266" t="str">
        <f>VLOOKUP(A3229,[2]Kreise!$A$2:$C$53,3,FALSE)</f>
        <v>K030</v>
      </c>
      <c r="G1825">
        <f>'2020_5-2-2_Download'!BN13</f>
        <v>34.089246525237748</v>
      </c>
    </row>
    <row r="1826" spans="1:7">
      <c r="A1826">
        <f>'2020_5-2-2_Download'!B14</f>
        <v>153</v>
      </c>
      <c r="B1826">
        <f>'2020_5-2-2_Download'!$BH$5</f>
        <v>2011</v>
      </c>
      <c r="C1826" t="str">
        <f>VLOOKUP(A3230,[1]Tabelle1!$A$1:$B$68,2,FALSE)</f>
        <v>Niedersachsen</v>
      </c>
      <c r="D1826" t="str">
        <f>'2020_5-2-2_Download'!$BN$7</f>
        <v>unbekannt</v>
      </c>
      <c r="E1826" t="s">
        <v>362</v>
      </c>
      <c r="F1826" s="266" t="str">
        <f>VLOOKUP(A3230,[2]Kreise!$A$2:$C$53,3,FALSE)</f>
        <v>K030</v>
      </c>
      <c r="G1826">
        <f>'2020_5-2-2_Download'!BN14</f>
        <v>35.633001422475104</v>
      </c>
    </row>
    <row r="1827" spans="1:7">
      <c r="A1827">
        <f>'2020_5-2-2_Download'!B15</f>
        <v>154</v>
      </c>
      <c r="B1827">
        <f>'2020_5-2-2_Download'!$BH$5</f>
        <v>2011</v>
      </c>
      <c r="C1827" t="str">
        <f>VLOOKUP(A3231,[1]Tabelle1!$A$1:$B$68,2,FALSE)</f>
        <v>Niedersachsen</v>
      </c>
      <c r="D1827" t="str">
        <f>'2020_5-2-2_Download'!$BN$7</f>
        <v>unbekannt</v>
      </c>
      <c r="E1827" t="s">
        <v>362</v>
      </c>
      <c r="F1827" s="266" t="str">
        <f>VLOOKUP(A3231,[2]Kreise!$A$2:$C$53,3,FALSE)</f>
        <v>K030</v>
      </c>
      <c r="G1827">
        <f>'2020_5-2-2_Download'!BN15</f>
        <v>26.022033898305089</v>
      </c>
    </row>
    <row r="1828" spans="1:7">
      <c r="A1828">
        <f>'2020_5-2-2_Download'!B16</f>
        <v>155</v>
      </c>
      <c r="B1828">
        <f>'2020_5-2-2_Download'!$BH$5</f>
        <v>2011</v>
      </c>
      <c r="C1828" t="str">
        <f>VLOOKUP(A3232,[1]Tabelle1!$A$1:$B$68,2,FALSE)</f>
        <v>Niedersachsen</v>
      </c>
      <c r="D1828" t="str">
        <f>'2020_5-2-2_Download'!$BN$7</f>
        <v>unbekannt</v>
      </c>
      <c r="E1828" t="s">
        <v>362</v>
      </c>
      <c r="F1828" s="266" t="str">
        <f>VLOOKUP(A3232,[2]Kreise!$A$2:$C$53,3,FALSE)</f>
        <v>K030</v>
      </c>
      <c r="G1828">
        <f>'2020_5-2-2_Download'!BN16</f>
        <v>32.486388384754996</v>
      </c>
    </row>
    <row r="1829" spans="1:7">
      <c r="A1829">
        <f>'2020_5-2-2_Download'!B17</f>
        <v>157</v>
      </c>
      <c r="B1829">
        <f>'2020_5-2-2_Download'!$BH$5</f>
        <v>2011</v>
      </c>
      <c r="C1829" t="str">
        <f>VLOOKUP(A3233,[1]Tabelle1!$A$1:$B$68,2,FALSE)</f>
        <v>Niedersachsen</v>
      </c>
      <c r="D1829" t="str">
        <f>'2020_5-2-2_Download'!$BN$7</f>
        <v>unbekannt</v>
      </c>
      <c r="E1829" t="s">
        <v>362</v>
      </c>
      <c r="F1829" s="266" t="str">
        <f>VLOOKUP(A3233,[2]Kreise!$A$2:$C$53,3,FALSE)</f>
        <v>K030</v>
      </c>
      <c r="G1829">
        <f>'2020_5-2-2_Download'!BN17</f>
        <v>38.955479452054789</v>
      </c>
    </row>
    <row r="1830" spans="1:7">
      <c r="A1830">
        <f>'2020_5-2-2_Download'!B18</f>
        <v>158</v>
      </c>
      <c r="B1830">
        <f>'2020_5-2-2_Download'!$BH$5</f>
        <v>2011</v>
      </c>
      <c r="C1830" t="str">
        <f>VLOOKUP(A3234,[1]Tabelle1!$A$1:$B$68,2,FALSE)</f>
        <v>Niedersachsen</v>
      </c>
      <c r="D1830" t="str">
        <f>'2020_5-2-2_Download'!$BN$7</f>
        <v>unbekannt</v>
      </c>
      <c r="E1830" t="s">
        <v>362</v>
      </c>
      <c r="F1830" s="266" t="str">
        <f>VLOOKUP(A3234,[2]Kreise!$A$2:$C$53,3,FALSE)</f>
        <v>K030</v>
      </c>
      <c r="G1830">
        <f>'2020_5-2-2_Download'!BN18</f>
        <v>41.187050359712224</v>
      </c>
    </row>
    <row r="1831" spans="1:7">
      <c r="A1831">
        <f>'2020_5-2-2_Download'!B19</f>
        <v>159</v>
      </c>
      <c r="B1831">
        <f>'2020_5-2-2_Download'!$BH$5</f>
        <v>2011</v>
      </c>
      <c r="C1831" t="str">
        <f>VLOOKUP(A3235,[1]Tabelle1!$A$1:$B$68,2,FALSE)</f>
        <v>Niedersachsen</v>
      </c>
      <c r="D1831" t="str">
        <f>'2020_5-2-2_Download'!$BN$7</f>
        <v>unbekannt</v>
      </c>
      <c r="E1831" t="s">
        <v>362</v>
      </c>
      <c r="F1831" s="266" t="str">
        <f>VLOOKUP(A3235,[2]Kreise!$A$2:$C$53,3,FALSE)</f>
        <v>K030</v>
      </c>
      <c r="G1831">
        <f>'2020_5-2-2_Download'!BN19</f>
        <v>36.404639175257728</v>
      </c>
    </row>
    <row r="1832" spans="1:7">
      <c r="A1832">
        <f>'2020_5-2-2_Download'!B20</f>
        <v>1</v>
      </c>
      <c r="B1832">
        <f>'2020_5-2-2_Download'!$BH$5</f>
        <v>2011</v>
      </c>
      <c r="C1832" t="str">
        <f>VLOOKUP(A3236,[1]Tabelle1!$A$1:$B$68,2,FALSE)</f>
        <v>Niedersachsen</v>
      </c>
      <c r="D1832" t="str">
        <f>'2020_5-2-2_Download'!$BN$7</f>
        <v>unbekannt</v>
      </c>
      <c r="E1832" t="s">
        <v>362</v>
      </c>
      <c r="F1832" s="266" t="str">
        <f>VLOOKUP(A3236,[2]Kreise!$A$2:$C$53,3,FALSE)</f>
        <v>K030</v>
      </c>
      <c r="G1832">
        <f>'2020_5-2-2_Download'!BN20</f>
        <v>31.310476645562069</v>
      </c>
    </row>
    <row r="1833" spans="1:7">
      <c r="A1833">
        <f>'2020_5-2-2_Download'!B21</f>
        <v>241</v>
      </c>
      <c r="B1833">
        <f>'2020_5-2-2_Download'!$BH$5</f>
        <v>2011</v>
      </c>
      <c r="C1833" t="str">
        <f>VLOOKUP(A3237,[1]Tabelle1!$A$1:$B$68,2,FALSE)</f>
        <v>Niedersachsen</v>
      </c>
      <c r="D1833" t="str">
        <f>'2020_5-2-2_Download'!$BN$7</f>
        <v>unbekannt</v>
      </c>
      <c r="E1833" t="s">
        <v>362</v>
      </c>
      <c r="F1833" s="266" t="str">
        <f>VLOOKUP(A3237,[2]Kreise!$A$2:$C$53,3,FALSE)</f>
        <v>K030</v>
      </c>
      <c r="G1833">
        <f>'2020_5-2-2_Download'!BN21</f>
        <v>40.553604227757546</v>
      </c>
    </row>
    <row r="1834" spans="1:7">
      <c r="A1834">
        <f>'2020_5-2-2_Download'!B22</f>
        <v>241001</v>
      </c>
      <c r="B1834">
        <f>'2020_5-2-2_Download'!$BH$5</f>
        <v>2011</v>
      </c>
      <c r="C1834" t="str">
        <f>VLOOKUP(A3238,[1]Tabelle1!$A$1:$B$68,2,FALSE)</f>
        <v>Niedersachsen</v>
      </c>
      <c r="D1834" t="str">
        <f>'2020_5-2-2_Download'!$BN$7</f>
        <v>unbekannt</v>
      </c>
      <c r="E1834" t="s">
        <v>362</v>
      </c>
      <c r="F1834" s="266" t="str">
        <f>VLOOKUP(A3238,[2]Kreise!$A$2:$C$53,3,FALSE)</f>
        <v>K030</v>
      </c>
      <c r="G1834">
        <f>'2020_5-2-2_Download'!BN22</f>
        <v>36.147403685092129</v>
      </c>
    </row>
    <row r="1835" spans="1:7">
      <c r="A1835">
        <f>'2020_5-2-2_Download'!B23</f>
        <v>241999</v>
      </c>
      <c r="B1835">
        <f>'2020_5-2-2_Download'!$BH$5</f>
        <v>2011</v>
      </c>
      <c r="C1835" t="str">
        <f>VLOOKUP(A3239,[1]Tabelle1!$A$1:$B$68,2,FALSE)</f>
        <v>Niedersachsen</v>
      </c>
      <c r="D1835" t="str">
        <f>'2020_5-2-2_Download'!$BN$7</f>
        <v>unbekannt</v>
      </c>
      <c r="E1835" t="s">
        <v>362</v>
      </c>
      <c r="F1835" s="266" t="str">
        <f>VLOOKUP(A3239,[2]Kreise!$A$2:$C$53,3,FALSE)</f>
        <v>K030</v>
      </c>
      <c r="G1835">
        <f>'2020_5-2-2_Download'!BN23</f>
        <v>49.635036496350367</v>
      </c>
    </row>
    <row r="1836" spans="1:7">
      <c r="A1836">
        <f>'2020_5-2-2_Download'!B24</f>
        <v>251</v>
      </c>
      <c r="B1836">
        <f>'2020_5-2-2_Download'!$BH$5</f>
        <v>2011</v>
      </c>
      <c r="C1836" t="str">
        <f>VLOOKUP(A3240,[1]Tabelle1!$A$1:$B$68,2,FALSE)</f>
        <v>Niedersachsen</v>
      </c>
      <c r="D1836" t="str">
        <f>'2020_5-2-2_Download'!$BN$7</f>
        <v>unbekannt</v>
      </c>
      <c r="E1836" t="s">
        <v>362</v>
      </c>
      <c r="F1836" s="266" t="str">
        <f>VLOOKUP(A3240,[2]Kreise!$A$2:$C$53,3,FALSE)</f>
        <v>K030</v>
      </c>
      <c r="G1836">
        <f>'2020_5-2-2_Download'!BN24</f>
        <v>50.565666502705362</v>
      </c>
    </row>
    <row r="1837" spans="1:7">
      <c r="A1837">
        <f>'2020_5-2-2_Download'!B25</f>
        <v>252</v>
      </c>
      <c r="B1837">
        <f>'2020_5-2-2_Download'!$BH$5</f>
        <v>2011</v>
      </c>
      <c r="C1837" t="str">
        <f>VLOOKUP(A3241,[1]Tabelle1!$A$1:$B$68,2,FALSE)</f>
        <v>Niedersachsen</v>
      </c>
      <c r="D1837" t="str">
        <f>'2020_5-2-2_Download'!$BN$7</f>
        <v>unbekannt</v>
      </c>
      <c r="E1837" t="s">
        <v>362</v>
      </c>
      <c r="F1837" s="266" t="str">
        <f>VLOOKUP(A3241,[2]Kreise!$A$2:$C$53,3,FALSE)</f>
        <v>K030</v>
      </c>
      <c r="G1837">
        <f>'2020_5-2-2_Download'!BN25</f>
        <v>32.20956719817768</v>
      </c>
    </row>
    <row r="1838" spans="1:7">
      <c r="A1838">
        <f>'2020_5-2-2_Download'!B26</f>
        <v>254</v>
      </c>
      <c r="B1838">
        <f>'2020_5-2-2_Download'!$BH$5</f>
        <v>2011</v>
      </c>
      <c r="C1838" t="str">
        <f>VLOOKUP(A3242,[1]Tabelle1!$A$1:$B$68,2,FALSE)</f>
        <v>Niedersachsen</v>
      </c>
      <c r="D1838" t="str">
        <f>'2020_5-2-2_Download'!$BN$7</f>
        <v>unbekannt</v>
      </c>
      <c r="E1838" t="s">
        <v>362</v>
      </c>
      <c r="F1838" s="266" t="str">
        <f>VLOOKUP(A3242,[2]Kreise!$A$2:$C$53,3,FALSE)</f>
        <v>K030</v>
      </c>
      <c r="G1838">
        <f>'2020_5-2-2_Download'!BN26</f>
        <v>34.633812457221083</v>
      </c>
    </row>
    <row r="1839" spans="1:7">
      <c r="A1839">
        <f>'2020_5-2-2_Download'!B27</f>
        <v>255</v>
      </c>
      <c r="B1839">
        <f>'2020_5-2-2_Download'!$BH$5</f>
        <v>2011</v>
      </c>
      <c r="C1839" t="str">
        <f>VLOOKUP(A3243,[1]Tabelle1!$A$1:$B$68,2,FALSE)</f>
        <v>Niedersachsen</v>
      </c>
      <c r="D1839" t="str">
        <f>'2020_5-2-2_Download'!$BN$7</f>
        <v>unbekannt</v>
      </c>
      <c r="E1839" t="s">
        <v>362</v>
      </c>
      <c r="F1839" s="266" t="str">
        <f>VLOOKUP(A3243,[2]Kreise!$A$2:$C$53,3,FALSE)</f>
        <v>K030</v>
      </c>
      <c r="G1839">
        <f>'2020_5-2-2_Download'!BN27</f>
        <v>24.667651403249629</v>
      </c>
    </row>
    <row r="1840" spans="1:7">
      <c r="A1840">
        <f>'2020_5-2-2_Download'!B28</f>
        <v>256</v>
      </c>
      <c r="B1840">
        <f>'2020_5-2-2_Download'!$BH$5</f>
        <v>2011</v>
      </c>
      <c r="C1840" t="str">
        <f>VLOOKUP(A3244,[1]Tabelle1!$A$1:$B$68,2,FALSE)</f>
        <v>Niedersachsen</v>
      </c>
      <c r="D1840" t="str">
        <f>'2020_5-2-2_Download'!$BN$7</f>
        <v>unbekannt</v>
      </c>
      <c r="E1840" t="s">
        <v>362</v>
      </c>
      <c r="F1840" s="266" t="str">
        <f>VLOOKUP(A3244,[2]Kreise!$A$2:$C$53,3,FALSE)</f>
        <v>K030</v>
      </c>
      <c r="G1840">
        <f>'2020_5-2-2_Download'!BN28</f>
        <v>42.570281124497988</v>
      </c>
    </row>
    <row r="1841" spans="1:7">
      <c r="A1841">
        <f>'2020_5-2-2_Download'!B29</f>
        <v>257</v>
      </c>
      <c r="B1841">
        <f>'2020_5-2-2_Download'!$BH$5</f>
        <v>2011</v>
      </c>
      <c r="C1841" t="str">
        <f>VLOOKUP(A3245,[1]Tabelle1!$A$1:$B$68,2,FALSE)</f>
        <v>Niedersachsen</v>
      </c>
      <c r="D1841" t="str">
        <f>'2020_5-2-2_Download'!$BN$7</f>
        <v>unbekannt</v>
      </c>
      <c r="E1841" t="s">
        <v>362</v>
      </c>
      <c r="F1841" s="266" t="str">
        <f>VLOOKUP(A3245,[2]Kreise!$A$2:$C$53,3,FALSE)</f>
        <v>K030</v>
      </c>
      <c r="G1841">
        <f>'2020_5-2-2_Download'!BN29</f>
        <v>32.834850455136532</v>
      </c>
    </row>
    <row r="1842" spans="1:7">
      <c r="A1842">
        <f>'2020_5-2-2_Download'!B30</f>
        <v>2</v>
      </c>
      <c r="B1842">
        <f>'2020_5-2-2_Download'!$BH$5</f>
        <v>2011</v>
      </c>
      <c r="C1842" t="str">
        <f>VLOOKUP(A3246,[1]Tabelle1!$A$1:$B$68,2,FALSE)</f>
        <v>Niedersachsen</v>
      </c>
      <c r="D1842" t="str">
        <f>'2020_5-2-2_Download'!$BN$7</f>
        <v>unbekannt</v>
      </c>
      <c r="E1842" t="s">
        <v>362</v>
      </c>
      <c r="F1842" s="266" t="str">
        <f>VLOOKUP(A3246,[2]Kreise!$A$2:$C$53,3,FALSE)</f>
        <v>K030</v>
      </c>
      <c r="G1842">
        <f>'2020_5-2-2_Download'!BN30</f>
        <v>39.704151958312323</v>
      </c>
    </row>
    <row r="1843" spans="1:7">
      <c r="A1843">
        <f>'2020_5-2-2_Download'!B31</f>
        <v>351</v>
      </c>
      <c r="B1843">
        <f>'2020_5-2-2_Download'!$BH$5</f>
        <v>2011</v>
      </c>
      <c r="C1843" t="str">
        <f>VLOOKUP(A3247,[1]Tabelle1!$A$1:$B$68,2,FALSE)</f>
        <v>Niedersachsen</v>
      </c>
      <c r="D1843" t="str">
        <f>'2020_5-2-2_Download'!$BN$7</f>
        <v>unbekannt</v>
      </c>
      <c r="E1843" t="s">
        <v>362</v>
      </c>
      <c r="F1843" s="266" t="str">
        <f>VLOOKUP(A3247,[2]Kreise!$A$2:$C$53,3,FALSE)</f>
        <v>K030</v>
      </c>
      <c r="G1843">
        <f>'2020_5-2-2_Download'!BN31</f>
        <v>33.988095238095227</v>
      </c>
    </row>
    <row r="1844" spans="1:7">
      <c r="A1844">
        <f>'2020_5-2-2_Download'!B32</f>
        <v>352</v>
      </c>
      <c r="B1844">
        <f>'2020_5-2-2_Download'!$BH$5</f>
        <v>2011</v>
      </c>
      <c r="C1844" t="str">
        <f>VLOOKUP(A3248,[1]Tabelle1!$A$1:$B$68,2,FALSE)</f>
        <v>Niedersachsen</v>
      </c>
      <c r="D1844" t="str">
        <f>'2020_5-2-2_Download'!$BN$7</f>
        <v>unbekannt</v>
      </c>
      <c r="E1844" t="s">
        <v>362</v>
      </c>
      <c r="F1844" s="266" t="str">
        <f>VLOOKUP(A3248,[2]Kreise!$A$2:$C$53,3,FALSE)</f>
        <v>K030</v>
      </c>
      <c r="G1844">
        <f>'2020_5-2-2_Download'!BN32</f>
        <v>46.611810261374643</v>
      </c>
    </row>
    <row r="1845" spans="1:7">
      <c r="A1845">
        <f>'2020_5-2-2_Download'!B33</f>
        <v>353</v>
      </c>
      <c r="B1845">
        <f>'2020_5-2-2_Download'!$BH$5</f>
        <v>2011</v>
      </c>
      <c r="C1845" t="str">
        <f>VLOOKUP(A3249,[1]Tabelle1!$A$1:$B$68,2,FALSE)</f>
        <v>Niedersachsen</v>
      </c>
      <c r="D1845" t="str">
        <f>'2020_5-2-2_Download'!$BN$7</f>
        <v>unbekannt</v>
      </c>
      <c r="E1845" t="s">
        <v>362</v>
      </c>
      <c r="F1845" s="266" t="str">
        <f>VLOOKUP(A3249,[2]Kreise!$A$2:$C$53,3,FALSE)</f>
        <v>K030</v>
      </c>
      <c r="G1845">
        <f>'2020_5-2-2_Download'!BN33</f>
        <v>55.221579961464357</v>
      </c>
    </row>
    <row r="1846" spans="1:7">
      <c r="A1846">
        <f>'2020_5-2-2_Download'!B34</f>
        <v>354</v>
      </c>
      <c r="B1846">
        <f>'2020_5-2-2_Download'!$BH$5</f>
        <v>2011</v>
      </c>
      <c r="C1846" t="str">
        <f>VLOOKUP(A3250,[1]Tabelle1!$A$1:$B$68,2,FALSE)</f>
        <v>Niedersachsen</v>
      </c>
      <c r="D1846" t="str">
        <f>'2020_5-2-2_Download'!$BN$7</f>
        <v>unbekannt</v>
      </c>
      <c r="E1846" t="s">
        <v>362</v>
      </c>
      <c r="F1846" s="266" t="str">
        <f>VLOOKUP(A3250,[2]Kreise!$A$2:$C$53,3,FALSE)</f>
        <v>K030</v>
      </c>
      <c r="G1846">
        <f>'2020_5-2-2_Download'!BN34</f>
        <v>53.005464480874309</v>
      </c>
    </row>
    <row r="1847" spans="1:7">
      <c r="A1847">
        <f>'2020_5-2-2_Download'!B35</f>
        <v>355</v>
      </c>
      <c r="B1847">
        <f>'2020_5-2-2_Download'!$BH$5</f>
        <v>2011</v>
      </c>
      <c r="C1847" t="str">
        <f>VLOOKUP(A3251,[1]Tabelle1!$A$1:$B$68,2,FALSE)</f>
        <v>Niedersachsen</v>
      </c>
      <c r="D1847" t="str">
        <f>'2020_5-2-2_Download'!$BN$7</f>
        <v>unbekannt</v>
      </c>
      <c r="E1847" t="s">
        <v>362</v>
      </c>
      <c r="F1847" s="266" t="str">
        <f>VLOOKUP(A3251,[2]Kreise!$A$2:$C$53,3,FALSE)</f>
        <v>K030</v>
      </c>
      <c r="G1847">
        <f>'2020_5-2-2_Download'!BN35</f>
        <v>44.550898203592808</v>
      </c>
    </row>
    <row r="1848" spans="1:7">
      <c r="A1848">
        <f>'2020_5-2-2_Download'!B36</f>
        <v>356</v>
      </c>
      <c r="B1848">
        <f>'2020_5-2-2_Download'!$BH$5</f>
        <v>2011</v>
      </c>
      <c r="C1848" t="str">
        <f>VLOOKUP(A3252,[1]Tabelle1!$A$1:$B$68,2,FALSE)</f>
        <v>Niedersachsen</v>
      </c>
      <c r="D1848" t="str">
        <f>'2020_5-2-2_Download'!$BN$7</f>
        <v>unbekannt</v>
      </c>
      <c r="E1848" t="s">
        <v>362</v>
      </c>
      <c r="F1848" s="266" t="str">
        <f>VLOOKUP(A3252,[2]Kreise!$A$2:$C$53,3,FALSE)</f>
        <v>K030</v>
      </c>
      <c r="G1848">
        <f>'2020_5-2-2_Download'!BN36</f>
        <v>49.806451612903217</v>
      </c>
    </row>
    <row r="1849" spans="1:7">
      <c r="A1849">
        <f>'2020_5-2-2_Download'!B37</f>
        <v>357</v>
      </c>
      <c r="B1849">
        <f>'2020_5-2-2_Download'!$BH$5</f>
        <v>2011</v>
      </c>
      <c r="C1849" t="str">
        <f>VLOOKUP(A3253,[1]Tabelle1!$A$1:$B$68,2,FALSE)</f>
        <v>Niedersachsen</v>
      </c>
      <c r="D1849" t="str">
        <f>'2020_5-2-2_Download'!$BN$7</f>
        <v>unbekannt</v>
      </c>
      <c r="E1849" t="s">
        <v>362</v>
      </c>
      <c r="F1849" s="266" t="str">
        <f>VLOOKUP(A3253,[2]Kreise!$A$2:$C$53,3,FALSE)</f>
        <v>K030</v>
      </c>
      <c r="G1849">
        <f>'2020_5-2-2_Download'!BN37</f>
        <v>38.065414057063329</v>
      </c>
    </row>
    <row r="1850" spans="1:7">
      <c r="A1850">
        <f>'2020_5-2-2_Download'!B38</f>
        <v>358</v>
      </c>
      <c r="B1850">
        <f>'2020_5-2-2_Download'!$BH$5</f>
        <v>2011</v>
      </c>
      <c r="C1850" t="str">
        <f>VLOOKUP(A3254,[1]Tabelle1!$A$1:$B$68,2,FALSE)</f>
        <v>Niedersachsen</v>
      </c>
      <c r="D1850" t="str">
        <f>'2020_5-2-2_Download'!$BN$7</f>
        <v>unbekannt</v>
      </c>
      <c r="E1850" t="s">
        <v>362</v>
      </c>
      <c r="F1850" s="266" t="str">
        <f>VLOOKUP(A3254,[2]Kreise!$A$2:$C$53,3,FALSE)</f>
        <v>K030</v>
      </c>
      <c r="G1850">
        <f>'2020_5-2-2_Download'!BN38</f>
        <v>44.206257242178445</v>
      </c>
    </row>
    <row r="1851" spans="1:7">
      <c r="A1851">
        <f>'2020_5-2-2_Download'!B39</f>
        <v>359</v>
      </c>
      <c r="B1851">
        <f>'2020_5-2-2_Download'!$BH$5</f>
        <v>2011</v>
      </c>
      <c r="C1851" t="str">
        <f>VLOOKUP(A3255,[1]Tabelle1!$A$1:$B$68,2,FALSE)</f>
        <v>Niedersachsen</v>
      </c>
      <c r="D1851" t="str">
        <f>'2020_5-2-2_Download'!$BN$7</f>
        <v>unbekannt</v>
      </c>
      <c r="E1851" t="s">
        <v>362</v>
      </c>
      <c r="F1851" s="266" t="str">
        <f>VLOOKUP(A3255,[2]Kreise!$A$2:$C$53,3,FALSE)</f>
        <v>K030</v>
      </c>
      <c r="G1851">
        <f>'2020_5-2-2_Download'!BN39</f>
        <v>58.500000000000007</v>
      </c>
    </row>
    <row r="1852" spans="1:7">
      <c r="A1852">
        <f>'2020_5-2-2_Download'!B40</f>
        <v>360</v>
      </c>
      <c r="B1852">
        <f>'2020_5-2-2_Download'!$BH$5</f>
        <v>2011</v>
      </c>
      <c r="C1852" t="str">
        <f>VLOOKUP(A3256,[1]Tabelle1!$A$1:$B$68,2,FALSE)</f>
        <v>Niedersachsen</v>
      </c>
      <c r="D1852" t="str">
        <f>'2020_5-2-2_Download'!$BN$7</f>
        <v>unbekannt</v>
      </c>
      <c r="E1852" t="s">
        <v>362</v>
      </c>
      <c r="F1852" s="266" t="str">
        <f>VLOOKUP(A3256,[2]Kreise!$A$2:$C$53,3,FALSE)</f>
        <v>K030</v>
      </c>
      <c r="G1852">
        <f>'2020_5-2-2_Download'!BN40</f>
        <v>50.167785234899327</v>
      </c>
    </row>
    <row r="1853" spans="1:7">
      <c r="A1853">
        <f>'2020_5-2-2_Download'!B41</f>
        <v>361</v>
      </c>
      <c r="B1853">
        <f>'2020_5-2-2_Download'!$BH$5</f>
        <v>2011</v>
      </c>
      <c r="C1853" t="str">
        <f>VLOOKUP(A3257,[1]Tabelle1!$A$1:$B$68,2,FALSE)</f>
        <v>Niedersachsen</v>
      </c>
      <c r="D1853" t="str">
        <f>'2020_5-2-2_Download'!$BN$7</f>
        <v>unbekannt</v>
      </c>
      <c r="E1853" t="s">
        <v>362</v>
      </c>
      <c r="F1853" s="266" t="str">
        <f>VLOOKUP(A3257,[2]Kreise!$A$2:$C$53,3,FALSE)</f>
        <v>K030</v>
      </c>
      <c r="G1853">
        <f>'2020_5-2-2_Download'!BN41</f>
        <v>34.688625836335568</v>
      </c>
    </row>
    <row r="1854" spans="1:7">
      <c r="A1854">
        <f>'2020_5-2-2_Download'!B42</f>
        <v>3</v>
      </c>
      <c r="B1854">
        <f>'2020_5-2-2_Download'!$BH$5</f>
        <v>2011</v>
      </c>
      <c r="C1854" t="str">
        <f>VLOOKUP(A3258,[1]Tabelle1!$A$1:$B$68,2,FALSE)</f>
        <v>Niedersachsen</v>
      </c>
      <c r="D1854" t="str">
        <f>'2020_5-2-2_Download'!$BN$7</f>
        <v>unbekannt</v>
      </c>
      <c r="E1854" t="s">
        <v>362</v>
      </c>
      <c r="F1854" s="266" t="str">
        <f>VLOOKUP(A3258,[2]Kreise!$A$2:$C$53,3,FALSE)</f>
        <v>K030</v>
      </c>
      <c r="G1854">
        <f>'2020_5-2-2_Download'!BN42</f>
        <v>47.100860808835471</v>
      </c>
    </row>
    <row r="1855" spans="1:7">
      <c r="A1855">
        <f>'2020_5-2-2_Download'!B43</f>
        <v>401</v>
      </c>
      <c r="B1855">
        <f>'2020_5-2-2_Download'!$BH$5</f>
        <v>2011</v>
      </c>
      <c r="C1855" t="str">
        <f>VLOOKUP(A3259,[1]Tabelle1!$A$1:$B$68,2,FALSE)</f>
        <v>Niedersachsen</v>
      </c>
      <c r="D1855" t="str">
        <f>'2020_5-2-2_Download'!$BN$7</f>
        <v>unbekannt</v>
      </c>
      <c r="E1855" t="s">
        <v>362</v>
      </c>
      <c r="F1855" s="266" t="str">
        <f>VLOOKUP(A3259,[2]Kreise!$A$2:$C$53,3,FALSE)</f>
        <v>K030</v>
      </c>
      <c r="G1855">
        <f>'2020_5-2-2_Download'!BN43</f>
        <v>54.42622950819672</v>
      </c>
    </row>
    <row r="1856" spans="1:7">
      <c r="A1856">
        <f>'2020_5-2-2_Download'!B44</f>
        <v>402</v>
      </c>
      <c r="B1856">
        <f>'2020_5-2-2_Download'!$BH$5</f>
        <v>2011</v>
      </c>
      <c r="C1856" t="str">
        <f>VLOOKUP(A3260,[1]Tabelle1!$A$1:$B$68,2,FALSE)</f>
        <v>Niedersachsen</v>
      </c>
      <c r="D1856" t="str">
        <f>'2020_5-2-2_Download'!$BN$7</f>
        <v>unbekannt</v>
      </c>
      <c r="E1856" t="s">
        <v>362</v>
      </c>
      <c r="F1856" s="266" t="str">
        <f>VLOOKUP(A3260,[2]Kreise!$A$2:$C$53,3,FALSE)</f>
        <v>K030</v>
      </c>
      <c r="G1856">
        <f>'2020_5-2-2_Download'!BN44</f>
        <v>42.244224422442244</v>
      </c>
    </row>
    <row r="1857" spans="1:7">
      <c r="A1857">
        <f>'2020_5-2-2_Download'!B45</f>
        <v>403</v>
      </c>
      <c r="B1857">
        <f>'2020_5-2-2_Download'!$BH$5</f>
        <v>2011</v>
      </c>
      <c r="C1857" t="str">
        <f>VLOOKUP(A3261,[1]Tabelle1!$A$1:$B$68,2,FALSE)</f>
        <v>Niedersachsen</v>
      </c>
      <c r="D1857" t="str">
        <f>'2020_5-2-2_Download'!$BN$7</f>
        <v>unbekannt</v>
      </c>
      <c r="E1857" t="s">
        <v>362</v>
      </c>
      <c r="F1857" s="266" t="str">
        <f>VLOOKUP(A3261,[2]Kreise!$A$2:$C$53,3,FALSE)</f>
        <v>K030</v>
      </c>
      <c r="G1857">
        <f>'2020_5-2-2_Download'!BN45</f>
        <v>41.870824053452125</v>
      </c>
    </row>
    <row r="1858" spans="1:7">
      <c r="A1858">
        <f>'2020_5-2-2_Download'!B46</f>
        <v>404</v>
      </c>
      <c r="B1858">
        <f>'2020_5-2-2_Download'!$BH$5</f>
        <v>2011</v>
      </c>
      <c r="C1858" t="str">
        <f>VLOOKUP(A3262,[1]Tabelle1!$A$1:$B$68,2,FALSE)</f>
        <v>Niedersachsen</v>
      </c>
      <c r="D1858" t="str">
        <f>'2020_5-2-2_Download'!$BN$7</f>
        <v>unbekannt</v>
      </c>
      <c r="E1858" t="s">
        <v>362</v>
      </c>
      <c r="F1858" s="266" t="str">
        <f>VLOOKUP(A3262,[2]Kreise!$A$2:$C$53,3,FALSE)</f>
        <v>K030</v>
      </c>
      <c r="G1858">
        <f>'2020_5-2-2_Download'!BN46</f>
        <v>34.641126240480034</v>
      </c>
    </row>
    <row r="1859" spans="1:7">
      <c r="A1859">
        <f>'2020_5-2-2_Download'!B47</f>
        <v>405</v>
      </c>
      <c r="B1859">
        <f>'2020_5-2-2_Download'!$BH$5</f>
        <v>2011</v>
      </c>
      <c r="C1859" t="str">
        <f>VLOOKUP(A3263,[1]Tabelle1!$A$1:$B$68,2,FALSE)</f>
        <v>Niedersachsen</v>
      </c>
      <c r="D1859" t="str">
        <f>'2020_5-2-2_Download'!$BN$7</f>
        <v>unbekannt</v>
      </c>
      <c r="E1859" t="s">
        <v>362</v>
      </c>
      <c r="F1859" s="266" t="str">
        <f>VLOOKUP(A3263,[2]Kreise!$A$2:$C$53,3,FALSE)</f>
        <v>K030</v>
      </c>
      <c r="G1859">
        <f>'2020_5-2-2_Download'!BN47</f>
        <v>37.702265372168284</v>
      </c>
    </row>
    <row r="1860" spans="1:7">
      <c r="A1860">
        <f>'2020_5-2-2_Download'!B48</f>
        <v>451</v>
      </c>
      <c r="B1860">
        <f>'2020_5-2-2_Download'!$BH$5</f>
        <v>2011</v>
      </c>
      <c r="C1860" t="str">
        <f>VLOOKUP(A3264,[1]Tabelle1!$A$1:$B$68,2,FALSE)</f>
        <v>Niedersachsen</v>
      </c>
      <c r="D1860" t="str">
        <f>'2020_5-2-2_Download'!$BN$7</f>
        <v>unbekannt</v>
      </c>
      <c r="E1860" t="s">
        <v>362</v>
      </c>
      <c r="F1860" s="266" t="str">
        <f>VLOOKUP(A3264,[2]Kreise!$A$2:$C$53,3,FALSE)</f>
        <v>K030</v>
      </c>
      <c r="G1860">
        <f>'2020_5-2-2_Download'!BN48</f>
        <v>51.329243353783227</v>
      </c>
    </row>
    <row r="1861" spans="1:7">
      <c r="A1861">
        <f>'2020_5-2-2_Download'!B49</f>
        <v>452</v>
      </c>
      <c r="B1861">
        <f>'2020_5-2-2_Download'!$BH$5</f>
        <v>2011</v>
      </c>
      <c r="C1861" t="str">
        <f>VLOOKUP(A3265,[1]Tabelle1!$A$1:$B$68,2,FALSE)</f>
        <v>Niedersachsen</v>
      </c>
      <c r="D1861" t="str">
        <f>'2020_5-2-2_Download'!$BN$7</f>
        <v>unbekannt</v>
      </c>
      <c r="E1861" t="s">
        <v>362</v>
      </c>
      <c r="F1861" s="266" t="str">
        <f>VLOOKUP(A3265,[2]Kreise!$A$2:$C$53,3,FALSE)</f>
        <v>K030</v>
      </c>
      <c r="G1861">
        <f>'2020_5-2-2_Download'!BN49</f>
        <v>50.397877984084872</v>
      </c>
    </row>
    <row r="1862" spans="1:7">
      <c r="A1862">
        <f>'2020_5-2-2_Download'!B50</f>
        <v>453</v>
      </c>
      <c r="B1862">
        <f>'2020_5-2-2_Download'!$BH$5</f>
        <v>2011</v>
      </c>
      <c r="C1862" t="str">
        <f>VLOOKUP(A3266,[1]Tabelle1!$A$1:$B$68,2,FALSE)</f>
        <v>Niedersachsen</v>
      </c>
      <c r="D1862" t="str">
        <f>'2020_5-2-2_Download'!$BN$7</f>
        <v>unbekannt</v>
      </c>
      <c r="E1862" t="s">
        <v>362</v>
      </c>
      <c r="F1862" s="266" t="str">
        <f>VLOOKUP(A3266,[2]Kreise!$A$2:$C$53,3,FALSE)</f>
        <v>K030</v>
      </c>
      <c r="G1862">
        <f>'2020_5-2-2_Download'!BN50</f>
        <v>55.832389580973945</v>
      </c>
    </row>
    <row r="1863" spans="1:7">
      <c r="A1863">
        <f>'2020_5-2-2_Download'!B51</f>
        <v>454</v>
      </c>
      <c r="B1863">
        <f>'2020_5-2-2_Download'!$BH$5</f>
        <v>2011</v>
      </c>
      <c r="C1863" t="str">
        <f>VLOOKUP(A3267,[1]Tabelle1!$A$1:$B$68,2,FALSE)</f>
        <v>Niedersachsen</v>
      </c>
      <c r="D1863" t="str">
        <f>'2020_5-2-2_Download'!$BN$7</f>
        <v>unbekannt</v>
      </c>
      <c r="E1863" t="s">
        <v>362</v>
      </c>
      <c r="F1863" s="266" t="str">
        <f>VLOOKUP(A3267,[2]Kreise!$A$2:$C$53,3,FALSE)</f>
        <v>K030</v>
      </c>
      <c r="G1863">
        <f>'2020_5-2-2_Download'!BN51</f>
        <v>39.33203631647212</v>
      </c>
    </row>
    <row r="1864" spans="1:7">
      <c r="A1864">
        <f>'2020_5-2-2_Download'!B52</f>
        <v>455</v>
      </c>
      <c r="B1864">
        <f>'2020_5-2-2_Download'!$BH$5</f>
        <v>2011</v>
      </c>
      <c r="C1864" t="str">
        <f>VLOOKUP(A3268,[1]Tabelle1!$A$1:$B$68,2,FALSE)</f>
        <v>Niedersachsen</v>
      </c>
      <c r="D1864" t="str">
        <f>'2020_5-2-2_Download'!$BN$7</f>
        <v>unbekannt</v>
      </c>
      <c r="E1864" t="s">
        <v>362</v>
      </c>
      <c r="F1864" s="266" t="str">
        <f>VLOOKUP(A3268,[2]Kreise!$A$2:$C$53,3,FALSE)</f>
        <v>K030</v>
      </c>
      <c r="G1864">
        <f>'2020_5-2-2_Download'!BN52</f>
        <v>45.036764705882362</v>
      </c>
    </row>
    <row r="1865" spans="1:7">
      <c r="A1865">
        <f>'2020_5-2-2_Download'!B53</f>
        <v>456</v>
      </c>
      <c r="B1865">
        <f>'2020_5-2-2_Download'!$BH$5</f>
        <v>2011</v>
      </c>
      <c r="C1865" t="str">
        <f>VLOOKUP(A3269,[1]Tabelle1!$A$1:$B$68,2,FALSE)</f>
        <v>Niedersachsen</v>
      </c>
      <c r="D1865" t="str">
        <f>'2020_5-2-2_Download'!$BN$7</f>
        <v>unbekannt</v>
      </c>
      <c r="E1865" t="s">
        <v>362</v>
      </c>
      <c r="F1865" s="266" t="str">
        <f>VLOOKUP(A3269,[2]Kreise!$A$2:$C$53,3,FALSE)</f>
        <v>K030</v>
      </c>
      <c r="G1865">
        <f>'2020_5-2-2_Download'!BN53</f>
        <v>38.298943130347254</v>
      </c>
    </row>
    <row r="1866" spans="1:7">
      <c r="A1866">
        <f>'2020_5-2-2_Download'!B54</f>
        <v>457</v>
      </c>
      <c r="B1866">
        <f>'2020_5-2-2_Download'!$BH$5</f>
        <v>2011</v>
      </c>
      <c r="C1866" t="str">
        <f>VLOOKUP(A3270,[1]Tabelle1!$A$1:$B$68,2,FALSE)</f>
        <v>Niedersachsen</v>
      </c>
      <c r="D1866" t="str">
        <f>'2020_5-2-2_Download'!$BN$7</f>
        <v>unbekannt</v>
      </c>
      <c r="E1866" t="s">
        <v>362</v>
      </c>
      <c r="F1866" s="266" t="str">
        <f>VLOOKUP(A3270,[2]Kreise!$A$2:$C$53,3,FALSE)</f>
        <v>K030</v>
      </c>
      <c r="G1866">
        <f>'2020_5-2-2_Download'!BN54</f>
        <v>59.20624593363695</v>
      </c>
    </row>
    <row r="1867" spans="1:7">
      <c r="A1867">
        <f>'2020_5-2-2_Download'!B55</f>
        <v>458</v>
      </c>
      <c r="B1867">
        <f>'2020_5-2-2_Download'!$BH$5</f>
        <v>2011</v>
      </c>
      <c r="C1867" t="str">
        <f>VLOOKUP(A3271,[1]Tabelle1!$A$1:$B$68,2,FALSE)</f>
        <v>Niedersachsen</v>
      </c>
      <c r="D1867" t="str">
        <f>'2020_5-2-2_Download'!$BN$7</f>
        <v>unbekannt</v>
      </c>
      <c r="E1867" t="s">
        <v>362</v>
      </c>
      <c r="F1867" s="266" t="str">
        <f>VLOOKUP(A3271,[2]Kreise!$A$2:$C$53,3,FALSE)</f>
        <v>K030</v>
      </c>
      <c r="G1867">
        <f>'2020_5-2-2_Download'!BN55</f>
        <v>63.265306122448983</v>
      </c>
    </row>
    <row r="1868" spans="1:7">
      <c r="A1868">
        <f>'2020_5-2-2_Download'!B56</f>
        <v>459</v>
      </c>
      <c r="B1868">
        <f>'2020_5-2-2_Download'!$BH$5</f>
        <v>2011</v>
      </c>
      <c r="C1868" t="str">
        <f>VLOOKUP(A3272,[1]Tabelle1!$A$1:$B$68,2,FALSE)</f>
        <v>Niedersachsen</v>
      </c>
      <c r="D1868" t="str">
        <f>'2020_5-2-2_Download'!$BN$7</f>
        <v>unbekannt</v>
      </c>
      <c r="E1868" t="s">
        <v>362</v>
      </c>
      <c r="F1868" s="266" t="str">
        <f>VLOOKUP(A3272,[2]Kreise!$A$2:$C$53,3,FALSE)</f>
        <v>K030</v>
      </c>
      <c r="G1868">
        <f>'2020_5-2-2_Download'!BN56</f>
        <v>42.265105979120527</v>
      </c>
    </row>
    <row r="1869" spans="1:7">
      <c r="A1869">
        <f>'2020_5-2-2_Download'!B57</f>
        <v>460</v>
      </c>
      <c r="B1869">
        <f>'2020_5-2-2_Download'!$BH$5</f>
        <v>2011</v>
      </c>
      <c r="C1869" t="str">
        <f>VLOOKUP(A3273,[1]Tabelle1!$A$1:$B$68,2,FALSE)</f>
        <v>Niedersachsen</v>
      </c>
      <c r="D1869" t="str">
        <f>'2020_5-2-2_Download'!$BN$7</f>
        <v>unbekannt</v>
      </c>
      <c r="E1869" t="s">
        <v>362</v>
      </c>
      <c r="F1869" s="266" t="str">
        <f>VLOOKUP(A3273,[2]Kreise!$A$2:$C$53,3,FALSE)</f>
        <v>K030</v>
      </c>
      <c r="G1869">
        <f>'2020_5-2-2_Download'!BN57</f>
        <v>65.731504571903571</v>
      </c>
    </row>
    <row r="1870" spans="1:7">
      <c r="A1870">
        <f>'2020_5-2-2_Download'!B58</f>
        <v>461</v>
      </c>
      <c r="B1870">
        <f>'2020_5-2-2_Download'!$BH$5</f>
        <v>2011</v>
      </c>
      <c r="C1870" t="str">
        <f>VLOOKUP(A3274,[1]Tabelle1!$A$1:$B$68,2,FALSE)</f>
        <v>Niedersachsen</v>
      </c>
      <c r="D1870" t="str">
        <f>'2020_5-2-2_Download'!$BN$7</f>
        <v>unbekannt</v>
      </c>
      <c r="E1870" t="s">
        <v>362</v>
      </c>
      <c r="F1870" s="266" t="str">
        <f>VLOOKUP(A3274,[2]Kreise!$A$2:$C$53,3,FALSE)</f>
        <v>K030</v>
      </c>
      <c r="G1870">
        <f>'2020_5-2-2_Download'!BN58</f>
        <v>33.512352309344791</v>
      </c>
    </row>
    <row r="1871" spans="1:7">
      <c r="A1871">
        <f>'2020_5-2-2_Download'!B59</f>
        <v>462</v>
      </c>
      <c r="B1871">
        <f>'2020_5-2-2_Download'!$BH$5</f>
        <v>2011</v>
      </c>
      <c r="C1871" t="str">
        <f>VLOOKUP(A3275,[1]Tabelle1!$A$1:$B$68,2,FALSE)</f>
        <v>Niedersachsen</v>
      </c>
      <c r="D1871" t="str">
        <f>'2020_5-2-2_Download'!$BN$7</f>
        <v>unbekannt</v>
      </c>
      <c r="E1871" t="s">
        <v>362</v>
      </c>
      <c r="F1871" s="266" t="str">
        <f>VLOOKUP(A3275,[2]Kreise!$A$2:$C$53,3,FALSE)</f>
        <v>K030</v>
      </c>
      <c r="G1871" t="str">
        <f>'2020_5-2-2_Download'!BN59</f>
        <v>.</v>
      </c>
    </row>
    <row r="1872" spans="1:7">
      <c r="A1872">
        <f>'2020_5-2-2_Download'!B60</f>
        <v>4</v>
      </c>
      <c r="B1872">
        <f>'2020_5-2-2_Download'!$BH$5</f>
        <v>2011</v>
      </c>
      <c r="C1872" t="str">
        <f>VLOOKUP(A3276,[1]Tabelle1!$A$1:$B$68,2,FALSE)</f>
        <v>Niedersachsen</v>
      </c>
      <c r="D1872" t="str">
        <f>'2020_5-2-2_Download'!$BN$7</f>
        <v>unbekannt</v>
      </c>
      <c r="E1872" t="s">
        <v>362</v>
      </c>
      <c r="F1872" s="266" t="str">
        <f>VLOOKUP(A3276,[2]Kreise!$A$2:$C$53,3,FALSE)</f>
        <v>K030</v>
      </c>
      <c r="G1872">
        <f>'2020_5-2-2_Download'!BN60</f>
        <v>47.571725338274092</v>
      </c>
    </row>
    <row r="1873" spans="1:7">
      <c r="A1873">
        <f>'2020_5-2-2_Download'!B61</f>
        <v>0</v>
      </c>
      <c r="B1873">
        <f>'2020_5-2-2_Download'!$BH$5</f>
        <v>2011</v>
      </c>
      <c r="C1873" t="str">
        <f>VLOOKUP(A3277,[1]Tabelle1!$A$1:$B$68,2,FALSE)</f>
        <v>Niedersachsen</v>
      </c>
      <c r="D1873" t="str">
        <f>'2020_5-2-2_Download'!$BN$7</f>
        <v>unbekannt</v>
      </c>
      <c r="E1873" t="s">
        <v>362</v>
      </c>
      <c r="F1873" s="266" t="str">
        <f>VLOOKUP(A3277,[2]Kreise!$A$2:$C$53,3,FALSE)</f>
        <v>K030</v>
      </c>
      <c r="G1873">
        <f>'2020_5-2-2_Download'!BN61</f>
        <v>41.409527592284576</v>
      </c>
    </row>
    <row r="1874" spans="1:7">
      <c r="F1874" s="266"/>
    </row>
    <row r="1875" spans="1:7">
      <c r="F1875" s="266"/>
    </row>
    <row r="1876" spans="1:7">
      <c r="F1876" s="266"/>
    </row>
    <row r="1877" spans="1:7">
      <c r="F1877" s="266"/>
    </row>
    <row r="1878" spans="1:7">
      <c r="F1878" s="266"/>
    </row>
    <row r="1879" spans="1:7">
      <c r="F1879" s="266"/>
    </row>
    <row r="1880" spans="1:7">
      <c r="F1880" s="266"/>
    </row>
    <row r="1881" spans="1:7">
      <c r="F1881" s="266"/>
    </row>
    <row r="1882" spans="1:7">
      <c r="F1882" s="266"/>
    </row>
    <row r="1883" spans="1:7">
      <c r="F1883" s="266"/>
    </row>
    <row r="1884" spans="1:7">
      <c r="F1884" s="266"/>
    </row>
    <row r="1885" spans="1:7">
      <c r="F1885" s="266"/>
    </row>
    <row r="1886" spans="1:7">
      <c r="F1886" s="266"/>
    </row>
    <row r="1887" spans="1:7">
      <c r="F1887" s="266"/>
    </row>
    <row r="1888" spans="1:7">
      <c r="F1888" s="266"/>
    </row>
    <row r="1889" spans="6:6">
      <c r="F1889" s="266"/>
    </row>
    <row r="1890" spans="6:6">
      <c r="F1890" s="266"/>
    </row>
  </sheetData>
  <autoFilter ref="A1:F1873" xr:uid="{E0150885-B1B8-44B4-BC45-18543A2E8E93}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40A12-6E04-4E4C-9C62-4EA5425151FC}">
  <sheetPr codeName="Tabelle19"/>
  <dimension ref="A1:G1875"/>
  <sheetViews>
    <sheetView tabSelected="1" workbookViewId="0">
      <selection activeCell="B1" sqref="B1:G1873"/>
    </sheetView>
  </sheetViews>
  <sheetFormatPr baseColWidth="10" defaultRowHeight="13.5"/>
  <cols>
    <col min="3" max="3" width="36.125" customWidth="1"/>
  </cols>
  <sheetData>
    <row r="1" spans="1:7">
      <c r="A1" t="s">
        <v>220</v>
      </c>
      <c r="B1" t="s">
        <v>355</v>
      </c>
      <c r="C1" t="s">
        <v>356</v>
      </c>
      <c r="D1" t="s">
        <v>358</v>
      </c>
      <c r="E1" t="s">
        <v>361</v>
      </c>
      <c r="F1" t="s">
        <v>359</v>
      </c>
      <c r="G1" t="s">
        <v>360</v>
      </c>
    </row>
    <row r="2" spans="1:7">
      <c r="A2">
        <v>101</v>
      </c>
      <c r="B2">
        <v>2020</v>
      </c>
      <c r="C2" t="s">
        <v>363</v>
      </c>
      <c r="D2" t="s">
        <v>91</v>
      </c>
      <c r="E2" t="s">
        <v>362</v>
      </c>
      <c r="F2" s="267" t="s">
        <v>364</v>
      </c>
      <c r="G2" s="267" t="s">
        <v>1630</v>
      </c>
    </row>
    <row r="3" spans="1:7">
      <c r="A3">
        <v>102</v>
      </c>
      <c r="B3">
        <v>2020</v>
      </c>
      <c r="C3" t="s">
        <v>365</v>
      </c>
      <c r="D3" t="s">
        <v>91</v>
      </c>
      <c r="E3" t="s">
        <v>362</v>
      </c>
      <c r="F3" s="267" t="s">
        <v>366</v>
      </c>
      <c r="G3" s="267" t="s">
        <v>1631</v>
      </c>
    </row>
    <row r="4" spans="1:7">
      <c r="A4">
        <v>103</v>
      </c>
      <c r="B4">
        <v>2020</v>
      </c>
      <c r="C4" t="s">
        <v>367</v>
      </c>
      <c r="D4" t="s">
        <v>91</v>
      </c>
      <c r="E4" t="s">
        <v>362</v>
      </c>
      <c r="F4" s="267" t="s">
        <v>368</v>
      </c>
      <c r="G4" s="267" t="s">
        <v>1632</v>
      </c>
    </row>
    <row r="5" spans="1:7">
      <c r="A5">
        <v>151</v>
      </c>
      <c r="B5">
        <v>2020</v>
      </c>
      <c r="C5" t="s">
        <v>94</v>
      </c>
      <c r="D5" t="s">
        <v>91</v>
      </c>
      <c r="E5" t="s">
        <v>362</v>
      </c>
      <c r="F5" s="267" t="s">
        <v>369</v>
      </c>
      <c r="G5" s="267" t="s">
        <v>1633</v>
      </c>
    </row>
    <row r="6" spans="1:7">
      <c r="A6">
        <v>153</v>
      </c>
      <c r="B6">
        <v>2020</v>
      </c>
      <c r="C6" t="s">
        <v>96</v>
      </c>
      <c r="D6" t="s">
        <v>91</v>
      </c>
      <c r="E6" t="s">
        <v>362</v>
      </c>
      <c r="F6" s="267" t="s">
        <v>370</v>
      </c>
      <c r="G6" s="267" t="s">
        <v>1634</v>
      </c>
    </row>
    <row r="7" spans="1:7">
      <c r="A7">
        <v>154</v>
      </c>
      <c r="B7">
        <v>2020</v>
      </c>
      <c r="C7" t="s">
        <v>97</v>
      </c>
      <c r="D7" t="s">
        <v>91</v>
      </c>
      <c r="E7" t="s">
        <v>362</v>
      </c>
      <c r="F7" s="267" t="s">
        <v>371</v>
      </c>
      <c r="G7" s="267" t="s">
        <v>1635</v>
      </c>
    </row>
    <row r="8" spans="1:7">
      <c r="A8">
        <v>155</v>
      </c>
      <c r="B8">
        <v>2020</v>
      </c>
      <c r="C8" t="s">
        <v>98</v>
      </c>
      <c r="D8" t="s">
        <v>91</v>
      </c>
      <c r="E8" t="s">
        <v>362</v>
      </c>
      <c r="F8" s="267" t="s">
        <v>372</v>
      </c>
      <c r="G8" s="267" t="s">
        <v>1636</v>
      </c>
    </row>
    <row r="9" spans="1:7">
      <c r="A9">
        <v>157</v>
      </c>
      <c r="B9">
        <v>2020</v>
      </c>
      <c r="C9" t="s">
        <v>99</v>
      </c>
      <c r="D9" t="s">
        <v>91</v>
      </c>
      <c r="E9" t="s">
        <v>362</v>
      </c>
      <c r="F9" s="267" t="s">
        <v>373</v>
      </c>
      <c r="G9" s="267" t="s">
        <v>1637</v>
      </c>
    </row>
    <row r="10" spans="1:7">
      <c r="A10">
        <v>158</v>
      </c>
      <c r="B10">
        <v>2020</v>
      </c>
      <c r="C10" t="s">
        <v>100</v>
      </c>
      <c r="D10" t="s">
        <v>91</v>
      </c>
      <c r="E10" t="s">
        <v>362</v>
      </c>
      <c r="F10" s="267" t="s">
        <v>374</v>
      </c>
      <c r="G10" s="267" t="s">
        <v>1638</v>
      </c>
    </row>
    <row r="11" spans="1:7">
      <c r="A11">
        <v>159</v>
      </c>
      <c r="B11">
        <v>2020</v>
      </c>
      <c r="C11" t="s">
        <v>95</v>
      </c>
      <c r="D11" t="s">
        <v>91</v>
      </c>
      <c r="E11" t="s">
        <v>362</v>
      </c>
      <c r="F11" s="267" t="s">
        <v>375</v>
      </c>
      <c r="G11" s="267" t="s">
        <v>1639</v>
      </c>
    </row>
    <row r="12" spans="1:7">
      <c r="A12">
        <v>1</v>
      </c>
      <c r="B12">
        <v>2020</v>
      </c>
      <c r="C12" t="s">
        <v>154</v>
      </c>
      <c r="D12" t="s">
        <v>91</v>
      </c>
      <c r="E12" t="s">
        <v>362</v>
      </c>
      <c r="F12" s="267" t="s">
        <v>376</v>
      </c>
      <c r="G12" s="267" t="s">
        <v>1640</v>
      </c>
    </row>
    <row r="13" spans="1:7">
      <c r="A13">
        <v>241</v>
      </c>
      <c r="B13">
        <v>2020</v>
      </c>
      <c r="C13" t="s">
        <v>377</v>
      </c>
      <c r="D13" t="s">
        <v>91</v>
      </c>
      <c r="E13" t="s">
        <v>362</v>
      </c>
      <c r="F13" s="267" t="s">
        <v>378</v>
      </c>
      <c r="G13" s="267" t="s">
        <v>1641</v>
      </c>
    </row>
    <row r="14" spans="1:7">
      <c r="A14">
        <v>241001</v>
      </c>
      <c r="B14">
        <v>2020</v>
      </c>
      <c r="C14" t="s">
        <v>379</v>
      </c>
      <c r="D14" t="s">
        <v>91</v>
      </c>
      <c r="E14" t="s">
        <v>362</v>
      </c>
      <c r="F14" s="267" t="s">
        <v>380</v>
      </c>
      <c r="G14" s="267" t="s">
        <v>1642</v>
      </c>
    </row>
    <row r="15" spans="1:7">
      <c r="A15">
        <v>241999</v>
      </c>
      <c r="B15">
        <v>2020</v>
      </c>
      <c r="C15" t="s">
        <v>381</v>
      </c>
      <c r="D15" t="s">
        <v>91</v>
      </c>
      <c r="E15" t="s">
        <v>362</v>
      </c>
      <c r="F15" s="267" t="s">
        <v>382</v>
      </c>
      <c r="G15" s="267" t="s">
        <v>1643</v>
      </c>
    </row>
    <row r="16" spans="1:7">
      <c r="A16">
        <v>251</v>
      </c>
      <c r="B16">
        <v>2020</v>
      </c>
      <c r="C16" t="s">
        <v>101</v>
      </c>
      <c r="D16" t="s">
        <v>91</v>
      </c>
      <c r="E16" t="s">
        <v>362</v>
      </c>
      <c r="F16" s="267" t="s">
        <v>383</v>
      </c>
      <c r="G16" s="267" t="s">
        <v>1644</v>
      </c>
    </row>
    <row r="17" spans="1:7">
      <c r="A17">
        <v>252</v>
      </c>
      <c r="B17">
        <v>2020</v>
      </c>
      <c r="C17" t="s">
        <v>102</v>
      </c>
      <c r="D17" t="s">
        <v>91</v>
      </c>
      <c r="E17" t="s">
        <v>362</v>
      </c>
      <c r="F17" s="267" t="s">
        <v>384</v>
      </c>
      <c r="G17" s="267" t="s">
        <v>1645</v>
      </c>
    </row>
    <row r="18" spans="1:7">
      <c r="A18">
        <v>254</v>
      </c>
      <c r="B18">
        <v>2020</v>
      </c>
      <c r="C18" t="s">
        <v>103</v>
      </c>
      <c r="D18" t="s">
        <v>91</v>
      </c>
      <c r="E18" t="s">
        <v>362</v>
      </c>
      <c r="F18" s="267" t="s">
        <v>385</v>
      </c>
      <c r="G18" s="267" t="s">
        <v>1646</v>
      </c>
    </row>
    <row r="19" spans="1:7">
      <c r="A19">
        <v>255</v>
      </c>
      <c r="B19">
        <v>2020</v>
      </c>
      <c r="C19" t="s">
        <v>104</v>
      </c>
      <c r="D19" t="s">
        <v>91</v>
      </c>
      <c r="E19" t="s">
        <v>362</v>
      </c>
      <c r="F19" s="267" t="s">
        <v>386</v>
      </c>
      <c r="G19" s="267" t="s">
        <v>1647</v>
      </c>
    </row>
    <row r="20" spans="1:7">
      <c r="A20">
        <v>256</v>
      </c>
      <c r="B20">
        <v>2020</v>
      </c>
      <c r="C20" t="s">
        <v>105</v>
      </c>
      <c r="D20" t="s">
        <v>91</v>
      </c>
      <c r="E20" t="s">
        <v>362</v>
      </c>
      <c r="F20" s="267" t="s">
        <v>387</v>
      </c>
      <c r="G20" s="267" t="s">
        <v>1648</v>
      </c>
    </row>
    <row r="21" spans="1:7">
      <c r="A21">
        <v>257</v>
      </c>
      <c r="B21">
        <v>2020</v>
      </c>
      <c r="C21" t="s">
        <v>106</v>
      </c>
      <c r="D21" t="s">
        <v>91</v>
      </c>
      <c r="E21" t="s">
        <v>362</v>
      </c>
      <c r="F21" s="267" t="s">
        <v>388</v>
      </c>
      <c r="G21" s="267" t="s">
        <v>1649</v>
      </c>
    </row>
    <row r="22" spans="1:7">
      <c r="A22">
        <v>2</v>
      </c>
      <c r="B22">
        <v>2020</v>
      </c>
      <c r="C22" t="s">
        <v>155</v>
      </c>
      <c r="D22" t="s">
        <v>91</v>
      </c>
      <c r="E22" t="s">
        <v>362</v>
      </c>
      <c r="F22" s="267" t="s">
        <v>389</v>
      </c>
      <c r="G22" s="267" t="s">
        <v>1650</v>
      </c>
    </row>
    <row r="23" spans="1:7">
      <c r="A23">
        <v>351</v>
      </c>
      <c r="B23">
        <v>2020</v>
      </c>
      <c r="C23" t="s">
        <v>107</v>
      </c>
      <c r="D23" t="s">
        <v>91</v>
      </c>
      <c r="E23" t="s">
        <v>362</v>
      </c>
      <c r="F23" s="267" t="s">
        <v>390</v>
      </c>
      <c r="G23" s="267" t="s">
        <v>1651</v>
      </c>
    </row>
    <row r="24" spans="1:7">
      <c r="A24">
        <v>352</v>
      </c>
      <c r="B24">
        <v>2020</v>
      </c>
      <c r="C24" t="s">
        <v>108</v>
      </c>
      <c r="D24" t="s">
        <v>91</v>
      </c>
      <c r="E24" t="s">
        <v>362</v>
      </c>
      <c r="F24" s="267" t="s">
        <v>391</v>
      </c>
      <c r="G24" s="267" t="s">
        <v>1652</v>
      </c>
    </row>
    <row r="25" spans="1:7">
      <c r="A25">
        <v>353</v>
      </c>
      <c r="B25">
        <v>2020</v>
      </c>
      <c r="C25" t="s">
        <v>109</v>
      </c>
      <c r="D25" t="s">
        <v>91</v>
      </c>
      <c r="E25" t="s">
        <v>362</v>
      </c>
      <c r="F25" s="267" t="s">
        <v>392</v>
      </c>
      <c r="G25" s="267" t="s">
        <v>1653</v>
      </c>
    </row>
    <row r="26" spans="1:7">
      <c r="A26">
        <v>354</v>
      </c>
      <c r="B26">
        <v>2020</v>
      </c>
      <c r="C26" t="s">
        <v>110</v>
      </c>
      <c r="D26" t="s">
        <v>91</v>
      </c>
      <c r="E26" t="s">
        <v>362</v>
      </c>
      <c r="F26" s="267" t="s">
        <v>393</v>
      </c>
      <c r="G26" s="267" t="s">
        <v>1654</v>
      </c>
    </row>
    <row r="27" spans="1:7">
      <c r="A27">
        <v>355</v>
      </c>
      <c r="B27">
        <v>2020</v>
      </c>
      <c r="C27" t="s">
        <v>111</v>
      </c>
      <c r="D27" t="s">
        <v>91</v>
      </c>
      <c r="E27" t="s">
        <v>362</v>
      </c>
      <c r="F27" s="267" t="s">
        <v>394</v>
      </c>
      <c r="G27" s="267" t="s">
        <v>1655</v>
      </c>
    </row>
    <row r="28" spans="1:7">
      <c r="A28">
        <v>356</v>
      </c>
      <c r="B28">
        <v>2020</v>
      </c>
      <c r="C28" t="s">
        <v>112</v>
      </c>
      <c r="D28" t="s">
        <v>91</v>
      </c>
      <c r="E28" t="s">
        <v>362</v>
      </c>
      <c r="F28" s="267" t="s">
        <v>395</v>
      </c>
      <c r="G28" s="267" t="s">
        <v>1656</v>
      </c>
    </row>
    <row r="29" spans="1:7">
      <c r="A29">
        <v>357</v>
      </c>
      <c r="B29">
        <v>2020</v>
      </c>
      <c r="C29" t="s">
        <v>113</v>
      </c>
      <c r="D29" t="s">
        <v>91</v>
      </c>
      <c r="E29" t="s">
        <v>362</v>
      </c>
      <c r="F29" s="267" t="s">
        <v>396</v>
      </c>
      <c r="G29" s="267" t="s">
        <v>1657</v>
      </c>
    </row>
    <row r="30" spans="1:7">
      <c r="A30">
        <v>358</v>
      </c>
      <c r="B30">
        <v>2020</v>
      </c>
      <c r="C30" t="s">
        <v>114</v>
      </c>
      <c r="D30" t="s">
        <v>91</v>
      </c>
      <c r="E30" t="s">
        <v>362</v>
      </c>
      <c r="F30" s="267" t="s">
        <v>397</v>
      </c>
      <c r="G30" s="267" t="s">
        <v>1658</v>
      </c>
    </row>
    <row r="31" spans="1:7">
      <c r="A31">
        <v>359</v>
      </c>
      <c r="B31">
        <v>2020</v>
      </c>
      <c r="C31" t="s">
        <v>115</v>
      </c>
      <c r="D31" t="s">
        <v>91</v>
      </c>
      <c r="E31" t="s">
        <v>362</v>
      </c>
      <c r="F31" s="267" t="s">
        <v>398</v>
      </c>
      <c r="G31" s="267" t="s">
        <v>1659</v>
      </c>
    </row>
    <row r="32" spans="1:7">
      <c r="A32">
        <v>360</v>
      </c>
      <c r="B32">
        <v>2020</v>
      </c>
      <c r="C32" t="s">
        <v>116</v>
      </c>
      <c r="D32" t="s">
        <v>91</v>
      </c>
      <c r="E32" t="s">
        <v>362</v>
      </c>
      <c r="F32" s="267" t="s">
        <v>399</v>
      </c>
      <c r="G32" s="267" t="s">
        <v>1660</v>
      </c>
    </row>
    <row r="33" spans="1:7">
      <c r="A33">
        <v>361</v>
      </c>
      <c r="B33">
        <v>2020</v>
      </c>
      <c r="C33" t="s">
        <v>117</v>
      </c>
      <c r="D33" t="s">
        <v>91</v>
      </c>
      <c r="E33" t="s">
        <v>362</v>
      </c>
      <c r="F33" s="267" t="s">
        <v>400</v>
      </c>
      <c r="G33" s="267" t="s">
        <v>1661</v>
      </c>
    </row>
    <row r="34" spans="1:7">
      <c r="A34">
        <v>3</v>
      </c>
      <c r="B34">
        <v>2020</v>
      </c>
      <c r="C34" t="s">
        <v>156</v>
      </c>
      <c r="D34" t="s">
        <v>91</v>
      </c>
      <c r="E34" t="s">
        <v>362</v>
      </c>
      <c r="F34" s="267" t="s">
        <v>401</v>
      </c>
      <c r="G34" s="267" t="s">
        <v>1662</v>
      </c>
    </row>
    <row r="35" spans="1:7">
      <c r="A35">
        <v>401</v>
      </c>
      <c r="B35">
        <v>2020</v>
      </c>
      <c r="C35" t="s">
        <v>402</v>
      </c>
      <c r="D35" t="s">
        <v>91</v>
      </c>
      <c r="E35" t="s">
        <v>362</v>
      </c>
      <c r="F35" s="267" t="s">
        <v>403</v>
      </c>
      <c r="G35" s="267" t="s">
        <v>1663</v>
      </c>
    </row>
    <row r="36" spans="1:7">
      <c r="A36">
        <v>402</v>
      </c>
      <c r="B36">
        <v>2020</v>
      </c>
      <c r="C36" t="s">
        <v>404</v>
      </c>
      <c r="D36" t="s">
        <v>91</v>
      </c>
      <c r="E36" t="s">
        <v>362</v>
      </c>
      <c r="F36" s="267" t="s">
        <v>405</v>
      </c>
      <c r="G36" s="267" t="s">
        <v>1664</v>
      </c>
    </row>
    <row r="37" spans="1:7">
      <c r="A37">
        <v>403</v>
      </c>
      <c r="B37">
        <v>2020</v>
      </c>
      <c r="C37" t="s">
        <v>406</v>
      </c>
      <c r="D37" t="s">
        <v>91</v>
      </c>
      <c r="E37" t="s">
        <v>362</v>
      </c>
      <c r="F37" s="267" t="s">
        <v>407</v>
      </c>
      <c r="G37" s="267" t="s">
        <v>1665</v>
      </c>
    </row>
    <row r="38" spans="1:7">
      <c r="A38">
        <v>404</v>
      </c>
      <c r="B38">
        <v>2020</v>
      </c>
      <c r="C38" t="s">
        <v>408</v>
      </c>
      <c r="D38" t="s">
        <v>91</v>
      </c>
      <c r="E38" t="s">
        <v>362</v>
      </c>
      <c r="F38" s="267" t="s">
        <v>409</v>
      </c>
      <c r="G38" s="267" t="s">
        <v>1666</v>
      </c>
    </row>
    <row r="39" spans="1:7">
      <c r="A39">
        <v>405</v>
      </c>
      <c r="B39">
        <v>2020</v>
      </c>
      <c r="C39" t="s">
        <v>410</v>
      </c>
      <c r="D39" t="s">
        <v>91</v>
      </c>
      <c r="E39" t="s">
        <v>362</v>
      </c>
      <c r="F39" s="267" t="s">
        <v>411</v>
      </c>
      <c r="G39" s="267" t="s">
        <v>1667</v>
      </c>
    </row>
    <row r="40" spans="1:7">
      <c r="A40">
        <v>451</v>
      </c>
      <c r="B40">
        <v>2020</v>
      </c>
      <c r="C40" t="s">
        <v>118</v>
      </c>
      <c r="D40" t="s">
        <v>91</v>
      </c>
      <c r="E40" t="s">
        <v>362</v>
      </c>
      <c r="F40" s="267" t="s">
        <v>412</v>
      </c>
      <c r="G40" s="267" t="s">
        <v>1668</v>
      </c>
    </row>
    <row r="41" spans="1:7">
      <c r="A41">
        <v>452</v>
      </c>
      <c r="B41">
        <v>2020</v>
      </c>
      <c r="C41" t="s">
        <v>119</v>
      </c>
      <c r="D41" t="s">
        <v>91</v>
      </c>
      <c r="E41" t="s">
        <v>362</v>
      </c>
      <c r="F41" s="267" t="s">
        <v>413</v>
      </c>
      <c r="G41" s="267" t="s">
        <v>1669</v>
      </c>
    </row>
    <row r="42" spans="1:7">
      <c r="A42">
        <v>453</v>
      </c>
      <c r="B42">
        <v>2020</v>
      </c>
      <c r="C42" t="s">
        <v>120</v>
      </c>
      <c r="D42" t="s">
        <v>91</v>
      </c>
      <c r="E42" t="s">
        <v>362</v>
      </c>
      <c r="F42" s="267" t="s">
        <v>414</v>
      </c>
      <c r="G42" s="267" t="s">
        <v>1670</v>
      </c>
    </row>
    <row r="43" spans="1:7">
      <c r="A43">
        <v>454</v>
      </c>
      <c r="B43">
        <v>2020</v>
      </c>
      <c r="C43" t="s">
        <v>121</v>
      </c>
      <c r="D43" t="s">
        <v>91</v>
      </c>
      <c r="E43" t="s">
        <v>362</v>
      </c>
      <c r="F43" s="267" t="s">
        <v>415</v>
      </c>
      <c r="G43" s="267" t="s">
        <v>1671</v>
      </c>
    </row>
    <row r="44" spans="1:7">
      <c r="A44">
        <v>455</v>
      </c>
      <c r="B44">
        <v>2020</v>
      </c>
      <c r="C44" t="s">
        <v>122</v>
      </c>
      <c r="D44" t="s">
        <v>91</v>
      </c>
      <c r="E44" t="s">
        <v>362</v>
      </c>
      <c r="F44" s="267" t="s">
        <v>416</v>
      </c>
      <c r="G44" s="267" t="s">
        <v>1672</v>
      </c>
    </row>
    <row r="45" spans="1:7">
      <c r="A45">
        <v>456</v>
      </c>
      <c r="B45">
        <v>2020</v>
      </c>
      <c r="C45" t="s">
        <v>123</v>
      </c>
      <c r="D45" t="s">
        <v>91</v>
      </c>
      <c r="E45" t="s">
        <v>362</v>
      </c>
      <c r="F45" s="267" t="s">
        <v>417</v>
      </c>
      <c r="G45" s="267" t="s">
        <v>1673</v>
      </c>
    </row>
    <row r="46" spans="1:7">
      <c r="A46">
        <v>457</v>
      </c>
      <c r="B46">
        <v>2020</v>
      </c>
      <c r="C46" t="s">
        <v>124</v>
      </c>
      <c r="D46" t="s">
        <v>91</v>
      </c>
      <c r="E46" t="s">
        <v>362</v>
      </c>
      <c r="F46" s="267" t="s">
        <v>418</v>
      </c>
      <c r="G46" s="267" t="s">
        <v>1674</v>
      </c>
    </row>
    <row r="47" spans="1:7">
      <c r="A47">
        <v>458</v>
      </c>
      <c r="B47">
        <v>2020</v>
      </c>
      <c r="C47" t="s">
        <v>125</v>
      </c>
      <c r="D47" t="s">
        <v>91</v>
      </c>
      <c r="E47" t="s">
        <v>362</v>
      </c>
      <c r="F47" s="267" t="s">
        <v>419</v>
      </c>
      <c r="G47" s="267" t="s">
        <v>1675</v>
      </c>
    </row>
    <row r="48" spans="1:7">
      <c r="A48">
        <v>459</v>
      </c>
      <c r="B48">
        <v>2020</v>
      </c>
      <c r="C48" t="s">
        <v>126</v>
      </c>
      <c r="D48" t="s">
        <v>91</v>
      </c>
      <c r="E48" t="s">
        <v>362</v>
      </c>
      <c r="F48" s="267" t="s">
        <v>420</v>
      </c>
      <c r="G48" s="267" t="s">
        <v>1676</v>
      </c>
    </row>
    <row r="49" spans="1:7">
      <c r="A49">
        <v>460</v>
      </c>
      <c r="B49">
        <v>2020</v>
      </c>
      <c r="C49" t="s">
        <v>127</v>
      </c>
      <c r="D49" t="s">
        <v>91</v>
      </c>
      <c r="E49" t="s">
        <v>362</v>
      </c>
      <c r="F49" s="267" t="s">
        <v>421</v>
      </c>
      <c r="G49" s="267" t="s">
        <v>1677</v>
      </c>
    </row>
    <row r="50" spans="1:7">
      <c r="A50">
        <v>461</v>
      </c>
      <c r="B50">
        <v>2020</v>
      </c>
      <c r="C50" t="s">
        <v>128</v>
      </c>
      <c r="D50" t="s">
        <v>91</v>
      </c>
      <c r="E50" t="s">
        <v>362</v>
      </c>
      <c r="F50" s="267" t="s">
        <v>422</v>
      </c>
      <c r="G50" s="267" t="s">
        <v>1678</v>
      </c>
    </row>
    <row r="51" spans="1:7">
      <c r="A51">
        <v>462</v>
      </c>
      <c r="B51">
        <v>2020</v>
      </c>
      <c r="C51" t="s">
        <v>129</v>
      </c>
      <c r="D51" t="s">
        <v>91</v>
      </c>
      <c r="E51" t="s">
        <v>362</v>
      </c>
      <c r="F51" s="267" t="s">
        <v>423</v>
      </c>
      <c r="G51" s="267" t="s">
        <v>1679</v>
      </c>
    </row>
    <row r="52" spans="1:7">
      <c r="A52">
        <v>4</v>
      </c>
      <c r="B52">
        <v>2020</v>
      </c>
      <c r="C52" t="s">
        <v>157</v>
      </c>
      <c r="D52" t="s">
        <v>91</v>
      </c>
      <c r="E52" t="s">
        <v>362</v>
      </c>
      <c r="F52" s="267" t="s">
        <v>424</v>
      </c>
      <c r="G52" s="267" t="s">
        <v>1680</v>
      </c>
    </row>
    <row r="53" spans="1:7">
      <c r="A53">
        <v>0</v>
      </c>
      <c r="B53">
        <v>2020</v>
      </c>
      <c r="C53" t="s">
        <v>130</v>
      </c>
      <c r="D53" t="s">
        <v>91</v>
      </c>
      <c r="E53" t="s">
        <v>362</v>
      </c>
      <c r="F53" s="267" t="s">
        <v>425</v>
      </c>
      <c r="G53" s="267" t="s">
        <v>1681</v>
      </c>
    </row>
    <row r="54" spans="1:7">
      <c r="A54">
        <v>101</v>
      </c>
      <c r="B54">
        <v>2020</v>
      </c>
      <c r="C54" t="s">
        <v>363</v>
      </c>
      <c r="D54" t="s">
        <v>92</v>
      </c>
      <c r="E54" t="s">
        <v>362</v>
      </c>
      <c r="F54" s="267" t="s">
        <v>364</v>
      </c>
      <c r="G54" s="267" t="s">
        <v>1682</v>
      </c>
    </row>
    <row r="55" spans="1:7">
      <c r="A55">
        <v>102</v>
      </c>
      <c r="B55">
        <v>2020</v>
      </c>
      <c r="C55" t="s">
        <v>365</v>
      </c>
      <c r="D55" t="s">
        <v>92</v>
      </c>
      <c r="E55" t="s">
        <v>362</v>
      </c>
      <c r="F55" s="267" t="s">
        <v>366</v>
      </c>
      <c r="G55" s="267" t="s">
        <v>1683</v>
      </c>
    </row>
    <row r="56" spans="1:7">
      <c r="A56">
        <v>103</v>
      </c>
      <c r="B56">
        <v>2020</v>
      </c>
      <c r="C56" t="s">
        <v>367</v>
      </c>
      <c r="D56" t="s">
        <v>92</v>
      </c>
      <c r="E56" t="s">
        <v>362</v>
      </c>
      <c r="F56" s="267" t="s">
        <v>368</v>
      </c>
      <c r="G56" s="267" t="s">
        <v>1684</v>
      </c>
    </row>
    <row r="57" spans="1:7">
      <c r="A57">
        <v>151</v>
      </c>
      <c r="B57">
        <v>2020</v>
      </c>
      <c r="C57" t="s">
        <v>94</v>
      </c>
      <c r="D57" t="s">
        <v>92</v>
      </c>
      <c r="E57" t="s">
        <v>362</v>
      </c>
      <c r="F57" s="267" t="s">
        <v>369</v>
      </c>
      <c r="G57" s="267" t="s">
        <v>1685</v>
      </c>
    </row>
    <row r="58" spans="1:7">
      <c r="A58">
        <v>153</v>
      </c>
      <c r="B58">
        <v>2020</v>
      </c>
      <c r="C58" t="s">
        <v>96</v>
      </c>
      <c r="D58" t="s">
        <v>92</v>
      </c>
      <c r="E58" t="s">
        <v>362</v>
      </c>
      <c r="F58" s="267" t="s">
        <v>370</v>
      </c>
      <c r="G58" s="267" t="s">
        <v>1686</v>
      </c>
    </row>
    <row r="59" spans="1:7">
      <c r="A59">
        <v>154</v>
      </c>
      <c r="B59">
        <v>2020</v>
      </c>
      <c r="C59" t="s">
        <v>97</v>
      </c>
      <c r="D59" t="s">
        <v>92</v>
      </c>
      <c r="E59" t="s">
        <v>362</v>
      </c>
      <c r="F59" s="267" t="s">
        <v>371</v>
      </c>
      <c r="G59" s="267" t="s">
        <v>1687</v>
      </c>
    </row>
    <row r="60" spans="1:7">
      <c r="A60">
        <v>155</v>
      </c>
      <c r="B60">
        <v>2020</v>
      </c>
      <c r="C60" t="s">
        <v>98</v>
      </c>
      <c r="D60" t="s">
        <v>92</v>
      </c>
      <c r="E60" t="s">
        <v>362</v>
      </c>
      <c r="F60" s="267" t="s">
        <v>372</v>
      </c>
      <c r="G60" s="267" t="s">
        <v>1688</v>
      </c>
    </row>
    <row r="61" spans="1:7">
      <c r="A61">
        <v>157</v>
      </c>
      <c r="B61">
        <v>2020</v>
      </c>
      <c r="C61" t="s">
        <v>99</v>
      </c>
      <c r="D61" t="s">
        <v>92</v>
      </c>
      <c r="E61" t="s">
        <v>362</v>
      </c>
      <c r="F61" s="267" t="s">
        <v>373</v>
      </c>
      <c r="G61" s="267" t="s">
        <v>1689</v>
      </c>
    </row>
    <row r="62" spans="1:7">
      <c r="A62">
        <v>158</v>
      </c>
      <c r="B62">
        <v>2020</v>
      </c>
      <c r="C62" t="s">
        <v>100</v>
      </c>
      <c r="D62" t="s">
        <v>92</v>
      </c>
      <c r="E62" t="s">
        <v>362</v>
      </c>
      <c r="F62" s="267" t="s">
        <v>374</v>
      </c>
      <c r="G62" s="267" t="s">
        <v>1690</v>
      </c>
    </row>
    <row r="63" spans="1:7">
      <c r="A63">
        <v>159</v>
      </c>
      <c r="B63">
        <v>2020</v>
      </c>
      <c r="C63" t="s">
        <v>95</v>
      </c>
      <c r="D63" t="s">
        <v>92</v>
      </c>
      <c r="E63" t="s">
        <v>362</v>
      </c>
      <c r="F63" s="267" t="s">
        <v>375</v>
      </c>
      <c r="G63" s="267" t="s">
        <v>1691</v>
      </c>
    </row>
    <row r="64" spans="1:7">
      <c r="A64">
        <v>1</v>
      </c>
      <c r="B64">
        <v>2020</v>
      </c>
      <c r="C64" t="s">
        <v>154</v>
      </c>
      <c r="D64" t="s">
        <v>92</v>
      </c>
      <c r="E64" t="s">
        <v>362</v>
      </c>
      <c r="F64" s="267" t="s">
        <v>376</v>
      </c>
      <c r="G64" s="267" t="s">
        <v>1692</v>
      </c>
    </row>
    <row r="65" spans="1:7">
      <c r="A65">
        <v>241</v>
      </c>
      <c r="B65">
        <v>2020</v>
      </c>
      <c r="C65" t="s">
        <v>377</v>
      </c>
      <c r="D65" t="s">
        <v>92</v>
      </c>
      <c r="E65" t="s">
        <v>362</v>
      </c>
      <c r="F65" s="267" t="s">
        <v>378</v>
      </c>
      <c r="G65" s="267" t="s">
        <v>1693</v>
      </c>
    </row>
    <row r="66" spans="1:7">
      <c r="A66">
        <v>241001</v>
      </c>
      <c r="B66">
        <v>2020</v>
      </c>
      <c r="C66" t="s">
        <v>379</v>
      </c>
      <c r="D66" t="s">
        <v>92</v>
      </c>
      <c r="E66" t="s">
        <v>362</v>
      </c>
      <c r="F66" s="267" t="s">
        <v>380</v>
      </c>
      <c r="G66" s="267" t="s">
        <v>1694</v>
      </c>
    </row>
    <row r="67" spans="1:7">
      <c r="A67">
        <v>241999</v>
      </c>
      <c r="B67">
        <v>2020</v>
      </c>
      <c r="C67" t="s">
        <v>381</v>
      </c>
      <c r="D67" t="s">
        <v>92</v>
      </c>
      <c r="E67" t="s">
        <v>362</v>
      </c>
      <c r="F67" s="267" t="s">
        <v>382</v>
      </c>
      <c r="G67" s="267" t="s">
        <v>1695</v>
      </c>
    </row>
    <row r="68" spans="1:7">
      <c r="A68">
        <v>251</v>
      </c>
      <c r="B68">
        <v>2020</v>
      </c>
      <c r="C68" t="s">
        <v>101</v>
      </c>
      <c r="D68" t="s">
        <v>92</v>
      </c>
      <c r="E68" t="s">
        <v>362</v>
      </c>
      <c r="F68" s="267" t="s">
        <v>383</v>
      </c>
      <c r="G68" s="267" t="s">
        <v>1696</v>
      </c>
    </row>
    <row r="69" spans="1:7">
      <c r="A69">
        <v>252</v>
      </c>
      <c r="B69">
        <v>2020</v>
      </c>
      <c r="C69" t="s">
        <v>102</v>
      </c>
      <c r="D69" t="s">
        <v>92</v>
      </c>
      <c r="E69" t="s">
        <v>362</v>
      </c>
      <c r="F69" s="267" t="s">
        <v>384</v>
      </c>
      <c r="G69" s="267" t="s">
        <v>1697</v>
      </c>
    </row>
    <row r="70" spans="1:7">
      <c r="A70">
        <v>254</v>
      </c>
      <c r="B70">
        <v>2020</v>
      </c>
      <c r="C70" t="s">
        <v>103</v>
      </c>
      <c r="D70" t="s">
        <v>92</v>
      </c>
      <c r="E70" t="s">
        <v>362</v>
      </c>
      <c r="F70" s="267" t="s">
        <v>385</v>
      </c>
      <c r="G70" s="267" t="s">
        <v>1698</v>
      </c>
    </row>
    <row r="71" spans="1:7">
      <c r="A71">
        <v>255</v>
      </c>
      <c r="B71">
        <v>2020</v>
      </c>
      <c r="C71" t="s">
        <v>104</v>
      </c>
      <c r="D71" t="s">
        <v>92</v>
      </c>
      <c r="E71" t="s">
        <v>362</v>
      </c>
      <c r="F71" s="267" t="s">
        <v>386</v>
      </c>
      <c r="G71" s="267" t="s">
        <v>1699</v>
      </c>
    </row>
    <row r="72" spans="1:7">
      <c r="A72">
        <v>256</v>
      </c>
      <c r="B72">
        <v>2020</v>
      </c>
      <c r="C72" t="s">
        <v>105</v>
      </c>
      <c r="D72" t="s">
        <v>92</v>
      </c>
      <c r="E72" t="s">
        <v>362</v>
      </c>
      <c r="F72" s="267" t="s">
        <v>387</v>
      </c>
      <c r="G72" s="267" t="s">
        <v>1700</v>
      </c>
    </row>
    <row r="73" spans="1:7">
      <c r="A73">
        <v>257</v>
      </c>
      <c r="B73">
        <v>2020</v>
      </c>
      <c r="C73" t="s">
        <v>106</v>
      </c>
      <c r="D73" t="s">
        <v>92</v>
      </c>
      <c r="E73" t="s">
        <v>362</v>
      </c>
      <c r="F73" s="267" t="s">
        <v>388</v>
      </c>
      <c r="G73" s="267" t="s">
        <v>1701</v>
      </c>
    </row>
    <row r="74" spans="1:7">
      <c r="A74">
        <v>2</v>
      </c>
      <c r="B74">
        <v>2020</v>
      </c>
      <c r="C74" t="s">
        <v>155</v>
      </c>
      <c r="D74" t="s">
        <v>92</v>
      </c>
      <c r="E74" t="s">
        <v>362</v>
      </c>
      <c r="F74" s="267" t="s">
        <v>389</v>
      </c>
      <c r="G74" s="267" t="s">
        <v>1702</v>
      </c>
    </row>
    <row r="75" spans="1:7">
      <c r="A75">
        <v>351</v>
      </c>
      <c r="B75">
        <v>2020</v>
      </c>
      <c r="C75" t="s">
        <v>107</v>
      </c>
      <c r="D75" t="s">
        <v>92</v>
      </c>
      <c r="E75" t="s">
        <v>362</v>
      </c>
      <c r="F75" s="267" t="s">
        <v>390</v>
      </c>
      <c r="G75" s="267" t="s">
        <v>1703</v>
      </c>
    </row>
    <row r="76" spans="1:7">
      <c r="A76">
        <v>352</v>
      </c>
      <c r="B76">
        <v>2020</v>
      </c>
      <c r="C76" t="s">
        <v>108</v>
      </c>
      <c r="D76" t="s">
        <v>92</v>
      </c>
      <c r="E76" t="s">
        <v>362</v>
      </c>
      <c r="F76" s="267" t="s">
        <v>391</v>
      </c>
      <c r="G76" s="267" t="s">
        <v>1704</v>
      </c>
    </row>
    <row r="77" spans="1:7">
      <c r="A77">
        <v>353</v>
      </c>
      <c r="B77">
        <v>2020</v>
      </c>
      <c r="C77" t="s">
        <v>109</v>
      </c>
      <c r="D77" t="s">
        <v>92</v>
      </c>
      <c r="E77" t="s">
        <v>362</v>
      </c>
      <c r="F77" s="267" t="s">
        <v>392</v>
      </c>
      <c r="G77" s="267" t="s">
        <v>1705</v>
      </c>
    </row>
    <row r="78" spans="1:7">
      <c r="A78">
        <v>354</v>
      </c>
      <c r="B78">
        <v>2020</v>
      </c>
      <c r="C78" t="s">
        <v>110</v>
      </c>
      <c r="D78" t="s">
        <v>92</v>
      </c>
      <c r="E78" t="s">
        <v>362</v>
      </c>
      <c r="F78" s="267" t="s">
        <v>393</v>
      </c>
      <c r="G78" s="267" t="s">
        <v>1706</v>
      </c>
    </row>
    <row r="79" spans="1:7">
      <c r="A79">
        <v>355</v>
      </c>
      <c r="B79">
        <v>2020</v>
      </c>
      <c r="C79" t="s">
        <v>111</v>
      </c>
      <c r="D79" t="s">
        <v>92</v>
      </c>
      <c r="E79" t="s">
        <v>362</v>
      </c>
      <c r="F79" s="267" t="s">
        <v>394</v>
      </c>
      <c r="G79" s="267" t="s">
        <v>1707</v>
      </c>
    </row>
    <row r="80" spans="1:7">
      <c r="A80">
        <v>356</v>
      </c>
      <c r="B80">
        <v>2020</v>
      </c>
      <c r="C80" t="s">
        <v>112</v>
      </c>
      <c r="D80" t="s">
        <v>92</v>
      </c>
      <c r="E80" t="s">
        <v>362</v>
      </c>
      <c r="F80" s="267" t="s">
        <v>395</v>
      </c>
      <c r="G80" s="267" t="s">
        <v>1708</v>
      </c>
    </row>
    <row r="81" spans="1:7">
      <c r="A81">
        <v>357</v>
      </c>
      <c r="B81">
        <v>2020</v>
      </c>
      <c r="C81" t="s">
        <v>113</v>
      </c>
      <c r="D81" t="s">
        <v>92</v>
      </c>
      <c r="E81" t="s">
        <v>362</v>
      </c>
      <c r="F81" s="267" t="s">
        <v>396</v>
      </c>
      <c r="G81" s="267" t="s">
        <v>1709</v>
      </c>
    </row>
    <row r="82" spans="1:7">
      <c r="A82">
        <v>358</v>
      </c>
      <c r="B82">
        <v>2020</v>
      </c>
      <c r="C82" t="s">
        <v>114</v>
      </c>
      <c r="D82" t="s">
        <v>92</v>
      </c>
      <c r="E82" t="s">
        <v>362</v>
      </c>
      <c r="F82" s="267" t="s">
        <v>397</v>
      </c>
      <c r="G82" s="267" t="s">
        <v>1710</v>
      </c>
    </row>
    <row r="83" spans="1:7">
      <c r="A83">
        <v>359</v>
      </c>
      <c r="B83">
        <v>2020</v>
      </c>
      <c r="C83" t="s">
        <v>115</v>
      </c>
      <c r="D83" t="s">
        <v>92</v>
      </c>
      <c r="E83" t="s">
        <v>362</v>
      </c>
      <c r="F83" s="267" t="s">
        <v>398</v>
      </c>
      <c r="G83" s="267" t="s">
        <v>1711</v>
      </c>
    </row>
    <row r="84" spans="1:7">
      <c r="A84">
        <v>360</v>
      </c>
      <c r="B84">
        <v>2020</v>
      </c>
      <c r="C84" t="s">
        <v>116</v>
      </c>
      <c r="D84" t="s">
        <v>92</v>
      </c>
      <c r="E84" t="s">
        <v>362</v>
      </c>
      <c r="F84" s="267" t="s">
        <v>399</v>
      </c>
      <c r="G84" s="267" t="s">
        <v>1712</v>
      </c>
    </row>
    <row r="85" spans="1:7">
      <c r="A85">
        <v>361</v>
      </c>
      <c r="B85">
        <v>2020</v>
      </c>
      <c r="C85" t="s">
        <v>117</v>
      </c>
      <c r="D85" t="s">
        <v>92</v>
      </c>
      <c r="E85" t="s">
        <v>362</v>
      </c>
      <c r="F85" s="267" t="s">
        <v>400</v>
      </c>
      <c r="G85" s="267" t="s">
        <v>1713</v>
      </c>
    </row>
    <row r="86" spans="1:7">
      <c r="A86">
        <v>3</v>
      </c>
      <c r="B86">
        <v>2020</v>
      </c>
      <c r="C86" t="s">
        <v>156</v>
      </c>
      <c r="D86" t="s">
        <v>92</v>
      </c>
      <c r="E86" t="s">
        <v>362</v>
      </c>
      <c r="F86" s="267" t="s">
        <v>401</v>
      </c>
      <c r="G86" s="267" t="s">
        <v>1714</v>
      </c>
    </row>
    <row r="87" spans="1:7">
      <c r="A87">
        <v>401</v>
      </c>
      <c r="B87">
        <v>2020</v>
      </c>
      <c r="C87" t="s">
        <v>402</v>
      </c>
      <c r="D87" t="s">
        <v>92</v>
      </c>
      <c r="E87" t="s">
        <v>362</v>
      </c>
      <c r="F87" s="267" t="s">
        <v>403</v>
      </c>
      <c r="G87" s="267" t="s">
        <v>1715</v>
      </c>
    </row>
    <row r="88" spans="1:7">
      <c r="A88">
        <v>402</v>
      </c>
      <c r="B88">
        <v>2020</v>
      </c>
      <c r="C88" t="s">
        <v>404</v>
      </c>
      <c r="D88" t="s">
        <v>92</v>
      </c>
      <c r="E88" t="s">
        <v>362</v>
      </c>
      <c r="F88" s="267" t="s">
        <v>405</v>
      </c>
      <c r="G88" s="267" t="s">
        <v>1716</v>
      </c>
    </row>
    <row r="89" spans="1:7">
      <c r="A89">
        <v>403</v>
      </c>
      <c r="B89">
        <v>2020</v>
      </c>
      <c r="C89" t="s">
        <v>406</v>
      </c>
      <c r="D89" t="s">
        <v>92</v>
      </c>
      <c r="E89" t="s">
        <v>362</v>
      </c>
      <c r="F89" s="267" t="s">
        <v>407</v>
      </c>
      <c r="G89" s="267" t="s">
        <v>1717</v>
      </c>
    </row>
    <row r="90" spans="1:7">
      <c r="A90">
        <v>404</v>
      </c>
      <c r="B90">
        <v>2020</v>
      </c>
      <c r="C90" t="s">
        <v>408</v>
      </c>
      <c r="D90" t="s">
        <v>92</v>
      </c>
      <c r="E90" t="s">
        <v>362</v>
      </c>
      <c r="F90" s="267" t="s">
        <v>409</v>
      </c>
      <c r="G90" s="267" t="s">
        <v>1718</v>
      </c>
    </row>
    <row r="91" spans="1:7">
      <c r="A91">
        <v>405</v>
      </c>
      <c r="B91">
        <v>2020</v>
      </c>
      <c r="C91" t="s">
        <v>410</v>
      </c>
      <c r="D91" t="s">
        <v>92</v>
      </c>
      <c r="E91" t="s">
        <v>362</v>
      </c>
      <c r="F91" s="267" t="s">
        <v>411</v>
      </c>
      <c r="G91" s="267" t="s">
        <v>1719</v>
      </c>
    </row>
    <row r="92" spans="1:7">
      <c r="A92">
        <v>451</v>
      </c>
      <c r="B92">
        <v>2020</v>
      </c>
      <c r="C92" t="s">
        <v>118</v>
      </c>
      <c r="D92" t="s">
        <v>92</v>
      </c>
      <c r="E92" t="s">
        <v>362</v>
      </c>
      <c r="F92" s="267" t="s">
        <v>412</v>
      </c>
      <c r="G92" s="267" t="s">
        <v>1720</v>
      </c>
    </row>
    <row r="93" spans="1:7">
      <c r="A93">
        <v>452</v>
      </c>
      <c r="B93">
        <v>2020</v>
      </c>
      <c r="C93" t="s">
        <v>119</v>
      </c>
      <c r="D93" t="s">
        <v>92</v>
      </c>
      <c r="E93" t="s">
        <v>362</v>
      </c>
      <c r="F93" s="267" t="s">
        <v>413</v>
      </c>
      <c r="G93" s="267" t="s">
        <v>1721</v>
      </c>
    </row>
    <row r="94" spans="1:7">
      <c r="A94">
        <v>453</v>
      </c>
      <c r="B94">
        <v>2020</v>
      </c>
      <c r="C94" t="s">
        <v>120</v>
      </c>
      <c r="D94" t="s">
        <v>92</v>
      </c>
      <c r="E94" t="s">
        <v>362</v>
      </c>
      <c r="F94" s="267" t="s">
        <v>414</v>
      </c>
      <c r="G94" s="267" t="s">
        <v>1722</v>
      </c>
    </row>
    <row r="95" spans="1:7">
      <c r="A95">
        <v>454</v>
      </c>
      <c r="B95">
        <v>2020</v>
      </c>
      <c r="C95" t="s">
        <v>121</v>
      </c>
      <c r="D95" t="s">
        <v>92</v>
      </c>
      <c r="E95" t="s">
        <v>362</v>
      </c>
      <c r="F95" s="267" t="s">
        <v>415</v>
      </c>
      <c r="G95" s="267" t="s">
        <v>1723</v>
      </c>
    </row>
    <row r="96" spans="1:7">
      <c r="A96">
        <v>455</v>
      </c>
      <c r="B96">
        <v>2020</v>
      </c>
      <c r="C96" t="s">
        <v>122</v>
      </c>
      <c r="D96" t="s">
        <v>92</v>
      </c>
      <c r="E96" t="s">
        <v>362</v>
      </c>
      <c r="F96" s="267" t="s">
        <v>416</v>
      </c>
      <c r="G96" s="267" t="s">
        <v>1724</v>
      </c>
    </row>
    <row r="97" spans="1:7">
      <c r="A97">
        <v>456</v>
      </c>
      <c r="B97">
        <v>2020</v>
      </c>
      <c r="C97" t="s">
        <v>123</v>
      </c>
      <c r="D97" t="s">
        <v>92</v>
      </c>
      <c r="E97" t="s">
        <v>362</v>
      </c>
      <c r="F97" s="267" t="s">
        <v>417</v>
      </c>
      <c r="G97" s="267" t="s">
        <v>1725</v>
      </c>
    </row>
    <row r="98" spans="1:7">
      <c r="A98">
        <v>457</v>
      </c>
      <c r="B98">
        <v>2020</v>
      </c>
      <c r="C98" t="s">
        <v>124</v>
      </c>
      <c r="D98" t="s">
        <v>92</v>
      </c>
      <c r="E98" t="s">
        <v>362</v>
      </c>
      <c r="F98" s="267" t="s">
        <v>418</v>
      </c>
      <c r="G98" s="267" t="s">
        <v>1726</v>
      </c>
    </row>
    <row r="99" spans="1:7">
      <c r="A99">
        <v>458</v>
      </c>
      <c r="B99">
        <v>2020</v>
      </c>
      <c r="C99" t="s">
        <v>125</v>
      </c>
      <c r="D99" t="s">
        <v>92</v>
      </c>
      <c r="E99" t="s">
        <v>362</v>
      </c>
      <c r="F99" s="267" t="s">
        <v>419</v>
      </c>
      <c r="G99" s="267" t="s">
        <v>1727</v>
      </c>
    </row>
    <row r="100" spans="1:7">
      <c r="A100">
        <v>459</v>
      </c>
      <c r="B100">
        <v>2020</v>
      </c>
      <c r="C100" t="s">
        <v>126</v>
      </c>
      <c r="D100" t="s">
        <v>92</v>
      </c>
      <c r="E100" t="s">
        <v>362</v>
      </c>
      <c r="F100" s="267" t="s">
        <v>420</v>
      </c>
      <c r="G100" s="267" t="s">
        <v>1728</v>
      </c>
    </row>
    <row r="101" spans="1:7">
      <c r="A101">
        <v>460</v>
      </c>
      <c r="B101">
        <v>2020</v>
      </c>
      <c r="C101" t="s">
        <v>127</v>
      </c>
      <c r="D101" t="s">
        <v>92</v>
      </c>
      <c r="E101" t="s">
        <v>362</v>
      </c>
      <c r="F101" s="267" t="s">
        <v>421</v>
      </c>
      <c r="G101" s="267" t="s">
        <v>1729</v>
      </c>
    </row>
    <row r="102" spans="1:7">
      <c r="A102">
        <v>461</v>
      </c>
      <c r="B102">
        <v>2020</v>
      </c>
      <c r="C102" t="s">
        <v>128</v>
      </c>
      <c r="D102" t="s">
        <v>92</v>
      </c>
      <c r="E102" t="s">
        <v>362</v>
      </c>
      <c r="F102" s="267" t="s">
        <v>422</v>
      </c>
      <c r="G102" s="267" t="s">
        <v>1730</v>
      </c>
    </row>
    <row r="103" spans="1:7">
      <c r="A103">
        <v>462</v>
      </c>
      <c r="B103">
        <v>2020</v>
      </c>
      <c r="C103" t="s">
        <v>129</v>
      </c>
      <c r="D103" t="s">
        <v>92</v>
      </c>
      <c r="E103" t="s">
        <v>362</v>
      </c>
      <c r="F103" s="267" t="s">
        <v>423</v>
      </c>
      <c r="G103" s="267" t="s">
        <v>1731</v>
      </c>
    </row>
    <row r="104" spans="1:7">
      <c r="A104">
        <v>4</v>
      </c>
      <c r="B104">
        <v>2020</v>
      </c>
      <c r="C104" t="s">
        <v>157</v>
      </c>
      <c r="D104" t="s">
        <v>92</v>
      </c>
      <c r="E104" t="s">
        <v>362</v>
      </c>
      <c r="F104" s="267" t="s">
        <v>424</v>
      </c>
      <c r="G104" s="267" t="s">
        <v>1732</v>
      </c>
    </row>
    <row r="105" spans="1:7">
      <c r="A105">
        <v>0</v>
      </c>
      <c r="B105">
        <v>2020</v>
      </c>
      <c r="C105" t="s">
        <v>130</v>
      </c>
      <c r="D105" t="s">
        <v>92</v>
      </c>
      <c r="E105" t="s">
        <v>362</v>
      </c>
      <c r="F105" s="267" t="s">
        <v>425</v>
      </c>
      <c r="G105" s="267" t="s">
        <v>1733</v>
      </c>
    </row>
    <row r="106" spans="1:7">
      <c r="A106">
        <v>101</v>
      </c>
      <c r="B106">
        <v>2020</v>
      </c>
      <c r="C106" t="s">
        <v>363</v>
      </c>
      <c r="D106" t="s">
        <v>93</v>
      </c>
      <c r="E106" t="s">
        <v>362</v>
      </c>
      <c r="F106" s="267" t="s">
        <v>364</v>
      </c>
      <c r="G106" s="267" t="s">
        <v>1734</v>
      </c>
    </row>
    <row r="107" spans="1:7">
      <c r="A107">
        <v>102</v>
      </c>
      <c r="B107">
        <v>2020</v>
      </c>
      <c r="C107" t="s">
        <v>365</v>
      </c>
      <c r="D107" t="s">
        <v>93</v>
      </c>
      <c r="E107" t="s">
        <v>362</v>
      </c>
      <c r="F107" s="267" t="s">
        <v>366</v>
      </c>
      <c r="G107" s="267" t="s">
        <v>1735</v>
      </c>
    </row>
    <row r="108" spans="1:7">
      <c r="A108">
        <v>103</v>
      </c>
      <c r="B108">
        <v>2020</v>
      </c>
      <c r="C108" t="s">
        <v>367</v>
      </c>
      <c r="D108" t="s">
        <v>93</v>
      </c>
      <c r="E108" t="s">
        <v>362</v>
      </c>
      <c r="F108" s="267" t="s">
        <v>368</v>
      </c>
      <c r="G108" s="267" t="s">
        <v>1736</v>
      </c>
    </row>
    <row r="109" spans="1:7">
      <c r="A109">
        <v>151</v>
      </c>
      <c r="B109">
        <v>2020</v>
      </c>
      <c r="C109" t="s">
        <v>94</v>
      </c>
      <c r="D109" t="s">
        <v>93</v>
      </c>
      <c r="E109" t="s">
        <v>362</v>
      </c>
      <c r="F109" s="267" t="s">
        <v>369</v>
      </c>
      <c r="G109" s="267" t="s">
        <v>1737</v>
      </c>
    </row>
    <row r="110" spans="1:7">
      <c r="A110">
        <v>153</v>
      </c>
      <c r="B110">
        <v>2020</v>
      </c>
      <c r="C110" t="s">
        <v>96</v>
      </c>
      <c r="D110" t="s">
        <v>93</v>
      </c>
      <c r="E110" t="s">
        <v>362</v>
      </c>
      <c r="F110" s="267" t="s">
        <v>370</v>
      </c>
      <c r="G110" s="267" t="s">
        <v>1738</v>
      </c>
    </row>
    <row r="111" spans="1:7">
      <c r="A111">
        <v>154</v>
      </c>
      <c r="B111">
        <v>2020</v>
      </c>
      <c r="C111" t="s">
        <v>97</v>
      </c>
      <c r="D111" t="s">
        <v>93</v>
      </c>
      <c r="E111" t="s">
        <v>362</v>
      </c>
      <c r="F111" s="267" t="s">
        <v>371</v>
      </c>
      <c r="G111" s="267" t="s">
        <v>1739</v>
      </c>
    </row>
    <row r="112" spans="1:7">
      <c r="A112">
        <v>155</v>
      </c>
      <c r="B112">
        <v>2020</v>
      </c>
      <c r="C112" t="s">
        <v>98</v>
      </c>
      <c r="D112" t="s">
        <v>93</v>
      </c>
      <c r="E112" t="s">
        <v>362</v>
      </c>
      <c r="F112" s="267" t="s">
        <v>372</v>
      </c>
      <c r="G112" s="267" t="s">
        <v>1740</v>
      </c>
    </row>
    <row r="113" spans="1:7">
      <c r="A113">
        <v>157</v>
      </c>
      <c r="B113">
        <v>2020</v>
      </c>
      <c r="C113" t="s">
        <v>99</v>
      </c>
      <c r="D113" t="s">
        <v>93</v>
      </c>
      <c r="E113" t="s">
        <v>362</v>
      </c>
      <c r="F113" s="267" t="s">
        <v>373</v>
      </c>
      <c r="G113" s="267" t="s">
        <v>1741</v>
      </c>
    </row>
    <row r="114" spans="1:7">
      <c r="A114">
        <v>158</v>
      </c>
      <c r="B114">
        <v>2020</v>
      </c>
      <c r="C114" t="s">
        <v>100</v>
      </c>
      <c r="D114" t="s">
        <v>93</v>
      </c>
      <c r="E114" t="s">
        <v>362</v>
      </c>
      <c r="F114" s="267" t="s">
        <v>374</v>
      </c>
      <c r="G114" s="267" t="s">
        <v>1742</v>
      </c>
    </row>
    <row r="115" spans="1:7">
      <c r="A115">
        <v>159</v>
      </c>
      <c r="B115">
        <v>2020</v>
      </c>
      <c r="C115" t="s">
        <v>95</v>
      </c>
      <c r="D115" t="s">
        <v>93</v>
      </c>
      <c r="E115" t="s">
        <v>362</v>
      </c>
      <c r="F115" s="267" t="s">
        <v>375</v>
      </c>
      <c r="G115" s="267" t="s">
        <v>1743</v>
      </c>
    </row>
    <row r="116" spans="1:7">
      <c r="A116">
        <v>1</v>
      </c>
      <c r="B116">
        <v>2020</v>
      </c>
      <c r="C116" t="s">
        <v>154</v>
      </c>
      <c r="D116" t="s">
        <v>93</v>
      </c>
      <c r="E116" t="s">
        <v>362</v>
      </c>
      <c r="F116" s="267" t="s">
        <v>376</v>
      </c>
      <c r="G116" s="267" t="s">
        <v>1744</v>
      </c>
    </row>
    <row r="117" spans="1:7">
      <c r="A117">
        <v>241</v>
      </c>
      <c r="B117">
        <v>2020</v>
      </c>
      <c r="C117" t="s">
        <v>377</v>
      </c>
      <c r="D117" t="s">
        <v>93</v>
      </c>
      <c r="E117" t="s">
        <v>362</v>
      </c>
      <c r="F117" s="267" t="s">
        <v>378</v>
      </c>
      <c r="G117" s="267" t="s">
        <v>1745</v>
      </c>
    </row>
    <row r="118" spans="1:7">
      <c r="A118">
        <v>241001</v>
      </c>
      <c r="B118">
        <v>2020</v>
      </c>
      <c r="C118" t="s">
        <v>379</v>
      </c>
      <c r="D118" t="s">
        <v>93</v>
      </c>
      <c r="E118" t="s">
        <v>362</v>
      </c>
      <c r="F118" s="267" t="s">
        <v>380</v>
      </c>
      <c r="G118" s="267" t="s">
        <v>1746</v>
      </c>
    </row>
    <row r="119" spans="1:7">
      <c r="A119">
        <v>241999</v>
      </c>
      <c r="B119">
        <v>2020</v>
      </c>
      <c r="C119" t="s">
        <v>381</v>
      </c>
      <c r="D119" t="s">
        <v>93</v>
      </c>
      <c r="E119" t="s">
        <v>362</v>
      </c>
      <c r="F119" s="267" t="s">
        <v>382</v>
      </c>
      <c r="G119" s="267" t="s">
        <v>1747</v>
      </c>
    </row>
    <row r="120" spans="1:7">
      <c r="A120">
        <v>251</v>
      </c>
      <c r="B120">
        <v>2020</v>
      </c>
      <c r="C120" t="s">
        <v>101</v>
      </c>
      <c r="D120" t="s">
        <v>93</v>
      </c>
      <c r="E120" t="s">
        <v>362</v>
      </c>
      <c r="F120" s="267" t="s">
        <v>383</v>
      </c>
      <c r="G120" s="267" t="s">
        <v>1748</v>
      </c>
    </row>
    <row r="121" spans="1:7">
      <c r="A121">
        <v>252</v>
      </c>
      <c r="B121">
        <v>2020</v>
      </c>
      <c r="C121" t="s">
        <v>102</v>
      </c>
      <c r="D121" t="s">
        <v>93</v>
      </c>
      <c r="E121" t="s">
        <v>362</v>
      </c>
      <c r="F121" s="267" t="s">
        <v>384</v>
      </c>
      <c r="G121" s="267" t="s">
        <v>1749</v>
      </c>
    </row>
    <row r="122" spans="1:7">
      <c r="A122">
        <v>254</v>
      </c>
      <c r="B122">
        <v>2020</v>
      </c>
      <c r="C122" t="s">
        <v>103</v>
      </c>
      <c r="D122" t="s">
        <v>93</v>
      </c>
      <c r="E122" t="s">
        <v>362</v>
      </c>
      <c r="F122" s="267" t="s">
        <v>385</v>
      </c>
      <c r="G122" s="267" t="s">
        <v>1750</v>
      </c>
    </row>
    <row r="123" spans="1:7">
      <c r="A123">
        <v>255</v>
      </c>
      <c r="B123">
        <v>2020</v>
      </c>
      <c r="C123" t="s">
        <v>104</v>
      </c>
      <c r="D123" t="s">
        <v>93</v>
      </c>
      <c r="E123" t="s">
        <v>362</v>
      </c>
      <c r="F123" s="267" t="s">
        <v>386</v>
      </c>
      <c r="G123" s="267" t="s">
        <v>1751</v>
      </c>
    </row>
    <row r="124" spans="1:7">
      <c r="A124">
        <v>256</v>
      </c>
      <c r="B124">
        <v>2020</v>
      </c>
      <c r="C124" t="s">
        <v>105</v>
      </c>
      <c r="D124" t="s">
        <v>93</v>
      </c>
      <c r="E124" t="s">
        <v>362</v>
      </c>
      <c r="F124" s="267" t="s">
        <v>387</v>
      </c>
      <c r="G124" s="267" t="s">
        <v>1752</v>
      </c>
    </row>
    <row r="125" spans="1:7">
      <c r="A125">
        <v>257</v>
      </c>
      <c r="B125">
        <v>2020</v>
      </c>
      <c r="C125" t="s">
        <v>106</v>
      </c>
      <c r="D125" t="s">
        <v>93</v>
      </c>
      <c r="E125" t="s">
        <v>362</v>
      </c>
      <c r="F125" s="267" t="s">
        <v>388</v>
      </c>
      <c r="G125" s="267" t="s">
        <v>1753</v>
      </c>
    </row>
    <row r="126" spans="1:7">
      <c r="A126">
        <v>2</v>
      </c>
      <c r="B126">
        <v>2020</v>
      </c>
      <c r="C126" t="s">
        <v>155</v>
      </c>
      <c r="D126" t="s">
        <v>93</v>
      </c>
      <c r="E126" t="s">
        <v>362</v>
      </c>
      <c r="F126" s="267" t="s">
        <v>389</v>
      </c>
      <c r="G126" s="267" t="s">
        <v>1754</v>
      </c>
    </row>
    <row r="127" spans="1:7">
      <c r="A127">
        <v>351</v>
      </c>
      <c r="B127">
        <v>2020</v>
      </c>
      <c r="C127" t="s">
        <v>107</v>
      </c>
      <c r="D127" t="s">
        <v>93</v>
      </c>
      <c r="E127" t="s">
        <v>362</v>
      </c>
      <c r="F127" s="267" t="s">
        <v>390</v>
      </c>
      <c r="G127" s="267" t="s">
        <v>1755</v>
      </c>
    </row>
    <row r="128" spans="1:7">
      <c r="A128">
        <v>352</v>
      </c>
      <c r="B128">
        <v>2020</v>
      </c>
      <c r="C128" t="s">
        <v>108</v>
      </c>
      <c r="D128" t="s">
        <v>93</v>
      </c>
      <c r="E128" t="s">
        <v>362</v>
      </c>
      <c r="F128" s="267" t="s">
        <v>391</v>
      </c>
      <c r="G128" s="267" t="s">
        <v>1756</v>
      </c>
    </row>
    <row r="129" spans="1:7">
      <c r="A129">
        <v>353</v>
      </c>
      <c r="B129">
        <v>2020</v>
      </c>
      <c r="C129" t="s">
        <v>109</v>
      </c>
      <c r="D129" t="s">
        <v>93</v>
      </c>
      <c r="E129" t="s">
        <v>362</v>
      </c>
      <c r="F129" s="267" t="s">
        <v>392</v>
      </c>
      <c r="G129" s="267" t="s">
        <v>1757</v>
      </c>
    </row>
    <row r="130" spans="1:7">
      <c r="A130">
        <v>354</v>
      </c>
      <c r="B130">
        <v>2020</v>
      </c>
      <c r="C130" t="s">
        <v>110</v>
      </c>
      <c r="D130" t="s">
        <v>93</v>
      </c>
      <c r="E130" t="s">
        <v>362</v>
      </c>
      <c r="F130" s="267" t="s">
        <v>393</v>
      </c>
      <c r="G130" s="267" t="s">
        <v>1758</v>
      </c>
    </row>
    <row r="131" spans="1:7">
      <c r="A131">
        <v>355</v>
      </c>
      <c r="B131">
        <v>2020</v>
      </c>
      <c r="C131" t="s">
        <v>111</v>
      </c>
      <c r="D131" t="s">
        <v>93</v>
      </c>
      <c r="E131" t="s">
        <v>362</v>
      </c>
      <c r="F131" s="267" t="s">
        <v>394</v>
      </c>
      <c r="G131" s="267" t="s">
        <v>1759</v>
      </c>
    </row>
    <row r="132" spans="1:7">
      <c r="A132">
        <v>356</v>
      </c>
      <c r="B132">
        <v>2020</v>
      </c>
      <c r="C132" t="s">
        <v>112</v>
      </c>
      <c r="D132" t="s">
        <v>93</v>
      </c>
      <c r="E132" t="s">
        <v>362</v>
      </c>
      <c r="F132" s="267" t="s">
        <v>395</v>
      </c>
      <c r="G132" s="267" t="s">
        <v>1760</v>
      </c>
    </row>
    <row r="133" spans="1:7">
      <c r="A133">
        <v>357</v>
      </c>
      <c r="B133">
        <v>2020</v>
      </c>
      <c r="C133" t="s">
        <v>113</v>
      </c>
      <c r="D133" t="s">
        <v>93</v>
      </c>
      <c r="E133" t="s">
        <v>362</v>
      </c>
      <c r="F133" s="267" t="s">
        <v>396</v>
      </c>
      <c r="G133" s="267" t="s">
        <v>1761</v>
      </c>
    </row>
    <row r="134" spans="1:7">
      <c r="A134">
        <v>358</v>
      </c>
      <c r="B134">
        <v>2020</v>
      </c>
      <c r="C134" t="s">
        <v>114</v>
      </c>
      <c r="D134" t="s">
        <v>93</v>
      </c>
      <c r="E134" t="s">
        <v>362</v>
      </c>
      <c r="F134" s="267" t="s">
        <v>397</v>
      </c>
      <c r="G134" s="267" t="s">
        <v>1762</v>
      </c>
    </row>
    <row r="135" spans="1:7">
      <c r="A135">
        <v>359</v>
      </c>
      <c r="B135">
        <v>2020</v>
      </c>
      <c r="C135" t="s">
        <v>115</v>
      </c>
      <c r="D135" t="s">
        <v>93</v>
      </c>
      <c r="E135" t="s">
        <v>362</v>
      </c>
      <c r="F135" s="267" t="s">
        <v>398</v>
      </c>
      <c r="G135" s="267" t="s">
        <v>1763</v>
      </c>
    </row>
    <row r="136" spans="1:7">
      <c r="A136">
        <v>360</v>
      </c>
      <c r="B136">
        <v>2020</v>
      </c>
      <c r="C136" t="s">
        <v>116</v>
      </c>
      <c r="D136" t="s">
        <v>93</v>
      </c>
      <c r="E136" t="s">
        <v>362</v>
      </c>
      <c r="F136" s="267" t="s">
        <v>399</v>
      </c>
      <c r="G136" s="267" t="s">
        <v>1764</v>
      </c>
    </row>
    <row r="137" spans="1:7">
      <c r="A137">
        <v>361</v>
      </c>
      <c r="B137">
        <v>2020</v>
      </c>
      <c r="C137" t="s">
        <v>117</v>
      </c>
      <c r="D137" t="s">
        <v>93</v>
      </c>
      <c r="E137" t="s">
        <v>362</v>
      </c>
      <c r="F137" s="267" t="s">
        <v>400</v>
      </c>
      <c r="G137" s="267" t="s">
        <v>1765</v>
      </c>
    </row>
    <row r="138" spans="1:7">
      <c r="A138">
        <v>3</v>
      </c>
      <c r="B138">
        <v>2020</v>
      </c>
      <c r="C138" t="s">
        <v>156</v>
      </c>
      <c r="D138" t="s">
        <v>93</v>
      </c>
      <c r="E138" t="s">
        <v>362</v>
      </c>
      <c r="F138" s="267" t="s">
        <v>401</v>
      </c>
      <c r="G138" s="267" t="s">
        <v>1766</v>
      </c>
    </row>
    <row r="139" spans="1:7">
      <c r="A139">
        <v>401</v>
      </c>
      <c r="B139">
        <v>2020</v>
      </c>
      <c r="C139" t="s">
        <v>402</v>
      </c>
      <c r="D139" t="s">
        <v>93</v>
      </c>
      <c r="E139" t="s">
        <v>362</v>
      </c>
      <c r="F139" s="267" t="s">
        <v>403</v>
      </c>
      <c r="G139" s="267" t="s">
        <v>1767</v>
      </c>
    </row>
    <row r="140" spans="1:7">
      <c r="A140">
        <v>402</v>
      </c>
      <c r="B140">
        <v>2020</v>
      </c>
      <c r="C140" t="s">
        <v>404</v>
      </c>
      <c r="D140" t="s">
        <v>93</v>
      </c>
      <c r="E140" t="s">
        <v>362</v>
      </c>
      <c r="F140" s="267" t="s">
        <v>405</v>
      </c>
      <c r="G140" s="267" t="s">
        <v>1768</v>
      </c>
    </row>
    <row r="141" spans="1:7">
      <c r="A141">
        <v>403</v>
      </c>
      <c r="B141">
        <v>2020</v>
      </c>
      <c r="C141" t="s">
        <v>406</v>
      </c>
      <c r="D141" t="s">
        <v>93</v>
      </c>
      <c r="E141" t="s">
        <v>362</v>
      </c>
      <c r="F141" s="267" t="s">
        <v>407</v>
      </c>
      <c r="G141" s="267" t="s">
        <v>1769</v>
      </c>
    </row>
    <row r="142" spans="1:7">
      <c r="A142">
        <v>404</v>
      </c>
      <c r="B142">
        <v>2020</v>
      </c>
      <c r="C142" t="s">
        <v>408</v>
      </c>
      <c r="D142" t="s">
        <v>93</v>
      </c>
      <c r="E142" t="s">
        <v>362</v>
      </c>
      <c r="F142" s="267" t="s">
        <v>409</v>
      </c>
      <c r="G142" s="267" t="s">
        <v>1770</v>
      </c>
    </row>
    <row r="143" spans="1:7">
      <c r="A143">
        <v>405</v>
      </c>
      <c r="B143">
        <v>2020</v>
      </c>
      <c r="C143" t="s">
        <v>410</v>
      </c>
      <c r="D143" t="s">
        <v>93</v>
      </c>
      <c r="E143" t="s">
        <v>362</v>
      </c>
      <c r="F143" s="267" t="s">
        <v>411</v>
      </c>
      <c r="G143" s="267" t="s">
        <v>1771</v>
      </c>
    </row>
    <row r="144" spans="1:7">
      <c r="A144">
        <v>451</v>
      </c>
      <c r="B144">
        <v>2020</v>
      </c>
      <c r="C144" t="s">
        <v>118</v>
      </c>
      <c r="D144" t="s">
        <v>93</v>
      </c>
      <c r="E144" t="s">
        <v>362</v>
      </c>
      <c r="F144" s="267" t="s">
        <v>412</v>
      </c>
      <c r="G144" s="267" t="s">
        <v>1772</v>
      </c>
    </row>
    <row r="145" spans="1:7">
      <c r="A145">
        <v>452</v>
      </c>
      <c r="B145">
        <v>2020</v>
      </c>
      <c r="C145" t="s">
        <v>119</v>
      </c>
      <c r="D145" t="s">
        <v>93</v>
      </c>
      <c r="E145" t="s">
        <v>362</v>
      </c>
      <c r="F145" s="267" t="s">
        <v>413</v>
      </c>
      <c r="G145" s="267" t="s">
        <v>1773</v>
      </c>
    </row>
    <row r="146" spans="1:7">
      <c r="A146">
        <v>453</v>
      </c>
      <c r="B146">
        <v>2020</v>
      </c>
      <c r="C146" t="s">
        <v>120</v>
      </c>
      <c r="D146" t="s">
        <v>93</v>
      </c>
      <c r="E146" t="s">
        <v>362</v>
      </c>
      <c r="F146" s="267" t="s">
        <v>414</v>
      </c>
      <c r="G146" s="267" t="s">
        <v>1774</v>
      </c>
    </row>
    <row r="147" spans="1:7">
      <c r="A147">
        <v>454</v>
      </c>
      <c r="B147">
        <v>2020</v>
      </c>
      <c r="C147" t="s">
        <v>121</v>
      </c>
      <c r="D147" t="s">
        <v>93</v>
      </c>
      <c r="E147" t="s">
        <v>362</v>
      </c>
      <c r="F147" s="267" t="s">
        <v>415</v>
      </c>
      <c r="G147" s="267" t="s">
        <v>1775</v>
      </c>
    </row>
    <row r="148" spans="1:7">
      <c r="A148">
        <v>455</v>
      </c>
      <c r="B148">
        <v>2020</v>
      </c>
      <c r="C148" t="s">
        <v>122</v>
      </c>
      <c r="D148" t="s">
        <v>93</v>
      </c>
      <c r="E148" t="s">
        <v>362</v>
      </c>
      <c r="F148" s="267" t="s">
        <v>416</v>
      </c>
      <c r="G148" s="267" t="s">
        <v>1776</v>
      </c>
    </row>
    <row r="149" spans="1:7">
      <c r="A149">
        <v>456</v>
      </c>
      <c r="B149">
        <v>2020</v>
      </c>
      <c r="C149" t="s">
        <v>123</v>
      </c>
      <c r="D149" t="s">
        <v>93</v>
      </c>
      <c r="E149" t="s">
        <v>362</v>
      </c>
      <c r="F149" s="267" t="s">
        <v>417</v>
      </c>
      <c r="G149" s="267" t="s">
        <v>1777</v>
      </c>
    </row>
    <row r="150" spans="1:7">
      <c r="A150">
        <v>457</v>
      </c>
      <c r="B150">
        <v>2020</v>
      </c>
      <c r="C150" t="s">
        <v>124</v>
      </c>
      <c r="D150" t="s">
        <v>93</v>
      </c>
      <c r="E150" t="s">
        <v>362</v>
      </c>
      <c r="F150" s="267" t="s">
        <v>418</v>
      </c>
      <c r="G150" s="267" t="s">
        <v>1778</v>
      </c>
    </row>
    <row r="151" spans="1:7">
      <c r="A151">
        <v>458</v>
      </c>
      <c r="B151">
        <v>2020</v>
      </c>
      <c r="C151" t="s">
        <v>125</v>
      </c>
      <c r="D151" t="s">
        <v>93</v>
      </c>
      <c r="E151" t="s">
        <v>362</v>
      </c>
      <c r="F151" s="267" t="s">
        <v>419</v>
      </c>
      <c r="G151" s="267" t="s">
        <v>1779</v>
      </c>
    </row>
    <row r="152" spans="1:7">
      <c r="A152">
        <v>459</v>
      </c>
      <c r="B152">
        <v>2020</v>
      </c>
      <c r="C152" t="s">
        <v>126</v>
      </c>
      <c r="D152" t="s">
        <v>93</v>
      </c>
      <c r="E152" t="s">
        <v>362</v>
      </c>
      <c r="F152" s="267" t="s">
        <v>420</v>
      </c>
      <c r="G152" s="267" t="s">
        <v>1780</v>
      </c>
    </row>
    <row r="153" spans="1:7">
      <c r="A153">
        <v>460</v>
      </c>
      <c r="B153">
        <v>2020</v>
      </c>
      <c r="C153" t="s">
        <v>127</v>
      </c>
      <c r="D153" t="s">
        <v>93</v>
      </c>
      <c r="E153" t="s">
        <v>362</v>
      </c>
      <c r="F153" s="267" t="s">
        <v>421</v>
      </c>
      <c r="G153" s="267" t="s">
        <v>1781</v>
      </c>
    </row>
    <row r="154" spans="1:7">
      <c r="A154">
        <v>461</v>
      </c>
      <c r="B154">
        <v>2020</v>
      </c>
      <c r="C154" t="s">
        <v>128</v>
      </c>
      <c r="D154" t="s">
        <v>93</v>
      </c>
      <c r="E154" t="s">
        <v>362</v>
      </c>
      <c r="F154" s="267" t="s">
        <v>422</v>
      </c>
      <c r="G154" s="267" t="s">
        <v>1782</v>
      </c>
    </row>
    <row r="155" spans="1:7">
      <c r="A155">
        <v>462</v>
      </c>
      <c r="B155">
        <v>2020</v>
      </c>
      <c r="C155" t="s">
        <v>129</v>
      </c>
      <c r="D155" t="s">
        <v>93</v>
      </c>
      <c r="E155" t="s">
        <v>362</v>
      </c>
      <c r="F155" s="267" t="s">
        <v>423</v>
      </c>
      <c r="G155" s="267" t="s">
        <v>1783</v>
      </c>
    </row>
    <row r="156" spans="1:7">
      <c r="A156">
        <v>4</v>
      </c>
      <c r="B156">
        <v>2020</v>
      </c>
      <c r="C156" t="s">
        <v>157</v>
      </c>
      <c r="D156" t="s">
        <v>93</v>
      </c>
      <c r="E156" t="s">
        <v>362</v>
      </c>
      <c r="F156" s="267" t="s">
        <v>424</v>
      </c>
      <c r="G156" s="267" t="s">
        <v>1784</v>
      </c>
    </row>
    <row r="157" spans="1:7">
      <c r="A157">
        <v>0</v>
      </c>
      <c r="B157">
        <v>2020</v>
      </c>
      <c r="C157" t="s">
        <v>130</v>
      </c>
      <c r="D157" t="s">
        <v>93</v>
      </c>
      <c r="E157" t="s">
        <v>362</v>
      </c>
      <c r="F157" s="267" t="s">
        <v>425</v>
      </c>
      <c r="G157" s="267" t="s">
        <v>1785</v>
      </c>
    </row>
    <row r="158" spans="1:7">
      <c r="A158">
        <v>101</v>
      </c>
      <c r="B158">
        <v>2020</v>
      </c>
      <c r="C158" t="s">
        <v>363</v>
      </c>
      <c r="D158" t="s">
        <v>131</v>
      </c>
      <c r="E158" t="s">
        <v>362</v>
      </c>
      <c r="F158" s="267" t="s">
        <v>364</v>
      </c>
      <c r="G158" s="267" t="s">
        <v>1786</v>
      </c>
    </row>
    <row r="159" spans="1:7">
      <c r="A159">
        <v>102</v>
      </c>
      <c r="B159">
        <v>2020</v>
      </c>
      <c r="C159" t="s">
        <v>365</v>
      </c>
      <c r="D159" t="s">
        <v>131</v>
      </c>
      <c r="E159" t="s">
        <v>362</v>
      </c>
      <c r="F159" s="267" t="s">
        <v>366</v>
      </c>
      <c r="G159" s="267" t="s">
        <v>1787</v>
      </c>
    </row>
    <row r="160" spans="1:7">
      <c r="A160">
        <v>103</v>
      </c>
      <c r="B160">
        <v>2020</v>
      </c>
      <c r="C160" t="s">
        <v>367</v>
      </c>
      <c r="D160" t="s">
        <v>131</v>
      </c>
      <c r="E160" t="s">
        <v>362</v>
      </c>
      <c r="F160" s="267" t="s">
        <v>368</v>
      </c>
      <c r="G160" s="267" t="s">
        <v>1788</v>
      </c>
    </row>
    <row r="161" spans="1:7">
      <c r="A161">
        <v>151</v>
      </c>
      <c r="B161">
        <v>2020</v>
      </c>
      <c r="C161" t="s">
        <v>94</v>
      </c>
      <c r="D161" t="s">
        <v>131</v>
      </c>
      <c r="E161" t="s">
        <v>362</v>
      </c>
      <c r="F161" s="267" t="s">
        <v>369</v>
      </c>
      <c r="G161" s="267" t="s">
        <v>1789</v>
      </c>
    </row>
    <row r="162" spans="1:7">
      <c r="A162">
        <v>153</v>
      </c>
      <c r="B162">
        <v>2020</v>
      </c>
      <c r="C162" t="s">
        <v>96</v>
      </c>
      <c r="D162" t="s">
        <v>131</v>
      </c>
      <c r="E162" t="s">
        <v>362</v>
      </c>
      <c r="F162" s="267" t="s">
        <v>370</v>
      </c>
      <c r="G162" s="267" t="s">
        <v>1790</v>
      </c>
    </row>
    <row r="163" spans="1:7">
      <c r="A163">
        <v>154</v>
      </c>
      <c r="B163">
        <v>2020</v>
      </c>
      <c r="C163" t="s">
        <v>97</v>
      </c>
      <c r="D163" t="s">
        <v>131</v>
      </c>
      <c r="E163" t="s">
        <v>362</v>
      </c>
      <c r="F163" s="267" t="s">
        <v>371</v>
      </c>
      <c r="G163" s="267" t="s">
        <v>1791</v>
      </c>
    </row>
    <row r="164" spans="1:7">
      <c r="A164">
        <v>155</v>
      </c>
      <c r="B164">
        <v>2020</v>
      </c>
      <c r="C164" t="s">
        <v>98</v>
      </c>
      <c r="D164" t="s">
        <v>131</v>
      </c>
      <c r="E164" t="s">
        <v>362</v>
      </c>
      <c r="F164" s="267" t="s">
        <v>372</v>
      </c>
      <c r="G164" s="267" t="s">
        <v>1792</v>
      </c>
    </row>
    <row r="165" spans="1:7">
      <c r="A165">
        <v>157</v>
      </c>
      <c r="B165">
        <v>2020</v>
      </c>
      <c r="C165" t="s">
        <v>99</v>
      </c>
      <c r="D165" t="s">
        <v>131</v>
      </c>
      <c r="E165" t="s">
        <v>362</v>
      </c>
      <c r="F165" s="267" t="s">
        <v>373</v>
      </c>
      <c r="G165" s="267" t="s">
        <v>1793</v>
      </c>
    </row>
    <row r="166" spans="1:7">
      <c r="A166">
        <v>158</v>
      </c>
      <c r="B166">
        <v>2020</v>
      </c>
      <c r="C166" t="s">
        <v>100</v>
      </c>
      <c r="D166" t="s">
        <v>131</v>
      </c>
      <c r="E166" t="s">
        <v>362</v>
      </c>
      <c r="F166" s="267" t="s">
        <v>374</v>
      </c>
      <c r="G166" s="267" t="s">
        <v>1794</v>
      </c>
    </row>
    <row r="167" spans="1:7">
      <c r="A167">
        <v>159</v>
      </c>
      <c r="B167">
        <v>2020</v>
      </c>
      <c r="C167" t="s">
        <v>95</v>
      </c>
      <c r="D167" t="s">
        <v>131</v>
      </c>
      <c r="E167" t="s">
        <v>362</v>
      </c>
      <c r="F167" s="267" t="s">
        <v>375</v>
      </c>
      <c r="G167" s="267" t="s">
        <v>1795</v>
      </c>
    </row>
    <row r="168" spans="1:7">
      <c r="A168">
        <v>1</v>
      </c>
      <c r="B168">
        <v>2020</v>
      </c>
      <c r="C168" t="s">
        <v>154</v>
      </c>
      <c r="D168" t="s">
        <v>131</v>
      </c>
      <c r="E168" t="s">
        <v>362</v>
      </c>
      <c r="F168" s="267" t="s">
        <v>376</v>
      </c>
      <c r="G168" s="267" t="s">
        <v>1796</v>
      </c>
    </row>
    <row r="169" spans="1:7">
      <c r="A169">
        <v>241</v>
      </c>
      <c r="B169">
        <v>2020</v>
      </c>
      <c r="C169" t="s">
        <v>377</v>
      </c>
      <c r="D169" t="s">
        <v>131</v>
      </c>
      <c r="E169" t="s">
        <v>362</v>
      </c>
      <c r="F169" s="267" t="s">
        <v>378</v>
      </c>
      <c r="G169" s="267" t="s">
        <v>1797</v>
      </c>
    </row>
    <row r="170" spans="1:7">
      <c r="A170">
        <v>241001</v>
      </c>
      <c r="B170">
        <v>2020</v>
      </c>
      <c r="C170" t="s">
        <v>379</v>
      </c>
      <c r="D170" t="s">
        <v>131</v>
      </c>
      <c r="E170" t="s">
        <v>362</v>
      </c>
      <c r="F170" s="267" t="s">
        <v>380</v>
      </c>
      <c r="G170" s="267" t="s">
        <v>1798</v>
      </c>
    </row>
    <row r="171" spans="1:7">
      <c r="A171">
        <v>241999</v>
      </c>
      <c r="B171">
        <v>2020</v>
      </c>
      <c r="C171" t="s">
        <v>381</v>
      </c>
      <c r="D171" t="s">
        <v>131</v>
      </c>
      <c r="E171" t="s">
        <v>362</v>
      </c>
      <c r="F171" s="267" t="s">
        <v>382</v>
      </c>
      <c r="G171" s="267" t="s">
        <v>1799</v>
      </c>
    </row>
    <row r="172" spans="1:7">
      <c r="A172">
        <v>251</v>
      </c>
      <c r="B172">
        <v>2020</v>
      </c>
      <c r="C172" t="s">
        <v>101</v>
      </c>
      <c r="D172" t="s">
        <v>131</v>
      </c>
      <c r="E172" t="s">
        <v>362</v>
      </c>
      <c r="F172" s="267" t="s">
        <v>383</v>
      </c>
      <c r="G172" s="267" t="s">
        <v>1800</v>
      </c>
    </row>
    <row r="173" spans="1:7">
      <c r="A173">
        <v>252</v>
      </c>
      <c r="B173">
        <v>2020</v>
      </c>
      <c r="C173" t="s">
        <v>102</v>
      </c>
      <c r="D173" t="s">
        <v>131</v>
      </c>
      <c r="E173" t="s">
        <v>362</v>
      </c>
      <c r="F173" s="267" t="s">
        <v>384</v>
      </c>
      <c r="G173" s="267" t="s">
        <v>1801</v>
      </c>
    </row>
    <row r="174" spans="1:7">
      <c r="A174">
        <v>254</v>
      </c>
      <c r="B174">
        <v>2020</v>
      </c>
      <c r="C174" t="s">
        <v>103</v>
      </c>
      <c r="D174" t="s">
        <v>131</v>
      </c>
      <c r="E174" t="s">
        <v>362</v>
      </c>
      <c r="F174" s="267" t="s">
        <v>385</v>
      </c>
      <c r="G174" s="267" t="s">
        <v>1802</v>
      </c>
    </row>
    <row r="175" spans="1:7">
      <c r="A175">
        <v>255</v>
      </c>
      <c r="B175">
        <v>2020</v>
      </c>
      <c r="C175" t="s">
        <v>104</v>
      </c>
      <c r="D175" t="s">
        <v>131</v>
      </c>
      <c r="E175" t="s">
        <v>362</v>
      </c>
      <c r="F175" s="267" t="s">
        <v>386</v>
      </c>
      <c r="G175" s="267" t="s">
        <v>1803</v>
      </c>
    </row>
    <row r="176" spans="1:7">
      <c r="A176">
        <v>256</v>
      </c>
      <c r="B176">
        <v>2020</v>
      </c>
      <c r="C176" t="s">
        <v>105</v>
      </c>
      <c r="D176" t="s">
        <v>131</v>
      </c>
      <c r="E176" t="s">
        <v>362</v>
      </c>
      <c r="F176" s="267" t="s">
        <v>387</v>
      </c>
      <c r="G176" s="267" t="s">
        <v>1804</v>
      </c>
    </row>
    <row r="177" spans="1:7">
      <c r="A177">
        <v>257</v>
      </c>
      <c r="B177">
        <v>2020</v>
      </c>
      <c r="C177" t="s">
        <v>106</v>
      </c>
      <c r="D177" t="s">
        <v>131</v>
      </c>
      <c r="E177" t="s">
        <v>362</v>
      </c>
      <c r="F177" s="267" t="s">
        <v>388</v>
      </c>
      <c r="G177" s="267" t="s">
        <v>1805</v>
      </c>
    </row>
    <row r="178" spans="1:7">
      <c r="A178">
        <v>2</v>
      </c>
      <c r="B178">
        <v>2020</v>
      </c>
      <c r="C178" t="s">
        <v>155</v>
      </c>
      <c r="D178" t="s">
        <v>131</v>
      </c>
      <c r="E178" t="s">
        <v>362</v>
      </c>
      <c r="F178" s="267" t="s">
        <v>389</v>
      </c>
      <c r="G178" s="267" t="s">
        <v>1806</v>
      </c>
    </row>
    <row r="179" spans="1:7">
      <c r="A179">
        <v>351</v>
      </c>
      <c r="B179">
        <v>2020</v>
      </c>
      <c r="C179" t="s">
        <v>107</v>
      </c>
      <c r="D179" t="s">
        <v>131</v>
      </c>
      <c r="E179" t="s">
        <v>362</v>
      </c>
      <c r="F179" s="267" t="s">
        <v>390</v>
      </c>
      <c r="G179" s="267" t="s">
        <v>1807</v>
      </c>
    </row>
    <row r="180" spans="1:7">
      <c r="A180">
        <v>352</v>
      </c>
      <c r="B180">
        <v>2020</v>
      </c>
      <c r="C180" t="s">
        <v>108</v>
      </c>
      <c r="D180" t="s">
        <v>131</v>
      </c>
      <c r="E180" t="s">
        <v>362</v>
      </c>
      <c r="F180" s="267" t="s">
        <v>391</v>
      </c>
      <c r="G180" s="267" t="s">
        <v>1808</v>
      </c>
    </row>
    <row r="181" spans="1:7">
      <c r="A181">
        <v>353</v>
      </c>
      <c r="B181">
        <v>2020</v>
      </c>
      <c r="C181" t="s">
        <v>109</v>
      </c>
      <c r="D181" t="s">
        <v>131</v>
      </c>
      <c r="E181" t="s">
        <v>362</v>
      </c>
      <c r="F181" s="267" t="s">
        <v>392</v>
      </c>
      <c r="G181" s="267" t="s">
        <v>1809</v>
      </c>
    </row>
    <row r="182" spans="1:7">
      <c r="A182">
        <v>354</v>
      </c>
      <c r="B182">
        <v>2020</v>
      </c>
      <c r="C182" t="s">
        <v>110</v>
      </c>
      <c r="D182" t="s">
        <v>131</v>
      </c>
      <c r="E182" t="s">
        <v>362</v>
      </c>
      <c r="F182" s="267" t="s">
        <v>393</v>
      </c>
      <c r="G182" s="267" t="s">
        <v>1810</v>
      </c>
    </row>
    <row r="183" spans="1:7">
      <c r="A183">
        <v>355</v>
      </c>
      <c r="B183">
        <v>2020</v>
      </c>
      <c r="C183" t="s">
        <v>111</v>
      </c>
      <c r="D183" t="s">
        <v>131</v>
      </c>
      <c r="E183" t="s">
        <v>362</v>
      </c>
      <c r="F183" s="267" t="s">
        <v>394</v>
      </c>
      <c r="G183" s="267" t="s">
        <v>1811</v>
      </c>
    </row>
    <row r="184" spans="1:7">
      <c r="A184">
        <v>356</v>
      </c>
      <c r="B184">
        <v>2020</v>
      </c>
      <c r="C184" t="s">
        <v>112</v>
      </c>
      <c r="D184" t="s">
        <v>131</v>
      </c>
      <c r="E184" t="s">
        <v>362</v>
      </c>
      <c r="F184" s="267" t="s">
        <v>395</v>
      </c>
      <c r="G184" s="267" t="s">
        <v>1812</v>
      </c>
    </row>
    <row r="185" spans="1:7">
      <c r="A185">
        <v>357</v>
      </c>
      <c r="B185">
        <v>2020</v>
      </c>
      <c r="C185" t="s">
        <v>113</v>
      </c>
      <c r="D185" t="s">
        <v>131</v>
      </c>
      <c r="E185" t="s">
        <v>362</v>
      </c>
      <c r="F185" s="267" t="s">
        <v>396</v>
      </c>
      <c r="G185" s="267" t="s">
        <v>1813</v>
      </c>
    </row>
    <row r="186" spans="1:7">
      <c r="A186">
        <v>358</v>
      </c>
      <c r="B186">
        <v>2020</v>
      </c>
      <c r="C186" t="s">
        <v>114</v>
      </c>
      <c r="D186" t="s">
        <v>131</v>
      </c>
      <c r="E186" t="s">
        <v>362</v>
      </c>
      <c r="F186" s="267" t="s">
        <v>397</v>
      </c>
      <c r="G186" s="267" t="s">
        <v>1814</v>
      </c>
    </row>
    <row r="187" spans="1:7">
      <c r="A187">
        <v>359</v>
      </c>
      <c r="B187">
        <v>2020</v>
      </c>
      <c r="C187" t="s">
        <v>115</v>
      </c>
      <c r="D187" t="s">
        <v>131</v>
      </c>
      <c r="E187" t="s">
        <v>362</v>
      </c>
      <c r="F187" s="267" t="s">
        <v>398</v>
      </c>
      <c r="G187" s="267" t="s">
        <v>1815</v>
      </c>
    </row>
    <row r="188" spans="1:7">
      <c r="A188">
        <v>360</v>
      </c>
      <c r="B188">
        <v>2020</v>
      </c>
      <c r="C188" t="s">
        <v>116</v>
      </c>
      <c r="D188" t="s">
        <v>131</v>
      </c>
      <c r="E188" t="s">
        <v>362</v>
      </c>
      <c r="F188" s="267" t="s">
        <v>399</v>
      </c>
      <c r="G188" s="267" t="s">
        <v>1816</v>
      </c>
    </row>
    <row r="189" spans="1:7">
      <c r="A189">
        <v>361</v>
      </c>
      <c r="B189">
        <v>2020</v>
      </c>
      <c r="C189" t="s">
        <v>117</v>
      </c>
      <c r="D189" t="s">
        <v>131</v>
      </c>
      <c r="E189" t="s">
        <v>362</v>
      </c>
      <c r="F189" s="267" t="s">
        <v>400</v>
      </c>
      <c r="G189" s="267" t="s">
        <v>1817</v>
      </c>
    </row>
    <row r="190" spans="1:7">
      <c r="A190">
        <v>3</v>
      </c>
      <c r="B190">
        <v>2020</v>
      </c>
      <c r="C190" t="s">
        <v>156</v>
      </c>
      <c r="D190" t="s">
        <v>131</v>
      </c>
      <c r="E190" t="s">
        <v>362</v>
      </c>
      <c r="F190" s="267" t="s">
        <v>401</v>
      </c>
      <c r="G190" s="267" t="s">
        <v>1818</v>
      </c>
    </row>
    <row r="191" spans="1:7">
      <c r="A191">
        <v>401</v>
      </c>
      <c r="B191">
        <v>2020</v>
      </c>
      <c r="C191" t="s">
        <v>402</v>
      </c>
      <c r="D191" t="s">
        <v>131</v>
      </c>
      <c r="E191" t="s">
        <v>362</v>
      </c>
      <c r="F191" s="267" t="s">
        <v>403</v>
      </c>
      <c r="G191" s="267" t="s">
        <v>1819</v>
      </c>
    </row>
    <row r="192" spans="1:7">
      <c r="A192">
        <v>402</v>
      </c>
      <c r="B192">
        <v>2020</v>
      </c>
      <c r="C192" t="s">
        <v>404</v>
      </c>
      <c r="D192" t="s">
        <v>131</v>
      </c>
      <c r="E192" t="s">
        <v>362</v>
      </c>
      <c r="F192" s="267" t="s">
        <v>405</v>
      </c>
      <c r="G192" s="267" t="s">
        <v>1820</v>
      </c>
    </row>
    <row r="193" spans="1:7">
      <c r="A193">
        <v>403</v>
      </c>
      <c r="B193">
        <v>2020</v>
      </c>
      <c r="C193" t="s">
        <v>406</v>
      </c>
      <c r="D193" t="s">
        <v>131</v>
      </c>
      <c r="E193" t="s">
        <v>362</v>
      </c>
      <c r="F193" s="267" t="s">
        <v>407</v>
      </c>
      <c r="G193" s="267" t="s">
        <v>1821</v>
      </c>
    </row>
    <row r="194" spans="1:7">
      <c r="A194">
        <v>404</v>
      </c>
      <c r="B194">
        <v>2020</v>
      </c>
      <c r="C194" t="s">
        <v>408</v>
      </c>
      <c r="D194" t="s">
        <v>131</v>
      </c>
      <c r="E194" t="s">
        <v>362</v>
      </c>
      <c r="F194" s="267" t="s">
        <v>409</v>
      </c>
      <c r="G194" s="267" t="s">
        <v>1822</v>
      </c>
    </row>
    <row r="195" spans="1:7">
      <c r="A195">
        <v>405</v>
      </c>
      <c r="B195">
        <v>2020</v>
      </c>
      <c r="C195" t="s">
        <v>410</v>
      </c>
      <c r="D195" t="s">
        <v>131</v>
      </c>
      <c r="E195" t="s">
        <v>362</v>
      </c>
      <c r="F195" s="267" t="s">
        <v>411</v>
      </c>
      <c r="G195" s="267" t="s">
        <v>1823</v>
      </c>
    </row>
    <row r="196" spans="1:7">
      <c r="A196">
        <v>451</v>
      </c>
      <c r="B196">
        <v>2020</v>
      </c>
      <c r="C196" t="s">
        <v>118</v>
      </c>
      <c r="D196" t="s">
        <v>131</v>
      </c>
      <c r="E196" t="s">
        <v>362</v>
      </c>
      <c r="F196" s="267" t="s">
        <v>412</v>
      </c>
      <c r="G196" s="267" t="s">
        <v>1824</v>
      </c>
    </row>
    <row r="197" spans="1:7">
      <c r="A197">
        <v>452</v>
      </c>
      <c r="B197">
        <v>2020</v>
      </c>
      <c r="C197" t="s">
        <v>119</v>
      </c>
      <c r="D197" t="s">
        <v>131</v>
      </c>
      <c r="E197" t="s">
        <v>362</v>
      </c>
      <c r="F197" s="267" t="s">
        <v>413</v>
      </c>
      <c r="G197" s="267" t="s">
        <v>1825</v>
      </c>
    </row>
    <row r="198" spans="1:7">
      <c r="A198">
        <v>453</v>
      </c>
      <c r="B198">
        <v>2020</v>
      </c>
      <c r="C198" t="s">
        <v>120</v>
      </c>
      <c r="D198" t="s">
        <v>131</v>
      </c>
      <c r="E198" t="s">
        <v>362</v>
      </c>
      <c r="F198" s="267" t="s">
        <v>414</v>
      </c>
      <c r="G198" s="267" t="s">
        <v>1826</v>
      </c>
    </row>
    <row r="199" spans="1:7">
      <c r="A199">
        <v>454</v>
      </c>
      <c r="B199">
        <v>2020</v>
      </c>
      <c r="C199" t="s">
        <v>121</v>
      </c>
      <c r="D199" t="s">
        <v>131</v>
      </c>
      <c r="E199" t="s">
        <v>362</v>
      </c>
      <c r="F199" s="267" t="s">
        <v>415</v>
      </c>
      <c r="G199" s="267" t="s">
        <v>1827</v>
      </c>
    </row>
    <row r="200" spans="1:7">
      <c r="A200">
        <v>455</v>
      </c>
      <c r="B200">
        <v>2020</v>
      </c>
      <c r="C200" t="s">
        <v>122</v>
      </c>
      <c r="D200" t="s">
        <v>131</v>
      </c>
      <c r="E200" t="s">
        <v>362</v>
      </c>
      <c r="F200" s="267" t="s">
        <v>416</v>
      </c>
      <c r="G200" s="267" t="s">
        <v>1828</v>
      </c>
    </row>
    <row r="201" spans="1:7">
      <c r="A201">
        <v>456</v>
      </c>
      <c r="B201">
        <v>2020</v>
      </c>
      <c r="C201" t="s">
        <v>123</v>
      </c>
      <c r="D201" t="s">
        <v>131</v>
      </c>
      <c r="E201" t="s">
        <v>362</v>
      </c>
      <c r="F201" s="267" t="s">
        <v>417</v>
      </c>
      <c r="G201" s="267" t="s">
        <v>1829</v>
      </c>
    </row>
    <row r="202" spans="1:7">
      <c r="A202">
        <v>457</v>
      </c>
      <c r="B202">
        <v>2020</v>
      </c>
      <c r="C202" t="s">
        <v>124</v>
      </c>
      <c r="D202" t="s">
        <v>131</v>
      </c>
      <c r="E202" t="s">
        <v>362</v>
      </c>
      <c r="F202" s="267" t="s">
        <v>418</v>
      </c>
      <c r="G202" s="267" t="s">
        <v>1830</v>
      </c>
    </row>
    <row r="203" spans="1:7">
      <c r="A203">
        <v>458</v>
      </c>
      <c r="B203">
        <v>2020</v>
      </c>
      <c r="C203" t="s">
        <v>125</v>
      </c>
      <c r="D203" t="s">
        <v>131</v>
      </c>
      <c r="E203" t="s">
        <v>362</v>
      </c>
      <c r="F203" s="267" t="s">
        <v>419</v>
      </c>
      <c r="G203" s="267" t="s">
        <v>1831</v>
      </c>
    </row>
    <row r="204" spans="1:7">
      <c r="A204">
        <v>459</v>
      </c>
      <c r="B204">
        <v>2020</v>
      </c>
      <c r="C204" t="s">
        <v>126</v>
      </c>
      <c r="D204" t="s">
        <v>131</v>
      </c>
      <c r="E204" t="s">
        <v>362</v>
      </c>
      <c r="F204" s="267" t="s">
        <v>420</v>
      </c>
      <c r="G204" s="267" t="s">
        <v>1832</v>
      </c>
    </row>
    <row r="205" spans="1:7">
      <c r="A205">
        <v>460</v>
      </c>
      <c r="B205">
        <v>2020</v>
      </c>
      <c r="C205" t="s">
        <v>127</v>
      </c>
      <c r="D205" t="s">
        <v>131</v>
      </c>
      <c r="E205" t="s">
        <v>362</v>
      </c>
      <c r="F205" s="267" t="s">
        <v>421</v>
      </c>
      <c r="G205" s="267" t="s">
        <v>1833</v>
      </c>
    </row>
    <row r="206" spans="1:7">
      <c r="A206">
        <v>461</v>
      </c>
      <c r="B206">
        <v>2020</v>
      </c>
      <c r="C206" t="s">
        <v>128</v>
      </c>
      <c r="D206" t="s">
        <v>131</v>
      </c>
      <c r="E206" t="s">
        <v>362</v>
      </c>
      <c r="F206" s="267" t="s">
        <v>422</v>
      </c>
      <c r="G206" s="267" t="s">
        <v>1834</v>
      </c>
    </row>
    <row r="207" spans="1:7">
      <c r="A207">
        <v>462</v>
      </c>
      <c r="B207">
        <v>2020</v>
      </c>
      <c r="C207" t="s">
        <v>129</v>
      </c>
      <c r="D207" t="s">
        <v>131</v>
      </c>
      <c r="E207" t="s">
        <v>362</v>
      </c>
      <c r="F207" s="267" t="s">
        <v>423</v>
      </c>
      <c r="G207" s="267" t="s">
        <v>1835</v>
      </c>
    </row>
    <row r="208" spans="1:7">
      <c r="A208">
        <v>4</v>
      </c>
      <c r="B208">
        <v>2020</v>
      </c>
      <c r="C208" t="s">
        <v>157</v>
      </c>
      <c r="D208" t="s">
        <v>131</v>
      </c>
      <c r="E208" t="s">
        <v>362</v>
      </c>
      <c r="F208" s="267" t="s">
        <v>424</v>
      </c>
      <c r="G208" s="267" t="s">
        <v>1836</v>
      </c>
    </row>
    <row r="209" spans="1:7">
      <c r="A209">
        <v>0</v>
      </c>
      <c r="B209">
        <v>2020</v>
      </c>
      <c r="C209" t="s">
        <v>130</v>
      </c>
      <c r="D209" t="s">
        <v>131</v>
      </c>
      <c r="E209" t="s">
        <v>362</v>
      </c>
      <c r="F209" s="267" t="s">
        <v>425</v>
      </c>
      <c r="G209" s="267" t="s">
        <v>1837</v>
      </c>
    </row>
    <row r="210" spans="1:7">
      <c r="A210">
        <v>101</v>
      </c>
      <c r="B210">
        <v>2019</v>
      </c>
      <c r="C210" t="s">
        <v>363</v>
      </c>
      <c r="D210" t="s">
        <v>91</v>
      </c>
      <c r="E210" t="s">
        <v>362</v>
      </c>
      <c r="F210" s="267" t="s">
        <v>364</v>
      </c>
      <c r="G210" s="267" t="s">
        <v>1838</v>
      </c>
    </row>
    <row r="211" spans="1:7">
      <c r="A211">
        <v>102</v>
      </c>
      <c r="B211">
        <v>2019</v>
      </c>
      <c r="C211" t="s">
        <v>365</v>
      </c>
      <c r="D211" t="s">
        <v>91</v>
      </c>
      <c r="E211" t="s">
        <v>362</v>
      </c>
      <c r="F211" s="267" t="s">
        <v>366</v>
      </c>
      <c r="G211" s="267" t="s">
        <v>1839</v>
      </c>
    </row>
    <row r="212" spans="1:7">
      <c r="A212">
        <v>103</v>
      </c>
      <c r="B212">
        <v>2019</v>
      </c>
      <c r="C212" t="s">
        <v>367</v>
      </c>
      <c r="D212" t="s">
        <v>91</v>
      </c>
      <c r="E212" t="s">
        <v>362</v>
      </c>
      <c r="F212" s="267" t="s">
        <v>368</v>
      </c>
      <c r="G212" s="267" t="s">
        <v>1840</v>
      </c>
    </row>
    <row r="213" spans="1:7">
      <c r="A213">
        <v>151</v>
      </c>
      <c r="B213">
        <v>2019</v>
      </c>
      <c r="C213" t="s">
        <v>94</v>
      </c>
      <c r="D213" t="s">
        <v>91</v>
      </c>
      <c r="E213" t="s">
        <v>362</v>
      </c>
      <c r="F213" s="267" t="s">
        <v>369</v>
      </c>
      <c r="G213" s="267" t="s">
        <v>1841</v>
      </c>
    </row>
    <row r="214" spans="1:7">
      <c r="A214">
        <v>153</v>
      </c>
      <c r="B214">
        <v>2019</v>
      </c>
      <c r="C214" t="s">
        <v>96</v>
      </c>
      <c r="D214" t="s">
        <v>91</v>
      </c>
      <c r="E214" t="s">
        <v>362</v>
      </c>
      <c r="F214" s="267" t="s">
        <v>370</v>
      </c>
      <c r="G214" s="267" t="s">
        <v>1842</v>
      </c>
    </row>
    <row r="215" spans="1:7">
      <c r="A215">
        <v>154</v>
      </c>
      <c r="B215">
        <v>2019</v>
      </c>
      <c r="C215" t="s">
        <v>97</v>
      </c>
      <c r="D215" t="s">
        <v>91</v>
      </c>
      <c r="E215" t="s">
        <v>362</v>
      </c>
      <c r="F215" s="267" t="s">
        <v>371</v>
      </c>
      <c r="G215" s="267" t="s">
        <v>1843</v>
      </c>
    </row>
    <row r="216" spans="1:7">
      <c r="A216">
        <v>155</v>
      </c>
      <c r="B216">
        <v>2019</v>
      </c>
      <c r="C216" t="s">
        <v>98</v>
      </c>
      <c r="D216" t="s">
        <v>91</v>
      </c>
      <c r="E216" t="s">
        <v>362</v>
      </c>
      <c r="F216" s="267" t="s">
        <v>372</v>
      </c>
      <c r="G216" s="267" t="s">
        <v>1844</v>
      </c>
    </row>
    <row r="217" spans="1:7">
      <c r="A217">
        <v>157</v>
      </c>
      <c r="B217">
        <v>2019</v>
      </c>
      <c r="C217" t="s">
        <v>99</v>
      </c>
      <c r="D217" t="s">
        <v>91</v>
      </c>
      <c r="E217" t="s">
        <v>362</v>
      </c>
      <c r="F217" s="267" t="s">
        <v>373</v>
      </c>
      <c r="G217" s="267" t="s">
        <v>1845</v>
      </c>
    </row>
    <row r="218" spans="1:7">
      <c r="A218">
        <v>158</v>
      </c>
      <c r="B218">
        <v>2019</v>
      </c>
      <c r="C218" t="s">
        <v>100</v>
      </c>
      <c r="D218" t="s">
        <v>91</v>
      </c>
      <c r="E218" t="s">
        <v>362</v>
      </c>
      <c r="F218" s="267" t="s">
        <v>374</v>
      </c>
      <c r="G218" s="267" t="s">
        <v>1846</v>
      </c>
    </row>
    <row r="219" spans="1:7">
      <c r="A219">
        <v>159</v>
      </c>
      <c r="B219">
        <v>2019</v>
      </c>
      <c r="C219" t="s">
        <v>95</v>
      </c>
      <c r="D219" t="s">
        <v>91</v>
      </c>
      <c r="E219" t="s">
        <v>362</v>
      </c>
      <c r="F219" s="267" t="s">
        <v>375</v>
      </c>
      <c r="G219" s="267" t="s">
        <v>1847</v>
      </c>
    </row>
    <row r="220" spans="1:7">
      <c r="A220">
        <v>1</v>
      </c>
      <c r="B220">
        <v>2019</v>
      </c>
      <c r="C220" t="s">
        <v>154</v>
      </c>
      <c r="D220" t="s">
        <v>91</v>
      </c>
      <c r="E220" t="s">
        <v>362</v>
      </c>
      <c r="F220" s="267" t="s">
        <v>376</v>
      </c>
      <c r="G220" s="267" t="s">
        <v>1848</v>
      </c>
    </row>
    <row r="221" spans="1:7">
      <c r="A221">
        <v>241</v>
      </c>
      <c r="B221">
        <v>2019</v>
      </c>
      <c r="C221" t="s">
        <v>377</v>
      </c>
      <c r="D221" t="s">
        <v>91</v>
      </c>
      <c r="E221" t="s">
        <v>362</v>
      </c>
      <c r="F221" s="267" t="s">
        <v>378</v>
      </c>
      <c r="G221" s="267" t="s">
        <v>1849</v>
      </c>
    </row>
    <row r="222" spans="1:7">
      <c r="A222">
        <v>241001</v>
      </c>
      <c r="B222">
        <v>2019</v>
      </c>
      <c r="C222" t="s">
        <v>379</v>
      </c>
      <c r="D222" t="s">
        <v>91</v>
      </c>
      <c r="E222" t="s">
        <v>362</v>
      </c>
      <c r="F222" s="267" t="s">
        <v>380</v>
      </c>
      <c r="G222" s="267" t="s">
        <v>1850</v>
      </c>
    </row>
    <row r="223" spans="1:7">
      <c r="A223">
        <v>241999</v>
      </c>
      <c r="B223">
        <v>2019</v>
      </c>
      <c r="C223" t="s">
        <v>381</v>
      </c>
      <c r="D223" t="s">
        <v>91</v>
      </c>
      <c r="E223" t="s">
        <v>362</v>
      </c>
      <c r="F223" s="267" t="s">
        <v>382</v>
      </c>
      <c r="G223" s="267" t="s">
        <v>1851</v>
      </c>
    </row>
    <row r="224" spans="1:7">
      <c r="A224">
        <v>251</v>
      </c>
      <c r="B224">
        <v>2019</v>
      </c>
      <c r="C224" t="s">
        <v>101</v>
      </c>
      <c r="D224" t="s">
        <v>91</v>
      </c>
      <c r="E224" t="s">
        <v>362</v>
      </c>
      <c r="F224" s="267" t="s">
        <v>383</v>
      </c>
      <c r="G224" s="267" t="s">
        <v>1852</v>
      </c>
    </row>
    <row r="225" spans="1:7">
      <c r="A225">
        <v>252</v>
      </c>
      <c r="B225">
        <v>2019</v>
      </c>
      <c r="C225" t="s">
        <v>102</v>
      </c>
      <c r="D225" t="s">
        <v>91</v>
      </c>
      <c r="E225" t="s">
        <v>362</v>
      </c>
      <c r="F225" s="267" t="s">
        <v>384</v>
      </c>
      <c r="G225" s="267" t="s">
        <v>1853</v>
      </c>
    </row>
    <row r="226" spans="1:7">
      <c r="A226">
        <v>254</v>
      </c>
      <c r="B226">
        <v>2019</v>
      </c>
      <c r="C226" t="s">
        <v>103</v>
      </c>
      <c r="D226" t="s">
        <v>91</v>
      </c>
      <c r="E226" t="s">
        <v>362</v>
      </c>
      <c r="F226" s="267" t="s">
        <v>385</v>
      </c>
      <c r="G226" s="267" t="s">
        <v>1854</v>
      </c>
    </row>
    <row r="227" spans="1:7">
      <c r="A227">
        <v>255</v>
      </c>
      <c r="B227">
        <v>2019</v>
      </c>
      <c r="C227" t="s">
        <v>104</v>
      </c>
      <c r="D227" t="s">
        <v>91</v>
      </c>
      <c r="E227" t="s">
        <v>362</v>
      </c>
      <c r="F227" s="267" t="s">
        <v>386</v>
      </c>
      <c r="G227" s="267" t="s">
        <v>1855</v>
      </c>
    </row>
    <row r="228" spans="1:7">
      <c r="A228">
        <v>256</v>
      </c>
      <c r="B228">
        <v>2019</v>
      </c>
      <c r="C228" t="s">
        <v>105</v>
      </c>
      <c r="D228" t="s">
        <v>91</v>
      </c>
      <c r="E228" t="s">
        <v>362</v>
      </c>
      <c r="F228" s="267" t="s">
        <v>387</v>
      </c>
      <c r="G228" s="267" t="s">
        <v>1856</v>
      </c>
    </row>
    <row r="229" spans="1:7">
      <c r="A229">
        <v>257</v>
      </c>
      <c r="B229">
        <v>2019</v>
      </c>
      <c r="C229" t="s">
        <v>106</v>
      </c>
      <c r="D229" t="s">
        <v>91</v>
      </c>
      <c r="E229" t="s">
        <v>362</v>
      </c>
      <c r="F229" s="267" t="s">
        <v>388</v>
      </c>
      <c r="G229" s="267" t="s">
        <v>1857</v>
      </c>
    </row>
    <row r="230" spans="1:7">
      <c r="A230">
        <v>2</v>
      </c>
      <c r="B230">
        <v>2019</v>
      </c>
      <c r="C230" t="s">
        <v>155</v>
      </c>
      <c r="D230" t="s">
        <v>91</v>
      </c>
      <c r="E230" t="s">
        <v>362</v>
      </c>
      <c r="F230" s="267" t="s">
        <v>389</v>
      </c>
      <c r="G230" s="267" t="s">
        <v>1858</v>
      </c>
    </row>
    <row r="231" spans="1:7">
      <c r="A231">
        <v>351</v>
      </c>
      <c r="B231">
        <v>2019</v>
      </c>
      <c r="C231" t="s">
        <v>107</v>
      </c>
      <c r="D231" t="s">
        <v>91</v>
      </c>
      <c r="E231" t="s">
        <v>362</v>
      </c>
      <c r="F231" s="267" t="s">
        <v>390</v>
      </c>
      <c r="G231" s="267" t="s">
        <v>1859</v>
      </c>
    </row>
    <row r="232" spans="1:7">
      <c r="A232">
        <v>352</v>
      </c>
      <c r="B232">
        <v>2019</v>
      </c>
      <c r="C232" t="s">
        <v>108</v>
      </c>
      <c r="D232" t="s">
        <v>91</v>
      </c>
      <c r="E232" t="s">
        <v>362</v>
      </c>
      <c r="F232" s="267" t="s">
        <v>391</v>
      </c>
      <c r="G232" s="267" t="s">
        <v>1860</v>
      </c>
    </row>
    <row r="233" spans="1:7">
      <c r="A233">
        <v>353</v>
      </c>
      <c r="B233">
        <v>2019</v>
      </c>
      <c r="C233" t="s">
        <v>109</v>
      </c>
      <c r="D233" t="s">
        <v>91</v>
      </c>
      <c r="E233" t="s">
        <v>362</v>
      </c>
      <c r="F233" s="267" t="s">
        <v>392</v>
      </c>
      <c r="G233" s="267" t="s">
        <v>1861</v>
      </c>
    </row>
    <row r="234" spans="1:7">
      <c r="A234">
        <v>354</v>
      </c>
      <c r="B234">
        <v>2019</v>
      </c>
      <c r="C234" t="s">
        <v>110</v>
      </c>
      <c r="D234" t="s">
        <v>91</v>
      </c>
      <c r="E234" t="s">
        <v>362</v>
      </c>
      <c r="F234" s="267" t="s">
        <v>393</v>
      </c>
      <c r="G234" s="267" t="s">
        <v>1862</v>
      </c>
    </row>
    <row r="235" spans="1:7">
      <c r="A235">
        <v>355</v>
      </c>
      <c r="B235">
        <v>2019</v>
      </c>
      <c r="C235" t="s">
        <v>111</v>
      </c>
      <c r="D235" t="s">
        <v>91</v>
      </c>
      <c r="E235" t="s">
        <v>362</v>
      </c>
      <c r="F235" s="267" t="s">
        <v>394</v>
      </c>
      <c r="G235" s="267" t="s">
        <v>1863</v>
      </c>
    </row>
    <row r="236" spans="1:7">
      <c r="A236">
        <v>356</v>
      </c>
      <c r="B236">
        <v>2019</v>
      </c>
      <c r="C236" t="s">
        <v>112</v>
      </c>
      <c r="D236" t="s">
        <v>91</v>
      </c>
      <c r="E236" t="s">
        <v>362</v>
      </c>
      <c r="F236" s="267" t="s">
        <v>395</v>
      </c>
      <c r="G236" s="267" t="s">
        <v>1864</v>
      </c>
    </row>
    <row r="237" spans="1:7">
      <c r="A237">
        <v>357</v>
      </c>
      <c r="B237">
        <v>2019</v>
      </c>
      <c r="C237" t="s">
        <v>113</v>
      </c>
      <c r="D237" t="s">
        <v>91</v>
      </c>
      <c r="E237" t="s">
        <v>362</v>
      </c>
      <c r="F237" s="267" t="s">
        <v>396</v>
      </c>
      <c r="G237" s="267" t="s">
        <v>1865</v>
      </c>
    </row>
    <row r="238" spans="1:7">
      <c r="A238">
        <v>358</v>
      </c>
      <c r="B238">
        <v>2019</v>
      </c>
      <c r="C238" t="s">
        <v>114</v>
      </c>
      <c r="D238" t="s">
        <v>91</v>
      </c>
      <c r="E238" t="s">
        <v>362</v>
      </c>
      <c r="F238" s="267" t="s">
        <v>397</v>
      </c>
      <c r="G238" s="267" t="s">
        <v>1866</v>
      </c>
    </row>
    <row r="239" spans="1:7">
      <c r="A239">
        <v>359</v>
      </c>
      <c r="B239">
        <v>2019</v>
      </c>
      <c r="C239" t="s">
        <v>115</v>
      </c>
      <c r="D239" t="s">
        <v>91</v>
      </c>
      <c r="E239" t="s">
        <v>362</v>
      </c>
      <c r="F239" s="267" t="s">
        <v>398</v>
      </c>
      <c r="G239" s="267" t="s">
        <v>1867</v>
      </c>
    </row>
    <row r="240" spans="1:7">
      <c r="A240">
        <v>360</v>
      </c>
      <c r="B240">
        <v>2019</v>
      </c>
      <c r="C240" t="s">
        <v>116</v>
      </c>
      <c r="D240" t="s">
        <v>91</v>
      </c>
      <c r="E240" t="s">
        <v>362</v>
      </c>
      <c r="F240" s="267" t="s">
        <v>399</v>
      </c>
      <c r="G240" s="267" t="s">
        <v>1868</v>
      </c>
    </row>
    <row r="241" spans="1:7">
      <c r="A241">
        <v>361</v>
      </c>
      <c r="B241">
        <v>2019</v>
      </c>
      <c r="C241" t="s">
        <v>117</v>
      </c>
      <c r="D241" t="s">
        <v>91</v>
      </c>
      <c r="E241" t="s">
        <v>362</v>
      </c>
      <c r="F241" s="267" t="s">
        <v>400</v>
      </c>
      <c r="G241" s="267" t="s">
        <v>1869</v>
      </c>
    </row>
    <row r="242" spans="1:7">
      <c r="A242">
        <v>3</v>
      </c>
      <c r="B242">
        <v>2019</v>
      </c>
      <c r="C242" t="s">
        <v>156</v>
      </c>
      <c r="D242" t="s">
        <v>91</v>
      </c>
      <c r="E242" t="s">
        <v>362</v>
      </c>
      <c r="F242" s="267" t="s">
        <v>401</v>
      </c>
      <c r="G242" s="267" t="s">
        <v>1870</v>
      </c>
    </row>
    <row r="243" spans="1:7">
      <c r="A243">
        <v>401</v>
      </c>
      <c r="B243">
        <v>2019</v>
      </c>
      <c r="C243" t="s">
        <v>402</v>
      </c>
      <c r="D243" t="s">
        <v>91</v>
      </c>
      <c r="E243" t="s">
        <v>362</v>
      </c>
      <c r="F243" s="267" t="s">
        <v>403</v>
      </c>
      <c r="G243" s="267" t="s">
        <v>1871</v>
      </c>
    </row>
    <row r="244" spans="1:7">
      <c r="A244">
        <v>402</v>
      </c>
      <c r="B244">
        <v>2019</v>
      </c>
      <c r="C244" t="s">
        <v>404</v>
      </c>
      <c r="D244" t="s">
        <v>91</v>
      </c>
      <c r="E244" t="s">
        <v>362</v>
      </c>
      <c r="F244" s="267" t="s">
        <v>405</v>
      </c>
      <c r="G244" s="267" t="s">
        <v>1872</v>
      </c>
    </row>
    <row r="245" spans="1:7">
      <c r="A245">
        <v>403</v>
      </c>
      <c r="B245">
        <v>2019</v>
      </c>
      <c r="C245" t="s">
        <v>406</v>
      </c>
      <c r="D245" t="s">
        <v>91</v>
      </c>
      <c r="E245" t="s">
        <v>362</v>
      </c>
      <c r="F245" s="267" t="s">
        <v>407</v>
      </c>
      <c r="G245" s="267" t="s">
        <v>1873</v>
      </c>
    </row>
    <row r="246" spans="1:7">
      <c r="A246">
        <v>404</v>
      </c>
      <c r="B246">
        <v>2019</v>
      </c>
      <c r="C246" t="s">
        <v>408</v>
      </c>
      <c r="D246" t="s">
        <v>91</v>
      </c>
      <c r="E246" t="s">
        <v>362</v>
      </c>
      <c r="F246" s="267" t="s">
        <v>409</v>
      </c>
      <c r="G246" s="267" t="s">
        <v>1874</v>
      </c>
    </row>
    <row r="247" spans="1:7">
      <c r="A247">
        <v>405</v>
      </c>
      <c r="B247">
        <v>2019</v>
      </c>
      <c r="C247" t="s">
        <v>410</v>
      </c>
      <c r="D247" t="s">
        <v>91</v>
      </c>
      <c r="E247" t="s">
        <v>362</v>
      </c>
      <c r="F247" s="267" t="s">
        <v>411</v>
      </c>
      <c r="G247" s="267" t="s">
        <v>1875</v>
      </c>
    </row>
    <row r="248" spans="1:7">
      <c r="A248">
        <v>451</v>
      </c>
      <c r="B248">
        <v>2019</v>
      </c>
      <c r="C248" t="s">
        <v>118</v>
      </c>
      <c r="D248" t="s">
        <v>91</v>
      </c>
      <c r="E248" t="s">
        <v>362</v>
      </c>
      <c r="F248" s="267" t="s">
        <v>412</v>
      </c>
      <c r="G248" s="267" t="s">
        <v>1876</v>
      </c>
    </row>
    <row r="249" spans="1:7">
      <c r="A249">
        <v>452</v>
      </c>
      <c r="B249">
        <v>2019</v>
      </c>
      <c r="C249" t="s">
        <v>119</v>
      </c>
      <c r="D249" t="s">
        <v>91</v>
      </c>
      <c r="E249" t="s">
        <v>362</v>
      </c>
      <c r="F249" s="267" t="s">
        <v>413</v>
      </c>
      <c r="G249" s="267" t="s">
        <v>1877</v>
      </c>
    </row>
    <row r="250" spans="1:7">
      <c r="A250">
        <v>453</v>
      </c>
      <c r="B250">
        <v>2019</v>
      </c>
      <c r="C250" t="s">
        <v>120</v>
      </c>
      <c r="D250" t="s">
        <v>91</v>
      </c>
      <c r="E250" t="s">
        <v>362</v>
      </c>
      <c r="F250" s="267" t="s">
        <v>414</v>
      </c>
      <c r="G250" s="267" t="s">
        <v>1878</v>
      </c>
    </row>
    <row r="251" spans="1:7">
      <c r="A251">
        <v>454</v>
      </c>
      <c r="B251">
        <v>2019</v>
      </c>
      <c r="C251" t="s">
        <v>121</v>
      </c>
      <c r="D251" t="s">
        <v>91</v>
      </c>
      <c r="E251" t="s">
        <v>362</v>
      </c>
      <c r="F251" s="267" t="s">
        <v>415</v>
      </c>
      <c r="G251" s="267" t="s">
        <v>1879</v>
      </c>
    </row>
    <row r="252" spans="1:7">
      <c r="A252">
        <v>455</v>
      </c>
      <c r="B252">
        <v>2019</v>
      </c>
      <c r="C252" t="s">
        <v>122</v>
      </c>
      <c r="D252" t="s">
        <v>91</v>
      </c>
      <c r="E252" t="s">
        <v>362</v>
      </c>
      <c r="F252" s="267" t="s">
        <v>416</v>
      </c>
      <c r="G252" s="267" t="s">
        <v>1880</v>
      </c>
    </row>
    <row r="253" spans="1:7">
      <c r="A253">
        <v>456</v>
      </c>
      <c r="B253">
        <v>2019</v>
      </c>
      <c r="C253" t="s">
        <v>123</v>
      </c>
      <c r="D253" t="s">
        <v>91</v>
      </c>
      <c r="E253" t="s">
        <v>362</v>
      </c>
      <c r="F253" s="267" t="s">
        <v>417</v>
      </c>
      <c r="G253" s="267" t="s">
        <v>1881</v>
      </c>
    </row>
    <row r="254" spans="1:7">
      <c r="A254">
        <v>457</v>
      </c>
      <c r="B254">
        <v>2019</v>
      </c>
      <c r="C254" t="s">
        <v>124</v>
      </c>
      <c r="D254" t="s">
        <v>91</v>
      </c>
      <c r="E254" t="s">
        <v>362</v>
      </c>
      <c r="F254" s="267" t="s">
        <v>418</v>
      </c>
      <c r="G254" s="267" t="s">
        <v>1882</v>
      </c>
    </row>
    <row r="255" spans="1:7">
      <c r="A255">
        <v>458</v>
      </c>
      <c r="B255">
        <v>2019</v>
      </c>
      <c r="C255" t="s">
        <v>125</v>
      </c>
      <c r="D255" t="s">
        <v>91</v>
      </c>
      <c r="E255" t="s">
        <v>362</v>
      </c>
      <c r="F255" s="267" t="s">
        <v>419</v>
      </c>
      <c r="G255" s="267" t="s">
        <v>1883</v>
      </c>
    </row>
    <row r="256" spans="1:7">
      <c r="A256">
        <v>459</v>
      </c>
      <c r="B256">
        <v>2019</v>
      </c>
      <c r="C256" t="s">
        <v>126</v>
      </c>
      <c r="D256" t="s">
        <v>91</v>
      </c>
      <c r="E256" t="s">
        <v>362</v>
      </c>
      <c r="F256" s="267" t="s">
        <v>420</v>
      </c>
      <c r="G256" s="267" t="s">
        <v>1884</v>
      </c>
    </row>
    <row r="257" spans="1:7">
      <c r="A257">
        <v>460</v>
      </c>
      <c r="B257">
        <v>2019</v>
      </c>
      <c r="C257" t="s">
        <v>127</v>
      </c>
      <c r="D257" t="s">
        <v>91</v>
      </c>
      <c r="E257" t="s">
        <v>362</v>
      </c>
      <c r="F257" s="267" t="s">
        <v>421</v>
      </c>
      <c r="G257" s="267" t="s">
        <v>1885</v>
      </c>
    </row>
    <row r="258" spans="1:7">
      <c r="A258">
        <v>461</v>
      </c>
      <c r="B258">
        <v>2019</v>
      </c>
      <c r="C258" t="s">
        <v>128</v>
      </c>
      <c r="D258" t="s">
        <v>91</v>
      </c>
      <c r="E258" t="s">
        <v>362</v>
      </c>
      <c r="F258" s="267" t="s">
        <v>422</v>
      </c>
      <c r="G258" s="267" t="s">
        <v>1886</v>
      </c>
    </row>
    <row r="259" spans="1:7">
      <c r="A259">
        <v>462</v>
      </c>
      <c r="B259">
        <v>2019</v>
      </c>
      <c r="C259" t="s">
        <v>129</v>
      </c>
      <c r="D259" t="s">
        <v>91</v>
      </c>
      <c r="E259" t="s">
        <v>362</v>
      </c>
      <c r="F259" s="267" t="s">
        <v>423</v>
      </c>
      <c r="G259" s="267" t="s">
        <v>1887</v>
      </c>
    </row>
    <row r="260" spans="1:7">
      <c r="A260">
        <v>4</v>
      </c>
      <c r="B260">
        <v>2019</v>
      </c>
      <c r="C260" t="s">
        <v>157</v>
      </c>
      <c r="D260" t="s">
        <v>91</v>
      </c>
      <c r="E260" t="s">
        <v>362</v>
      </c>
      <c r="F260" s="267" t="s">
        <v>424</v>
      </c>
      <c r="G260" s="267" t="s">
        <v>1888</v>
      </c>
    </row>
    <row r="261" spans="1:7">
      <c r="A261">
        <v>0</v>
      </c>
      <c r="B261">
        <v>2019</v>
      </c>
      <c r="C261" t="s">
        <v>130</v>
      </c>
      <c r="D261" t="s">
        <v>91</v>
      </c>
      <c r="E261" t="s">
        <v>362</v>
      </c>
      <c r="F261" s="267" t="s">
        <v>425</v>
      </c>
      <c r="G261" s="267" t="s">
        <v>1889</v>
      </c>
    </row>
    <row r="262" spans="1:7">
      <c r="A262">
        <v>101</v>
      </c>
      <c r="B262">
        <v>2019</v>
      </c>
      <c r="C262" t="s">
        <v>363</v>
      </c>
      <c r="D262" t="s">
        <v>92</v>
      </c>
      <c r="E262" t="s">
        <v>362</v>
      </c>
      <c r="F262" s="267" t="s">
        <v>364</v>
      </c>
      <c r="G262" s="267" t="s">
        <v>1890</v>
      </c>
    </row>
    <row r="263" spans="1:7">
      <c r="A263">
        <v>102</v>
      </c>
      <c r="B263">
        <v>2019</v>
      </c>
      <c r="C263" t="s">
        <v>365</v>
      </c>
      <c r="D263" t="s">
        <v>92</v>
      </c>
      <c r="E263" t="s">
        <v>362</v>
      </c>
      <c r="F263" s="267" t="s">
        <v>366</v>
      </c>
      <c r="G263" s="267" t="s">
        <v>1891</v>
      </c>
    </row>
    <row r="264" spans="1:7">
      <c r="A264">
        <v>103</v>
      </c>
      <c r="B264">
        <v>2019</v>
      </c>
      <c r="C264" t="s">
        <v>367</v>
      </c>
      <c r="D264" t="s">
        <v>92</v>
      </c>
      <c r="E264" t="s">
        <v>362</v>
      </c>
      <c r="F264" s="267" t="s">
        <v>368</v>
      </c>
      <c r="G264" s="267" t="s">
        <v>1892</v>
      </c>
    </row>
    <row r="265" spans="1:7">
      <c r="A265">
        <v>151</v>
      </c>
      <c r="B265">
        <v>2019</v>
      </c>
      <c r="C265" t="s">
        <v>94</v>
      </c>
      <c r="D265" t="s">
        <v>92</v>
      </c>
      <c r="E265" t="s">
        <v>362</v>
      </c>
      <c r="F265" s="267" t="s">
        <v>369</v>
      </c>
      <c r="G265" s="267" t="s">
        <v>1893</v>
      </c>
    </row>
    <row r="266" spans="1:7">
      <c r="A266">
        <v>153</v>
      </c>
      <c r="B266">
        <v>2019</v>
      </c>
      <c r="C266" t="s">
        <v>96</v>
      </c>
      <c r="D266" t="s">
        <v>92</v>
      </c>
      <c r="E266" t="s">
        <v>362</v>
      </c>
      <c r="F266" s="267" t="s">
        <v>370</v>
      </c>
      <c r="G266" s="267" t="s">
        <v>1894</v>
      </c>
    </row>
    <row r="267" spans="1:7">
      <c r="A267">
        <v>154</v>
      </c>
      <c r="B267">
        <v>2019</v>
      </c>
      <c r="C267" t="s">
        <v>97</v>
      </c>
      <c r="D267" t="s">
        <v>92</v>
      </c>
      <c r="E267" t="s">
        <v>362</v>
      </c>
      <c r="F267" s="267" t="s">
        <v>371</v>
      </c>
      <c r="G267" s="267" t="s">
        <v>1895</v>
      </c>
    </row>
    <row r="268" spans="1:7">
      <c r="A268">
        <v>155</v>
      </c>
      <c r="B268">
        <v>2019</v>
      </c>
      <c r="C268" t="s">
        <v>98</v>
      </c>
      <c r="D268" t="s">
        <v>92</v>
      </c>
      <c r="E268" t="s">
        <v>362</v>
      </c>
      <c r="F268" s="267" t="s">
        <v>372</v>
      </c>
      <c r="G268" s="267" t="s">
        <v>1896</v>
      </c>
    </row>
    <row r="269" spans="1:7">
      <c r="A269">
        <v>157</v>
      </c>
      <c r="B269">
        <v>2019</v>
      </c>
      <c r="C269" t="s">
        <v>99</v>
      </c>
      <c r="D269" t="s">
        <v>92</v>
      </c>
      <c r="E269" t="s">
        <v>362</v>
      </c>
      <c r="F269" s="267" t="s">
        <v>373</v>
      </c>
      <c r="G269" s="267" t="s">
        <v>1897</v>
      </c>
    </row>
    <row r="270" spans="1:7">
      <c r="A270">
        <v>158</v>
      </c>
      <c r="B270">
        <v>2019</v>
      </c>
      <c r="C270" t="s">
        <v>100</v>
      </c>
      <c r="D270" t="s">
        <v>92</v>
      </c>
      <c r="E270" t="s">
        <v>362</v>
      </c>
      <c r="F270" s="267" t="s">
        <v>374</v>
      </c>
      <c r="G270" s="267" t="s">
        <v>1898</v>
      </c>
    </row>
    <row r="271" spans="1:7">
      <c r="A271">
        <v>159</v>
      </c>
      <c r="B271">
        <v>2019</v>
      </c>
      <c r="C271" t="s">
        <v>95</v>
      </c>
      <c r="D271" t="s">
        <v>92</v>
      </c>
      <c r="E271" t="s">
        <v>362</v>
      </c>
      <c r="F271" s="267" t="s">
        <v>375</v>
      </c>
      <c r="G271" s="267" t="s">
        <v>1899</v>
      </c>
    </row>
    <row r="272" spans="1:7">
      <c r="A272">
        <v>1</v>
      </c>
      <c r="B272">
        <v>2019</v>
      </c>
      <c r="C272" t="s">
        <v>154</v>
      </c>
      <c r="D272" t="s">
        <v>92</v>
      </c>
      <c r="E272" t="s">
        <v>362</v>
      </c>
      <c r="F272" s="267" t="s">
        <v>376</v>
      </c>
      <c r="G272" s="267" t="s">
        <v>1900</v>
      </c>
    </row>
    <row r="273" spans="1:7">
      <c r="A273">
        <v>241</v>
      </c>
      <c r="B273">
        <v>2019</v>
      </c>
      <c r="C273" t="s">
        <v>377</v>
      </c>
      <c r="D273" t="s">
        <v>92</v>
      </c>
      <c r="E273" t="s">
        <v>362</v>
      </c>
      <c r="F273" s="267" t="s">
        <v>378</v>
      </c>
      <c r="G273" s="267" t="s">
        <v>1901</v>
      </c>
    </row>
    <row r="274" spans="1:7">
      <c r="A274">
        <v>241001</v>
      </c>
      <c r="B274">
        <v>2019</v>
      </c>
      <c r="C274" t="s">
        <v>379</v>
      </c>
      <c r="D274" t="s">
        <v>92</v>
      </c>
      <c r="E274" t="s">
        <v>362</v>
      </c>
      <c r="F274" s="267" t="s">
        <v>380</v>
      </c>
      <c r="G274" s="267" t="s">
        <v>1902</v>
      </c>
    </row>
    <row r="275" spans="1:7">
      <c r="A275">
        <v>241999</v>
      </c>
      <c r="B275">
        <v>2019</v>
      </c>
      <c r="C275" t="s">
        <v>381</v>
      </c>
      <c r="D275" t="s">
        <v>92</v>
      </c>
      <c r="E275" t="s">
        <v>362</v>
      </c>
      <c r="F275" s="267" t="s">
        <v>382</v>
      </c>
      <c r="G275" s="267" t="s">
        <v>1903</v>
      </c>
    </row>
    <row r="276" spans="1:7">
      <c r="A276">
        <v>251</v>
      </c>
      <c r="B276">
        <v>2019</v>
      </c>
      <c r="C276" t="s">
        <v>101</v>
      </c>
      <c r="D276" t="s">
        <v>92</v>
      </c>
      <c r="E276" t="s">
        <v>362</v>
      </c>
      <c r="F276" s="267" t="s">
        <v>383</v>
      </c>
      <c r="G276" s="267" t="s">
        <v>1904</v>
      </c>
    </row>
    <row r="277" spans="1:7">
      <c r="A277">
        <v>252</v>
      </c>
      <c r="B277">
        <v>2019</v>
      </c>
      <c r="C277" t="s">
        <v>102</v>
      </c>
      <c r="D277" t="s">
        <v>92</v>
      </c>
      <c r="E277" t="s">
        <v>362</v>
      </c>
      <c r="F277" s="267" t="s">
        <v>384</v>
      </c>
      <c r="G277" s="267" t="s">
        <v>1905</v>
      </c>
    </row>
    <row r="278" spans="1:7">
      <c r="A278">
        <v>254</v>
      </c>
      <c r="B278">
        <v>2019</v>
      </c>
      <c r="C278" t="s">
        <v>103</v>
      </c>
      <c r="D278" t="s">
        <v>92</v>
      </c>
      <c r="E278" t="s">
        <v>362</v>
      </c>
      <c r="F278" s="267" t="s">
        <v>385</v>
      </c>
      <c r="G278" s="267" t="s">
        <v>1906</v>
      </c>
    </row>
    <row r="279" spans="1:7">
      <c r="A279">
        <v>255</v>
      </c>
      <c r="B279">
        <v>2019</v>
      </c>
      <c r="C279" t="s">
        <v>104</v>
      </c>
      <c r="D279" t="s">
        <v>92</v>
      </c>
      <c r="E279" t="s">
        <v>362</v>
      </c>
      <c r="F279" s="267" t="s">
        <v>386</v>
      </c>
      <c r="G279" s="267" t="s">
        <v>1907</v>
      </c>
    </row>
    <row r="280" spans="1:7">
      <c r="A280">
        <v>256</v>
      </c>
      <c r="B280">
        <v>2019</v>
      </c>
      <c r="C280" t="s">
        <v>105</v>
      </c>
      <c r="D280" t="s">
        <v>92</v>
      </c>
      <c r="E280" t="s">
        <v>362</v>
      </c>
      <c r="F280" s="267" t="s">
        <v>387</v>
      </c>
      <c r="G280" s="267" t="s">
        <v>1908</v>
      </c>
    </row>
    <row r="281" spans="1:7">
      <c r="A281">
        <v>257</v>
      </c>
      <c r="B281">
        <v>2019</v>
      </c>
      <c r="C281" t="s">
        <v>106</v>
      </c>
      <c r="D281" t="s">
        <v>92</v>
      </c>
      <c r="E281" t="s">
        <v>362</v>
      </c>
      <c r="F281" s="267" t="s">
        <v>388</v>
      </c>
      <c r="G281" s="267" t="s">
        <v>1909</v>
      </c>
    </row>
    <row r="282" spans="1:7">
      <c r="A282">
        <v>2</v>
      </c>
      <c r="B282">
        <v>2019</v>
      </c>
      <c r="C282" t="s">
        <v>155</v>
      </c>
      <c r="D282" t="s">
        <v>92</v>
      </c>
      <c r="E282" t="s">
        <v>362</v>
      </c>
      <c r="F282" s="267" t="s">
        <v>389</v>
      </c>
      <c r="G282" s="267" t="s">
        <v>1910</v>
      </c>
    </row>
    <row r="283" spans="1:7">
      <c r="A283">
        <v>351</v>
      </c>
      <c r="B283">
        <v>2019</v>
      </c>
      <c r="C283" t="s">
        <v>107</v>
      </c>
      <c r="D283" t="s">
        <v>92</v>
      </c>
      <c r="E283" t="s">
        <v>362</v>
      </c>
      <c r="F283" s="267" t="s">
        <v>390</v>
      </c>
      <c r="G283" s="267" t="s">
        <v>1911</v>
      </c>
    </row>
    <row r="284" spans="1:7">
      <c r="A284">
        <v>352</v>
      </c>
      <c r="B284">
        <v>2019</v>
      </c>
      <c r="C284" t="s">
        <v>108</v>
      </c>
      <c r="D284" t="s">
        <v>92</v>
      </c>
      <c r="E284" t="s">
        <v>362</v>
      </c>
      <c r="F284" s="267" t="s">
        <v>391</v>
      </c>
      <c r="G284" s="267" t="s">
        <v>1912</v>
      </c>
    </row>
    <row r="285" spans="1:7">
      <c r="A285">
        <v>353</v>
      </c>
      <c r="B285">
        <v>2019</v>
      </c>
      <c r="C285" t="s">
        <v>109</v>
      </c>
      <c r="D285" t="s">
        <v>92</v>
      </c>
      <c r="E285" t="s">
        <v>362</v>
      </c>
      <c r="F285" s="267" t="s">
        <v>392</v>
      </c>
      <c r="G285" s="267" t="s">
        <v>1913</v>
      </c>
    </row>
    <row r="286" spans="1:7">
      <c r="A286">
        <v>354</v>
      </c>
      <c r="B286">
        <v>2019</v>
      </c>
      <c r="C286" t="s">
        <v>110</v>
      </c>
      <c r="D286" t="s">
        <v>92</v>
      </c>
      <c r="E286" t="s">
        <v>362</v>
      </c>
      <c r="F286" s="267" t="s">
        <v>393</v>
      </c>
      <c r="G286" s="267" t="s">
        <v>1914</v>
      </c>
    </row>
    <row r="287" spans="1:7">
      <c r="A287">
        <v>355</v>
      </c>
      <c r="B287">
        <v>2019</v>
      </c>
      <c r="C287" t="s">
        <v>111</v>
      </c>
      <c r="D287" t="s">
        <v>92</v>
      </c>
      <c r="E287" t="s">
        <v>362</v>
      </c>
      <c r="F287" s="267" t="s">
        <v>394</v>
      </c>
      <c r="G287" s="267" t="s">
        <v>1915</v>
      </c>
    </row>
    <row r="288" spans="1:7">
      <c r="A288">
        <v>356</v>
      </c>
      <c r="B288">
        <v>2019</v>
      </c>
      <c r="C288" t="s">
        <v>112</v>
      </c>
      <c r="D288" t="s">
        <v>92</v>
      </c>
      <c r="E288" t="s">
        <v>362</v>
      </c>
      <c r="F288" s="267" t="s">
        <v>395</v>
      </c>
      <c r="G288" s="267" t="s">
        <v>1916</v>
      </c>
    </row>
    <row r="289" spans="1:7">
      <c r="A289">
        <v>357</v>
      </c>
      <c r="B289">
        <v>2019</v>
      </c>
      <c r="C289" t="s">
        <v>113</v>
      </c>
      <c r="D289" t="s">
        <v>92</v>
      </c>
      <c r="E289" t="s">
        <v>362</v>
      </c>
      <c r="F289" s="267" t="s">
        <v>396</v>
      </c>
      <c r="G289" s="267" t="s">
        <v>1917</v>
      </c>
    </row>
    <row r="290" spans="1:7">
      <c r="A290">
        <v>358</v>
      </c>
      <c r="B290">
        <v>2019</v>
      </c>
      <c r="C290" t="s">
        <v>114</v>
      </c>
      <c r="D290" t="s">
        <v>92</v>
      </c>
      <c r="E290" t="s">
        <v>362</v>
      </c>
      <c r="F290" s="267" t="s">
        <v>397</v>
      </c>
      <c r="G290" s="267" t="s">
        <v>1918</v>
      </c>
    </row>
    <row r="291" spans="1:7">
      <c r="A291">
        <v>359</v>
      </c>
      <c r="B291">
        <v>2019</v>
      </c>
      <c r="C291" t="s">
        <v>115</v>
      </c>
      <c r="D291" t="s">
        <v>92</v>
      </c>
      <c r="E291" t="s">
        <v>362</v>
      </c>
      <c r="F291" s="267" t="s">
        <v>398</v>
      </c>
      <c r="G291" s="267" t="s">
        <v>1919</v>
      </c>
    </row>
    <row r="292" spans="1:7">
      <c r="A292">
        <v>360</v>
      </c>
      <c r="B292">
        <v>2019</v>
      </c>
      <c r="C292" t="s">
        <v>116</v>
      </c>
      <c r="D292" t="s">
        <v>92</v>
      </c>
      <c r="E292" t="s">
        <v>362</v>
      </c>
      <c r="F292" s="267" t="s">
        <v>399</v>
      </c>
      <c r="G292" s="267" t="s">
        <v>1920</v>
      </c>
    </row>
    <row r="293" spans="1:7">
      <c r="A293">
        <v>361</v>
      </c>
      <c r="B293">
        <v>2019</v>
      </c>
      <c r="C293" t="s">
        <v>117</v>
      </c>
      <c r="D293" t="s">
        <v>92</v>
      </c>
      <c r="E293" t="s">
        <v>362</v>
      </c>
      <c r="F293" s="267" t="s">
        <v>400</v>
      </c>
      <c r="G293" s="267" t="s">
        <v>1921</v>
      </c>
    </row>
    <row r="294" spans="1:7">
      <c r="A294">
        <v>3</v>
      </c>
      <c r="B294">
        <v>2019</v>
      </c>
      <c r="C294" t="s">
        <v>156</v>
      </c>
      <c r="D294" t="s">
        <v>92</v>
      </c>
      <c r="E294" t="s">
        <v>362</v>
      </c>
      <c r="F294" s="267" t="s">
        <v>401</v>
      </c>
      <c r="G294" s="267" t="s">
        <v>1922</v>
      </c>
    </row>
    <row r="295" spans="1:7">
      <c r="A295">
        <v>401</v>
      </c>
      <c r="B295">
        <v>2019</v>
      </c>
      <c r="C295" t="s">
        <v>402</v>
      </c>
      <c r="D295" t="s">
        <v>92</v>
      </c>
      <c r="E295" t="s">
        <v>362</v>
      </c>
      <c r="F295" s="267" t="s">
        <v>403</v>
      </c>
      <c r="G295" s="267" t="s">
        <v>1923</v>
      </c>
    </row>
    <row r="296" spans="1:7">
      <c r="A296">
        <v>402</v>
      </c>
      <c r="B296">
        <v>2019</v>
      </c>
      <c r="C296" t="s">
        <v>404</v>
      </c>
      <c r="D296" t="s">
        <v>92</v>
      </c>
      <c r="E296" t="s">
        <v>362</v>
      </c>
      <c r="F296" s="267" t="s">
        <v>405</v>
      </c>
      <c r="G296" s="267" t="s">
        <v>1924</v>
      </c>
    </row>
    <row r="297" spans="1:7">
      <c r="A297">
        <v>403</v>
      </c>
      <c r="B297">
        <v>2019</v>
      </c>
      <c r="C297" t="s">
        <v>406</v>
      </c>
      <c r="D297" t="s">
        <v>92</v>
      </c>
      <c r="E297" t="s">
        <v>362</v>
      </c>
      <c r="F297" s="267" t="s">
        <v>407</v>
      </c>
      <c r="G297" s="267" t="s">
        <v>1925</v>
      </c>
    </row>
    <row r="298" spans="1:7">
      <c r="A298">
        <v>404</v>
      </c>
      <c r="B298">
        <v>2019</v>
      </c>
      <c r="C298" t="s">
        <v>408</v>
      </c>
      <c r="D298" t="s">
        <v>92</v>
      </c>
      <c r="E298" t="s">
        <v>362</v>
      </c>
      <c r="F298" s="267" t="s">
        <v>409</v>
      </c>
      <c r="G298" s="267" t="s">
        <v>1926</v>
      </c>
    </row>
    <row r="299" spans="1:7">
      <c r="A299">
        <v>405</v>
      </c>
      <c r="B299">
        <v>2019</v>
      </c>
      <c r="C299" t="s">
        <v>410</v>
      </c>
      <c r="D299" t="s">
        <v>92</v>
      </c>
      <c r="E299" t="s">
        <v>362</v>
      </c>
      <c r="F299" s="267" t="s">
        <v>411</v>
      </c>
      <c r="G299" s="267" t="s">
        <v>1927</v>
      </c>
    </row>
    <row r="300" spans="1:7">
      <c r="A300">
        <v>451</v>
      </c>
      <c r="B300">
        <v>2019</v>
      </c>
      <c r="C300" t="s">
        <v>118</v>
      </c>
      <c r="D300" t="s">
        <v>92</v>
      </c>
      <c r="E300" t="s">
        <v>362</v>
      </c>
      <c r="F300" s="267" t="s">
        <v>412</v>
      </c>
      <c r="G300" s="267" t="s">
        <v>1928</v>
      </c>
    </row>
    <row r="301" spans="1:7">
      <c r="A301">
        <v>452</v>
      </c>
      <c r="B301">
        <v>2019</v>
      </c>
      <c r="C301" t="s">
        <v>119</v>
      </c>
      <c r="D301" t="s">
        <v>92</v>
      </c>
      <c r="E301" t="s">
        <v>362</v>
      </c>
      <c r="F301" s="267" t="s">
        <v>413</v>
      </c>
      <c r="G301" s="267" t="s">
        <v>1929</v>
      </c>
    </row>
    <row r="302" spans="1:7">
      <c r="A302">
        <v>453</v>
      </c>
      <c r="B302">
        <v>2019</v>
      </c>
      <c r="C302" t="s">
        <v>120</v>
      </c>
      <c r="D302" t="s">
        <v>92</v>
      </c>
      <c r="E302" t="s">
        <v>362</v>
      </c>
      <c r="F302" s="267" t="s">
        <v>414</v>
      </c>
      <c r="G302" s="267" t="s">
        <v>1930</v>
      </c>
    </row>
    <row r="303" spans="1:7">
      <c r="A303">
        <v>454</v>
      </c>
      <c r="B303">
        <v>2019</v>
      </c>
      <c r="C303" t="s">
        <v>121</v>
      </c>
      <c r="D303" t="s">
        <v>92</v>
      </c>
      <c r="E303" t="s">
        <v>362</v>
      </c>
      <c r="F303" s="267" t="s">
        <v>415</v>
      </c>
      <c r="G303" s="267" t="s">
        <v>1931</v>
      </c>
    </row>
    <row r="304" spans="1:7">
      <c r="A304">
        <v>455</v>
      </c>
      <c r="B304">
        <v>2019</v>
      </c>
      <c r="C304" t="s">
        <v>122</v>
      </c>
      <c r="D304" t="s">
        <v>92</v>
      </c>
      <c r="E304" t="s">
        <v>362</v>
      </c>
      <c r="F304" s="267" t="s">
        <v>416</v>
      </c>
      <c r="G304" s="267" t="s">
        <v>1932</v>
      </c>
    </row>
    <row r="305" spans="1:7">
      <c r="A305">
        <v>456</v>
      </c>
      <c r="B305">
        <v>2019</v>
      </c>
      <c r="C305" t="s">
        <v>123</v>
      </c>
      <c r="D305" t="s">
        <v>92</v>
      </c>
      <c r="E305" t="s">
        <v>362</v>
      </c>
      <c r="F305" s="267" t="s">
        <v>417</v>
      </c>
      <c r="G305" s="267" t="s">
        <v>1933</v>
      </c>
    </row>
    <row r="306" spans="1:7">
      <c r="A306">
        <v>457</v>
      </c>
      <c r="B306">
        <v>2019</v>
      </c>
      <c r="C306" t="s">
        <v>124</v>
      </c>
      <c r="D306" t="s">
        <v>92</v>
      </c>
      <c r="E306" t="s">
        <v>362</v>
      </c>
      <c r="F306" s="267" t="s">
        <v>418</v>
      </c>
      <c r="G306" s="267" t="s">
        <v>1934</v>
      </c>
    </row>
    <row r="307" spans="1:7">
      <c r="A307">
        <v>458</v>
      </c>
      <c r="B307">
        <v>2019</v>
      </c>
      <c r="C307" t="s">
        <v>125</v>
      </c>
      <c r="D307" t="s">
        <v>92</v>
      </c>
      <c r="E307" t="s">
        <v>362</v>
      </c>
      <c r="F307" s="267" t="s">
        <v>419</v>
      </c>
      <c r="G307" s="267" t="s">
        <v>1935</v>
      </c>
    </row>
    <row r="308" spans="1:7">
      <c r="A308">
        <v>459</v>
      </c>
      <c r="B308">
        <v>2019</v>
      </c>
      <c r="C308" t="s">
        <v>126</v>
      </c>
      <c r="D308" t="s">
        <v>92</v>
      </c>
      <c r="E308" t="s">
        <v>362</v>
      </c>
      <c r="F308" s="267" t="s">
        <v>420</v>
      </c>
      <c r="G308" s="267" t="s">
        <v>1936</v>
      </c>
    </row>
    <row r="309" spans="1:7">
      <c r="A309">
        <v>460</v>
      </c>
      <c r="B309">
        <v>2019</v>
      </c>
      <c r="C309" t="s">
        <v>127</v>
      </c>
      <c r="D309" t="s">
        <v>92</v>
      </c>
      <c r="E309" t="s">
        <v>362</v>
      </c>
      <c r="F309" s="267" t="s">
        <v>421</v>
      </c>
      <c r="G309" s="267" t="s">
        <v>1937</v>
      </c>
    </row>
    <row r="310" spans="1:7">
      <c r="A310">
        <v>461</v>
      </c>
      <c r="B310">
        <v>2019</v>
      </c>
      <c r="C310" t="s">
        <v>128</v>
      </c>
      <c r="D310" t="s">
        <v>92</v>
      </c>
      <c r="E310" t="s">
        <v>362</v>
      </c>
      <c r="F310" s="267" t="s">
        <v>422</v>
      </c>
      <c r="G310" s="267" t="s">
        <v>1938</v>
      </c>
    </row>
    <row r="311" spans="1:7">
      <c r="A311">
        <v>462</v>
      </c>
      <c r="B311">
        <v>2019</v>
      </c>
      <c r="C311" t="s">
        <v>129</v>
      </c>
      <c r="D311" t="s">
        <v>92</v>
      </c>
      <c r="E311" t="s">
        <v>362</v>
      </c>
      <c r="F311" s="267" t="s">
        <v>423</v>
      </c>
      <c r="G311" s="267" t="s">
        <v>1939</v>
      </c>
    </row>
    <row r="312" spans="1:7">
      <c r="A312">
        <v>4</v>
      </c>
      <c r="B312">
        <v>2019</v>
      </c>
      <c r="C312" t="s">
        <v>157</v>
      </c>
      <c r="D312" t="s">
        <v>92</v>
      </c>
      <c r="E312" t="s">
        <v>362</v>
      </c>
      <c r="F312" s="267" t="s">
        <v>424</v>
      </c>
      <c r="G312" s="267" t="s">
        <v>1940</v>
      </c>
    </row>
    <row r="313" spans="1:7">
      <c r="A313">
        <v>0</v>
      </c>
      <c r="B313">
        <v>2019</v>
      </c>
      <c r="C313" t="s">
        <v>130</v>
      </c>
      <c r="D313" t="s">
        <v>92</v>
      </c>
      <c r="E313" t="s">
        <v>362</v>
      </c>
      <c r="F313" s="267" t="s">
        <v>425</v>
      </c>
      <c r="G313" s="267" t="s">
        <v>1941</v>
      </c>
    </row>
    <row r="314" spans="1:7">
      <c r="A314">
        <v>101</v>
      </c>
      <c r="B314">
        <v>2019</v>
      </c>
      <c r="C314" t="s">
        <v>363</v>
      </c>
      <c r="D314" t="s">
        <v>93</v>
      </c>
      <c r="E314" t="s">
        <v>362</v>
      </c>
      <c r="F314" s="267" t="s">
        <v>364</v>
      </c>
      <c r="G314" s="267" t="s">
        <v>1942</v>
      </c>
    </row>
    <row r="315" spans="1:7">
      <c r="A315">
        <v>102</v>
      </c>
      <c r="B315">
        <v>2019</v>
      </c>
      <c r="C315" t="s">
        <v>365</v>
      </c>
      <c r="D315" t="s">
        <v>93</v>
      </c>
      <c r="E315" t="s">
        <v>362</v>
      </c>
      <c r="F315" s="267" t="s">
        <v>366</v>
      </c>
      <c r="G315" s="267" t="s">
        <v>1943</v>
      </c>
    </row>
    <row r="316" spans="1:7">
      <c r="A316">
        <v>103</v>
      </c>
      <c r="B316">
        <v>2019</v>
      </c>
      <c r="C316" t="s">
        <v>367</v>
      </c>
      <c r="D316" t="s">
        <v>93</v>
      </c>
      <c r="E316" t="s">
        <v>362</v>
      </c>
      <c r="F316" s="267" t="s">
        <v>368</v>
      </c>
      <c r="G316" s="267" t="s">
        <v>1944</v>
      </c>
    </row>
    <row r="317" spans="1:7">
      <c r="A317">
        <v>151</v>
      </c>
      <c r="B317">
        <v>2019</v>
      </c>
      <c r="C317" t="s">
        <v>94</v>
      </c>
      <c r="D317" t="s">
        <v>93</v>
      </c>
      <c r="E317" t="s">
        <v>362</v>
      </c>
      <c r="F317" s="267" t="s">
        <v>369</v>
      </c>
      <c r="G317" s="267" t="s">
        <v>1945</v>
      </c>
    </row>
    <row r="318" spans="1:7">
      <c r="A318">
        <v>153</v>
      </c>
      <c r="B318">
        <v>2019</v>
      </c>
      <c r="C318" t="s">
        <v>96</v>
      </c>
      <c r="D318" t="s">
        <v>93</v>
      </c>
      <c r="E318" t="s">
        <v>362</v>
      </c>
      <c r="F318" s="267" t="s">
        <v>370</v>
      </c>
      <c r="G318" s="267" t="s">
        <v>1946</v>
      </c>
    </row>
    <row r="319" spans="1:7">
      <c r="A319">
        <v>154</v>
      </c>
      <c r="B319">
        <v>2019</v>
      </c>
      <c r="C319" t="s">
        <v>97</v>
      </c>
      <c r="D319" t="s">
        <v>93</v>
      </c>
      <c r="E319" t="s">
        <v>362</v>
      </c>
      <c r="F319" s="267" t="s">
        <v>371</v>
      </c>
      <c r="G319" s="267" t="s">
        <v>1947</v>
      </c>
    </row>
    <row r="320" spans="1:7">
      <c r="A320">
        <v>155</v>
      </c>
      <c r="B320">
        <v>2019</v>
      </c>
      <c r="C320" t="s">
        <v>98</v>
      </c>
      <c r="D320" t="s">
        <v>93</v>
      </c>
      <c r="E320" t="s">
        <v>362</v>
      </c>
      <c r="F320" s="267" t="s">
        <v>372</v>
      </c>
      <c r="G320" s="267" t="s">
        <v>1948</v>
      </c>
    </row>
    <row r="321" spans="1:7">
      <c r="A321">
        <v>157</v>
      </c>
      <c r="B321">
        <v>2019</v>
      </c>
      <c r="C321" t="s">
        <v>99</v>
      </c>
      <c r="D321" t="s">
        <v>93</v>
      </c>
      <c r="E321" t="s">
        <v>362</v>
      </c>
      <c r="F321" s="267" t="s">
        <v>373</v>
      </c>
      <c r="G321" s="267" t="s">
        <v>1949</v>
      </c>
    </row>
    <row r="322" spans="1:7">
      <c r="A322">
        <v>158</v>
      </c>
      <c r="B322">
        <v>2019</v>
      </c>
      <c r="C322" t="s">
        <v>100</v>
      </c>
      <c r="D322" t="s">
        <v>93</v>
      </c>
      <c r="E322" t="s">
        <v>362</v>
      </c>
      <c r="F322" s="267" t="s">
        <v>374</v>
      </c>
      <c r="G322" s="267" t="s">
        <v>1950</v>
      </c>
    </row>
    <row r="323" spans="1:7">
      <c r="A323">
        <v>159</v>
      </c>
      <c r="B323">
        <v>2019</v>
      </c>
      <c r="C323" t="s">
        <v>95</v>
      </c>
      <c r="D323" t="s">
        <v>93</v>
      </c>
      <c r="E323" t="s">
        <v>362</v>
      </c>
      <c r="F323" s="267" t="s">
        <v>375</v>
      </c>
      <c r="G323" s="267" t="s">
        <v>1951</v>
      </c>
    </row>
    <row r="324" spans="1:7">
      <c r="A324">
        <v>1</v>
      </c>
      <c r="B324">
        <v>2019</v>
      </c>
      <c r="C324" t="s">
        <v>154</v>
      </c>
      <c r="D324" t="s">
        <v>93</v>
      </c>
      <c r="E324" t="s">
        <v>362</v>
      </c>
      <c r="F324" s="267" t="s">
        <v>376</v>
      </c>
      <c r="G324" s="267" t="s">
        <v>1952</v>
      </c>
    </row>
    <row r="325" spans="1:7">
      <c r="A325">
        <v>241</v>
      </c>
      <c r="B325">
        <v>2019</v>
      </c>
      <c r="C325" t="s">
        <v>377</v>
      </c>
      <c r="D325" t="s">
        <v>93</v>
      </c>
      <c r="E325" t="s">
        <v>362</v>
      </c>
      <c r="F325" s="267" t="s">
        <v>378</v>
      </c>
      <c r="G325" s="267" t="s">
        <v>1953</v>
      </c>
    </row>
    <row r="326" spans="1:7">
      <c r="A326">
        <v>241001</v>
      </c>
      <c r="B326">
        <v>2019</v>
      </c>
      <c r="C326" t="s">
        <v>379</v>
      </c>
      <c r="D326" t="s">
        <v>93</v>
      </c>
      <c r="E326" t="s">
        <v>362</v>
      </c>
      <c r="F326" s="267" t="s">
        <v>380</v>
      </c>
      <c r="G326" s="267" t="s">
        <v>1954</v>
      </c>
    </row>
    <row r="327" spans="1:7">
      <c r="A327">
        <v>241999</v>
      </c>
      <c r="B327">
        <v>2019</v>
      </c>
      <c r="C327" t="s">
        <v>381</v>
      </c>
      <c r="D327" t="s">
        <v>93</v>
      </c>
      <c r="E327" t="s">
        <v>362</v>
      </c>
      <c r="F327" s="267" t="s">
        <v>382</v>
      </c>
      <c r="G327" s="267" t="s">
        <v>1955</v>
      </c>
    </row>
    <row r="328" spans="1:7">
      <c r="A328">
        <v>251</v>
      </c>
      <c r="B328">
        <v>2019</v>
      </c>
      <c r="C328" t="s">
        <v>101</v>
      </c>
      <c r="D328" t="s">
        <v>93</v>
      </c>
      <c r="E328" t="s">
        <v>362</v>
      </c>
      <c r="F328" s="267" t="s">
        <v>383</v>
      </c>
      <c r="G328" s="267" t="s">
        <v>1956</v>
      </c>
    </row>
    <row r="329" spans="1:7">
      <c r="A329">
        <v>252</v>
      </c>
      <c r="B329">
        <v>2019</v>
      </c>
      <c r="C329" t="s">
        <v>102</v>
      </c>
      <c r="D329" t="s">
        <v>93</v>
      </c>
      <c r="E329" t="s">
        <v>362</v>
      </c>
      <c r="F329" s="267" t="s">
        <v>384</v>
      </c>
      <c r="G329" s="267" t="s">
        <v>1957</v>
      </c>
    </row>
    <row r="330" spans="1:7">
      <c r="A330">
        <v>254</v>
      </c>
      <c r="B330">
        <v>2019</v>
      </c>
      <c r="C330" t="s">
        <v>103</v>
      </c>
      <c r="D330" t="s">
        <v>93</v>
      </c>
      <c r="E330" t="s">
        <v>362</v>
      </c>
      <c r="F330" s="267" t="s">
        <v>385</v>
      </c>
      <c r="G330" s="267" t="s">
        <v>1958</v>
      </c>
    </row>
    <row r="331" spans="1:7">
      <c r="A331">
        <v>255</v>
      </c>
      <c r="B331">
        <v>2019</v>
      </c>
      <c r="C331" t="s">
        <v>104</v>
      </c>
      <c r="D331" t="s">
        <v>93</v>
      </c>
      <c r="E331" t="s">
        <v>362</v>
      </c>
      <c r="F331" s="267" t="s">
        <v>386</v>
      </c>
      <c r="G331" s="267" t="s">
        <v>1959</v>
      </c>
    </row>
    <row r="332" spans="1:7">
      <c r="A332">
        <v>256</v>
      </c>
      <c r="B332">
        <v>2019</v>
      </c>
      <c r="C332" t="s">
        <v>105</v>
      </c>
      <c r="D332" t="s">
        <v>93</v>
      </c>
      <c r="E332" t="s">
        <v>362</v>
      </c>
      <c r="F332" s="267" t="s">
        <v>387</v>
      </c>
      <c r="G332" s="267" t="s">
        <v>1960</v>
      </c>
    </row>
    <row r="333" spans="1:7">
      <c r="A333">
        <v>257</v>
      </c>
      <c r="B333">
        <v>2019</v>
      </c>
      <c r="C333" t="s">
        <v>106</v>
      </c>
      <c r="D333" t="s">
        <v>93</v>
      </c>
      <c r="E333" t="s">
        <v>362</v>
      </c>
      <c r="F333" s="267" t="s">
        <v>388</v>
      </c>
      <c r="G333" s="267" t="s">
        <v>1961</v>
      </c>
    </row>
    <row r="334" spans="1:7">
      <c r="A334">
        <v>2</v>
      </c>
      <c r="B334">
        <v>2019</v>
      </c>
      <c r="C334" t="s">
        <v>155</v>
      </c>
      <c r="D334" t="s">
        <v>93</v>
      </c>
      <c r="E334" t="s">
        <v>362</v>
      </c>
      <c r="F334" s="267" t="s">
        <v>389</v>
      </c>
      <c r="G334" s="267" t="s">
        <v>1962</v>
      </c>
    </row>
    <row r="335" spans="1:7">
      <c r="A335">
        <v>351</v>
      </c>
      <c r="B335">
        <v>2019</v>
      </c>
      <c r="C335" t="s">
        <v>107</v>
      </c>
      <c r="D335" t="s">
        <v>93</v>
      </c>
      <c r="E335" t="s">
        <v>362</v>
      </c>
      <c r="F335" s="267" t="s">
        <v>390</v>
      </c>
      <c r="G335" s="267" t="s">
        <v>1963</v>
      </c>
    </row>
    <row r="336" spans="1:7">
      <c r="A336">
        <v>352</v>
      </c>
      <c r="B336">
        <v>2019</v>
      </c>
      <c r="C336" t="s">
        <v>108</v>
      </c>
      <c r="D336" t="s">
        <v>93</v>
      </c>
      <c r="E336" t="s">
        <v>362</v>
      </c>
      <c r="F336" s="267" t="s">
        <v>391</v>
      </c>
      <c r="G336" s="267" t="s">
        <v>1964</v>
      </c>
    </row>
    <row r="337" spans="1:7">
      <c r="A337">
        <v>353</v>
      </c>
      <c r="B337">
        <v>2019</v>
      </c>
      <c r="C337" t="s">
        <v>109</v>
      </c>
      <c r="D337" t="s">
        <v>93</v>
      </c>
      <c r="E337" t="s">
        <v>362</v>
      </c>
      <c r="F337" s="267" t="s">
        <v>392</v>
      </c>
      <c r="G337" s="267" t="s">
        <v>1965</v>
      </c>
    </row>
    <row r="338" spans="1:7">
      <c r="A338">
        <v>354</v>
      </c>
      <c r="B338">
        <v>2019</v>
      </c>
      <c r="C338" t="s">
        <v>110</v>
      </c>
      <c r="D338" t="s">
        <v>93</v>
      </c>
      <c r="E338" t="s">
        <v>362</v>
      </c>
      <c r="F338" s="267" t="s">
        <v>393</v>
      </c>
      <c r="G338" s="267" t="s">
        <v>1966</v>
      </c>
    </row>
    <row r="339" spans="1:7">
      <c r="A339">
        <v>355</v>
      </c>
      <c r="B339">
        <v>2019</v>
      </c>
      <c r="C339" t="s">
        <v>111</v>
      </c>
      <c r="D339" t="s">
        <v>93</v>
      </c>
      <c r="E339" t="s">
        <v>362</v>
      </c>
      <c r="F339" s="267" t="s">
        <v>394</v>
      </c>
      <c r="G339" s="267" t="s">
        <v>1967</v>
      </c>
    </row>
    <row r="340" spans="1:7">
      <c r="A340">
        <v>356</v>
      </c>
      <c r="B340">
        <v>2019</v>
      </c>
      <c r="C340" t="s">
        <v>112</v>
      </c>
      <c r="D340" t="s">
        <v>93</v>
      </c>
      <c r="E340" t="s">
        <v>362</v>
      </c>
      <c r="F340" s="267" t="s">
        <v>395</v>
      </c>
      <c r="G340" s="267" t="s">
        <v>1968</v>
      </c>
    </row>
    <row r="341" spans="1:7">
      <c r="A341">
        <v>357</v>
      </c>
      <c r="B341">
        <v>2019</v>
      </c>
      <c r="C341" t="s">
        <v>113</v>
      </c>
      <c r="D341" t="s">
        <v>93</v>
      </c>
      <c r="E341" t="s">
        <v>362</v>
      </c>
      <c r="F341" s="267" t="s">
        <v>396</v>
      </c>
      <c r="G341" s="267" t="s">
        <v>1969</v>
      </c>
    </row>
    <row r="342" spans="1:7">
      <c r="A342">
        <v>358</v>
      </c>
      <c r="B342">
        <v>2019</v>
      </c>
      <c r="C342" t="s">
        <v>114</v>
      </c>
      <c r="D342" t="s">
        <v>93</v>
      </c>
      <c r="E342" t="s">
        <v>362</v>
      </c>
      <c r="F342" s="267" t="s">
        <v>397</v>
      </c>
      <c r="G342" s="267" t="s">
        <v>1970</v>
      </c>
    </row>
    <row r="343" spans="1:7">
      <c r="A343">
        <v>359</v>
      </c>
      <c r="B343">
        <v>2019</v>
      </c>
      <c r="C343" t="s">
        <v>115</v>
      </c>
      <c r="D343" t="s">
        <v>93</v>
      </c>
      <c r="E343" t="s">
        <v>362</v>
      </c>
      <c r="F343" s="267" t="s">
        <v>398</v>
      </c>
      <c r="G343" s="267" t="s">
        <v>1971</v>
      </c>
    </row>
    <row r="344" spans="1:7">
      <c r="A344">
        <v>360</v>
      </c>
      <c r="B344">
        <v>2019</v>
      </c>
      <c r="C344" t="s">
        <v>116</v>
      </c>
      <c r="D344" t="s">
        <v>93</v>
      </c>
      <c r="E344" t="s">
        <v>362</v>
      </c>
      <c r="F344" s="267" t="s">
        <v>399</v>
      </c>
      <c r="G344" s="267" t="s">
        <v>1972</v>
      </c>
    </row>
    <row r="345" spans="1:7">
      <c r="A345">
        <v>361</v>
      </c>
      <c r="B345">
        <v>2019</v>
      </c>
      <c r="C345" t="s">
        <v>117</v>
      </c>
      <c r="D345" t="s">
        <v>93</v>
      </c>
      <c r="E345" t="s">
        <v>362</v>
      </c>
      <c r="F345" s="267" t="s">
        <v>400</v>
      </c>
      <c r="G345" s="267" t="s">
        <v>1973</v>
      </c>
    </row>
    <row r="346" spans="1:7">
      <c r="A346">
        <v>3</v>
      </c>
      <c r="B346">
        <v>2019</v>
      </c>
      <c r="C346" t="s">
        <v>156</v>
      </c>
      <c r="D346" t="s">
        <v>93</v>
      </c>
      <c r="E346" t="s">
        <v>362</v>
      </c>
      <c r="F346" s="267" t="s">
        <v>401</v>
      </c>
      <c r="G346" s="267" t="s">
        <v>1974</v>
      </c>
    </row>
    <row r="347" spans="1:7">
      <c r="A347">
        <v>401</v>
      </c>
      <c r="B347">
        <v>2019</v>
      </c>
      <c r="C347" t="s">
        <v>402</v>
      </c>
      <c r="D347" t="s">
        <v>93</v>
      </c>
      <c r="E347" t="s">
        <v>362</v>
      </c>
      <c r="F347" s="267" t="s">
        <v>403</v>
      </c>
      <c r="G347" s="267" t="s">
        <v>1975</v>
      </c>
    </row>
    <row r="348" spans="1:7">
      <c r="A348">
        <v>402</v>
      </c>
      <c r="B348">
        <v>2019</v>
      </c>
      <c r="C348" t="s">
        <v>404</v>
      </c>
      <c r="D348" t="s">
        <v>93</v>
      </c>
      <c r="E348" t="s">
        <v>362</v>
      </c>
      <c r="F348" s="267" t="s">
        <v>405</v>
      </c>
      <c r="G348" s="267" t="s">
        <v>1976</v>
      </c>
    </row>
    <row r="349" spans="1:7">
      <c r="A349">
        <v>403</v>
      </c>
      <c r="B349">
        <v>2019</v>
      </c>
      <c r="C349" t="s">
        <v>406</v>
      </c>
      <c r="D349" t="s">
        <v>93</v>
      </c>
      <c r="E349" t="s">
        <v>362</v>
      </c>
      <c r="F349" s="267" t="s">
        <v>407</v>
      </c>
      <c r="G349" s="267" t="s">
        <v>1977</v>
      </c>
    </row>
    <row r="350" spans="1:7">
      <c r="A350">
        <v>404</v>
      </c>
      <c r="B350">
        <v>2019</v>
      </c>
      <c r="C350" t="s">
        <v>408</v>
      </c>
      <c r="D350" t="s">
        <v>93</v>
      </c>
      <c r="E350" t="s">
        <v>362</v>
      </c>
      <c r="F350" s="267" t="s">
        <v>409</v>
      </c>
      <c r="G350" s="267" t="s">
        <v>1978</v>
      </c>
    </row>
    <row r="351" spans="1:7">
      <c r="A351">
        <v>405</v>
      </c>
      <c r="B351">
        <v>2019</v>
      </c>
      <c r="C351" t="s">
        <v>410</v>
      </c>
      <c r="D351" t="s">
        <v>93</v>
      </c>
      <c r="E351" t="s">
        <v>362</v>
      </c>
      <c r="F351" s="267" t="s">
        <v>411</v>
      </c>
      <c r="G351" s="267" t="s">
        <v>1979</v>
      </c>
    </row>
    <row r="352" spans="1:7">
      <c r="A352">
        <v>451</v>
      </c>
      <c r="B352">
        <v>2019</v>
      </c>
      <c r="C352" t="s">
        <v>118</v>
      </c>
      <c r="D352" t="s">
        <v>93</v>
      </c>
      <c r="E352" t="s">
        <v>362</v>
      </c>
      <c r="F352" s="267" t="s">
        <v>412</v>
      </c>
      <c r="G352" s="267" t="s">
        <v>1980</v>
      </c>
    </row>
    <row r="353" spans="1:7">
      <c r="A353">
        <v>452</v>
      </c>
      <c r="B353">
        <v>2019</v>
      </c>
      <c r="C353" t="s">
        <v>119</v>
      </c>
      <c r="D353" t="s">
        <v>93</v>
      </c>
      <c r="E353" t="s">
        <v>362</v>
      </c>
      <c r="F353" s="267" t="s">
        <v>413</v>
      </c>
      <c r="G353" s="267" t="s">
        <v>1981</v>
      </c>
    </row>
    <row r="354" spans="1:7">
      <c r="A354">
        <v>453</v>
      </c>
      <c r="B354">
        <v>2019</v>
      </c>
      <c r="C354" t="s">
        <v>120</v>
      </c>
      <c r="D354" t="s">
        <v>93</v>
      </c>
      <c r="E354" t="s">
        <v>362</v>
      </c>
      <c r="F354" s="267" t="s">
        <v>414</v>
      </c>
      <c r="G354" s="267" t="s">
        <v>1982</v>
      </c>
    </row>
    <row r="355" spans="1:7">
      <c r="A355">
        <v>454</v>
      </c>
      <c r="B355">
        <v>2019</v>
      </c>
      <c r="C355" t="s">
        <v>121</v>
      </c>
      <c r="D355" t="s">
        <v>93</v>
      </c>
      <c r="E355" t="s">
        <v>362</v>
      </c>
      <c r="F355" s="267" t="s">
        <v>415</v>
      </c>
      <c r="G355" s="267" t="s">
        <v>1983</v>
      </c>
    </row>
    <row r="356" spans="1:7">
      <c r="A356">
        <v>455</v>
      </c>
      <c r="B356">
        <v>2019</v>
      </c>
      <c r="C356" t="s">
        <v>122</v>
      </c>
      <c r="D356" t="s">
        <v>93</v>
      </c>
      <c r="E356" t="s">
        <v>362</v>
      </c>
      <c r="F356" s="267" t="s">
        <v>416</v>
      </c>
      <c r="G356" s="267" t="s">
        <v>1984</v>
      </c>
    </row>
    <row r="357" spans="1:7">
      <c r="A357">
        <v>456</v>
      </c>
      <c r="B357">
        <v>2019</v>
      </c>
      <c r="C357" t="s">
        <v>123</v>
      </c>
      <c r="D357" t="s">
        <v>93</v>
      </c>
      <c r="E357" t="s">
        <v>362</v>
      </c>
      <c r="F357" s="267" t="s">
        <v>417</v>
      </c>
      <c r="G357" s="267" t="s">
        <v>1985</v>
      </c>
    </row>
    <row r="358" spans="1:7">
      <c r="A358">
        <v>457</v>
      </c>
      <c r="B358">
        <v>2019</v>
      </c>
      <c r="C358" t="s">
        <v>124</v>
      </c>
      <c r="D358" t="s">
        <v>93</v>
      </c>
      <c r="E358" t="s">
        <v>362</v>
      </c>
      <c r="F358" s="267" t="s">
        <v>418</v>
      </c>
      <c r="G358" s="267" t="s">
        <v>1986</v>
      </c>
    </row>
    <row r="359" spans="1:7">
      <c r="A359">
        <v>458</v>
      </c>
      <c r="B359">
        <v>2019</v>
      </c>
      <c r="C359" t="s">
        <v>125</v>
      </c>
      <c r="D359" t="s">
        <v>93</v>
      </c>
      <c r="E359" t="s">
        <v>362</v>
      </c>
      <c r="F359" s="267" t="s">
        <v>419</v>
      </c>
      <c r="G359" s="267" t="s">
        <v>1987</v>
      </c>
    </row>
    <row r="360" spans="1:7">
      <c r="A360">
        <v>459</v>
      </c>
      <c r="B360">
        <v>2019</v>
      </c>
      <c r="C360" t="s">
        <v>126</v>
      </c>
      <c r="D360" t="s">
        <v>93</v>
      </c>
      <c r="E360" t="s">
        <v>362</v>
      </c>
      <c r="F360" s="267" t="s">
        <v>420</v>
      </c>
      <c r="G360" s="267" t="s">
        <v>1988</v>
      </c>
    </row>
    <row r="361" spans="1:7">
      <c r="A361">
        <v>460</v>
      </c>
      <c r="B361">
        <v>2019</v>
      </c>
      <c r="C361" t="s">
        <v>127</v>
      </c>
      <c r="D361" t="s">
        <v>93</v>
      </c>
      <c r="E361" t="s">
        <v>362</v>
      </c>
      <c r="F361" s="267" t="s">
        <v>421</v>
      </c>
      <c r="G361" s="267" t="s">
        <v>1989</v>
      </c>
    </row>
    <row r="362" spans="1:7">
      <c r="A362">
        <v>461</v>
      </c>
      <c r="B362">
        <v>2019</v>
      </c>
      <c r="C362" t="s">
        <v>128</v>
      </c>
      <c r="D362" t="s">
        <v>93</v>
      </c>
      <c r="E362" t="s">
        <v>362</v>
      </c>
      <c r="F362" s="267" t="s">
        <v>422</v>
      </c>
      <c r="G362" s="267" t="s">
        <v>1990</v>
      </c>
    </row>
    <row r="363" spans="1:7">
      <c r="A363">
        <v>462</v>
      </c>
      <c r="B363">
        <v>2019</v>
      </c>
      <c r="C363" t="s">
        <v>129</v>
      </c>
      <c r="D363" t="s">
        <v>93</v>
      </c>
      <c r="E363" t="s">
        <v>362</v>
      </c>
      <c r="F363" s="267" t="s">
        <v>423</v>
      </c>
      <c r="G363" s="267" t="s">
        <v>1991</v>
      </c>
    </row>
    <row r="364" spans="1:7">
      <c r="A364">
        <v>4</v>
      </c>
      <c r="B364">
        <v>2019</v>
      </c>
      <c r="C364" t="s">
        <v>157</v>
      </c>
      <c r="D364" t="s">
        <v>93</v>
      </c>
      <c r="E364" t="s">
        <v>362</v>
      </c>
      <c r="F364" s="267" t="s">
        <v>424</v>
      </c>
      <c r="G364" s="267" t="s">
        <v>1992</v>
      </c>
    </row>
    <row r="365" spans="1:7">
      <c r="A365">
        <v>0</v>
      </c>
      <c r="B365">
        <v>2019</v>
      </c>
      <c r="C365" t="s">
        <v>130</v>
      </c>
      <c r="D365" t="s">
        <v>93</v>
      </c>
      <c r="E365" t="s">
        <v>362</v>
      </c>
      <c r="F365" s="267" t="s">
        <v>425</v>
      </c>
      <c r="G365" s="267" t="s">
        <v>1993</v>
      </c>
    </row>
    <row r="366" spans="1:7">
      <c r="A366">
        <v>101</v>
      </c>
      <c r="B366">
        <v>2019</v>
      </c>
      <c r="C366" t="s">
        <v>363</v>
      </c>
      <c r="D366" t="s">
        <v>131</v>
      </c>
      <c r="E366" t="s">
        <v>362</v>
      </c>
      <c r="F366" s="267" t="s">
        <v>364</v>
      </c>
      <c r="G366" s="267" t="s">
        <v>1994</v>
      </c>
    </row>
    <row r="367" spans="1:7">
      <c r="A367">
        <v>102</v>
      </c>
      <c r="B367">
        <v>2019</v>
      </c>
      <c r="C367" t="s">
        <v>365</v>
      </c>
      <c r="D367" t="s">
        <v>131</v>
      </c>
      <c r="E367" t="s">
        <v>362</v>
      </c>
      <c r="F367" s="267" t="s">
        <v>366</v>
      </c>
      <c r="G367" s="267" t="s">
        <v>1995</v>
      </c>
    </row>
    <row r="368" spans="1:7">
      <c r="A368">
        <v>103</v>
      </c>
      <c r="B368">
        <v>2019</v>
      </c>
      <c r="C368" t="s">
        <v>367</v>
      </c>
      <c r="D368" t="s">
        <v>131</v>
      </c>
      <c r="E368" t="s">
        <v>362</v>
      </c>
      <c r="F368" s="267" t="s">
        <v>368</v>
      </c>
      <c r="G368" s="267" t="s">
        <v>1996</v>
      </c>
    </row>
    <row r="369" spans="1:7">
      <c r="A369">
        <v>151</v>
      </c>
      <c r="B369">
        <v>2019</v>
      </c>
      <c r="C369" t="s">
        <v>94</v>
      </c>
      <c r="D369" t="s">
        <v>131</v>
      </c>
      <c r="E369" t="s">
        <v>362</v>
      </c>
      <c r="F369" s="267" t="s">
        <v>369</v>
      </c>
      <c r="G369" s="267" t="s">
        <v>1997</v>
      </c>
    </row>
    <row r="370" spans="1:7">
      <c r="A370">
        <v>153</v>
      </c>
      <c r="B370">
        <v>2019</v>
      </c>
      <c r="C370" t="s">
        <v>96</v>
      </c>
      <c r="D370" t="s">
        <v>131</v>
      </c>
      <c r="E370" t="s">
        <v>362</v>
      </c>
      <c r="F370" s="267" t="s">
        <v>370</v>
      </c>
      <c r="G370" s="267" t="s">
        <v>1998</v>
      </c>
    </row>
    <row r="371" spans="1:7">
      <c r="A371">
        <v>154</v>
      </c>
      <c r="B371">
        <v>2019</v>
      </c>
      <c r="C371" t="s">
        <v>97</v>
      </c>
      <c r="D371" t="s">
        <v>131</v>
      </c>
      <c r="E371" t="s">
        <v>362</v>
      </c>
      <c r="F371" s="267" t="s">
        <v>371</v>
      </c>
      <c r="G371" s="267" t="s">
        <v>1999</v>
      </c>
    </row>
    <row r="372" spans="1:7">
      <c r="A372">
        <v>155</v>
      </c>
      <c r="B372">
        <v>2019</v>
      </c>
      <c r="C372" t="s">
        <v>98</v>
      </c>
      <c r="D372" t="s">
        <v>131</v>
      </c>
      <c r="E372" t="s">
        <v>362</v>
      </c>
      <c r="F372" s="267" t="s">
        <v>372</v>
      </c>
      <c r="G372" s="267" t="s">
        <v>2000</v>
      </c>
    </row>
    <row r="373" spans="1:7">
      <c r="A373">
        <v>157</v>
      </c>
      <c r="B373">
        <v>2019</v>
      </c>
      <c r="C373" t="s">
        <v>99</v>
      </c>
      <c r="D373" t="s">
        <v>131</v>
      </c>
      <c r="E373" t="s">
        <v>362</v>
      </c>
      <c r="F373" s="267" t="s">
        <v>373</v>
      </c>
      <c r="G373" s="267" t="s">
        <v>2001</v>
      </c>
    </row>
    <row r="374" spans="1:7">
      <c r="A374">
        <v>158</v>
      </c>
      <c r="B374">
        <v>2019</v>
      </c>
      <c r="C374" t="s">
        <v>100</v>
      </c>
      <c r="D374" t="s">
        <v>131</v>
      </c>
      <c r="E374" t="s">
        <v>362</v>
      </c>
      <c r="F374" s="267" t="s">
        <v>374</v>
      </c>
      <c r="G374" s="267" t="s">
        <v>2002</v>
      </c>
    </row>
    <row r="375" spans="1:7">
      <c r="A375">
        <v>159</v>
      </c>
      <c r="B375">
        <v>2019</v>
      </c>
      <c r="C375" t="s">
        <v>95</v>
      </c>
      <c r="D375" t="s">
        <v>131</v>
      </c>
      <c r="E375" t="s">
        <v>362</v>
      </c>
      <c r="F375" s="267" t="s">
        <v>375</v>
      </c>
      <c r="G375" s="267" t="s">
        <v>2003</v>
      </c>
    </row>
    <row r="376" spans="1:7">
      <c r="A376">
        <v>1</v>
      </c>
      <c r="B376">
        <v>2019</v>
      </c>
      <c r="C376" t="s">
        <v>154</v>
      </c>
      <c r="D376" t="s">
        <v>131</v>
      </c>
      <c r="E376" t="s">
        <v>362</v>
      </c>
      <c r="F376" s="267" t="s">
        <v>376</v>
      </c>
      <c r="G376" s="267" t="s">
        <v>2004</v>
      </c>
    </row>
    <row r="377" spans="1:7">
      <c r="A377">
        <v>241</v>
      </c>
      <c r="B377">
        <v>2019</v>
      </c>
      <c r="C377" t="s">
        <v>377</v>
      </c>
      <c r="D377" t="s">
        <v>131</v>
      </c>
      <c r="E377" t="s">
        <v>362</v>
      </c>
      <c r="F377" s="267" t="s">
        <v>378</v>
      </c>
      <c r="G377" s="267" t="s">
        <v>2005</v>
      </c>
    </row>
    <row r="378" spans="1:7">
      <c r="A378">
        <v>241001</v>
      </c>
      <c r="B378">
        <v>2019</v>
      </c>
      <c r="C378" t="s">
        <v>379</v>
      </c>
      <c r="D378" t="s">
        <v>131</v>
      </c>
      <c r="E378" t="s">
        <v>362</v>
      </c>
      <c r="F378" s="267" t="s">
        <v>380</v>
      </c>
      <c r="G378" s="267" t="s">
        <v>2006</v>
      </c>
    </row>
    <row r="379" spans="1:7">
      <c r="A379">
        <v>241999</v>
      </c>
      <c r="B379">
        <v>2019</v>
      </c>
      <c r="C379" t="s">
        <v>381</v>
      </c>
      <c r="D379" t="s">
        <v>131</v>
      </c>
      <c r="E379" t="s">
        <v>362</v>
      </c>
      <c r="F379" s="267" t="s">
        <v>382</v>
      </c>
      <c r="G379" s="267" t="s">
        <v>2007</v>
      </c>
    </row>
    <row r="380" spans="1:7">
      <c r="A380">
        <v>251</v>
      </c>
      <c r="B380">
        <v>2019</v>
      </c>
      <c r="C380" t="s">
        <v>101</v>
      </c>
      <c r="D380" t="s">
        <v>131</v>
      </c>
      <c r="E380" t="s">
        <v>362</v>
      </c>
      <c r="F380" s="267" t="s">
        <v>383</v>
      </c>
      <c r="G380" s="267" t="s">
        <v>2008</v>
      </c>
    </row>
    <row r="381" spans="1:7">
      <c r="A381">
        <v>252</v>
      </c>
      <c r="B381">
        <v>2019</v>
      </c>
      <c r="C381" t="s">
        <v>102</v>
      </c>
      <c r="D381" t="s">
        <v>131</v>
      </c>
      <c r="E381" t="s">
        <v>362</v>
      </c>
      <c r="F381" s="267" t="s">
        <v>384</v>
      </c>
      <c r="G381" s="267" t="s">
        <v>2009</v>
      </c>
    </row>
    <row r="382" spans="1:7">
      <c r="A382">
        <v>254</v>
      </c>
      <c r="B382">
        <v>2019</v>
      </c>
      <c r="C382" t="s">
        <v>103</v>
      </c>
      <c r="D382" t="s">
        <v>131</v>
      </c>
      <c r="E382" t="s">
        <v>362</v>
      </c>
      <c r="F382" s="267" t="s">
        <v>385</v>
      </c>
      <c r="G382" s="267" t="s">
        <v>2010</v>
      </c>
    </row>
    <row r="383" spans="1:7">
      <c r="A383">
        <v>255</v>
      </c>
      <c r="B383">
        <v>2019</v>
      </c>
      <c r="C383" t="s">
        <v>104</v>
      </c>
      <c r="D383" t="s">
        <v>131</v>
      </c>
      <c r="E383" t="s">
        <v>362</v>
      </c>
      <c r="F383" s="267" t="s">
        <v>386</v>
      </c>
      <c r="G383" s="267" t="s">
        <v>2011</v>
      </c>
    </row>
    <row r="384" spans="1:7">
      <c r="A384">
        <v>256</v>
      </c>
      <c r="B384">
        <v>2019</v>
      </c>
      <c r="C384" t="s">
        <v>105</v>
      </c>
      <c r="D384" t="s">
        <v>131</v>
      </c>
      <c r="E384" t="s">
        <v>362</v>
      </c>
      <c r="F384" s="267" t="s">
        <v>387</v>
      </c>
      <c r="G384" s="267" t="s">
        <v>2012</v>
      </c>
    </row>
    <row r="385" spans="1:7">
      <c r="A385">
        <v>257</v>
      </c>
      <c r="B385">
        <v>2019</v>
      </c>
      <c r="C385" t="s">
        <v>106</v>
      </c>
      <c r="D385" t="s">
        <v>131</v>
      </c>
      <c r="E385" t="s">
        <v>362</v>
      </c>
      <c r="F385" s="267" t="s">
        <v>388</v>
      </c>
      <c r="G385" s="267" t="s">
        <v>2013</v>
      </c>
    </row>
    <row r="386" spans="1:7">
      <c r="A386">
        <v>2</v>
      </c>
      <c r="B386">
        <v>2019</v>
      </c>
      <c r="C386" t="s">
        <v>155</v>
      </c>
      <c r="D386" t="s">
        <v>131</v>
      </c>
      <c r="E386" t="s">
        <v>362</v>
      </c>
      <c r="F386" s="267" t="s">
        <v>389</v>
      </c>
      <c r="G386" s="267" t="s">
        <v>2014</v>
      </c>
    </row>
    <row r="387" spans="1:7">
      <c r="A387">
        <v>351</v>
      </c>
      <c r="B387">
        <v>2019</v>
      </c>
      <c r="C387" t="s">
        <v>107</v>
      </c>
      <c r="D387" t="s">
        <v>131</v>
      </c>
      <c r="E387" t="s">
        <v>362</v>
      </c>
      <c r="F387" s="267" t="s">
        <v>390</v>
      </c>
      <c r="G387" s="267" t="s">
        <v>2015</v>
      </c>
    </row>
    <row r="388" spans="1:7">
      <c r="A388">
        <v>352</v>
      </c>
      <c r="B388">
        <v>2019</v>
      </c>
      <c r="C388" t="s">
        <v>108</v>
      </c>
      <c r="D388" t="s">
        <v>131</v>
      </c>
      <c r="E388" t="s">
        <v>362</v>
      </c>
      <c r="F388" s="267" t="s">
        <v>391</v>
      </c>
      <c r="G388" s="267" t="s">
        <v>2016</v>
      </c>
    </row>
    <row r="389" spans="1:7">
      <c r="A389">
        <v>353</v>
      </c>
      <c r="B389">
        <v>2019</v>
      </c>
      <c r="C389" t="s">
        <v>109</v>
      </c>
      <c r="D389" t="s">
        <v>131</v>
      </c>
      <c r="E389" t="s">
        <v>362</v>
      </c>
      <c r="F389" s="267" t="s">
        <v>392</v>
      </c>
      <c r="G389" s="267" t="s">
        <v>2017</v>
      </c>
    </row>
    <row r="390" spans="1:7">
      <c r="A390">
        <v>354</v>
      </c>
      <c r="B390">
        <v>2019</v>
      </c>
      <c r="C390" t="s">
        <v>110</v>
      </c>
      <c r="D390" t="s">
        <v>131</v>
      </c>
      <c r="E390" t="s">
        <v>362</v>
      </c>
      <c r="F390" s="267" t="s">
        <v>393</v>
      </c>
      <c r="G390" s="267" t="s">
        <v>2018</v>
      </c>
    </row>
    <row r="391" spans="1:7">
      <c r="A391">
        <v>355</v>
      </c>
      <c r="B391">
        <v>2019</v>
      </c>
      <c r="C391" t="s">
        <v>111</v>
      </c>
      <c r="D391" t="s">
        <v>131</v>
      </c>
      <c r="E391" t="s">
        <v>362</v>
      </c>
      <c r="F391" s="267" t="s">
        <v>394</v>
      </c>
      <c r="G391" s="267" t="s">
        <v>2019</v>
      </c>
    </row>
    <row r="392" spans="1:7">
      <c r="A392">
        <v>356</v>
      </c>
      <c r="B392">
        <v>2019</v>
      </c>
      <c r="C392" t="s">
        <v>112</v>
      </c>
      <c r="D392" t="s">
        <v>131</v>
      </c>
      <c r="E392" t="s">
        <v>362</v>
      </c>
      <c r="F392" s="267" t="s">
        <v>395</v>
      </c>
      <c r="G392" s="267" t="s">
        <v>2020</v>
      </c>
    </row>
    <row r="393" spans="1:7">
      <c r="A393">
        <v>357</v>
      </c>
      <c r="B393">
        <v>2019</v>
      </c>
      <c r="C393" t="s">
        <v>113</v>
      </c>
      <c r="D393" t="s">
        <v>131</v>
      </c>
      <c r="E393" t="s">
        <v>362</v>
      </c>
      <c r="F393" s="267" t="s">
        <v>396</v>
      </c>
      <c r="G393" s="267" t="s">
        <v>2021</v>
      </c>
    </row>
    <row r="394" spans="1:7">
      <c r="A394">
        <v>358</v>
      </c>
      <c r="B394">
        <v>2019</v>
      </c>
      <c r="C394" t="s">
        <v>114</v>
      </c>
      <c r="D394" t="s">
        <v>131</v>
      </c>
      <c r="E394" t="s">
        <v>362</v>
      </c>
      <c r="F394" s="267" t="s">
        <v>397</v>
      </c>
      <c r="G394" s="267" t="s">
        <v>2022</v>
      </c>
    </row>
    <row r="395" spans="1:7">
      <c r="A395">
        <v>359</v>
      </c>
      <c r="B395">
        <v>2019</v>
      </c>
      <c r="C395" t="s">
        <v>115</v>
      </c>
      <c r="D395" t="s">
        <v>131</v>
      </c>
      <c r="E395" t="s">
        <v>362</v>
      </c>
      <c r="F395" s="267" t="s">
        <v>398</v>
      </c>
      <c r="G395" s="267" t="s">
        <v>2023</v>
      </c>
    </row>
    <row r="396" spans="1:7">
      <c r="A396">
        <v>360</v>
      </c>
      <c r="B396">
        <v>2019</v>
      </c>
      <c r="C396" t="s">
        <v>116</v>
      </c>
      <c r="D396" t="s">
        <v>131</v>
      </c>
      <c r="E396" t="s">
        <v>362</v>
      </c>
      <c r="F396" s="267" t="s">
        <v>399</v>
      </c>
      <c r="G396" s="267" t="s">
        <v>2024</v>
      </c>
    </row>
    <row r="397" spans="1:7">
      <c r="A397">
        <v>361</v>
      </c>
      <c r="B397">
        <v>2019</v>
      </c>
      <c r="C397" t="s">
        <v>117</v>
      </c>
      <c r="D397" t="s">
        <v>131</v>
      </c>
      <c r="E397" t="s">
        <v>362</v>
      </c>
      <c r="F397" s="267" t="s">
        <v>400</v>
      </c>
      <c r="G397" s="267" t="s">
        <v>2025</v>
      </c>
    </row>
    <row r="398" spans="1:7">
      <c r="A398">
        <v>3</v>
      </c>
      <c r="B398">
        <v>2019</v>
      </c>
      <c r="C398" t="s">
        <v>156</v>
      </c>
      <c r="D398" t="s">
        <v>131</v>
      </c>
      <c r="E398" t="s">
        <v>362</v>
      </c>
      <c r="F398" s="267" t="s">
        <v>401</v>
      </c>
      <c r="G398" s="267" t="s">
        <v>2026</v>
      </c>
    </row>
    <row r="399" spans="1:7">
      <c r="A399">
        <v>401</v>
      </c>
      <c r="B399">
        <v>2019</v>
      </c>
      <c r="C399" t="s">
        <v>402</v>
      </c>
      <c r="D399" t="s">
        <v>131</v>
      </c>
      <c r="E399" t="s">
        <v>362</v>
      </c>
      <c r="F399" s="267" t="s">
        <v>403</v>
      </c>
      <c r="G399" s="267" t="s">
        <v>2027</v>
      </c>
    </row>
    <row r="400" spans="1:7">
      <c r="A400">
        <v>402</v>
      </c>
      <c r="B400">
        <v>2019</v>
      </c>
      <c r="C400" t="s">
        <v>404</v>
      </c>
      <c r="D400" t="s">
        <v>131</v>
      </c>
      <c r="E400" t="s">
        <v>362</v>
      </c>
      <c r="F400" s="267" t="s">
        <v>405</v>
      </c>
      <c r="G400" s="267" t="s">
        <v>2028</v>
      </c>
    </row>
    <row r="401" spans="1:7">
      <c r="A401">
        <v>403</v>
      </c>
      <c r="B401">
        <v>2019</v>
      </c>
      <c r="C401" t="s">
        <v>406</v>
      </c>
      <c r="D401" t="s">
        <v>131</v>
      </c>
      <c r="E401" t="s">
        <v>362</v>
      </c>
      <c r="F401" s="267" t="s">
        <v>407</v>
      </c>
      <c r="G401" s="267" t="s">
        <v>2029</v>
      </c>
    </row>
    <row r="402" spans="1:7">
      <c r="A402">
        <v>404</v>
      </c>
      <c r="B402">
        <v>2019</v>
      </c>
      <c r="C402" t="s">
        <v>408</v>
      </c>
      <c r="D402" t="s">
        <v>131</v>
      </c>
      <c r="E402" t="s">
        <v>362</v>
      </c>
      <c r="F402" s="267" t="s">
        <v>409</v>
      </c>
      <c r="G402" s="267" t="s">
        <v>2030</v>
      </c>
    </row>
    <row r="403" spans="1:7">
      <c r="A403">
        <v>405</v>
      </c>
      <c r="B403">
        <v>2019</v>
      </c>
      <c r="C403" t="s">
        <v>410</v>
      </c>
      <c r="D403" t="s">
        <v>131</v>
      </c>
      <c r="E403" t="s">
        <v>362</v>
      </c>
      <c r="F403" s="267" t="s">
        <v>411</v>
      </c>
      <c r="G403" s="267" t="s">
        <v>2031</v>
      </c>
    </row>
    <row r="404" spans="1:7">
      <c r="A404">
        <v>451</v>
      </c>
      <c r="B404">
        <v>2019</v>
      </c>
      <c r="C404" t="s">
        <v>118</v>
      </c>
      <c r="D404" t="s">
        <v>131</v>
      </c>
      <c r="E404" t="s">
        <v>362</v>
      </c>
      <c r="F404" s="267" t="s">
        <v>412</v>
      </c>
      <c r="G404" s="267" t="s">
        <v>2032</v>
      </c>
    </row>
    <row r="405" spans="1:7">
      <c r="A405">
        <v>452</v>
      </c>
      <c r="B405">
        <v>2019</v>
      </c>
      <c r="C405" t="s">
        <v>119</v>
      </c>
      <c r="D405" t="s">
        <v>131</v>
      </c>
      <c r="E405" t="s">
        <v>362</v>
      </c>
      <c r="F405" s="267" t="s">
        <v>413</v>
      </c>
      <c r="G405" s="267" t="s">
        <v>2033</v>
      </c>
    </row>
    <row r="406" spans="1:7">
      <c r="A406">
        <v>453</v>
      </c>
      <c r="B406">
        <v>2019</v>
      </c>
      <c r="C406" t="s">
        <v>120</v>
      </c>
      <c r="D406" t="s">
        <v>131</v>
      </c>
      <c r="E406" t="s">
        <v>362</v>
      </c>
      <c r="F406" s="267" t="s">
        <v>414</v>
      </c>
      <c r="G406" s="267" t="s">
        <v>2034</v>
      </c>
    </row>
    <row r="407" spans="1:7">
      <c r="A407">
        <v>454</v>
      </c>
      <c r="B407">
        <v>2019</v>
      </c>
      <c r="C407" t="s">
        <v>121</v>
      </c>
      <c r="D407" t="s">
        <v>131</v>
      </c>
      <c r="E407" t="s">
        <v>362</v>
      </c>
      <c r="F407" s="267" t="s">
        <v>415</v>
      </c>
      <c r="G407" s="267" t="s">
        <v>2035</v>
      </c>
    </row>
    <row r="408" spans="1:7">
      <c r="A408">
        <v>455</v>
      </c>
      <c r="B408">
        <v>2019</v>
      </c>
      <c r="C408" t="s">
        <v>122</v>
      </c>
      <c r="D408" t="s">
        <v>131</v>
      </c>
      <c r="E408" t="s">
        <v>362</v>
      </c>
      <c r="F408" s="267" t="s">
        <v>416</v>
      </c>
      <c r="G408" s="267" t="s">
        <v>2036</v>
      </c>
    </row>
    <row r="409" spans="1:7">
      <c r="A409">
        <v>456</v>
      </c>
      <c r="B409">
        <v>2019</v>
      </c>
      <c r="C409" t="s">
        <v>123</v>
      </c>
      <c r="D409" t="s">
        <v>131</v>
      </c>
      <c r="E409" t="s">
        <v>362</v>
      </c>
      <c r="F409" s="267" t="s">
        <v>417</v>
      </c>
      <c r="G409" s="267" t="s">
        <v>2037</v>
      </c>
    </row>
    <row r="410" spans="1:7">
      <c r="A410">
        <v>457</v>
      </c>
      <c r="B410">
        <v>2019</v>
      </c>
      <c r="C410" t="s">
        <v>124</v>
      </c>
      <c r="D410" t="s">
        <v>131</v>
      </c>
      <c r="E410" t="s">
        <v>362</v>
      </c>
      <c r="F410" s="267" t="s">
        <v>418</v>
      </c>
      <c r="G410" s="267" t="s">
        <v>2038</v>
      </c>
    </row>
    <row r="411" spans="1:7">
      <c r="A411">
        <v>458</v>
      </c>
      <c r="B411">
        <v>2019</v>
      </c>
      <c r="C411" t="s">
        <v>125</v>
      </c>
      <c r="D411" t="s">
        <v>131</v>
      </c>
      <c r="E411" t="s">
        <v>362</v>
      </c>
      <c r="F411" s="267" t="s">
        <v>419</v>
      </c>
      <c r="G411" s="267" t="s">
        <v>2039</v>
      </c>
    </row>
    <row r="412" spans="1:7">
      <c r="A412">
        <v>459</v>
      </c>
      <c r="B412">
        <v>2019</v>
      </c>
      <c r="C412" t="s">
        <v>126</v>
      </c>
      <c r="D412" t="s">
        <v>131</v>
      </c>
      <c r="E412" t="s">
        <v>362</v>
      </c>
      <c r="F412" s="267" t="s">
        <v>420</v>
      </c>
      <c r="G412" s="267" t="s">
        <v>2040</v>
      </c>
    </row>
    <row r="413" spans="1:7">
      <c r="A413">
        <v>460</v>
      </c>
      <c r="B413">
        <v>2019</v>
      </c>
      <c r="C413" t="s">
        <v>127</v>
      </c>
      <c r="D413" t="s">
        <v>131</v>
      </c>
      <c r="E413" t="s">
        <v>362</v>
      </c>
      <c r="F413" s="267" t="s">
        <v>421</v>
      </c>
      <c r="G413" s="267" t="s">
        <v>2041</v>
      </c>
    </row>
    <row r="414" spans="1:7">
      <c r="A414">
        <v>461</v>
      </c>
      <c r="B414">
        <v>2019</v>
      </c>
      <c r="C414" t="s">
        <v>128</v>
      </c>
      <c r="D414" t="s">
        <v>131</v>
      </c>
      <c r="E414" t="s">
        <v>362</v>
      </c>
      <c r="F414" s="267" t="s">
        <v>422</v>
      </c>
      <c r="G414" s="267" t="s">
        <v>2042</v>
      </c>
    </row>
    <row r="415" spans="1:7">
      <c r="A415">
        <v>462</v>
      </c>
      <c r="B415">
        <v>2019</v>
      </c>
      <c r="C415" t="s">
        <v>129</v>
      </c>
      <c r="D415" t="s">
        <v>131</v>
      </c>
      <c r="E415" t="s">
        <v>362</v>
      </c>
      <c r="F415" s="267" t="s">
        <v>423</v>
      </c>
      <c r="G415" s="267" t="s">
        <v>2043</v>
      </c>
    </row>
    <row r="416" spans="1:7">
      <c r="A416">
        <v>4</v>
      </c>
      <c r="B416">
        <v>2019</v>
      </c>
      <c r="C416" t="s">
        <v>157</v>
      </c>
      <c r="D416" t="s">
        <v>131</v>
      </c>
      <c r="E416" t="s">
        <v>362</v>
      </c>
      <c r="F416" s="267" t="s">
        <v>424</v>
      </c>
      <c r="G416" s="267" t="s">
        <v>2044</v>
      </c>
    </row>
    <row r="417" spans="1:7">
      <c r="A417">
        <v>0</v>
      </c>
      <c r="B417">
        <v>2019</v>
      </c>
      <c r="C417" t="s">
        <v>130</v>
      </c>
      <c r="D417" t="s">
        <v>131</v>
      </c>
      <c r="E417" t="s">
        <v>362</v>
      </c>
      <c r="F417" s="267" t="s">
        <v>425</v>
      </c>
      <c r="G417" s="267" t="s">
        <v>2045</v>
      </c>
    </row>
    <row r="418" spans="1:7">
      <c r="A418">
        <v>101</v>
      </c>
      <c r="B418">
        <v>2018</v>
      </c>
      <c r="C418" t="s">
        <v>363</v>
      </c>
      <c r="D418" t="s">
        <v>91</v>
      </c>
      <c r="E418" t="s">
        <v>362</v>
      </c>
      <c r="F418" s="267" t="s">
        <v>364</v>
      </c>
      <c r="G418" s="267" t="s">
        <v>2046</v>
      </c>
    </row>
    <row r="419" spans="1:7">
      <c r="A419">
        <v>102</v>
      </c>
      <c r="B419">
        <v>2018</v>
      </c>
      <c r="C419" t="s">
        <v>365</v>
      </c>
      <c r="D419" t="s">
        <v>91</v>
      </c>
      <c r="E419" t="s">
        <v>362</v>
      </c>
      <c r="F419" s="267" t="s">
        <v>366</v>
      </c>
      <c r="G419" s="267" t="s">
        <v>2047</v>
      </c>
    </row>
    <row r="420" spans="1:7">
      <c r="A420">
        <v>103</v>
      </c>
      <c r="B420">
        <v>2018</v>
      </c>
      <c r="C420" t="s">
        <v>367</v>
      </c>
      <c r="D420" t="s">
        <v>91</v>
      </c>
      <c r="E420" t="s">
        <v>362</v>
      </c>
      <c r="F420" s="267" t="s">
        <v>368</v>
      </c>
      <c r="G420" s="267" t="s">
        <v>2048</v>
      </c>
    </row>
    <row r="421" spans="1:7">
      <c r="A421">
        <v>151</v>
      </c>
      <c r="B421">
        <v>2018</v>
      </c>
      <c r="C421" t="s">
        <v>94</v>
      </c>
      <c r="D421" t="s">
        <v>91</v>
      </c>
      <c r="E421" t="s">
        <v>362</v>
      </c>
      <c r="F421" s="267" t="s">
        <v>369</v>
      </c>
      <c r="G421" s="267" t="s">
        <v>2049</v>
      </c>
    </row>
    <row r="422" spans="1:7">
      <c r="A422">
        <v>153</v>
      </c>
      <c r="B422">
        <v>2018</v>
      </c>
      <c r="C422" t="s">
        <v>96</v>
      </c>
      <c r="D422" t="s">
        <v>91</v>
      </c>
      <c r="E422" t="s">
        <v>362</v>
      </c>
      <c r="F422" s="267" t="s">
        <v>370</v>
      </c>
      <c r="G422" s="267" t="s">
        <v>2050</v>
      </c>
    </row>
    <row r="423" spans="1:7">
      <c r="A423">
        <v>154</v>
      </c>
      <c r="B423">
        <v>2018</v>
      </c>
      <c r="C423" t="s">
        <v>97</v>
      </c>
      <c r="D423" t="s">
        <v>91</v>
      </c>
      <c r="E423" t="s">
        <v>362</v>
      </c>
      <c r="F423" s="267" t="s">
        <v>371</v>
      </c>
      <c r="G423" s="267" t="s">
        <v>2051</v>
      </c>
    </row>
    <row r="424" spans="1:7">
      <c r="A424">
        <v>155</v>
      </c>
      <c r="B424">
        <v>2018</v>
      </c>
      <c r="C424" t="s">
        <v>98</v>
      </c>
      <c r="D424" t="s">
        <v>91</v>
      </c>
      <c r="E424" t="s">
        <v>362</v>
      </c>
      <c r="F424" s="267" t="s">
        <v>372</v>
      </c>
      <c r="G424" s="267" t="s">
        <v>2052</v>
      </c>
    </row>
    <row r="425" spans="1:7">
      <c r="A425">
        <v>157</v>
      </c>
      <c r="B425">
        <v>2018</v>
      </c>
      <c r="C425" t="s">
        <v>99</v>
      </c>
      <c r="D425" t="s">
        <v>91</v>
      </c>
      <c r="E425" t="s">
        <v>362</v>
      </c>
      <c r="F425" s="267" t="s">
        <v>373</v>
      </c>
      <c r="G425" s="267" t="s">
        <v>2053</v>
      </c>
    </row>
    <row r="426" spans="1:7">
      <c r="A426">
        <v>158</v>
      </c>
      <c r="B426">
        <v>2018</v>
      </c>
      <c r="C426" t="s">
        <v>100</v>
      </c>
      <c r="D426" t="s">
        <v>91</v>
      </c>
      <c r="E426" t="s">
        <v>362</v>
      </c>
      <c r="F426" s="267" t="s">
        <v>374</v>
      </c>
      <c r="G426" s="267" t="s">
        <v>2054</v>
      </c>
    </row>
    <row r="427" spans="1:7">
      <c r="A427">
        <v>159</v>
      </c>
      <c r="B427">
        <v>2018</v>
      </c>
      <c r="C427" t="s">
        <v>95</v>
      </c>
      <c r="D427" t="s">
        <v>91</v>
      </c>
      <c r="E427" t="s">
        <v>362</v>
      </c>
      <c r="F427" s="267" t="s">
        <v>375</v>
      </c>
      <c r="G427" s="267" t="s">
        <v>2055</v>
      </c>
    </row>
    <row r="428" spans="1:7">
      <c r="A428">
        <v>1</v>
      </c>
      <c r="B428">
        <v>2018</v>
      </c>
      <c r="C428" t="s">
        <v>154</v>
      </c>
      <c r="D428" t="s">
        <v>91</v>
      </c>
      <c r="E428" t="s">
        <v>362</v>
      </c>
      <c r="F428" s="267" t="s">
        <v>376</v>
      </c>
      <c r="G428" s="267" t="s">
        <v>2056</v>
      </c>
    </row>
    <row r="429" spans="1:7">
      <c r="A429">
        <v>241</v>
      </c>
      <c r="B429">
        <v>2018</v>
      </c>
      <c r="C429" t="s">
        <v>377</v>
      </c>
      <c r="D429" t="s">
        <v>91</v>
      </c>
      <c r="E429" t="s">
        <v>362</v>
      </c>
      <c r="F429" s="267" t="s">
        <v>378</v>
      </c>
      <c r="G429" s="267" t="s">
        <v>2057</v>
      </c>
    </row>
    <row r="430" spans="1:7">
      <c r="A430">
        <v>241001</v>
      </c>
      <c r="B430">
        <v>2018</v>
      </c>
      <c r="C430" t="s">
        <v>379</v>
      </c>
      <c r="D430" t="s">
        <v>91</v>
      </c>
      <c r="E430" t="s">
        <v>362</v>
      </c>
      <c r="F430" s="267" t="s">
        <v>380</v>
      </c>
      <c r="G430" s="267" t="s">
        <v>2058</v>
      </c>
    </row>
    <row r="431" spans="1:7">
      <c r="A431">
        <v>241999</v>
      </c>
      <c r="B431">
        <v>2018</v>
      </c>
      <c r="C431" t="s">
        <v>381</v>
      </c>
      <c r="D431" t="s">
        <v>91</v>
      </c>
      <c r="E431" t="s">
        <v>362</v>
      </c>
      <c r="F431" s="267" t="s">
        <v>382</v>
      </c>
      <c r="G431" s="267" t="s">
        <v>2059</v>
      </c>
    </row>
    <row r="432" spans="1:7">
      <c r="A432">
        <v>251</v>
      </c>
      <c r="B432">
        <v>2018</v>
      </c>
      <c r="C432" t="s">
        <v>101</v>
      </c>
      <c r="D432" t="s">
        <v>91</v>
      </c>
      <c r="E432" t="s">
        <v>362</v>
      </c>
      <c r="F432" s="267" t="s">
        <v>383</v>
      </c>
      <c r="G432" s="267" t="s">
        <v>2060</v>
      </c>
    </row>
    <row r="433" spans="1:7">
      <c r="A433">
        <v>252</v>
      </c>
      <c r="B433">
        <v>2018</v>
      </c>
      <c r="C433" t="s">
        <v>102</v>
      </c>
      <c r="D433" t="s">
        <v>91</v>
      </c>
      <c r="E433" t="s">
        <v>362</v>
      </c>
      <c r="F433" s="267" t="s">
        <v>384</v>
      </c>
      <c r="G433" s="267" t="s">
        <v>2061</v>
      </c>
    </row>
    <row r="434" spans="1:7">
      <c r="A434">
        <v>254</v>
      </c>
      <c r="B434">
        <v>2018</v>
      </c>
      <c r="C434" t="s">
        <v>103</v>
      </c>
      <c r="D434" t="s">
        <v>91</v>
      </c>
      <c r="E434" t="s">
        <v>362</v>
      </c>
      <c r="F434" s="267" t="s">
        <v>385</v>
      </c>
      <c r="G434" s="267" t="s">
        <v>2062</v>
      </c>
    </row>
    <row r="435" spans="1:7">
      <c r="A435">
        <v>255</v>
      </c>
      <c r="B435">
        <v>2018</v>
      </c>
      <c r="C435" t="s">
        <v>104</v>
      </c>
      <c r="D435" t="s">
        <v>91</v>
      </c>
      <c r="E435" t="s">
        <v>362</v>
      </c>
      <c r="F435" s="267" t="s">
        <v>386</v>
      </c>
      <c r="G435" s="267" t="s">
        <v>2063</v>
      </c>
    </row>
    <row r="436" spans="1:7">
      <c r="A436">
        <v>256</v>
      </c>
      <c r="B436">
        <v>2018</v>
      </c>
      <c r="C436" t="s">
        <v>105</v>
      </c>
      <c r="D436" t="s">
        <v>91</v>
      </c>
      <c r="E436" t="s">
        <v>362</v>
      </c>
      <c r="F436" s="267" t="s">
        <v>387</v>
      </c>
      <c r="G436" s="267" t="s">
        <v>2064</v>
      </c>
    </row>
    <row r="437" spans="1:7">
      <c r="A437">
        <v>257</v>
      </c>
      <c r="B437">
        <v>2018</v>
      </c>
      <c r="C437" t="s">
        <v>106</v>
      </c>
      <c r="D437" t="s">
        <v>91</v>
      </c>
      <c r="E437" t="s">
        <v>362</v>
      </c>
      <c r="F437" s="267" t="s">
        <v>388</v>
      </c>
      <c r="G437" s="267" t="s">
        <v>2065</v>
      </c>
    </row>
    <row r="438" spans="1:7">
      <c r="A438">
        <v>2</v>
      </c>
      <c r="B438">
        <v>2018</v>
      </c>
      <c r="C438" t="s">
        <v>155</v>
      </c>
      <c r="D438" t="s">
        <v>91</v>
      </c>
      <c r="E438" t="s">
        <v>362</v>
      </c>
      <c r="F438" s="267" t="s">
        <v>389</v>
      </c>
      <c r="G438" s="267" t="s">
        <v>2066</v>
      </c>
    </row>
    <row r="439" spans="1:7">
      <c r="A439">
        <v>351</v>
      </c>
      <c r="B439">
        <v>2018</v>
      </c>
      <c r="C439" t="s">
        <v>107</v>
      </c>
      <c r="D439" t="s">
        <v>91</v>
      </c>
      <c r="E439" t="s">
        <v>362</v>
      </c>
      <c r="F439" s="267" t="s">
        <v>390</v>
      </c>
      <c r="G439" s="267" t="s">
        <v>2067</v>
      </c>
    </row>
    <row r="440" spans="1:7">
      <c r="A440">
        <v>352</v>
      </c>
      <c r="B440">
        <v>2018</v>
      </c>
      <c r="C440" t="s">
        <v>108</v>
      </c>
      <c r="D440" t="s">
        <v>91</v>
      </c>
      <c r="E440" t="s">
        <v>362</v>
      </c>
      <c r="F440" s="267" t="s">
        <v>391</v>
      </c>
      <c r="G440" s="267" t="s">
        <v>2068</v>
      </c>
    </row>
    <row r="441" spans="1:7">
      <c r="A441">
        <v>353</v>
      </c>
      <c r="B441">
        <v>2018</v>
      </c>
      <c r="C441" t="s">
        <v>109</v>
      </c>
      <c r="D441" t="s">
        <v>91</v>
      </c>
      <c r="E441" t="s">
        <v>362</v>
      </c>
      <c r="F441" s="267" t="s">
        <v>392</v>
      </c>
      <c r="G441" s="267" t="s">
        <v>2069</v>
      </c>
    </row>
    <row r="442" spans="1:7">
      <c r="A442">
        <v>354</v>
      </c>
      <c r="B442">
        <v>2018</v>
      </c>
      <c r="C442" t="s">
        <v>110</v>
      </c>
      <c r="D442" t="s">
        <v>91</v>
      </c>
      <c r="E442" t="s">
        <v>362</v>
      </c>
      <c r="F442" s="267" t="s">
        <v>393</v>
      </c>
      <c r="G442" s="267" t="s">
        <v>2070</v>
      </c>
    </row>
    <row r="443" spans="1:7">
      <c r="A443">
        <v>355</v>
      </c>
      <c r="B443">
        <v>2018</v>
      </c>
      <c r="C443" t="s">
        <v>111</v>
      </c>
      <c r="D443" t="s">
        <v>91</v>
      </c>
      <c r="E443" t="s">
        <v>362</v>
      </c>
      <c r="F443" s="267" t="s">
        <v>394</v>
      </c>
      <c r="G443" s="267" t="s">
        <v>2071</v>
      </c>
    </row>
    <row r="444" spans="1:7">
      <c r="A444">
        <v>356</v>
      </c>
      <c r="B444">
        <v>2018</v>
      </c>
      <c r="C444" t="s">
        <v>112</v>
      </c>
      <c r="D444" t="s">
        <v>91</v>
      </c>
      <c r="E444" t="s">
        <v>362</v>
      </c>
      <c r="F444" s="267" t="s">
        <v>395</v>
      </c>
      <c r="G444" s="267" t="s">
        <v>2072</v>
      </c>
    </row>
    <row r="445" spans="1:7">
      <c r="A445">
        <v>357</v>
      </c>
      <c r="B445">
        <v>2018</v>
      </c>
      <c r="C445" t="s">
        <v>113</v>
      </c>
      <c r="D445" t="s">
        <v>91</v>
      </c>
      <c r="E445" t="s">
        <v>362</v>
      </c>
      <c r="F445" s="267" t="s">
        <v>396</v>
      </c>
      <c r="G445" s="267" t="s">
        <v>2073</v>
      </c>
    </row>
    <row r="446" spans="1:7">
      <c r="A446">
        <v>358</v>
      </c>
      <c r="B446">
        <v>2018</v>
      </c>
      <c r="C446" t="s">
        <v>114</v>
      </c>
      <c r="D446" t="s">
        <v>91</v>
      </c>
      <c r="E446" t="s">
        <v>362</v>
      </c>
      <c r="F446" s="267" t="s">
        <v>397</v>
      </c>
      <c r="G446" s="267" t="s">
        <v>2074</v>
      </c>
    </row>
    <row r="447" spans="1:7">
      <c r="A447">
        <v>359</v>
      </c>
      <c r="B447">
        <v>2018</v>
      </c>
      <c r="C447" t="s">
        <v>115</v>
      </c>
      <c r="D447" t="s">
        <v>91</v>
      </c>
      <c r="E447" t="s">
        <v>362</v>
      </c>
      <c r="F447" s="267" t="s">
        <v>398</v>
      </c>
      <c r="G447" s="267" t="s">
        <v>2075</v>
      </c>
    </row>
    <row r="448" spans="1:7">
      <c r="A448">
        <v>360</v>
      </c>
      <c r="B448">
        <v>2018</v>
      </c>
      <c r="C448" t="s">
        <v>116</v>
      </c>
      <c r="D448" t="s">
        <v>91</v>
      </c>
      <c r="E448" t="s">
        <v>362</v>
      </c>
      <c r="F448" s="267" t="s">
        <v>399</v>
      </c>
      <c r="G448" s="267" t="s">
        <v>2076</v>
      </c>
    </row>
    <row r="449" spans="1:7">
      <c r="A449">
        <v>361</v>
      </c>
      <c r="B449">
        <v>2018</v>
      </c>
      <c r="C449" t="s">
        <v>117</v>
      </c>
      <c r="D449" t="s">
        <v>91</v>
      </c>
      <c r="E449" t="s">
        <v>362</v>
      </c>
      <c r="F449" s="267" t="s">
        <v>400</v>
      </c>
      <c r="G449" s="267" t="s">
        <v>2077</v>
      </c>
    </row>
    <row r="450" spans="1:7">
      <c r="A450">
        <v>3</v>
      </c>
      <c r="B450">
        <v>2018</v>
      </c>
      <c r="C450" t="s">
        <v>156</v>
      </c>
      <c r="D450" t="s">
        <v>91</v>
      </c>
      <c r="E450" t="s">
        <v>362</v>
      </c>
      <c r="F450" s="267" t="s">
        <v>401</v>
      </c>
      <c r="G450" s="267" t="s">
        <v>2078</v>
      </c>
    </row>
    <row r="451" spans="1:7">
      <c r="A451">
        <v>401</v>
      </c>
      <c r="B451">
        <v>2018</v>
      </c>
      <c r="C451" t="s">
        <v>402</v>
      </c>
      <c r="D451" t="s">
        <v>91</v>
      </c>
      <c r="E451" t="s">
        <v>362</v>
      </c>
      <c r="F451" s="267" t="s">
        <v>403</v>
      </c>
      <c r="G451" s="267" t="s">
        <v>2079</v>
      </c>
    </row>
    <row r="452" spans="1:7">
      <c r="A452">
        <v>402</v>
      </c>
      <c r="B452">
        <v>2018</v>
      </c>
      <c r="C452" t="s">
        <v>404</v>
      </c>
      <c r="D452" t="s">
        <v>91</v>
      </c>
      <c r="E452" t="s">
        <v>362</v>
      </c>
      <c r="F452" s="267" t="s">
        <v>405</v>
      </c>
      <c r="G452" s="267" t="s">
        <v>2080</v>
      </c>
    </row>
    <row r="453" spans="1:7">
      <c r="A453">
        <v>403</v>
      </c>
      <c r="B453">
        <v>2018</v>
      </c>
      <c r="C453" t="s">
        <v>406</v>
      </c>
      <c r="D453" t="s">
        <v>91</v>
      </c>
      <c r="E453" t="s">
        <v>362</v>
      </c>
      <c r="F453" s="267" t="s">
        <v>407</v>
      </c>
      <c r="G453" s="267" t="s">
        <v>2081</v>
      </c>
    </row>
    <row r="454" spans="1:7">
      <c r="A454">
        <v>404</v>
      </c>
      <c r="B454">
        <v>2018</v>
      </c>
      <c r="C454" t="s">
        <v>408</v>
      </c>
      <c r="D454" t="s">
        <v>91</v>
      </c>
      <c r="E454" t="s">
        <v>362</v>
      </c>
      <c r="F454" s="267" t="s">
        <v>409</v>
      </c>
      <c r="G454" s="267" t="s">
        <v>2082</v>
      </c>
    </row>
    <row r="455" spans="1:7">
      <c r="A455">
        <v>405</v>
      </c>
      <c r="B455">
        <v>2018</v>
      </c>
      <c r="C455" t="s">
        <v>410</v>
      </c>
      <c r="D455" t="s">
        <v>91</v>
      </c>
      <c r="E455" t="s">
        <v>362</v>
      </c>
      <c r="F455" s="267" t="s">
        <v>411</v>
      </c>
      <c r="G455" s="267" t="s">
        <v>2083</v>
      </c>
    </row>
    <row r="456" spans="1:7">
      <c r="A456">
        <v>451</v>
      </c>
      <c r="B456">
        <v>2018</v>
      </c>
      <c r="C456" t="s">
        <v>118</v>
      </c>
      <c r="D456" t="s">
        <v>91</v>
      </c>
      <c r="E456" t="s">
        <v>362</v>
      </c>
      <c r="F456" s="267" t="s">
        <v>412</v>
      </c>
      <c r="G456" s="267" t="s">
        <v>2084</v>
      </c>
    </row>
    <row r="457" spans="1:7">
      <c r="A457">
        <v>452</v>
      </c>
      <c r="B457">
        <v>2018</v>
      </c>
      <c r="C457" t="s">
        <v>119</v>
      </c>
      <c r="D457" t="s">
        <v>91</v>
      </c>
      <c r="E457" t="s">
        <v>362</v>
      </c>
      <c r="F457" s="267" t="s">
        <v>413</v>
      </c>
      <c r="G457" s="267" t="s">
        <v>2085</v>
      </c>
    </row>
    <row r="458" spans="1:7">
      <c r="A458">
        <v>453</v>
      </c>
      <c r="B458">
        <v>2018</v>
      </c>
      <c r="C458" t="s">
        <v>120</v>
      </c>
      <c r="D458" t="s">
        <v>91</v>
      </c>
      <c r="E458" t="s">
        <v>362</v>
      </c>
      <c r="F458" s="267" t="s">
        <v>414</v>
      </c>
      <c r="G458" s="267" t="s">
        <v>2086</v>
      </c>
    </row>
    <row r="459" spans="1:7">
      <c r="A459">
        <v>454</v>
      </c>
      <c r="B459">
        <v>2018</v>
      </c>
      <c r="C459" t="s">
        <v>121</v>
      </c>
      <c r="D459" t="s">
        <v>91</v>
      </c>
      <c r="E459" t="s">
        <v>362</v>
      </c>
      <c r="F459" s="267" t="s">
        <v>415</v>
      </c>
      <c r="G459" s="267" t="s">
        <v>2087</v>
      </c>
    </row>
    <row r="460" spans="1:7">
      <c r="A460">
        <v>455</v>
      </c>
      <c r="B460">
        <v>2018</v>
      </c>
      <c r="C460" t="s">
        <v>122</v>
      </c>
      <c r="D460" t="s">
        <v>91</v>
      </c>
      <c r="E460" t="s">
        <v>362</v>
      </c>
      <c r="F460" s="267" t="s">
        <v>416</v>
      </c>
      <c r="G460" s="267" t="s">
        <v>2088</v>
      </c>
    </row>
    <row r="461" spans="1:7">
      <c r="A461">
        <v>456</v>
      </c>
      <c r="B461">
        <v>2018</v>
      </c>
      <c r="C461" t="s">
        <v>123</v>
      </c>
      <c r="D461" t="s">
        <v>91</v>
      </c>
      <c r="E461" t="s">
        <v>362</v>
      </c>
      <c r="F461" s="267" t="s">
        <v>417</v>
      </c>
      <c r="G461" s="267" t="s">
        <v>2089</v>
      </c>
    </row>
    <row r="462" spans="1:7">
      <c r="A462">
        <v>457</v>
      </c>
      <c r="B462">
        <v>2018</v>
      </c>
      <c r="C462" t="s">
        <v>124</v>
      </c>
      <c r="D462" t="s">
        <v>91</v>
      </c>
      <c r="E462" t="s">
        <v>362</v>
      </c>
      <c r="F462" s="267" t="s">
        <v>418</v>
      </c>
      <c r="G462" s="267" t="s">
        <v>2090</v>
      </c>
    </row>
    <row r="463" spans="1:7">
      <c r="A463">
        <v>458</v>
      </c>
      <c r="B463">
        <v>2018</v>
      </c>
      <c r="C463" t="s">
        <v>125</v>
      </c>
      <c r="D463" t="s">
        <v>91</v>
      </c>
      <c r="E463" t="s">
        <v>362</v>
      </c>
      <c r="F463" s="267" t="s">
        <v>419</v>
      </c>
      <c r="G463" s="267" t="s">
        <v>2091</v>
      </c>
    </row>
    <row r="464" spans="1:7">
      <c r="A464">
        <v>459</v>
      </c>
      <c r="B464">
        <v>2018</v>
      </c>
      <c r="C464" t="s">
        <v>126</v>
      </c>
      <c r="D464" t="s">
        <v>91</v>
      </c>
      <c r="E464" t="s">
        <v>362</v>
      </c>
      <c r="F464" s="267" t="s">
        <v>420</v>
      </c>
      <c r="G464" s="267" t="s">
        <v>2092</v>
      </c>
    </row>
    <row r="465" spans="1:7">
      <c r="A465">
        <v>460</v>
      </c>
      <c r="B465">
        <v>2018</v>
      </c>
      <c r="C465" t="s">
        <v>127</v>
      </c>
      <c r="D465" t="s">
        <v>91</v>
      </c>
      <c r="E465" t="s">
        <v>362</v>
      </c>
      <c r="F465" s="267" t="s">
        <v>421</v>
      </c>
      <c r="G465" s="267" t="s">
        <v>2093</v>
      </c>
    </row>
    <row r="466" spans="1:7">
      <c r="A466">
        <v>461</v>
      </c>
      <c r="B466">
        <v>2018</v>
      </c>
      <c r="C466" t="s">
        <v>128</v>
      </c>
      <c r="D466" t="s">
        <v>91</v>
      </c>
      <c r="E466" t="s">
        <v>362</v>
      </c>
      <c r="F466" s="267" t="s">
        <v>422</v>
      </c>
      <c r="G466" s="267" t="s">
        <v>2094</v>
      </c>
    </row>
    <row r="467" spans="1:7">
      <c r="A467">
        <v>462</v>
      </c>
      <c r="B467">
        <v>2018</v>
      </c>
      <c r="C467" t="s">
        <v>129</v>
      </c>
      <c r="D467" t="s">
        <v>91</v>
      </c>
      <c r="E467" t="s">
        <v>362</v>
      </c>
      <c r="F467" s="267" t="s">
        <v>423</v>
      </c>
      <c r="G467" s="267" t="s">
        <v>2095</v>
      </c>
    </row>
    <row r="468" spans="1:7">
      <c r="A468">
        <v>4</v>
      </c>
      <c r="B468">
        <v>2018</v>
      </c>
      <c r="C468" t="s">
        <v>157</v>
      </c>
      <c r="D468" t="s">
        <v>91</v>
      </c>
      <c r="E468" t="s">
        <v>362</v>
      </c>
      <c r="F468" s="267" t="s">
        <v>424</v>
      </c>
      <c r="G468" s="267" t="s">
        <v>2096</v>
      </c>
    </row>
    <row r="469" spans="1:7">
      <c r="A469">
        <v>0</v>
      </c>
      <c r="B469">
        <v>2018</v>
      </c>
      <c r="C469" t="s">
        <v>130</v>
      </c>
      <c r="D469" t="s">
        <v>91</v>
      </c>
      <c r="E469" t="s">
        <v>362</v>
      </c>
      <c r="F469" s="267" t="s">
        <v>425</v>
      </c>
      <c r="G469" s="267" t="s">
        <v>2097</v>
      </c>
    </row>
    <row r="470" spans="1:7">
      <c r="A470">
        <v>101</v>
      </c>
      <c r="B470">
        <v>2018</v>
      </c>
      <c r="C470" t="s">
        <v>363</v>
      </c>
      <c r="D470" t="s">
        <v>92</v>
      </c>
      <c r="E470" t="s">
        <v>362</v>
      </c>
      <c r="F470" s="267" t="s">
        <v>364</v>
      </c>
      <c r="G470" s="267" t="s">
        <v>2098</v>
      </c>
    </row>
    <row r="471" spans="1:7">
      <c r="A471">
        <v>102</v>
      </c>
      <c r="B471">
        <v>2018</v>
      </c>
      <c r="C471" t="s">
        <v>365</v>
      </c>
      <c r="D471" t="s">
        <v>92</v>
      </c>
      <c r="E471" t="s">
        <v>362</v>
      </c>
      <c r="F471" s="267" t="s">
        <v>366</v>
      </c>
      <c r="G471" s="267" t="s">
        <v>2099</v>
      </c>
    </row>
    <row r="472" spans="1:7">
      <c r="A472">
        <v>103</v>
      </c>
      <c r="B472">
        <v>2018</v>
      </c>
      <c r="C472" t="s">
        <v>367</v>
      </c>
      <c r="D472" t="s">
        <v>92</v>
      </c>
      <c r="E472" t="s">
        <v>362</v>
      </c>
      <c r="F472" s="267" t="s">
        <v>368</v>
      </c>
      <c r="G472" s="267" t="s">
        <v>2100</v>
      </c>
    </row>
    <row r="473" spans="1:7">
      <c r="A473">
        <v>151</v>
      </c>
      <c r="B473">
        <v>2018</v>
      </c>
      <c r="C473" t="s">
        <v>94</v>
      </c>
      <c r="D473" t="s">
        <v>92</v>
      </c>
      <c r="E473" t="s">
        <v>362</v>
      </c>
      <c r="F473" s="267" t="s">
        <v>369</v>
      </c>
      <c r="G473" s="267" t="s">
        <v>2101</v>
      </c>
    </row>
    <row r="474" spans="1:7">
      <c r="A474">
        <v>153</v>
      </c>
      <c r="B474">
        <v>2018</v>
      </c>
      <c r="C474" t="s">
        <v>96</v>
      </c>
      <c r="D474" t="s">
        <v>92</v>
      </c>
      <c r="E474" t="s">
        <v>362</v>
      </c>
      <c r="F474" s="267" t="s">
        <v>370</v>
      </c>
      <c r="G474" s="267" t="s">
        <v>2102</v>
      </c>
    </row>
    <row r="475" spans="1:7">
      <c r="A475">
        <v>154</v>
      </c>
      <c r="B475">
        <v>2018</v>
      </c>
      <c r="C475" t="s">
        <v>97</v>
      </c>
      <c r="D475" t="s">
        <v>92</v>
      </c>
      <c r="E475" t="s">
        <v>362</v>
      </c>
      <c r="F475" s="267" t="s">
        <v>371</v>
      </c>
      <c r="G475" s="267" t="s">
        <v>2103</v>
      </c>
    </row>
    <row r="476" spans="1:7">
      <c r="A476">
        <v>155</v>
      </c>
      <c r="B476">
        <v>2018</v>
      </c>
      <c r="C476" t="s">
        <v>98</v>
      </c>
      <c r="D476" t="s">
        <v>92</v>
      </c>
      <c r="E476" t="s">
        <v>362</v>
      </c>
      <c r="F476" s="267" t="s">
        <v>372</v>
      </c>
      <c r="G476" s="267" t="s">
        <v>2104</v>
      </c>
    </row>
    <row r="477" spans="1:7">
      <c r="A477">
        <v>157</v>
      </c>
      <c r="B477">
        <v>2018</v>
      </c>
      <c r="C477" t="s">
        <v>99</v>
      </c>
      <c r="D477" t="s">
        <v>92</v>
      </c>
      <c r="E477" t="s">
        <v>362</v>
      </c>
      <c r="F477" s="267" t="s">
        <v>373</v>
      </c>
      <c r="G477" s="267" t="s">
        <v>2105</v>
      </c>
    </row>
    <row r="478" spans="1:7">
      <c r="A478">
        <v>158</v>
      </c>
      <c r="B478">
        <v>2018</v>
      </c>
      <c r="C478" t="s">
        <v>100</v>
      </c>
      <c r="D478" t="s">
        <v>92</v>
      </c>
      <c r="E478" t="s">
        <v>362</v>
      </c>
      <c r="F478" s="267" t="s">
        <v>374</v>
      </c>
      <c r="G478" s="267" t="s">
        <v>2106</v>
      </c>
    </row>
    <row r="479" spans="1:7">
      <c r="A479">
        <v>159</v>
      </c>
      <c r="B479">
        <v>2018</v>
      </c>
      <c r="C479" t="s">
        <v>95</v>
      </c>
      <c r="D479" t="s">
        <v>92</v>
      </c>
      <c r="E479" t="s">
        <v>362</v>
      </c>
      <c r="F479" s="267" t="s">
        <v>375</v>
      </c>
      <c r="G479" s="267" t="s">
        <v>2107</v>
      </c>
    </row>
    <row r="480" spans="1:7">
      <c r="A480">
        <v>1</v>
      </c>
      <c r="B480">
        <v>2018</v>
      </c>
      <c r="C480" t="s">
        <v>154</v>
      </c>
      <c r="D480" t="s">
        <v>92</v>
      </c>
      <c r="E480" t="s">
        <v>362</v>
      </c>
      <c r="F480" s="267" t="s">
        <v>376</v>
      </c>
      <c r="G480" s="267" t="s">
        <v>2108</v>
      </c>
    </row>
    <row r="481" spans="1:7">
      <c r="A481">
        <v>241</v>
      </c>
      <c r="B481">
        <v>2018</v>
      </c>
      <c r="C481" t="s">
        <v>377</v>
      </c>
      <c r="D481" t="s">
        <v>92</v>
      </c>
      <c r="E481" t="s">
        <v>362</v>
      </c>
      <c r="F481" s="267" t="s">
        <v>378</v>
      </c>
      <c r="G481" s="267" t="s">
        <v>2109</v>
      </c>
    </row>
    <row r="482" spans="1:7">
      <c r="A482">
        <v>241001</v>
      </c>
      <c r="B482">
        <v>2018</v>
      </c>
      <c r="C482" t="s">
        <v>379</v>
      </c>
      <c r="D482" t="s">
        <v>92</v>
      </c>
      <c r="E482" t="s">
        <v>362</v>
      </c>
      <c r="F482" s="267" t="s">
        <v>380</v>
      </c>
      <c r="G482" s="267" t="s">
        <v>2110</v>
      </c>
    </row>
    <row r="483" spans="1:7">
      <c r="A483">
        <v>241999</v>
      </c>
      <c r="B483">
        <v>2018</v>
      </c>
      <c r="C483" t="s">
        <v>381</v>
      </c>
      <c r="D483" t="s">
        <v>92</v>
      </c>
      <c r="E483" t="s">
        <v>362</v>
      </c>
      <c r="F483" s="267" t="s">
        <v>382</v>
      </c>
      <c r="G483" s="267" t="s">
        <v>2111</v>
      </c>
    </row>
    <row r="484" spans="1:7">
      <c r="A484">
        <v>251</v>
      </c>
      <c r="B484">
        <v>2018</v>
      </c>
      <c r="C484" t="s">
        <v>101</v>
      </c>
      <c r="D484" t="s">
        <v>92</v>
      </c>
      <c r="E484" t="s">
        <v>362</v>
      </c>
      <c r="F484" s="267" t="s">
        <v>383</v>
      </c>
      <c r="G484" s="267" t="s">
        <v>2112</v>
      </c>
    </row>
    <row r="485" spans="1:7">
      <c r="A485">
        <v>252</v>
      </c>
      <c r="B485">
        <v>2018</v>
      </c>
      <c r="C485" t="s">
        <v>102</v>
      </c>
      <c r="D485" t="s">
        <v>92</v>
      </c>
      <c r="E485" t="s">
        <v>362</v>
      </c>
      <c r="F485" s="267" t="s">
        <v>384</v>
      </c>
      <c r="G485" s="267" t="s">
        <v>2113</v>
      </c>
    </row>
    <row r="486" spans="1:7">
      <c r="A486">
        <v>254</v>
      </c>
      <c r="B486">
        <v>2018</v>
      </c>
      <c r="C486" t="s">
        <v>103</v>
      </c>
      <c r="D486" t="s">
        <v>92</v>
      </c>
      <c r="E486" t="s">
        <v>362</v>
      </c>
      <c r="F486" s="267" t="s">
        <v>385</v>
      </c>
      <c r="G486" s="267" t="s">
        <v>2114</v>
      </c>
    </row>
    <row r="487" spans="1:7">
      <c r="A487">
        <v>255</v>
      </c>
      <c r="B487">
        <v>2018</v>
      </c>
      <c r="C487" t="s">
        <v>104</v>
      </c>
      <c r="D487" t="s">
        <v>92</v>
      </c>
      <c r="E487" t="s">
        <v>362</v>
      </c>
      <c r="F487" s="267" t="s">
        <v>386</v>
      </c>
      <c r="G487" s="267" t="s">
        <v>2115</v>
      </c>
    </row>
    <row r="488" spans="1:7">
      <c r="A488">
        <v>256</v>
      </c>
      <c r="B488">
        <v>2018</v>
      </c>
      <c r="C488" t="s">
        <v>105</v>
      </c>
      <c r="D488" t="s">
        <v>92</v>
      </c>
      <c r="E488" t="s">
        <v>362</v>
      </c>
      <c r="F488" s="267" t="s">
        <v>387</v>
      </c>
      <c r="G488" s="267" t="s">
        <v>2116</v>
      </c>
    </row>
    <row r="489" spans="1:7">
      <c r="A489">
        <v>257</v>
      </c>
      <c r="B489">
        <v>2018</v>
      </c>
      <c r="C489" t="s">
        <v>106</v>
      </c>
      <c r="D489" t="s">
        <v>92</v>
      </c>
      <c r="E489" t="s">
        <v>362</v>
      </c>
      <c r="F489" s="267" t="s">
        <v>388</v>
      </c>
      <c r="G489" s="267" t="s">
        <v>2117</v>
      </c>
    </row>
    <row r="490" spans="1:7">
      <c r="A490">
        <v>2</v>
      </c>
      <c r="B490">
        <v>2018</v>
      </c>
      <c r="C490" t="s">
        <v>155</v>
      </c>
      <c r="D490" t="s">
        <v>92</v>
      </c>
      <c r="E490" t="s">
        <v>362</v>
      </c>
      <c r="F490" s="267" t="s">
        <v>389</v>
      </c>
      <c r="G490" s="267" t="s">
        <v>2118</v>
      </c>
    </row>
    <row r="491" spans="1:7">
      <c r="A491">
        <v>351</v>
      </c>
      <c r="B491">
        <v>2018</v>
      </c>
      <c r="C491" t="s">
        <v>107</v>
      </c>
      <c r="D491" t="s">
        <v>92</v>
      </c>
      <c r="E491" t="s">
        <v>362</v>
      </c>
      <c r="F491" s="267" t="s">
        <v>390</v>
      </c>
      <c r="G491" s="267" t="s">
        <v>2119</v>
      </c>
    </row>
    <row r="492" spans="1:7">
      <c r="A492">
        <v>352</v>
      </c>
      <c r="B492">
        <v>2018</v>
      </c>
      <c r="C492" t="s">
        <v>108</v>
      </c>
      <c r="D492" t="s">
        <v>92</v>
      </c>
      <c r="E492" t="s">
        <v>362</v>
      </c>
      <c r="F492" s="267" t="s">
        <v>391</v>
      </c>
      <c r="G492" s="267" t="s">
        <v>2120</v>
      </c>
    </row>
    <row r="493" spans="1:7">
      <c r="A493">
        <v>353</v>
      </c>
      <c r="B493">
        <v>2018</v>
      </c>
      <c r="C493" t="s">
        <v>109</v>
      </c>
      <c r="D493" t="s">
        <v>92</v>
      </c>
      <c r="E493" t="s">
        <v>362</v>
      </c>
      <c r="F493" s="267" t="s">
        <v>392</v>
      </c>
      <c r="G493" s="267" t="s">
        <v>2121</v>
      </c>
    </row>
    <row r="494" spans="1:7">
      <c r="A494">
        <v>354</v>
      </c>
      <c r="B494">
        <v>2018</v>
      </c>
      <c r="C494" t="s">
        <v>110</v>
      </c>
      <c r="D494" t="s">
        <v>92</v>
      </c>
      <c r="E494" t="s">
        <v>362</v>
      </c>
      <c r="F494" s="267" t="s">
        <v>393</v>
      </c>
      <c r="G494" s="267" t="s">
        <v>2122</v>
      </c>
    </row>
    <row r="495" spans="1:7">
      <c r="A495">
        <v>355</v>
      </c>
      <c r="B495">
        <v>2018</v>
      </c>
      <c r="C495" t="s">
        <v>111</v>
      </c>
      <c r="D495" t="s">
        <v>92</v>
      </c>
      <c r="E495" t="s">
        <v>362</v>
      </c>
      <c r="F495" s="267" t="s">
        <v>394</v>
      </c>
      <c r="G495" s="267" t="s">
        <v>2123</v>
      </c>
    </row>
    <row r="496" spans="1:7">
      <c r="A496">
        <v>356</v>
      </c>
      <c r="B496">
        <v>2018</v>
      </c>
      <c r="C496" t="s">
        <v>112</v>
      </c>
      <c r="D496" t="s">
        <v>92</v>
      </c>
      <c r="E496" t="s">
        <v>362</v>
      </c>
      <c r="F496" s="267" t="s">
        <v>395</v>
      </c>
      <c r="G496" s="267" t="s">
        <v>2124</v>
      </c>
    </row>
    <row r="497" spans="1:7">
      <c r="A497">
        <v>357</v>
      </c>
      <c r="B497">
        <v>2018</v>
      </c>
      <c r="C497" t="s">
        <v>113</v>
      </c>
      <c r="D497" t="s">
        <v>92</v>
      </c>
      <c r="E497" t="s">
        <v>362</v>
      </c>
      <c r="F497" s="267" t="s">
        <v>396</v>
      </c>
      <c r="G497" s="267" t="s">
        <v>2125</v>
      </c>
    </row>
    <row r="498" spans="1:7">
      <c r="A498">
        <v>358</v>
      </c>
      <c r="B498">
        <v>2018</v>
      </c>
      <c r="C498" t="s">
        <v>114</v>
      </c>
      <c r="D498" t="s">
        <v>92</v>
      </c>
      <c r="E498" t="s">
        <v>362</v>
      </c>
      <c r="F498" s="267" t="s">
        <v>397</v>
      </c>
      <c r="G498" s="267" t="s">
        <v>2126</v>
      </c>
    </row>
    <row r="499" spans="1:7">
      <c r="A499">
        <v>359</v>
      </c>
      <c r="B499">
        <v>2018</v>
      </c>
      <c r="C499" t="s">
        <v>115</v>
      </c>
      <c r="D499" t="s">
        <v>92</v>
      </c>
      <c r="E499" t="s">
        <v>362</v>
      </c>
      <c r="F499" s="267" t="s">
        <v>398</v>
      </c>
      <c r="G499" s="267" t="s">
        <v>2127</v>
      </c>
    </row>
    <row r="500" spans="1:7">
      <c r="A500">
        <v>360</v>
      </c>
      <c r="B500">
        <v>2018</v>
      </c>
      <c r="C500" t="s">
        <v>116</v>
      </c>
      <c r="D500" t="s">
        <v>92</v>
      </c>
      <c r="E500" t="s">
        <v>362</v>
      </c>
      <c r="F500" s="267" t="s">
        <v>399</v>
      </c>
      <c r="G500" s="267" t="s">
        <v>2128</v>
      </c>
    </row>
    <row r="501" spans="1:7">
      <c r="A501">
        <v>361</v>
      </c>
      <c r="B501">
        <v>2018</v>
      </c>
      <c r="C501" t="s">
        <v>117</v>
      </c>
      <c r="D501" t="s">
        <v>92</v>
      </c>
      <c r="E501" t="s">
        <v>362</v>
      </c>
      <c r="F501" s="267" t="s">
        <v>400</v>
      </c>
      <c r="G501" s="267" t="s">
        <v>2129</v>
      </c>
    </row>
    <row r="502" spans="1:7">
      <c r="A502">
        <v>3</v>
      </c>
      <c r="B502">
        <v>2018</v>
      </c>
      <c r="C502" t="s">
        <v>156</v>
      </c>
      <c r="D502" t="s">
        <v>92</v>
      </c>
      <c r="E502" t="s">
        <v>362</v>
      </c>
      <c r="F502" s="267" t="s">
        <v>401</v>
      </c>
      <c r="G502" s="267" t="s">
        <v>2130</v>
      </c>
    </row>
    <row r="503" spans="1:7">
      <c r="A503">
        <v>401</v>
      </c>
      <c r="B503">
        <v>2018</v>
      </c>
      <c r="C503" t="s">
        <v>402</v>
      </c>
      <c r="D503" t="s">
        <v>92</v>
      </c>
      <c r="E503" t="s">
        <v>362</v>
      </c>
      <c r="F503" s="267" t="s">
        <v>403</v>
      </c>
      <c r="G503" s="267" t="s">
        <v>2131</v>
      </c>
    </row>
    <row r="504" spans="1:7">
      <c r="A504">
        <v>402</v>
      </c>
      <c r="B504">
        <v>2018</v>
      </c>
      <c r="C504" t="s">
        <v>404</v>
      </c>
      <c r="D504" t="s">
        <v>92</v>
      </c>
      <c r="E504" t="s">
        <v>362</v>
      </c>
      <c r="F504" s="267" t="s">
        <v>405</v>
      </c>
      <c r="G504" s="267" t="s">
        <v>2132</v>
      </c>
    </row>
    <row r="505" spans="1:7">
      <c r="A505">
        <v>403</v>
      </c>
      <c r="B505">
        <v>2018</v>
      </c>
      <c r="C505" t="s">
        <v>406</v>
      </c>
      <c r="D505" t="s">
        <v>92</v>
      </c>
      <c r="E505" t="s">
        <v>362</v>
      </c>
      <c r="F505" s="267" t="s">
        <v>407</v>
      </c>
      <c r="G505" s="267" t="s">
        <v>2133</v>
      </c>
    </row>
    <row r="506" spans="1:7">
      <c r="A506">
        <v>404</v>
      </c>
      <c r="B506">
        <v>2018</v>
      </c>
      <c r="C506" t="s">
        <v>408</v>
      </c>
      <c r="D506" t="s">
        <v>92</v>
      </c>
      <c r="E506" t="s">
        <v>362</v>
      </c>
      <c r="F506" s="267" t="s">
        <v>409</v>
      </c>
      <c r="G506" s="267" t="s">
        <v>2134</v>
      </c>
    </row>
    <row r="507" spans="1:7">
      <c r="A507">
        <v>405</v>
      </c>
      <c r="B507">
        <v>2018</v>
      </c>
      <c r="C507" t="s">
        <v>410</v>
      </c>
      <c r="D507" t="s">
        <v>92</v>
      </c>
      <c r="E507" t="s">
        <v>362</v>
      </c>
      <c r="F507" s="267" t="s">
        <v>411</v>
      </c>
      <c r="G507" s="267" t="s">
        <v>2135</v>
      </c>
    </row>
    <row r="508" spans="1:7">
      <c r="A508">
        <v>451</v>
      </c>
      <c r="B508">
        <v>2018</v>
      </c>
      <c r="C508" t="s">
        <v>118</v>
      </c>
      <c r="D508" t="s">
        <v>92</v>
      </c>
      <c r="E508" t="s">
        <v>362</v>
      </c>
      <c r="F508" s="267" t="s">
        <v>412</v>
      </c>
      <c r="G508" s="267" t="s">
        <v>2136</v>
      </c>
    </row>
    <row r="509" spans="1:7">
      <c r="A509">
        <v>452</v>
      </c>
      <c r="B509">
        <v>2018</v>
      </c>
      <c r="C509" t="s">
        <v>119</v>
      </c>
      <c r="D509" t="s">
        <v>92</v>
      </c>
      <c r="E509" t="s">
        <v>362</v>
      </c>
      <c r="F509" s="267" t="s">
        <v>413</v>
      </c>
      <c r="G509" s="267" t="s">
        <v>2137</v>
      </c>
    </row>
    <row r="510" spans="1:7">
      <c r="A510">
        <v>453</v>
      </c>
      <c r="B510">
        <v>2018</v>
      </c>
      <c r="C510" t="s">
        <v>120</v>
      </c>
      <c r="D510" t="s">
        <v>92</v>
      </c>
      <c r="E510" t="s">
        <v>362</v>
      </c>
      <c r="F510" s="267" t="s">
        <v>414</v>
      </c>
      <c r="G510" s="267" t="s">
        <v>2138</v>
      </c>
    </row>
    <row r="511" spans="1:7">
      <c r="A511">
        <v>454</v>
      </c>
      <c r="B511">
        <v>2018</v>
      </c>
      <c r="C511" t="s">
        <v>121</v>
      </c>
      <c r="D511" t="s">
        <v>92</v>
      </c>
      <c r="E511" t="s">
        <v>362</v>
      </c>
      <c r="F511" s="267" t="s">
        <v>415</v>
      </c>
      <c r="G511" s="267" t="s">
        <v>2139</v>
      </c>
    </row>
    <row r="512" spans="1:7">
      <c r="A512">
        <v>455</v>
      </c>
      <c r="B512">
        <v>2018</v>
      </c>
      <c r="C512" t="s">
        <v>122</v>
      </c>
      <c r="D512" t="s">
        <v>92</v>
      </c>
      <c r="E512" t="s">
        <v>362</v>
      </c>
      <c r="F512" s="267" t="s">
        <v>416</v>
      </c>
      <c r="G512" s="267" t="s">
        <v>2140</v>
      </c>
    </row>
    <row r="513" spans="1:7">
      <c r="A513">
        <v>456</v>
      </c>
      <c r="B513">
        <v>2018</v>
      </c>
      <c r="C513" t="s">
        <v>123</v>
      </c>
      <c r="D513" t="s">
        <v>92</v>
      </c>
      <c r="E513" t="s">
        <v>362</v>
      </c>
      <c r="F513" s="267" t="s">
        <v>417</v>
      </c>
      <c r="G513" s="267" t="s">
        <v>2141</v>
      </c>
    </row>
    <row r="514" spans="1:7">
      <c r="A514">
        <v>457</v>
      </c>
      <c r="B514">
        <v>2018</v>
      </c>
      <c r="C514" t="s">
        <v>124</v>
      </c>
      <c r="D514" t="s">
        <v>92</v>
      </c>
      <c r="E514" t="s">
        <v>362</v>
      </c>
      <c r="F514" s="267" t="s">
        <v>418</v>
      </c>
      <c r="G514" s="267" t="s">
        <v>2142</v>
      </c>
    </row>
    <row r="515" spans="1:7">
      <c r="A515">
        <v>458</v>
      </c>
      <c r="B515">
        <v>2018</v>
      </c>
      <c r="C515" t="s">
        <v>125</v>
      </c>
      <c r="D515" t="s">
        <v>92</v>
      </c>
      <c r="E515" t="s">
        <v>362</v>
      </c>
      <c r="F515" s="267" t="s">
        <v>419</v>
      </c>
      <c r="G515" s="267" t="s">
        <v>2143</v>
      </c>
    </row>
    <row r="516" spans="1:7">
      <c r="A516">
        <v>459</v>
      </c>
      <c r="B516">
        <v>2018</v>
      </c>
      <c r="C516" t="s">
        <v>126</v>
      </c>
      <c r="D516" t="s">
        <v>92</v>
      </c>
      <c r="E516" t="s">
        <v>362</v>
      </c>
      <c r="F516" s="267" t="s">
        <v>420</v>
      </c>
      <c r="G516" s="267" t="s">
        <v>2144</v>
      </c>
    </row>
    <row r="517" spans="1:7">
      <c r="A517">
        <v>460</v>
      </c>
      <c r="B517">
        <v>2018</v>
      </c>
      <c r="C517" t="s">
        <v>127</v>
      </c>
      <c r="D517" t="s">
        <v>92</v>
      </c>
      <c r="E517" t="s">
        <v>362</v>
      </c>
      <c r="F517" s="267" t="s">
        <v>421</v>
      </c>
      <c r="G517" s="267" t="s">
        <v>2145</v>
      </c>
    </row>
    <row r="518" spans="1:7">
      <c r="A518">
        <v>461</v>
      </c>
      <c r="B518">
        <v>2018</v>
      </c>
      <c r="C518" t="s">
        <v>128</v>
      </c>
      <c r="D518" t="s">
        <v>92</v>
      </c>
      <c r="E518" t="s">
        <v>362</v>
      </c>
      <c r="F518" s="267" t="s">
        <v>422</v>
      </c>
      <c r="G518" s="267" t="s">
        <v>2146</v>
      </c>
    </row>
    <row r="519" spans="1:7">
      <c r="A519">
        <v>462</v>
      </c>
      <c r="B519">
        <v>2018</v>
      </c>
      <c r="C519" t="s">
        <v>129</v>
      </c>
      <c r="D519" t="s">
        <v>92</v>
      </c>
      <c r="E519" t="s">
        <v>362</v>
      </c>
      <c r="F519" s="267" t="s">
        <v>423</v>
      </c>
      <c r="G519" s="267" t="s">
        <v>2147</v>
      </c>
    </row>
    <row r="520" spans="1:7">
      <c r="A520">
        <v>4</v>
      </c>
      <c r="B520">
        <v>2018</v>
      </c>
      <c r="C520" t="s">
        <v>157</v>
      </c>
      <c r="D520" t="s">
        <v>92</v>
      </c>
      <c r="E520" t="s">
        <v>362</v>
      </c>
      <c r="F520" s="267" t="s">
        <v>424</v>
      </c>
      <c r="G520" s="267" t="s">
        <v>2148</v>
      </c>
    </row>
    <row r="521" spans="1:7">
      <c r="A521">
        <v>0</v>
      </c>
      <c r="B521">
        <v>2018</v>
      </c>
      <c r="C521" t="s">
        <v>130</v>
      </c>
      <c r="D521" t="s">
        <v>92</v>
      </c>
      <c r="E521" t="s">
        <v>362</v>
      </c>
      <c r="F521" s="267" t="s">
        <v>425</v>
      </c>
      <c r="G521" s="267" t="s">
        <v>2149</v>
      </c>
    </row>
    <row r="522" spans="1:7">
      <c r="A522">
        <v>101</v>
      </c>
      <c r="B522">
        <v>2018</v>
      </c>
      <c r="C522" t="s">
        <v>363</v>
      </c>
      <c r="D522" t="s">
        <v>93</v>
      </c>
      <c r="E522" t="s">
        <v>362</v>
      </c>
      <c r="F522" s="267" t="s">
        <v>364</v>
      </c>
      <c r="G522" s="267" t="s">
        <v>2150</v>
      </c>
    </row>
    <row r="523" spans="1:7">
      <c r="A523">
        <v>102</v>
      </c>
      <c r="B523">
        <v>2018</v>
      </c>
      <c r="C523" t="s">
        <v>365</v>
      </c>
      <c r="D523" t="s">
        <v>93</v>
      </c>
      <c r="E523" t="s">
        <v>362</v>
      </c>
      <c r="F523" s="267" t="s">
        <v>366</v>
      </c>
      <c r="G523" s="267" t="s">
        <v>2151</v>
      </c>
    </row>
    <row r="524" spans="1:7">
      <c r="A524">
        <v>103</v>
      </c>
      <c r="B524">
        <v>2018</v>
      </c>
      <c r="C524" t="s">
        <v>367</v>
      </c>
      <c r="D524" t="s">
        <v>93</v>
      </c>
      <c r="E524" t="s">
        <v>362</v>
      </c>
      <c r="F524" s="267" t="s">
        <v>368</v>
      </c>
      <c r="G524" s="267" t="s">
        <v>2152</v>
      </c>
    </row>
    <row r="525" spans="1:7">
      <c r="A525">
        <v>151</v>
      </c>
      <c r="B525">
        <v>2018</v>
      </c>
      <c r="C525" t="s">
        <v>94</v>
      </c>
      <c r="D525" t="s">
        <v>93</v>
      </c>
      <c r="E525" t="s">
        <v>362</v>
      </c>
      <c r="F525" s="267" t="s">
        <v>369</v>
      </c>
      <c r="G525" s="267" t="s">
        <v>2153</v>
      </c>
    </row>
    <row r="526" spans="1:7">
      <c r="A526">
        <v>153</v>
      </c>
      <c r="B526">
        <v>2018</v>
      </c>
      <c r="C526" t="s">
        <v>96</v>
      </c>
      <c r="D526" t="s">
        <v>93</v>
      </c>
      <c r="E526" t="s">
        <v>362</v>
      </c>
      <c r="F526" s="267" t="s">
        <v>370</v>
      </c>
      <c r="G526" s="267" t="s">
        <v>2154</v>
      </c>
    </row>
    <row r="527" spans="1:7">
      <c r="A527">
        <v>154</v>
      </c>
      <c r="B527">
        <v>2018</v>
      </c>
      <c r="C527" t="s">
        <v>97</v>
      </c>
      <c r="D527" t="s">
        <v>93</v>
      </c>
      <c r="E527" t="s">
        <v>362</v>
      </c>
      <c r="F527" s="267" t="s">
        <v>371</v>
      </c>
      <c r="G527" s="267" t="s">
        <v>2155</v>
      </c>
    </row>
    <row r="528" spans="1:7">
      <c r="A528">
        <v>155</v>
      </c>
      <c r="B528">
        <v>2018</v>
      </c>
      <c r="C528" t="s">
        <v>98</v>
      </c>
      <c r="D528" t="s">
        <v>93</v>
      </c>
      <c r="E528" t="s">
        <v>362</v>
      </c>
      <c r="F528" s="267" t="s">
        <v>372</v>
      </c>
      <c r="G528" s="267" t="s">
        <v>2156</v>
      </c>
    </row>
    <row r="529" spans="1:7">
      <c r="A529">
        <v>157</v>
      </c>
      <c r="B529">
        <v>2018</v>
      </c>
      <c r="C529" t="s">
        <v>99</v>
      </c>
      <c r="D529" t="s">
        <v>93</v>
      </c>
      <c r="E529" t="s">
        <v>362</v>
      </c>
      <c r="F529" s="267" t="s">
        <v>373</v>
      </c>
      <c r="G529" s="267" t="s">
        <v>2157</v>
      </c>
    </row>
    <row r="530" spans="1:7">
      <c r="A530">
        <v>158</v>
      </c>
      <c r="B530">
        <v>2018</v>
      </c>
      <c r="C530" t="s">
        <v>100</v>
      </c>
      <c r="D530" t="s">
        <v>93</v>
      </c>
      <c r="E530" t="s">
        <v>362</v>
      </c>
      <c r="F530" s="267" t="s">
        <v>374</v>
      </c>
      <c r="G530" s="267" t="s">
        <v>2158</v>
      </c>
    </row>
    <row r="531" spans="1:7">
      <c r="A531">
        <v>159</v>
      </c>
      <c r="B531">
        <v>2018</v>
      </c>
      <c r="C531" t="s">
        <v>95</v>
      </c>
      <c r="D531" t="s">
        <v>93</v>
      </c>
      <c r="E531" t="s">
        <v>362</v>
      </c>
      <c r="F531" s="267" t="s">
        <v>375</v>
      </c>
      <c r="G531" s="267" t="s">
        <v>2159</v>
      </c>
    </row>
    <row r="532" spans="1:7">
      <c r="A532">
        <v>1</v>
      </c>
      <c r="B532">
        <v>2018</v>
      </c>
      <c r="C532" t="s">
        <v>154</v>
      </c>
      <c r="D532" t="s">
        <v>93</v>
      </c>
      <c r="E532" t="s">
        <v>362</v>
      </c>
      <c r="F532" s="267" t="s">
        <v>376</v>
      </c>
      <c r="G532" s="267" t="s">
        <v>2160</v>
      </c>
    </row>
    <row r="533" spans="1:7">
      <c r="A533">
        <v>241</v>
      </c>
      <c r="B533">
        <v>2018</v>
      </c>
      <c r="C533" t="s">
        <v>377</v>
      </c>
      <c r="D533" t="s">
        <v>93</v>
      </c>
      <c r="E533" t="s">
        <v>362</v>
      </c>
      <c r="F533" s="267" t="s">
        <v>378</v>
      </c>
      <c r="G533" s="267" t="s">
        <v>2161</v>
      </c>
    </row>
    <row r="534" spans="1:7">
      <c r="A534">
        <v>241001</v>
      </c>
      <c r="B534">
        <v>2018</v>
      </c>
      <c r="C534" t="s">
        <v>379</v>
      </c>
      <c r="D534" t="s">
        <v>93</v>
      </c>
      <c r="E534" t="s">
        <v>362</v>
      </c>
      <c r="F534" s="267" t="s">
        <v>380</v>
      </c>
      <c r="G534" s="267" t="s">
        <v>2162</v>
      </c>
    </row>
    <row r="535" spans="1:7">
      <c r="A535">
        <v>241999</v>
      </c>
      <c r="B535">
        <v>2018</v>
      </c>
      <c r="C535" t="s">
        <v>381</v>
      </c>
      <c r="D535" t="s">
        <v>93</v>
      </c>
      <c r="E535" t="s">
        <v>362</v>
      </c>
      <c r="F535" s="267" t="s">
        <v>382</v>
      </c>
      <c r="G535" s="267" t="s">
        <v>2163</v>
      </c>
    </row>
    <row r="536" spans="1:7">
      <c r="A536">
        <v>251</v>
      </c>
      <c r="B536">
        <v>2018</v>
      </c>
      <c r="C536" t="s">
        <v>101</v>
      </c>
      <c r="D536" t="s">
        <v>93</v>
      </c>
      <c r="E536" t="s">
        <v>362</v>
      </c>
      <c r="F536" s="267" t="s">
        <v>383</v>
      </c>
      <c r="G536" s="267" t="s">
        <v>2164</v>
      </c>
    </row>
    <row r="537" spans="1:7">
      <c r="A537">
        <v>252</v>
      </c>
      <c r="B537">
        <v>2018</v>
      </c>
      <c r="C537" t="s">
        <v>102</v>
      </c>
      <c r="D537" t="s">
        <v>93</v>
      </c>
      <c r="E537" t="s">
        <v>362</v>
      </c>
      <c r="F537" s="267" t="s">
        <v>384</v>
      </c>
      <c r="G537" s="267" t="s">
        <v>2165</v>
      </c>
    </row>
    <row r="538" spans="1:7">
      <c r="A538">
        <v>254</v>
      </c>
      <c r="B538">
        <v>2018</v>
      </c>
      <c r="C538" t="s">
        <v>103</v>
      </c>
      <c r="D538" t="s">
        <v>93</v>
      </c>
      <c r="E538" t="s">
        <v>362</v>
      </c>
      <c r="F538" s="267" t="s">
        <v>385</v>
      </c>
      <c r="G538" s="267" t="s">
        <v>2166</v>
      </c>
    </row>
    <row r="539" spans="1:7">
      <c r="A539">
        <v>255</v>
      </c>
      <c r="B539">
        <v>2018</v>
      </c>
      <c r="C539" t="s">
        <v>104</v>
      </c>
      <c r="D539" t="s">
        <v>93</v>
      </c>
      <c r="E539" t="s">
        <v>362</v>
      </c>
      <c r="F539" s="267" t="s">
        <v>386</v>
      </c>
      <c r="G539" s="267" t="s">
        <v>2167</v>
      </c>
    </row>
    <row r="540" spans="1:7">
      <c r="A540">
        <v>256</v>
      </c>
      <c r="B540">
        <v>2018</v>
      </c>
      <c r="C540" t="s">
        <v>105</v>
      </c>
      <c r="D540" t="s">
        <v>93</v>
      </c>
      <c r="E540" t="s">
        <v>362</v>
      </c>
      <c r="F540" s="267" t="s">
        <v>387</v>
      </c>
      <c r="G540" s="267" t="s">
        <v>2168</v>
      </c>
    </row>
    <row r="541" spans="1:7">
      <c r="A541">
        <v>257</v>
      </c>
      <c r="B541">
        <v>2018</v>
      </c>
      <c r="C541" t="s">
        <v>106</v>
      </c>
      <c r="D541" t="s">
        <v>93</v>
      </c>
      <c r="E541" t="s">
        <v>362</v>
      </c>
      <c r="F541" s="267" t="s">
        <v>388</v>
      </c>
      <c r="G541" s="267" t="s">
        <v>2169</v>
      </c>
    </row>
    <row r="542" spans="1:7">
      <c r="A542">
        <v>2</v>
      </c>
      <c r="B542">
        <v>2018</v>
      </c>
      <c r="C542" t="s">
        <v>155</v>
      </c>
      <c r="D542" t="s">
        <v>93</v>
      </c>
      <c r="E542" t="s">
        <v>362</v>
      </c>
      <c r="F542" s="267" t="s">
        <v>389</v>
      </c>
      <c r="G542" s="267" t="s">
        <v>2170</v>
      </c>
    </row>
    <row r="543" spans="1:7">
      <c r="A543">
        <v>351</v>
      </c>
      <c r="B543">
        <v>2018</v>
      </c>
      <c r="C543" t="s">
        <v>107</v>
      </c>
      <c r="D543" t="s">
        <v>93</v>
      </c>
      <c r="E543" t="s">
        <v>362</v>
      </c>
      <c r="F543" s="267" t="s">
        <v>390</v>
      </c>
      <c r="G543" s="267" t="s">
        <v>2171</v>
      </c>
    </row>
    <row r="544" spans="1:7">
      <c r="A544">
        <v>352</v>
      </c>
      <c r="B544">
        <v>2018</v>
      </c>
      <c r="C544" t="s">
        <v>108</v>
      </c>
      <c r="D544" t="s">
        <v>93</v>
      </c>
      <c r="E544" t="s">
        <v>362</v>
      </c>
      <c r="F544" s="267" t="s">
        <v>391</v>
      </c>
      <c r="G544" s="267" t="s">
        <v>2172</v>
      </c>
    </row>
    <row r="545" spans="1:7">
      <c r="A545">
        <v>353</v>
      </c>
      <c r="B545">
        <v>2018</v>
      </c>
      <c r="C545" t="s">
        <v>109</v>
      </c>
      <c r="D545" t="s">
        <v>93</v>
      </c>
      <c r="E545" t="s">
        <v>362</v>
      </c>
      <c r="F545" s="267" t="s">
        <v>392</v>
      </c>
      <c r="G545" s="267" t="s">
        <v>2173</v>
      </c>
    </row>
    <row r="546" spans="1:7">
      <c r="A546">
        <v>354</v>
      </c>
      <c r="B546">
        <v>2018</v>
      </c>
      <c r="C546" t="s">
        <v>110</v>
      </c>
      <c r="D546" t="s">
        <v>93</v>
      </c>
      <c r="E546" t="s">
        <v>362</v>
      </c>
      <c r="F546" s="267" t="s">
        <v>393</v>
      </c>
      <c r="G546" s="267" t="s">
        <v>2174</v>
      </c>
    </row>
    <row r="547" spans="1:7">
      <c r="A547">
        <v>355</v>
      </c>
      <c r="B547">
        <v>2018</v>
      </c>
      <c r="C547" t="s">
        <v>111</v>
      </c>
      <c r="D547" t="s">
        <v>93</v>
      </c>
      <c r="E547" t="s">
        <v>362</v>
      </c>
      <c r="F547" s="267" t="s">
        <v>394</v>
      </c>
      <c r="G547" s="267" t="s">
        <v>2175</v>
      </c>
    </row>
    <row r="548" spans="1:7">
      <c r="A548">
        <v>356</v>
      </c>
      <c r="B548">
        <v>2018</v>
      </c>
      <c r="C548" t="s">
        <v>112</v>
      </c>
      <c r="D548" t="s">
        <v>93</v>
      </c>
      <c r="E548" t="s">
        <v>362</v>
      </c>
      <c r="F548" s="267" t="s">
        <v>395</v>
      </c>
      <c r="G548" s="267" t="s">
        <v>2176</v>
      </c>
    </row>
    <row r="549" spans="1:7">
      <c r="A549">
        <v>357</v>
      </c>
      <c r="B549">
        <v>2018</v>
      </c>
      <c r="C549" t="s">
        <v>113</v>
      </c>
      <c r="D549" t="s">
        <v>93</v>
      </c>
      <c r="E549" t="s">
        <v>362</v>
      </c>
      <c r="F549" s="267" t="s">
        <v>396</v>
      </c>
      <c r="G549" s="267" t="s">
        <v>2177</v>
      </c>
    </row>
    <row r="550" spans="1:7">
      <c r="A550">
        <v>358</v>
      </c>
      <c r="B550">
        <v>2018</v>
      </c>
      <c r="C550" t="s">
        <v>114</v>
      </c>
      <c r="D550" t="s">
        <v>93</v>
      </c>
      <c r="E550" t="s">
        <v>362</v>
      </c>
      <c r="F550" s="267" t="s">
        <v>397</v>
      </c>
      <c r="G550" s="267" t="s">
        <v>2178</v>
      </c>
    </row>
    <row r="551" spans="1:7">
      <c r="A551">
        <v>359</v>
      </c>
      <c r="B551">
        <v>2018</v>
      </c>
      <c r="C551" t="s">
        <v>115</v>
      </c>
      <c r="D551" t="s">
        <v>93</v>
      </c>
      <c r="E551" t="s">
        <v>362</v>
      </c>
      <c r="F551" s="267" t="s">
        <v>398</v>
      </c>
      <c r="G551" s="267" t="s">
        <v>2179</v>
      </c>
    </row>
    <row r="552" spans="1:7">
      <c r="A552">
        <v>360</v>
      </c>
      <c r="B552">
        <v>2018</v>
      </c>
      <c r="C552" t="s">
        <v>116</v>
      </c>
      <c r="D552" t="s">
        <v>93</v>
      </c>
      <c r="E552" t="s">
        <v>362</v>
      </c>
      <c r="F552" s="267" t="s">
        <v>399</v>
      </c>
      <c r="G552" s="267" t="s">
        <v>2180</v>
      </c>
    </row>
    <row r="553" spans="1:7">
      <c r="A553">
        <v>361</v>
      </c>
      <c r="B553">
        <v>2018</v>
      </c>
      <c r="C553" t="s">
        <v>117</v>
      </c>
      <c r="D553" t="s">
        <v>93</v>
      </c>
      <c r="E553" t="s">
        <v>362</v>
      </c>
      <c r="F553" s="267" t="s">
        <v>400</v>
      </c>
      <c r="G553" s="267" t="s">
        <v>2181</v>
      </c>
    </row>
    <row r="554" spans="1:7">
      <c r="A554">
        <v>3</v>
      </c>
      <c r="B554">
        <v>2018</v>
      </c>
      <c r="C554" t="s">
        <v>156</v>
      </c>
      <c r="D554" t="s">
        <v>93</v>
      </c>
      <c r="E554" t="s">
        <v>362</v>
      </c>
      <c r="F554" s="267" t="s">
        <v>401</v>
      </c>
      <c r="G554" s="267" t="s">
        <v>2182</v>
      </c>
    </row>
    <row r="555" spans="1:7">
      <c r="A555">
        <v>401</v>
      </c>
      <c r="B555">
        <v>2018</v>
      </c>
      <c r="C555" t="s">
        <v>402</v>
      </c>
      <c r="D555" t="s">
        <v>93</v>
      </c>
      <c r="E555" t="s">
        <v>362</v>
      </c>
      <c r="F555" s="267" t="s">
        <v>403</v>
      </c>
      <c r="G555" s="267" t="s">
        <v>2183</v>
      </c>
    </row>
    <row r="556" spans="1:7">
      <c r="A556">
        <v>402</v>
      </c>
      <c r="B556">
        <v>2018</v>
      </c>
      <c r="C556" t="s">
        <v>404</v>
      </c>
      <c r="D556" t="s">
        <v>93</v>
      </c>
      <c r="E556" t="s">
        <v>362</v>
      </c>
      <c r="F556" s="267" t="s">
        <v>405</v>
      </c>
      <c r="G556" s="267" t="s">
        <v>2184</v>
      </c>
    </row>
    <row r="557" spans="1:7">
      <c r="A557">
        <v>403</v>
      </c>
      <c r="B557">
        <v>2018</v>
      </c>
      <c r="C557" t="s">
        <v>406</v>
      </c>
      <c r="D557" t="s">
        <v>93</v>
      </c>
      <c r="E557" t="s">
        <v>362</v>
      </c>
      <c r="F557" s="267" t="s">
        <v>407</v>
      </c>
      <c r="G557" s="267" t="s">
        <v>2185</v>
      </c>
    </row>
    <row r="558" spans="1:7">
      <c r="A558">
        <v>404</v>
      </c>
      <c r="B558">
        <v>2018</v>
      </c>
      <c r="C558" t="s">
        <v>408</v>
      </c>
      <c r="D558" t="s">
        <v>93</v>
      </c>
      <c r="E558" t="s">
        <v>362</v>
      </c>
      <c r="F558" s="267" t="s">
        <v>409</v>
      </c>
      <c r="G558" s="267" t="s">
        <v>2186</v>
      </c>
    </row>
    <row r="559" spans="1:7">
      <c r="A559">
        <v>405</v>
      </c>
      <c r="B559">
        <v>2018</v>
      </c>
      <c r="C559" t="s">
        <v>410</v>
      </c>
      <c r="D559" t="s">
        <v>93</v>
      </c>
      <c r="E559" t="s">
        <v>362</v>
      </c>
      <c r="F559" s="267" t="s">
        <v>411</v>
      </c>
      <c r="G559" s="267" t="s">
        <v>2187</v>
      </c>
    </row>
    <row r="560" spans="1:7">
      <c r="A560">
        <v>451</v>
      </c>
      <c r="B560">
        <v>2018</v>
      </c>
      <c r="C560" t="s">
        <v>118</v>
      </c>
      <c r="D560" t="s">
        <v>93</v>
      </c>
      <c r="E560" t="s">
        <v>362</v>
      </c>
      <c r="F560" s="267" t="s">
        <v>412</v>
      </c>
      <c r="G560" s="267" t="s">
        <v>2188</v>
      </c>
    </row>
    <row r="561" spans="1:7">
      <c r="A561">
        <v>452</v>
      </c>
      <c r="B561">
        <v>2018</v>
      </c>
      <c r="C561" t="s">
        <v>119</v>
      </c>
      <c r="D561" t="s">
        <v>93</v>
      </c>
      <c r="E561" t="s">
        <v>362</v>
      </c>
      <c r="F561" s="267" t="s">
        <v>413</v>
      </c>
      <c r="G561" s="267" t="s">
        <v>2189</v>
      </c>
    </row>
    <row r="562" spans="1:7">
      <c r="A562">
        <v>453</v>
      </c>
      <c r="B562">
        <v>2018</v>
      </c>
      <c r="C562" t="s">
        <v>120</v>
      </c>
      <c r="D562" t="s">
        <v>93</v>
      </c>
      <c r="E562" t="s">
        <v>362</v>
      </c>
      <c r="F562" s="267" t="s">
        <v>414</v>
      </c>
      <c r="G562" s="267" t="s">
        <v>2190</v>
      </c>
    </row>
    <row r="563" spans="1:7">
      <c r="A563">
        <v>454</v>
      </c>
      <c r="B563">
        <v>2018</v>
      </c>
      <c r="C563" t="s">
        <v>121</v>
      </c>
      <c r="D563" t="s">
        <v>93</v>
      </c>
      <c r="E563" t="s">
        <v>362</v>
      </c>
      <c r="F563" s="267" t="s">
        <v>415</v>
      </c>
      <c r="G563" s="267" t="s">
        <v>2191</v>
      </c>
    </row>
    <row r="564" spans="1:7">
      <c r="A564">
        <v>455</v>
      </c>
      <c r="B564">
        <v>2018</v>
      </c>
      <c r="C564" t="s">
        <v>122</v>
      </c>
      <c r="D564" t="s">
        <v>93</v>
      </c>
      <c r="E564" t="s">
        <v>362</v>
      </c>
      <c r="F564" s="267" t="s">
        <v>416</v>
      </c>
      <c r="G564" s="267" t="s">
        <v>2192</v>
      </c>
    </row>
    <row r="565" spans="1:7">
      <c r="A565">
        <v>456</v>
      </c>
      <c r="B565">
        <v>2018</v>
      </c>
      <c r="C565" t="s">
        <v>123</v>
      </c>
      <c r="D565" t="s">
        <v>93</v>
      </c>
      <c r="E565" t="s">
        <v>362</v>
      </c>
      <c r="F565" s="267" t="s">
        <v>417</v>
      </c>
      <c r="G565" s="267" t="s">
        <v>2193</v>
      </c>
    </row>
    <row r="566" spans="1:7">
      <c r="A566">
        <v>457</v>
      </c>
      <c r="B566">
        <v>2018</v>
      </c>
      <c r="C566" t="s">
        <v>124</v>
      </c>
      <c r="D566" t="s">
        <v>93</v>
      </c>
      <c r="E566" t="s">
        <v>362</v>
      </c>
      <c r="F566" s="267" t="s">
        <v>418</v>
      </c>
      <c r="G566" s="267" t="s">
        <v>2194</v>
      </c>
    </row>
    <row r="567" spans="1:7">
      <c r="A567">
        <v>458</v>
      </c>
      <c r="B567">
        <v>2018</v>
      </c>
      <c r="C567" t="s">
        <v>125</v>
      </c>
      <c r="D567" t="s">
        <v>93</v>
      </c>
      <c r="E567" t="s">
        <v>362</v>
      </c>
      <c r="F567" s="267" t="s">
        <v>419</v>
      </c>
      <c r="G567" s="267" t="s">
        <v>2195</v>
      </c>
    </row>
    <row r="568" spans="1:7">
      <c r="A568">
        <v>459</v>
      </c>
      <c r="B568">
        <v>2018</v>
      </c>
      <c r="C568" t="s">
        <v>126</v>
      </c>
      <c r="D568" t="s">
        <v>93</v>
      </c>
      <c r="E568" t="s">
        <v>362</v>
      </c>
      <c r="F568" s="267" t="s">
        <v>420</v>
      </c>
      <c r="G568" s="267" t="s">
        <v>2196</v>
      </c>
    </row>
    <row r="569" spans="1:7">
      <c r="A569">
        <v>460</v>
      </c>
      <c r="B569">
        <v>2018</v>
      </c>
      <c r="C569" t="s">
        <v>127</v>
      </c>
      <c r="D569" t="s">
        <v>93</v>
      </c>
      <c r="E569" t="s">
        <v>362</v>
      </c>
      <c r="F569" s="267" t="s">
        <v>421</v>
      </c>
      <c r="G569" s="267" t="s">
        <v>2197</v>
      </c>
    </row>
    <row r="570" spans="1:7">
      <c r="A570">
        <v>461</v>
      </c>
      <c r="B570">
        <v>2018</v>
      </c>
      <c r="C570" t="s">
        <v>128</v>
      </c>
      <c r="D570" t="s">
        <v>93</v>
      </c>
      <c r="E570" t="s">
        <v>362</v>
      </c>
      <c r="F570" s="267" t="s">
        <v>422</v>
      </c>
      <c r="G570" s="267" t="s">
        <v>2198</v>
      </c>
    </row>
    <row r="571" spans="1:7">
      <c r="A571">
        <v>462</v>
      </c>
      <c r="B571">
        <v>2018</v>
      </c>
      <c r="C571" t="s">
        <v>129</v>
      </c>
      <c r="D571" t="s">
        <v>93</v>
      </c>
      <c r="E571" t="s">
        <v>362</v>
      </c>
      <c r="F571" s="267" t="s">
        <v>423</v>
      </c>
      <c r="G571" s="267" t="s">
        <v>2199</v>
      </c>
    </row>
    <row r="572" spans="1:7">
      <c r="A572">
        <v>4</v>
      </c>
      <c r="B572">
        <v>2018</v>
      </c>
      <c r="C572" t="s">
        <v>157</v>
      </c>
      <c r="D572" t="s">
        <v>93</v>
      </c>
      <c r="E572" t="s">
        <v>362</v>
      </c>
      <c r="F572" s="267" t="s">
        <v>424</v>
      </c>
      <c r="G572" s="267" t="s">
        <v>2200</v>
      </c>
    </row>
    <row r="573" spans="1:7">
      <c r="A573">
        <v>0</v>
      </c>
      <c r="B573">
        <v>2018</v>
      </c>
      <c r="C573" t="s">
        <v>130</v>
      </c>
      <c r="D573" t="s">
        <v>93</v>
      </c>
      <c r="E573" t="s">
        <v>362</v>
      </c>
      <c r="F573" s="267" t="s">
        <v>425</v>
      </c>
      <c r="G573" s="267" t="s">
        <v>2201</v>
      </c>
    </row>
    <row r="574" spans="1:7">
      <c r="A574">
        <v>101</v>
      </c>
      <c r="B574">
        <v>2018</v>
      </c>
      <c r="C574" t="s">
        <v>363</v>
      </c>
      <c r="D574" t="s">
        <v>131</v>
      </c>
      <c r="E574" t="s">
        <v>362</v>
      </c>
      <c r="F574" s="267" t="s">
        <v>364</v>
      </c>
      <c r="G574" s="267" t="s">
        <v>2202</v>
      </c>
    </row>
    <row r="575" spans="1:7">
      <c r="A575">
        <v>102</v>
      </c>
      <c r="B575">
        <v>2018</v>
      </c>
      <c r="C575" t="s">
        <v>365</v>
      </c>
      <c r="D575" t="s">
        <v>131</v>
      </c>
      <c r="E575" t="s">
        <v>362</v>
      </c>
      <c r="F575" s="267" t="s">
        <v>366</v>
      </c>
      <c r="G575" s="267" t="s">
        <v>2203</v>
      </c>
    </row>
    <row r="576" spans="1:7">
      <c r="A576">
        <v>103</v>
      </c>
      <c r="B576">
        <v>2018</v>
      </c>
      <c r="C576" t="s">
        <v>367</v>
      </c>
      <c r="D576" t="s">
        <v>131</v>
      </c>
      <c r="E576" t="s">
        <v>362</v>
      </c>
      <c r="F576" s="267" t="s">
        <v>368</v>
      </c>
      <c r="G576" s="267" t="s">
        <v>2204</v>
      </c>
    </row>
    <row r="577" spans="1:7">
      <c r="A577">
        <v>151</v>
      </c>
      <c r="B577">
        <v>2018</v>
      </c>
      <c r="C577" t="s">
        <v>94</v>
      </c>
      <c r="D577" t="s">
        <v>131</v>
      </c>
      <c r="E577" t="s">
        <v>362</v>
      </c>
      <c r="F577" s="267" t="s">
        <v>369</v>
      </c>
      <c r="G577" s="267" t="s">
        <v>2205</v>
      </c>
    </row>
    <row r="578" spans="1:7">
      <c r="A578">
        <v>153</v>
      </c>
      <c r="B578">
        <v>2018</v>
      </c>
      <c r="C578" t="s">
        <v>96</v>
      </c>
      <c r="D578" t="s">
        <v>131</v>
      </c>
      <c r="E578" t="s">
        <v>362</v>
      </c>
      <c r="F578" s="267" t="s">
        <v>370</v>
      </c>
      <c r="G578" s="267" t="s">
        <v>2206</v>
      </c>
    </row>
    <row r="579" spans="1:7">
      <c r="A579">
        <v>154</v>
      </c>
      <c r="B579">
        <v>2018</v>
      </c>
      <c r="C579" t="s">
        <v>97</v>
      </c>
      <c r="D579" t="s">
        <v>131</v>
      </c>
      <c r="E579" t="s">
        <v>362</v>
      </c>
      <c r="F579" s="267" t="s">
        <v>371</v>
      </c>
      <c r="G579" s="267" t="s">
        <v>2207</v>
      </c>
    </row>
    <row r="580" spans="1:7">
      <c r="A580">
        <v>155</v>
      </c>
      <c r="B580">
        <v>2018</v>
      </c>
      <c r="C580" t="s">
        <v>98</v>
      </c>
      <c r="D580" t="s">
        <v>131</v>
      </c>
      <c r="E580" t="s">
        <v>362</v>
      </c>
      <c r="F580" s="267" t="s">
        <v>372</v>
      </c>
      <c r="G580" s="267" t="s">
        <v>2208</v>
      </c>
    </row>
    <row r="581" spans="1:7">
      <c r="A581">
        <v>157</v>
      </c>
      <c r="B581">
        <v>2018</v>
      </c>
      <c r="C581" t="s">
        <v>99</v>
      </c>
      <c r="D581" t="s">
        <v>131</v>
      </c>
      <c r="E581" t="s">
        <v>362</v>
      </c>
      <c r="F581" s="267" t="s">
        <v>373</v>
      </c>
      <c r="G581" s="267" t="s">
        <v>2209</v>
      </c>
    </row>
    <row r="582" spans="1:7">
      <c r="A582">
        <v>158</v>
      </c>
      <c r="B582">
        <v>2018</v>
      </c>
      <c r="C582" t="s">
        <v>100</v>
      </c>
      <c r="D582" t="s">
        <v>131</v>
      </c>
      <c r="E582" t="s">
        <v>362</v>
      </c>
      <c r="F582" s="267" t="s">
        <v>374</v>
      </c>
      <c r="G582" s="267" t="s">
        <v>2210</v>
      </c>
    </row>
    <row r="583" spans="1:7">
      <c r="A583">
        <v>159</v>
      </c>
      <c r="B583">
        <v>2018</v>
      </c>
      <c r="C583" t="s">
        <v>95</v>
      </c>
      <c r="D583" t="s">
        <v>131</v>
      </c>
      <c r="E583" t="s">
        <v>362</v>
      </c>
      <c r="F583" s="267" t="s">
        <v>375</v>
      </c>
      <c r="G583" s="267" t="s">
        <v>2211</v>
      </c>
    </row>
    <row r="584" spans="1:7">
      <c r="A584">
        <v>1</v>
      </c>
      <c r="B584">
        <v>2018</v>
      </c>
      <c r="C584" t="s">
        <v>154</v>
      </c>
      <c r="D584" t="s">
        <v>131</v>
      </c>
      <c r="E584" t="s">
        <v>362</v>
      </c>
      <c r="F584" s="267" t="s">
        <v>376</v>
      </c>
      <c r="G584" s="267" t="s">
        <v>2212</v>
      </c>
    </row>
    <row r="585" spans="1:7">
      <c r="A585">
        <v>241</v>
      </c>
      <c r="B585">
        <v>2018</v>
      </c>
      <c r="C585" t="s">
        <v>377</v>
      </c>
      <c r="D585" t="s">
        <v>131</v>
      </c>
      <c r="E585" t="s">
        <v>362</v>
      </c>
      <c r="F585" s="267" t="s">
        <v>378</v>
      </c>
      <c r="G585" s="267" t="s">
        <v>2213</v>
      </c>
    </row>
    <row r="586" spans="1:7">
      <c r="A586">
        <v>241001</v>
      </c>
      <c r="B586">
        <v>2018</v>
      </c>
      <c r="C586" t="s">
        <v>379</v>
      </c>
      <c r="D586" t="s">
        <v>131</v>
      </c>
      <c r="E586" t="s">
        <v>362</v>
      </c>
      <c r="F586" s="267" t="s">
        <v>380</v>
      </c>
      <c r="G586" s="267" t="s">
        <v>2214</v>
      </c>
    </row>
    <row r="587" spans="1:7">
      <c r="A587">
        <v>241999</v>
      </c>
      <c r="B587">
        <v>2018</v>
      </c>
      <c r="C587" t="s">
        <v>381</v>
      </c>
      <c r="D587" t="s">
        <v>131</v>
      </c>
      <c r="E587" t="s">
        <v>362</v>
      </c>
      <c r="F587" s="267" t="s">
        <v>382</v>
      </c>
      <c r="G587" s="267" t="s">
        <v>2215</v>
      </c>
    </row>
    <row r="588" spans="1:7">
      <c r="A588">
        <v>251</v>
      </c>
      <c r="B588">
        <v>2018</v>
      </c>
      <c r="C588" t="s">
        <v>101</v>
      </c>
      <c r="D588" t="s">
        <v>131</v>
      </c>
      <c r="E588" t="s">
        <v>362</v>
      </c>
      <c r="F588" s="267" t="s">
        <v>383</v>
      </c>
      <c r="G588" s="267" t="s">
        <v>2216</v>
      </c>
    </row>
    <row r="589" spans="1:7">
      <c r="A589">
        <v>252</v>
      </c>
      <c r="B589">
        <v>2018</v>
      </c>
      <c r="C589" t="s">
        <v>102</v>
      </c>
      <c r="D589" t="s">
        <v>131</v>
      </c>
      <c r="E589" t="s">
        <v>362</v>
      </c>
      <c r="F589" s="267" t="s">
        <v>384</v>
      </c>
      <c r="G589" s="267" t="s">
        <v>2217</v>
      </c>
    </row>
    <row r="590" spans="1:7">
      <c r="A590">
        <v>254</v>
      </c>
      <c r="B590">
        <v>2018</v>
      </c>
      <c r="C590" t="s">
        <v>103</v>
      </c>
      <c r="D590" t="s">
        <v>131</v>
      </c>
      <c r="E590" t="s">
        <v>362</v>
      </c>
      <c r="F590" s="267" t="s">
        <v>385</v>
      </c>
      <c r="G590" s="267" t="s">
        <v>2218</v>
      </c>
    </row>
    <row r="591" spans="1:7">
      <c r="A591">
        <v>255</v>
      </c>
      <c r="B591">
        <v>2018</v>
      </c>
      <c r="C591" t="s">
        <v>104</v>
      </c>
      <c r="D591" t="s">
        <v>131</v>
      </c>
      <c r="E591" t="s">
        <v>362</v>
      </c>
      <c r="F591" s="267" t="s">
        <v>386</v>
      </c>
      <c r="G591" s="267" t="s">
        <v>2219</v>
      </c>
    </row>
    <row r="592" spans="1:7">
      <c r="A592">
        <v>256</v>
      </c>
      <c r="B592">
        <v>2018</v>
      </c>
      <c r="C592" t="s">
        <v>105</v>
      </c>
      <c r="D592" t="s">
        <v>131</v>
      </c>
      <c r="E592" t="s">
        <v>362</v>
      </c>
      <c r="F592" s="267" t="s">
        <v>387</v>
      </c>
      <c r="G592" s="267" t="s">
        <v>2220</v>
      </c>
    </row>
    <row r="593" spans="1:7">
      <c r="A593">
        <v>257</v>
      </c>
      <c r="B593">
        <v>2018</v>
      </c>
      <c r="C593" t="s">
        <v>106</v>
      </c>
      <c r="D593" t="s">
        <v>131</v>
      </c>
      <c r="E593" t="s">
        <v>362</v>
      </c>
      <c r="F593" s="267" t="s">
        <v>388</v>
      </c>
      <c r="G593" s="267" t="s">
        <v>2221</v>
      </c>
    </row>
    <row r="594" spans="1:7">
      <c r="A594">
        <v>2</v>
      </c>
      <c r="B594">
        <v>2018</v>
      </c>
      <c r="C594" t="s">
        <v>155</v>
      </c>
      <c r="D594" t="s">
        <v>131</v>
      </c>
      <c r="E594" t="s">
        <v>362</v>
      </c>
      <c r="F594" s="267" t="s">
        <v>389</v>
      </c>
      <c r="G594" s="267" t="s">
        <v>2222</v>
      </c>
    </row>
    <row r="595" spans="1:7">
      <c r="A595">
        <v>351</v>
      </c>
      <c r="B595">
        <v>2018</v>
      </c>
      <c r="C595" t="s">
        <v>107</v>
      </c>
      <c r="D595" t="s">
        <v>131</v>
      </c>
      <c r="E595" t="s">
        <v>362</v>
      </c>
      <c r="F595" s="267" t="s">
        <v>390</v>
      </c>
      <c r="G595" s="267" t="s">
        <v>2223</v>
      </c>
    </row>
    <row r="596" spans="1:7">
      <c r="A596">
        <v>352</v>
      </c>
      <c r="B596">
        <v>2018</v>
      </c>
      <c r="C596" t="s">
        <v>108</v>
      </c>
      <c r="D596" t="s">
        <v>131</v>
      </c>
      <c r="E596" t="s">
        <v>362</v>
      </c>
      <c r="F596" s="267" t="s">
        <v>391</v>
      </c>
      <c r="G596" s="267" t="s">
        <v>2224</v>
      </c>
    </row>
    <row r="597" spans="1:7">
      <c r="A597">
        <v>353</v>
      </c>
      <c r="B597">
        <v>2018</v>
      </c>
      <c r="C597" t="s">
        <v>109</v>
      </c>
      <c r="D597" t="s">
        <v>131</v>
      </c>
      <c r="E597" t="s">
        <v>362</v>
      </c>
      <c r="F597" s="267" t="s">
        <v>392</v>
      </c>
      <c r="G597" s="267" t="s">
        <v>2225</v>
      </c>
    </row>
    <row r="598" spans="1:7">
      <c r="A598">
        <v>354</v>
      </c>
      <c r="B598">
        <v>2018</v>
      </c>
      <c r="C598" t="s">
        <v>110</v>
      </c>
      <c r="D598" t="s">
        <v>131</v>
      </c>
      <c r="E598" t="s">
        <v>362</v>
      </c>
      <c r="F598" s="267" t="s">
        <v>393</v>
      </c>
      <c r="G598" s="267" t="s">
        <v>2226</v>
      </c>
    </row>
    <row r="599" spans="1:7">
      <c r="A599">
        <v>355</v>
      </c>
      <c r="B599">
        <v>2018</v>
      </c>
      <c r="C599" t="s">
        <v>111</v>
      </c>
      <c r="D599" t="s">
        <v>131</v>
      </c>
      <c r="E599" t="s">
        <v>362</v>
      </c>
      <c r="F599" s="267" t="s">
        <v>394</v>
      </c>
      <c r="G599" s="267" t="s">
        <v>2227</v>
      </c>
    </row>
    <row r="600" spans="1:7">
      <c r="A600">
        <v>356</v>
      </c>
      <c r="B600">
        <v>2018</v>
      </c>
      <c r="C600" t="s">
        <v>112</v>
      </c>
      <c r="D600" t="s">
        <v>131</v>
      </c>
      <c r="E600" t="s">
        <v>362</v>
      </c>
      <c r="F600" s="267" t="s">
        <v>395</v>
      </c>
      <c r="G600" s="267" t="s">
        <v>2228</v>
      </c>
    </row>
    <row r="601" spans="1:7">
      <c r="A601">
        <v>357</v>
      </c>
      <c r="B601">
        <v>2018</v>
      </c>
      <c r="C601" t="s">
        <v>113</v>
      </c>
      <c r="D601" t="s">
        <v>131</v>
      </c>
      <c r="E601" t="s">
        <v>362</v>
      </c>
      <c r="F601" s="267" t="s">
        <v>396</v>
      </c>
      <c r="G601" s="267" t="s">
        <v>2229</v>
      </c>
    </row>
    <row r="602" spans="1:7">
      <c r="A602">
        <v>358</v>
      </c>
      <c r="B602">
        <v>2018</v>
      </c>
      <c r="C602" t="s">
        <v>114</v>
      </c>
      <c r="D602" t="s">
        <v>131</v>
      </c>
      <c r="E602" t="s">
        <v>362</v>
      </c>
      <c r="F602" s="267" t="s">
        <v>397</v>
      </c>
      <c r="G602" s="267" t="s">
        <v>2230</v>
      </c>
    </row>
    <row r="603" spans="1:7">
      <c r="A603">
        <v>359</v>
      </c>
      <c r="B603">
        <v>2018</v>
      </c>
      <c r="C603" t="s">
        <v>115</v>
      </c>
      <c r="D603" t="s">
        <v>131</v>
      </c>
      <c r="E603" t="s">
        <v>362</v>
      </c>
      <c r="F603" s="267" t="s">
        <v>398</v>
      </c>
      <c r="G603" s="267" t="s">
        <v>2231</v>
      </c>
    </row>
    <row r="604" spans="1:7">
      <c r="A604">
        <v>360</v>
      </c>
      <c r="B604">
        <v>2018</v>
      </c>
      <c r="C604" t="s">
        <v>116</v>
      </c>
      <c r="D604" t="s">
        <v>131</v>
      </c>
      <c r="E604" t="s">
        <v>362</v>
      </c>
      <c r="F604" s="267" t="s">
        <v>399</v>
      </c>
      <c r="G604" s="267" t="s">
        <v>2232</v>
      </c>
    </row>
    <row r="605" spans="1:7">
      <c r="A605">
        <v>361</v>
      </c>
      <c r="B605">
        <v>2018</v>
      </c>
      <c r="C605" t="s">
        <v>117</v>
      </c>
      <c r="D605" t="s">
        <v>131</v>
      </c>
      <c r="E605" t="s">
        <v>362</v>
      </c>
      <c r="F605" s="267" t="s">
        <v>400</v>
      </c>
      <c r="G605" s="267" t="s">
        <v>2233</v>
      </c>
    </row>
    <row r="606" spans="1:7">
      <c r="A606">
        <v>3</v>
      </c>
      <c r="B606">
        <v>2018</v>
      </c>
      <c r="C606" t="s">
        <v>156</v>
      </c>
      <c r="D606" t="s">
        <v>131</v>
      </c>
      <c r="E606" t="s">
        <v>362</v>
      </c>
      <c r="F606" s="267" t="s">
        <v>401</v>
      </c>
      <c r="G606" s="267" t="s">
        <v>2234</v>
      </c>
    </row>
    <row r="607" spans="1:7">
      <c r="A607">
        <v>401</v>
      </c>
      <c r="B607">
        <v>2018</v>
      </c>
      <c r="C607" t="s">
        <v>402</v>
      </c>
      <c r="D607" t="s">
        <v>131</v>
      </c>
      <c r="E607" t="s">
        <v>362</v>
      </c>
      <c r="F607" s="267" t="s">
        <v>403</v>
      </c>
      <c r="G607" s="267" t="s">
        <v>2235</v>
      </c>
    </row>
    <row r="608" spans="1:7">
      <c r="A608">
        <v>402</v>
      </c>
      <c r="B608">
        <v>2018</v>
      </c>
      <c r="C608" t="s">
        <v>404</v>
      </c>
      <c r="D608" t="s">
        <v>131</v>
      </c>
      <c r="E608" t="s">
        <v>362</v>
      </c>
      <c r="F608" s="267" t="s">
        <v>405</v>
      </c>
      <c r="G608" s="267" t="s">
        <v>2236</v>
      </c>
    </row>
    <row r="609" spans="1:7">
      <c r="A609">
        <v>403</v>
      </c>
      <c r="B609">
        <v>2018</v>
      </c>
      <c r="C609" t="s">
        <v>406</v>
      </c>
      <c r="D609" t="s">
        <v>131</v>
      </c>
      <c r="E609" t="s">
        <v>362</v>
      </c>
      <c r="F609" s="267" t="s">
        <v>407</v>
      </c>
      <c r="G609" s="267" t="s">
        <v>2237</v>
      </c>
    </row>
    <row r="610" spans="1:7">
      <c r="A610">
        <v>404</v>
      </c>
      <c r="B610">
        <v>2018</v>
      </c>
      <c r="C610" t="s">
        <v>408</v>
      </c>
      <c r="D610" t="s">
        <v>131</v>
      </c>
      <c r="E610" t="s">
        <v>362</v>
      </c>
      <c r="F610" s="267" t="s">
        <v>409</v>
      </c>
      <c r="G610" s="267" t="s">
        <v>2238</v>
      </c>
    </row>
    <row r="611" spans="1:7">
      <c r="A611">
        <v>405</v>
      </c>
      <c r="B611">
        <v>2018</v>
      </c>
      <c r="C611" t="s">
        <v>410</v>
      </c>
      <c r="D611" t="s">
        <v>131</v>
      </c>
      <c r="E611" t="s">
        <v>362</v>
      </c>
      <c r="F611" s="267" t="s">
        <v>411</v>
      </c>
      <c r="G611" s="267" t="s">
        <v>2239</v>
      </c>
    </row>
    <row r="612" spans="1:7">
      <c r="A612">
        <v>451</v>
      </c>
      <c r="B612">
        <v>2018</v>
      </c>
      <c r="C612" t="s">
        <v>118</v>
      </c>
      <c r="D612" t="s">
        <v>131</v>
      </c>
      <c r="E612" t="s">
        <v>362</v>
      </c>
      <c r="F612" s="267" t="s">
        <v>412</v>
      </c>
      <c r="G612" s="267" t="s">
        <v>2240</v>
      </c>
    </row>
    <row r="613" spans="1:7">
      <c r="A613">
        <v>452</v>
      </c>
      <c r="B613">
        <v>2018</v>
      </c>
      <c r="C613" t="s">
        <v>119</v>
      </c>
      <c r="D613" t="s">
        <v>131</v>
      </c>
      <c r="E613" t="s">
        <v>362</v>
      </c>
      <c r="F613" s="267" t="s">
        <v>413</v>
      </c>
      <c r="G613" s="267" t="s">
        <v>2241</v>
      </c>
    </row>
    <row r="614" spans="1:7">
      <c r="A614">
        <v>453</v>
      </c>
      <c r="B614">
        <v>2018</v>
      </c>
      <c r="C614" t="s">
        <v>120</v>
      </c>
      <c r="D614" t="s">
        <v>131</v>
      </c>
      <c r="E614" t="s">
        <v>362</v>
      </c>
      <c r="F614" s="267" t="s">
        <v>414</v>
      </c>
      <c r="G614" s="267" t="s">
        <v>2242</v>
      </c>
    </row>
    <row r="615" spans="1:7">
      <c r="A615">
        <v>454</v>
      </c>
      <c r="B615">
        <v>2018</v>
      </c>
      <c r="C615" t="s">
        <v>121</v>
      </c>
      <c r="D615" t="s">
        <v>131</v>
      </c>
      <c r="E615" t="s">
        <v>362</v>
      </c>
      <c r="F615" s="267" t="s">
        <v>415</v>
      </c>
      <c r="G615" s="267" t="s">
        <v>2243</v>
      </c>
    </row>
    <row r="616" spans="1:7">
      <c r="A616">
        <v>455</v>
      </c>
      <c r="B616">
        <v>2018</v>
      </c>
      <c r="C616" t="s">
        <v>122</v>
      </c>
      <c r="D616" t="s">
        <v>131</v>
      </c>
      <c r="E616" t="s">
        <v>362</v>
      </c>
      <c r="F616" s="267" t="s">
        <v>416</v>
      </c>
      <c r="G616" s="267" t="s">
        <v>2244</v>
      </c>
    </row>
    <row r="617" spans="1:7">
      <c r="A617">
        <v>456</v>
      </c>
      <c r="B617">
        <v>2018</v>
      </c>
      <c r="C617" t="s">
        <v>123</v>
      </c>
      <c r="D617" t="s">
        <v>131</v>
      </c>
      <c r="E617" t="s">
        <v>362</v>
      </c>
      <c r="F617" s="267" t="s">
        <v>417</v>
      </c>
      <c r="G617" s="267" t="s">
        <v>2245</v>
      </c>
    </row>
    <row r="618" spans="1:7">
      <c r="A618">
        <v>457</v>
      </c>
      <c r="B618">
        <v>2018</v>
      </c>
      <c r="C618" t="s">
        <v>124</v>
      </c>
      <c r="D618" t="s">
        <v>131</v>
      </c>
      <c r="E618" t="s">
        <v>362</v>
      </c>
      <c r="F618" s="267" t="s">
        <v>418</v>
      </c>
      <c r="G618" s="267" t="s">
        <v>2246</v>
      </c>
    </row>
    <row r="619" spans="1:7">
      <c r="A619">
        <v>458</v>
      </c>
      <c r="B619">
        <v>2018</v>
      </c>
      <c r="C619" t="s">
        <v>125</v>
      </c>
      <c r="D619" t="s">
        <v>131</v>
      </c>
      <c r="E619" t="s">
        <v>362</v>
      </c>
      <c r="F619" s="267" t="s">
        <v>419</v>
      </c>
      <c r="G619" s="267" t="s">
        <v>2247</v>
      </c>
    </row>
    <row r="620" spans="1:7">
      <c r="A620">
        <v>459</v>
      </c>
      <c r="B620">
        <v>2018</v>
      </c>
      <c r="C620" t="s">
        <v>126</v>
      </c>
      <c r="D620" t="s">
        <v>131</v>
      </c>
      <c r="E620" t="s">
        <v>362</v>
      </c>
      <c r="F620" s="267" t="s">
        <v>420</v>
      </c>
      <c r="G620" s="267" t="s">
        <v>2248</v>
      </c>
    </row>
    <row r="621" spans="1:7">
      <c r="A621">
        <v>460</v>
      </c>
      <c r="B621">
        <v>2018</v>
      </c>
      <c r="C621" t="s">
        <v>127</v>
      </c>
      <c r="D621" t="s">
        <v>131</v>
      </c>
      <c r="E621" t="s">
        <v>362</v>
      </c>
      <c r="F621" s="267" t="s">
        <v>421</v>
      </c>
      <c r="G621" s="267" t="s">
        <v>2249</v>
      </c>
    </row>
    <row r="622" spans="1:7">
      <c r="A622">
        <v>461</v>
      </c>
      <c r="B622">
        <v>2018</v>
      </c>
      <c r="C622" t="s">
        <v>128</v>
      </c>
      <c r="D622" t="s">
        <v>131</v>
      </c>
      <c r="E622" t="s">
        <v>362</v>
      </c>
      <c r="F622" s="267" t="s">
        <v>422</v>
      </c>
      <c r="G622" s="267" t="s">
        <v>2250</v>
      </c>
    </row>
    <row r="623" spans="1:7">
      <c r="A623">
        <v>462</v>
      </c>
      <c r="B623">
        <v>2018</v>
      </c>
      <c r="C623" t="s">
        <v>129</v>
      </c>
      <c r="D623" t="s">
        <v>131</v>
      </c>
      <c r="E623" t="s">
        <v>362</v>
      </c>
      <c r="F623" s="267" t="s">
        <v>423</v>
      </c>
      <c r="G623" s="267" t="s">
        <v>2251</v>
      </c>
    </row>
    <row r="624" spans="1:7">
      <c r="A624">
        <v>4</v>
      </c>
      <c r="B624">
        <v>2018</v>
      </c>
      <c r="C624" t="s">
        <v>157</v>
      </c>
      <c r="D624" t="s">
        <v>131</v>
      </c>
      <c r="E624" t="s">
        <v>362</v>
      </c>
      <c r="F624" s="267" t="s">
        <v>424</v>
      </c>
      <c r="G624" s="267" t="s">
        <v>2252</v>
      </c>
    </row>
    <row r="625" spans="1:7">
      <c r="A625">
        <v>0</v>
      </c>
      <c r="B625">
        <v>2018</v>
      </c>
      <c r="C625" t="s">
        <v>130</v>
      </c>
      <c r="D625" t="s">
        <v>131</v>
      </c>
      <c r="E625" t="s">
        <v>362</v>
      </c>
      <c r="F625" s="267" t="s">
        <v>425</v>
      </c>
      <c r="G625" s="267" t="s">
        <v>2253</v>
      </c>
    </row>
    <row r="626" spans="1:7">
      <c r="A626">
        <v>101</v>
      </c>
      <c r="B626">
        <v>2017</v>
      </c>
      <c r="C626" t="s">
        <v>363</v>
      </c>
      <c r="D626" t="s">
        <v>91</v>
      </c>
      <c r="E626" t="s">
        <v>362</v>
      </c>
      <c r="F626" s="267" t="s">
        <v>364</v>
      </c>
      <c r="G626" s="267" t="s">
        <v>2358</v>
      </c>
    </row>
    <row r="627" spans="1:7">
      <c r="A627">
        <v>102</v>
      </c>
      <c r="B627">
        <v>2017</v>
      </c>
      <c r="C627" t="s">
        <v>365</v>
      </c>
      <c r="D627" t="s">
        <v>91</v>
      </c>
      <c r="E627" t="s">
        <v>362</v>
      </c>
      <c r="F627" s="267" t="s">
        <v>366</v>
      </c>
      <c r="G627" s="267" t="s">
        <v>2359</v>
      </c>
    </row>
    <row r="628" spans="1:7">
      <c r="A628">
        <v>103</v>
      </c>
      <c r="B628">
        <v>2017</v>
      </c>
      <c r="C628" t="s">
        <v>367</v>
      </c>
      <c r="D628" t="s">
        <v>91</v>
      </c>
      <c r="E628" t="s">
        <v>362</v>
      </c>
      <c r="F628" s="267" t="s">
        <v>368</v>
      </c>
      <c r="G628" s="267" t="s">
        <v>2360</v>
      </c>
    </row>
    <row r="629" spans="1:7">
      <c r="A629">
        <v>151</v>
      </c>
      <c r="B629">
        <v>2017</v>
      </c>
      <c r="C629" t="s">
        <v>94</v>
      </c>
      <c r="D629" t="s">
        <v>91</v>
      </c>
      <c r="E629" t="s">
        <v>362</v>
      </c>
      <c r="F629" s="267" t="s">
        <v>369</v>
      </c>
      <c r="G629" s="267" t="s">
        <v>2361</v>
      </c>
    </row>
    <row r="630" spans="1:7">
      <c r="A630">
        <v>153</v>
      </c>
      <c r="B630">
        <v>2017</v>
      </c>
      <c r="C630" t="s">
        <v>96</v>
      </c>
      <c r="D630" t="s">
        <v>91</v>
      </c>
      <c r="E630" t="s">
        <v>362</v>
      </c>
      <c r="F630" s="267" t="s">
        <v>370</v>
      </c>
      <c r="G630" s="267" t="s">
        <v>2362</v>
      </c>
    </row>
    <row r="631" spans="1:7">
      <c r="A631">
        <v>154</v>
      </c>
      <c r="B631">
        <v>2017</v>
      </c>
      <c r="C631" t="s">
        <v>97</v>
      </c>
      <c r="D631" t="s">
        <v>91</v>
      </c>
      <c r="E631" t="s">
        <v>362</v>
      </c>
      <c r="F631" s="267" t="s">
        <v>371</v>
      </c>
      <c r="G631" s="267" t="s">
        <v>2363</v>
      </c>
    </row>
    <row r="632" spans="1:7">
      <c r="A632">
        <v>155</v>
      </c>
      <c r="B632">
        <v>2017</v>
      </c>
      <c r="C632" t="s">
        <v>98</v>
      </c>
      <c r="D632" t="s">
        <v>91</v>
      </c>
      <c r="E632" t="s">
        <v>362</v>
      </c>
      <c r="F632" s="267" t="s">
        <v>372</v>
      </c>
      <c r="G632" s="267" t="s">
        <v>2364</v>
      </c>
    </row>
    <row r="633" spans="1:7">
      <c r="A633">
        <v>157</v>
      </c>
      <c r="B633">
        <v>2017</v>
      </c>
      <c r="C633" t="s">
        <v>99</v>
      </c>
      <c r="D633" t="s">
        <v>91</v>
      </c>
      <c r="E633" t="s">
        <v>362</v>
      </c>
      <c r="F633" s="267" t="s">
        <v>373</v>
      </c>
      <c r="G633" s="267" t="s">
        <v>2365</v>
      </c>
    </row>
    <row r="634" spans="1:7">
      <c r="A634">
        <v>158</v>
      </c>
      <c r="B634">
        <v>2017</v>
      </c>
      <c r="C634" t="s">
        <v>100</v>
      </c>
      <c r="D634" t="s">
        <v>91</v>
      </c>
      <c r="E634" t="s">
        <v>362</v>
      </c>
      <c r="F634" s="267" t="s">
        <v>374</v>
      </c>
      <c r="G634" s="267" t="s">
        <v>2366</v>
      </c>
    </row>
    <row r="635" spans="1:7">
      <c r="A635">
        <v>159</v>
      </c>
      <c r="B635">
        <v>2017</v>
      </c>
      <c r="C635" t="s">
        <v>95</v>
      </c>
      <c r="D635" t="s">
        <v>91</v>
      </c>
      <c r="E635" t="s">
        <v>362</v>
      </c>
      <c r="F635" s="267" t="s">
        <v>375</v>
      </c>
      <c r="G635" s="267" t="s">
        <v>2367</v>
      </c>
    </row>
    <row r="636" spans="1:7">
      <c r="A636">
        <v>1</v>
      </c>
      <c r="B636">
        <v>2017</v>
      </c>
      <c r="C636" t="s">
        <v>154</v>
      </c>
      <c r="D636" t="s">
        <v>91</v>
      </c>
      <c r="E636" t="s">
        <v>362</v>
      </c>
      <c r="F636" s="267" t="s">
        <v>376</v>
      </c>
      <c r="G636" s="267" t="s">
        <v>2368</v>
      </c>
    </row>
    <row r="637" spans="1:7">
      <c r="A637">
        <v>241</v>
      </c>
      <c r="B637">
        <v>2017</v>
      </c>
      <c r="C637" t="s">
        <v>377</v>
      </c>
      <c r="D637" t="s">
        <v>91</v>
      </c>
      <c r="E637" t="s">
        <v>362</v>
      </c>
      <c r="F637" s="267" t="s">
        <v>378</v>
      </c>
      <c r="G637" s="267" t="s">
        <v>2369</v>
      </c>
    </row>
    <row r="638" spans="1:7">
      <c r="A638">
        <v>241001</v>
      </c>
      <c r="B638">
        <v>2017</v>
      </c>
      <c r="C638" t="s">
        <v>379</v>
      </c>
      <c r="D638" t="s">
        <v>91</v>
      </c>
      <c r="E638" t="s">
        <v>362</v>
      </c>
      <c r="F638" s="267" t="s">
        <v>380</v>
      </c>
      <c r="G638" s="267" t="s">
        <v>2370</v>
      </c>
    </row>
    <row r="639" spans="1:7">
      <c r="A639">
        <v>241999</v>
      </c>
      <c r="B639">
        <v>2017</v>
      </c>
      <c r="C639" t="s">
        <v>381</v>
      </c>
      <c r="D639" t="s">
        <v>91</v>
      </c>
      <c r="E639" t="s">
        <v>362</v>
      </c>
      <c r="F639" s="267" t="s">
        <v>382</v>
      </c>
      <c r="G639" s="267" t="s">
        <v>2371</v>
      </c>
    </row>
    <row r="640" spans="1:7">
      <c r="A640">
        <v>251</v>
      </c>
      <c r="B640">
        <v>2017</v>
      </c>
      <c r="C640" t="s">
        <v>101</v>
      </c>
      <c r="D640" t="s">
        <v>91</v>
      </c>
      <c r="E640" t="s">
        <v>362</v>
      </c>
      <c r="F640" s="267" t="s">
        <v>383</v>
      </c>
      <c r="G640" s="267" t="s">
        <v>2372</v>
      </c>
    </row>
    <row r="641" spans="1:7">
      <c r="A641">
        <v>252</v>
      </c>
      <c r="B641">
        <v>2017</v>
      </c>
      <c r="C641" t="s">
        <v>102</v>
      </c>
      <c r="D641" t="s">
        <v>91</v>
      </c>
      <c r="E641" t="s">
        <v>362</v>
      </c>
      <c r="F641" s="267" t="s">
        <v>384</v>
      </c>
      <c r="G641" s="267" t="s">
        <v>2373</v>
      </c>
    </row>
    <row r="642" spans="1:7">
      <c r="A642">
        <v>254</v>
      </c>
      <c r="B642">
        <v>2017</v>
      </c>
      <c r="C642" t="s">
        <v>103</v>
      </c>
      <c r="D642" t="s">
        <v>91</v>
      </c>
      <c r="E642" t="s">
        <v>362</v>
      </c>
      <c r="F642" s="267" t="s">
        <v>385</v>
      </c>
      <c r="G642" s="267" t="s">
        <v>2374</v>
      </c>
    </row>
    <row r="643" spans="1:7">
      <c r="A643">
        <v>255</v>
      </c>
      <c r="B643">
        <v>2017</v>
      </c>
      <c r="C643" t="s">
        <v>104</v>
      </c>
      <c r="D643" t="s">
        <v>91</v>
      </c>
      <c r="E643" t="s">
        <v>362</v>
      </c>
      <c r="F643" s="267" t="s">
        <v>386</v>
      </c>
      <c r="G643" s="267" t="s">
        <v>2375</v>
      </c>
    </row>
    <row r="644" spans="1:7">
      <c r="A644">
        <v>256</v>
      </c>
      <c r="B644">
        <v>2017</v>
      </c>
      <c r="C644" t="s">
        <v>105</v>
      </c>
      <c r="D644" t="s">
        <v>91</v>
      </c>
      <c r="E644" t="s">
        <v>362</v>
      </c>
      <c r="F644" s="267" t="s">
        <v>387</v>
      </c>
      <c r="G644" s="267" t="s">
        <v>2376</v>
      </c>
    </row>
    <row r="645" spans="1:7">
      <c r="A645">
        <v>257</v>
      </c>
      <c r="B645">
        <v>2017</v>
      </c>
      <c r="C645" t="s">
        <v>106</v>
      </c>
      <c r="D645" t="s">
        <v>91</v>
      </c>
      <c r="E645" t="s">
        <v>362</v>
      </c>
      <c r="F645" s="267" t="s">
        <v>388</v>
      </c>
      <c r="G645" s="267" t="s">
        <v>2377</v>
      </c>
    </row>
    <row r="646" spans="1:7">
      <c r="A646">
        <v>2</v>
      </c>
      <c r="B646">
        <v>2017</v>
      </c>
      <c r="C646" t="s">
        <v>155</v>
      </c>
      <c r="D646" t="s">
        <v>91</v>
      </c>
      <c r="E646" t="s">
        <v>362</v>
      </c>
      <c r="F646" s="267" t="s">
        <v>389</v>
      </c>
      <c r="G646" s="267" t="s">
        <v>2378</v>
      </c>
    </row>
    <row r="647" spans="1:7">
      <c r="A647">
        <v>351</v>
      </c>
      <c r="B647">
        <v>2017</v>
      </c>
      <c r="C647" t="s">
        <v>107</v>
      </c>
      <c r="D647" t="s">
        <v>91</v>
      </c>
      <c r="E647" t="s">
        <v>362</v>
      </c>
      <c r="F647" s="267" t="s">
        <v>390</v>
      </c>
      <c r="G647" s="267" t="s">
        <v>2379</v>
      </c>
    </row>
    <row r="648" spans="1:7">
      <c r="A648">
        <v>352</v>
      </c>
      <c r="B648">
        <v>2017</v>
      </c>
      <c r="C648" t="s">
        <v>108</v>
      </c>
      <c r="D648" t="s">
        <v>91</v>
      </c>
      <c r="E648" t="s">
        <v>362</v>
      </c>
      <c r="F648" s="267" t="s">
        <v>391</v>
      </c>
      <c r="G648" s="267" t="s">
        <v>2380</v>
      </c>
    </row>
    <row r="649" spans="1:7">
      <c r="A649">
        <v>353</v>
      </c>
      <c r="B649">
        <v>2017</v>
      </c>
      <c r="C649" t="s">
        <v>109</v>
      </c>
      <c r="D649" t="s">
        <v>91</v>
      </c>
      <c r="E649" t="s">
        <v>362</v>
      </c>
      <c r="F649" s="267" t="s">
        <v>392</v>
      </c>
      <c r="G649" s="267" t="s">
        <v>2381</v>
      </c>
    </row>
    <row r="650" spans="1:7">
      <c r="A650">
        <v>354</v>
      </c>
      <c r="B650">
        <v>2017</v>
      </c>
      <c r="C650" t="s">
        <v>110</v>
      </c>
      <c r="D650" t="s">
        <v>91</v>
      </c>
      <c r="E650" t="s">
        <v>362</v>
      </c>
      <c r="F650" s="267" t="s">
        <v>393</v>
      </c>
      <c r="G650" s="267" t="s">
        <v>2382</v>
      </c>
    </row>
    <row r="651" spans="1:7">
      <c r="A651">
        <v>355</v>
      </c>
      <c r="B651">
        <v>2017</v>
      </c>
      <c r="C651" t="s">
        <v>111</v>
      </c>
      <c r="D651" t="s">
        <v>91</v>
      </c>
      <c r="E651" t="s">
        <v>362</v>
      </c>
      <c r="F651" s="267" t="s">
        <v>394</v>
      </c>
      <c r="G651" s="267" t="s">
        <v>2383</v>
      </c>
    </row>
    <row r="652" spans="1:7">
      <c r="A652">
        <v>356</v>
      </c>
      <c r="B652">
        <v>2017</v>
      </c>
      <c r="C652" t="s">
        <v>112</v>
      </c>
      <c r="D652" t="s">
        <v>91</v>
      </c>
      <c r="E652" t="s">
        <v>362</v>
      </c>
      <c r="F652" s="267" t="s">
        <v>395</v>
      </c>
      <c r="G652" s="267" t="s">
        <v>2384</v>
      </c>
    </row>
    <row r="653" spans="1:7">
      <c r="A653">
        <v>357</v>
      </c>
      <c r="B653">
        <v>2017</v>
      </c>
      <c r="C653" t="s">
        <v>113</v>
      </c>
      <c r="D653" t="s">
        <v>91</v>
      </c>
      <c r="E653" t="s">
        <v>362</v>
      </c>
      <c r="F653" s="267" t="s">
        <v>396</v>
      </c>
      <c r="G653" s="267" t="s">
        <v>2385</v>
      </c>
    </row>
    <row r="654" spans="1:7">
      <c r="A654">
        <v>358</v>
      </c>
      <c r="B654">
        <v>2017</v>
      </c>
      <c r="C654" t="s">
        <v>114</v>
      </c>
      <c r="D654" t="s">
        <v>91</v>
      </c>
      <c r="E654" t="s">
        <v>362</v>
      </c>
      <c r="F654" s="267" t="s">
        <v>397</v>
      </c>
      <c r="G654" s="267" t="s">
        <v>2386</v>
      </c>
    </row>
    <row r="655" spans="1:7">
      <c r="A655">
        <v>359</v>
      </c>
      <c r="B655">
        <v>2017</v>
      </c>
      <c r="C655" t="s">
        <v>115</v>
      </c>
      <c r="D655" t="s">
        <v>91</v>
      </c>
      <c r="E655" t="s">
        <v>362</v>
      </c>
      <c r="F655" s="267" t="s">
        <v>398</v>
      </c>
      <c r="G655" s="267" t="s">
        <v>2387</v>
      </c>
    </row>
    <row r="656" spans="1:7">
      <c r="A656">
        <v>360</v>
      </c>
      <c r="B656">
        <v>2017</v>
      </c>
      <c r="C656" t="s">
        <v>116</v>
      </c>
      <c r="D656" t="s">
        <v>91</v>
      </c>
      <c r="E656" t="s">
        <v>362</v>
      </c>
      <c r="F656" s="267" t="s">
        <v>399</v>
      </c>
      <c r="G656" s="267" t="s">
        <v>2388</v>
      </c>
    </row>
    <row r="657" spans="1:7">
      <c r="A657">
        <v>361</v>
      </c>
      <c r="B657">
        <v>2017</v>
      </c>
      <c r="C657" t="s">
        <v>117</v>
      </c>
      <c r="D657" t="s">
        <v>91</v>
      </c>
      <c r="E657" t="s">
        <v>362</v>
      </c>
      <c r="F657" s="267" t="s">
        <v>400</v>
      </c>
      <c r="G657" s="267" t="s">
        <v>2389</v>
      </c>
    </row>
    <row r="658" spans="1:7">
      <c r="A658">
        <v>3</v>
      </c>
      <c r="B658">
        <v>2017</v>
      </c>
      <c r="C658" t="s">
        <v>156</v>
      </c>
      <c r="D658" t="s">
        <v>91</v>
      </c>
      <c r="E658" t="s">
        <v>362</v>
      </c>
      <c r="F658" s="267" t="s">
        <v>401</v>
      </c>
      <c r="G658" s="267" t="s">
        <v>2390</v>
      </c>
    </row>
    <row r="659" spans="1:7">
      <c r="A659">
        <v>401</v>
      </c>
      <c r="B659">
        <v>2017</v>
      </c>
      <c r="C659" t="s">
        <v>402</v>
      </c>
      <c r="D659" t="s">
        <v>91</v>
      </c>
      <c r="E659" t="s">
        <v>362</v>
      </c>
      <c r="F659" s="267" t="s">
        <v>403</v>
      </c>
      <c r="G659" s="267" t="s">
        <v>2391</v>
      </c>
    </row>
    <row r="660" spans="1:7">
      <c r="A660">
        <v>402</v>
      </c>
      <c r="B660">
        <v>2017</v>
      </c>
      <c r="C660" t="s">
        <v>404</v>
      </c>
      <c r="D660" t="s">
        <v>91</v>
      </c>
      <c r="E660" t="s">
        <v>362</v>
      </c>
      <c r="F660" s="267" t="s">
        <v>405</v>
      </c>
      <c r="G660" s="267" t="s">
        <v>2392</v>
      </c>
    </row>
    <row r="661" spans="1:7">
      <c r="A661">
        <v>403</v>
      </c>
      <c r="B661">
        <v>2017</v>
      </c>
      <c r="C661" t="s">
        <v>406</v>
      </c>
      <c r="D661" t="s">
        <v>91</v>
      </c>
      <c r="E661" t="s">
        <v>362</v>
      </c>
      <c r="F661" s="267" t="s">
        <v>407</v>
      </c>
      <c r="G661" s="267" t="s">
        <v>2393</v>
      </c>
    </row>
    <row r="662" spans="1:7">
      <c r="A662">
        <v>404</v>
      </c>
      <c r="B662">
        <v>2017</v>
      </c>
      <c r="C662" t="s">
        <v>408</v>
      </c>
      <c r="D662" t="s">
        <v>91</v>
      </c>
      <c r="E662" t="s">
        <v>362</v>
      </c>
      <c r="F662" s="267" t="s">
        <v>409</v>
      </c>
      <c r="G662" s="267" t="s">
        <v>2394</v>
      </c>
    </row>
    <row r="663" spans="1:7">
      <c r="A663">
        <v>405</v>
      </c>
      <c r="B663">
        <v>2017</v>
      </c>
      <c r="C663" t="s">
        <v>410</v>
      </c>
      <c r="D663" t="s">
        <v>91</v>
      </c>
      <c r="E663" t="s">
        <v>362</v>
      </c>
      <c r="F663" s="267" t="s">
        <v>411</v>
      </c>
      <c r="G663" s="267" t="s">
        <v>2395</v>
      </c>
    </row>
    <row r="664" spans="1:7">
      <c r="A664">
        <v>451</v>
      </c>
      <c r="B664">
        <v>2017</v>
      </c>
      <c r="C664" t="s">
        <v>118</v>
      </c>
      <c r="D664" t="s">
        <v>91</v>
      </c>
      <c r="E664" t="s">
        <v>362</v>
      </c>
      <c r="F664" s="267" t="s">
        <v>412</v>
      </c>
      <c r="G664" s="267" t="s">
        <v>2396</v>
      </c>
    </row>
    <row r="665" spans="1:7">
      <c r="A665">
        <v>452</v>
      </c>
      <c r="B665">
        <v>2017</v>
      </c>
      <c r="C665" t="s">
        <v>119</v>
      </c>
      <c r="D665" t="s">
        <v>91</v>
      </c>
      <c r="E665" t="s">
        <v>362</v>
      </c>
      <c r="F665" s="267" t="s">
        <v>413</v>
      </c>
      <c r="G665" s="267" t="s">
        <v>2397</v>
      </c>
    </row>
    <row r="666" spans="1:7">
      <c r="A666">
        <v>453</v>
      </c>
      <c r="B666">
        <v>2017</v>
      </c>
      <c r="C666" t="s">
        <v>120</v>
      </c>
      <c r="D666" t="s">
        <v>91</v>
      </c>
      <c r="E666" t="s">
        <v>362</v>
      </c>
      <c r="F666" s="267" t="s">
        <v>414</v>
      </c>
      <c r="G666" s="267" t="s">
        <v>2398</v>
      </c>
    </row>
    <row r="667" spans="1:7">
      <c r="A667">
        <v>454</v>
      </c>
      <c r="B667">
        <v>2017</v>
      </c>
      <c r="C667" t="s">
        <v>121</v>
      </c>
      <c r="D667" t="s">
        <v>91</v>
      </c>
      <c r="E667" t="s">
        <v>362</v>
      </c>
      <c r="F667" s="267" t="s">
        <v>415</v>
      </c>
      <c r="G667" s="267" t="s">
        <v>2399</v>
      </c>
    </row>
    <row r="668" spans="1:7">
      <c r="A668">
        <v>455</v>
      </c>
      <c r="B668">
        <v>2017</v>
      </c>
      <c r="C668" t="s">
        <v>122</v>
      </c>
      <c r="D668" t="s">
        <v>91</v>
      </c>
      <c r="E668" t="s">
        <v>362</v>
      </c>
      <c r="F668" s="267" t="s">
        <v>416</v>
      </c>
      <c r="G668" s="267" t="s">
        <v>2400</v>
      </c>
    </row>
    <row r="669" spans="1:7">
      <c r="A669">
        <v>456</v>
      </c>
      <c r="B669">
        <v>2017</v>
      </c>
      <c r="C669" t="s">
        <v>123</v>
      </c>
      <c r="D669" t="s">
        <v>91</v>
      </c>
      <c r="E669" t="s">
        <v>362</v>
      </c>
      <c r="F669" s="267" t="s">
        <v>417</v>
      </c>
      <c r="G669" s="267" t="s">
        <v>2401</v>
      </c>
    </row>
    <row r="670" spans="1:7">
      <c r="A670">
        <v>457</v>
      </c>
      <c r="B670">
        <v>2017</v>
      </c>
      <c r="C670" t="s">
        <v>124</v>
      </c>
      <c r="D670" t="s">
        <v>91</v>
      </c>
      <c r="E670" t="s">
        <v>362</v>
      </c>
      <c r="F670" s="267" t="s">
        <v>418</v>
      </c>
      <c r="G670" s="267" t="s">
        <v>2402</v>
      </c>
    </row>
    <row r="671" spans="1:7">
      <c r="A671">
        <v>458</v>
      </c>
      <c r="B671">
        <v>2017</v>
      </c>
      <c r="C671" t="s">
        <v>125</v>
      </c>
      <c r="D671" t="s">
        <v>91</v>
      </c>
      <c r="E671" t="s">
        <v>362</v>
      </c>
      <c r="F671" s="267" t="s">
        <v>419</v>
      </c>
      <c r="G671" s="267" t="s">
        <v>2403</v>
      </c>
    </row>
    <row r="672" spans="1:7">
      <c r="A672">
        <v>459</v>
      </c>
      <c r="B672">
        <v>2017</v>
      </c>
      <c r="C672" t="s">
        <v>126</v>
      </c>
      <c r="D672" t="s">
        <v>91</v>
      </c>
      <c r="E672" t="s">
        <v>362</v>
      </c>
      <c r="F672" s="267" t="s">
        <v>420</v>
      </c>
      <c r="G672" s="267" t="s">
        <v>2404</v>
      </c>
    </row>
    <row r="673" spans="1:7">
      <c r="A673">
        <v>460</v>
      </c>
      <c r="B673">
        <v>2017</v>
      </c>
      <c r="C673" t="s">
        <v>127</v>
      </c>
      <c r="D673" t="s">
        <v>91</v>
      </c>
      <c r="E673" t="s">
        <v>362</v>
      </c>
      <c r="F673" s="267" t="s">
        <v>421</v>
      </c>
      <c r="G673" s="267" t="s">
        <v>2405</v>
      </c>
    </row>
    <row r="674" spans="1:7">
      <c r="A674">
        <v>461</v>
      </c>
      <c r="B674">
        <v>2017</v>
      </c>
      <c r="C674" t="s">
        <v>128</v>
      </c>
      <c r="D674" t="s">
        <v>91</v>
      </c>
      <c r="E674" t="s">
        <v>362</v>
      </c>
      <c r="F674" s="267" t="s">
        <v>422</v>
      </c>
      <c r="G674" s="267" t="s">
        <v>2406</v>
      </c>
    </row>
    <row r="675" spans="1:7">
      <c r="A675">
        <v>462</v>
      </c>
      <c r="B675">
        <v>2017</v>
      </c>
      <c r="C675" t="s">
        <v>129</v>
      </c>
      <c r="D675" t="s">
        <v>91</v>
      </c>
      <c r="E675" t="s">
        <v>362</v>
      </c>
      <c r="F675" s="267" t="s">
        <v>423</v>
      </c>
      <c r="G675" s="267" t="s">
        <v>2407</v>
      </c>
    </row>
    <row r="676" spans="1:7">
      <c r="A676">
        <v>4</v>
      </c>
      <c r="B676">
        <v>2017</v>
      </c>
      <c r="C676" t="s">
        <v>157</v>
      </c>
      <c r="D676" t="s">
        <v>91</v>
      </c>
      <c r="E676" t="s">
        <v>362</v>
      </c>
      <c r="F676" s="267" t="s">
        <v>424</v>
      </c>
      <c r="G676" s="267" t="s">
        <v>2408</v>
      </c>
    </row>
    <row r="677" spans="1:7">
      <c r="A677">
        <v>0</v>
      </c>
      <c r="B677">
        <v>2017</v>
      </c>
      <c r="C677" t="s">
        <v>130</v>
      </c>
      <c r="D677" t="s">
        <v>91</v>
      </c>
      <c r="E677" t="s">
        <v>362</v>
      </c>
      <c r="F677" s="267" t="s">
        <v>425</v>
      </c>
      <c r="G677" s="267" t="s">
        <v>2409</v>
      </c>
    </row>
    <row r="678" spans="1:7">
      <c r="A678">
        <v>101</v>
      </c>
      <c r="B678">
        <v>2017</v>
      </c>
      <c r="C678" t="s">
        <v>363</v>
      </c>
      <c r="D678" t="s">
        <v>92</v>
      </c>
      <c r="E678" t="s">
        <v>362</v>
      </c>
      <c r="F678" s="267" t="s">
        <v>364</v>
      </c>
      <c r="G678" s="267" t="s">
        <v>2306</v>
      </c>
    </row>
    <row r="679" spans="1:7">
      <c r="A679">
        <v>102</v>
      </c>
      <c r="B679">
        <v>2017</v>
      </c>
      <c r="C679" t="s">
        <v>365</v>
      </c>
      <c r="D679" t="s">
        <v>92</v>
      </c>
      <c r="E679" t="s">
        <v>362</v>
      </c>
      <c r="F679" s="267" t="s">
        <v>366</v>
      </c>
      <c r="G679" s="267" t="s">
        <v>2307</v>
      </c>
    </row>
    <row r="680" spans="1:7">
      <c r="A680">
        <v>103</v>
      </c>
      <c r="B680">
        <v>2017</v>
      </c>
      <c r="C680" t="s">
        <v>367</v>
      </c>
      <c r="D680" t="s">
        <v>92</v>
      </c>
      <c r="E680" t="s">
        <v>362</v>
      </c>
      <c r="F680" s="267" t="s">
        <v>368</v>
      </c>
      <c r="G680" s="267" t="s">
        <v>2308</v>
      </c>
    </row>
    <row r="681" spans="1:7">
      <c r="A681">
        <v>151</v>
      </c>
      <c r="B681">
        <v>2017</v>
      </c>
      <c r="C681" t="s">
        <v>94</v>
      </c>
      <c r="D681" t="s">
        <v>92</v>
      </c>
      <c r="E681" t="s">
        <v>362</v>
      </c>
      <c r="F681" s="267" t="s">
        <v>369</v>
      </c>
      <c r="G681" s="267" t="s">
        <v>2309</v>
      </c>
    </row>
    <row r="682" spans="1:7">
      <c r="A682">
        <v>153</v>
      </c>
      <c r="B682">
        <v>2017</v>
      </c>
      <c r="C682" t="s">
        <v>96</v>
      </c>
      <c r="D682" t="s">
        <v>92</v>
      </c>
      <c r="E682" t="s">
        <v>362</v>
      </c>
      <c r="F682" s="267" t="s">
        <v>370</v>
      </c>
      <c r="G682" s="267" t="s">
        <v>2310</v>
      </c>
    </row>
    <row r="683" spans="1:7">
      <c r="A683">
        <v>154</v>
      </c>
      <c r="B683">
        <v>2017</v>
      </c>
      <c r="C683" t="s">
        <v>97</v>
      </c>
      <c r="D683" t="s">
        <v>92</v>
      </c>
      <c r="E683" t="s">
        <v>362</v>
      </c>
      <c r="F683" s="267" t="s">
        <v>371</v>
      </c>
      <c r="G683" s="267" t="s">
        <v>2311</v>
      </c>
    </row>
    <row r="684" spans="1:7">
      <c r="A684">
        <v>155</v>
      </c>
      <c r="B684">
        <v>2017</v>
      </c>
      <c r="C684" t="s">
        <v>98</v>
      </c>
      <c r="D684" t="s">
        <v>92</v>
      </c>
      <c r="E684" t="s">
        <v>362</v>
      </c>
      <c r="F684" s="267" t="s">
        <v>372</v>
      </c>
      <c r="G684" s="267" t="s">
        <v>2312</v>
      </c>
    </row>
    <row r="685" spans="1:7">
      <c r="A685">
        <v>157</v>
      </c>
      <c r="B685">
        <v>2017</v>
      </c>
      <c r="C685" t="s">
        <v>99</v>
      </c>
      <c r="D685" t="s">
        <v>92</v>
      </c>
      <c r="E685" t="s">
        <v>362</v>
      </c>
      <c r="F685" s="267" t="s">
        <v>373</v>
      </c>
      <c r="G685" s="267" t="s">
        <v>2313</v>
      </c>
    </row>
    <row r="686" spans="1:7">
      <c r="A686">
        <v>158</v>
      </c>
      <c r="B686">
        <v>2017</v>
      </c>
      <c r="C686" t="s">
        <v>100</v>
      </c>
      <c r="D686" t="s">
        <v>92</v>
      </c>
      <c r="E686" t="s">
        <v>362</v>
      </c>
      <c r="F686" s="267" t="s">
        <v>374</v>
      </c>
      <c r="G686" s="267" t="s">
        <v>2314</v>
      </c>
    </row>
    <row r="687" spans="1:7">
      <c r="A687">
        <v>159</v>
      </c>
      <c r="B687">
        <v>2017</v>
      </c>
      <c r="C687" t="s">
        <v>95</v>
      </c>
      <c r="D687" t="s">
        <v>92</v>
      </c>
      <c r="E687" t="s">
        <v>362</v>
      </c>
      <c r="F687" s="267" t="s">
        <v>375</v>
      </c>
      <c r="G687" s="267" t="s">
        <v>2315</v>
      </c>
    </row>
    <row r="688" spans="1:7">
      <c r="A688">
        <v>1</v>
      </c>
      <c r="B688">
        <v>2017</v>
      </c>
      <c r="C688" t="s">
        <v>154</v>
      </c>
      <c r="D688" t="s">
        <v>92</v>
      </c>
      <c r="E688" t="s">
        <v>362</v>
      </c>
      <c r="F688" s="267" t="s">
        <v>376</v>
      </c>
      <c r="G688" s="267" t="s">
        <v>2316</v>
      </c>
    </row>
    <row r="689" spans="1:7">
      <c r="A689">
        <v>241</v>
      </c>
      <c r="B689">
        <v>2017</v>
      </c>
      <c r="C689" t="s">
        <v>377</v>
      </c>
      <c r="D689" t="s">
        <v>92</v>
      </c>
      <c r="E689" t="s">
        <v>362</v>
      </c>
      <c r="F689" s="267" t="s">
        <v>378</v>
      </c>
      <c r="G689" s="267" t="s">
        <v>2317</v>
      </c>
    </row>
    <row r="690" spans="1:7">
      <c r="A690">
        <v>241001</v>
      </c>
      <c r="B690">
        <v>2017</v>
      </c>
      <c r="C690" t="s">
        <v>379</v>
      </c>
      <c r="D690" t="s">
        <v>92</v>
      </c>
      <c r="E690" t="s">
        <v>362</v>
      </c>
      <c r="F690" s="267" t="s">
        <v>380</v>
      </c>
      <c r="G690" s="267" t="s">
        <v>2318</v>
      </c>
    </row>
    <row r="691" spans="1:7">
      <c r="A691">
        <v>241999</v>
      </c>
      <c r="B691">
        <v>2017</v>
      </c>
      <c r="C691" t="s">
        <v>381</v>
      </c>
      <c r="D691" t="s">
        <v>92</v>
      </c>
      <c r="E691" t="s">
        <v>362</v>
      </c>
      <c r="F691" s="267" t="s">
        <v>382</v>
      </c>
      <c r="G691" s="267" t="s">
        <v>2319</v>
      </c>
    </row>
    <row r="692" spans="1:7">
      <c r="A692">
        <v>251</v>
      </c>
      <c r="B692">
        <v>2017</v>
      </c>
      <c r="C692" t="s">
        <v>101</v>
      </c>
      <c r="D692" t="s">
        <v>92</v>
      </c>
      <c r="E692" t="s">
        <v>362</v>
      </c>
      <c r="F692" s="267" t="s">
        <v>383</v>
      </c>
      <c r="G692" s="267" t="s">
        <v>2320</v>
      </c>
    </row>
    <row r="693" spans="1:7">
      <c r="A693">
        <v>252</v>
      </c>
      <c r="B693">
        <v>2017</v>
      </c>
      <c r="C693" t="s">
        <v>102</v>
      </c>
      <c r="D693" t="s">
        <v>92</v>
      </c>
      <c r="E693" t="s">
        <v>362</v>
      </c>
      <c r="F693" s="267" t="s">
        <v>384</v>
      </c>
      <c r="G693" s="267" t="s">
        <v>2321</v>
      </c>
    </row>
    <row r="694" spans="1:7">
      <c r="A694">
        <v>254</v>
      </c>
      <c r="B694">
        <v>2017</v>
      </c>
      <c r="C694" t="s">
        <v>103</v>
      </c>
      <c r="D694" t="s">
        <v>92</v>
      </c>
      <c r="E694" t="s">
        <v>362</v>
      </c>
      <c r="F694" s="267" t="s">
        <v>385</v>
      </c>
      <c r="G694" s="267" t="s">
        <v>2322</v>
      </c>
    </row>
    <row r="695" spans="1:7">
      <c r="A695">
        <v>255</v>
      </c>
      <c r="B695">
        <v>2017</v>
      </c>
      <c r="C695" t="s">
        <v>104</v>
      </c>
      <c r="D695" t="s">
        <v>92</v>
      </c>
      <c r="E695" t="s">
        <v>362</v>
      </c>
      <c r="F695" s="267" t="s">
        <v>386</v>
      </c>
      <c r="G695" s="267" t="s">
        <v>2323</v>
      </c>
    </row>
    <row r="696" spans="1:7">
      <c r="A696">
        <v>256</v>
      </c>
      <c r="B696">
        <v>2017</v>
      </c>
      <c r="C696" t="s">
        <v>105</v>
      </c>
      <c r="D696" t="s">
        <v>92</v>
      </c>
      <c r="E696" t="s">
        <v>362</v>
      </c>
      <c r="F696" s="267" t="s">
        <v>387</v>
      </c>
      <c r="G696" s="267" t="s">
        <v>2324</v>
      </c>
    </row>
    <row r="697" spans="1:7">
      <c r="A697">
        <v>257</v>
      </c>
      <c r="B697">
        <v>2017</v>
      </c>
      <c r="C697" t="s">
        <v>106</v>
      </c>
      <c r="D697" t="s">
        <v>92</v>
      </c>
      <c r="E697" t="s">
        <v>362</v>
      </c>
      <c r="F697" s="267" t="s">
        <v>388</v>
      </c>
      <c r="G697" s="267" t="s">
        <v>2325</v>
      </c>
    </row>
    <row r="698" spans="1:7">
      <c r="A698">
        <v>2</v>
      </c>
      <c r="B698">
        <v>2017</v>
      </c>
      <c r="C698" t="s">
        <v>155</v>
      </c>
      <c r="D698" t="s">
        <v>92</v>
      </c>
      <c r="E698" t="s">
        <v>362</v>
      </c>
      <c r="F698" s="267" t="s">
        <v>389</v>
      </c>
      <c r="G698" s="267" t="s">
        <v>2326</v>
      </c>
    </row>
    <row r="699" spans="1:7">
      <c r="A699">
        <v>351</v>
      </c>
      <c r="B699">
        <v>2017</v>
      </c>
      <c r="C699" t="s">
        <v>107</v>
      </c>
      <c r="D699" t="s">
        <v>92</v>
      </c>
      <c r="E699" t="s">
        <v>362</v>
      </c>
      <c r="F699" s="267" t="s">
        <v>390</v>
      </c>
      <c r="G699" s="267" t="s">
        <v>2327</v>
      </c>
    </row>
    <row r="700" spans="1:7">
      <c r="A700">
        <v>352</v>
      </c>
      <c r="B700">
        <v>2017</v>
      </c>
      <c r="C700" t="s">
        <v>108</v>
      </c>
      <c r="D700" t="s">
        <v>92</v>
      </c>
      <c r="E700" t="s">
        <v>362</v>
      </c>
      <c r="F700" s="267" t="s">
        <v>391</v>
      </c>
      <c r="G700" s="267" t="s">
        <v>2328</v>
      </c>
    </row>
    <row r="701" spans="1:7">
      <c r="A701">
        <v>353</v>
      </c>
      <c r="B701">
        <v>2017</v>
      </c>
      <c r="C701" t="s">
        <v>109</v>
      </c>
      <c r="D701" t="s">
        <v>92</v>
      </c>
      <c r="E701" t="s">
        <v>362</v>
      </c>
      <c r="F701" s="267" t="s">
        <v>392</v>
      </c>
      <c r="G701" s="267" t="s">
        <v>2329</v>
      </c>
    </row>
    <row r="702" spans="1:7">
      <c r="A702">
        <v>354</v>
      </c>
      <c r="B702">
        <v>2017</v>
      </c>
      <c r="C702" t="s">
        <v>110</v>
      </c>
      <c r="D702" t="s">
        <v>92</v>
      </c>
      <c r="E702" t="s">
        <v>362</v>
      </c>
      <c r="F702" s="267" t="s">
        <v>393</v>
      </c>
      <c r="G702" s="267" t="s">
        <v>2330</v>
      </c>
    </row>
    <row r="703" spans="1:7">
      <c r="A703">
        <v>355</v>
      </c>
      <c r="B703">
        <v>2017</v>
      </c>
      <c r="C703" t="s">
        <v>111</v>
      </c>
      <c r="D703" t="s">
        <v>92</v>
      </c>
      <c r="E703" t="s">
        <v>362</v>
      </c>
      <c r="F703" s="267" t="s">
        <v>394</v>
      </c>
      <c r="G703" s="267" t="s">
        <v>2331</v>
      </c>
    </row>
    <row r="704" spans="1:7">
      <c r="A704">
        <v>356</v>
      </c>
      <c r="B704">
        <v>2017</v>
      </c>
      <c r="C704" t="s">
        <v>112</v>
      </c>
      <c r="D704" t="s">
        <v>92</v>
      </c>
      <c r="E704" t="s">
        <v>362</v>
      </c>
      <c r="F704" s="267" t="s">
        <v>395</v>
      </c>
      <c r="G704" s="267" t="s">
        <v>2332</v>
      </c>
    </row>
    <row r="705" spans="1:7">
      <c r="A705">
        <v>357</v>
      </c>
      <c r="B705">
        <v>2017</v>
      </c>
      <c r="C705" t="s">
        <v>113</v>
      </c>
      <c r="D705" t="s">
        <v>92</v>
      </c>
      <c r="E705" t="s">
        <v>362</v>
      </c>
      <c r="F705" s="267" t="s">
        <v>396</v>
      </c>
      <c r="G705" s="267" t="s">
        <v>2333</v>
      </c>
    </row>
    <row r="706" spans="1:7">
      <c r="A706">
        <v>358</v>
      </c>
      <c r="B706">
        <v>2017</v>
      </c>
      <c r="C706" t="s">
        <v>114</v>
      </c>
      <c r="D706" t="s">
        <v>92</v>
      </c>
      <c r="E706" t="s">
        <v>362</v>
      </c>
      <c r="F706" s="267" t="s">
        <v>397</v>
      </c>
      <c r="G706" s="267" t="s">
        <v>2334</v>
      </c>
    </row>
    <row r="707" spans="1:7">
      <c r="A707">
        <v>359</v>
      </c>
      <c r="B707">
        <v>2017</v>
      </c>
      <c r="C707" t="s">
        <v>115</v>
      </c>
      <c r="D707" t="s">
        <v>92</v>
      </c>
      <c r="E707" t="s">
        <v>362</v>
      </c>
      <c r="F707" s="267" t="s">
        <v>398</v>
      </c>
      <c r="G707" s="267" t="s">
        <v>2335</v>
      </c>
    </row>
    <row r="708" spans="1:7">
      <c r="A708">
        <v>360</v>
      </c>
      <c r="B708">
        <v>2017</v>
      </c>
      <c r="C708" t="s">
        <v>116</v>
      </c>
      <c r="D708" t="s">
        <v>92</v>
      </c>
      <c r="E708" t="s">
        <v>362</v>
      </c>
      <c r="F708" s="267" t="s">
        <v>399</v>
      </c>
      <c r="G708" s="267" t="s">
        <v>2336</v>
      </c>
    </row>
    <row r="709" spans="1:7">
      <c r="A709">
        <v>361</v>
      </c>
      <c r="B709">
        <v>2017</v>
      </c>
      <c r="C709" t="s">
        <v>117</v>
      </c>
      <c r="D709" t="s">
        <v>92</v>
      </c>
      <c r="E709" t="s">
        <v>362</v>
      </c>
      <c r="F709" s="267" t="s">
        <v>400</v>
      </c>
      <c r="G709" s="267" t="s">
        <v>2337</v>
      </c>
    </row>
    <row r="710" spans="1:7">
      <c r="A710">
        <v>3</v>
      </c>
      <c r="B710">
        <v>2017</v>
      </c>
      <c r="C710" t="s">
        <v>156</v>
      </c>
      <c r="D710" t="s">
        <v>92</v>
      </c>
      <c r="E710" t="s">
        <v>362</v>
      </c>
      <c r="F710" s="267" t="s">
        <v>401</v>
      </c>
      <c r="G710" s="267" t="s">
        <v>2338</v>
      </c>
    </row>
    <row r="711" spans="1:7">
      <c r="A711">
        <v>401</v>
      </c>
      <c r="B711">
        <v>2017</v>
      </c>
      <c r="C711" t="s">
        <v>402</v>
      </c>
      <c r="D711" t="s">
        <v>92</v>
      </c>
      <c r="E711" t="s">
        <v>362</v>
      </c>
      <c r="F711" s="267" t="s">
        <v>403</v>
      </c>
      <c r="G711" s="267" t="s">
        <v>2339</v>
      </c>
    </row>
    <row r="712" spans="1:7">
      <c r="A712">
        <v>402</v>
      </c>
      <c r="B712">
        <v>2017</v>
      </c>
      <c r="C712" t="s">
        <v>404</v>
      </c>
      <c r="D712" t="s">
        <v>92</v>
      </c>
      <c r="E712" t="s">
        <v>362</v>
      </c>
      <c r="F712" s="267" t="s">
        <v>405</v>
      </c>
      <c r="G712" s="267" t="s">
        <v>2340</v>
      </c>
    </row>
    <row r="713" spans="1:7">
      <c r="A713">
        <v>403</v>
      </c>
      <c r="B713">
        <v>2017</v>
      </c>
      <c r="C713" t="s">
        <v>406</v>
      </c>
      <c r="D713" t="s">
        <v>92</v>
      </c>
      <c r="E713" t="s">
        <v>362</v>
      </c>
      <c r="F713" s="267" t="s">
        <v>407</v>
      </c>
      <c r="G713" s="267" t="s">
        <v>2341</v>
      </c>
    </row>
    <row r="714" spans="1:7">
      <c r="A714">
        <v>404</v>
      </c>
      <c r="B714">
        <v>2017</v>
      </c>
      <c r="C714" t="s">
        <v>408</v>
      </c>
      <c r="D714" t="s">
        <v>92</v>
      </c>
      <c r="E714" t="s">
        <v>362</v>
      </c>
      <c r="F714" s="267" t="s">
        <v>409</v>
      </c>
      <c r="G714" s="267" t="s">
        <v>2342</v>
      </c>
    </row>
    <row r="715" spans="1:7">
      <c r="A715">
        <v>405</v>
      </c>
      <c r="B715">
        <v>2017</v>
      </c>
      <c r="C715" t="s">
        <v>410</v>
      </c>
      <c r="D715" t="s">
        <v>92</v>
      </c>
      <c r="E715" t="s">
        <v>362</v>
      </c>
      <c r="F715" s="267" t="s">
        <v>411</v>
      </c>
      <c r="G715" s="267" t="s">
        <v>2343</v>
      </c>
    </row>
    <row r="716" spans="1:7">
      <c r="A716">
        <v>451</v>
      </c>
      <c r="B716">
        <v>2017</v>
      </c>
      <c r="C716" t="s">
        <v>118</v>
      </c>
      <c r="D716" t="s">
        <v>92</v>
      </c>
      <c r="E716" t="s">
        <v>362</v>
      </c>
      <c r="F716" s="267" t="s">
        <v>412</v>
      </c>
      <c r="G716" s="267" t="s">
        <v>2344</v>
      </c>
    </row>
    <row r="717" spans="1:7">
      <c r="A717">
        <v>452</v>
      </c>
      <c r="B717">
        <v>2017</v>
      </c>
      <c r="C717" t="s">
        <v>119</v>
      </c>
      <c r="D717" t="s">
        <v>92</v>
      </c>
      <c r="E717" t="s">
        <v>362</v>
      </c>
      <c r="F717" s="267" t="s">
        <v>413</v>
      </c>
      <c r="G717" s="267" t="s">
        <v>2345</v>
      </c>
    </row>
    <row r="718" spans="1:7">
      <c r="A718">
        <v>453</v>
      </c>
      <c r="B718">
        <v>2017</v>
      </c>
      <c r="C718" t="s">
        <v>120</v>
      </c>
      <c r="D718" t="s">
        <v>92</v>
      </c>
      <c r="E718" t="s">
        <v>362</v>
      </c>
      <c r="F718" s="267" t="s">
        <v>414</v>
      </c>
      <c r="G718" s="267" t="s">
        <v>2346</v>
      </c>
    </row>
    <row r="719" spans="1:7">
      <c r="A719">
        <v>454</v>
      </c>
      <c r="B719">
        <v>2017</v>
      </c>
      <c r="C719" t="s">
        <v>121</v>
      </c>
      <c r="D719" t="s">
        <v>92</v>
      </c>
      <c r="E719" t="s">
        <v>362</v>
      </c>
      <c r="F719" s="267" t="s">
        <v>415</v>
      </c>
      <c r="G719" s="267" t="s">
        <v>2347</v>
      </c>
    </row>
    <row r="720" spans="1:7">
      <c r="A720">
        <v>455</v>
      </c>
      <c r="B720">
        <v>2017</v>
      </c>
      <c r="C720" t="s">
        <v>122</v>
      </c>
      <c r="D720" t="s">
        <v>92</v>
      </c>
      <c r="E720" t="s">
        <v>362</v>
      </c>
      <c r="F720" s="267" t="s">
        <v>416</v>
      </c>
      <c r="G720" s="267" t="s">
        <v>2348</v>
      </c>
    </row>
    <row r="721" spans="1:7">
      <c r="A721">
        <v>456</v>
      </c>
      <c r="B721">
        <v>2017</v>
      </c>
      <c r="C721" t="s">
        <v>123</v>
      </c>
      <c r="D721" t="s">
        <v>92</v>
      </c>
      <c r="E721" t="s">
        <v>362</v>
      </c>
      <c r="F721" s="267" t="s">
        <v>417</v>
      </c>
      <c r="G721" s="267" t="s">
        <v>2349</v>
      </c>
    </row>
    <row r="722" spans="1:7">
      <c r="A722">
        <v>457</v>
      </c>
      <c r="B722">
        <v>2017</v>
      </c>
      <c r="C722" t="s">
        <v>124</v>
      </c>
      <c r="D722" t="s">
        <v>92</v>
      </c>
      <c r="E722" t="s">
        <v>362</v>
      </c>
      <c r="F722" s="267" t="s">
        <v>418</v>
      </c>
      <c r="G722" s="267" t="s">
        <v>2350</v>
      </c>
    </row>
    <row r="723" spans="1:7">
      <c r="A723">
        <v>458</v>
      </c>
      <c r="B723">
        <v>2017</v>
      </c>
      <c r="C723" t="s">
        <v>125</v>
      </c>
      <c r="D723" t="s">
        <v>92</v>
      </c>
      <c r="E723" t="s">
        <v>362</v>
      </c>
      <c r="F723" s="267" t="s">
        <v>419</v>
      </c>
      <c r="G723" s="267" t="s">
        <v>2351</v>
      </c>
    </row>
    <row r="724" spans="1:7">
      <c r="A724">
        <v>459</v>
      </c>
      <c r="B724">
        <v>2017</v>
      </c>
      <c r="C724" t="s">
        <v>126</v>
      </c>
      <c r="D724" t="s">
        <v>92</v>
      </c>
      <c r="E724" t="s">
        <v>362</v>
      </c>
      <c r="F724" s="267" t="s">
        <v>420</v>
      </c>
      <c r="G724" s="267" t="s">
        <v>2352</v>
      </c>
    </row>
    <row r="725" spans="1:7">
      <c r="A725">
        <v>460</v>
      </c>
      <c r="B725">
        <v>2017</v>
      </c>
      <c r="C725" t="s">
        <v>127</v>
      </c>
      <c r="D725" t="s">
        <v>92</v>
      </c>
      <c r="E725" t="s">
        <v>362</v>
      </c>
      <c r="F725" s="267" t="s">
        <v>421</v>
      </c>
      <c r="G725" s="267" t="s">
        <v>2353</v>
      </c>
    </row>
    <row r="726" spans="1:7">
      <c r="A726">
        <v>461</v>
      </c>
      <c r="B726">
        <v>2017</v>
      </c>
      <c r="C726" t="s">
        <v>128</v>
      </c>
      <c r="D726" t="s">
        <v>92</v>
      </c>
      <c r="E726" t="s">
        <v>362</v>
      </c>
      <c r="F726" s="267" t="s">
        <v>422</v>
      </c>
      <c r="G726" s="267" t="s">
        <v>2354</v>
      </c>
    </row>
    <row r="727" spans="1:7">
      <c r="A727">
        <v>462</v>
      </c>
      <c r="B727">
        <v>2017</v>
      </c>
      <c r="C727" t="s">
        <v>129</v>
      </c>
      <c r="D727" t="s">
        <v>92</v>
      </c>
      <c r="E727" t="s">
        <v>362</v>
      </c>
      <c r="F727" s="267" t="s">
        <v>423</v>
      </c>
      <c r="G727" s="267" t="s">
        <v>2355</v>
      </c>
    </row>
    <row r="728" spans="1:7">
      <c r="A728">
        <v>4</v>
      </c>
      <c r="B728">
        <v>2017</v>
      </c>
      <c r="C728" t="s">
        <v>157</v>
      </c>
      <c r="D728" t="s">
        <v>92</v>
      </c>
      <c r="E728" t="s">
        <v>362</v>
      </c>
      <c r="F728" s="267" t="s">
        <v>424</v>
      </c>
      <c r="G728" s="267" t="s">
        <v>2356</v>
      </c>
    </row>
    <row r="729" spans="1:7">
      <c r="A729">
        <v>0</v>
      </c>
      <c r="B729">
        <v>2017</v>
      </c>
      <c r="C729" t="s">
        <v>130</v>
      </c>
      <c r="D729" t="s">
        <v>92</v>
      </c>
      <c r="E729" t="s">
        <v>362</v>
      </c>
      <c r="F729" s="267" t="s">
        <v>425</v>
      </c>
      <c r="G729" s="267" t="s">
        <v>2357</v>
      </c>
    </row>
    <row r="730" spans="1:7">
      <c r="A730">
        <v>101</v>
      </c>
      <c r="B730">
        <v>2017</v>
      </c>
      <c r="C730" t="s">
        <v>363</v>
      </c>
      <c r="D730" t="s">
        <v>93</v>
      </c>
      <c r="E730" t="s">
        <v>362</v>
      </c>
      <c r="F730" s="267" t="s">
        <v>364</v>
      </c>
      <c r="G730" s="267" t="s">
        <v>2254</v>
      </c>
    </row>
    <row r="731" spans="1:7">
      <c r="A731">
        <v>102</v>
      </c>
      <c r="B731">
        <v>2017</v>
      </c>
      <c r="C731" t="s">
        <v>365</v>
      </c>
      <c r="D731" t="s">
        <v>93</v>
      </c>
      <c r="E731" t="s">
        <v>362</v>
      </c>
      <c r="F731" s="267" t="s">
        <v>366</v>
      </c>
      <c r="G731" s="267" t="s">
        <v>2255</v>
      </c>
    </row>
    <row r="732" spans="1:7">
      <c r="A732">
        <v>103</v>
      </c>
      <c r="B732">
        <v>2017</v>
      </c>
      <c r="C732" t="s">
        <v>367</v>
      </c>
      <c r="D732" t="s">
        <v>93</v>
      </c>
      <c r="E732" t="s">
        <v>362</v>
      </c>
      <c r="F732" s="267" t="s">
        <v>368</v>
      </c>
      <c r="G732" s="267" t="s">
        <v>2256</v>
      </c>
    </row>
    <row r="733" spans="1:7">
      <c r="A733">
        <v>151</v>
      </c>
      <c r="B733">
        <v>2017</v>
      </c>
      <c r="C733" t="s">
        <v>94</v>
      </c>
      <c r="D733" t="s">
        <v>93</v>
      </c>
      <c r="E733" t="s">
        <v>362</v>
      </c>
      <c r="F733" s="267" t="s">
        <v>369</v>
      </c>
      <c r="G733" s="267" t="s">
        <v>2257</v>
      </c>
    </row>
    <row r="734" spans="1:7">
      <c r="A734">
        <v>153</v>
      </c>
      <c r="B734">
        <v>2017</v>
      </c>
      <c r="C734" t="s">
        <v>96</v>
      </c>
      <c r="D734" t="s">
        <v>93</v>
      </c>
      <c r="E734" t="s">
        <v>362</v>
      </c>
      <c r="F734" s="267" t="s">
        <v>370</v>
      </c>
      <c r="G734" s="267" t="s">
        <v>2258</v>
      </c>
    </row>
    <row r="735" spans="1:7">
      <c r="A735">
        <v>154</v>
      </c>
      <c r="B735">
        <v>2017</v>
      </c>
      <c r="C735" t="s">
        <v>97</v>
      </c>
      <c r="D735" t="s">
        <v>93</v>
      </c>
      <c r="E735" t="s">
        <v>362</v>
      </c>
      <c r="F735" s="267" t="s">
        <v>371</v>
      </c>
      <c r="G735" s="267" t="s">
        <v>2259</v>
      </c>
    </row>
    <row r="736" spans="1:7">
      <c r="A736">
        <v>155</v>
      </c>
      <c r="B736">
        <v>2017</v>
      </c>
      <c r="C736" t="s">
        <v>98</v>
      </c>
      <c r="D736" t="s">
        <v>93</v>
      </c>
      <c r="E736" t="s">
        <v>362</v>
      </c>
      <c r="F736" s="267" t="s">
        <v>372</v>
      </c>
      <c r="G736" s="267" t="s">
        <v>2260</v>
      </c>
    </row>
    <row r="737" spans="1:7">
      <c r="A737">
        <v>157</v>
      </c>
      <c r="B737">
        <v>2017</v>
      </c>
      <c r="C737" t="s">
        <v>99</v>
      </c>
      <c r="D737" t="s">
        <v>93</v>
      </c>
      <c r="E737" t="s">
        <v>362</v>
      </c>
      <c r="F737" s="267" t="s">
        <v>373</v>
      </c>
      <c r="G737" s="267" t="s">
        <v>2261</v>
      </c>
    </row>
    <row r="738" spans="1:7">
      <c r="A738">
        <v>158</v>
      </c>
      <c r="B738">
        <v>2017</v>
      </c>
      <c r="C738" t="s">
        <v>100</v>
      </c>
      <c r="D738" t="s">
        <v>93</v>
      </c>
      <c r="E738" t="s">
        <v>362</v>
      </c>
      <c r="F738" s="267" t="s">
        <v>374</v>
      </c>
      <c r="G738" s="267" t="s">
        <v>2262</v>
      </c>
    </row>
    <row r="739" spans="1:7">
      <c r="A739">
        <v>159</v>
      </c>
      <c r="B739">
        <v>2017</v>
      </c>
      <c r="C739" t="s">
        <v>95</v>
      </c>
      <c r="D739" t="s">
        <v>93</v>
      </c>
      <c r="E739" t="s">
        <v>362</v>
      </c>
      <c r="F739" s="267" t="s">
        <v>375</v>
      </c>
      <c r="G739" s="267" t="s">
        <v>2263</v>
      </c>
    </row>
    <row r="740" spans="1:7">
      <c r="A740">
        <v>1</v>
      </c>
      <c r="B740">
        <v>2017</v>
      </c>
      <c r="C740" t="s">
        <v>154</v>
      </c>
      <c r="D740" t="s">
        <v>93</v>
      </c>
      <c r="E740" t="s">
        <v>362</v>
      </c>
      <c r="F740" s="267" t="s">
        <v>376</v>
      </c>
      <c r="G740" s="267" t="s">
        <v>2264</v>
      </c>
    </row>
    <row r="741" spans="1:7">
      <c r="A741">
        <v>241</v>
      </c>
      <c r="B741">
        <v>2017</v>
      </c>
      <c r="C741" t="s">
        <v>377</v>
      </c>
      <c r="D741" t="s">
        <v>93</v>
      </c>
      <c r="E741" t="s">
        <v>362</v>
      </c>
      <c r="F741" s="267" t="s">
        <v>378</v>
      </c>
      <c r="G741" s="267" t="s">
        <v>2265</v>
      </c>
    </row>
    <row r="742" spans="1:7">
      <c r="A742">
        <v>241001</v>
      </c>
      <c r="B742">
        <v>2017</v>
      </c>
      <c r="C742" t="s">
        <v>379</v>
      </c>
      <c r="D742" t="s">
        <v>93</v>
      </c>
      <c r="E742" t="s">
        <v>362</v>
      </c>
      <c r="F742" s="267" t="s">
        <v>380</v>
      </c>
      <c r="G742" s="267" t="s">
        <v>2266</v>
      </c>
    </row>
    <row r="743" spans="1:7">
      <c r="A743">
        <v>241999</v>
      </c>
      <c r="B743">
        <v>2017</v>
      </c>
      <c r="C743" t="s">
        <v>381</v>
      </c>
      <c r="D743" t="s">
        <v>93</v>
      </c>
      <c r="E743" t="s">
        <v>362</v>
      </c>
      <c r="F743" s="267" t="s">
        <v>382</v>
      </c>
      <c r="G743" s="267" t="s">
        <v>2267</v>
      </c>
    </row>
    <row r="744" spans="1:7">
      <c r="A744">
        <v>251</v>
      </c>
      <c r="B744">
        <v>2017</v>
      </c>
      <c r="C744" t="s">
        <v>101</v>
      </c>
      <c r="D744" t="s">
        <v>93</v>
      </c>
      <c r="E744" t="s">
        <v>362</v>
      </c>
      <c r="F744" s="267" t="s">
        <v>383</v>
      </c>
      <c r="G744" s="267" t="s">
        <v>2268</v>
      </c>
    </row>
    <row r="745" spans="1:7">
      <c r="A745">
        <v>252</v>
      </c>
      <c r="B745">
        <v>2017</v>
      </c>
      <c r="C745" t="s">
        <v>102</v>
      </c>
      <c r="D745" t="s">
        <v>93</v>
      </c>
      <c r="E745" t="s">
        <v>362</v>
      </c>
      <c r="F745" s="267" t="s">
        <v>384</v>
      </c>
      <c r="G745" s="267" t="s">
        <v>2269</v>
      </c>
    </row>
    <row r="746" spans="1:7">
      <c r="A746">
        <v>254</v>
      </c>
      <c r="B746">
        <v>2017</v>
      </c>
      <c r="C746" t="s">
        <v>103</v>
      </c>
      <c r="D746" t="s">
        <v>93</v>
      </c>
      <c r="E746" t="s">
        <v>362</v>
      </c>
      <c r="F746" s="267" t="s">
        <v>385</v>
      </c>
      <c r="G746" s="267" t="s">
        <v>2270</v>
      </c>
    </row>
    <row r="747" spans="1:7">
      <c r="A747">
        <v>255</v>
      </c>
      <c r="B747">
        <v>2017</v>
      </c>
      <c r="C747" t="s">
        <v>104</v>
      </c>
      <c r="D747" t="s">
        <v>93</v>
      </c>
      <c r="E747" t="s">
        <v>362</v>
      </c>
      <c r="F747" s="267" t="s">
        <v>386</v>
      </c>
      <c r="G747" s="267" t="s">
        <v>2271</v>
      </c>
    </row>
    <row r="748" spans="1:7">
      <c r="A748">
        <v>256</v>
      </c>
      <c r="B748">
        <v>2017</v>
      </c>
      <c r="C748" t="s">
        <v>105</v>
      </c>
      <c r="D748" t="s">
        <v>93</v>
      </c>
      <c r="E748" t="s">
        <v>362</v>
      </c>
      <c r="F748" s="267" t="s">
        <v>387</v>
      </c>
      <c r="G748" s="267" t="s">
        <v>2272</v>
      </c>
    </row>
    <row r="749" spans="1:7">
      <c r="A749">
        <v>257</v>
      </c>
      <c r="B749">
        <v>2017</v>
      </c>
      <c r="C749" t="s">
        <v>106</v>
      </c>
      <c r="D749" t="s">
        <v>93</v>
      </c>
      <c r="E749" t="s">
        <v>362</v>
      </c>
      <c r="F749" s="267" t="s">
        <v>388</v>
      </c>
      <c r="G749" s="267" t="s">
        <v>2273</v>
      </c>
    </row>
    <row r="750" spans="1:7">
      <c r="A750">
        <v>2</v>
      </c>
      <c r="B750">
        <v>2017</v>
      </c>
      <c r="C750" t="s">
        <v>155</v>
      </c>
      <c r="D750" t="s">
        <v>93</v>
      </c>
      <c r="E750" t="s">
        <v>362</v>
      </c>
      <c r="F750" s="267" t="s">
        <v>389</v>
      </c>
      <c r="G750" s="267" t="s">
        <v>2274</v>
      </c>
    </row>
    <row r="751" spans="1:7">
      <c r="A751">
        <v>351</v>
      </c>
      <c r="B751">
        <v>2017</v>
      </c>
      <c r="C751" t="s">
        <v>107</v>
      </c>
      <c r="D751" t="s">
        <v>93</v>
      </c>
      <c r="E751" t="s">
        <v>362</v>
      </c>
      <c r="F751" s="267" t="s">
        <v>390</v>
      </c>
      <c r="G751" s="267" t="s">
        <v>2275</v>
      </c>
    </row>
    <row r="752" spans="1:7">
      <c r="A752">
        <v>352</v>
      </c>
      <c r="B752">
        <v>2017</v>
      </c>
      <c r="C752" t="s">
        <v>108</v>
      </c>
      <c r="D752" t="s">
        <v>93</v>
      </c>
      <c r="E752" t="s">
        <v>362</v>
      </c>
      <c r="F752" s="267" t="s">
        <v>391</v>
      </c>
      <c r="G752" s="267" t="s">
        <v>2276</v>
      </c>
    </row>
    <row r="753" spans="1:7">
      <c r="A753">
        <v>353</v>
      </c>
      <c r="B753">
        <v>2017</v>
      </c>
      <c r="C753" t="s">
        <v>109</v>
      </c>
      <c r="D753" t="s">
        <v>93</v>
      </c>
      <c r="E753" t="s">
        <v>362</v>
      </c>
      <c r="F753" s="267" t="s">
        <v>392</v>
      </c>
      <c r="G753" s="267" t="s">
        <v>2277</v>
      </c>
    </row>
    <row r="754" spans="1:7">
      <c r="A754">
        <v>354</v>
      </c>
      <c r="B754">
        <v>2017</v>
      </c>
      <c r="C754" t="s">
        <v>110</v>
      </c>
      <c r="D754" t="s">
        <v>93</v>
      </c>
      <c r="E754" t="s">
        <v>362</v>
      </c>
      <c r="F754" s="267" t="s">
        <v>393</v>
      </c>
      <c r="G754" s="267" t="s">
        <v>2278</v>
      </c>
    </row>
    <row r="755" spans="1:7">
      <c r="A755">
        <v>355</v>
      </c>
      <c r="B755">
        <v>2017</v>
      </c>
      <c r="C755" t="s">
        <v>111</v>
      </c>
      <c r="D755" t="s">
        <v>93</v>
      </c>
      <c r="E755" t="s">
        <v>362</v>
      </c>
      <c r="F755" s="267" t="s">
        <v>394</v>
      </c>
      <c r="G755" s="267" t="s">
        <v>2279</v>
      </c>
    </row>
    <row r="756" spans="1:7">
      <c r="A756">
        <v>356</v>
      </c>
      <c r="B756">
        <v>2017</v>
      </c>
      <c r="C756" t="s">
        <v>112</v>
      </c>
      <c r="D756" t="s">
        <v>93</v>
      </c>
      <c r="E756" t="s">
        <v>362</v>
      </c>
      <c r="F756" s="267" t="s">
        <v>395</v>
      </c>
      <c r="G756" s="267" t="s">
        <v>2280</v>
      </c>
    </row>
    <row r="757" spans="1:7">
      <c r="A757">
        <v>357</v>
      </c>
      <c r="B757">
        <v>2017</v>
      </c>
      <c r="C757" t="s">
        <v>113</v>
      </c>
      <c r="D757" t="s">
        <v>93</v>
      </c>
      <c r="E757" t="s">
        <v>362</v>
      </c>
      <c r="F757" s="267" t="s">
        <v>396</v>
      </c>
      <c r="G757" s="267" t="s">
        <v>2281</v>
      </c>
    </row>
    <row r="758" spans="1:7">
      <c r="A758">
        <v>358</v>
      </c>
      <c r="B758">
        <v>2017</v>
      </c>
      <c r="C758" t="s">
        <v>114</v>
      </c>
      <c r="D758" t="s">
        <v>93</v>
      </c>
      <c r="E758" t="s">
        <v>362</v>
      </c>
      <c r="F758" s="267" t="s">
        <v>397</v>
      </c>
      <c r="G758" s="267" t="s">
        <v>2282</v>
      </c>
    </row>
    <row r="759" spans="1:7">
      <c r="A759">
        <v>359</v>
      </c>
      <c r="B759">
        <v>2017</v>
      </c>
      <c r="C759" t="s">
        <v>115</v>
      </c>
      <c r="D759" t="s">
        <v>93</v>
      </c>
      <c r="E759" t="s">
        <v>362</v>
      </c>
      <c r="F759" s="267" t="s">
        <v>398</v>
      </c>
      <c r="G759" s="267" t="s">
        <v>2283</v>
      </c>
    </row>
    <row r="760" spans="1:7">
      <c r="A760">
        <v>360</v>
      </c>
      <c r="B760">
        <v>2017</v>
      </c>
      <c r="C760" t="s">
        <v>116</v>
      </c>
      <c r="D760" t="s">
        <v>93</v>
      </c>
      <c r="E760" t="s">
        <v>362</v>
      </c>
      <c r="F760" s="267" t="s">
        <v>399</v>
      </c>
      <c r="G760" s="267" t="s">
        <v>2284</v>
      </c>
    </row>
    <row r="761" spans="1:7">
      <c r="A761">
        <v>361</v>
      </c>
      <c r="B761">
        <v>2017</v>
      </c>
      <c r="C761" t="s">
        <v>117</v>
      </c>
      <c r="D761" t="s">
        <v>93</v>
      </c>
      <c r="E761" t="s">
        <v>362</v>
      </c>
      <c r="F761" s="267" t="s">
        <v>400</v>
      </c>
      <c r="G761" s="267" t="s">
        <v>2285</v>
      </c>
    </row>
    <row r="762" spans="1:7">
      <c r="A762">
        <v>3</v>
      </c>
      <c r="B762">
        <v>2017</v>
      </c>
      <c r="C762" t="s">
        <v>156</v>
      </c>
      <c r="D762" t="s">
        <v>93</v>
      </c>
      <c r="E762" t="s">
        <v>362</v>
      </c>
      <c r="F762" s="267" t="s">
        <v>401</v>
      </c>
      <c r="G762" s="267" t="s">
        <v>2286</v>
      </c>
    </row>
    <row r="763" spans="1:7">
      <c r="A763">
        <v>401</v>
      </c>
      <c r="B763">
        <v>2017</v>
      </c>
      <c r="C763" t="s">
        <v>402</v>
      </c>
      <c r="D763" t="s">
        <v>93</v>
      </c>
      <c r="E763" t="s">
        <v>362</v>
      </c>
      <c r="F763" s="267" t="s">
        <v>403</v>
      </c>
      <c r="G763" s="267" t="s">
        <v>2287</v>
      </c>
    </row>
    <row r="764" spans="1:7">
      <c r="A764">
        <v>402</v>
      </c>
      <c r="B764">
        <v>2017</v>
      </c>
      <c r="C764" t="s">
        <v>404</v>
      </c>
      <c r="D764" t="s">
        <v>93</v>
      </c>
      <c r="E764" t="s">
        <v>362</v>
      </c>
      <c r="F764" s="267" t="s">
        <v>405</v>
      </c>
      <c r="G764" s="267" t="s">
        <v>2288</v>
      </c>
    </row>
    <row r="765" spans="1:7">
      <c r="A765">
        <v>403</v>
      </c>
      <c r="B765">
        <v>2017</v>
      </c>
      <c r="C765" t="s">
        <v>406</v>
      </c>
      <c r="D765" t="s">
        <v>93</v>
      </c>
      <c r="E765" t="s">
        <v>362</v>
      </c>
      <c r="F765" s="267" t="s">
        <v>407</v>
      </c>
      <c r="G765" s="267" t="s">
        <v>2289</v>
      </c>
    </row>
    <row r="766" spans="1:7">
      <c r="A766">
        <v>404</v>
      </c>
      <c r="B766">
        <v>2017</v>
      </c>
      <c r="C766" t="s">
        <v>408</v>
      </c>
      <c r="D766" t="s">
        <v>93</v>
      </c>
      <c r="E766" t="s">
        <v>362</v>
      </c>
      <c r="F766" s="267" t="s">
        <v>409</v>
      </c>
      <c r="G766" s="267" t="s">
        <v>2290</v>
      </c>
    </row>
    <row r="767" spans="1:7">
      <c r="A767">
        <v>405</v>
      </c>
      <c r="B767">
        <v>2017</v>
      </c>
      <c r="C767" t="s">
        <v>410</v>
      </c>
      <c r="D767" t="s">
        <v>93</v>
      </c>
      <c r="E767" t="s">
        <v>362</v>
      </c>
      <c r="F767" s="267" t="s">
        <v>411</v>
      </c>
      <c r="G767" s="267" t="s">
        <v>2291</v>
      </c>
    </row>
    <row r="768" spans="1:7">
      <c r="A768">
        <v>451</v>
      </c>
      <c r="B768">
        <v>2017</v>
      </c>
      <c r="C768" t="s">
        <v>118</v>
      </c>
      <c r="D768" t="s">
        <v>93</v>
      </c>
      <c r="E768" t="s">
        <v>362</v>
      </c>
      <c r="F768" s="267" t="s">
        <v>412</v>
      </c>
      <c r="G768" s="267" t="s">
        <v>2292</v>
      </c>
    </row>
    <row r="769" spans="1:7">
      <c r="A769">
        <v>452</v>
      </c>
      <c r="B769">
        <v>2017</v>
      </c>
      <c r="C769" t="s">
        <v>119</v>
      </c>
      <c r="D769" t="s">
        <v>93</v>
      </c>
      <c r="E769" t="s">
        <v>362</v>
      </c>
      <c r="F769" s="267" t="s">
        <v>413</v>
      </c>
      <c r="G769" s="267" t="s">
        <v>2293</v>
      </c>
    </row>
    <row r="770" spans="1:7">
      <c r="A770">
        <v>453</v>
      </c>
      <c r="B770">
        <v>2017</v>
      </c>
      <c r="C770" t="s">
        <v>120</v>
      </c>
      <c r="D770" t="s">
        <v>93</v>
      </c>
      <c r="E770" t="s">
        <v>362</v>
      </c>
      <c r="F770" s="267" t="s">
        <v>414</v>
      </c>
      <c r="G770" s="267" t="s">
        <v>2294</v>
      </c>
    </row>
    <row r="771" spans="1:7">
      <c r="A771">
        <v>454</v>
      </c>
      <c r="B771">
        <v>2017</v>
      </c>
      <c r="C771" t="s">
        <v>121</v>
      </c>
      <c r="D771" t="s">
        <v>93</v>
      </c>
      <c r="E771" t="s">
        <v>362</v>
      </c>
      <c r="F771" s="267" t="s">
        <v>415</v>
      </c>
      <c r="G771" s="267" t="s">
        <v>2295</v>
      </c>
    </row>
    <row r="772" spans="1:7">
      <c r="A772">
        <v>455</v>
      </c>
      <c r="B772">
        <v>2017</v>
      </c>
      <c r="C772" t="s">
        <v>122</v>
      </c>
      <c r="D772" t="s">
        <v>93</v>
      </c>
      <c r="E772" t="s">
        <v>362</v>
      </c>
      <c r="F772" s="267" t="s">
        <v>416</v>
      </c>
      <c r="G772" s="267" t="s">
        <v>2296</v>
      </c>
    </row>
    <row r="773" spans="1:7">
      <c r="A773">
        <v>456</v>
      </c>
      <c r="B773">
        <v>2017</v>
      </c>
      <c r="C773" t="s">
        <v>123</v>
      </c>
      <c r="D773" t="s">
        <v>93</v>
      </c>
      <c r="E773" t="s">
        <v>362</v>
      </c>
      <c r="F773" s="267" t="s">
        <v>417</v>
      </c>
      <c r="G773" s="267" t="s">
        <v>2297</v>
      </c>
    </row>
    <row r="774" spans="1:7">
      <c r="A774">
        <v>457</v>
      </c>
      <c r="B774">
        <v>2017</v>
      </c>
      <c r="C774" t="s">
        <v>124</v>
      </c>
      <c r="D774" t="s">
        <v>93</v>
      </c>
      <c r="E774" t="s">
        <v>362</v>
      </c>
      <c r="F774" s="267" t="s">
        <v>418</v>
      </c>
      <c r="G774" s="267" t="s">
        <v>2298</v>
      </c>
    </row>
    <row r="775" spans="1:7">
      <c r="A775">
        <v>458</v>
      </c>
      <c r="B775">
        <v>2017</v>
      </c>
      <c r="C775" t="s">
        <v>125</v>
      </c>
      <c r="D775" t="s">
        <v>93</v>
      </c>
      <c r="E775" t="s">
        <v>362</v>
      </c>
      <c r="F775" s="267" t="s">
        <v>419</v>
      </c>
      <c r="G775" s="267" t="s">
        <v>2299</v>
      </c>
    </row>
    <row r="776" spans="1:7">
      <c r="A776">
        <v>459</v>
      </c>
      <c r="B776">
        <v>2017</v>
      </c>
      <c r="C776" t="s">
        <v>126</v>
      </c>
      <c r="D776" t="s">
        <v>93</v>
      </c>
      <c r="E776" t="s">
        <v>362</v>
      </c>
      <c r="F776" s="267" t="s">
        <v>420</v>
      </c>
      <c r="G776" s="267" t="s">
        <v>2300</v>
      </c>
    </row>
    <row r="777" spans="1:7">
      <c r="A777">
        <v>460</v>
      </c>
      <c r="B777">
        <v>2017</v>
      </c>
      <c r="C777" t="s">
        <v>127</v>
      </c>
      <c r="D777" t="s">
        <v>93</v>
      </c>
      <c r="E777" t="s">
        <v>362</v>
      </c>
      <c r="F777" s="267" t="s">
        <v>421</v>
      </c>
      <c r="G777" s="267" t="s">
        <v>2301</v>
      </c>
    </row>
    <row r="778" spans="1:7">
      <c r="A778">
        <v>461</v>
      </c>
      <c r="B778">
        <v>2017</v>
      </c>
      <c r="C778" t="s">
        <v>128</v>
      </c>
      <c r="D778" t="s">
        <v>93</v>
      </c>
      <c r="E778" t="s">
        <v>362</v>
      </c>
      <c r="F778" s="267" t="s">
        <v>422</v>
      </c>
      <c r="G778" s="267" t="s">
        <v>2302</v>
      </c>
    </row>
    <row r="779" spans="1:7">
      <c r="A779">
        <v>462</v>
      </c>
      <c r="B779">
        <v>2017</v>
      </c>
      <c r="C779" t="s">
        <v>129</v>
      </c>
      <c r="D779" t="s">
        <v>93</v>
      </c>
      <c r="E779" t="s">
        <v>362</v>
      </c>
      <c r="F779" s="267" t="s">
        <v>423</v>
      </c>
      <c r="G779" s="267" t="s">
        <v>2303</v>
      </c>
    </row>
    <row r="780" spans="1:7">
      <c r="A780">
        <v>4</v>
      </c>
      <c r="B780">
        <v>2017</v>
      </c>
      <c r="C780" t="s">
        <v>157</v>
      </c>
      <c r="D780" t="s">
        <v>93</v>
      </c>
      <c r="E780" t="s">
        <v>362</v>
      </c>
      <c r="F780" s="267" t="s">
        <v>424</v>
      </c>
      <c r="G780" s="267" t="s">
        <v>2304</v>
      </c>
    </row>
    <row r="781" spans="1:7">
      <c r="A781">
        <v>0</v>
      </c>
      <c r="B781">
        <v>2017</v>
      </c>
      <c r="C781" t="s">
        <v>130</v>
      </c>
      <c r="D781" t="s">
        <v>93</v>
      </c>
      <c r="E781" t="s">
        <v>362</v>
      </c>
      <c r="F781" s="267" t="s">
        <v>425</v>
      </c>
      <c r="G781" s="267" t="s">
        <v>2305</v>
      </c>
    </row>
    <row r="782" spans="1:7">
      <c r="A782">
        <v>101</v>
      </c>
      <c r="B782">
        <v>2017</v>
      </c>
      <c r="C782" t="s">
        <v>363</v>
      </c>
      <c r="D782" t="s">
        <v>131</v>
      </c>
      <c r="E782" t="s">
        <v>362</v>
      </c>
      <c r="F782" s="267" t="s">
        <v>364</v>
      </c>
      <c r="G782" s="267" t="s">
        <v>2410</v>
      </c>
    </row>
    <row r="783" spans="1:7">
      <c r="A783">
        <v>102</v>
      </c>
      <c r="B783">
        <v>2017</v>
      </c>
      <c r="C783" t="s">
        <v>365</v>
      </c>
      <c r="D783" t="s">
        <v>131</v>
      </c>
      <c r="E783" t="s">
        <v>362</v>
      </c>
      <c r="F783" s="267" t="s">
        <v>366</v>
      </c>
      <c r="G783" s="267" t="s">
        <v>2411</v>
      </c>
    </row>
    <row r="784" spans="1:7">
      <c r="A784">
        <v>103</v>
      </c>
      <c r="B784">
        <v>2017</v>
      </c>
      <c r="C784" t="s">
        <v>367</v>
      </c>
      <c r="D784" t="s">
        <v>131</v>
      </c>
      <c r="E784" t="s">
        <v>362</v>
      </c>
      <c r="F784" s="267" t="s">
        <v>368</v>
      </c>
      <c r="G784" s="267" t="s">
        <v>2412</v>
      </c>
    </row>
    <row r="785" spans="1:7">
      <c r="A785">
        <v>151</v>
      </c>
      <c r="B785">
        <v>2017</v>
      </c>
      <c r="C785" t="s">
        <v>94</v>
      </c>
      <c r="D785" t="s">
        <v>131</v>
      </c>
      <c r="E785" t="s">
        <v>362</v>
      </c>
      <c r="F785" s="267" t="s">
        <v>369</v>
      </c>
      <c r="G785" s="267" t="s">
        <v>2413</v>
      </c>
    </row>
    <row r="786" spans="1:7">
      <c r="A786">
        <v>153</v>
      </c>
      <c r="B786">
        <v>2017</v>
      </c>
      <c r="C786" t="s">
        <v>96</v>
      </c>
      <c r="D786" t="s">
        <v>131</v>
      </c>
      <c r="E786" t="s">
        <v>362</v>
      </c>
      <c r="F786" s="267" t="s">
        <v>370</v>
      </c>
      <c r="G786" s="267" t="s">
        <v>2414</v>
      </c>
    </row>
    <row r="787" spans="1:7">
      <c r="A787">
        <v>154</v>
      </c>
      <c r="B787">
        <v>2017</v>
      </c>
      <c r="C787" t="s">
        <v>97</v>
      </c>
      <c r="D787" t="s">
        <v>131</v>
      </c>
      <c r="E787" t="s">
        <v>362</v>
      </c>
      <c r="F787" s="267" t="s">
        <v>371</v>
      </c>
      <c r="G787" s="267" t="s">
        <v>2415</v>
      </c>
    </row>
    <row r="788" spans="1:7">
      <c r="A788">
        <v>155</v>
      </c>
      <c r="B788">
        <v>2017</v>
      </c>
      <c r="C788" t="s">
        <v>98</v>
      </c>
      <c r="D788" t="s">
        <v>131</v>
      </c>
      <c r="E788" t="s">
        <v>362</v>
      </c>
      <c r="F788" s="267" t="s">
        <v>372</v>
      </c>
      <c r="G788" s="267" t="s">
        <v>2416</v>
      </c>
    </row>
    <row r="789" spans="1:7">
      <c r="A789">
        <v>157</v>
      </c>
      <c r="B789">
        <v>2017</v>
      </c>
      <c r="C789" t="s">
        <v>99</v>
      </c>
      <c r="D789" t="s">
        <v>131</v>
      </c>
      <c r="E789" t="s">
        <v>362</v>
      </c>
      <c r="F789" s="267" t="s">
        <v>373</v>
      </c>
      <c r="G789" s="267" t="s">
        <v>2417</v>
      </c>
    </row>
    <row r="790" spans="1:7">
      <c r="A790">
        <v>158</v>
      </c>
      <c r="B790">
        <v>2017</v>
      </c>
      <c r="C790" t="s">
        <v>100</v>
      </c>
      <c r="D790" t="s">
        <v>131</v>
      </c>
      <c r="E790" t="s">
        <v>362</v>
      </c>
      <c r="F790" s="267" t="s">
        <v>374</v>
      </c>
      <c r="G790" s="267" t="s">
        <v>2418</v>
      </c>
    </row>
    <row r="791" spans="1:7">
      <c r="A791">
        <v>159</v>
      </c>
      <c r="B791">
        <v>2017</v>
      </c>
      <c r="C791" t="s">
        <v>95</v>
      </c>
      <c r="D791" t="s">
        <v>131</v>
      </c>
      <c r="E791" t="s">
        <v>362</v>
      </c>
      <c r="F791" s="267" t="s">
        <v>375</v>
      </c>
      <c r="G791" s="267" t="s">
        <v>2419</v>
      </c>
    </row>
    <row r="792" spans="1:7">
      <c r="A792">
        <v>1</v>
      </c>
      <c r="B792">
        <v>2017</v>
      </c>
      <c r="C792" t="s">
        <v>154</v>
      </c>
      <c r="D792" t="s">
        <v>131</v>
      </c>
      <c r="E792" t="s">
        <v>362</v>
      </c>
      <c r="F792" s="267" t="s">
        <v>376</v>
      </c>
      <c r="G792" s="267" t="s">
        <v>2420</v>
      </c>
    </row>
    <row r="793" spans="1:7">
      <c r="A793">
        <v>241</v>
      </c>
      <c r="B793">
        <v>2017</v>
      </c>
      <c r="C793" t="s">
        <v>377</v>
      </c>
      <c r="D793" t="s">
        <v>131</v>
      </c>
      <c r="E793" t="s">
        <v>362</v>
      </c>
      <c r="F793" s="267" t="s">
        <v>378</v>
      </c>
      <c r="G793" s="267" t="s">
        <v>2421</v>
      </c>
    </row>
    <row r="794" spans="1:7">
      <c r="A794">
        <v>241001</v>
      </c>
      <c r="B794">
        <v>2017</v>
      </c>
      <c r="C794" t="s">
        <v>379</v>
      </c>
      <c r="D794" t="s">
        <v>131</v>
      </c>
      <c r="E794" t="s">
        <v>362</v>
      </c>
      <c r="F794" s="267" t="s">
        <v>380</v>
      </c>
      <c r="G794" s="267" t="s">
        <v>2422</v>
      </c>
    </row>
    <row r="795" spans="1:7">
      <c r="A795">
        <v>241999</v>
      </c>
      <c r="B795">
        <v>2017</v>
      </c>
      <c r="C795" t="s">
        <v>381</v>
      </c>
      <c r="D795" t="s">
        <v>131</v>
      </c>
      <c r="E795" t="s">
        <v>362</v>
      </c>
      <c r="F795" s="267" t="s">
        <v>382</v>
      </c>
      <c r="G795" s="267" t="s">
        <v>2423</v>
      </c>
    </row>
    <row r="796" spans="1:7">
      <c r="A796">
        <v>251</v>
      </c>
      <c r="B796">
        <v>2017</v>
      </c>
      <c r="C796" t="s">
        <v>101</v>
      </c>
      <c r="D796" t="s">
        <v>131</v>
      </c>
      <c r="E796" t="s">
        <v>362</v>
      </c>
      <c r="F796" s="267" t="s">
        <v>383</v>
      </c>
      <c r="G796" s="267" t="s">
        <v>2424</v>
      </c>
    </row>
    <row r="797" spans="1:7">
      <c r="A797">
        <v>252</v>
      </c>
      <c r="B797">
        <v>2017</v>
      </c>
      <c r="C797" t="s">
        <v>102</v>
      </c>
      <c r="D797" t="s">
        <v>131</v>
      </c>
      <c r="E797" t="s">
        <v>362</v>
      </c>
      <c r="F797" s="267" t="s">
        <v>384</v>
      </c>
      <c r="G797" s="267" t="s">
        <v>2425</v>
      </c>
    </row>
    <row r="798" spans="1:7">
      <c r="A798">
        <v>254</v>
      </c>
      <c r="B798">
        <v>2017</v>
      </c>
      <c r="C798" t="s">
        <v>103</v>
      </c>
      <c r="D798" t="s">
        <v>131</v>
      </c>
      <c r="E798" t="s">
        <v>362</v>
      </c>
      <c r="F798" s="267" t="s">
        <v>385</v>
      </c>
      <c r="G798" s="267" t="s">
        <v>2426</v>
      </c>
    </row>
    <row r="799" spans="1:7">
      <c r="A799">
        <v>255</v>
      </c>
      <c r="B799">
        <v>2017</v>
      </c>
      <c r="C799" t="s">
        <v>104</v>
      </c>
      <c r="D799" t="s">
        <v>131</v>
      </c>
      <c r="E799" t="s">
        <v>362</v>
      </c>
      <c r="F799" s="267" t="s">
        <v>386</v>
      </c>
      <c r="G799" s="267" t="s">
        <v>2427</v>
      </c>
    </row>
    <row r="800" spans="1:7">
      <c r="A800">
        <v>256</v>
      </c>
      <c r="B800">
        <v>2017</v>
      </c>
      <c r="C800" t="s">
        <v>105</v>
      </c>
      <c r="D800" t="s">
        <v>131</v>
      </c>
      <c r="E800" t="s">
        <v>362</v>
      </c>
      <c r="F800" s="267" t="s">
        <v>387</v>
      </c>
      <c r="G800" s="267" t="s">
        <v>2428</v>
      </c>
    </row>
    <row r="801" spans="1:7">
      <c r="A801">
        <v>257</v>
      </c>
      <c r="B801">
        <v>2017</v>
      </c>
      <c r="C801" t="s">
        <v>106</v>
      </c>
      <c r="D801" t="s">
        <v>131</v>
      </c>
      <c r="E801" t="s">
        <v>362</v>
      </c>
      <c r="F801" s="267" t="s">
        <v>388</v>
      </c>
      <c r="G801" s="267" t="s">
        <v>2429</v>
      </c>
    </row>
    <row r="802" spans="1:7">
      <c r="A802">
        <v>2</v>
      </c>
      <c r="B802">
        <v>2017</v>
      </c>
      <c r="C802" t="s">
        <v>155</v>
      </c>
      <c r="D802" t="s">
        <v>131</v>
      </c>
      <c r="E802" t="s">
        <v>362</v>
      </c>
      <c r="F802" s="267" t="s">
        <v>389</v>
      </c>
      <c r="G802" s="267" t="s">
        <v>2430</v>
      </c>
    </row>
    <row r="803" spans="1:7">
      <c r="A803">
        <v>351</v>
      </c>
      <c r="B803">
        <v>2017</v>
      </c>
      <c r="C803" t="s">
        <v>107</v>
      </c>
      <c r="D803" t="s">
        <v>131</v>
      </c>
      <c r="E803" t="s">
        <v>362</v>
      </c>
      <c r="F803" s="267" t="s">
        <v>390</v>
      </c>
      <c r="G803" s="267" t="s">
        <v>2431</v>
      </c>
    </row>
    <row r="804" spans="1:7">
      <c r="A804">
        <v>352</v>
      </c>
      <c r="B804">
        <v>2017</v>
      </c>
      <c r="C804" t="s">
        <v>108</v>
      </c>
      <c r="D804" t="s">
        <v>131</v>
      </c>
      <c r="E804" t="s">
        <v>362</v>
      </c>
      <c r="F804" s="267" t="s">
        <v>391</v>
      </c>
      <c r="G804" s="267" t="s">
        <v>2432</v>
      </c>
    </row>
    <row r="805" spans="1:7">
      <c r="A805">
        <v>353</v>
      </c>
      <c r="B805">
        <v>2017</v>
      </c>
      <c r="C805" t="s">
        <v>109</v>
      </c>
      <c r="D805" t="s">
        <v>131</v>
      </c>
      <c r="E805" t="s">
        <v>362</v>
      </c>
      <c r="F805" s="267" t="s">
        <v>392</v>
      </c>
      <c r="G805" s="267" t="s">
        <v>2433</v>
      </c>
    </row>
    <row r="806" spans="1:7">
      <c r="A806">
        <v>354</v>
      </c>
      <c r="B806">
        <v>2017</v>
      </c>
      <c r="C806" t="s">
        <v>110</v>
      </c>
      <c r="D806" t="s">
        <v>131</v>
      </c>
      <c r="E806" t="s">
        <v>362</v>
      </c>
      <c r="F806" s="267" t="s">
        <v>393</v>
      </c>
      <c r="G806" s="267" t="s">
        <v>2434</v>
      </c>
    </row>
    <row r="807" spans="1:7">
      <c r="A807">
        <v>355</v>
      </c>
      <c r="B807">
        <v>2017</v>
      </c>
      <c r="C807" t="s">
        <v>111</v>
      </c>
      <c r="D807" t="s">
        <v>131</v>
      </c>
      <c r="E807" t="s">
        <v>362</v>
      </c>
      <c r="F807" s="267" t="s">
        <v>394</v>
      </c>
      <c r="G807" s="267" t="s">
        <v>2435</v>
      </c>
    </row>
    <row r="808" spans="1:7">
      <c r="A808">
        <v>356</v>
      </c>
      <c r="B808">
        <v>2017</v>
      </c>
      <c r="C808" t="s">
        <v>112</v>
      </c>
      <c r="D808" t="s">
        <v>131</v>
      </c>
      <c r="E808" t="s">
        <v>362</v>
      </c>
      <c r="F808" s="267" t="s">
        <v>395</v>
      </c>
      <c r="G808" s="267" t="s">
        <v>2436</v>
      </c>
    </row>
    <row r="809" spans="1:7">
      <c r="A809">
        <v>357</v>
      </c>
      <c r="B809">
        <v>2017</v>
      </c>
      <c r="C809" t="s">
        <v>113</v>
      </c>
      <c r="D809" t="s">
        <v>131</v>
      </c>
      <c r="E809" t="s">
        <v>362</v>
      </c>
      <c r="F809" s="267" t="s">
        <v>396</v>
      </c>
      <c r="G809" s="267" t="s">
        <v>2437</v>
      </c>
    </row>
    <row r="810" spans="1:7">
      <c r="A810">
        <v>358</v>
      </c>
      <c r="B810">
        <v>2017</v>
      </c>
      <c r="C810" t="s">
        <v>114</v>
      </c>
      <c r="D810" t="s">
        <v>131</v>
      </c>
      <c r="E810" t="s">
        <v>362</v>
      </c>
      <c r="F810" s="267" t="s">
        <v>397</v>
      </c>
      <c r="G810" s="267" t="s">
        <v>2438</v>
      </c>
    </row>
    <row r="811" spans="1:7">
      <c r="A811">
        <v>359</v>
      </c>
      <c r="B811">
        <v>2017</v>
      </c>
      <c r="C811" t="s">
        <v>115</v>
      </c>
      <c r="D811" t="s">
        <v>131</v>
      </c>
      <c r="E811" t="s">
        <v>362</v>
      </c>
      <c r="F811" s="267" t="s">
        <v>398</v>
      </c>
      <c r="G811" s="267" t="s">
        <v>2439</v>
      </c>
    </row>
    <row r="812" spans="1:7">
      <c r="A812">
        <v>360</v>
      </c>
      <c r="B812">
        <v>2017</v>
      </c>
      <c r="C812" t="s">
        <v>116</v>
      </c>
      <c r="D812" t="s">
        <v>131</v>
      </c>
      <c r="E812" t="s">
        <v>362</v>
      </c>
      <c r="F812" s="267" t="s">
        <v>399</v>
      </c>
      <c r="G812" s="267" t="s">
        <v>2440</v>
      </c>
    </row>
    <row r="813" spans="1:7">
      <c r="A813">
        <v>361</v>
      </c>
      <c r="B813">
        <v>2017</v>
      </c>
      <c r="C813" t="s">
        <v>117</v>
      </c>
      <c r="D813" t="s">
        <v>131</v>
      </c>
      <c r="E813" t="s">
        <v>362</v>
      </c>
      <c r="F813" s="267" t="s">
        <v>400</v>
      </c>
      <c r="G813" s="267" t="s">
        <v>2441</v>
      </c>
    </row>
    <row r="814" spans="1:7">
      <c r="A814">
        <v>3</v>
      </c>
      <c r="B814">
        <v>2017</v>
      </c>
      <c r="C814" t="s">
        <v>156</v>
      </c>
      <c r="D814" t="s">
        <v>131</v>
      </c>
      <c r="E814" t="s">
        <v>362</v>
      </c>
      <c r="F814" s="267" t="s">
        <v>401</v>
      </c>
      <c r="G814" s="267" t="s">
        <v>2442</v>
      </c>
    </row>
    <row r="815" spans="1:7">
      <c r="A815">
        <v>401</v>
      </c>
      <c r="B815">
        <v>2017</v>
      </c>
      <c r="C815" t="s">
        <v>402</v>
      </c>
      <c r="D815" t="s">
        <v>131</v>
      </c>
      <c r="E815" t="s">
        <v>362</v>
      </c>
      <c r="F815" s="267" t="s">
        <v>403</v>
      </c>
      <c r="G815" s="267" t="s">
        <v>2443</v>
      </c>
    </row>
    <row r="816" spans="1:7">
      <c r="A816">
        <v>402</v>
      </c>
      <c r="B816">
        <v>2017</v>
      </c>
      <c r="C816" t="s">
        <v>404</v>
      </c>
      <c r="D816" t="s">
        <v>131</v>
      </c>
      <c r="E816" t="s">
        <v>362</v>
      </c>
      <c r="F816" s="267" t="s">
        <v>405</v>
      </c>
      <c r="G816" s="267" t="s">
        <v>2444</v>
      </c>
    </row>
    <row r="817" spans="1:7">
      <c r="A817">
        <v>403</v>
      </c>
      <c r="B817">
        <v>2017</v>
      </c>
      <c r="C817" t="s">
        <v>406</v>
      </c>
      <c r="D817" t="s">
        <v>131</v>
      </c>
      <c r="E817" t="s">
        <v>362</v>
      </c>
      <c r="F817" s="267" t="s">
        <v>407</v>
      </c>
      <c r="G817" s="267" t="s">
        <v>2445</v>
      </c>
    </row>
    <row r="818" spans="1:7">
      <c r="A818">
        <v>404</v>
      </c>
      <c r="B818">
        <v>2017</v>
      </c>
      <c r="C818" t="s">
        <v>408</v>
      </c>
      <c r="D818" t="s">
        <v>131</v>
      </c>
      <c r="E818" t="s">
        <v>362</v>
      </c>
      <c r="F818" s="267" t="s">
        <v>409</v>
      </c>
      <c r="G818" s="267" t="s">
        <v>2446</v>
      </c>
    </row>
    <row r="819" spans="1:7">
      <c r="A819">
        <v>405</v>
      </c>
      <c r="B819">
        <v>2017</v>
      </c>
      <c r="C819" t="s">
        <v>410</v>
      </c>
      <c r="D819" t="s">
        <v>131</v>
      </c>
      <c r="E819" t="s">
        <v>362</v>
      </c>
      <c r="F819" s="267" t="s">
        <v>411</v>
      </c>
      <c r="G819" s="267" t="s">
        <v>2447</v>
      </c>
    </row>
    <row r="820" spans="1:7">
      <c r="A820">
        <v>451</v>
      </c>
      <c r="B820">
        <v>2017</v>
      </c>
      <c r="C820" t="s">
        <v>118</v>
      </c>
      <c r="D820" t="s">
        <v>131</v>
      </c>
      <c r="E820" t="s">
        <v>362</v>
      </c>
      <c r="F820" s="267" t="s">
        <v>412</v>
      </c>
      <c r="G820" s="267" t="s">
        <v>2448</v>
      </c>
    </row>
    <row r="821" spans="1:7">
      <c r="A821">
        <v>452</v>
      </c>
      <c r="B821">
        <v>2017</v>
      </c>
      <c r="C821" t="s">
        <v>119</v>
      </c>
      <c r="D821" t="s">
        <v>131</v>
      </c>
      <c r="E821" t="s">
        <v>362</v>
      </c>
      <c r="F821" s="267" t="s">
        <v>413</v>
      </c>
      <c r="G821" s="267" t="s">
        <v>2449</v>
      </c>
    </row>
    <row r="822" spans="1:7">
      <c r="A822">
        <v>453</v>
      </c>
      <c r="B822">
        <v>2017</v>
      </c>
      <c r="C822" t="s">
        <v>120</v>
      </c>
      <c r="D822" t="s">
        <v>131</v>
      </c>
      <c r="E822" t="s">
        <v>362</v>
      </c>
      <c r="F822" s="267" t="s">
        <v>414</v>
      </c>
      <c r="G822" s="267" t="s">
        <v>2450</v>
      </c>
    </row>
    <row r="823" spans="1:7">
      <c r="A823">
        <v>454</v>
      </c>
      <c r="B823">
        <v>2017</v>
      </c>
      <c r="C823" t="s">
        <v>121</v>
      </c>
      <c r="D823" t="s">
        <v>131</v>
      </c>
      <c r="E823" t="s">
        <v>362</v>
      </c>
      <c r="F823" s="267" t="s">
        <v>415</v>
      </c>
      <c r="G823" s="267" t="s">
        <v>2451</v>
      </c>
    </row>
    <row r="824" spans="1:7">
      <c r="A824">
        <v>455</v>
      </c>
      <c r="B824">
        <v>2017</v>
      </c>
      <c r="C824" t="s">
        <v>122</v>
      </c>
      <c r="D824" t="s">
        <v>131</v>
      </c>
      <c r="E824" t="s">
        <v>362</v>
      </c>
      <c r="F824" s="267" t="s">
        <v>416</v>
      </c>
      <c r="G824" s="267" t="s">
        <v>2452</v>
      </c>
    </row>
    <row r="825" spans="1:7">
      <c r="A825">
        <v>456</v>
      </c>
      <c r="B825">
        <v>2017</v>
      </c>
      <c r="C825" t="s">
        <v>123</v>
      </c>
      <c r="D825" t="s">
        <v>131</v>
      </c>
      <c r="E825" t="s">
        <v>362</v>
      </c>
      <c r="F825" s="267" t="s">
        <v>417</v>
      </c>
      <c r="G825" s="267" t="s">
        <v>2453</v>
      </c>
    </row>
    <row r="826" spans="1:7">
      <c r="A826">
        <v>457</v>
      </c>
      <c r="B826">
        <v>2017</v>
      </c>
      <c r="C826" t="s">
        <v>124</v>
      </c>
      <c r="D826" t="s">
        <v>131</v>
      </c>
      <c r="E826" t="s">
        <v>362</v>
      </c>
      <c r="F826" s="267" t="s">
        <v>418</v>
      </c>
      <c r="G826" s="267" t="s">
        <v>2454</v>
      </c>
    </row>
    <row r="827" spans="1:7">
      <c r="A827">
        <v>458</v>
      </c>
      <c r="B827">
        <v>2017</v>
      </c>
      <c r="C827" t="s">
        <v>125</v>
      </c>
      <c r="D827" t="s">
        <v>131</v>
      </c>
      <c r="E827" t="s">
        <v>362</v>
      </c>
      <c r="F827" s="267" t="s">
        <v>419</v>
      </c>
      <c r="G827" s="267" t="s">
        <v>2455</v>
      </c>
    </row>
    <row r="828" spans="1:7">
      <c r="A828">
        <v>459</v>
      </c>
      <c r="B828">
        <v>2017</v>
      </c>
      <c r="C828" t="s">
        <v>126</v>
      </c>
      <c r="D828" t="s">
        <v>131</v>
      </c>
      <c r="E828" t="s">
        <v>362</v>
      </c>
      <c r="F828" s="267" t="s">
        <v>420</v>
      </c>
      <c r="G828" s="267" t="s">
        <v>2456</v>
      </c>
    </row>
    <row r="829" spans="1:7">
      <c r="A829">
        <v>460</v>
      </c>
      <c r="B829">
        <v>2017</v>
      </c>
      <c r="C829" t="s">
        <v>127</v>
      </c>
      <c r="D829" t="s">
        <v>131</v>
      </c>
      <c r="E829" t="s">
        <v>362</v>
      </c>
      <c r="F829" s="267" t="s">
        <v>421</v>
      </c>
      <c r="G829" s="267" t="s">
        <v>2457</v>
      </c>
    </row>
    <row r="830" spans="1:7">
      <c r="A830">
        <v>461</v>
      </c>
      <c r="B830">
        <v>2017</v>
      </c>
      <c r="C830" t="s">
        <v>128</v>
      </c>
      <c r="D830" t="s">
        <v>131</v>
      </c>
      <c r="E830" t="s">
        <v>362</v>
      </c>
      <c r="F830" s="267" t="s">
        <v>422</v>
      </c>
      <c r="G830" s="267" t="s">
        <v>2458</v>
      </c>
    </row>
    <row r="831" spans="1:7">
      <c r="A831">
        <v>462</v>
      </c>
      <c r="B831">
        <v>2017</v>
      </c>
      <c r="C831" t="s">
        <v>129</v>
      </c>
      <c r="D831" t="s">
        <v>131</v>
      </c>
      <c r="E831" t="s">
        <v>362</v>
      </c>
      <c r="F831" s="267" t="s">
        <v>423</v>
      </c>
      <c r="G831" s="267" t="s">
        <v>2459</v>
      </c>
    </row>
    <row r="832" spans="1:7">
      <c r="A832">
        <v>4</v>
      </c>
      <c r="B832">
        <v>2017</v>
      </c>
      <c r="C832" t="s">
        <v>157</v>
      </c>
      <c r="D832" t="s">
        <v>131</v>
      </c>
      <c r="E832" t="s">
        <v>362</v>
      </c>
      <c r="F832" s="267" t="s">
        <v>424</v>
      </c>
      <c r="G832" s="267" t="s">
        <v>2460</v>
      </c>
    </row>
    <row r="833" spans="1:7">
      <c r="A833">
        <v>0</v>
      </c>
      <c r="B833">
        <v>2017</v>
      </c>
      <c r="C833" t="s">
        <v>130</v>
      </c>
      <c r="D833" t="s">
        <v>131</v>
      </c>
      <c r="E833" t="s">
        <v>362</v>
      </c>
      <c r="F833" s="267" t="s">
        <v>425</v>
      </c>
      <c r="G833" s="267" t="s">
        <v>2461</v>
      </c>
    </row>
    <row r="834" spans="1:7">
      <c r="A834">
        <v>101</v>
      </c>
      <c r="B834">
        <v>2016</v>
      </c>
      <c r="C834" t="s">
        <v>363</v>
      </c>
      <c r="D834" t="s">
        <v>91</v>
      </c>
      <c r="E834" t="s">
        <v>362</v>
      </c>
      <c r="F834" s="267" t="s">
        <v>364</v>
      </c>
      <c r="G834" s="267" t="s">
        <v>2565</v>
      </c>
    </row>
    <row r="835" spans="1:7">
      <c r="A835">
        <v>102</v>
      </c>
      <c r="B835">
        <v>2016</v>
      </c>
      <c r="C835" t="s">
        <v>365</v>
      </c>
      <c r="D835" t="s">
        <v>91</v>
      </c>
      <c r="E835" t="s">
        <v>362</v>
      </c>
      <c r="F835" s="267" t="s">
        <v>366</v>
      </c>
      <c r="G835" s="267" t="s">
        <v>2566</v>
      </c>
    </row>
    <row r="836" spans="1:7">
      <c r="A836">
        <v>103</v>
      </c>
      <c r="B836">
        <v>2016</v>
      </c>
      <c r="C836" t="s">
        <v>367</v>
      </c>
      <c r="D836" t="s">
        <v>91</v>
      </c>
      <c r="E836" t="s">
        <v>362</v>
      </c>
      <c r="F836" s="267" t="s">
        <v>368</v>
      </c>
      <c r="G836" s="267" t="s">
        <v>2567</v>
      </c>
    </row>
    <row r="837" spans="1:7">
      <c r="A837">
        <v>151</v>
      </c>
      <c r="B837">
        <v>2016</v>
      </c>
      <c r="C837" t="s">
        <v>94</v>
      </c>
      <c r="D837" t="s">
        <v>91</v>
      </c>
      <c r="E837" t="s">
        <v>362</v>
      </c>
      <c r="F837" s="267" t="s">
        <v>369</v>
      </c>
      <c r="G837" s="267" t="s">
        <v>2568</v>
      </c>
    </row>
    <row r="838" spans="1:7">
      <c r="A838">
        <v>153</v>
      </c>
      <c r="B838">
        <v>2016</v>
      </c>
      <c r="C838" t="s">
        <v>96</v>
      </c>
      <c r="D838" t="s">
        <v>91</v>
      </c>
      <c r="E838" t="s">
        <v>362</v>
      </c>
      <c r="F838" s="267" t="s">
        <v>370</v>
      </c>
      <c r="G838" s="267" t="s">
        <v>2569</v>
      </c>
    </row>
    <row r="839" spans="1:7">
      <c r="A839">
        <v>154</v>
      </c>
      <c r="B839">
        <v>2016</v>
      </c>
      <c r="C839" t="s">
        <v>97</v>
      </c>
      <c r="D839" t="s">
        <v>91</v>
      </c>
      <c r="E839" t="s">
        <v>362</v>
      </c>
      <c r="F839" s="267" t="s">
        <v>371</v>
      </c>
      <c r="G839" s="267" t="s">
        <v>2570</v>
      </c>
    </row>
    <row r="840" spans="1:7">
      <c r="A840">
        <v>155</v>
      </c>
      <c r="B840">
        <v>2016</v>
      </c>
      <c r="C840" t="s">
        <v>98</v>
      </c>
      <c r="D840" t="s">
        <v>91</v>
      </c>
      <c r="E840" t="s">
        <v>362</v>
      </c>
      <c r="F840" s="267" t="s">
        <v>372</v>
      </c>
      <c r="G840" s="267" t="s">
        <v>2571</v>
      </c>
    </row>
    <row r="841" spans="1:7">
      <c r="A841">
        <v>157</v>
      </c>
      <c r="B841">
        <v>2016</v>
      </c>
      <c r="C841" t="s">
        <v>99</v>
      </c>
      <c r="D841" t="s">
        <v>91</v>
      </c>
      <c r="E841" t="s">
        <v>362</v>
      </c>
      <c r="F841" s="267" t="s">
        <v>373</v>
      </c>
      <c r="G841" s="267" t="s">
        <v>2572</v>
      </c>
    </row>
    <row r="842" spans="1:7">
      <c r="A842">
        <v>158</v>
      </c>
      <c r="B842">
        <v>2016</v>
      </c>
      <c r="C842" t="s">
        <v>100</v>
      </c>
      <c r="D842" t="s">
        <v>91</v>
      </c>
      <c r="E842" t="s">
        <v>362</v>
      </c>
      <c r="F842" s="267" t="s">
        <v>374</v>
      </c>
      <c r="G842" s="267" t="s">
        <v>2573</v>
      </c>
    </row>
    <row r="843" spans="1:7">
      <c r="A843">
        <v>159</v>
      </c>
      <c r="B843">
        <v>2016</v>
      </c>
      <c r="C843" t="s">
        <v>95</v>
      </c>
      <c r="D843" t="s">
        <v>91</v>
      </c>
      <c r="E843" t="s">
        <v>362</v>
      </c>
      <c r="F843" s="267" t="s">
        <v>375</v>
      </c>
      <c r="G843" s="267" t="s">
        <v>2574</v>
      </c>
    </row>
    <row r="844" spans="1:7">
      <c r="A844">
        <v>1</v>
      </c>
      <c r="B844">
        <v>2016</v>
      </c>
      <c r="C844" t="s">
        <v>154</v>
      </c>
      <c r="D844" t="s">
        <v>91</v>
      </c>
      <c r="E844" t="s">
        <v>362</v>
      </c>
      <c r="F844" s="267" t="s">
        <v>376</v>
      </c>
      <c r="G844" s="267" t="s">
        <v>2575</v>
      </c>
    </row>
    <row r="845" spans="1:7">
      <c r="A845">
        <v>241</v>
      </c>
      <c r="B845">
        <v>2016</v>
      </c>
      <c r="C845" t="s">
        <v>377</v>
      </c>
      <c r="D845" t="s">
        <v>91</v>
      </c>
      <c r="E845" t="s">
        <v>362</v>
      </c>
      <c r="F845" s="267" t="s">
        <v>378</v>
      </c>
      <c r="G845" s="267" t="s">
        <v>2576</v>
      </c>
    </row>
    <row r="846" spans="1:7">
      <c r="A846">
        <v>241001</v>
      </c>
      <c r="B846">
        <v>2016</v>
      </c>
      <c r="C846" t="s">
        <v>379</v>
      </c>
      <c r="D846" t="s">
        <v>91</v>
      </c>
      <c r="E846" t="s">
        <v>362</v>
      </c>
      <c r="F846" s="267" t="s">
        <v>380</v>
      </c>
      <c r="G846" s="267" t="s">
        <v>2577</v>
      </c>
    </row>
    <row r="847" spans="1:7">
      <c r="A847">
        <v>241999</v>
      </c>
      <c r="B847">
        <v>2016</v>
      </c>
      <c r="C847" t="s">
        <v>381</v>
      </c>
      <c r="D847" t="s">
        <v>91</v>
      </c>
      <c r="E847" t="s">
        <v>362</v>
      </c>
      <c r="F847" s="267" t="s">
        <v>382</v>
      </c>
      <c r="G847" s="267" t="s">
        <v>2578</v>
      </c>
    </row>
    <row r="848" spans="1:7">
      <c r="A848">
        <v>251</v>
      </c>
      <c r="B848">
        <v>2016</v>
      </c>
      <c r="C848" t="s">
        <v>101</v>
      </c>
      <c r="D848" t="s">
        <v>91</v>
      </c>
      <c r="E848" t="s">
        <v>362</v>
      </c>
      <c r="F848" s="267" t="s">
        <v>383</v>
      </c>
      <c r="G848" s="267" t="s">
        <v>2579</v>
      </c>
    </row>
    <row r="849" spans="1:7">
      <c r="A849">
        <v>252</v>
      </c>
      <c r="B849">
        <v>2016</v>
      </c>
      <c r="C849" t="s">
        <v>102</v>
      </c>
      <c r="D849" t="s">
        <v>91</v>
      </c>
      <c r="E849" t="s">
        <v>362</v>
      </c>
      <c r="F849" s="267" t="s">
        <v>384</v>
      </c>
      <c r="G849" s="267" t="s">
        <v>2580</v>
      </c>
    </row>
    <row r="850" spans="1:7">
      <c r="A850">
        <v>254</v>
      </c>
      <c r="B850">
        <v>2016</v>
      </c>
      <c r="C850" t="s">
        <v>103</v>
      </c>
      <c r="D850" t="s">
        <v>91</v>
      </c>
      <c r="E850" t="s">
        <v>362</v>
      </c>
      <c r="F850" s="267" t="s">
        <v>385</v>
      </c>
      <c r="G850" s="267" t="s">
        <v>2581</v>
      </c>
    </row>
    <row r="851" spans="1:7">
      <c r="A851">
        <v>255</v>
      </c>
      <c r="B851">
        <v>2016</v>
      </c>
      <c r="C851" t="s">
        <v>104</v>
      </c>
      <c r="D851" t="s">
        <v>91</v>
      </c>
      <c r="E851" t="s">
        <v>362</v>
      </c>
      <c r="F851" s="267" t="s">
        <v>386</v>
      </c>
      <c r="G851" s="267" t="s">
        <v>2582</v>
      </c>
    </row>
    <row r="852" spans="1:7">
      <c r="A852">
        <v>256</v>
      </c>
      <c r="B852">
        <v>2016</v>
      </c>
      <c r="C852" t="s">
        <v>105</v>
      </c>
      <c r="D852" t="s">
        <v>91</v>
      </c>
      <c r="E852" t="s">
        <v>362</v>
      </c>
      <c r="F852" s="267" t="s">
        <v>387</v>
      </c>
      <c r="G852" s="267" t="s">
        <v>2583</v>
      </c>
    </row>
    <row r="853" spans="1:7">
      <c r="A853">
        <v>257</v>
      </c>
      <c r="B853">
        <v>2016</v>
      </c>
      <c r="C853" t="s">
        <v>106</v>
      </c>
      <c r="D853" t="s">
        <v>91</v>
      </c>
      <c r="E853" t="s">
        <v>362</v>
      </c>
      <c r="F853" s="267" t="s">
        <v>388</v>
      </c>
      <c r="G853" s="267" t="s">
        <v>2584</v>
      </c>
    </row>
    <row r="854" spans="1:7">
      <c r="A854">
        <v>2</v>
      </c>
      <c r="B854">
        <v>2016</v>
      </c>
      <c r="C854" t="s">
        <v>155</v>
      </c>
      <c r="D854" t="s">
        <v>91</v>
      </c>
      <c r="E854" t="s">
        <v>362</v>
      </c>
      <c r="F854" s="267" t="s">
        <v>389</v>
      </c>
      <c r="G854" s="267" t="s">
        <v>2585</v>
      </c>
    </row>
    <row r="855" spans="1:7">
      <c r="A855">
        <v>351</v>
      </c>
      <c r="B855">
        <v>2016</v>
      </c>
      <c r="C855" t="s">
        <v>107</v>
      </c>
      <c r="D855" t="s">
        <v>91</v>
      </c>
      <c r="E855" t="s">
        <v>362</v>
      </c>
      <c r="F855" s="267" t="s">
        <v>390</v>
      </c>
      <c r="G855" s="267" t="s">
        <v>2586</v>
      </c>
    </row>
    <row r="856" spans="1:7">
      <c r="A856">
        <v>352</v>
      </c>
      <c r="B856">
        <v>2016</v>
      </c>
      <c r="C856" t="s">
        <v>108</v>
      </c>
      <c r="D856" t="s">
        <v>91</v>
      </c>
      <c r="E856" t="s">
        <v>362</v>
      </c>
      <c r="F856" s="267" t="s">
        <v>391</v>
      </c>
      <c r="G856" s="267" t="s">
        <v>2587</v>
      </c>
    </row>
    <row r="857" spans="1:7">
      <c r="A857">
        <v>353</v>
      </c>
      <c r="B857">
        <v>2016</v>
      </c>
      <c r="C857" t="s">
        <v>109</v>
      </c>
      <c r="D857" t="s">
        <v>91</v>
      </c>
      <c r="E857" t="s">
        <v>362</v>
      </c>
      <c r="F857" s="267" t="s">
        <v>392</v>
      </c>
      <c r="G857" s="267" t="s">
        <v>2588</v>
      </c>
    </row>
    <row r="858" spans="1:7">
      <c r="A858">
        <v>354</v>
      </c>
      <c r="B858">
        <v>2016</v>
      </c>
      <c r="C858" t="s">
        <v>110</v>
      </c>
      <c r="D858" t="s">
        <v>91</v>
      </c>
      <c r="E858" t="s">
        <v>362</v>
      </c>
      <c r="F858" s="267" t="s">
        <v>393</v>
      </c>
      <c r="G858" s="267" t="s">
        <v>2589</v>
      </c>
    </row>
    <row r="859" spans="1:7">
      <c r="A859">
        <v>355</v>
      </c>
      <c r="B859">
        <v>2016</v>
      </c>
      <c r="C859" t="s">
        <v>111</v>
      </c>
      <c r="D859" t="s">
        <v>91</v>
      </c>
      <c r="E859" t="s">
        <v>362</v>
      </c>
      <c r="F859" s="267" t="s">
        <v>394</v>
      </c>
      <c r="G859" s="267" t="s">
        <v>2590</v>
      </c>
    </row>
    <row r="860" spans="1:7">
      <c r="A860">
        <v>356</v>
      </c>
      <c r="B860">
        <v>2016</v>
      </c>
      <c r="C860" t="s">
        <v>112</v>
      </c>
      <c r="D860" t="s">
        <v>91</v>
      </c>
      <c r="E860" t="s">
        <v>362</v>
      </c>
      <c r="F860" s="267" t="s">
        <v>395</v>
      </c>
      <c r="G860" s="267" t="s">
        <v>2591</v>
      </c>
    </row>
    <row r="861" spans="1:7">
      <c r="A861">
        <v>357</v>
      </c>
      <c r="B861">
        <v>2016</v>
      </c>
      <c r="C861" t="s">
        <v>113</v>
      </c>
      <c r="D861" t="s">
        <v>91</v>
      </c>
      <c r="E861" t="s">
        <v>362</v>
      </c>
      <c r="F861" s="267" t="s">
        <v>396</v>
      </c>
      <c r="G861" s="267" t="s">
        <v>2592</v>
      </c>
    </row>
    <row r="862" spans="1:7">
      <c r="A862">
        <v>358</v>
      </c>
      <c r="B862">
        <v>2016</v>
      </c>
      <c r="C862" t="s">
        <v>114</v>
      </c>
      <c r="D862" t="s">
        <v>91</v>
      </c>
      <c r="E862" t="s">
        <v>362</v>
      </c>
      <c r="F862" s="267" t="s">
        <v>397</v>
      </c>
      <c r="G862" s="267" t="s">
        <v>2593</v>
      </c>
    </row>
    <row r="863" spans="1:7">
      <c r="A863">
        <v>359</v>
      </c>
      <c r="B863">
        <v>2016</v>
      </c>
      <c r="C863" t="s">
        <v>115</v>
      </c>
      <c r="D863" t="s">
        <v>91</v>
      </c>
      <c r="E863" t="s">
        <v>362</v>
      </c>
      <c r="F863" s="267" t="s">
        <v>398</v>
      </c>
      <c r="G863" s="267" t="s">
        <v>2594</v>
      </c>
    </row>
    <row r="864" spans="1:7">
      <c r="A864">
        <v>360</v>
      </c>
      <c r="B864">
        <v>2016</v>
      </c>
      <c r="C864" t="s">
        <v>116</v>
      </c>
      <c r="D864" t="s">
        <v>91</v>
      </c>
      <c r="E864" t="s">
        <v>362</v>
      </c>
      <c r="F864" s="267" t="s">
        <v>399</v>
      </c>
      <c r="G864" s="267" t="s">
        <v>2595</v>
      </c>
    </row>
    <row r="865" spans="1:7">
      <c r="A865">
        <v>361</v>
      </c>
      <c r="B865">
        <v>2016</v>
      </c>
      <c r="C865" t="s">
        <v>117</v>
      </c>
      <c r="D865" t="s">
        <v>91</v>
      </c>
      <c r="E865" t="s">
        <v>362</v>
      </c>
      <c r="F865" s="267" t="s">
        <v>400</v>
      </c>
      <c r="G865" s="267" t="s">
        <v>2596</v>
      </c>
    </row>
    <row r="866" spans="1:7">
      <c r="A866">
        <v>3</v>
      </c>
      <c r="B866">
        <v>2016</v>
      </c>
      <c r="C866" t="s">
        <v>156</v>
      </c>
      <c r="D866" t="s">
        <v>91</v>
      </c>
      <c r="E866" t="s">
        <v>362</v>
      </c>
      <c r="F866" s="267" t="s">
        <v>401</v>
      </c>
      <c r="G866" s="267" t="s">
        <v>2597</v>
      </c>
    </row>
    <row r="867" spans="1:7">
      <c r="A867">
        <v>401</v>
      </c>
      <c r="B867">
        <v>2016</v>
      </c>
      <c r="C867" t="s">
        <v>402</v>
      </c>
      <c r="D867" t="s">
        <v>91</v>
      </c>
      <c r="E867" t="s">
        <v>362</v>
      </c>
      <c r="F867" s="267" t="s">
        <v>403</v>
      </c>
      <c r="G867" s="267" t="s">
        <v>2598</v>
      </c>
    </row>
    <row r="868" spans="1:7">
      <c r="A868">
        <v>402</v>
      </c>
      <c r="B868">
        <v>2016</v>
      </c>
      <c r="C868" t="s">
        <v>404</v>
      </c>
      <c r="D868" t="s">
        <v>91</v>
      </c>
      <c r="E868" t="s">
        <v>362</v>
      </c>
      <c r="F868" s="267" t="s">
        <v>405</v>
      </c>
      <c r="G868" s="267" t="s">
        <v>2599</v>
      </c>
    </row>
    <row r="869" spans="1:7">
      <c r="A869">
        <v>403</v>
      </c>
      <c r="B869">
        <v>2016</v>
      </c>
      <c r="C869" t="s">
        <v>406</v>
      </c>
      <c r="D869" t="s">
        <v>91</v>
      </c>
      <c r="E869" t="s">
        <v>362</v>
      </c>
      <c r="F869" s="267" t="s">
        <v>407</v>
      </c>
      <c r="G869" s="267" t="s">
        <v>2600</v>
      </c>
    </row>
    <row r="870" spans="1:7">
      <c r="A870">
        <v>404</v>
      </c>
      <c r="B870">
        <v>2016</v>
      </c>
      <c r="C870" t="s">
        <v>408</v>
      </c>
      <c r="D870" t="s">
        <v>91</v>
      </c>
      <c r="E870" t="s">
        <v>362</v>
      </c>
      <c r="F870" s="267" t="s">
        <v>409</v>
      </c>
      <c r="G870" s="267" t="s">
        <v>2601</v>
      </c>
    </row>
    <row r="871" spans="1:7">
      <c r="A871">
        <v>405</v>
      </c>
      <c r="B871">
        <v>2016</v>
      </c>
      <c r="C871" t="s">
        <v>410</v>
      </c>
      <c r="D871" t="s">
        <v>91</v>
      </c>
      <c r="E871" t="s">
        <v>362</v>
      </c>
      <c r="F871" s="267" t="s">
        <v>411</v>
      </c>
      <c r="G871" s="267" t="s">
        <v>2602</v>
      </c>
    </row>
    <row r="872" spans="1:7">
      <c r="A872">
        <v>451</v>
      </c>
      <c r="B872">
        <v>2016</v>
      </c>
      <c r="C872" t="s">
        <v>118</v>
      </c>
      <c r="D872" t="s">
        <v>91</v>
      </c>
      <c r="E872" t="s">
        <v>362</v>
      </c>
      <c r="F872" s="267" t="s">
        <v>412</v>
      </c>
      <c r="G872" s="267" t="s">
        <v>2603</v>
      </c>
    </row>
    <row r="873" spans="1:7">
      <c r="A873">
        <v>452</v>
      </c>
      <c r="B873">
        <v>2016</v>
      </c>
      <c r="C873" t="s">
        <v>119</v>
      </c>
      <c r="D873" t="s">
        <v>91</v>
      </c>
      <c r="E873" t="s">
        <v>362</v>
      </c>
      <c r="F873" s="267" t="s">
        <v>413</v>
      </c>
      <c r="G873" s="267" t="s">
        <v>2604</v>
      </c>
    </row>
    <row r="874" spans="1:7">
      <c r="A874">
        <v>453</v>
      </c>
      <c r="B874">
        <v>2016</v>
      </c>
      <c r="C874" t="s">
        <v>120</v>
      </c>
      <c r="D874" t="s">
        <v>91</v>
      </c>
      <c r="E874" t="s">
        <v>362</v>
      </c>
      <c r="F874" s="267" t="s">
        <v>414</v>
      </c>
      <c r="G874" s="267" t="s">
        <v>2605</v>
      </c>
    </row>
    <row r="875" spans="1:7">
      <c r="A875">
        <v>454</v>
      </c>
      <c r="B875">
        <v>2016</v>
      </c>
      <c r="C875" t="s">
        <v>121</v>
      </c>
      <c r="D875" t="s">
        <v>91</v>
      </c>
      <c r="E875" t="s">
        <v>362</v>
      </c>
      <c r="F875" s="267" t="s">
        <v>415</v>
      </c>
      <c r="G875" s="267" t="s">
        <v>2606</v>
      </c>
    </row>
    <row r="876" spans="1:7">
      <c r="A876">
        <v>455</v>
      </c>
      <c r="B876">
        <v>2016</v>
      </c>
      <c r="C876" t="s">
        <v>122</v>
      </c>
      <c r="D876" t="s">
        <v>91</v>
      </c>
      <c r="E876" t="s">
        <v>362</v>
      </c>
      <c r="F876" s="267" t="s">
        <v>416</v>
      </c>
      <c r="G876" s="267" t="s">
        <v>2607</v>
      </c>
    </row>
    <row r="877" spans="1:7">
      <c r="A877">
        <v>456</v>
      </c>
      <c r="B877">
        <v>2016</v>
      </c>
      <c r="C877" t="s">
        <v>123</v>
      </c>
      <c r="D877" t="s">
        <v>91</v>
      </c>
      <c r="E877" t="s">
        <v>362</v>
      </c>
      <c r="F877" s="267" t="s">
        <v>417</v>
      </c>
      <c r="G877" s="267" t="s">
        <v>2608</v>
      </c>
    </row>
    <row r="878" spans="1:7">
      <c r="A878">
        <v>457</v>
      </c>
      <c r="B878">
        <v>2016</v>
      </c>
      <c r="C878" t="s">
        <v>124</v>
      </c>
      <c r="D878" t="s">
        <v>91</v>
      </c>
      <c r="E878" t="s">
        <v>362</v>
      </c>
      <c r="F878" s="267" t="s">
        <v>418</v>
      </c>
      <c r="G878" s="267" t="s">
        <v>2609</v>
      </c>
    </row>
    <row r="879" spans="1:7">
      <c r="A879">
        <v>458</v>
      </c>
      <c r="B879">
        <v>2016</v>
      </c>
      <c r="C879" t="s">
        <v>125</v>
      </c>
      <c r="D879" t="s">
        <v>91</v>
      </c>
      <c r="E879" t="s">
        <v>362</v>
      </c>
      <c r="F879" s="267" t="s">
        <v>419</v>
      </c>
      <c r="G879" s="267" t="s">
        <v>2610</v>
      </c>
    </row>
    <row r="880" spans="1:7">
      <c r="A880">
        <v>459</v>
      </c>
      <c r="B880">
        <v>2016</v>
      </c>
      <c r="C880" t="s">
        <v>126</v>
      </c>
      <c r="D880" t="s">
        <v>91</v>
      </c>
      <c r="E880" t="s">
        <v>362</v>
      </c>
      <c r="F880" s="267" t="s">
        <v>420</v>
      </c>
      <c r="G880" s="267" t="s">
        <v>2611</v>
      </c>
    </row>
    <row r="881" spans="1:7">
      <c r="A881">
        <v>460</v>
      </c>
      <c r="B881">
        <v>2016</v>
      </c>
      <c r="C881" t="s">
        <v>127</v>
      </c>
      <c r="D881" t="s">
        <v>91</v>
      </c>
      <c r="E881" t="s">
        <v>362</v>
      </c>
      <c r="F881" s="267" t="s">
        <v>421</v>
      </c>
      <c r="G881" s="267" t="s">
        <v>2612</v>
      </c>
    </row>
    <row r="882" spans="1:7">
      <c r="A882">
        <v>461</v>
      </c>
      <c r="B882">
        <v>2016</v>
      </c>
      <c r="C882" t="s">
        <v>128</v>
      </c>
      <c r="D882" t="s">
        <v>91</v>
      </c>
      <c r="E882" t="s">
        <v>362</v>
      </c>
      <c r="F882" s="267" t="s">
        <v>422</v>
      </c>
      <c r="G882" s="267" t="s">
        <v>2613</v>
      </c>
    </row>
    <row r="883" spans="1:7">
      <c r="A883">
        <v>462</v>
      </c>
      <c r="B883">
        <v>2016</v>
      </c>
      <c r="C883" t="s">
        <v>129</v>
      </c>
      <c r="D883" t="s">
        <v>91</v>
      </c>
      <c r="E883" t="s">
        <v>362</v>
      </c>
      <c r="F883" s="267" t="s">
        <v>423</v>
      </c>
      <c r="G883" s="267" t="s">
        <v>2614</v>
      </c>
    </row>
    <row r="884" spans="1:7">
      <c r="A884">
        <v>4</v>
      </c>
      <c r="B884">
        <v>2016</v>
      </c>
      <c r="C884" t="s">
        <v>157</v>
      </c>
      <c r="D884" t="s">
        <v>91</v>
      </c>
      <c r="E884" t="s">
        <v>362</v>
      </c>
      <c r="F884" s="267" t="s">
        <v>424</v>
      </c>
      <c r="G884" s="267" t="s">
        <v>2615</v>
      </c>
    </row>
    <row r="885" spans="1:7">
      <c r="A885">
        <v>0</v>
      </c>
      <c r="B885">
        <v>2016</v>
      </c>
      <c r="C885" t="s">
        <v>130</v>
      </c>
      <c r="D885" t="s">
        <v>91</v>
      </c>
      <c r="E885" t="s">
        <v>362</v>
      </c>
      <c r="F885" s="267" t="s">
        <v>425</v>
      </c>
      <c r="G885" s="267" t="s">
        <v>2616</v>
      </c>
    </row>
    <row r="886" spans="1:7">
      <c r="A886">
        <v>101</v>
      </c>
      <c r="B886">
        <v>2016</v>
      </c>
      <c r="C886" t="s">
        <v>363</v>
      </c>
      <c r="D886" t="s">
        <v>92</v>
      </c>
      <c r="E886" t="s">
        <v>362</v>
      </c>
      <c r="F886" s="267" t="s">
        <v>364</v>
      </c>
      <c r="G886" s="267" t="s">
        <v>2514</v>
      </c>
    </row>
    <row r="887" spans="1:7">
      <c r="A887">
        <v>102</v>
      </c>
      <c r="B887">
        <v>2016</v>
      </c>
      <c r="C887" t="s">
        <v>365</v>
      </c>
      <c r="D887" t="s">
        <v>92</v>
      </c>
      <c r="E887" t="s">
        <v>362</v>
      </c>
      <c r="F887" s="267" t="s">
        <v>366</v>
      </c>
      <c r="G887" s="267" t="s">
        <v>2515</v>
      </c>
    </row>
    <row r="888" spans="1:7">
      <c r="A888">
        <v>103</v>
      </c>
      <c r="B888">
        <v>2016</v>
      </c>
      <c r="C888" t="s">
        <v>367</v>
      </c>
      <c r="D888" t="s">
        <v>92</v>
      </c>
      <c r="E888" t="s">
        <v>362</v>
      </c>
      <c r="F888" s="267" t="s">
        <v>368</v>
      </c>
      <c r="G888" s="267" t="s">
        <v>2516</v>
      </c>
    </row>
    <row r="889" spans="1:7">
      <c r="A889">
        <v>151</v>
      </c>
      <c r="B889">
        <v>2016</v>
      </c>
      <c r="C889" t="s">
        <v>94</v>
      </c>
      <c r="D889" t="s">
        <v>92</v>
      </c>
      <c r="E889" t="s">
        <v>362</v>
      </c>
      <c r="F889" s="267" t="s">
        <v>369</v>
      </c>
      <c r="G889" s="267" t="s">
        <v>2517</v>
      </c>
    </row>
    <row r="890" spans="1:7">
      <c r="A890">
        <v>153</v>
      </c>
      <c r="B890">
        <v>2016</v>
      </c>
      <c r="C890" t="s">
        <v>96</v>
      </c>
      <c r="D890" t="s">
        <v>92</v>
      </c>
      <c r="E890" t="s">
        <v>362</v>
      </c>
      <c r="F890" s="267" t="s">
        <v>370</v>
      </c>
      <c r="G890" s="267" t="s">
        <v>2518</v>
      </c>
    </row>
    <row r="891" spans="1:7">
      <c r="A891">
        <v>154</v>
      </c>
      <c r="B891">
        <v>2016</v>
      </c>
      <c r="C891" t="s">
        <v>97</v>
      </c>
      <c r="D891" t="s">
        <v>92</v>
      </c>
      <c r="E891" t="s">
        <v>362</v>
      </c>
      <c r="F891" s="267" t="s">
        <v>371</v>
      </c>
      <c r="G891" s="267" t="s">
        <v>2519</v>
      </c>
    </row>
    <row r="892" spans="1:7">
      <c r="A892">
        <v>155</v>
      </c>
      <c r="B892">
        <v>2016</v>
      </c>
      <c r="C892" t="s">
        <v>98</v>
      </c>
      <c r="D892" t="s">
        <v>92</v>
      </c>
      <c r="E892" t="s">
        <v>362</v>
      </c>
      <c r="F892" s="267" t="s">
        <v>372</v>
      </c>
      <c r="G892" s="267" t="s">
        <v>2520</v>
      </c>
    </row>
    <row r="893" spans="1:7">
      <c r="A893">
        <v>157</v>
      </c>
      <c r="B893">
        <v>2016</v>
      </c>
      <c r="C893" t="s">
        <v>99</v>
      </c>
      <c r="D893" t="s">
        <v>92</v>
      </c>
      <c r="E893" t="s">
        <v>362</v>
      </c>
      <c r="F893" s="267" t="s">
        <v>373</v>
      </c>
      <c r="G893" s="267" t="s">
        <v>2521</v>
      </c>
    </row>
    <row r="894" spans="1:7">
      <c r="A894">
        <v>158</v>
      </c>
      <c r="B894">
        <v>2016</v>
      </c>
      <c r="C894" t="s">
        <v>100</v>
      </c>
      <c r="D894" t="s">
        <v>92</v>
      </c>
      <c r="E894" t="s">
        <v>362</v>
      </c>
      <c r="F894" s="267" t="s">
        <v>374</v>
      </c>
      <c r="G894" s="267" t="s">
        <v>2522</v>
      </c>
    </row>
    <row r="895" spans="1:7">
      <c r="A895">
        <v>159</v>
      </c>
      <c r="B895">
        <v>2016</v>
      </c>
      <c r="C895" t="s">
        <v>95</v>
      </c>
      <c r="D895" t="s">
        <v>92</v>
      </c>
      <c r="E895" t="s">
        <v>362</v>
      </c>
      <c r="F895" s="267" t="s">
        <v>375</v>
      </c>
      <c r="G895" s="267" t="s">
        <v>2523</v>
      </c>
    </row>
    <row r="896" spans="1:7">
      <c r="A896">
        <v>1</v>
      </c>
      <c r="B896">
        <v>2016</v>
      </c>
      <c r="C896" t="s">
        <v>154</v>
      </c>
      <c r="D896" t="s">
        <v>92</v>
      </c>
      <c r="E896" t="s">
        <v>362</v>
      </c>
      <c r="F896" s="267" t="s">
        <v>376</v>
      </c>
      <c r="G896" s="267" t="s">
        <v>2524</v>
      </c>
    </row>
    <row r="897" spans="1:7">
      <c r="A897">
        <v>241</v>
      </c>
      <c r="B897">
        <v>2016</v>
      </c>
      <c r="C897" t="s">
        <v>377</v>
      </c>
      <c r="D897" t="s">
        <v>92</v>
      </c>
      <c r="E897" t="s">
        <v>362</v>
      </c>
      <c r="F897" s="267" t="s">
        <v>378</v>
      </c>
      <c r="G897" s="267" t="s">
        <v>2525</v>
      </c>
    </row>
    <row r="898" spans="1:7">
      <c r="A898">
        <v>241001</v>
      </c>
      <c r="B898">
        <v>2016</v>
      </c>
      <c r="C898" t="s">
        <v>379</v>
      </c>
      <c r="D898" t="s">
        <v>92</v>
      </c>
      <c r="E898" t="s">
        <v>362</v>
      </c>
      <c r="F898" s="267" t="s">
        <v>380</v>
      </c>
      <c r="G898" s="267" t="s">
        <v>2526</v>
      </c>
    </row>
    <row r="899" spans="1:7">
      <c r="A899">
        <v>241999</v>
      </c>
      <c r="B899">
        <v>2016</v>
      </c>
      <c r="C899" t="s">
        <v>381</v>
      </c>
      <c r="D899" t="s">
        <v>92</v>
      </c>
      <c r="E899" t="s">
        <v>362</v>
      </c>
      <c r="F899" s="267" t="s">
        <v>382</v>
      </c>
      <c r="G899" s="267" t="s">
        <v>2527</v>
      </c>
    </row>
    <row r="900" spans="1:7">
      <c r="A900">
        <v>251</v>
      </c>
      <c r="B900">
        <v>2016</v>
      </c>
      <c r="C900" t="s">
        <v>101</v>
      </c>
      <c r="D900" t="s">
        <v>92</v>
      </c>
      <c r="E900" t="s">
        <v>362</v>
      </c>
      <c r="F900" s="267" t="s">
        <v>383</v>
      </c>
      <c r="G900" s="267" t="s">
        <v>2528</v>
      </c>
    </row>
    <row r="901" spans="1:7">
      <c r="A901">
        <v>252</v>
      </c>
      <c r="B901">
        <v>2016</v>
      </c>
      <c r="C901" t="s">
        <v>102</v>
      </c>
      <c r="D901" t="s">
        <v>92</v>
      </c>
      <c r="E901" t="s">
        <v>362</v>
      </c>
      <c r="F901" s="267" t="s">
        <v>384</v>
      </c>
      <c r="G901" s="267" t="s">
        <v>2529</v>
      </c>
    </row>
    <row r="902" spans="1:7">
      <c r="A902">
        <v>254</v>
      </c>
      <c r="B902">
        <v>2016</v>
      </c>
      <c r="C902" t="s">
        <v>103</v>
      </c>
      <c r="D902" t="s">
        <v>92</v>
      </c>
      <c r="E902" t="s">
        <v>362</v>
      </c>
      <c r="F902" s="267" t="s">
        <v>385</v>
      </c>
      <c r="G902" s="267" t="s">
        <v>2530</v>
      </c>
    </row>
    <row r="903" spans="1:7">
      <c r="A903">
        <v>255</v>
      </c>
      <c r="B903">
        <v>2016</v>
      </c>
      <c r="C903" t="s">
        <v>104</v>
      </c>
      <c r="D903" t="s">
        <v>92</v>
      </c>
      <c r="E903" t="s">
        <v>362</v>
      </c>
      <c r="F903" s="267" t="s">
        <v>386</v>
      </c>
      <c r="G903" s="267" t="s">
        <v>2531</v>
      </c>
    </row>
    <row r="904" spans="1:7">
      <c r="A904">
        <v>256</v>
      </c>
      <c r="B904">
        <v>2016</v>
      </c>
      <c r="C904" t="s">
        <v>105</v>
      </c>
      <c r="D904" t="s">
        <v>92</v>
      </c>
      <c r="E904" t="s">
        <v>362</v>
      </c>
      <c r="F904" s="267" t="s">
        <v>387</v>
      </c>
      <c r="G904" s="267" t="s">
        <v>2532</v>
      </c>
    </row>
    <row r="905" spans="1:7">
      <c r="A905">
        <v>257</v>
      </c>
      <c r="B905">
        <v>2016</v>
      </c>
      <c r="C905" t="s">
        <v>106</v>
      </c>
      <c r="D905" t="s">
        <v>92</v>
      </c>
      <c r="E905" t="s">
        <v>362</v>
      </c>
      <c r="F905" s="267" t="s">
        <v>388</v>
      </c>
      <c r="G905" s="267" t="s">
        <v>2533</v>
      </c>
    </row>
    <row r="906" spans="1:7">
      <c r="A906">
        <v>2</v>
      </c>
      <c r="B906">
        <v>2016</v>
      </c>
      <c r="C906" t="s">
        <v>155</v>
      </c>
      <c r="D906" t="s">
        <v>92</v>
      </c>
      <c r="E906" t="s">
        <v>362</v>
      </c>
      <c r="F906" s="267" t="s">
        <v>389</v>
      </c>
      <c r="G906" s="267" t="s">
        <v>2534</v>
      </c>
    </row>
    <row r="907" spans="1:7">
      <c r="A907">
        <v>351</v>
      </c>
      <c r="B907">
        <v>2016</v>
      </c>
      <c r="C907" t="s">
        <v>107</v>
      </c>
      <c r="D907" t="s">
        <v>92</v>
      </c>
      <c r="E907" t="s">
        <v>362</v>
      </c>
      <c r="F907" s="267" t="s">
        <v>390</v>
      </c>
      <c r="G907" s="267" t="s">
        <v>2535</v>
      </c>
    </row>
    <row r="908" spans="1:7">
      <c r="A908">
        <v>352</v>
      </c>
      <c r="B908">
        <v>2016</v>
      </c>
      <c r="C908" t="s">
        <v>108</v>
      </c>
      <c r="D908" t="s">
        <v>92</v>
      </c>
      <c r="E908" t="s">
        <v>362</v>
      </c>
      <c r="F908" s="267" t="s">
        <v>391</v>
      </c>
      <c r="G908" s="267" t="s">
        <v>2536</v>
      </c>
    </row>
    <row r="909" spans="1:7">
      <c r="A909">
        <v>353</v>
      </c>
      <c r="B909">
        <v>2016</v>
      </c>
      <c r="C909" t="s">
        <v>109</v>
      </c>
      <c r="D909" t="s">
        <v>92</v>
      </c>
      <c r="E909" t="s">
        <v>362</v>
      </c>
      <c r="F909" s="267" t="s">
        <v>392</v>
      </c>
      <c r="G909" s="267" t="s">
        <v>2537</v>
      </c>
    </row>
    <row r="910" spans="1:7">
      <c r="A910">
        <v>354</v>
      </c>
      <c r="B910">
        <v>2016</v>
      </c>
      <c r="C910" t="s">
        <v>110</v>
      </c>
      <c r="D910" t="s">
        <v>92</v>
      </c>
      <c r="E910" t="s">
        <v>362</v>
      </c>
      <c r="F910" s="267" t="s">
        <v>393</v>
      </c>
      <c r="G910" s="267" t="s">
        <v>2538</v>
      </c>
    </row>
    <row r="911" spans="1:7">
      <c r="A911">
        <v>355</v>
      </c>
      <c r="B911">
        <v>2016</v>
      </c>
      <c r="C911" t="s">
        <v>111</v>
      </c>
      <c r="D911" t="s">
        <v>92</v>
      </c>
      <c r="E911" t="s">
        <v>362</v>
      </c>
      <c r="F911" s="267" t="s">
        <v>394</v>
      </c>
      <c r="G911" s="267" t="s">
        <v>2539</v>
      </c>
    </row>
    <row r="912" spans="1:7">
      <c r="A912">
        <v>356</v>
      </c>
      <c r="B912">
        <v>2016</v>
      </c>
      <c r="C912" t="s">
        <v>112</v>
      </c>
      <c r="D912" t="s">
        <v>92</v>
      </c>
      <c r="E912" t="s">
        <v>362</v>
      </c>
      <c r="F912" s="267" t="s">
        <v>395</v>
      </c>
      <c r="G912" s="267" t="s">
        <v>2540</v>
      </c>
    </row>
    <row r="913" spans="1:7">
      <c r="A913">
        <v>357</v>
      </c>
      <c r="B913">
        <v>2016</v>
      </c>
      <c r="C913" t="s">
        <v>113</v>
      </c>
      <c r="D913" t="s">
        <v>92</v>
      </c>
      <c r="E913" t="s">
        <v>362</v>
      </c>
      <c r="F913" s="267" t="s">
        <v>396</v>
      </c>
      <c r="G913" s="267" t="s">
        <v>2541</v>
      </c>
    </row>
    <row r="914" spans="1:7">
      <c r="A914">
        <v>358</v>
      </c>
      <c r="B914">
        <v>2016</v>
      </c>
      <c r="C914" t="s">
        <v>114</v>
      </c>
      <c r="D914" t="s">
        <v>92</v>
      </c>
      <c r="E914" t="s">
        <v>362</v>
      </c>
      <c r="F914" s="267" t="s">
        <v>397</v>
      </c>
      <c r="G914" s="267" t="s">
        <v>2542</v>
      </c>
    </row>
    <row r="915" spans="1:7">
      <c r="A915">
        <v>359</v>
      </c>
      <c r="B915">
        <v>2016</v>
      </c>
      <c r="C915" t="s">
        <v>115</v>
      </c>
      <c r="D915" t="s">
        <v>92</v>
      </c>
      <c r="E915" t="s">
        <v>362</v>
      </c>
      <c r="F915" s="267" t="s">
        <v>398</v>
      </c>
      <c r="G915" s="267" t="s">
        <v>2543</v>
      </c>
    </row>
    <row r="916" spans="1:7">
      <c r="A916">
        <v>360</v>
      </c>
      <c r="B916">
        <v>2016</v>
      </c>
      <c r="C916" t="s">
        <v>116</v>
      </c>
      <c r="D916" t="s">
        <v>92</v>
      </c>
      <c r="E916" t="s">
        <v>362</v>
      </c>
      <c r="F916" s="267" t="s">
        <v>399</v>
      </c>
      <c r="G916" s="267" t="s">
        <v>2544</v>
      </c>
    </row>
    <row r="917" spans="1:7">
      <c r="A917">
        <v>361</v>
      </c>
      <c r="B917">
        <v>2016</v>
      </c>
      <c r="C917" t="s">
        <v>117</v>
      </c>
      <c r="D917" t="s">
        <v>92</v>
      </c>
      <c r="E917" t="s">
        <v>362</v>
      </c>
      <c r="F917" s="267" t="s">
        <v>400</v>
      </c>
      <c r="G917" s="267" t="s">
        <v>2545</v>
      </c>
    </row>
    <row r="918" spans="1:7">
      <c r="A918">
        <v>3</v>
      </c>
      <c r="B918">
        <v>2016</v>
      </c>
      <c r="C918" t="s">
        <v>156</v>
      </c>
      <c r="D918" t="s">
        <v>92</v>
      </c>
      <c r="E918" t="s">
        <v>362</v>
      </c>
      <c r="F918" s="267" t="s">
        <v>401</v>
      </c>
      <c r="G918" s="267" t="s">
        <v>2546</v>
      </c>
    </row>
    <row r="919" spans="1:7">
      <c r="A919">
        <v>401</v>
      </c>
      <c r="B919">
        <v>2016</v>
      </c>
      <c r="C919" t="s">
        <v>402</v>
      </c>
      <c r="D919" t="s">
        <v>92</v>
      </c>
      <c r="E919" t="s">
        <v>362</v>
      </c>
      <c r="F919" s="267" t="s">
        <v>403</v>
      </c>
      <c r="G919" s="267" t="s">
        <v>2547</v>
      </c>
    </row>
    <row r="920" spans="1:7">
      <c r="A920">
        <v>402</v>
      </c>
      <c r="B920">
        <v>2016</v>
      </c>
      <c r="C920" t="s">
        <v>404</v>
      </c>
      <c r="D920" t="s">
        <v>92</v>
      </c>
      <c r="E920" t="s">
        <v>362</v>
      </c>
      <c r="F920" s="267" t="s">
        <v>405</v>
      </c>
      <c r="G920" s="267" t="s">
        <v>2548</v>
      </c>
    </row>
    <row r="921" spans="1:7">
      <c r="A921">
        <v>403</v>
      </c>
      <c r="B921">
        <v>2016</v>
      </c>
      <c r="C921" t="s">
        <v>406</v>
      </c>
      <c r="D921" t="s">
        <v>92</v>
      </c>
      <c r="E921" t="s">
        <v>362</v>
      </c>
      <c r="F921" s="267" t="s">
        <v>407</v>
      </c>
      <c r="G921" s="267" t="s">
        <v>2549</v>
      </c>
    </row>
    <row r="922" spans="1:7">
      <c r="A922">
        <v>404</v>
      </c>
      <c r="B922">
        <v>2016</v>
      </c>
      <c r="C922" t="s">
        <v>408</v>
      </c>
      <c r="D922" t="s">
        <v>92</v>
      </c>
      <c r="E922" t="s">
        <v>362</v>
      </c>
      <c r="F922" s="267" t="s">
        <v>409</v>
      </c>
      <c r="G922" s="267" t="s">
        <v>2550</v>
      </c>
    </row>
    <row r="923" spans="1:7">
      <c r="A923">
        <v>405</v>
      </c>
      <c r="B923">
        <v>2016</v>
      </c>
      <c r="C923" t="s">
        <v>410</v>
      </c>
      <c r="D923" t="s">
        <v>92</v>
      </c>
      <c r="E923" t="s">
        <v>362</v>
      </c>
      <c r="F923" s="267" t="s">
        <v>411</v>
      </c>
      <c r="G923" s="267" t="s">
        <v>2551</v>
      </c>
    </row>
    <row r="924" spans="1:7">
      <c r="A924">
        <v>451</v>
      </c>
      <c r="B924">
        <v>2016</v>
      </c>
      <c r="C924" t="s">
        <v>118</v>
      </c>
      <c r="D924" t="s">
        <v>92</v>
      </c>
      <c r="E924" t="s">
        <v>362</v>
      </c>
      <c r="F924" s="267" t="s">
        <v>412</v>
      </c>
      <c r="G924" s="267" t="s">
        <v>2552</v>
      </c>
    </row>
    <row r="925" spans="1:7">
      <c r="A925">
        <v>452</v>
      </c>
      <c r="B925">
        <v>2016</v>
      </c>
      <c r="C925" t="s">
        <v>119</v>
      </c>
      <c r="D925" t="s">
        <v>92</v>
      </c>
      <c r="E925" t="s">
        <v>362</v>
      </c>
      <c r="F925" s="267" t="s">
        <v>413</v>
      </c>
      <c r="G925" s="267" t="s">
        <v>2553</v>
      </c>
    </row>
    <row r="926" spans="1:7">
      <c r="A926">
        <v>453</v>
      </c>
      <c r="B926">
        <v>2016</v>
      </c>
      <c r="C926" t="s">
        <v>120</v>
      </c>
      <c r="D926" t="s">
        <v>92</v>
      </c>
      <c r="E926" t="s">
        <v>362</v>
      </c>
      <c r="F926" s="267" t="s">
        <v>414</v>
      </c>
      <c r="G926" s="267" t="s">
        <v>2554</v>
      </c>
    </row>
    <row r="927" spans="1:7">
      <c r="A927">
        <v>454</v>
      </c>
      <c r="B927">
        <v>2016</v>
      </c>
      <c r="C927" t="s">
        <v>121</v>
      </c>
      <c r="D927" t="s">
        <v>92</v>
      </c>
      <c r="E927" t="s">
        <v>362</v>
      </c>
      <c r="F927" s="267" t="s">
        <v>415</v>
      </c>
      <c r="G927" s="267" t="s">
        <v>2555</v>
      </c>
    </row>
    <row r="928" spans="1:7">
      <c r="A928">
        <v>455</v>
      </c>
      <c r="B928">
        <v>2016</v>
      </c>
      <c r="C928" t="s">
        <v>122</v>
      </c>
      <c r="D928" t="s">
        <v>92</v>
      </c>
      <c r="E928" t="s">
        <v>362</v>
      </c>
      <c r="F928" s="267" t="s">
        <v>416</v>
      </c>
      <c r="G928" s="267" t="s">
        <v>2556</v>
      </c>
    </row>
    <row r="929" spans="1:7">
      <c r="A929">
        <v>456</v>
      </c>
      <c r="B929">
        <v>2016</v>
      </c>
      <c r="C929" t="s">
        <v>123</v>
      </c>
      <c r="D929" t="s">
        <v>92</v>
      </c>
      <c r="E929" t="s">
        <v>362</v>
      </c>
      <c r="F929" s="267" t="s">
        <v>417</v>
      </c>
      <c r="G929" s="267" t="s">
        <v>2557</v>
      </c>
    </row>
    <row r="930" spans="1:7">
      <c r="A930">
        <v>457</v>
      </c>
      <c r="B930">
        <v>2016</v>
      </c>
      <c r="C930" t="s">
        <v>124</v>
      </c>
      <c r="D930" t="s">
        <v>92</v>
      </c>
      <c r="E930" t="s">
        <v>362</v>
      </c>
      <c r="F930" s="267" t="s">
        <v>418</v>
      </c>
      <c r="G930" s="267" t="s">
        <v>2558</v>
      </c>
    </row>
    <row r="931" spans="1:7">
      <c r="A931">
        <v>458</v>
      </c>
      <c r="B931">
        <v>2016</v>
      </c>
      <c r="C931" t="s">
        <v>125</v>
      </c>
      <c r="D931" t="s">
        <v>92</v>
      </c>
      <c r="E931" t="s">
        <v>362</v>
      </c>
      <c r="F931" s="267" t="s">
        <v>419</v>
      </c>
      <c r="G931" s="267" t="s">
        <v>2559</v>
      </c>
    </row>
    <row r="932" spans="1:7">
      <c r="A932">
        <v>459</v>
      </c>
      <c r="B932">
        <v>2016</v>
      </c>
      <c r="C932" t="s">
        <v>126</v>
      </c>
      <c r="D932" t="s">
        <v>92</v>
      </c>
      <c r="E932" t="s">
        <v>362</v>
      </c>
      <c r="F932" s="267" t="s">
        <v>420</v>
      </c>
      <c r="G932" s="267" t="s">
        <v>2560</v>
      </c>
    </row>
    <row r="933" spans="1:7">
      <c r="A933">
        <v>460</v>
      </c>
      <c r="B933">
        <v>2016</v>
      </c>
      <c r="C933" t="s">
        <v>127</v>
      </c>
      <c r="D933" t="s">
        <v>92</v>
      </c>
      <c r="E933" t="s">
        <v>362</v>
      </c>
      <c r="F933" s="267" t="s">
        <v>421</v>
      </c>
      <c r="G933" s="267" t="s">
        <v>175</v>
      </c>
    </row>
    <row r="934" spans="1:7">
      <c r="A934">
        <v>461</v>
      </c>
      <c r="B934">
        <v>2016</v>
      </c>
      <c r="C934" t="s">
        <v>128</v>
      </c>
      <c r="D934" t="s">
        <v>92</v>
      </c>
      <c r="E934" t="s">
        <v>362</v>
      </c>
      <c r="F934" s="267" t="s">
        <v>422</v>
      </c>
      <c r="G934" s="267" t="s">
        <v>2561</v>
      </c>
    </row>
    <row r="935" spans="1:7">
      <c r="A935">
        <v>462</v>
      </c>
      <c r="B935">
        <v>2016</v>
      </c>
      <c r="C935" t="s">
        <v>129</v>
      </c>
      <c r="D935" t="s">
        <v>92</v>
      </c>
      <c r="E935" t="s">
        <v>362</v>
      </c>
      <c r="F935" s="267" t="s">
        <v>423</v>
      </c>
      <c r="G935" s="267" t="s">
        <v>2562</v>
      </c>
    </row>
    <row r="936" spans="1:7">
      <c r="A936">
        <v>4</v>
      </c>
      <c r="B936">
        <v>2016</v>
      </c>
      <c r="C936" t="s">
        <v>157</v>
      </c>
      <c r="D936" t="s">
        <v>92</v>
      </c>
      <c r="E936" t="s">
        <v>362</v>
      </c>
      <c r="F936" s="267" t="s">
        <v>424</v>
      </c>
      <c r="G936" s="267" t="s">
        <v>2563</v>
      </c>
    </row>
    <row r="937" spans="1:7">
      <c r="A937">
        <v>0</v>
      </c>
      <c r="B937">
        <v>2016</v>
      </c>
      <c r="C937" t="s">
        <v>130</v>
      </c>
      <c r="D937" t="s">
        <v>92</v>
      </c>
      <c r="E937" t="s">
        <v>362</v>
      </c>
      <c r="F937" s="267" t="s">
        <v>425</v>
      </c>
      <c r="G937" s="267" t="s">
        <v>2564</v>
      </c>
    </row>
    <row r="938" spans="1:7">
      <c r="A938">
        <v>101</v>
      </c>
      <c r="B938">
        <v>2016</v>
      </c>
      <c r="C938" t="s">
        <v>363</v>
      </c>
      <c r="D938" t="s">
        <v>93</v>
      </c>
      <c r="E938" t="s">
        <v>362</v>
      </c>
      <c r="F938" s="267" t="s">
        <v>364</v>
      </c>
      <c r="G938" s="267" t="s">
        <v>2462</v>
      </c>
    </row>
    <row r="939" spans="1:7">
      <c r="A939">
        <v>102</v>
      </c>
      <c r="B939">
        <v>2016</v>
      </c>
      <c r="C939" t="s">
        <v>365</v>
      </c>
      <c r="D939" t="s">
        <v>93</v>
      </c>
      <c r="E939" t="s">
        <v>362</v>
      </c>
      <c r="F939" s="267" t="s">
        <v>366</v>
      </c>
      <c r="G939" s="267" t="s">
        <v>2463</v>
      </c>
    </row>
    <row r="940" spans="1:7">
      <c r="A940">
        <v>103</v>
      </c>
      <c r="B940">
        <v>2016</v>
      </c>
      <c r="C940" t="s">
        <v>367</v>
      </c>
      <c r="D940" t="s">
        <v>93</v>
      </c>
      <c r="E940" t="s">
        <v>362</v>
      </c>
      <c r="F940" s="267" t="s">
        <v>368</v>
      </c>
      <c r="G940" s="267" t="s">
        <v>2464</v>
      </c>
    </row>
    <row r="941" spans="1:7">
      <c r="A941">
        <v>151</v>
      </c>
      <c r="B941">
        <v>2016</v>
      </c>
      <c r="C941" t="s">
        <v>94</v>
      </c>
      <c r="D941" t="s">
        <v>93</v>
      </c>
      <c r="E941" t="s">
        <v>362</v>
      </c>
      <c r="F941" s="267" t="s">
        <v>369</v>
      </c>
      <c r="G941" s="267" t="s">
        <v>2465</v>
      </c>
    </row>
    <row r="942" spans="1:7">
      <c r="A942">
        <v>153</v>
      </c>
      <c r="B942">
        <v>2016</v>
      </c>
      <c r="C942" t="s">
        <v>96</v>
      </c>
      <c r="D942" t="s">
        <v>93</v>
      </c>
      <c r="E942" t="s">
        <v>362</v>
      </c>
      <c r="F942" s="267" t="s">
        <v>370</v>
      </c>
      <c r="G942" s="267" t="s">
        <v>2466</v>
      </c>
    </row>
    <row r="943" spans="1:7">
      <c r="A943">
        <v>154</v>
      </c>
      <c r="B943">
        <v>2016</v>
      </c>
      <c r="C943" t="s">
        <v>97</v>
      </c>
      <c r="D943" t="s">
        <v>93</v>
      </c>
      <c r="E943" t="s">
        <v>362</v>
      </c>
      <c r="F943" s="267" t="s">
        <v>371</v>
      </c>
      <c r="G943" s="267" t="s">
        <v>2467</v>
      </c>
    </row>
    <row r="944" spans="1:7">
      <c r="A944">
        <v>155</v>
      </c>
      <c r="B944">
        <v>2016</v>
      </c>
      <c r="C944" t="s">
        <v>98</v>
      </c>
      <c r="D944" t="s">
        <v>93</v>
      </c>
      <c r="E944" t="s">
        <v>362</v>
      </c>
      <c r="F944" s="267" t="s">
        <v>372</v>
      </c>
      <c r="G944" s="267" t="s">
        <v>2468</v>
      </c>
    </row>
    <row r="945" spans="1:7">
      <c r="A945">
        <v>157</v>
      </c>
      <c r="B945">
        <v>2016</v>
      </c>
      <c r="C945" t="s">
        <v>99</v>
      </c>
      <c r="D945" t="s">
        <v>93</v>
      </c>
      <c r="E945" t="s">
        <v>362</v>
      </c>
      <c r="F945" s="267" t="s">
        <v>373</v>
      </c>
      <c r="G945" s="267" t="s">
        <v>2469</v>
      </c>
    </row>
    <row r="946" spans="1:7">
      <c r="A946">
        <v>158</v>
      </c>
      <c r="B946">
        <v>2016</v>
      </c>
      <c r="C946" t="s">
        <v>100</v>
      </c>
      <c r="D946" t="s">
        <v>93</v>
      </c>
      <c r="E946" t="s">
        <v>362</v>
      </c>
      <c r="F946" s="267" t="s">
        <v>374</v>
      </c>
      <c r="G946" s="267" t="s">
        <v>2470</v>
      </c>
    </row>
    <row r="947" spans="1:7">
      <c r="A947">
        <v>159</v>
      </c>
      <c r="B947">
        <v>2016</v>
      </c>
      <c r="C947" t="s">
        <v>95</v>
      </c>
      <c r="D947" t="s">
        <v>93</v>
      </c>
      <c r="E947" t="s">
        <v>362</v>
      </c>
      <c r="F947" s="267" t="s">
        <v>375</v>
      </c>
      <c r="G947" s="267" t="s">
        <v>2471</v>
      </c>
    </row>
    <row r="948" spans="1:7">
      <c r="A948">
        <v>1</v>
      </c>
      <c r="B948">
        <v>2016</v>
      </c>
      <c r="C948" t="s">
        <v>154</v>
      </c>
      <c r="D948" t="s">
        <v>93</v>
      </c>
      <c r="E948" t="s">
        <v>362</v>
      </c>
      <c r="F948" s="267" t="s">
        <v>376</v>
      </c>
      <c r="G948" s="267" t="s">
        <v>2472</v>
      </c>
    </row>
    <row r="949" spans="1:7">
      <c r="A949">
        <v>241</v>
      </c>
      <c r="B949">
        <v>2016</v>
      </c>
      <c r="C949" t="s">
        <v>377</v>
      </c>
      <c r="D949" t="s">
        <v>93</v>
      </c>
      <c r="E949" t="s">
        <v>362</v>
      </c>
      <c r="F949" s="267" t="s">
        <v>378</v>
      </c>
      <c r="G949" s="267" t="s">
        <v>2473</v>
      </c>
    </row>
    <row r="950" spans="1:7">
      <c r="A950">
        <v>241001</v>
      </c>
      <c r="B950">
        <v>2016</v>
      </c>
      <c r="C950" t="s">
        <v>379</v>
      </c>
      <c r="D950" t="s">
        <v>93</v>
      </c>
      <c r="E950" t="s">
        <v>362</v>
      </c>
      <c r="F950" s="267" t="s">
        <v>380</v>
      </c>
      <c r="G950" s="267" t="s">
        <v>2474</v>
      </c>
    </row>
    <row r="951" spans="1:7">
      <c r="A951">
        <v>241999</v>
      </c>
      <c r="B951">
        <v>2016</v>
      </c>
      <c r="C951" t="s">
        <v>381</v>
      </c>
      <c r="D951" t="s">
        <v>93</v>
      </c>
      <c r="E951" t="s">
        <v>362</v>
      </c>
      <c r="F951" s="267" t="s">
        <v>382</v>
      </c>
      <c r="G951" s="267" t="s">
        <v>2475</v>
      </c>
    </row>
    <row r="952" spans="1:7">
      <c r="A952">
        <v>251</v>
      </c>
      <c r="B952">
        <v>2016</v>
      </c>
      <c r="C952" t="s">
        <v>101</v>
      </c>
      <c r="D952" t="s">
        <v>93</v>
      </c>
      <c r="E952" t="s">
        <v>362</v>
      </c>
      <c r="F952" s="267" t="s">
        <v>383</v>
      </c>
      <c r="G952" s="267" t="s">
        <v>2476</v>
      </c>
    </row>
    <row r="953" spans="1:7">
      <c r="A953">
        <v>252</v>
      </c>
      <c r="B953">
        <v>2016</v>
      </c>
      <c r="C953" t="s">
        <v>102</v>
      </c>
      <c r="D953" t="s">
        <v>93</v>
      </c>
      <c r="E953" t="s">
        <v>362</v>
      </c>
      <c r="F953" s="267" t="s">
        <v>384</v>
      </c>
      <c r="G953" s="267" t="s">
        <v>2477</v>
      </c>
    </row>
    <row r="954" spans="1:7">
      <c r="A954">
        <v>254</v>
      </c>
      <c r="B954">
        <v>2016</v>
      </c>
      <c r="C954" t="s">
        <v>103</v>
      </c>
      <c r="D954" t="s">
        <v>93</v>
      </c>
      <c r="E954" t="s">
        <v>362</v>
      </c>
      <c r="F954" s="267" t="s">
        <v>385</v>
      </c>
      <c r="G954" s="267" t="s">
        <v>2478</v>
      </c>
    </row>
    <row r="955" spans="1:7">
      <c r="A955">
        <v>255</v>
      </c>
      <c r="B955">
        <v>2016</v>
      </c>
      <c r="C955" t="s">
        <v>104</v>
      </c>
      <c r="D955" t="s">
        <v>93</v>
      </c>
      <c r="E955" t="s">
        <v>362</v>
      </c>
      <c r="F955" s="267" t="s">
        <v>386</v>
      </c>
      <c r="G955" s="267" t="s">
        <v>2479</v>
      </c>
    </row>
    <row r="956" spans="1:7">
      <c r="A956">
        <v>256</v>
      </c>
      <c r="B956">
        <v>2016</v>
      </c>
      <c r="C956" t="s">
        <v>105</v>
      </c>
      <c r="D956" t="s">
        <v>93</v>
      </c>
      <c r="E956" t="s">
        <v>362</v>
      </c>
      <c r="F956" s="267" t="s">
        <v>387</v>
      </c>
      <c r="G956" s="267" t="s">
        <v>2480</v>
      </c>
    </row>
    <row r="957" spans="1:7">
      <c r="A957">
        <v>257</v>
      </c>
      <c r="B957">
        <v>2016</v>
      </c>
      <c r="C957" t="s">
        <v>106</v>
      </c>
      <c r="D957" t="s">
        <v>93</v>
      </c>
      <c r="E957" t="s">
        <v>362</v>
      </c>
      <c r="F957" s="267" t="s">
        <v>388</v>
      </c>
      <c r="G957" s="267" t="s">
        <v>2481</v>
      </c>
    </row>
    <row r="958" spans="1:7">
      <c r="A958">
        <v>2</v>
      </c>
      <c r="B958">
        <v>2016</v>
      </c>
      <c r="C958" t="s">
        <v>155</v>
      </c>
      <c r="D958" t="s">
        <v>93</v>
      </c>
      <c r="E958" t="s">
        <v>362</v>
      </c>
      <c r="F958" s="267" t="s">
        <v>389</v>
      </c>
      <c r="G958" s="267" t="s">
        <v>2482</v>
      </c>
    </row>
    <row r="959" spans="1:7">
      <c r="A959">
        <v>351</v>
      </c>
      <c r="B959">
        <v>2016</v>
      </c>
      <c r="C959" t="s">
        <v>107</v>
      </c>
      <c r="D959" t="s">
        <v>93</v>
      </c>
      <c r="E959" t="s">
        <v>362</v>
      </c>
      <c r="F959" s="267" t="s">
        <v>390</v>
      </c>
      <c r="G959" s="267" t="s">
        <v>2483</v>
      </c>
    </row>
    <row r="960" spans="1:7">
      <c r="A960">
        <v>352</v>
      </c>
      <c r="B960">
        <v>2016</v>
      </c>
      <c r="C960" t="s">
        <v>108</v>
      </c>
      <c r="D960" t="s">
        <v>93</v>
      </c>
      <c r="E960" t="s">
        <v>362</v>
      </c>
      <c r="F960" s="267" t="s">
        <v>391</v>
      </c>
      <c r="G960" s="267" t="s">
        <v>2484</v>
      </c>
    </row>
    <row r="961" spans="1:7">
      <c r="A961">
        <v>353</v>
      </c>
      <c r="B961">
        <v>2016</v>
      </c>
      <c r="C961" t="s">
        <v>109</v>
      </c>
      <c r="D961" t="s">
        <v>93</v>
      </c>
      <c r="E961" t="s">
        <v>362</v>
      </c>
      <c r="F961" s="267" t="s">
        <v>392</v>
      </c>
      <c r="G961" s="267" t="s">
        <v>2485</v>
      </c>
    </row>
    <row r="962" spans="1:7">
      <c r="A962">
        <v>354</v>
      </c>
      <c r="B962">
        <v>2016</v>
      </c>
      <c r="C962" t="s">
        <v>110</v>
      </c>
      <c r="D962" t="s">
        <v>93</v>
      </c>
      <c r="E962" t="s">
        <v>362</v>
      </c>
      <c r="F962" s="267" t="s">
        <v>393</v>
      </c>
      <c r="G962" s="267" t="s">
        <v>2486</v>
      </c>
    </row>
    <row r="963" spans="1:7">
      <c r="A963">
        <v>355</v>
      </c>
      <c r="B963">
        <v>2016</v>
      </c>
      <c r="C963" t="s">
        <v>111</v>
      </c>
      <c r="D963" t="s">
        <v>93</v>
      </c>
      <c r="E963" t="s">
        <v>362</v>
      </c>
      <c r="F963" s="267" t="s">
        <v>394</v>
      </c>
      <c r="G963" s="267" t="s">
        <v>2487</v>
      </c>
    </row>
    <row r="964" spans="1:7">
      <c r="A964">
        <v>356</v>
      </c>
      <c r="B964">
        <v>2016</v>
      </c>
      <c r="C964" t="s">
        <v>112</v>
      </c>
      <c r="D964" t="s">
        <v>93</v>
      </c>
      <c r="E964" t="s">
        <v>362</v>
      </c>
      <c r="F964" s="267" t="s">
        <v>395</v>
      </c>
      <c r="G964" s="267" t="s">
        <v>2488</v>
      </c>
    </row>
    <row r="965" spans="1:7">
      <c r="A965">
        <v>357</v>
      </c>
      <c r="B965">
        <v>2016</v>
      </c>
      <c r="C965" t="s">
        <v>113</v>
      </c>
      <c r="D965" t="s">
        <v>93</v>
      </c>
      <c r="E965" t="s">
        <v>362</v>
      </c>
      <c r="F965" s="267" t="s">
        <v>396</v>
      </c>
      <c r="G965" s="267" t="s">
        <v>2489</v>
      </c>
    </row>
    <row r="966" spans="1:7">
      <c r="A966">
        <v>358</v>
      </c>
      <c r="B966">
        <v>2016</v>
      </c>
      <c r="C966" t="s">
        <v>114</v>
      </c>
      <c r="D966" t="s">
        <v>93</v>
      </c>
      <c r="E966" t="s">
        <v>362</v>
      </c>
      <c r="F966" s="267" t="s">
        <v>397</v>
      </c>
      <c r="G966" s="267" t="s">
        <v>2490</v>
      </c>
    </row>
    <row r="967" spans="1:7">
      <c r="A967">
        <v>359</v>
      </c>
      <c r="B967">
        <v>2016</v>
      </c>
      <c r="C967" t="s">
        <v>115</v>
      </c>
      <c r="D967" t="s">
        <v>93</v>
      </c>
      <c r="E967" t="s">
        <v>362</v>
      </c>
      <c r="F967" s="267" t="s">
        <v>398</v>
      </c>
      <c r="G967" s="267" t="s">
        <v>2491</v>
      </c>
    </row>
    <row r="968" spans="1:7">
      <c r="A968">
        <v>360</v>
      </c>
      <c r="B968">
        <v>2016</v>
      </c>
      <c r="C968" t="s">
        <v>116</v>
      </c>
      <c r="D968" t="s">
        <v>93</v>
      </c>
      <c r="E968" t="s">
        <v>362</v>
      </c>
      <c r="F968" s="267" t="s">
        <v>399</v>
      </c>
      <c r="G968" s="267" t="s">
        <v>2492</v>
      </c>
    </row>
    <row r="969" spans="1:7">
      <c r="A969">
        <v>361</v>
      </c>
      <c r="B969">
        <v>2016</v>
      </c>
      <c r="C969" t="s">
        <v>117</v>
      </c>
      <c r="D969" t="s">
        <v>93</v>
      </c>
      <c r="E969" t="s">
        <v>362</v>
      </c>
      <c r="F969" s="267" t="s">
        <v>400</v>
      </c>
      <c r="G969" s="267" t="s">
        <v>2493</v>
      </c>
    </row>
    <row r="970" spans="1:7">
      <c r="A970">
        <v>3</v>
      </c>
      <c r="B970">
        <v>2016</v>
      </c>
      <c r="C970" t="s">
        <v>156</v>
      </c>
      <c r="D970" t="s">
        <v>93</v>
      </c>
      <c r="E970" t="s">
        <v>362</v>
      </c>
      <c r="F970" s="267" t="s">
        <v>401</v>
      </c>
      <c r="G970" s="267" t="s">
        <v>2494</v>
      </c>
    </row>
    <row r="971" spans="1:7">
      <c r="A971">
        <v>401</v>
      </c>
      <c r="B971">
        <v>2016</v>
      </c>
      <c r="C971" t="s">
        <v>402</v>
      </c>
      <c r="D971" t="s">
        <v>93</v>
      </c>
      <c r="E971" t="s">
        <v>362</v>
      </c>
      <c r="F971" s="267" t="s">
        <v>403</v>
      </c>
      <c r="G971" s="267" t="s">
        <v>2495</v>
      </c>
    </row>
    <row r="972" spans="1:7">
      <c r="A972">
        <v>402</v>
      </c>
      <c r="B972">
        <v>2016</v>
      </c>
      <c r="C972" t="s">
        <v>404</v>
      </c>
      <c r="D972" t="s">
        <v>93</v>
      </c>
      <c r="E972" t="s">
        <v>362</v>
      </c>
      <c r="F972" s="267" t="s">
        <v>405</v>
      </c>
      <c r="G972" s="267" t="s">
        <v>2496</v>
      </c>
    </row>
    <row r="973" spans="1:7">
      <c r="A973">
        <v>403</v>
      </c>
      <c r="B973">
        <v>2016</v>
      </c>
      <c r="C973" t="s">
        <v>406</v>
      </c>
      <c r="D973" t="s">
        <v>93</v>
      </c>
      <c r="E973" t="s">
        <v>362</v>
      </c>
      <c r="F973" s="267" t="s">
        <v>407</v>
      </c>
      <c r="G973" s="267" t="s">
        <v>2497</v>
      </c>
    </row>
    <row r="974" spans="1:7">
      <c r="A974">
        <v>404</v>
      </c>
      <c r="B974">
        <v>2016</v>
      </c>
      <c r="C974" t="s">
        <v>408</v>
      </c>
      <c r="D974" t="s">
        <v>93</v>
      </c>
      <c r="E974" t="s">
        <v>362</v>
      </c>
      <c r="F974" s="267" t="s">
        <v>409</v>
      </c>
      <c r="G974" s="267" t="s">
        <v>2498</v>
      </c>
    </row>
    <row r="975" spans="1:7">
      <c r="A975">
        <v>405</v>
      </c>
      <c r="B975">
        <v>2016</v>
      </c>
      <c r="C975" t="s">
        <v>410</v>
      </c>
      <c r="D975" t="s">
        <v>93</v>
      </c>
      <c r="E975" t="s">
        <v>362</v>
      </c>
      <c r="F975" s="267" t="s">
        <v>411</v>
      </c>
      <c r="G975" s="267" t="s">
        <v>2499</v>
      </c>
    </row>
    <row r="976" spans="1:7">
      <c r="A976">
        <v>451</v>
      </c>
      <c r="B976">
        <v>2016</v>
      </c>
      <c r="C976" t="s">
        <v>118</v>
      </c>
      <c r="D976" t="s">
        <v>93</v>
      </c>
      <c r="E976" t="s">
        <v>362</v>
      </c>
      <c r="F976" s="267" t="s">
        <v>412</v>
      </c>
      <c r="G976" s="267" t="s">
        <v>2500</v>
      </c>
    </row>
    <row r="977" spans="1:7">
      <c r="A977">
        <v>452</v>
      </c>
      <c r="B977">
        <v>2016</v>
      </c>
      <c r="C977" t="s">
        <v>119</v>
      </c>
      <c r="D977" t="s">
        <v>93</v>
      </c>
      <c r="E977" t="s">
        <v>362</v>
      </c>
      <c r="F977" s="267" t="s">
        <v>413</v>
      </c>
      <c r="G977" s="267" t="s">
        <v>2501</v>
      </c>
    </row>
    <row r="978" spans="1:7">
      <c r="A978">
        <v>453</v>
      </c>
      <c r="B978">
        <v>2016</v>
      </c>
      <c r="C978" t="s">
        <v>120</v>
      </c>
      <c r="D978" t="s">
        <v>93</v>
      </c>
      <c r="E978" t="s">
        <v>362</v>
      </c>
      <c r="F978" s="267" t="s">
        <v>414</v>
      </c>
      <c r="G978" s="267" t="s">
        <v>2502</v>
      </c>
    </row>
    <row r="979" spans="1:7">
      <c r="A979">
        <v>454</v>
      </c>
      <c r="B979">
        <v>2016</v>
      </c>
      <c r="C979" t="s">
        <v>121</v>
      </c>
      <c r="D979" t="s">
        <v>93</v>
      </c>
      <c r="E979" t="s">
        <v>362</v>
      </c>
      <c r="F979" s="267" t="s">
        <v>415</v>
      </c>
      <c r="G979" s="267" t="s">
        <v>2503</v>
      </c>
    </row>
    <row r="980" spans="1:7">
      <c r="A980">
        <v>455</v>
      </c>
      <c r="B980">
        <v>2016</v>
      </c>
      <c r="C980" t="s">
        <v>122</v>
      </c>
      <c r="D980" t="s">
        <v>93</v>
      </c>
      <c r="E980" t="s">
        <v>362</v>
      </c>
      <c r="F980" s="267" t="s">
        <v>416</v>
      </c>
      <c r="G980" s="267" t="s">
        <v>2504</v>
      </c>
    </row>
    <row r="981" spans="1:7">
      <c r="A981">
        <v>456</v>
      </c>
      <c r="B981">
        <v>2016</v>
      </c>
      <c r="C981" t="s">
        <v>123</v>
      </c>
      <c r="D981" t="s">
        <v>93</v>
      </c>
      <c r="E981" t="s">
        <v>362</v>
      </c>
      <c r="F981" s="267" t="s">
        <v>417</v>
      </c>
      <c r="G981" s="267" t="s">
        <v>2505</v>
      </c>
    </row>
    <row r="982" spans="1:7">
      <c r="A982">
        <v>457</v>
      </c>
      <c r="B982">
        <v>2016</v>
      </c>
      <c r="C982" t="s">
        <v>124</v>
      </c>
      <c r="D982" t="s">
        <v>93</v>
      </c>
      <c r="E982" t="s">
        <v>362</v>
      </c>
      <c r="F982" s="267" t="s">
        <v>418</v>
      </c>
      <c r="G982" s="267" t="s">
        <v>2506</v>
      </c>
    </row>
    <row r="983" spans="1:7">
      <c r="A983">
        <v>458</v>
      </c>
      <c r="B983">
        <v>2016</v>
      </c>
      <c r="C983" t="s">
        <v>125</v>
      </c>
      <c r="D983" t="s">
        <v>93</v>
      </c>
      <c r="E983" t="s">
        <v>362</v>
      </c>
      <c r="F983" s="267" t="s">
        <v>419</v>
      </c>
      <c r="G983" s="267" t="s">
        <v>2507</v>
      </c>
    </row>
    <row r="984" spans="1:7">
      <c r="A984">
        <v>459</v>
      </c>
      <c r="B984">
        <v>2016</v>
      </c>
      <c r="C984" t="s">
        <v>126</v>
      </c>
      <c r="D984" t="s">
        <v>93</v>
      </c>
      <c r="E984" t="s">
        <v>362</v>
      </c>
      <c r="F984" s="267" t="s">
        <v>420</v>
      </c>
      <c r="G984" s="267" t="s">
        <v>2508</v>
      </c>
    </row>
    <row r="985" spans="1:7">
      <c r="A985">
        <v>460</v>
      </c>
      <c r="B985">
        <v>2016</v>
      </c>
      <c r="C985" t="s">
        <v>127</v>
      </c>
      <c r="D985" t="s">
        <v>93</v>
      </c>
      <c r="E985" t="s">
        <v>362</v>
      </c>
      <c r="F985" s="267" t="s">
        <v>421</v>
      </c>
      <c r="G985" s="267" t="s">
        <v>2509</v>
      </c>
    </row>
    <row r="986" spans="1:7">
      <c r="A986">
        <v>461</v>
      </c>
      <c r="B986">
        <v>2016</v>
      </c>
      <c r="C986" t="s">
        <v>128</v>
      </c>
      <c r="D986" t="s">
        <v>93</v>
      </c>
      <c r="E986" t="s">
        <v>362</v>
      </c>
      <c r="F986" s="267" t="s">
        <v>422</v>
      </c>
      <c r="G986" s="267" t="s">
        <v>2510</v>
      </c>
    </row>
    <row r="987" spans="1:7">
      <c r="A987">
        <v>462</v>
      </c>
      <c r="B987">
        <v>2016</v>
      </c>
      <c r="C987" t="s">
        <v>129</v>
      </c>
      <c r="D987" t="s">
        <v>93</v>
      </c>
      <c r="E987" t="s">
        <v>362</v>
      </c>
      <c r="F987" s="267" t="s">
        <v>423</v>
      </c>
      <c r="G987" s="267" t="s">
        <v>2511</v>
      </c>
    </row>
    <row r="988" spans="1:7">
      <c r="A988">
        <v>4</v>
      </c>
      <c r="B988">
        <v>2016</v>
      </c>
      <c r="C988" t="s">
        <v>157</v>
      </c>
      <c r="D988" t="s">
        <v>93</v>
      </c>
      <c r="E988" t="s">
        <v>362</v>
      </c>
      <c r="F988" s="267" t="s">
        <v>424</v>
      </c>
      <c r="G988" s="267" t="s">
        <v>2512</v>
      </c>
    </row>
    <row r="989" spans="1:7">
      <c r="A989">
        <v>0</v>
      </c>
      <c r="B989">
        <v>2016</v>
      </c>
      <c r="C989" t="s">
        <v>130</v>
      </c>
      <c r="D989" t="s">
        <v>93</v>
      </c>
      <c r="E989" t="s">
        <v>362</v>
      </c>
      <c r="F989" s="267" t="s">
        <v>425</v>
      </c>
      <c r="G989" s="267" t="s">
        <v>2513</v>
      </c>
    </row>
    <row r="990" spans="1:7">
      <c r="A990">
        <v>101</v>
      </c>
      <c r="B990">
        <v>2016</v>
      </c>
      <c r="C990" t="s">
        <v>363</v>
      </c>
      <c r="D990" t="s">
        <v>131</v>
      </c>
      <c r="E990" t="s">
        <v>362</v>
      </c>
      <c r="F990" s="267" t="s">
        <v>364</v>
      </c>
      <c r="G990" s="267" t="s">
        <v>2617</v>
      </c>
    </row>
    <row r="991" spans="1:7">
      <c r="A991">
        <v>102</v>
      </c>
      <c r="B991">
        <v>2016</v>
      </c>
      <c r="C991" t="s">
        <v>365</v>
      </c>
      <c r="D991" t="s">
        <v>131</v>
      </c>
      <c r="E991" t="s">
        <v>362</v>
      </c>
      <c r="F991" s="267" t="s">
        <v>366</v>
      </c>
      <c r="G991" s="267" t="s">
        <v>2618</v>
      </c>
    </row>
    <row r="992" spans="1:7">
      <c r="A992">
        <v>103</v>
      </c>
      <c r="B992">
        <v>2016</v>
      </c>
      <c r="C992" t="s">
        <v>367</v>
      </c>
      <c r="D992" t="s">
        <v>131</v>
      </c>
      <c r="E992" t="s">
        <v>362</v>
      </c>
      <c r="F992" s="267" t="s">
        <v>368</v>
      </c>
      <c r="G992" s="267" t="s">
        <v>2619</v>
      </c>
    </row>
    <row r="993" spans="1:7">
      <c r="A993">
        <v>151</v>
      </c>
      <c r="B993">
        <v>2016</v>
      </c>
      <c r="C993" t="s">
        <v>94</v>
      </c>
      <c r="D993" t="s">
        <v>131</v>
      </c>
      <c r="E993" t="s">
        <v>362</v>
      </c>
      <c r="F993" s="267" t="s">
        <v>369</v>
      </c>
      <c r="G993" s="267" t="s">
        <v>2620</v>
      </c>
    </row>
    <row r="994" spans="1:7">
      <c r="A994">
        <v>153</v>
      </c>
      <c r="B994">
        <v>2016</v>
      </c>
      <c r="C994" t="s">
        <v>96</v>
      </c>
      <c r="D994" t="s">
        <v>131</v>
      </c>
      <c r="E994" t="s">
        <v>362</v>
      </c>
      <c r="F994" s="267" t="s">
        <v>370</v>
      </c>
      <c r="G994" s="267" t="s">
        <v>2621</v>
      </c>
    </row>
    <row r="995" spans="1:7">
      <c r="A995">
        <v>154</v>
      </c>
      <c r="B995">
        <v>2016</v>
      </c>
      <c r="C995" t="s">
        <v>97</v>
      </c>
      <c r="D995" t="s">
        <v>131</v>
      </c>
      <c r="E995" t="s">
        <v>362</v>
      </c>
      <c r="F995" s="267" t="s">
        <v>371</v>
      </c>
      <c r="G995" s="267" t="s">
        <v>2622</v>
      </c>
    </row>
    <row r="996" spans="1:7">
      <c r="A996">
        <v>155</v>
      </c>
      <c r="B996">
        <v>2016</v>
      </c>
      <c r="C996" t="s">
        <v>98</v>
      </c>
      <c r="D996" t="s">
        <v>131</v>
      </c>
      <c r="E996" t="s">
        <v>362</v>
      </c>
      <c r="F996" s="267" t="s">
        <v>372</v>
      </c>
      <c r="G996" s="267" t="s">
        <v>2623</v>
      </c>
    </row>
    <row r="997" spans="1:7">
      <c r="A997">
        <v>157</v>
      </c>
      <c r="B997">
        <v>2016</v>
      </c>
      <c r="C997" t="s">
        <v>99</v>
      </c>
      <c r="D997" t="s">
        <v>131</v>
      </c>
      <c r="E997" t="s">
        <v>362</v>
      </c>
      <c r="F997" s="267" t="s">
        <v>373</v>
      </c>
      <c r="G997" s="267" t="s">
        <v>2624</v>
      </c>
    </row>
    <row r="998" spans="1:7">
      <c r="A998">
        <v>158</v>
      </c>
      <c r="B998">
        <v>2016</v>
      </c>
      <c r="C998" t="s">
        <v>100</v>
      </c>
      <c r="D998" t="s">
        <v>131</v>
      </c>
      <c r="E998" t="s">
        <v>362</v>
      </c>
      <c r="F998" s="267" t="s">
        <v>374</v>
      </c>
      <c r="G998" s="267" t="s">
        <v>2625</v>
      </c>
    </row>
    <row r="999" spans="1:7">
      <c r="A999">
        <v>159</v>
      </c>
      <c r="B999">
        <v>2016</v>
      </c>
      <c r="C999" t="s">
        <v>95</v>
      </c>
      <c r="D999" t="s">
        <v>131</v>
      </c>
      <c r="E999" t="s">
        <v>362</v>
      </c>
      <c r="F999" s="267" t="s">
        <v>375</v>
      </c>
      <c r="G999" s="267" t="s">
        <v>2626</v>
      </c>
    </row>
    <row r="1000" spans="1:7">
      <c r="A1000">
        <v>1</v>
      </c>
      <c r="B1000">
        <v>2016</v>
      </c>
      <c r="C1000" t="s">
        <v>154</v>
      </c>
      <c r="D1000" t="s">
        <v>131</v>
      </c>
      <c r="E1000" t="s">
        <v>362</v>
      </c>
      <c r="F1000" s="267" t="s">
        <v>376</v>
      </c>
      <c r="G1000" s="267" t="s">
        <v>2627</v>
      </c>
    </row>
    <row r="1001" spans="1:7">
      <c r="A1001">
        <v>241</v>
      </c>
      <c r="B1001">
        <v>2016</v>
      </c>
      <c r="C1001" t="s">
        <v>377</v>
      </c>
      <c r="D1001" t="s">
        <v>131</v>
      </c>
      <c r="E1001" t="s">
        <v>362</v>
      </c>
      <c r="F1001" s="267" t="s">
        <v>378</v>
      </c>
      <c r="G1001" s="267" t="s">
        <v>2628</v>
      </c>
    </row>
    <row r="1002" spans="1:7">
      <c r="A1002">
        <v>241001</v>
      </c>
      <c r="B1002">
        <v>2016</v>
      </c>
      <c r="C1002" t="s">
        <v>379</v>
      </c>
      <c r="D1002" t="s">
        <v>131</v>
      </c>
      <c r="E1002" t="s">
        <v>362</v>
      </c>
      <c r="F1002" s="267" t="s">
        <v>380</v>
      </c>
      <c r="G1002" s="267" t="s">
        <v>2629</v>
      </c>
    </row>
    <row r="1003" spans="1:7">
      <c r="A1003">
        <v>241999</v>
      </c>
      <c r="B1003">
        <v>2016</v>
      </c>
      <c r="C1003" t="s">
        <v>381</v>
      </c>
      <c r="D1003" t="s">
        <v>131</v>
      </c>
      <c r="E1003" t="s">
        <v>362</v>
      </c>
      <c r="F1003" s="267" t="s">
        <v>382</v>
      </c>
      <c r="G1003" s="267" t="s">
        <v>2630</v>
      </c>
    </row>
    <row r="1004" spans="1:7">
      <c r="A1004">
        <v>251</v>
      </c>
      <c r="B1004">
        <v>2016</v>
      </c>
      <c r="C1004" t="s">
        <v>101</v>
      </c>
      <c r="D1004" t="s">
        <v>131</v>
      </c>
      <c r="E1004" t="s">
        <v>362</v>
      </c>
      <c r="F1004" s="267" t="s">
        <v>383</v>
      </c>
      <c r="G1004" s="267" t="s">
        <v>2631</v>
      </c>
    </row>
    <row r="1005" spans="1:7">
      <c r="A1005">
        <v>252</v>
      </c>
      <c r="B1005">
        <v>2016</v>
      </c>
      <c r="C1005" t="s">
        <v>102</v>
      </c>
      <c r="D1005" t="s">
        <v>131</v>
      </c>
      <c r="E1005" t="s">
        <v>362</v>
      </c>
      <c r="F1005" s="267" t="s">
        <v>384</v>
      </c>
      <c r="G1005" s="267" t="s">
        <v>2632</v>
      </c>
    </row>
    <row r="1006" spans="1:7">
      <c r="A1006">
        <v>254</v>
      </c>
      <c r="B1006">
        <v>2016</v>
      </c>
      <c r="C1006" t="s">
        <v>103</v>
      </c>
      <c r="D1006" t="s">
        <v>131</v>
      </c>
      <c r="E1006" t="s">
        <v>362</v>
      </c>
      <c r="F1006" s="267" t="s">
        <v>385</v>
      </c>
      <c r="G1006" s="267" t="s">
        <v>2633</v>
      </c>
    </row>
    <row r="1007" spans="1:7">
      <c r="A1007">
        <v>255</v>
      </c>
      <c r="B1007">
        <v>2016</v>
      </c>
      <c r="C1007" t="s">
        <v>104</v>
      </c>
      <c r="D1007" t="s">
        <v>131</v>
      </c>
      <c r="E1007" t="s">
        <v>362</v>
      </c>
      <c r="F1007" s="267" t="s">
        <v>386</v>
      </c>
      <c r="G1007" s="267" t="s">
        <v>2634</v>
      </c>
    </row>
    <row r="1008" spans="1:7">
      <c r="A1008">
        <v>256</v>
      </c>
      <c r="B1008">
        <v>2016</v>
      </c>
      <c r="C1008" t="s">
        <v>105</v>
      </c>
      <c r="D1008" t="s">
        <v>131</v>
      </c>
      <c r="E1008" t="s">
        <v>362</v>
      </c>
      <c r="F1008" s="267" t="s">
        <v>387</v>
      </c>
      <c r="G1008" s="267" t="s">
        <v>2635</v>
      </c>
    </row>
    <row r="1009" spans="1:7">
      <c r="A1009">
        <v>257</v>
      </c>
      <c r="B1009">
        <v>2016</v>
      </c>
      <c r="C1009" t="s">
        <v>106</v>
      </c>
      <c r="D1009" t="s">
        <v>131</v>
      </c>
      <c r="E1009" t="s">
        <v>362</v>
      </c>
      <c r="F1009" s="267" t="s">
        <v>388</v>
      </c>
      <c r="G1009" s="267" t="s">
        <v>2636</v>
      </c>
    </row>
    <row r="1010" spans="1:7">
      <c r="A1010">
        <v>2</v>
      </c>
      <c r="B1010">
        <v>2016</v>
      </c>
      <c r="C1010" t="s">
        <v>155</v>
      </c>
      <c r="D1010" t="s">
        <v>131</v>
      </c>
      <c r="E1010" t="s">
        <v>362</v>
      </c>
      <c r="F1010" s="267" t="s">
        <v>389</v>
      </c>
      <c r="G1010" s="267" t="s">
        <v>2637</v>
      </c>
    </row>
    <row r="1011" spans="1:7">
      <c r="A1011">
        <v>351</v>
      </c>
      <c r="B1011">
        <v>2016</v>
      </c>
      <c r="C1011" t="s">
        <v>107</v>
      </c>
      <c r="D1011" t="s">
        <v>131</v>
      </c>
      <c r="E1011" t="s">
        <v>362</v>
      </c>
      <c r="F1011" s="267" t="s">
        <v>390</v>
      </c>
      <c r="G1011" s="267" t="s">
        <v>2638</v>
      </c>
    </row>
    <row r="1012" spans="1:7">
      <c r="A1012">
        <v>352</v>
      </c>
      <c r="B1012">
        <v>2016</v>
      </c>
      <c r="C1012" t="s">
        <v>108</v>
      </c>
      <c r="D1012" t="s">
        <v>131</v>
      </c>
      <c r="E1012" t="s">
        <v>362</v>
      </c>
      <c r="F1012" s="267" t="s">
        <v>391</v>
      </c>
      <c r="G1012" s="267" t="s">
        <v>2639</v>
      </c>
    </row>
    <row r="1013" spans="1:7">
      <c r="A1013">
        <v>353</v>
      </c>
      <c r="B1013">
        <v>2016</v>
      </c>
      <c r="C1013" t="s">
        <v>109</v>
      </c>
      <c r="D1013" t="s">
        <v>131</v>
      </c>
      <c r="E1013" t="s">
        <v>362</v>
      </c>
      <c r="F1013" s="267" t="s">
        <v>392</v>
      </c>
      <c r="G1013" s="267" t="s">
        <v>2640</v>
      </c>
    </row>
    <row r="1014" spans="1:7">
      <c r="A1014">
        <v>354</v>
      </c>
      <c r="B1014">
        <v>2016</v>
      </c>
      <c r="C1014" t="s">
        <v>110</v>
      </c>
      <c r="D1014" t="s">
        <v>131</v>
      </c>
      <c r="E1014" t="s">
        <v>362</v>
      </c>
      <c r="F1014" s="267" t="s">
        <v>393</v>
      </c>
      <c r="G1014" s="267" t="s">
        <v>2641</v>
      </c>
    </row>
    <row r="1015" spans="1:7">
      <c r="A1015">
        <v>355</v>
      </c>
      <c r="B1015">
        <v>2016</v>
      </c>
      <c r="C1015" t="s">
        <v>111</v>
      </c>
      <c r="D1015" t="s">
        <v>131</v>
      </c>
      <c r="E1015" t="s">
        <v>362</v>
      </c>
      <c r="F1015" s="267" t="s">
        <v>394</v>
      </c>
      <c r="G1015" s="267" t="s">
        <v>2642</v>
      </c>
    </row>
    <row r="1016" spans="1:7">
      <c r="A1016">
        <v>356</v>
      </c>
      <c r="B1016">
        <v>2016</v>
      </c>
      <c r="C1016" t="s">
        <v>112</v>
      </c>
      <c r="D1016" t="s">
        <v>131</v>
      </c>
      <c r="E1016" t="s">
        <v>362</v>
      </c>
      <c r="F1016" s="267" t="s">
        <v>395</v>
      </c>
      <c r="G1016" s="267" t="s">
        <v>2643</v>
      </c>
    </row>
    <row r="1017" spans="1:7">
      <c r="A1017">
        <v>357</v>
      </c>
      <c r="B1017">
        <v>2016</v>
      </c>
      <c r="C1017" t="s">
        <v>113</v>
      </c>
      <c r="D1017" t="s">
        <v>131</v>
      </c>
      <c r="E1017" t="s">
        <v>362</v>
      </c>
      <c r="F1017" s="267" t="s">
        <v>396</v>
      </c>
      <c r="G1017" s="267" t="s">
        <v>2644</v>
      </c>
    </row>
    <row r="1018" spans="1:7">
      <c r="A1018">
        <v>358</v>
      </c>
      <c r="B1018">
        <v>2016</v>
      </c>
      <c r="C1018" t="s">
        <v>114</v>
      </c>
      <c r="D1018" t="s">
        <v>131</v>
      </c>
      <c r="E1018" t="s">
        <v>362</v>
      </c>
      <c r="F1018" s="267" t="s">
        <v>397</v>
      </c>
      <c r="G1018" s="267" t="s">
        <v>2645</v>
      </c>
    </row>
    <row r="1019" spans="1:7">
      <c r="A1019">
        <v>359</v>
      </c>
      <c r="B1019">
        <v>2016</v>
      </c>
      <c r="C1019" t="s">
        <v>115</v>
      </c>
      <c r="D1019" t="s">
        <v>131</v>
      </c>
      <c r="E1019" t="s">
        <v>362</v>
      </c>
      <c r="F1019" s="267" t="s">
        <v>398</v>
      </c>
      <c r="G1019" s="267" t="s">
        <v>2646</v>
      </c>
    </row>
    <row r="1020" spans="1:7">
      <c r="A1020">
        <v>360</v>
      </c>
      <c r="B1020">
        <v>2016</v>
      </c>
      <c r="C1020" t="s">
        <v>116</v>
      </c>
      <c r="D1020" t="s">
        <v>131</v>
      </c>
      <c r="E1020" t="s">
        <v>362</v>
      </c>
      <c r="F1020" s="267" t="s">
        <v>399</v>
      </c>
      <c r="G1020" s="267" t="s">
        <v>2647</v>
      </c>
    </row>
    <row r="1021" spans="1:7">
      <c r="A1021">
        <v>361</v>
      </c>
      <c r="B1021">
        <v>2016</v>
      </c>
      <c r="C1021" t="s">
        <v>117</v>
      </c>
      <c r="D1021" t="s">
        <v>131</v>
      </c>
      <c r="E1021" t="s">
        <v>362</v>
      </c>
      <c r="F1021" s="267" t="s">
        <v>400</v>
      </c>
      <c r="G1021" s="267" t="s">
        <v>2648</v>
      </c>
    </row>
    <row r="1022" spans="1:7">
      <c r="A1022">
        <v>3</v>
      </c>
      <c r="B1022">
        <v>2016</v>
      </c>
      <c r="C1022" t="s">
        <v>156</v>
      </c>
      <c r="D1022" t="s">
        <v>131</v>
      </c>
      <c r="E1022" t="s">
        <v>362</v>
      </c>
      <c r="F1022" s="267" t="s">
        <v>401</v>
      </c>
      <c r="G1022" s="267" t="s">
        <v>2649</v>
      </c>
    </row>
    <row r="1023" spans="1:7">
      <c r="A1023">
        <v>401</v>
      </c>
      <c r="B1023">
        <v>2016</v>
      </c>
      <c r="C1023" t="s">
        <v>402</v>
      </c>
      <c r="D1023" t="s">
        <v>131</v>
      </c>
      <c r="E1023" t="s">
        <v>362</v>
      </c>
      <c r="F1023" s="267" t="s">
        <v>403</v>
      </c>
      <c r="G1023" s="267" t="s">
        <v>2650</v>
      </c>
    </row>
    <row r="1024" spans="1:7">
      <c r="A1024">
        <v>402</v>
      </c>
      <c r="B1024">
        <v>2016</v>
      </c>
      <c r="C1024" t="s">
        <v>404</v>
      </c>
      <c r="D1024" t="s">
        <v>131</v>
      </c>
      <c r="E1024" t="s">
        <v>362</v>
      </c>
      <c r="F1024" s="267" t="s">
        <v>405</v>
      </c>
      <c r="G1024" s="267" t="s">
        <v>2651</v>
      </c>
    </row>
    <row r="1025" spans="1:7">
      <c r="A1025">
        <v>403</v>
      </c>
      <c r="B1025">
        <v>2016</v>
      </c>
      <c r="C1025" t="s">
        <v>406</v>
      </c>
      <c r="D1025" t="s">
        <v>131</v>
      </c>
      <c r="E1025" t="s">
        <v>362</v>
      </c>
      <c r="F1025" s="267" t="s">
        <v>407</v>
      </c>
      <c r="G1025" s="267" t="s">
        <v>2652</v>
      </c>
    </row>
    <row r="1026" spans="1:7">
      <c r="A1026">
        <v>404</v>
      </c>
      <c r="B1026">
        <v>2016</v>
      </c>
      <c r="C1026" t="s">
        <v>408</v>
      </c>
      <c r="D1026" t="s">
        <v>131</v>
      </c>
      <c r="E1026" t="s">
        <v>362</v>
      </c>
      <c r="F1026" s="267" t="s">
        <v>409</v>
      </c>
      <c r="G1026" s="267" t="s">
        <v>2653</v>
      </c>
    </row>
    <row r="1027" spans="1:7">
      <c r="A1027">
        <v>405</v>
      </c>
      <c r="B1027">
        <v>2016</v>
      </c>
      <c r="C1027" t="s">
        <v>410</v>
      </c>
      <c r="D1027" t="s">
        <v>131</v>
      </c>
      <c r="E1027" t="s">
        <v>362</v>
      </c>
      <c r="F1027" s="267" t="s">
        <v>411</v>
      </c>
      <c r="G1027" s="267" t="s">
        <v>2654</v>
      </c>
    </row>
    <row r="1028" spans="1:7">
      <c r="A1028">
        <v>451</v>
      </c>
      <c r="B1028">
        <v>2016</v>
      </c>
      <c r="C1028" t="s">
        <v>118</v>
      </c>
      <c r="D1028" t="s">
        <v>131</v>
      </c>
      <c r="E1028" t="s">
        <v>362</v>
      </c>
      <c r="F1028" s="267" t="s">
        <v>412</v>
      </c>
      <c r="G1028" s="267" t="s">
        <v>2655</v>
      </c>
    </row>
    <row r="1029" spans="1:7">
      <c r="A1029">
        <v>452</v>
      </c>
      <c r="B1029">
        <v>2016</v>
      </c>
      <c r="C1029" t="s">
        <v>119</v>
      </c>
      <c r="D1029" t="s">
        <v>131</v>
      </c>
      <c r="E1029" t="s">
        <v>362</v>
      </c>
      <c r="F1029" s="267" t="s">
        <v>413</v>
      </c>
      <c r="G1029" s="267" t="s">
        <v>2656</v>
      </c>
    </row>
    <row r="1030" spans="1:7">
      <c r="A1030">
        <v>453</v>
      </c>
      <c r="B1030">
        <v>2016</v>
      </c>
      <c r="C1030" t="s">
        <v>120</v>
      </c>
      <c r="D1030" t="s">
        <v>131</v>
      </c>
      <c r="E1030" t="s">
        <v>362</v>
      </c>
      <c r="F1030" s="267" t="s">
        <v>414</v>
      </c>
      <c r="G1030" s="267" t="s">
        <v>2657</v>
      </c>
    </row>
    <row r="1031" spans="1:7">
      <c r="A1031">
        <v>454</v>
      </c>
      <c r="B1031">
        <v>2016</v>
      </c>
      <c r="C1031" t="s">
        <v>121</v>
      </c>
      <c r="D1031" t="s">
        <v>131</v>
      </c>
      <c r="E1031" t="s">
        <v>362</v>
      </c>
      <c r="F1031" s="267" t="s">
        <v>415</v>
      </c>
      <c r="G1031" s="267" t="s">
        <v>2658</v>
      </c>
    </row>
    <row r="1032" spans="1:7">
      <c r="A1032">
        <v>455</v>
      </c>
      <c r="B1032">
        <v>2016</v>
      </c>
      <c r="C1032" t="s">
        <v>122</v>
      </c>
      <c r="D1032" t="s">
        <v>131</v>
      </c>
      <c r="E1032" t="s">
        <v>362</v>
      </c>
      <c r="F1032" s="267" t="s">
        <v>416</v>
      </c>
      <c r="G1032" s="267" t="s">
        <v>2659</v>
      </c>
    </row>
    <row r="1033" spans="1:7">
      <c r="A1033">
        <v>456</v>
      </c>
      <c r="B1033">
        <v>2016</v>
      </c>
      <c r="C1033" t="s">
        <v>123</v>
      </c>
      <c r="D1033" t="s">
        <v>131</v>
      </c>
      <c r="E1033" t="s">
        <v>362</v>
      </c>
      <c r="F1033" s="267" t="s">
        <v>417</v>
      </c>
      <c r="G1033" s="267" t="s">
        <v>2660</v>
      </c>
    </row>
    <row r="1034" spans="1:7">
      <c r="A1034">
        <v>457</v>
      </c>
      <c r="B1034">
        <v>2016</v>
      </c>
      <c r="C1034" t="s">
        <v>124</v>
      </c>
      <c r="D1034" t="s">
        <v>131</v>
      </c>
      <c r="E1034" t="s">
        <v>362</v>
      </c>
      <c r="F1034" s="267" t="s">
        <v>418</v>
      </c>
      <c r="G1034" s="267" t="s">
        <v>2661</v>
      </c>
    </row>
    <row r="1035" spans="1:7">
      <c r="A1035">
        <v>458</v>
      </c>
      <c r="B1035">
        <v>2016</v>
      </c>
      <c r="C1035" t="s">
        <v>125</v>
      </c>
      <c r="D1035" t="s">
        <v>131</v>
      </c>
      <c r="E1035" t="s">
        <v>362</v>
      </c>
      <c r="F1035" s="267" t="s">
        <v>419</v>
      </c>
      <c r="G1035" s="267" t="s">
        <v>2662</v>
      </c>
    </row>
    <row r="1036" spans="1:7">
      <c r="A1036">
        <v>459</v>
      </c>
      <c r="B1036">
        <v>2016</v>
      </c>
      <c r="C1036" t="s">
        <v>126</v>
      </c>
      <c r="D1036" t="s">
        <v>131</v>
      </c>
      <c r="E1036" t="s">
        <v>362</v>
      </c>
      <c r="F1036" s="267" t="s">
        <v>420</v>
      </c>
      <c r="G1036" s="267" t="s">
        <v>2663</v>
      </c>
    </row>
    <row r="1037" spans="1:7">
      <c r="A1037">
        <v>460</v>
      </c>
      <c r="B1037">
        <v>2016</v>
      </c>
      <c r="C1037" t="s">
        <v>127</v>
      </c>
      <c r="D1037" t="s">
        <v>131</v>
      </c>
      <c r="E1037" t="s">
        <v>362</v>
      </c>
      <c r="F1037" s="267" t="s">
        <v>421</v>
      </c>
      <c r="G1037" s="267" t="s">
        <v>2664</v>
      </c>
    </row>
    <row r="1038" spans="1:7">
      <c r="A1038">
        <v>461</v>
      </c>
      <c r="B1038">
        <v>2016</v>
      </c>
      <c r="C1038" t="s">
        <v>128</v>
      </c>
      <c r="D1038" t="s">
        <v>131</v>
      </c>
      <c r="E1038" t="s">
        <v>362</v>
      </c>
      <c r="F1038" s="267" t="s">
        <v>422</v>
      </c>
      <c r="G1038" s="267" t="s">
        <v>2665</v>
      </c>
    </row>
    <row r="1039" spans="1:7">
      <c r="A1039">
        <v>462</v>
      </c>
      <c r="B1039">
        <v>2016</v>
      </c>
      <c r="C1039" t="s">
        <v>129</v>
      </c>
      <c r="D1039" t="s">
        <v>131</v>
      </c>
      <c r="E1039" t="s">
        <v>362</v>
      </c>
      <c r="F1039" s="267" t="s">
        <v>423</v>
      </c>
      <c r="G1039" s="267" t="s">
        <v>2666</v>
      </c>
    </row>
    <row r="1040" spans="1:7">
      <c r="A1040">
        <v>4</v>
      </c>
      <c r="B1040">
        <v>2016</v>
      </c>
      <c r="C1040" t="s">
        <v>157</v>
      </c>
      <c r="D1040" t="s">
        <v>131</v>
      </c>
      <c r="E1040" t="s">
        <v>362</v>
      </c>
      <c r="F1040" s="267" t="s">
        <v>424</v>
      </c>
      <c r="G1040" s="267" t="s">
        <v>2667</v>
      </c>
    </row>
    <row r="1041" spans="1:7">
      <c r="A1041">
        <v>0</v>
      </c>
      <c r="B1041">
        <v>2016</v>
      </c>
      <c r="C1041" t="s">
        <v>130</v>
      </c>
      <c r="D1041" t="s">
        <v>131</v>
      </c>
      <c r="E1041" t="s">
        <v>362</v>
      </c>
      <c r="F1041" s="267" t="s">
        <v>425</v>
      </c>
      <c r="G1041" s="267" t="s">
        <v>2668</v>
      </c>
    </row>
    <row r="1042" spans="1:7">
      <c r="A1042">
        <v>101</v>
      </c>
      <c r="B1042">
        <v>2015</v>
      </c>
      <c r="C1042" t="s">
        <v>363</v>
      </c>
      <c r="D1042" t="s">
        <v>91</v>
      </c>
      <c r="E1042" t="s">
        <v>362</v>
      </c>
      <c r="F1042" s="267" t="s">
        <v>364</v>
      </c>
      <c r="G1042" s="267" t="s">
        <v>2669</v>
      </c>
    </row>
    <row r="1043" spans="1:7">
      <c r="A1043">
        <v>102</v>
      </c>
      <c r="B1043">
        <v>2015</v>
      </c>
      <c r="C1043" t="s">
        <v>365</v>
      </c>
      <c r="D1043" t="s">
        <v>91</v>
      </c>
      <c r="E1043" t="s">
        <v>362</v>
      </c>
      <c r="F1043" s="267" t="s">
        <v>366</v>
      </c>
      <c r="G1043" s="267" t="s">
        <v>2670</v>
      </c>
    </row>
    <row r="1044" spans="1:7">
      <c r="A1044">
        <v>103</v>
      </c>
      <c r="B1044">
        <v>2015</v>
      </c>
      <c r="C1044" t="s">
        <v>367</v>
      </c>
      <c r="D1044" t="s">
        <v>91</v>
      </c>
      <c r="E1044" t="s">
        <v>362</v>
      </c>
      <c r="F1044" s="267" t="s">
        <v>368</v>
      </c>
      <c r="G1044" s="267" t="s">
        <v>2671</v>
      </c>
    </row>
    <row r="1045" spans="1:7">
      <c r="A1045">
        <v>151</v>
      </c>
      <c r="B1045">
        <v>2015</v>
      </c>
      <c r="C1045" t="s">
        <v>94</v>
      </c>
      <c r="D1045" t="s">
        <v>91</v>
      </c>
      <c r="E1045" t="s">
        <v>362</v>
      </c>
      <c r="F1045" s="267" t="s">
        <v>369</v>
      </c>
      <c r="G1045" s="267" t="s">
        <v>2672</v>
      </c>
    </row>
    <row r="1046" spans="1:7">
      <c r="A1046">
        <v>153</v>
      </c>
      <c r="B1046">
        <v>2015</v>
      </c>
      <c r="C1046" t="s">
        <v>96</v>
      </c>
      <c r="D1046" t="s">
        <v>91</v>
      </c>
      <c r="E1046" t="s">
        <v>362</v>
      </c>
      <c r="F1046" s="267" t="s">
        <v>370</v>
      </c>
      <c r="G1046" s="267" t="s">
        <v>2673</v>
      </c>
    </row>
    <row r="1047" spans="1:7">
      <c r="A1047">
        <v>154</v>
      </c>
      <c r="B1047">
        <v>2015</v>
      </c>
      <c r="C1047" t="s">
        <v>97</v>
      </c>
      <c r="D1047" t="s">
        <v>91</v>
      </c>
      <c r="E1047" t="s">
        <v>362</v>
      </c>
      <c r="F1047" s="267" t="s">
        <v>371</v>
      </c>
      <c r="G1047" s="267" t="s">
        <v>2674</v>
      </c>
    </row>
    <row r="1048" spans="1:7">
      <c r="A1048">
        <v>155</v>
      </c>
      <c r="B1048">
        <v>2015</v>
      </c>
      <c r="C1048" t="s">
        <v>98</v>
      </c>
      <c r="D1048" t="s">
        <v>91</v>
      </c>
      <c r="E1048" t="s">
        <v>362</v>
      </c>
      <c r="F1048" s="267" t="s">
        <v>372</v>
      </c>
      <c r="G1048" s="267" t="s">
        <v>2675</v>
      </c>
    </row>
    <row r="1049" spans="1:7">
      <c r="A1049">
        <v>157</v>
      </c>
      <c r="B1049">
        <v>2015</v>
      </c>
      <c r="C1049" t="s">
        <v>99</v>
      </c>
      <c r="D1049" t="s">
        <v>91</v>
      </c>
      <c r="E1049" t="s">
        <v>362</v>
      </c>
      <c r="F1049" s="267" t="s">
        <v>373</v>
      </c>
      <c r="G1049" s="267" t="s">
        <v>2676</v>
      </c>
    </row>
    <row r="1050" spans="1:7">
      <c r="A1050">
        <v>158</v>
      </c>
      <c r="B1050">
        <v>2015</v>
      </c>
      <c r="C1050" t="s">
        <v>100</v>
      </c>
      <c r="D1050" t="s">
        <v>91</v>
      </c>
      <c r="E1050" t="s">
        <v>362</v>
      </c>
      <c r="F1050" s="267" t="s">
        <v>374</v>
      </c>
      <c r="G1050" s="267" t="s">
        <v>2677</v>
      </c>
    </row>
    <row r="1051" spans="1:7">
      <c r="A1051">
        <v>159</v>
      </c>
      <c r="B1051">
        <v>2015</v>
      </c>
      <c r="C1051" t="s">
        <v>95</v>
      </c>
      <c r="D1051" t="s">
        <v>91</v>
      </c>
      <c r="E1051" t="s">
        <v>362</v>
      </c>
      <c r="F1051" s="267" t="s">
        <v>375</v>
      </c>
      <c r="G1051" s="267" t="s">
        <v>2678</v>
      </c>
    </row>
    <row r="1052" spans="1:7">
      <c r="A1052">
        <v>1</v>
      </c>
      <c r="B1052">
        <v>2015</v>
      </c>
      <c r="C1052" t="s">
        <v>154</v>
      </c>
      <c r="D1052" t="s">
        <v>91</v>
      </c>
      <c r="E1052" t="s">
        <v>362</v>
      </c>
      <c r="F1052" s="267" t="s">
        <v>376</v>
      </c>
      <c r="G1052" s="267" t="s">
        <v>2679</v>
      </c>
    </row>
    <row r="1053" spans="1:7">
      <c r="A1053">
        <v>241</v>
      </c>
      <c r="B1053">
        <v>2015</v>
      </c>
      <c r="C1053" t="s">
        <v>377</v>
      </c>
      <c r="D1053" t="s">
        <v>91</v>
      </c>
      <c r="E1053" t="s">
        <v>362</v>
      </c>
      <c r="F1053" s="267" t="s">
        <v>378</v>
      </c>
      <c r="G1053" s="267" t="s">
        <v>2680</v>
      </c>
    </row>
    <row r="1054" spans="1:7">
      <c r="A1054">
        <v>241001</v>
      </c>
      <c r="B1054">
        <v>2015</v>
      </c>
      <c r="C1054" t="s">
        <v>379</v>
      </c>
      <c r="D1054" t="s">
        <v>91</v>
      </c>
      <c r="E1054" t="s">
        <v>362</v>
      </c>
      <c r="F1054" s="267" t="s">
        <v>380</v>
      </c>
      <c r="G1054" s="267" t="s">
        <v>2681</v>
      </c>
    </row>
    <row r="1055" spans="1:7">
      <c r="A1055">
        <v>241999</v>
      </c>
      <c r="B1055">
        <v>2015</v>
      </c>
      <c r="C1055" t="s">
        <v>381</v>
      </c>
      <c r="D1055" t="s">
        <v>91</v>
      </c>
      <c r="E1055" t="s">
        <v>362</v>
      </c>
      <c r="F1055" s="267" t="s">
        <v>382</v>
      </c>
      <c r="G1055" s="267" t="s">
        <v>2682</v>
      </c>
    </row>
    <row r="1056" spans="1:7">
      <c r="A1056">
        <v>251</v>
      </c>
      <c r="B1056">
        <v>2015</v>
      </c>
      <c r="C1056" t="s">
        <v>101</v>
      </c>
      <c r="D1056" t="s">
        <v>91</v>
      </c>
      <c r="E1056" t="s">
        <v>362</v>
      </c>
      <c r="F1056" s="267" t="s">
        <v>383</v>
      </c>
      <c r="G1056" s="267" t="s">
        <v>2683</v>
      </c>
    </row>
    <row r="1057" spans="1:7">
      <c r="A1057">
        <v>252</v>
      </c>
      <c r="B1057">
        <v>2015</v>
      </c>
      <c r="C1057" t="s">
        <v>102</v>
      </c>
      <c r="D1057" t="s">
        <v>91</v>
      </c>
      <c r="E1057" t="s">
        <v>362</v>
      </c>
      <c r="F1057" s="267" t="s">
        <v>384</v>
      </c>
      <c r="G1057" s="267" t="s">
        <v>2684</v>
      </c>
    </row>
    <row r="1058" spans="1:7">
      <c r="A1058">
        <v>254</v>
      </c>
      <c r="B1058">
        <v>2015</v>
      </c>
      <c r="C1058" t="s">
        <v>103</v>
      </c>
      <c r="D1058" t="s">
        <v>91</v>
      </c>
      <c r="E1058" t="s">
        <v>362</v>
      </c>
      <c r="F1058" s="267" t="s">
        <v>385</v>
      </c>
      <c r="G1058" s="267" t="s">
        <v>2685</v>
      </c>
    </row>
    <row r="1059" spans="1:7">
      <c r="A1059">
        <v>255</v>
      </c>
      <c r="B1059">
        <v>2015</v>
      </c>
      <c r="C1059" t="s">
        <v>104</v>
      </c>
      <c r="D1059" t="s">
        <v>91</v>
      </c>
      <c r="E1059" t="s">
        <v>362</v>
      </c>
      <c r="F1059" s="267" t="s">
        <v>386</v>
      </c>
      <c r="G1059" s="267" t="s">
        <v>2686</v>
      </c>
    </row>
    <row r="1060" spans="1:7">
      <c r="A1060">
        <v>256</v>
      </c>
      <c r="B1060">
        <v>2015</v>
      </c>
      <c r="C1060" t="s">
        <v>105</v>
      </c>
      <c r="D1060" t="s">
        <v>91</v>
      </c>
      <c r="E1060" t="s">
        <v>362</v>
      </c>
      <c r="F1060" s="267" t="s">
        <v>387</v>
      </c>
      <c r="G1060" s="267" t="s">
        <v>2687</v>
      </c>
    </row>
    <row r="1061" spans="1:7">
      <c r="A1061">
        <v>257</v>
      </c>
      <c r="B1061">
        <v>2015</v>
      </c>
      <c r="C1061" t="s">
        <v>106</v>
      </c>
      <c r="D1061" t="s">
        <v>91</v>
      </c>
      <c r="E1061" t="s">
        <v>362</v>
      </c>
      <c r="F1061" s="267" t="s">
        <v>388</v>
      </c>
      <c r="G1061" s="267" t="s">
        <v>2688</v>
      </c>
    </row>
    <row r="1062" spans="1:7">
      <c r="A1062">
        <v>2</v>
      </c>
      <c r="B1062">
        <v>2015</v>
      </c>
      <c r="C1062" t="s">
        <v>155</v>
      </c>
      <c r="D1062" t="s">
        <v>91</v>
      </c>
      <c r="E1062" t="s">
        <v>362</v>
      </c>
      <c r="F1062" s="267" t="s">
        <v>389</v>
      </c>
      <c r="G1062" s="267" t="s">
        <v>2689</v>
      </c>
    </row>
    <row r="1063" spans="1:7">
      <c r="A1063">
        <v>351</v>
      </c>
      <c r="B1063">
        <v>2015</v>
      </c>
      <c r="C1063" t="s">
        <v>107</v>
      </c>
      <c r="D1063" t="s">
        <v>91</v>
      </c>
      <c r="E1063" t="s">
        <v>362</v>
      </c>
      <c r="F1063" s="267" t="s">
        <v>390</v>
      </c>
      <c r="G1063" s="267" t="s">
        <v>2690</v>
      </c>
    </row>
    <row r="1064" spans="1:7">
      <c r="A1064">
        <v>352</v>
      </c>
      <c r="B1064">
        <v>2015</v>
      </c>
      <c r="C1064" t="s">
        <v>108</v>
      </c>
      <c r="D1064" t="s">
        <v>91</v>
      </c>
      <c r="E1064" t="s">
        <v>362</v>
      </c>
      <c r="F1064" s="267" t="s">
        <v>391</v>
      </c>
      <c r="G1064" s="267" t="s">
        <v>2691</v>
      </c>
    </row>
    <row r="1065" spans="1:7">
      <c r="A1065">
        <v>353</v>
      </c>
      <c r="B1065">
        <v>2015</v>
      </c>
      <c r="C1065" t="s">
        <v>109</v>
      </c>
      <c r="D1065" t="s">
        <v>91</v>
      </c>
      <c r="E1065" t="s">
        <v>362</v>
      </c>
      <c r="F1065" s="267" t="s">
        <v>392</v>
      </c>
      <c r="G1065" s="267" t="s">
        <v>2692</v>
      </c>
    </row>
    <row r="1066" spans="1:7">
      <c r="A1066">
        <v>354</v>
      </c>
      <c r="B1066">
        <v>2015</v>
      </c>
      <c r="C1066" t="s">
        <v>110</v>
      </c>
      <c r="D1066" t="s">
        <v>91</v>
      </c>
      <c r="E1066" t="s">
        <v>362</v>
      </c>
      <c r="F1066" s="267" t="s">
        <v>393</v>
      </c>
      <c r="G1066" s="267" t="s">
        <v>2693</v>
      </c>
    </row>
    <row r="1067" spans="1:7">
      <c r="A1067">
        <v>355</v>
      </c>
      <c r="B1067">
        <v>2015</v>
      </c>
      <c r="C1067" t="s">
        <v>111</v>
      </c>
      <c r="D1067" t="s">
        <v>91</v>
      </c>
      <c r="E1067" t="s">
        <v>362</v>
      </c>
      <c r="F1067" s="267" t="s">
        <v>394</v>
      </c>
      <c r="G1067" s="267" t="s">
        <v>2694</v>
      </c>
    </row>
    <row r="1068" spans="1:7">
      <c r="A1068">
        <v>356</v>
      </c>
      <c r="B1068">
        <v>2015</v>
      </c>
      <c r="C1068" t="s">
        <v>112</v>
      </c>
      <c r="D1068" t="s">
        <v>91</v>
      </c>
      <c r="E1068" t="s">
        <v>362</v>
      </c>
      <c r="F1068" s="267" t="s">
        <v>395</v>
      </c>
      <c r="G1068" s="267" t="s">
        <v>2695</v>
      </c>
    </row>
    <row r="1069" spans="1:7">
      <c r="A1069">
        <v>357</v>
      </c>
      <c r="B1069">
        <v>2015</v>
      </c>
      <c r="C1069" t="s">
        <v>113</v>
      </c>
      <c r="D1069" t="s">
        <v>91</v>
      </c>
      <c r="E1069" t="s">
        <v>362</v>
      </c>
      <c r="F1069" s="267" t="s">
        <v>396</v>
      </c>
      <c r="G1069" s="267" t="s">
        <v>2696</v>
      </c>
    </row>
    <row r="1070" spans="1:7">
      <c r="A1070">
        <v>358</v>
      </c>
      <c r="B1070">
        <v>2015</v>
      </c>
      <c r="C1070" t="s">
        <v>114</v>
      </c>
      <c r="D1070" t="s">
        <v>91</v>
      </c>
      <c r="E1070" t="s">
        <v>362</v>
      </c>
      <c r="F1070" s="267" t="s">
        <v>397</v>
      </c>
      <c r="G1070" s="267" t="s">
        <v>2697</v>
      </c>
    </row>
    <row r="1071" spans="1:7">
      <c r="A1071">
        <v>359</v>
      </c>
      <c r="B1071">
        <v>2015</v>
      </c>
      <c r="C1071" t="s">
        <v>115</v>
      </c>
      <c r="D1071" t="s">
        <v>91</v>
      </c>
      <c r="E1071" t="s">
        <v>362</v>
      </c>
      <c r="F1071" s="267" t="s">
        <v>398</v>
      </c>
      <c r="G1071" s="267" t="s">
        <v>2698</v>
      </c>
    </row>
    <row r="1072" spans="1:7">
      <c r="A1072">
        <v>360</v>
      </c>
      <c r="B1072">
        <v>2015</v>
      </c>
      <c r="C1072" t="s">
        <v>116</v>
      </c>
      <c r="D1072" t="s">
        <v>91</v>
      </c>
      <c r="E1072" t="s">
        <v>362</v>
      </c>
      <c r="F1072" s="267" t="s">
        <v>399</v>
      </c>
      <c r="G1072" s="267" t="s">
        <v>2699</v>
      </c>
    </row>
    <row r="1073" spans="1:7">
      <c r="A1073">
        <v>361</v>
      </c>
      <c r="B1073">
        <v>2015</v>
      </c>
      <c r="C1073" t="s">
        <v>117</v>
      </c>
      <c r="D1073" t="s">
        <v>91</v>
      </c>
      <c r="E1073" t="s">
        <v>362</v>
      </c>
      <c r="F1073" s="267" t="s">
        <v>400</v>
      </c>
      <c r="G1073" s="267" t="s">
        <v>2700</v>
      </c>
    </row>
    <row r="1074" spans="1:7">
      <c r="A1074">
        <v>3</v>
      </c>
      <c r="B1074">
        <v>2015</v>
      </c>
      <c r="C1074" t="s">
        <v>156</v>
      </c>
      <c r="D1074" t="s">
        <v>91</v>
      </c>
      <c r="E1074" t="s">
        <v>362</v>
      </c>
      <c r="F1074" s="267" t="s">
        <v>401</v>
      </c>
      <c r="G1074" s="267" t="s">
        <v>2701</v>
      </c>
    </row>
    <row r="1075" spans="1:7">
      <c r="A1075">
        <v>401</v>
      </c>
      <c r="B1075">
        <v>2015</v>
      </c>
      <c r="C1075" t="s">
        <v>402</v>
      </c>
      <c r="D1075" t="s">
        <v>91</v>
      </c>
      <c r="E1075" t="s">
        <v>362</v>
      </c>
      <c r="F1075" s="267" t="s">
        <v>403</v>
      </c>
      <c r="G1075" s="267" t="s">
        <v>2702</v>
      </c>
    </row>
    <row r="1076" spans="1:7">
      <c r="A1076">
        <v>402</v>
      </c>
      <c r="B1076">
        <v>2015</v>
      </c>
      <c r="C1076" t="s">
        <v>404</v>
      </c>
      <c r="D1076" t="s">
        <v>91</v>
      </c>
      <c r="E1076" t="s">
        <v>362</v>
      </c>
      <c r="F1076" s="267" t="s">
        <v>405</v>
      </c>
      <c r="G1076" s="267" t="s">
        <v>2703</v>
      </c>
    </row>
    <row r="1077" spans="1:7">
      <c r="A1077">
        <v>403</v>
      </c>
      <c r="B1077">
        <v>2015</v>
      </c>
      <c r="C1077" t="s">
        <v>406</v>
      </c>
      <c r="D1077" t="s">
        <v>91</v>
      </c>
      <c r="E1077" t="s">
        <v>362</v>
      </c>
      <c r="F1077" s="267" t="s">
        <v>407</v>
      </c>
      <c r="G1077" s="267" t="s">
        <v>2704</v>
      </c>
    </row>
    <row r="1078" spans="1:7">
      <c r="A1078">
        <v>404</v>
      </c>
      <c r="B1078">
        <v>2015</v>
      </c>
      <c r="C1078" t="s">
        <v>408</v>
      </c>
      <c r="D1078" t="s">
        <v>91</v>
      </c>
      <c r="E1078" t="s">
        <v>362</v>
      </c>
      <c r="F1078" s="267" t="s">
        <v>409</v>
      </c>
      <c r="G1078" s="267" t="s">
        <v>2705</v>
      </c>
    </row>
    <row r="1079" spans="1:7">
      <c r="A1079">
        <v>405</v>
      </c>
      <c r="B1079">
        <v>2015</v>
      </c>
      <c r="C1079" t="s">
        <v>410</v>
      </c>
      <c r="D1079" t="s">
        <v>91</v>
      </c>
      <c r="E1079" t="s">
        <v>362</v>
      </c>
      <c r="F1079" s="267" t="s">
        <v>411</v>
      </c>
      <c r="G1079" s="267" t="s">
        <v>2706</v>
      </c>
    </row>
    <row r="1080" spans="1:7">
      <c r="A1080">
        <v>451</v>
      </c>
      <c r="B1080">
        <v>2015</v>
      </c>
      <c r="C1080" t="s">
        <v>118</v>
      </c>
      <c r="D1080" t="s">
        <v>91</v>
      </c>
      <c r="E1080" t="s">
        <v>362</v>
      </c>
      <c r="F1080" s="267" t="s">
        <v>412</v>
      </c>
      <c r="G1080" s="267" t="s">
        <v>2707</v>
      </c>
    </row>
    <row r="1081" spans="1:7">
      <c r="A1081">
        <v>452</v>
      </c>
      <c r="B1081">
        <v>2015</v>
      </c>
      <c r="C1081" t="s">
        <v>119</v>
      </c>
      <c r="D1081" t="s">
        <v>91</v>
      </c>
      <c r="E1081" t="s">
        <v>362</v>
      </c>
      <c r="F1081" s="267" t="s">
        <v>413</v>
      </c>
      <c r="G1081" s="267" t="s">
        <v>2708</v>
      </c>
    </row>
    <row r="1082" spans="1:7">
      <c r="A1082">
        <v>453</v>
      </c>
      <c r="B1082">
        <v>2015</v>
      </c>
      <c r="C1082" t="s">
        <v>120</v>
      </c>
      <c r="D1082" t="s">
        <v>91</v>
      </c>
      <c r="E1082" t="s">
        <v>362</v>
      </c>
      <c r="F1082" s="267" t="s">
        <v>414</v>
      </c>
      <c r="G1082" s="267" t="s">
        <v>2709</v>
      </c>
    </row>
    <row r="1083" spans="1:7">
      <c r="A1083">
        <v>454</v>
      </c>
      <c r="B1083">
        <v>2015</v>
      </c>
      <c r="C1083" t="s">
        <v>121</v>
      </c>
      <c r="D1083" t="s">
        <v>91</v>
      </c>
      <c r="E1083" t="s">
        <v>362</v>
      </c>
      <c r="F1083" s="267" t="s">
        <v>415</v>
      </c>
      <c r="G1083" s="267" t="s">
        <v>2710</v>
      </c>
    </row>
    <row r="1084" spans="1:7">
      <c r="A1084">
        <v>455</v>
      </c>
      <c r="B1084">
        <v>2015</v>
      </c>
      <c r="C1084" t="s">
        <v>122</v>
      </c>
      <c r="D1084" t="s">
        <v>91</v>
      </c>
      <c r="E1084" t="s">
        <v>362</v>
      </c>
      <c r="F1084" s="267" t="s">
        <v>416</v>
      </c>
      <c r="G1084" s="267" t="s">
        <v>2711</v>
      </c>
    </row>
    <row r="1085" spans="1:7">
      <c r="A1085">
        <v>456</v>
      </c>
      <c r="B1085">
        <v>2015</v>
      </c>
      <c r="C1085" t="s">
        <v>123</v>
      </c>
      <c r="D1085" t="s">
        <v>91</v>
      </c>
      <c r="E1085" t="s">
        <v>362</v>
      </c>
      <c r="F1085" s="267" t="s">
        <v>417</v>
      </c>
      <c r="G1085" s="267" t="s">
        <v>2712</v>
      </c>
    </row>
    <row r="1086" spans="1:7">
      <c r="A1086">
        <v>457</v>
      </c>
      <c r="B1086">
        <v>2015</v>
      </c>
      <c r="C1086" t="s">
        <v>124</v>
      </c>
      <c r="D1086" t="s">
        <v>91</v>
      </c>
      <c r="E1086" t="s">
        <v>362</v>
      </c>
      <c r="F1086" s="267" t="s">
        <v>418</v>
      </c>
      <c r="G1086" s="267" t="s">
        <v>2713</v>
      </c>
    </row>
    <row r="1087" spans="1:7">
      <c r="A1087">
        <v>458</v>
      </c>
      <c r="B1087">
        <v>2015</v>
      </c>
      <c r="C1087" t="s">
        <v>125</v>
      </c>
      <c r="D1087" t="s">
        <v>91</v>
      </c>
      <c r="E1087" t="s">
        <v>362</v>
      </c>
      <c r="F1087" s="267" t="s">
        <v>419</v>
      </c>
      <c r="G1087" s="267" t="s">
        <v>2714</v>
      </c>
    </row>
    <row r="1088" spans="1:7">
      <c r="A1088">
        <v>459</v>
      </c>
      <c r="B1088">
        <v>2015</v>
      </c>
      <c r="C1088" t="s">
        <v>126</v>
      </c>
      <c r="D1088" t="s">
        <v>91</v>
      </c>
      <c r="E1088" t="s">
        <v>362</v>
      </c>
      <c r="F1088" s="267" t="s">
        <v>420</v>
      </c>
      <c r="G1088" s="267" t="s">
        <v>2715</v>
      </c>
    </row>
    <row r="1089" spans="1:7">
      <c r="A1089">
        <v>460</v>
      </c>
      <c r="B1089">
        <v>2015</v>
      </c>
      <c r="C1089" t="s">
        <v>127</v>
      </c>
      <c r="D1089" t="s">
        <v>91</v>
      </c>
      <c r="E1089" t="s">
        <v>362</v>
      </c>
      <c r="F1089" s="267" t="s">
        <v>421</v>
      </c>
      <c r="G1089" s="267" t="s">
        <v>2716</v>
      </c>
    </row>
    <row r="1090" spans="1:7">
      <c r="A1090">
        <v>461</v>
      </c>
      <c r="B1090">
        <v>2015</v>
      </c>
      <c r="C1090" t="s">
        <v>128</v>
      </c>
      <c r="D1090" t="s">
        <v>91</v>
      </c>
      <c r="E1090" t="s">
        <v>362</v>
      </c>
      <c r="F1090" s="267" t="s">
        <v>422</v>
      </c>
      <c r="G1090" s="267" t="s">
        <v>2717</v>
      </c>
    </row>
    <row r="1091" spans="1:7">
      <c r="A1091">
        <v>462</v>
      </c>
      <c r="B1091">
        <v>2015</v>
      </c>
      <c r="C1091" t="s">
        <v>129</v>
      </c>
      <c r="D1091" t="s">
        <v>91</v>
      </c>
      <c r="E1091" t="s">
        <v>362</v>
      </c>
      <c r="F1091" s="267" t="s">
        <v>423</v>
      </c>
      <c r="G1091" s="267" t="s">
        <v>2718</v>
      </c>
    </row>
    <row r="1092" spans="1:7">
      <c r="A1092">
        <v>4</v>
      </c>
      <c r="B1092">
        <v>2015</v>
      </c>
      <c r="C1092" t="s">
        <v>157</v>
      </c>
      <c r="D1092" t="s">
        <v>91</v>
      </c>
      <c r="E1092" t="s">
        <v>362</v>
      </c>
      <c r="F1092" s="267" t="s">
        <v>424</v>
      </c>
      <c r="G1092" s="267" t="s">
        <v>2719</v>
      </c>
    </row>
    <row r="1093" spans="1:7">
      <c r="A1093">
        <v>0</v>
      </c>
      <c r="B1093">
        <v>2015</v>
      </c>
      <c r="C1093" t="s">
        <v>130</v>
      </c>
      <c r="D1093" t="s">
        <v>91</v>
      </c>
      <c r="E1093" t="s">
        <v>362</v>
      </c>
      <c r="F1093" s="267" t="s">
        <v>425</v>
      </c>
      <c r="G1093" s="267" t="s">
        <v>2720</v>
      </c>
    </row>
    <row r="1094" spans="1:7">
      <c r="A1094">
        <v>101</v>
      </c>
      <c r="B1094">
        <v>2015</v>
      </c>
      <c r="C1094" t="s">
        <v>363</v>
      </c>
      <c r="D1094" t="s">
        <v>92</v>
      </c>
      <c r="E1094" t="s">
        <v>362</v>
      </c>
      <c r="F1094" s="267" t="s">
        <v>364</v>
      </c>
      <c r="G1094" s="267" t="s">
        <v>2721</v>
      </c>
    </row>
    <row r="1095" spans="1:7">
      <c r="A1095">
        <v>102</v>
      </c>
      <c r="B1095">
        <v>2015</v>
      </c>
      <c r="C1095" t="s">
        <v>365</v>
      </c>
      <c r="D1095" t="s">
        <v>92</v>
      </c>
      <c r="E1095" t="s">
        <v>362</v>
      </c>
      <c r="F1095" s="267" t="s">
        <v>366</v>
      </c>
      <c r="G1095" s="267" t="s">
        <v>2722</v>
      </c>
    </row>
    <row r="1096" spans="1:7">
      <c r="A1096">
        <v>103</v>
      </c>
      <c r="B1096">
        <v>2015</v>
      </c>
      <c r="C1096" t="s">
        <v>367</v>
      </c>
      <c r="D1096" t="s">
        <v>92</v>
      </c>
      <c r="E1096" t="s">
        <v>362</v>
      </c>
      <c r="F1096" s="267" t="s">
        <v>368</v>
      </c>
      <c r="G1096" s="267" t="s">
        <v>2723</v>
      </c>
    </row>
    <row r="1097" spans="1:7">
      <c r="A1097">
        <v>151</v>
      </c>
      <c r="B1097">
        <v>2015</v>
      </c>
      <c r="C1097" t="s">
        <v>94</v>
      </c>
      <c r="D1097" t="s">
        <v>92</v>
      </c>
      <c r="E1097" t="s">
        <v>362</v>
      </c>
      <c r="F1097" s="267" t="s">
        <v>369</v>
      </c>
      <c r="G1097" s="267" t="s">
        <v>2724</v>
      </c>
    </row>
    <row r="1098" spans="1:7">
      <c r="A1098">
        <v>153</v>
      </c>
      <c r="B1098">
        <v>2015</v>
      </c>
      <c r="C1098" t="s">
        <v>96</v>
      </c>
      <c r="D1098" t="s">
        <v>92</v>
      </c>
      <c r="E1098" t="s">
        <v>362</v>
      </c>
      <c r="F1098" s="267" t="s">
        <v>370</v>
      </c>
      <c r="G1098" s="267" t="s">
        <v>2725</v>
      </c>
    </row>
    <row r="1099" spans="1:7">
      <c r="A1099">
        <v>154</v>
      </c>
      <c r="B1099">
        <v>2015</v>
      </c>
      <c r="C1099" t="s">
        <v>97</v>
      </c>
      <c r="D1099" t="s">
        <v>92</v>
      </c>
      <c r="E1099" t="s">
        <v>362</v>
      </c>
      <c r="F1099" s="267" t="s">
        <v>371</v>
      </c>
      <c r="G1099" s="267" t="s">
        <v>2726</v>
      </c>
    </row>
    <row r="1100" spans="1:7">
      <c r="A1100">
        <v>155</v>
      </c>
      <c r="B1100">
        <v>2015</v>
      </c>
      <c r="C1100" t="s">
        <v>98</v>
      </c>
      <c r="D1100" t="s">
        <v>92</v>
      </c>
      <c r="E1100" t="s">
        <v>362</v>
      </c>
      <c r="F1100" s="267" t="s">
        <v>372</v>
      </c>
      <c r="G1100" s="267" t="s">
        <v>2727</v>
      </c>
    </row>
    <row r="1101" spans="1:7">
      <c r="A1101">
        <v>157</v>
      </c>
      <c r="B1101">
        <v>2015</v>
      </c>
      <c r="C1101" t="s">
        <v>99</v>
      </c>
      <c r="D1101" t="s">
        <v>92</v>
      </c>
      <c r="E1101" t="s">
        <v>362</v>
      </c>
      <c r="F1101" s="267" t="s">
        <v>373</v>
      </c>
      <c r="G1101" s="267" t="s">
        <v>2728</v>
      </c>
    </row>
    <row r="1102" spans="1:7">
      <c r="A1102">
        <v>158</v>
      </c>
      <c r="B1102">
        <v>2015</v>
      </c>
      <c r="C1102" t="s">
        <v>100</v>
      </c>
      <c r="D1102" t="s">
        <v>92</v>
      </c>
      <c r="E1102" t="s">
        <v>362</v>
      </c>
      <c r="F1102" s="267" t="s">
        <v>374</v>
      </c>
      <c r="G1102" s="267" t="s">
        <v>2729</v>
      </c>
    </row>
    <row r="1103" spans="1:7">
      <c r="A1103">
        <v>159</v>
      </c>
      <c r="B1103">
        <v>2015</v>
      </c>
      <c r="C1103" t="s">
        <v>95</v>
      </c>
      <c r="D1103" t="s">
        <v>92</v>
      </c>
      <c r="E1103" t="s">
        <v>362</v>
      </c>
      <c r="F1103" s="267" t="s">
        <v>375</v>
      </c>
      <c r="G1103" s="267" t="s">
        <v>2730</v>
      </c>
    </row>
    <row r="1104" spans="1:7">
      <c r="A1104">
        <v>1</v>
      </c>
      <c r="B1104">
        <v>2015</v>
      </c>
      <c r="C1104" t="s">
        <v>154</v>
      </c>
      <c r="D1104" t="s">
        <v>92</v>
      </c>
      <c r="E1104" t="s">
        <v>362</v>
      </c>
      <c r="F1104" s="267" t="s">
        <v>376</v>
      </c>
      <c r="G1104" s="267" t="s">
        <v>2731</v>
      </c>
    </row>
    <row r="1105" spans="1:7">
      <c r="A1105">
        <v>241</v>
      </c>
      <c r="B1105">
        <v>2015</v>
      </c>
      <c r="C1105" t="s">
        <v>377</v>
      </c>
      <c r="D1105" t="s">
        <v>92</v>
      </c>
      <c r="E1105" t="s">
        <v>362</v>
      </c>
      <c r="F1105" s="267" t="s">
        <v>378</v>
      </c>
      <c r="G1105" s="267" t="s">
        <v>2732</v>
      </c>
    </row>
    <row r="1106" spans="1:7">
      <c r="A1106">
        <v>241001</v>
      </c>
      <c r="B1106">
        <v>2015</v>
      </c>
      <c r="C1106" t="s">
        <v>379</v>
      </c>
      <c r="D1106" t="s">
        <v>92</v>
      </c>
      <c r="E1106" t="s">
        <v>362</v>
      </c>
      <c r="F1106" s="267" t="s">
        <v>380</v>
      </c>
      <c r="G1106" s="267" t="s">
        <v>2733</v>
      </c>
    </row>
    <row r="1107" spans="1:7">
      <c r="A1107">
        <v>241999</v>
      </c>
      <c r="B1107">
        <v>2015</v>
      </c>
      <c r="C1107" t="s">
        <v>381</v>
      </c>
      <c r="D1107" t="s">
        <v>92</v>
      </c>
      <c r="E1107" t="s">
        <v>362</v>
      </c>
      <c r="F1107" s="267" t="s">
        <v>382</v>
      </c>
      <c r="G1107" s="267" t="s">
        <v>2734</v>
      </c>
    </row>
    <row r="1108" spans="1:7">
      <c r="A1108">
        <v>251</v>
      </c>
      <c r="B1108">
        <v>2015</v>
      </c>
      <c r="C1108" t="s">
        <v>101</v>
      </c>
      <c r="D1108" t="s">
        <v>92</v>
      </c>
      <c r="E1108" t="s">
        <v>362</v>
      </c>
      <c r="F1108" s="267" t="s">
        <v>383</v>
      </c>
      <c r="G1108" s="267" t="s">
        <v>2735</v>
      </c>
    </row>
    <row r="1109" spans="1:7">
      <c r="A1109">
        <v>252</v>
      </c>
      <c r="B1109">
        <v>2015</v>
      </c>
      <c r="C1109" t="s">
        <v>102</v>
      </c>
      <c r="D1109" t="s">
        <v>92</v>
      </c>
      <c r="E1109" t="s">
        <v>362</v>
      </c>
      <c r="F1109" s="267" t="s">
        <v>384</v>
      </c>
      <c r="G1109" s="267" t="s">
        <v>2736</v>
      </c>
    </row>
    <row r="1110" spans="1:7">
      <c r="A1110">
        <v>254</v>
      </c>
      <c r="B1110">
        <v>2015</v>
      </c>
      <c r="C1110" t="s">
        <v>103</v>
      </c>
      <c r="D1110" t="s">
        <v>92</v>
      </c>
      <c r="E1110" t="s">
        <v>362</v>
      </c>
      <c r="F1110" s="267" t="s">
        <v>385</v>
      </c>
      <c r="G1110" s="267" t="s">
        <v>2737</v>
      </c>
    </row>
    <row r="1111" spans="1:7">
      <c r="A1111">
        <v>255</v>
      </c>
      <c r="B1111">
        <v>2015</v>
      </c>
      <c r="C1111" t="s">
        <v>104</v>
      </c>
      <c r="D1111" t="s">
        <v>92</v>
      </c>
      <c r="E1111" t="s">
        <v>362</v>
      </c>
      <c r="F1111" s="267" t="s">
        <v>386</v>
      </c>
      <c r="G1111" s="267" t="s">
        <v>2738</v>
      </c>
    </row>
    <row r="1112" spans="1:7">
      <c r="A1112">
        <v>256</v>
      </c>
      <c r="B1112">
        <v>2015</v>
      </c>
      <c r="C1112" t="s">
        <v>105</v>
      </c>
      <c r="D1112" t="s">
        <v>92</v>
      </c>
      <c r="E1112" t="s">
        <v>362</v>
      </c>
      <c r="F1112" s="267" t="s">
        <v>387</v>
      </c>
      <c r="G1112" s="267" t="s">
        <v>2739</v>
      </c>
    </row>
    <row r="1113" spans="1:7">
      <c r="A1113">
        <v>257</v>
      </c>
      <c r="B1113">
        <v>2015</v>
      </c>
      <c r="C1113" t="s">
        <v>106</v>
      </c>
      <c r="D1113" t="s">
        <v>92</v>
      </c>
      <c r="E1113" t="s">
        <v>362</v>
      </c>
      <c r="F1113" s="267" t="s">
        <v>388</v>
      </c>
      <c r="G1113" s="267" t="s">
        <v>2740</v>
      </c>
    </row>
    <row r="1114" spans="1:7">
      <c r="A1114">
        <v>2</v>
      </c>
      <c r="B1114">
        <v>2015</v>
      </c>
      <c r="C1114" t="s">
        <v>155</v>
      </c>
      <c r="D1114" t="s">
        <v>92</v>
      </c>
      <c r="E1114" t="s">
        <v>362</v>
      </c>
      <c r="F1114" s="267" t="s">
        <v>389</v>
      </c>
      <c r="G1114" s="267" t="s">
        <v>2741</v>
      </c>
    </row>
    <row r="1115" spans="1:7">
      <c r="A1115">
        <v>351</v>
      </c>
      <c r="B1115">
        <v>2015</v>
      </c>
      <c r="C1115" t="s">
        <v>107</v>
      </c>
      <c r="D1115" t="s">
        <v>92</v>
      </c>
      <c r="E1115" t="s">
        <v>362</v>
      </c>
      <c r="F1115" s="267" t="s">
        <v>390</v>
      </c>
      <c r="G1115" s="267" t="s">
        <v>2742</v>
      </c>
    </row>
    <row r="1116" spans="1:7">
      <c r="A1116">
        <v>352</v>
      </c>
      <c r="B1116">
        <v>2015</v>
      </c>
      <c r="C1116" t="s">
        <v>108</v>
      </c>
      <c r="D1116" t="s">
        <v>92</v>
      </c>
      <c r="E1116" t="s">
        <v>362</v>
      </c>
      <c r="F1116" s="267" t="s">
        <v>391</v>
      </c>
      <c r="G1116" s="267" t="s">
        <v>2743</v>
      </c>
    </row>
    <row r="1117" spans="1:7">
      <c r="A1117">
        <v>353</v>
      </c>
      <c r="B1117">
        <v>2015</v>
      </c>
      <c r="C1117" t="s">
        <v>109</v>
      </c>
      <c r="D1117" t="s">
        <v>92</v>
      </c>
      <c r="E1117" t="s">
        <v>362</v>
      </c>
      <c r="F1117" s="267" t="s">
        <v>392</v>
      </c>
      <c r="G1117" s="267" t="s">
        <v>2744</v>
      </c>
    </row>
    <row r="1118" spans="1:7">
      <c r="A1118">
        <v>354</v>
      </c>
      <c r="B1118">
        <v>2015</v>
      </c>
      <c r="C1118" t="s">
        <v>110</v>
      </c>
      <c r="D1118" t="s">
        <v>92</v>
      </c>
      <c r="E1118" t="s">
        <v>362</v>
      </c>
      <c r="F1118" s="267" t="s">
        <v>393</v>
      </c>
      <c r="G1118" s="267" t="s">
        <v>2745</v>
      </c>
    </row>
    <row r="1119" spans="1:7">
      <c r="A1119">
        <v>355</v>
      </c>
      <c r="B1119">
        <v>2015</v>
      </c>
      <c r="C1119" t="s">
        <v>111</v>
      </c>
      <c r="D1119" t="s">
        <v>92</v>
      </c>
      <c r="E1119" t="s">
        <v>362</v>
      </c>
      <c r="F1119" s="267" t="s">
        <v>394</v>
      </c>
      <c r="G1119" s="267" t="s">
        <v>2746</v>
      </c>
    </row>
    <row r="1120" spans="1:7">
      <c r="A1120">
        <v>356</v>
      </c>
      <c r="B1120">
        <v>2015</v>
      </c>
      <c r="C1120" t="s">
        <v>112</v>
      </c>
      <c r="D1120" t="s">
        <v>92</v>
      </c>
      <c r="E1120" t="s">
        <v>362</v>
      </c>
      <c r="F1120" s="267" t="s">
        <v>395</v>
      </c>
      <c r="G1120" s="267" t="s">
        <v>2747</v>
      </c>
    </row>
    <row r="1121" spans="1:7">
      <c r="A1121">
        <v>357</v>
      </c>
      <c r="B1121">
        <v>2015</v>
      </c>
      <c r="C1121" t="s">
        <v>113</v>
      </c>
      <c r="D1121" t="s">
        <v>92</v>
      </c>
      <c r="E1121" t="s">
        <v>362</v>
      </c>
      <c r="F1121" s="267" t="s">
        <v>396</v>
      </c>
      <c r="G1121" s="267" t="s">
        <v>2748</v>
      </c>
    </row>
    <row r="1122" spans="1:7">
      <c r="A1122">
        <v>358</v>
      </c>
      <c r="B1122">
        <v>2015</v>
      </c>
      <c r="C1122" t="s">
        <v>114</v>
      </c>
      <c r="D1122" t="s">
        <v>92</v>
      </c>
      <c r="E1122" t="s">
        <v>362</v>
      </c>
      <c r="F1122" s="267" t="s">
        <v>397</v>
      </c>
      <c r="G1122" s="267" t="s">
        <v>2749</v>
      </c>
    </row>
    <row r="1123" spans="1:7">
      <c r="A1123">
        <v>359</v>
      </c>
      <c r="B1123">
        <v>2015</v>
      </c>
      <c r="C1123" t="s">
        <v>115</v>
      </c>
      <c r="D1123" t="s">
        <v>92</v>
      </c>
      <c r="E1123" t="s">
        <v>362</v>
      </c>
      <c r="F1123" s="267" t="s">
        <v>398</v>
      </c>
      <c r="G1123" s="267" t="s">
        <v>2750</v>
      </c>
    </row>
    <row r="1124" spans="1:7">
      <c r="A1124">
        <v>360</v>
      </c>
      <c r="B1124">
        <v>2015</v>
      </c>
      <c r="C1124" t="s">
        <v>116</v>
      </c>
      <c r="D1124" t="s">
        <v>92</v>
      </c>
      <c r="E1124" t="s">
        <v>362</v>
      </c>
      <c r="F1124" s="267" t="s">
        <v>399</v>
      </c>
      <c r="G1124" s="267" t="s">
        <v>2751</v>
      </c>
    </row>
    <row r="1125" spans="1:7">
      <c r="A1125">
        <v>361</v>
      </c>
      <c r="B1125">
        <v>2015</v>
      </c>
      <c r="C1125" t="s">
        <v>117</v>
      </c>
      <c r="D1125" t="s">
        <v>92</v>
      </c>
      <c r="E1125" t="s">
        <v>362</v>
      </c>
      <c r="F1125" s="267" t="s">
        <v>400</v>
      </c>
      <c r="G1125" s="267" t="s">
        <v>2752</v>
      </c>
    </row>
    <row r="1126" spans="1:7">
      <c r="A1126">
        <v>3</v>
      </c>
      <c r="B1126">
        <v>2015</v>
      </c>
      <c r="C1126" t="s">
        <v>156</v>
      </c>
      <c r="D1126" t="s">
        <v>92</v>
      </c>
      <c r="E1126" t="s">
        <v>362</v>
      </c>
      <c r="F1126" s="267" t="s">
        <v>401</v>
      </c>
      <c r="G1126" s="267" t="s">
        <v>2753</v>
      </c>
    </row>
    <row r="1127" spans="1:7">
      <c r="A1127">
        <v>401</v>
      </c>
      <c r="B1127">
        <v>2015</v>
      </c>
      <c r="C1127" t="s">
        <v>402</v>
      </c>
      <c r="D1127" t="s">
        <v>92</v>
      </c>
      <c r="E1127" t="s">
        <v>362</v>
      </c>
      <c r="F1127" s="267" t="s">
        <v>403</v>
      </c>
      <c r="G1127" s="267" t="s">
        <v>2754</v>
      </c>
    </row>
    <row r="1128" spans="1:7">
      <c r="A1128">
        <v>402</v>
      </c>
      <c r="B1128">
        <v>2015</v>
      </c>
      <c r="C1128" t="s">
        <v>404</v>
      </c>
      <c r="D1128" t="s">
        <v>92</v>
      </c>
      <c r="E1128" t="s">
        <v>362</v>
      </c>
      <c r="F1128" s="267" t="s">
        <v>405</v>
      </c>
      <c r="G1128" s="267" t="s">
        <v>2755</v>
      </c>
    </row>
    <row r="1129" spans="1:7">
      <c r="A1129">
        <v>403</v>
      </c>
      <c r="B1129">
        <v>2015</v>
      </c>
      <c r="C1129" t="s">
        <v>406</v>
      </c>
      <c r="D1129" t="s">
        <v>92</v>
      </c>
      <c r="E1129" t="s">
        <v>362</v>
      </c>
      <c r="F1129" s="267" t="s">
        <v>407</v>
      </c>
      <c r="G1129" s="267" t="s">
        <v>2756</v>
      </c>
    </row>
    <row r="1130" spans="1:7">
      <c r="A1130">
        <v>404</v>
      </c>
      <c r="B1130">
        <v>2015</v>
      </c>
      <c r="C1130" t="s">
        <v>408</v>
      </c>
      <c r="D1130" t="s">
        <v>92</v>
      </c>
      <c r="E1130" t="s">
        <v>362</v>
      </c>
      <c r="F1130" s="267" t="s">
        <v>409</v>
      </c>
      <c r="G1130" s="267" t="s">
        <v>2757</v>
      </c>
    </row>
    <row r="1131" spans="1:7">
      <c r="A1131">
        <v>405</v>
      </c>
      <c r="B1131">
        <v>2015</v>
      </c>
      <c r="C1131" t="s">
        <v>410</v>
      </c>
      <c r="D1131" t="s">
        <v>92</v>
      </c>
      <c r="E1131" t="s">
        <v>362</v>
      </c>
      <c r="F1131" s="267" t="s">
        <v>411</v>
      </c>
      <c r="G1131" s="267" t="s">
        <v>2758</v>
      </c>
    </row>
    <row r="1132" spans="1:7">
      <c r="A1132">
        <v>451</v>
      </c>
      <c r="B1132">
        <v>2015</v>
      </c>
      <c r="C1132" t="s">
        <v>118</v>
      </c>
      <c r="D1132" t="s">
        <v>92</v>
      </c>
      <c r="E1132" t="s">
        <v>362</v>
      </c>
      <c r="F1132" s="267" t="s">
        <v>412</v>
      </c>
      <c r="G1132" s="267" t="s">
        <v>2759</v>
      </c>
    </row>
    <row r="1133" spans="1:7">
      <c r="A1133">
        <v>452</v>
      </c>
      <c r="B1133">
        <v>2015</v>
      </c>
      <c r="C1133" t="s">
        <v>119</v>
      </c>
      <c r="D1133" t="s">
        <v>92</v>
      </c>
      <c r="E1133" t="s">
        <v>362</v>
      </c>
      <c r="F1133" s="267" t="s">
        <v>413</v>
      </c>
      <c r="G1133" s="267" t="s">
        <v>2760</v>
      </c>
    </row>
    <row r="1134" spans="1:7">
      <c r="A1134">
        <v>453</v>
      </c>
      <c r="B1134">
        <v>2015</v>
      </c>
      <c r="C1134" t="s">
        <v>120</v>
      </c>
      <c r="D1134" t="s">
        <v>92</v>
      </c>
      <c r="E1134" t="s">
        <v>362</v>
      </c>
      <c r="F1134" s="267" t="s">
        <v>414</v>
      </c>
      <c r="G1134" s="267" t="s">
        <v>2761</v>
      </c>
    </row>
    <row r="1135" spans="1:7">
      <c r="A1135">
        <v>454</v>
      </c>
      <c r="B1135">
        <v>2015</v>
      </c>
      <c r="C1135" t="s">
        <v>121</v>
      </c>
      <c r="D1135" t="s">
        <v>92</v>
      </c>
      <c r="E1135" t="s">
        <v>362</v>
      </c>
      <c r="F1135" s="267" t="s">
        <v>415</v>
      </c>
      <c r="G1135" s="267" t="s">
        <v>2762</v>
      </c>
    </row>
    <row r="1136" spans="1:7">
      <c r="A1136">
        <v>455</v>
      </c>
      <c r="B1136">
        <v>2015</v>
      </c>
      <c r="C1136" t="s">
        <v>122</v>
      </c>
      <c r="D1136" t="s">
        <v>92</v>
      </c>
      <c r="E1136" t="s">
        <v>362</v>
      </c>
      <c r="F1136" s="267" t="s">
        <v>416</v>
      </c>
      <c r="G1136" s="267" t="s">
        <v>2763</v>
      </c>
    </row>
    <row r="1137" spans="1:7">
      <c r="A1137">
        <v>456</v>
      </c>
      <c r="B1137">
        <v>2015</v>
      </c>
      <c r="C1137" t="s">
        <v>123</v>
      </c>
      <c r="D1137" t="s">
        <v>92</v>
      </c>
      <c r="E1137" t="s">
        <v>362</v>
      </c>
      <c r="F1137" s="267" t="s">
        <v>417</v>
      </c>
      <c r="G1137" s="267" t="s">
        <v>2764</v>
      </c>
    </row>
    <row r="1138" spans="1:7">
      <c r="A1138">
        <v>457</v>
      </c>
      <c r="B1138">
        <v>2015</v>
      </c>
      <c r="C1138" t="s">
        <v>124</v>
      </c>
      <c r="D1138" t="s">
        <v>92</v>
      </c>
      <c r="E1138" t="s">
        <v>362</v>
      </c>
      <c r="F1138" s="267" t="s">
        <v>418</v>
      </c>
      <c r="G1138" s="267" t="s">
        <v>2765</v>
      </c>
    </row>
    <row r="1139" spans="1:7">
      <c r="A1139">
        <v>458</v>
      </c>
      <c r="B1139">
        <v>2015</v>
      </c>
      <c r="C1139" t="s">
        <v>125</v>
      </c>
      <c r="D1139" t="s">
        <v>92</v>
      </c>
      <c r="E1139" t="s">
        <v>362</v>
      </c>
      <c r="F1139" s="267" t="s">
        <v>419</v>
      </c>
      <c r="G1139" s="267" t="s">
        <v>2766</v>
      </c>
    </row>
    <row r="1140" spans="1:7">
      <c r="A1140">
        <v>459</v>
      </c>
      <c r="B1140">
        <v>2015</v>
      </c>
      <c r="C1140" t="s">
        <v>126</v>
      </c>
      <c r="D1140" t="s">
        <v>92</v>
      </c>
      <c r="E1140" t="s">
        <v>362</v>
      </c>
      <c r="F1140" s="267" t="s">
        <v>420</v>
      </c>
      <c r="G1140" s="267" t="s">
        <v>2767</v>
      </c>
    </row>
    <row r="1141" spans="1:7">
      <c r="A1141">
        <v>460</v>
      </c>
      <c r="B1141">
        <v>2015</v>
      </c>
      <c r="C1141" t="s">
        <v>127</v>
      </c>
      <c r="D1141" t="s">
        <v>92</v>
      </c>
      <c r="E1141" t="s">
        <v>362</v>
      </c>
      <c r="F1141" s="267" t="s">
        <v>421</v>
      </c>
      <c r="G1141" s="267" t="s">
        <v>2768</v>
      </c>
    </row>
    <row r="1142" spans="1:7">
      <c r="A1142">
        <v>461</v>
      </c>
      <c r="B1142">
        <v>2015</v>
      </c>
      <c r="C1142" t="s">
        <v>128</v>
      </c>
      <c r="D1142" t="s">
        <v>92</v>
      </c>
      <c r="E1142" t="s">
        <v>362</v>
      </c>
      <c r="F1142" s="267" t="s">
        <v>422</v>
      </c>
      <c r="G1142" s="267" t="s">
        <v>2769</v>
      </c>
    </row>
    <row r="1143" spans="1:7">
      <c r="A1143">
        <v>462</v>
      </c>
      <c r="B1143">
        <v>2015</v>
      </c>
      <c r="C1143" t="s">
        <v>129</v>
      </c>
      <c r="D1143" t="s">
        <v>92</v>
      </c>
      <c r="E1143" t="s">
        <v>362</v>
      </c>
      <c r="F1143" s="267" t="s">
        <v>423</v>
      </c>
      <c r="G1143" s="267" t="s">
        <v>2770</v>
      </c>
    </row>
    <row r="1144" spans="1:7">
      <c r="A1144">
        <v>4</v>
      </c>
      <c r="B1144">
        <v>2015</v>
      </c>
      <c r="C1144" t="s">
        <v>157</v>
      </c>
      <c r="D1144" t="s">
        <v>92</v>
      </c>
      <c r="E1144" t="s">
        <v>362</v>
      </c>
      <c r="F1144" s="267" t="s">
        <v>424</v>
      </c>
      <c r="G1144" s="267" t="s">
        <v>2771</v>
      </c>
    </row>
    <row r="1145" spans="1:7">
      <c r="A1145">
        <v>0</v>
      </c>
      <c r="B1145">
        <v>2015</v>
      </c>
      <c r="C1145" t="s">
        <v>130</v>
      </c>
      <c r="D1145" t="s">
        <v>92</v>
      </c>
      <c r="E1145" t="s">
        <v>362</v>
      </c>
      <c r="F1145" s="267" t="s">
        <v>425</v>
      </c>
      <c r="G1145" s="267" t="s">
        <v>2772</v>
      </c>
    </row>
    <row r="1146" spans="1:7">
      <c r="A1146">
        <v>101</v>
      </c>
      <c r="B1146">
        <v>2015</v>
      </c>
      <c r="C1146" t="s">
        <v>363</v>
      </c>
      <c r="D1146" t="s">
        <v>93</v>
      </c>
      <c r="E1146" t="s">
        <v>362</v>
      </c>
      <c r="F1146" s="267" t="s">
        <v>364</v>
      </c>
      <c r="G1146" s="267" t="s">
        <v>2773</v>
      </c>
    </row>
    <row r="1147" spans="1:7">
      <c r="A1147">
        <v>102</v>
      </c>
      <c r="B1147">
        <v>2015</v>
      </c>
      <c r="C1147" t="s">
        <v>365</v>
      </c>
      <c r="D1147" t="s">
        <v>93</v>
      </c>
      <c r="E1147" t="s">
        <v>362</v>
      </c>
      <c r="F1147" s="267" t="s">
        <v>366</v>
      </c>
      <c r="G1147" s="267" t="s">
        <v>2774</v>
      </c>
    </row>
    <row r="1148" spans="1:7">
      <c r="A1148">
        <v>103</v>
      </c>
      <c r="B1148">
        <v>2015</v>
      </c>
      <c r="C1148" t="s">
        <v>367</v>
      </c>
      <c r="D1148" t="s">
        <v>93</v>
      </c>
      <c r="E1148" t="s">
        <v>362</v>
      </c>
      <c r="F1148" s="267" t="s">
        <v>368</v>
      </c>
      <c r="G1148" s="267" t="s">
        <v>2775</v>
      </c>
    </row>
    <row r="1149" spans="1:7">
      <c r="A1149">
        <v>151</v>
      </c>
      <c r="B1149">
        <v>2015</v>
      </c>
      <c r="C1149" t="s">
        <v>94</v>
      </c>
      <c r="D1149" t="s">
        <v>93</v>
      </c>
      <c r="E1149" t="s">
        <v>362</v>
      </c>
      <c r="F1149" s="267" t="s">
        <v>369</v>
      </c>
      <c r="G1149" s="267" t="s">
        <v>2776</v>
      </c>
    </row>
    <row r="1150" spans="1:7">
      <c r="A1150">
        <v>153</v>
      </c>
      <c r="B1150">
        <v>2015</v>
      </c>
      <c r="C1150" t="s">
        <v>96</v>
      </c>
      <c r="D1150" t="s">
        <v>93</v>
      </c>
      <c r="E1150" t="s">
        <v>362</v>
      </c>
      <c r="F1150" s="267" t="s">
        <v>370</v>
      </c>
      <c r="G1150" s="267" t="s">
        <v>2777</v>
      </c>
    </row>
    <row r="1151" spans="1:7">
      <c r="A1151">
        <v>154</v>
      </c>
      <c r="B1151">
        <v>2015</v>
      </c>
      <c r="C1151" t="s">
        <v>97</v>
      </c>
      <c r="D1151" t="s">
        <v>93</v>
      </c>
      <c r="E1151" t="s">
        <v>362</v>
      </c>
      <c r="F1151" s="267" t="s">
        <v>371</v>
      </c>
      <c r="G1151" s="267" t="s">
        <v>2778</v>
      </c>
    </row>
    <row r="1152" spans="1:7">
      <c r="A1152">
        <v>155</v>
      </c>
      <c r="B1152">
        <v>2015</v>
      </c>
      <c r="C1152" t="s">
        <v>98</v>
      </c>
      <c r="D1152" t="s">
        <v>93</v>
      </c>
      <c r="E1152" t="s">
        <v>362</v>
      </c>
      <c r="F1152" s="267" t="s">
        <v>372</v>
      </c>
      <c r="G1152" s="267" t="s">
        <v>2779</v>
      </c>
    </row>
    <row r="1153" spans="1:7">
      <c r="A1153">
        <v>157</v>
      </c>
      <c r="B1153">
        <v>2015</v>
      </c>
      <c r="C1153" t="s">
        <v>99</v>
      </c>
      <c r="D1153" t="s">
        <v>93</v>
      </c>
      <c r="E1153" t="s">
        <v>362</v>
      </c>
      <c r="F1153" s="267" t="s">
        <v>373</v>
      </c>
      <c r="G1153" s="267" t="s">
        <v>2780</v>
      </c>
    </row>
    <row r="1154" spans="1:7">
      <c r="A1154">
        <v>158</v>
      </c>
      <c r="B1154">
        <v>2015</v>
      </c>
      <c r="C1154" t="s">
        <v>100</v>
      </c>
      <c r="D1154" t="s">
        <v>93</v>
      </c>
      <c r="E1154" t="s">
        <v>362</v>
      </c>
      <c r="F1154" s="267" t="s">
        <v>374</v>
      </c>
      <c r="G1154" s="267" t="s">
        <v>2781</v>
      </c>
    </row>
    <row r="1155" spans="1:7">
      <c r="A1155">
        <v>159</v>
      </c>
      <c r="B1155">
        <v>2015</v>
      </c>
      <c r="C1155" t="s">
        <v>95</v>
      </c>
      <c r="D1155" t="s">
        <v>93</v>
      </c>
      <c r="E1155" t="s">
        <v>362</v>
      </c>
      <c r="F1155" s="267" t="s">
        <v>375</v>
      </c>
      <c r="G1155" s="267" t="s">
        <v>2782</v>
      </c>
    </row>
    <row r="1156" spans="1:7">
      <c r="A1156">
        <v>1</v>
      </c>
      <c r="B1156">
        <v>2015</v>
      </c>
      <c r="C1156" t="s">
        <v>154</v>
      </c>
      <c r="D1156" t="s">
        <v>93</v>
      </c>
      <c r="E1156" t="s">
        <v>362</v>
      </c>
      <c r="F1156" s="267" t="s">
        <v>376</v>
      </c>
      <c r="G1156" s="267" t="s">
        <v>2783</v>
      </c>
    </row>
    <row r="1157" spans="1:7">
      <c r="A1157">
        <v>241</v>
      </c>
      <c r="B1157">
        <v>2015</v>
      </c>
      <c r="C1157" t="s">
        <v>377</v>
      </c>
      <c r="D1157" t="s">
        <v>93</v>
      </c>
      <c r="E1157" t="s">
        <v>362</v>
      </c>
      <c r="F1157" s="267" t="s">
        <v>378</v>
      </c>
      <c r="G1157" s="267" t="s">
        <v>2784</v>
      </c>
    </row>
    <row r="1158" spans="1:7">
      <c r="A1158">
        <v>241001</v>
      </c>
      <c r="B1158">
        <v>2015</v>
      </c>
      <c r="C1158" t="s">
        <v>379</v>
      </c>
      <c r="D1158" t="s">
        <v>93</v>
      </c>
      <c r="E1158" t="s">
        <v>362</v>
      </c>
      <c r="F1158" s="267" t="s">
        <v>380</v>
      </c>
      <c r="G1158" s="267" t="s">
        <v>2785</v>
      </c>
    </row>
    <row r="1159" spans="1:7">
      <c r="A1159">
        <v>241999</v>
      </c>
      <c r="B1159">
        <v>2015</v>
      </c>
      <c r="C1159" t="s">
        <v>381</v>
      </c>
      <c r="D1159" t="s">
        <v>93</v>
      </c>
      <c r="E1159" t="s">
        <v>362</v>
      </c>
      <c r="F1159" s="267" t="s">
        <v>382</v>
      </c>
      <c r="G1159" s="267" t="s">
        <v>2786</v>
      </c>
    </row>
    <row r="1160" spans="1:7">
      <c r="A1160">
        <v>251</v>
      </c>
      <c r="B1160">
        <v>2015</v>
      </c>
      <c r="C1160" t="s">
        <v>101</v>
      </c>
      <c r="D1160" t="s">
        <v>93</v>
      </c>
      <c r="E1160" t="s">
        <v>362</v>
      </c>
      <c r="F1160" s="267" t="s">
        <v>383</v>
      </c>
      <c r="G1160" s="267" t="s">
        <v>2787</v>
      </c>
    </row>
    <row r="1161" spans="1:7">
      <c r="A1161">
        <v>252</v>
      </c>
      <c r="B1161">
        <v>2015</v>
      </c>
      <c r="C1161" t="s">
        <v>102</v>
      </c>
      <c r="D1161" t="s">
        <v>93</v>
      </c>
      <c r="E1161" t="s">
        <v>362</v>
      </c>
      <c r="F1161" s="267" t="s">
        <v>384</v>
      </c>
      <c r="G1161" s="267" t="s">
        <v>2788</v>
      </c>
    </row>
    <row r="1162" spans="1:7">
      <c r="A1162">
        <v>254</v>
      </c>
      <c r="B1162">
        <v>2015</v>
      </c>
      <c r="C1162" t="s">
        <v>103</v>
      </c>
      <c r="D1162" t="s">
        <v>93</v>
      </c>
      <c r="E1162" t="s">
        <v>362</v>
      </c>
      <c r="F1162" s="267" t="s">
        <v>385</v>
      </c>
      <c r="G1162" s="267" t="s">
        <v>2789</v>
      </c>
    </row>
    <row r="1163" spans="1:7">
      <c r="A1163">
        <v>255</v>
      </c>
      <c r="B1163">
        <v>2015</v>
      </c>
      <c r="C1163" t="s">
        <v>104</v>
      </c>
      <c r="D1163" t="s">
        <v>93</v>
      </c>
      <c r="E1163" t="s">
        <v>362</v>
      </c>
      <c r="F1163" s="267" t="s">
        <v>386</v>
      </c>
      <c r="G1163" s="267" t="s">
        <v>2790</v>
      </c>
    </row>
    <row r="1164" spans="1:7">
      <c r="A1164">
        <v>256</v>
      </c>
      <c r="B1164">
        <v>2015</v>
      </c>
      <c r="C1164" t="s">
        <v>105</v>
      </c>
      <c r="D1164" t="s">
        <v>93</v>
      </c>
      <c r="E1164" t="s">
        <v>362</v>
      </c>
      <c r="F1164" s="267" t="s">
        <v>387</v>
      </c>
      <c r="G1164" s="267" t="s">
        <v>2791</v>
      </c>
    </row>
    <row r="1165" spans="1:7">
      <c r="A1165">
        <v>257</v>
      </c>
      <c r="B1165">
        <v>2015</v>
      </c>
      <c r="C1165" t="s">
        <v>106</v>
      </c>
      <c r="D1165" t="s">
        <v>93</v>
      </c>
      <c r="E1165" t="s">
        <v>362</v>
      </c>
      <c r="F1165" s="267" t="s">
        <v>388</v>
      </c>
      <c r="G1165" s="267" t="s">
        <v>2792</v>
      </c>
    </row>
    <row r="1166" spans="1:7">
      <c r="A1166">
        <v>2</v>
      </c>
      <c r="B1166">
        <v>2015</v>
      </c>
      <c r="C1166" t="s">
        <v>155</v>
      </c>
      <c r="D1166" t="s">
        <v>93</v>
      </c>
      <c r="E1166" t="s">
        <v>362</v>
      </c>
      <c r="F1166" s="267" t="s">
        <v>389</v>
      </c>
      <c r="G1166" s="267" t="s">
        <v>2793</v>
      </c>
    </row>
    <row r="1167" spans="1:7">
      <c r="A1167">
        <v>351</v>
      </c>
      <c r="B1167">
        <v>2015</v>
      </c>
      <c r="C1167" t="s">
        <v>107</v>
      </c>
      <c r="D1167" t="s">
        <v>93</v>
      </c>
      <c r="E1167" t="s">
        <v>362</v>
      </c>
      <c r="F1167" s="267" t="s">
        <v>390</v>
      </c>
      <c r="G1167" s="267" t="s">
        <v>2794</v>
      </c>
    </row>
    <row r="1168" spans="1:7">
      <c r="A1168">
        <v>352</v>
      </c>
      <c r="B1168">
        <v>2015</v>
      </c>
      <c r="C1168" t="s">
        <v>108</v>
      </c>
      <c r="D1168" t="s">
        <v>93</v>
      </c>
      <c r="E1168" t="s">
        <v>362</v>
      </c>
      <c r="F1168" s="267" t="s">
        <v>391</v>
      </c>
      <c r="G1168" s="267" t="s">
        <v>2795</v>
      </c>
    </row>
    <row r="1169" spans="1:7">
      <c r="A1169">
        <v>353</v>
      </c>
      <c r="B1169">
        <v>2015</v>
      </c>
      <c r="C1169" t="s">
        <v>109</v>
      </c>
      <c r="D1169" t="s">
        <v>93</v>
      </c>
      <c r="E1169" t="s">
        <v>362</v>
      </c>
      <c r="F1169" s="267" t="s">
        <v>392</v>
      </c>
      <c r="G1169" s="267" t="s">
        <v>2796</v>
      </c>
    </row>
    <row r="1170" spans="1:7">
      <c r="A1170">
        <v>354</v>
      </c>
      <c r="B1170">
        <v>2015</v>
      </c>
      <c r="C1170" t="s">
        <v>110</v>
      </c>
      <c r="D1170" t="s">
        <v>93</v>
      </c>
      <c r="E1170" t="s">
        <v>362</v>
      </c>
      <c r="F1170" s="267" t="s">
        <v>393</v>
      </c>
      <c r="G1170" s="267" t="s">
        <v>2797</v>
      </c>
    </row>
    <row r="1171" spans="1:7">
      <c r="A1171">
        <v>355</v>
      </c>
      <c r="B1171">
        <v>2015</v>
      </c>
      <c r="C1171" t="s">
        <v>111</v>
      </c>
      <c r="D1171" t="s">
        <v>93</v>
      </c>
      <c r="E1171" t="s">
        <v>362</v>
      </c>
      <c r="F1171" s="267" t="s">
        <v>394</v>
      </c>
      <c r="G1171" s="267" t="s">
        <v>2798</v>
      </c>
    </row>
    <row r="1172" spans="1:7">
      <c r="A1172">
        <v>356</v>
      </c>
      <c r="B1172">
        <v>2015</v>
      </c>
      <c r="C1172" t="s">
        <v>112</v>
      </c>
      <c r="D1172" t="s">
        <v>93</v>
      </c>
      <c r="E1172" t="s">
        <v>362</v>
      </c>
      <c r="F1172" s="267" t="s">
        <v>395</v>
      </c>
      <c r="G1172" s="267" t="s">
        <v>2799</v>
      </c>
    </row>
    <row r="1173" spans="1:7">
      <c r="A1173">
        <v>357</v>
      </c>
      <c r="B1173">
        <v>2015</v>
      </c>
      <c r="C1173" t="s">
        <v>113</v>
      </c>
      <c r="D1173" t="s">
        <v>93</v>
      </c>
      <c r="E1173" t="s">
        <v>362</v>
      </c>
      <c r="F1173" s="267" t="s">
        <v>396</v>
      </c>
      <c r="G1173" s="267" t="s">
        <v>2800</v>
      </c>
    </row>
    <row r="1174" spans="1:7">
      <c r="A1174">
        <v>358</v>
      </c>
      <c r="B1174">
        <v>2015</v>
      </c>
      <c r="C1174" t="s">
        <v>114</v>
      </c>
      <c r="D1174" t="s">
        <v>93</v>
      </c>
      <c r="E1174" t="s">
        <v>362</v>
      </c>
      <c r="F1174" s="267" t="s">
        <v>397</v>
      </c>
      <c r="G1174" s="267" t="s">
        <v>2801</v>
      </c>
    </row>
    <row r="1175" spans="1:7">
      <c r="A1175">
        <v>359</v>
      </c>
      <c r="B1175">
        <v>2015</v>
      </c>
      <c r="C1175" t="s">
        <v>115</v>
      </c>
      <c r="D1175" t="s">
        <v>93</v>
      </c>
      <c r="E1175" t="s">
        <v>362</v>
      </c>
      <c r="F1175" s="267" t="s">
        <v>398</v>
      </c>
      <c r="G1175" s="267" t="s">
        <v>2802</v>
      </c>
    </row>
    <row r="1176" spans="1:7">
      <c r="A1176">
        <v>360</v>
      </c>
      <c r="B1176">
        <v>2015</v>
      </c>
      <c r="C1176" t="s">
        <v>116</v>
      </c>
      <c r="D1176" t="s">
        <v>93</v>
      </c>
      <c r="E1176" t="s">
        <v>362</v>
      </c>
      <c r="F1176" s="267" t="s">
        <v>399</v>
      </c>
      <c r="G1176" s="267" t="s">
        <v>2803</v>
      </c>
    </row>
    <row r="1177" spans="1:7">
      <c r="A1177">
        <v>361</v>
      </c>
      <c r="B1177">
        <v>2015</v>
      </c>
      <c r="C1177" t="s">
        <v>117</v>
      </c>
      <c r="D1177" t="s">
        <v>93</v>
      </c>
      <c r="E1177" t="s">
        <v>362</v>
      </c>
      <c r="F1177" s="267" t="s">
        <v>400</v>
      </c>
      <c r="G1177" s="267" t="s">
        <v>2804</v>
      </c>
    </row>
    <row r="1178" spans="1:7">
      <c r="A1178">
        <v>3</v>
      </c>
      <c r="B1178">
        <v>2015</v>
      </c>
      <c r="C1178" t="s">
        <v>156</v>
      </c>
      <c r="D1178" t="s">
        <v>93</v>
      </c>
      <c r="E1178" t="s">
        <v>362</v>
      </c>
      <c r="F1178" s="267" t="s">
        <v>401</v>
      </c>
      <c r="G1178" s="267" t="s">
        <v>2805</v>
      </c>
    </row>
    <row r="1179" spans="1:7">
      <c r="A1179">
        <v>401</v>
      </c>
      <c r="B1179">
        <v>2015</v>
      </c>
      <c r="C1179" t="s">
        <v>402</v>
      </c>
      <c r="D1179" t="s">
        <v>93</v>
      </c>
      <c r="E1179" t="s">
        <v>362</v>
      </c>
      <c r="F1179" s="267" t="s">
        <v>403</v>
      </c>
      <c r="G1179" s="267" t="s">
        <v>2806</v>
      </c>
    </row>
    <row r="1180" spans="1:7">
      <c r="A1180">
        <v>402</v>
      </c>
      <c r="B1180">
        <v>2015</v>
      </c>
      <c r="C1180" t="s">
        <v>404</v>
      </c>
      <c r="D1180" t="s">
        <v>93</v>
      </c>
      <c r="E1180" t="s">
        <v>362</v>
      </c>
      <c r="F1180" s="267" t="s">
        <v>405</v>
      </c>
      <c r="G1180" s="267" t="s">
        <v>2807</v>
      </c>
    </row>
    <row r="1181" spans="1:7">
      <c r="A1181">
        <v>403</v>
      </c>
      <c r="B1181">
        <v>2015</v>
      </c>
      <c r="C1181" t="s">
        <v>406</v>
      </c>
      <c r="D1181" t="s">
        <v>93</v>
      </c>
      <c r="E1181" t="s">
        <v>362</v>
      </c>
      <c r="F1181" s="267" t="s">
        <v>407</v>
      </c>
      <c r="G1181" s="267" t="s">
        <v>2808</v>
      </c>
    </row>
    <row r="1182" spans="1:7">
      <c r="A1182">
        <v>404</v>
      </c>
      <c r="B1182">
        <v>2015</v>
      </c>
      <c r="C1182" t="s">
        <v>408</v>
      </c>
      <c r="D1182" t="s">
        <v>93</v>
      </c>
      <c r="E1182" t="s">
        <v>362</v>
      </c>
      <c r="F1182" s="267" t="s">
        <v>409</v>
      </c>
      <c r="G1182" s="267" t="s">
        <v>2809</v>
      </c>
    </row>
    <row r="1183" spans="1:7">
      <c r="A1183">
        <v>405</v>
      </c>
      <c r="B1183">
        <v>2015</v>
      </c>
      <c r="C1183" t="s">
        <v>410</v>
      </c>
      <c r="D1183" t="s">
        <v>93</v>
      </c>
      <c r="E1183" t="s">
        <v>362</v>
      </c>
      <c r="F1183" s="267" t="s">
        <v>411</v>
      </c>
      <c r="G1183" s="267" t="s">
        <v>2810</v>
      </c>
    </row>
    <row r="1184" spans="1:7">
      <c r="A1184">
        <v>451</v>
      </c>
      <c r="B1184">
        <v>2015</v>
      </c>
      <c r="C1184" t="s">
        <v>118</v>
      </c>
      <c r="D1184" t="s">
        <v>93</v>
      </c>
      <c r="E1184" t="s">
        <v>362</v>
      </c>
      <c r="F1184" s="267" t="s">
        <v>412</v>
      </c>
      <c r="G1184" s="267" t="s">
        <v>2811</v>
      </c>
    </row>
    <row r="1185" spans="1:7">
      <c r="A1185">
        <v>452</v>
      </c>
      <c r="B1185">
        <v>2015</v>
      </c>
      <c r="C1185" t="s">
        <v>119</v>
      </c>
      <c r="D1185" t="s">
        <v>93</v>
      </c>
      <c r="E1185" t="s">
        <v>362</v>
      </c>
      <c r="F1185" s="267" t="s">
        <v>413</v>
      </c>
      <c r="G1185" s="267" t="s">
        <v>2812</v>
      </c>
    </row>
    <row r="1186" spans="1:7">
      <c r="A1186">
        <v>453</v>
      </c>
      <c r="B1186">
        <v>2015</v>
      </c>
      <c r="C1186" t="s">
        <v>120</v>
      </c>
      <c r="D1186" t="s">
        <v>93</v>
      </c>
      <c r="E1186" t="s">
        <v>362</v>
      </c>
      <c r="F1186" s="267" t="s">
        <v>414</v>
      </c>
      <c r="G1186" s="267" t="s">
        <v>2813</v>
      </c>
    </row>
    <row r="1187" spans="1:7">
      <c r="A1187">
        <v>454</v>
      </c>
      <c r="B1187">
        <v>2015</v>
      </c>
      <c r="C1187" t="s">
        <v>121</v>
      </c>
      <c r="D1187" t="s">
        <v>93</v>
      </c>
      <c r="E1187" t="s">
        <v>362</v>
      </c>
      <c r="F1187" s="267" t="s">
        <v>415</v>
      </c>
      <c r="G1187" s="267" t="s">
        <v>2814</v>
      </c>
    </row>
    <row r="1188" spans="1:7">
      <c r="A1188">
        <v>455</v>
      </c>
      <c r="B1188">
        <v>2015</v>
      </c>
      <c r="C1188" t="s">
        <v>122</v>
      </c>
      <c r="D1188" t="s">
        <v>93</v>
      </c>
      <c r="E1188" t="s">
        <v>362</v>
      </c>
      <c r="F1188" s="267" t="s">
        <v>416</v>
      </c>
      <c r="G1188" s="267" t="s">
        <v>2815</v>
      </c>
    </row>
    <row r="1189" spans="1:7">
      <c r="A1189">
        <v>456</v>
      </c>
      <c r="B1189">
        <v>2015</v>
      </c>
      <c r="C1189" t="s">
        <v>123</v>
      </c>
      <c r="D1189" t="s">
        <v>93</v>
      </c>
      <c r="E1189" t="s">
        <v>362</v>
      </c>
      <c r="F1189" s="267" t="s">
        <v>417</v>
      </c>
      <c r="G1189" s="267" t="s">
        <v>2816</v>
      </c>
    </row>
    <row r="1190" spans="1:7">
      <c r="A1190">
        <v>457</v>
      </c>
      <c r="B1190">
        <v>2015</v>
      </c>
      <c r="C1190" t="s">
        <v>124</v>
      </c>
      <c r="D1190" t="s">
        <v>93</v>
      </c>
      <c r="E1190" t="s">
        <v>362</v>
      </c>
      <c r="F1190" s="267" t="s">
        <v>418</v>
      </c>
      <c r="G1190" s="267" t="s">
        <v>2817</v>
      </c>
    </row>
    <row r="1191" spans="1:7">
      <c r="A1191">
        <v>458</v>
      </c>
      <c r="B1191">
        <v>2015</v>
      </c>
      <c r="C1191" t="s">
        <v>125</v>
      </c>
      <c r="D1191" t="s">
        <v>93</v>
      </c>
      <c r="E1191" t="s">
        <v>362</v>
      </c>
      <c r="F1191" s="267" t="s">
        <v>419</v>
      </c>
      <c r="G1191" s="267" t="s">
        <v>2818</v>
      </c>
    </row>
    <row r="1192" spans="1:7">
      <c r="A1192">
        <v>459</v>
      </c>
      <c r="B1192">
        <v>2015</v>
      </c>
      <c r="C1192" t="s">
        <v>126</v>
      </c>
      <c r="D1192" t="s">
        <v>93</v>
      </c>
      <c r="E1192" t="s">
        <v>362</v>
      </c>
      <c r="F1192" s="267" t="s">
        <v>420</v>
      </c>
      <c r="G1192" s="267" t="s">
        <v>2819</v>
      </c>
    </row>
    <row r="1193" spans="1:7">
      <c r="A1193">
        <v>460</v>
      </c>
      <c r="B1193">
        <v>2015</v>
      </c>
      <c r="C1193" t="s">
        <v>127</v>
      </c>
      <c r="D1193" t="s">
        <v>93</v>
      </c>
      <c r="E1193" t="s">
        <v>362</v>
      </c>
      <c r="F1193" s="267" t="s">
        <v>421</v>
      </c>
      <c r="G1193" s="267" t="s">
        <v>2820</v>
      </c>
    </row>
    <row r="1194" spans="1:7">
      <c r="A1194">
        <v>461</v>
      </c>
      <c r="B1194">
        <v>2015</v>
      </c>
      <c r="C1194" t="s">
        <v>128</v>
      </c>
      <c r="D1194" t="s">
        <v>93</v>
      </c>
      <c r="E1194" t="s">
        <v>362</v>
      </c>
      <c r="F1194" s="267" t="s">
        <v>422</v>
      </c>
      <c r="G1194" s="267" t="s">
        <v>2821</v>
      </c>
    </row>
    <row r="1195" spans="1:7">
      <c r="A1195">
        <v>462</v>
      </c>
      <c r="B1195">
        <v>2015</v>
      </c>
      <c r="C1195" t="s">
        <v>129</v>
      </c>
      <c r="D1195" t="s">
        <v>93</v>
      </c>
      <c r="E1195" t="s">
        <v>362</v>
      </c>
      <c r="F1195" s="267" t="s">
        <v>423</v>
      </c>
      <c r="G1195" s="267" t="s">
        <v>2822</v>
      </c>
    </row>
    <row r="1196" spans="1:7">
      <c r="A1196">
        <v>4</v>
      </c>
      <c r="B1196">
        <v>2015</v>
      </c>
      <c r="C1196" t="s">
        <v>157</v>
      </c>
      <c r="D1196" t="s">
        <v>93</v>
      </c>
      <c r="E1196" t="s">
        <v>362</v>
      </c>
      <c r="F1196" s="267" t="s">
        <v>424</v>
      </c>
      <c r="G1196" s="267" t="s">
        <v>2823</v>
      </c>
    </row>
    <row r="1197" spans="1:7">
      <c r="A1197">
        <v>0</v>
      </c>
      <c r="B1197">
        <v>2015</v>
      </c>
      <c r="C1197" t="s">
        <v>130</v>
      </c>
      <c r="D1197" t="s">
        <v>93</v>
      </c>
      <c r="E1197" t="s">
        <v>362</v>
      </c>
      <c r="F1197" s="267" t="s">
        <v>425</v>
      </c>
      <c r="G1197" s="267" t="s">
        <v>2824</v>
      </c>
    </row>
    <row r="1198" spans="1:7">
      <c r="A1198">
        <v>101</v>
      </c>
      <c r="B1198">
        <v>2015</v>
      </c>
      <c r="C1198" t="s">
        <v>363</v>
      </c>
      <c r="D1198" t="s">
        <v>131</v>
      </c>
      <c r="E1198" t="s">
        <v>362</v>
      </c>
      <c r="F1198" s="267" t="s">
        <v>364</v>
      </c>
      <c r="G1198" s="267" t="s">
        <v>2825</v>
      </c>
    </row>
    <row r="1199" spans="1:7">
      <c r="A1199">
        <v>102</v>
      </c>
      <c r="B1199">
        <v>2015</v>
      </c>
      <c r="C1199" t="s">
        <v>365</v>
      </c>
      <c r="D1199" t="s">
        <v>131</v>
      </c>
      <c r="E1199" t="s">
        <v>362</v>
      </c>
      <c r="F1199" s="267" t="s">
        <v>366</v>
      </c>
      <c r="G1199" s="267" t="s">
        <v>2826</v>
      </c>
    </row>
    <row r="1200" spans="1:7">
      <c r="A1200">
        <v>103</v>
      </c>
      <c r="B1200">
        <v>2015</v>
      </c>
      <c r="C1200" t="s">
        <v>367</v>
      </c>
      <c r="D1200" t="s">
        <v>131</v>
      </c>
      <c r="E1200" t="s">
        <v>362</v>
      </c>
      <c r="F1200" s="267" t="s">
        <v>368</v>
      </c>
      <c r="G1200" s="267" t="s">
        <v>2827</v>
      </c>
    </row>
    <row r="1201" spans="1:7">
      <c r="A1201">
        <v>151</v>
      </c>
      <c r="B1201">
        <v>2015</v>
      </c>
      <c r="C1201" t="s">
        <v>94</v>
      </c>
      <c r="D1201" t="s">
        <v>131</v>
      </c>
      <c r="E1201" t="s">
        <v>362</v>
      </c>
      <c r="F1201" s="267" t="s">
        <v>369</v>
      </c>
      <c r="G1201" s="267" t="s">
        <v>2828</v>
      </c>
    </row>
    <row r="1202" spans="1:7">
      <c r="A1202">
        <v>153</v>
      </c>
      <c r="B1202">
        <v>2015</v>
      </c>
      <c r="C1202" t="s">
        <v>96</v>
      </c>
      <c r="D1202" t="s">
        <v>131</v>
      </c>
      <c r="E1202" t="s">
        <v>362</v>
      </c>
      <c r="F1202" s="267" t="s">
        <v>370</v>
      </c>
      <c r="G1202" s="267" t="s">
        <v>2829</v>
      </c>
    </row>
    <row r="1203" spans="1:7">
      <c r="A1203">
        <v>154</v>
      </c>
      <c r="B1203">
        <v>2015</v>
      </c>
      <c r="C1203" t="s">
        <v>97</v>
      </c>
      <c r="D1203" t="s">
        <v>131</v>
      </c>
      <c r="E1203" t="s">
        <v>362</v>
      </c>
      <c r="F1203" s="267" t="s">
        <v>371</v>
      </c>
      <c r="G1203" s="267" t="s">
        <v>2830</v>
      </c>
    </row>
    <row r="1204" spans="1:7">
      <c r="A1204">
        <v>155</v>
      </c>
      <c r="B1204">
        <v>2015</v>
      </c>
      <c r="C1204" t="s">
        <v>98</v>
      </c>
      <c r="D1204" t="s">
        <v>131</v>
      </c>
      <c r="E1204" t="s">
        <v>362</v>
      </c>
      <c r="F1204" s="267" t="s">
        <v>372</v>
      </c>
      <c r="G1204" s="267" t="s">
        <v>2831</v>
      </c>
    </row>
    <row r="1205" spans="1:7">
      <c r="A1205">
        <v>157</v>
      </c>
      <c r="B1205">
        <v>2015</v>
      </c>
      <c r="C1205" t="s">
        <v>99</v>
      </c>
      <c r="D1205" t="s">
        <v>131</v>
      </c>
      <c r="E1205" t="s">
        <v>362</v>
      </c>
      <c r="F1205" s="267" t="s">
        <v>373</v>
      </c>
      <c r="G1205" s="267" t="s">
        <v>2832</v>
      </c>
    </row>
    <row r="1206" spans="1:7">
      <c r="A1206">
        <v>158</v>
      </c>
      <c r="B1206">
        <v>2015</v>
      </c>
      <c r="C1206" t="s">
        <v>100</v>
      </c>
      <c r="D1206" t="s">
        <v>131</v>
      </c>
      <c r="E1206" t="s">
        <v>362</v>
      </c>
      <c r="F1206" s="267" t="s">
        <v>374</v>
      </c>
      <c r="G1206" s="267" t="s">
        <v>2833</v>
      </c>
    </row>
    <row r="1207" spans="1:7">
      <c r="A1207">
        <v>159</v>
      </c>
      <c r="B1207">
        <v>2015</v>
      </c>
      <c r="C1207" t="s">
        <v>95</v>
      </c>
      <c r="D1207" t="s">
        <v>131</v>
      </c>
      <c r="E1207" t="s">
        <v>362</v>
      </c>
      <c r="F1207" s="267" t="s">
        <v>375</v>
      </c>
      <c r="G1207" s="267" t="s">
        <v>2834</v>
      </c>
    </row>
    <row r="1208" spans="1:7">
      <c r="A1208">
        <v>1</v>
      </c>
      <c r="B1208">
        <v>2015</v>
      </c>
      <c r="C1208" t="s">
        <v>154</v>
      </c>
      <c r="D1208" t="s">
        <v>131</v>
      </c>
      <c r="E1208" t="s">
        <v>362</v>
      </c>
      <c r="F1208" s="267" t="s">
        <v>376</v>
      </c>
      <c r="G1208" s="267" t="s">
        <v>2835</v>
      </c>
    </row>
    <row r="1209" spans="1:7">
      <c r="A1209">
        <v>241</v>
      </c>
      <c r="B1209">
        <v>2015</v>
      </c>
      <c r="C1209" t="s">
        <v>377</v>
      </c>
      <c r="D1209" t="s">
        <v>131</v>
      </c>
      <c r="E1209" t="s">
        <v>362</v>
      </c>
      <c r="F1209" s="267" t="s">
        <v>378</v>
      </c>
      <c r="G1209" s="267" t="s">
        <v>2836</v>
      </c>
    </row>
    <row r="1210" spans="1:7">
      <c r="A1210">
        <v>241001</v>
      </c>
      <c r="B1210">
        <v>2015</v>
      </c>
      <c r="C1210" t="s">
        <v>379</v>
      </c>
      <c r="D1210" t="s">
        <v>131</v>
      </c>
      <c r="E1210" t="s">
        <v>362</v>
      </c>
      <c r="F1210" s="267" t="s">
        <v>380</v>
      </c>
      <c r="G1210" s="267" t="s">
        <v>2837</v>
      </c>
    </row>
    <row r="1211" spans="1:7">
      <c r="A1211">
        <v>241999</v>
      </c>
      <c r="B1211">
        <v>2015</v>
      </c>
      <c r="C1211" t="s">
        <v>381</v>
      </c>
      <c r="D1211" t="s">
        <v>131</v>
      </c>
      <c r="E1211" t="s">
        <v>362</v>
      </c>
      <c r="F1211" s="267" t="s">
        <v>382</v>
      </c>
      <c r="G1211" s="267" t="s">
        <v>2838</v>
      </c>
    </row>
    <row r="1212" spans="1:7">
      <c r="A1212">
        <v>251</v>
      </c>
      <c r="B1212">
        <v>2015</v>
      </c>
      <c r="C1212" t="s">
        <v>101</v>
      </c>
      <c r="D1212" t="s">
        <v>131</v>
      </c>
      <c r="E1212" t="s">
        <v>362</v>
      </c>
      <c r="F1212" s="267" t="s">
        <v>383</v>
      </c>
      <c r="G1212" s="267" t="s">
        <v>2839</v>
      </c>
    </row>
    <row r="1213" spans="1:7">
      <c r="A1213">
        <v>252</v>
      </c>
      <c r="B1213">
        <v>2015</v>
      </c>
      <c r="C1213" t="s">
        <v>102</v>
      </c>
      <c r="D1213" t="s">
        <v>131</v>
      </c>
      <c r="E1213" t="s">
        <v>362</v>
      </c>
      <c r="F1213" s="267" t="s">
        <v>384</v>
      </c>
      <c r="G1213" s="267" t="s">
        <v>2840</v>
      </c>
    </row>
    <row r="1214" spans="1:7">
      <c r="A1214">
        <v>254</v>
      </c>
      <c r="B1214">
        <v>2015</v>
      </c>
      <c r="C1214" t="s">
        <v>103</v>
      </c>
      <c r="D1214" t="s">
        <v>131</v>
      </c>
      <c r="E1214" t="s">
        <v>362</v>
      </c>
      <c r="F1214" s="267" t="s">
        <v>385</v>
      </c>
      <c r="G1214" s="267" t="s">
        <v>2841</v>
      </c>
    </row>
    <row r="1215" spans="1:7">
      <c r="A1215">
        <v>255</v>
      </c>
      <c r="B1215">
        <v>2015</v>
      </c>
      <c r="C1215" t="s">
        <v>104</v>
      </c>
      <c r="D1215" t="s">
        <v>131</v>
      </c>
      <c r="E1215" t="s">
        <v>362</v>
      </c>
      <c r="F1215" s="267" t="s">
        <v>386</v>
      </c>
      <c r="G1215" s="267" t="s">
        <v>2842</v>
      </c>
    </row>
    <row r="1216" spans="1:7">
      <c r="A1216">
        <v>256</v>
      </c>
      <c r="B1216">
        <v>2015</v>
      </c>
      <c r="C1216" t="s">
        <v>105</v>
      </c>
      <c r="D1216" t="s">
        <v>131</v>
      </c>
      <c r="E1216" t="s">
        <v>362</v>
      </c>
      <c r="F1216" s="267" t="s">
        <v>387</v>
      </c>
      <c r="G1216" s="267" t="s">
        <v>2843</v>
      </c>
    </row>
    <row r="1217" spans="1:7">
      <c r="A1217">
        <v>257</v>
      </c>
      <c r="B1217">
        <v>2015</v>
      </c>
      <c r="C1217" t="s">
        <v>106</v>
      </c>
      <c r="D1217" t="s">
        <v>131</v>
      </c>
      <c r="E1217" t="s">
        <v>362</v>
      </c>
      <c r="F1217" s="267" t="s">
        <v>388</v>
      </c>
      <c r="G1217" s="267" t="s">
        <v>2844</v>
      </c>
    </row>
    <row r="1218" spans="1:7">
      <c r="A1218">
        <v>2</v>
      </c>
      <c r="B1218">
        <v>2015</v>
      </c>
      <c r="C1218" t="s">
        <v>155</v>
      </c>
      <c r="D1218" t="s">
        <v>131</v>
      </c>
      <c r="E1218" t="s">
        <v>362</v>
      </c>
      <c r="F1218" s="267" t="s">
        <v>389</v>
      </c>
      <c r="G1218" s="267" t="s">
        <v>2845</v>
      </c>
    </row>
    <row r="1219" spans="1:7">
      <c r="A1219">
        <v>351</v>
      </c>
      <c r="B1219">
        <v>2015</v>
      </c>
      <c r="C1219" t="s">
        <v>107</v>
      </c>
      <c r="D1219" t="s">
        <v>131</v>
      </c>
      <c r="E1219" t="s">
        <v>362</v>
      </c>
      <c r="F1219" s="267" t="s">
        <v>390</v>
      </c>
      <c r="G1219" s="267" t="s">
        <v>2846</v>
      </c>
    </row>
    <row r="1220" spans="1:7">
      <c r="A1220">
        <v>352</v>
      </c>
      <c r="B1220">
        <v>2015</v>
      </c>
      <c r="C1220" t="s">
        <v>108</v>
      </c>
      <c r="D1220" t="s">
        <v>131</v>
      </c>
      <c r="E1220" t="s">
        <v>362</v>
      </c>
      <c r="F1220" s="267" t="s">
        <v>391</v>
      </c>
      <c r="G1220" s="267" t="s">
        <v>2847</v>
      </c>
    </row>
    <row r="1221" spans="1:7">
      <c r="A1221">
        <v>353</v>
      </c>
      <c r="B1221">
        <v>2015</v>
      </c>
      <c r="C1221" t="s">
        <v>109</v>
      </c>
      <c r="D1221" t="s">
        <v>131</v>
      </c>
      <c r="E1221" t="s">
        <v>362</v>
      </c>
      <c r="F1221" s="267" t="s">
        <v>392</v>
      </c>
      <c r="G1221" s="267" t="s">
        <v>2848</v>
      </c>
    </row>
    <row r="1222" spans="1:7">
      <c r="A1222">
        <v>354</v>
      </c>
      <c r="B1222">
        <v>2015</v>
      </c>
      <c r="C1222" t="s">
        <v>110</v>
      </c>
      <c r="D1222" t="s">
        <v>131</v>
      </c>
      <c r="E1222" t="s">
        <v>362</v>
      </c>
      <c r="F1222" s="267" t="s">
        <v>393</v>
      </c>
      <c r="G1222" s="267" t="s">
        <v>2849</v>
      </c>
    </row>
    <row r="1223" spans="1:7">
      <c r="A1223">
        <v>355</v>
      </c>
      <c r="B1223">
        <v>2015</v>
      </c>
      <c r="C1223" t="s">
        <v>111</v>
      </c>
      <c r="D1223" t="s">
        <v>131</v>
      </c>
      <c r="E1223" t="s">
        <v>362</v>
      </c>
      <c r="F1223" s="267" t="s">
        <v>394</v>
      </c>
      <c r="G1223" s="267" t="s">
        <v>2850</v>
      </c>
    </row>
    <row r="1224" spans="1:7">
      <c r="A1224">
        <v>356</v>
      </c>
      <c r="B1224">
        <v>2015</v>
      </c>
      <c r="C1224" t="s">
        <v>112</v>
      </c>
      <c r="D1224" t="s">
        <v>131</v>
      </c>
      <c r="E1224" t="s">
        <v>362</v>
      </c>
      <c r="F1224" s="267" t="s">
        <v>395</v>
      </c>
      <c r="G1224" s="267" t="s">
        <v>2851</v>
      </c>
    </row>
    <row r="1225" spans="1:7">
      <c r="A1225">
        <v>357</v>
      </c>
      <c r="B1225">
        <v>2015</v>
      </c>
      <c r="C1225" t="s">
        <v>113</v>
      </c>
      <c r="D1225" t="s">
        <v>131</v>
      </c>
      <c r="E1225" t="s">
        <v>362</v>
      </c>
      <c r="F1225" s="267" t="s">
        <v>396</v>
      </c>
      <c r="G1225" s="267" t="s">
        <v>2852</v>
      </c>
    </row>
    <row r="1226" spans="1:7">
      <c r="A1226">
        <v>358</v>
      </c>
      <c r="B1226">
        <v>2015</v>
      </c>
      <c r="C1226" t="s">
        <v>114</v>
      </c>
      <c r="D1226" t="s">
        <v>131</v>
      </c>
      <c r="E1226" t="s">
        <v>362</v>
      </c>
      <c r="F1226" s="267" t="s">
        <v>397</v>
      </c>
      <c r="G1226" s="267" t="s">
        <v>2853</v>
      </c>
    </row>
    <row r="1227" spans="1:7">
      <c r="A1227">
        <v>359</v>
      </c>
      <c r="B1227">
        <v>2015</v>
      </c>
      <c r="C1227" t="s">
        <v>115</v>
      </c>
      <c r="D1227" t="s">
        <v>131</v>
      </c>
      <c r="E1227" t="s">
        <v>362</v>
      </c>
      <c r="F1227" s="267" t="s">
        <v>398</v>
      </c>
      <c r="G1227" s="267" t="s">
        <v>2854</v>
      </c>
    </row>
    <row r="1228" spans="1:7">
      <c r="A1228">
        <v>360</v>
      </c>
      <c r="B1228">
        <v>2015</v>
      </c>
      <c r="C1228" t="s">
        <v>116</v>
      </c>
      <c r="D1228" t="s">
        <v>131</v>
      </c>
      <c r="E1228" t="s">
        <v>362</v>
      </c>
      <c r="F1228" s="267" t="s">
        <v>399</v>
      </c>
      <c r="G1228" s="267" t="s">
        <v>2855</v>
      </c>
    </row>
    <row r="1229" spans="1:7">
      <c r="A1229">
        <v>361</v>
      </c>
      <c r="B1229">
        <v>2015</v>
      </c>
      <c r="C1229" t="s">
        <v>117</v>
      </c>
      <c r="D1229" t="s">
        <v>131</v>
      </c>
      <c r="E1229" t="s">
        <v>362</v>
      </c>
      <c r="F1229" s="267" t="s">
        <v>400</v>
      </c>
      <c r="G1229" s="267" t="s">
        <v>2856</v>
      </c>
    </row>
    <row r="1230" spans="1:7">
      <c r="A1230">
        <v>3</v>
      </c>
      <c r="B1230">
        <v>2015</v>
      </c>
      <c r="C1230" t="s">
        <v>156</v>
      </c>
      <c r="D1230" t="s">
        <v>131</v>
      </c>
      <c r="E1230" t="s">
        <v>362</v>
      </c>
      <c r="F1230" s="267" t="s">
        <v>401</v>
      </c>
      <c r="G1230" s="267" t="s">
        <v>2857</v>
      </c>
    </row>
    <row r="1231" spans="1:7">
      <c r="A1231">
        <v>401</v>
      </c>
      <c r="B1231">
        <v>2015</v>
      </c>
      <c r="C1231" t="s">
        <v>402</v>
      </c>
      <c r="D1231" t="s">
        <v>131</v>
      </c>
      <c r="E1231" t="s">
        <v>362</v>
      </c>
      <c r="F1231" s="267" t="s">
        <v>403</v>
      </c>
      <c r="G1231" s="267" t="s">
        <v>2858</v>
      </c>
    </row>
    <row r="1232" spans="1:7">
      <c r="A1232">
        <v>402</v>
      </c>
      <c r="B1232">
        <v>2015</v>
      </c>
      <c r="C1232" t="s">
        <v>404</v>
      </c>
      <c r="D1232" t="s">
        <v>131</v>
      </c>
      <c r="E1232" t="s">
        <v>362</v>
      </c>
      <c r="F1232" s="267" t="s">
        <v>405</v>
      </c>
      <c r="G1232" s="267" t="s">
        <v>2859</v>
      </c>
    </row>
    <row r="1233" spans="1:7">
      <c r="A1233">
        <v>403</v>
      </c>
      <c r="B1233">
        <v>2015</v>
      </c>
      <c r="C1233" t="s">
        <v>406</v>
      </c>
      <c r="D1233" t="s">
        <v>131</v>
      </c>
      <c r="E1233" t="s">
        <v>362</v>
      </c>
      <c r="F1233" s="267" t="s">
        <v>407</v>
      </c>
      <c r="G1233" s="267" t="s">
        <v>2860</v>
      </c>
    </row>
    <row r="1234" spans="1:7">
      <c r="A1234">
        <v>404</v>
      </c>
      <c r="B1234">
        <v>2015</v>
      </c>
      <c r="C1234" t="s">
        <v>408</v>
      </c>
      <c r="D1234" t="s">
        <v>131</v>
      </c>
      <c r="E1234" t="s">
        <v>362</v>
      </c>
      <c r="F1234" s="267" t="s">
        <v>409</v>
      </c>
      <c r="G1234" s="267" t="s">
        <v>2861</v>
      </c>
    </row>
    <row r="1235" spans="1:7">
      <c r="A1235">
        <v>405</v>
      </c>
      <c r="B1235">
        <v>2015</v>
      </c>
      <c r="C1235" t="s">
        <v>410</v>
      </c>
      <c r="D1235" t="s">
        <v>131</v>
      </c>
      <c r="E1235" t="s">
        <v>362</v>
      </c>
      <c r="F1235" s="267" t="s">
        <v>411</v>
      </c>
      <c r="G1235" s="267" t="s">
        <v>2862</v>
      </c>
    </row>
    <row r="1236" spans="1:7">
      <c r="A1236">
        <v>451</v>
      </c>
      <c r="B1236">
        <v>2015</v>
      </c>
      <c r="C1236" t="s">
        <v>118</v>
      </c>
      <c r="D1236" t="s">
        <v>131</v>
      </c>
      <c r="E1236" t="s">
        <v>362</v>
      </c>
      <c r="F1236" s="267" t="s">
        <v>412</v>
      </c>
      <c r="G1236" s="267" t="s">
        <v>2863</v>
      </c>
    </row>
    <row r="1237" spans="1:7">
      <c r="A1237">
        <v>452</v>
      </c>
      <c r="B1237">
        <v>2015</v>
      </c>
      <c r="C1237" t="s">
        <v>119</v>
      </c>
      <c r="D1237" t="s">
        <v>131</v>
      </c>
      <c r="E1237" t="s">
        <v>362</v>
      </c>
      <c r="F1237" s="267" t="s">
        <v>413</v>
      </c>
      <c r="G1237" s="267" t="s">
        <v>2864</v>
      </c>
    </row>
    <row r="1238" spans="1:7">
      <c r="A1238">
        <v>453</v>
      </c>
      <c r="B1238">
        <v>2015</v>
      </c>
      <c r="C1238" t="s">
        <v>120</v>
      </c>
      <c r="D1238" t="s">
        <v>131</v>
      </c>
      <c r="E1238" t="s">
        <v>362</v>
      </c>
      <c r="F1238" s="267" t="s">
        <v>414</v>
      </c>
      <c r="G1238" s="267" t="s">
        <v>2865</v>
      </c>
    </row>
    <row r="1239" spans="1:7">
      <c r="A1239">
        <v>454</v>
      </c>
      <c r="B1239">
        <v>2015</v>
      </c>
      <c r="C1239" t="s">
        <v>121</v>
      </c>
      <c r="D1239" t="s">
        <v>131</v>
      </c>
      <c r="E1239" t="s">
        <v>362</v>
      </c>
      <c r="F1239" s="267" t="s">
        <v>415</v>
      </c>
      <c r="G1239" s="267" t="s">
        <v>2866</v>
      </c>
    </row>
    <row r="1240" spans="1:7">
      <c r="A1240">
        <v>455</v>
      </c>
      <c r="B1240">
        <v>2015</v>
      </c>
      <c r="C1240" t="s">
        <v>122</v>
      </c>
      <c r="D1240" t="s">
        <v>131</v>
      </c>
      <c r="E1240" t="s">
        <v>362</v>
      </c>
      <c r="F1240" s="267" t="s">
        <v>416</v>
      </c>
      <c r="G1240" s="267" t="s">
        <v>2867</v>
      </c>
    </row>
    <row r="1241" spans="1:7">
      <c r="A1241">
        <v>456</v>
      </c>
      <c r="B1241">
        <v>2015</v>
      </c>
      <c r="C1241" t="s">
        <v>123</v>
      </c>
      <c r="D1241" t="s">
        <v>131</v>
      </c>
      <c r="E1241" t="s">
        <v>362</v>
      </c>
      <c r="F1241" s="267" t="s">
        <v>417</v>
      </c>
      <c r="G1241" s="267" t="s">
        <v>2868</v>
      </c>
    </row>
    <row r="1242" spans="1:7">
      <c r="A1242">
        <v>457</v>
      </c>
      <c r="B1242">
        <v>2015</v>
      </c>
      <c r="C1242" t="s">
        <v>124</v>
      </c>
      <c r="D1242" t="s">
        <v>131</v>
      </c>
      <c r="E1242" t="s">
        <v>362</v>
      </c>
      <c r="F1242" s="267" t="s">
        <v>418</v>
      </c>
      <c r="G1242" s="267" t="s">
        <v>2869</v>
      </c>
    </row>
    <row r="1243" spans="1:7">
      <c r="A1243">
        <v>458</v>
      </c>
      <c r="B1243">
        <v>2015</v>
      </c>
      <c r="C1243" t="s">
        <v>125</v>
      </c>
      <c r="D1243" t="s">
        <v>131</v>
      </c>
      <c r="E1243" t="s">
        <v>362</v>
      </c>
      <c r="F1243" s="267" t="s">
        <v>419</v>
      </c>
      <c r="G1243" s="267" t="s">
        <v>2870</v>
      </c>
    </row>
    <row r="1244" spans="1:7">
      <c r="A1244">
        <v>459</v>
      </c>
      <c r="B1244">
        <v>2015</v>
      </c>
      <c r="C1244" t="s">
        <v>126</v>
      </c>
      <c r="D1244" t="s">
        <v>131</v>
      </c>
      <c r="E1244" t="s">
        <v>362</v>
      </c>
      <c r="F1244" s="267" t="s">
        <v>420</v>
      </c>
      <c r="G1244" s="267" t="s">
        <v>2871</v>
      </c>
    </row>
    <row r="1245" spans="1:7">
      <c r="A1245">
        <v>460</v>
      </c>
      <c r="B1245">
        <v>2015</v>
      </c>
      <c r="C1245" t="s">
        <v>127</v>
      </c>
      <c r="D1245" t="s">
        <v>131</v>
      </c>
      <c r="E1245" t="s">
        <v>362</v>
      </c>
      <c r="F1245" s="267" t="s">
        <v>421</v>
      </c>
      <c r="G1245" s="267" t="s">
        <v>2872</v>
      </c>
    </row>
    <row r="1246" spans="1:7">
      <c r="A1246">
        <v>461</v>
      </c>
      <c r="B1246">
        <v>2015</v>
      </c>
      <c r="C1246" t="s">
        <v>128</v>
      </c>
      <c r="D1246" t="s">
        <v>131</v>
      </c>
      <c r="E1246" t="s">
        <v>362</v>
      </c>
      <c r="F1246" s="267" t="s">
        <v>422</v>
      </c>
      <c r="G1246" s="267" t="s">
        <v>2873</v>
      </c>
    </row>
    <row r="1247" spans="1:7">
      <c r="A1247">
        <v>462</v>
      </c>
      <c r="B1247">
        <v>2015</v>
      </c>
      <c r="C1247" t="s">
        <v>129</v>
      </c>
      <c r="D1247" t="s">
        <v>131</v>
      </c>
      <c r="E1247" t="s">
        <v>362</v>
      </c>
      <c r="F1247" s="267" t="s">
        <v>423</v>
      </c>
      <c r="G1247" s="267" t="s">
        <v>2874</v>
      </c>
    </row>
    <row r="1248" spans="1:7">
      <c r="A1248">
        <v>4</v>
      </c>
      <c r="B1248">
        <v>2015</v>
      </c>
      <c r="C1248" t="s">
        <v>157</v>
      </c>
      <c r="D1248" t="s">
        <v>131</v>
      </c>
      <c r="E1248" t="s">
        <v>362</v>
      </c>
      <c r="F1248" s="267" t="s">
        <v>424</v>
      </c>
      <c r="G1248" s="267" t="s">
        <v>2875</v>
      </c>
    </row>
    <row r="1249" spans="1:7">
      <c r="A1249">
        <v>0</v>
      </c>
      <c r="B1249">
        <v>2015</v>
      </c>
      <c r="C1249" t="s">
        <v>130</v>
      </c>
      <c r="D1249" t="s">
        <v>131</v>
      </c>
      <c r="E1249" t="s">
        <v>362</v>
      </c>
      <c r="F1249" s="267" t="s">
        <v>425</v>
      </c>
      <c r="G1249" s="267" t="s">
        <v>2876</v>
      </c>
    </row>
    <row r="1250" spans="1:7">
      <c r="A1250">
        <v>101</v>
      </c>
      <c r="B1250">
        <v>2014</v>
      </c>
      <c r="C1250" t="s">
        <v>363</v>
      </c>
      <c r="D1250" t="s">
        <v>91</v>
      </c>
      <c r="E1250" t="s">
        <v>362</v>
      </c>
      <c r="F1250" s="267" t="s">
        <v>364</v>
      </c>
      <c r="G1250" s="267" t="s">
        <v>2877</v>
      </c>
    </row>
    <row r="1251" spans="1:7">
      <c r="A1251">
        <v>102</v>
      </c>
      <c r="B1251">
        <v>2014</v>
      </c>
      <c r="C1251" t="s">
        <v>365</v>
      </c>
      <c r="D1251" t="s">
        <v>91</v>
      </c>
      <c r="E1251" t="s">
        <v>362</v>
      </c>
      <c r="F1251" s="267" t="s">
        <v>366</v>
      </c>
      <c r="G1251" s="267" t="s">
        <v>2878</v>
      </c>
    </row>
    <row r="1252" spans="1:7">
      <c r="A1252">
        <v>103</v>
      </c>
      <c r="B1252">
        <v>2014</v>
      </c>
      <c r="C1252" t="s">
        <v>367</v>
      </c>
      <c r="D1252" t="s">
        <v>91</v>
      </c>
      <c r="E1252" t="s">
        <v>362</v>
      </c>
      <c r="F1252" s="267" t="s">
        <v>368</v>
      </c>
      <c r="G1252" s="267" t="s">
        <v>2879</v>
      </c>
    </row>
    <row r="1253" spans="1:7">
      <c r="A1253">
        <v>151</v>
      </c>
      <c r="B1253">
        <v>2014</v>
      </c>
      <c r="C1253" t="s">
        <v>94</v>
      </c>
      <c r="D1253" t="s">
        <v>91</v>
      </c>
      <c r="E1253" t="s">
        <v>362</v>
      </c>
      <c r="F1253" s="267" t="s">
        <v>369</v>
      </c>
      <c r="G1253" s="267" t="s">
        <v>2880</v>
      </c>
    </row>
    <row r="1254" spans="1:7">
      <c r="A1254">
        <v>153</v>
      </c>
      <c r="B1254">
        <v>2014</v>
      </c>
      <c r="C1254" t="s">
        <v>96</v>
      </c>
      <c r="D1254" t="s">
        <v>91</v>
      </c>
      <c r="E1254" t="s">
        <v>362</v>
      </c>
      <c r="F1254" s="267" t="s">
        <v>370</v>
      </c>
      <c r="G1254" s="267" t="s">
        <v>2881</v>
      </c>
    </row>
    <row r="1255" spans="1:7">
      <c r="A1255">
        <v>154</v>
      </c>
      <c r="B1255">
        <v>2014</v>
      </c>
      <c r="C1255" t="s">
        <v>97</v>
      </c>
      <c r="D1255" t="s">
        <v>91</v>
      </c>
      <c r="E1255" t="s">
        <v>362</v>
      </c>
      <c r="F1255" s="267" t="s">
        <v>371</v>
      </c>
      <c r="G1255" s="267" t="s">
        <v>2882</v>
      </c>
    </row>
    <row r="1256" spans="1:7">
      <c r="A1256">
        <v>155</v>
      </c>
      <c r="B1256">
        <v>2014</v>
      </c>
      <c r="C1256" t="s">
        <v>98</v>
      </c>
      <c r="D1256" t="s">
        <v>91</v>
      </c>
      <c r="E1256" t="s">
        <v>362</v>
      </c>
      <c r="F1256" s="267" t="s">
        <v>372</v>
      </c>
      <c r="G1256" s="267" t="s">
        <v>2883</v>
      </c>
    </row>
    <row r="1257" spans="1:7">
      <c r="A1257">
        <v>157</v>
      </c>
      <c r="B1257">
        <v>2014</v>
      </c>
      <c r="C1257" t="s">
        <v>99</v>
      </c>
      <c r="D1257" t="s">
        <v>91</v>
      </c>
      <c r="E1257" t="s">
        <v>362</v>
      </c>
      <c r="F1257" s="267" t="s">
        <v>373</v>
      </c>
      <c r="G1257" s="267" t="s">
        <v>2884</v>
      </c>
    </row>
    <row r="1258" spans="1:7">
      <c r="A1258">
        <v>158</v>
      </c>
      <c r="B1258">
        <v>2014</v>
      </c>
      <c r="C1258" t="s">
        <v>100</v>
      </c>
      <c r="D1258" t="s">
        <v>91</v>
      </c>
      <c r="E1258" t="s">
        <v>362</v>
      </c>
      <c r="F1258" s="267" t="s">
        <v>374</v>
      </c>
      <c r="G1258" s="267" t="s">
        <v>2885</v>
      </c>
    </row>
    <row r="1259" spans="1:7">
      <c r="A1259">
        <v>159</v>
      </c>
      <c r="B1259">
        <v>2014</v>
      </c>
      <c r="C1259" t="s">
        <v>95</v>
      </c>
      <c r="D1259" t="s">
        <v>91</v>
      </c>
      <c r="E1259" t="s">
        <v>362</v>
      </c>
      <c r="F1259" s="267" t="s">
        <v>375</v>
      </c>
      <c r="G1259" s="267" t="s">
        <v>2886</v>
      </c>
    </row>
    <row r="1260" spans="1:7">
      <c r="A1260">
        <v>1</v>
      </c>
      <c r="B1260">
        <v>2014</v>
      </c>
      <c r="C1260" t="s">
        <v>154</v>
      </c>
      <c r="D1260" t="s">
        <v>91</v>
      </c>
      <c r="E1260" t="s">
        <v>362</v>
      </c>
      <c r="F1260" s="267" t="s">
        <v>376</v>
      </c>
      <c r="G1260" s="267" t="s">
        <v>2887</v>
      </c>
    </row>
    <row r="1261" spans="1:7">
      <c r="A1261">
        <v>241</v>
      </c>
      <c r="B1261">
        <v>2014</v>
      </c>
      <c r="C1261" t="s">
        <v>377</v>
      </c>
      <c r="D1261" t="s">
        <v>91</v>
      </c>
      <c r="E1261" t="s">
        <v>362</v>
      </c>
      <c r="F1261" s="267" t="s">
        <v>378</v>
      </c>
      <c r="G1261" s="267" t="s">
        <v>2888</v>
      </c>
    </row>
    <row r="1262" spans="1:7">
      <c r="A1262">
        <v>241001</v>
      </c>
      <c r="B1262">
        <v>2014</v>
      </c>
      <c r="C1262" t="s">
        <v>379</v>
      </c>
      <c r="D1262" t="s">
        <v>91</v>
      </c>
      <c r="E1262" t="s">
        <v>362</v>
      </c>
      <c r="F1262" s="267" t="s">
        <v>380</v>
      </c>
      <c r="G1262" s="267" t="s">
        <v>2889</v>
      </c>
    </row>
    <row r="1263" spans="1:7">
      <c r="A1263">
        <v>241999</v>
      </c>
      <c r="B1263">
        <v>2014</v>
      </c>
      <c r="C1263" t="s">
        <v>381</v>
      </c>
      <c r="D1263" t="s">
        <v>91</v>
      </c>
      <c r="E1263" t="s">
        <v>362</v>
      </c>
      <c r="F1263" s="267" t="s">
        <v>382</v>
      </c>
      <c r="G1263" s="267" t="s">
        <v>2890</v>
      </c>
    </row>
    <row r="1264" spans="1:7">
      <c r="A1264">
        <v>251</v>
      </c>
      <c r="B1264">
        <v>2014</v>
      </c>
      <c r="C1264" t="s">
        <v>101</v>
      </c>
      <c r="D1264" t="s">
        <v>91</v>
      </c>
      <c r="E1264" t="s">
        <v>362</v>
      </c>
      <c r="F1264" s="267" t="s">
        <v>383</v>
      </c>
      <c r="G1264" s="267" t="s">
        <v>2891</v>
      </c>
    </row>
    <row r="1265" spans="1:7">
      <c r="A1265">
        <v>252</v>
      </c>
      <c r="B1265">
        <v>2014</v>
      </c>
      <c r="C1265" t="s">
        <v>102</v>
      </c>
      <c r="D1265" t="s">
        <v>91</v>
      </c>
      <c r="E1265" t="s">
        <v>362</v>
      </c>
      <c r="F1265" s="267" t="s">
        <v>384</v>
      </c>
      <c r="G1265" s="267" t="s">
        <v>2892</v>
      </c>
    </row>
    <row r="1266" spans="1:7">
      <c r="A1266">
        <v>254</v>
      </c>
      <c r="B1266">
        <v>2014</v>
      </c>
      <c r="C1266" t="s">
        <v>103</v>
      </c>
      <c r="D1266" t="s">
        <v>91</v>
      </c>
      <c r="E1266" t="s">
        <v>362</v>
      </c>
      <c r="F1266" s="267" t="s">
        <v>385</v>
      </c>
      <c r="G1266" s="267" t="s">
        <v>2893</v>
      </c>
    </row>
    <row r="1267" spans="1:7">
      <c r="A1267">
        <v>255</v>
      </c>
      <c r="B1267">
        <v>2014</v>
      </c>
      <c r="C1267" t="s">
        <v>104</v>
      </c>
      <c r="D1267" t="s">
        <v>91</v>
      </c>
      <c r="E1267" t="s">
        <v>362</v>
      </c>
      <c r="F1267" s="267" t="s">
        <v>386</v>
      </c>
      <c r="G1267" s="267" t="s">
        <v>2894</v>
      </c>
    </row>
    <row r="1268" spans="1:7">
      <c r="A1268">
        <v>256</v>
      </c>
      <c r="B1268">
        <v>2014</v>
      </c>
      <c r="C1268" t="s">
        <v>105</v>
      </c>
      <c r="D1268" t="s">
        <v>91</v>
      </c>
      <c r="E1268" t="s">
        <v>362</v>
      </c>
      <c r="F1268" s="267" t="s">
        <v>387</v>
      </c>
      <c r="G1268" s="267" t="s">
        <v>2895</v>
      </c>
    </row>
    <row r="1269" spans="1:7">
      <c r="A1269">
        <v>257</v>
      </c>
      <c r="B1269">
        <v>2014</v>
      </c>
      <c r="C1269" t="s">
        <v>106</v>
      </c>
      <c r="D1269" t="s">
        <v>91</v>
      </c>
      <c r="E1269" t="s">
        <v>362</v>
      </c>
      <c r="F1269" s="267" t="s">
        <v>388</v>
      </c>
      <c r="G1269" s="267" t="s">
        <v>2896</v>
      </c>
    </row>
    <row r="1270" spans="1:7">
      <c r="A1270">
        <v>2</v>
      </c>
      <c r="B1270">
        <v>2014</v>
      </c>
      <c r="C1270" t="s">
        <v>155</v>
      </c>
      <c r="D1270" t="s">
        <v>91</v>
      </c>
      <c r="E1270" t="s">
        <v>362</v>
      </c>
      <c r="F1270" s="267" t="s">
        <v>389</v>
      </c>
      <c r="G1270" s="267" t="s">
        <v>2897</v>
      </c>
    </row>
    <row r="1271" spans="1:7">
      <c r="A1271">
        <v>351</v>
      </c>
      <c r="B1271">
        <v>2014</v>
      </c>
      <c r="C1271" t="s">
        <v>107</v>
      </c>
      <c r="D1271" t="s">
        <v>91</v>
      </c>
      <c r="E1271" t="s">
        <v>362</v>
      </c>
      <c r="F1271" s="267" t="s">
        <v>390</v>
      </c>
      <c r="G1271" s="267" t="s">
        <v>2898</v>
      </c>
    </row>
    <row r="1272" spans="1:7">
      <c r="A1272">
        <v>352</v>
      </c>
      <c r="B1272">
        <v>2014</v>
      </c>
      <c r="C1272" t="s">
        <v>108</v>
      </c>
      <c r="D1272" t="s">
        <v>91</v>
      </c>
      <c r="E1272" t="s">
        <v>362</v>
      </c>
      <c r="F1272" s="267" t="s">
        <v>391</v>
      </c>
      <c r="G1272" s="267" t="s">
        <v>2899</v>
      </c>
    </row>
    <row r="1273" spans="1:7">
      <c r="A1273">
        <v>353</v>
      </c>
      <c r="B1273">
        <v>2014</v>
      </c>
      <c r="C1273" t="s">
        <v>109</v>
      </c>
      <c r="D1273" t="s">
        <v>91</v>
      </c>
      <c r="E1273" t="s">
        <v>362</v>
      </c>
      <c r="F1273" s="267" t="s">
        <v>392</v>
      </c>
      <c r="G1273" s="267" t="s">
        <v>2900</v>
      </c>
    </row>
    <row r="1274" spans="1:7">
      <c r="A1274">
        <v>354</v>
      </c>
      <c r="B1274">
        <v>2014</v>
      </c>
      <c r="C1274" t="s">
        <v>110</v>
      </c>
      <c r="D1274" t="s">
        <v>91</v>
      </c>
      <c r="E1274" t="s">
        <v>362</v>
      </c>
      <c r="F1274" s="267" t="s">
        <v>393</v>
      </c>
      <c r="G1274" s="267" t="s">
        <v>2901</v>
      </c>
    </row>
    <row r="1275" spans="1:7">
      <c r="A1275">
        <v>355</v>
      </c>
      <c r="B1275">
        <v>2014</v>
      </c>
      <c r="C1275" t="s">
        <v>111</v>
      </c>
      <c r="D1275" t="s">
        <v>91</v>
      </c>
      <c r="E1275" t="s">
        <v>362</v>
      </c>
      <c r="F1275" s="267" t="s">
        <v>394</v>
      </c>
      <c r="G1275" s="267" t="s">
        <v>2902</v>
      </c>
    </row>
    <row r="1276" spans="1:7">
      <c r="A1276">
        <v>356</v>
      </c>
      <c r="B1276">
        <v>2014</v>
      </c>
      <c r="C1276" t="s">
        <v>112</v>
      </c>
      <c r="D1276" t="s">
        <v>91</v>
      </c>
      <c r="E1276" t="s">
        <v>362</v>
      </c>
      <c r="F1276" s="267" t="s">
        <v>395</v>
      </c>
      <c r="G1276" s="267" t="s">
        <v>2903</v>
      </c>
    </row>
    <row r="1277" spans="1:7">
      <c r="A1277">
        <v>357</v>
      </c>
      <c r="B1277">
        <v>2014</v>
      </c>
      <c r="C1277" t="s">
        <v>113</v>
      </c>
      <c r="D1277" t="s">
        <v>91</v>
      </c>
      <c r="E1277" t="s">
        <v>362</v>
      </c>
      <c r="F1277" s="267" t="s">
        <v>396</v>
      </c>
      <c r="G1277" s="267" t="s">
        <v>2904</v>
      </c>
    </row>
    <row r="1278" spans="1:7">
      <c r="A1278">
        <v>358</v>
      </c>
      <c r="B1278">
        <v>2014</v>
      </c>
      <c r="C1278" t="s">
        <v>114</v>
      </c>
      <c r="D1278" t="s">
        <v>91</v>
      </c>
      <c r="E1278" t="s">
        <v>362</v>
      </c>
      <c r="F1278" s="267" t="s">
        <v>397</v>
      </c>
      <c r="G1278" s="267" t="s">
        <v>2905</v>
      </c>
    </row>
    <row r="1279" spans="1:7">
      <c r="A1279">
        <v>359</v>
      </c>
      <c r="B1279">
        <v>2014</v>
      </c>
      <c r="C1279" t="s">
        <v>115</v>
      </c>
      <c r="D1279" t="s">
        <v>91</v>
      </c>
      <c r="E1279" t="s">
        <v>362</v>
      </c>
      <c r="F1279" s="267" t="s">
        <v>398</v>
      </c>
      <c r="G1279" s="267" t="s">
        <v>2906</v>
      </c>
    </row>
    <row r="1280" spans="1:7">
      <c r="A1280">
        <v>360</v>
      </c>
      <c r="B1280">
        <v>2014</v>
      </c>
      <c r="C1280" t="s">
        <v>116</v>
      </c>
      <c r="D1280" t="s">
        <v>91</v>
      </c>
      <c r="E1280" t="s">
        <v>362</v>
      </c>
      <c r="F1280" s="267" t="s">
        <v>399</v>
      </c>
      <c r="G1280" s="267" t="s">
        <v>2907</v>
      </c>
    </row>
    <row r="1281" spans="1:7">
      <c r="A1281">
        <v>361</v>
      </c>
      <c r="B1281">
        <v>2014</v>
      </c>
      <c r="C1281" t="s">
        <v>117</v>
      </c>
      <c r="D1281" t="s">
        <v>91</v>
      </c>
      <c r="E1281" t="s">
        <v>362</v>
      </c>
      <c r="F1281" s="267" t="s">
        <v>400</v>
      </c>
      <c r="G1281" s="267" t="s">
        <v>2908</v>
      </c>
    </row>
    <row r="1282" spans="1:7">
      <c r="A1282">
        <v>3</v>
      </c>
      <c r="B1282">
        <v>2014</v>
      </c>
      <c r="C1282" t="s">
        <v>156</v>
      </c>
      <c r="D1282" t="s">
        <v>91</v>
      </c>
      <c r="E1282" t="s">
        <v>362</v>
      </c>
      <c r="F1282" s="267" t="s">
        <v>401</v>
      </c>
      <c r="G1282" s="267" t="s">
        <v>2909</v>
      </c>
    </row>
    <row r="1283" spans="1:7">
      <c r="A1283">
        <v>401</v>
      </c>
      <c r="B1283">
        <v>2014</v>
      </c>
      <c r="C1283" t="s">
        <v>402</v>
      </c>
      <c r="D1283" t="s">
        <v>91</v>
      </c>
      <c r="E1283" t="s">
        <v>362</v>
      </c>
      <c r="F1283" s="267" t="s">
        <v>403</v>
      </c>
      <c r="G1283" s="267" t="s">
        <v>2910</v>
      </c>
    </row>
    <row r="1284" spans="1:7">
      <c r="A1284">
        <v>402</v>
      </c>
      <c r="B1284">
        <v>2014</v>
      </c>
      <c r="C1284" t="s">
        <v>404</v>
      </c>
      <c r="D1284" t="s">
        <v>91</v>
      </c>
      <c r="E1284" t="s">
        <v>362</v>
      </c>
      <c r="F1284" s="267" t="s">
        <v>405</v>
      </c>
      <c r="G1284" s="267" t="s">
        <v>2911</v>
      </c>
    </row>
    <row r="1285" spans="1:7">
      <c r="A1285">
        <v>403</v>
      </c>
      <c r="B1285">
        <v>2014</v>
      </c>
      <c r="C1285" t="s">
        <v>406</v>
      </c>
      <c r="D1285" t="s">
        <v>91</v>
      </c>
      <c r="E1285" t="s">
        <v>362</v>
      </c>
      <c r="F1285" s="267" t="s">
        <v>407</v>
      </c>
      <c r="G1285" s="267" t="s">
        <v>2912</v>
      </c>
    </row>
    <row r="1286" spans="1:7">
      <c r="A1286">
        <v>404</v>
      </c>
      <c r="B1286">
        <v>2014</v>
      </c>
      <c r="C1286" t="s">
        <v>408</v>
      </c>
      <c r="D1286" t="s">
        <v>91</v>
      </c>
      <c r="E1286" t="s">
        <v>362</v>
      </c>
      <c r="F1286" s="267" t="s">
        <v>409</v>
      </c>
      <c r="G1286" s="267" t="s">
        <v>2913</v>
      </c>
    </row>
    <row r="1287" spans="1:7">
      <c r="A1287">
        <v>405</v>
      </c>
      <c r="B1287">
        <v>2014</v>
      </c>
      <c r="C1287" t="s">
        <v>410</v>
      </c>
      <c r="D1287" t="s">
        <v>91</v>
      </c>
      <c r="E1287" t="s">
        <v>362</v>
      </c>
      <c r="F1287" s="267" t="s">
        <v>411</v>
      </c>
      <c r="G1287" s="267" t="s">
        <v>2914</v>
      </c>
    </row>
    <row r="1288" spans="1:7">
      <c r="A1288">
        <v>451</v>
      </c>
      <c r="B1288">
        <v>2014</v>
      </c>
      <c r="C1288" t="s">
        <v>118</v>
      </c>
      <c r="D1288" t="s">
        <v>91</v>
      </c>
      <c r="E1288" t="s">
        <v>362</v>
      </c>
      <c r="F1288" s="267" t="s">
        <v>412</v>
      </c>
      <c r="G1288" s="267" t="s">
        <v>2915</v>
      </c>
    </row>
    <row r="1289" spans="1:7">
      <c r="A1289">
        <v>452</v>
      </c>
      <c r="B1289">
        <v>2014</v>
      </c>
      <c r="C1289" t="s">
        <v>119</v>
      </c>
      <c r="D1289" t="s">
        <v>91</v>
      </c>
      <c r="E1289" t="s">
        <v>362</v>
      </c>
      <c r="F1289" s="267" t="s">
        <v>413</v>
      </c>
      <c r="G1289" s="267" t="s">
        <v>2916</v>
      </c>
    </row>
    <row r="1290" spans="1:7">
      <c r="A1290">
        <v>453</v>
      </c>
      <c r="B1290">
        <v>2014</v>
      </c>
      <c r="C1290" t="s">
        <v>120</v>
      </c>
      <c r="D1290" t="s">
        <v>91</v>
      </c>
      <c r="E1290" t="s">
        <v>362</v>
      </c>
      <c r="F1290" s="267" t="s">
        <v>414</v>
      </c>
      <c r="G1290" s="267" t="s">
        <v>2917</v>
      </c>
    </row>
    <row r="1291" spans="1:7">
      <c r="A1291">
        <v>454</v>
      </c>
      <c r="B1291">
        <v>2014</v>
      </c>
      <c r="C1291" t="s">
        <v>121</v>
      </c>
      <c r="D1291" t="s">
        <v>91</v>
      </c>
      <c r="E1291" t="s">
        <v>362</v>
      </c>
      <c r="F1291" s="267" t="s">
        <v>415</v>
      </c>
      <c r="G1291" s="267" t="s">
        <v>2918</v>
      </c>
    </row>
    <row r="1292" spans="1:7">
      <c r="A1292">
        <v>455</v>
      </c>
      <c r="B1292">
        <v>2014</v>
      </c>
      <c r="C1292" t="s">
        <v>122</v>
      </c>
      <c r="D1292" t="s">
        <v>91</v>
      </c>
      <c r="E1292" t="s">
        <v>362</v>
      </c>
      <c r="F1292" s="267" t="s">
        <v>416</v>
      </c>
      <c r="G1292" s="267" t="s">
        <v>2919</v>
      </c>
    </row>
    <row r="1293" spans="1:7">
      <c r="A1293">
        <v>456</v>
      </c>
      <c r="B1293">
        <v>2014</v>
      </c>
      <c r="C1293" t="s">
        <v>123</v>
      </c>
      <c r="D1293" t="s">
        <v>91</v>
      </c>
      <c r="E1293" t="s">
        <v>362</v>
      </c>
      <c r="F1293" s="267" t="s">
        <v>417</v>
      </c>
      <c r="G1293" s="267" t="s">
        <v>2920</v>
      </c>
    </row>
    <row r="1294" spans="1:7">
      <c r="A1294">
        <v>457</v>
      </c>
      <c r="B1294">
        <v>2014</v>
      </c>
      <c r="C1294" t="s">
        <v>124</v>
      </c>
      <c r="D1294" t="s">
        <v>91</v>
      </c>
      <c r="E1294" t="s">
        <v>362</v>
      </c>
      <c r="F1294" s="267" t="s">
        <v>418</v>
      </c>
      <c r="G1294" s="267" t="s">
        <v>2921</v>
      </c>
    </row>
    <row r="1295" spans="1:7">
      <c r="A1295">
        <v>458</v>
      </c>
      <c r="B1295">
        <v>2014</v>
      </c>
      <c r="C1295" t="s">
        <v>125</v>
      </c>
      <c r="D1295" t="s">
        <v>91</v>
      </c>
      <c r="E1295" t="s">
        <v>362</v>
      </c>
      <c r="F1295" s="267" t="s">
        <v>419</v>
      </c>
      <c r="G1295" s="267" t="s">
        <v>2922</v>
      </c>
    </row>
    <row r="1296" spans="1:7">
      <c r="A1296">
        <v>459</v>
      </c>
      <c r="B1296">
        <v>2014</v>
      </c>
      <c r="C1296" t="s">
        <v>126</v>
      </c>
      <c r="D1296" t="s">
        <v>91</v>
      </c>
      <c r="E1296" t="s">
        <v>362</v>
      </c>
      <c r="F1296" s="267" t="s">
        <v>420</v>
      </c>
      <c r="G1296" s="267" t="s">
        <v>2923</v>
      </c>
    </row>
    <row r="1297" spans="1:7">
      <c r="A1297">
        <v>460</v>
      </c>
      <c r="B1297">
        <v>2014</v>
      </c>
      <c r="C1297" t="s">
        <v>127</v>
      </c>
      <c r="D1297" t="s">
        <v>91</v>
      </c>
      <c r="E1297" t="s">
        <v>362</v>
      </c>
      <c r="F1297" s="267" t="s">
        <v>421</v>
      </c>
      <c r="G1297" s="267" t="s">
        <v>2924</v>
      </c>
    </row>
    <row r="1298" spans="1:7">
      <c r="A1298">
        <v>461</v>
      </c>
      <c r="B1298">
        <v>2014</v>
      </c>
      <c r="C1298" t="s">
        <v>128</v>
      </c>
      <c r="D1298" t="s">
        <v>91</v>
      </c>
      <c r="E1298" t="s">
        <v>362</v>
      </c>
      <c r="F1298" s="267" t="s">
        <v>422</v>
      </c>
      <c r="G1298" s="267" t="s">
        <v>2925</v>
      </c>
    </row>
    <row r="1299" spans="1:7">
      <c r="A1299">
        <v>462</v>
      </c>
      <c r="B1299">
        <v>2014</v>
      </c>
      <c r="C1299" t="s">
        <v>129</v>
      </c>
      <c r="D1299" t="s">
        <v>91</v>
      </c>
      <c r="E1299" t="s">
        <v>362</v>
      </c>
      <c r="F1299" s="267" t="s">
        <v>423</v>
      </c>
      <c r="G1299" s="267" t="s">
        <v>2926</v>
      </c>
    </row>
    <row r="1300" spans="1:7">
      <c r="A1300">
        <v>4</v>
      </c>
      <c r="B1300">
        <v>2014</v>
      </c>
      <c r="C1300" t="s">
        <v>157</v>
      </c>
      <c r="D1300" t="s">
        <v>91</v>
      </c>
      <c r="E1300" t="s">
        <v>362</v>
      </c>
      <c r="F1300" s="267" t="s">
        <v>424</v>
      </c>
      <c r="G1300" s="267" t="s">
        <v>2927</v>
      </c>
    </row>
    <row r="1301" spans="1:7">
      <c r="A1301">
        <v>0</v>
      </c>
      <c r="B1301">
        <v>2014</v>
      </c>
      <c r="C1301" t="s">
        <v>130</v>
      </c>
      <c r="D1301" t="s">
        <v>91</v>
      </c>
      <c r="E1301" t="s">
        <v>362</v>
      </c>
      <c r="F1301" s="267" t="s">
        <v>425</v>
      </c>
      <c r="G1301" s="267" t="s">
        <v>2928</v>
      </c>
    </row>
    <row r="1302" spans="1:7">
      <c r="A1302">
        <v>101</v>
      </c>
      <c r="B1302">
        <v>2014</v>
      </c>
      <c r="C1302" t="s">
        <v>363</v>
      </c>
      <c r="D1302" t="s">
        <v>92</v>
      </c>
      <c r="E1302" t="s">
        <v>362</v>
      </c>
      <c r="F1302" s="267" t="s">
        <v>364</v>
      </c>
      <c r="G1302" s="267" t="s">
        <v>2929</v>
      </c>
    </row>
    <row r="1303" spans="1:7">
      <c r="A1303">
        <v>102</v>
      </c>
      <c r="B1303">
        <v>2014</v>
      </c>
      <c r="C1303" t="s">
        <v>365</v>
      </c>
      <c r="D1303" t="s">
        <v>92</v>
      </c>
      <c r="E1303" t="s">
        <v>362</v>
      </c>
      <c r="F1303" s="267" t="s">
        <v>366</v>
      </c>
      <c r="G1303" s="267" t="s">
        <v>2930</v>
      </c>
    </row>
    <row r="1304" spans="1:7">
      <c r="A1304">
        <v>103</v>
      </c>
      <c r="B1304">
        <v>2014</v>
      </c>
      <c r="C1304" t="s">
        <v>367</v>
      </c>
      <c r="D1304" t="s">
        <v>92</v>
      </c>
      <c r="E1304" t="s">
        <v>362</v>
      </c>
      <c r="F1304" s="267" t="s">
        <v>368</v>
      </c>
      <c r="G1304" s="267" t="s">
        <v>2931</v>
      </c>
    </row>
    <row r="1305" spans="1:7">
      <c r="A1305">
        <v>151</v>
      </c>
      <c r="B1305">
        <v>2014</v>
      </c>
      <c r="C1305" t="s">
        <v>94</v>
      </c>
      <c r="D1305" t="s">
        <v>92</v>
      </c>
      <c r="E1305" t="s">
        <v>362</v>
      </c>
      <c r="F1305" s="267" t="s">
        <v>369</v>
      </c>
      <c r="G1305" s="267" t="s">
        <v>2932</v>
      </c>
    </row>
    <row r="1306" spans="1:7">
      <c r="A1306">
        <v>153</v>
      </c>
      <c r="B1306">
        <v>2014</v>
      </c>
      <c r="C1306" t="s">
        <v>96</v>
      </c>
      <c r="D1306" t="s">
        <v>92</v>
      </c>
      <c r="E1306" t="s">
        <v>362</v>
      </c>
      <c r="F1306" s="267" t="s">
        <v>370</v>
      </c>
      <c r="G1306" s="267" t="s">
        <v>2933</v>
      </c>
    </row>
    <row r="1307" spans="1:7">
      <c r="A1307">
        <v>154</v>
      </c>
      <c r="B1307">
        <v>2014</v>
      </c>
      <c r="C1307" t="s">
        <v>97</v>
      </c>
      <c r="D1307" t="s">
        <v>92</v>
      </c>
      <c r="E1307" t="s">
        <v>362</v>
      </c>
      <c r="F1307" s="267" t="s">
        <v>371</v>
      </c>
      <c r="G1307" s="267" t="s">
        <v>2934</v>
      </c>
    </row>
    <row r="1308" spans="1:7">
      <c r="A1308">
        <v>155</v>
      </c>
      <c r="B1308">
        <v>2014</v>
      </c>
      <c r="C1308" t="s">
        <v>98</v>
      </c>
      <c r="D1308" t="s">
        <v>92</v>
      </c>
      <c r="E1308" t="s">
        <v>362</v>
      </c>
      <c r="F1308" s="267" t="s">
        <v>372</v>
      </c>
      <c r="G1308" s="267" t="s">
        <v>2935</v>
      </c>
    </row>
    <row r="1309" spans="1:7">
      <c r="A1309">
        <v>157</v>
      </c>
      <c r="B1309">
        <v>2014</v>
      </c>
      <c r="C1309" t="s">
        <v>99</v>
      </c>
      <c r="D1309" t="s">
        <v>92</v>
      </c>
      <c r="E1309" t="s">
        <v>362</v>
      </c>
      <c r="F1309" s="267" t="s">
        <v>373</v>
      </c>
      <c r="G1309" s="267" t="s">
        <v>2936</v>
      </c>
    </row>
    <row r="1310" spans="1:7">
      <c r="A1310">
        <v>158</v>
      </c>
      <c r="B1310">
        <v>2014</v>
      </c>
      <c r="C1310" t="s">
        <v>100</v>
      </c>
      <c r="D1310" t="s">
        <v>92</v>
      </c>
      <c r="E1310" t="s">
        <v>362</v>
      </c>
      <c r="F1310" s="267" t="s">
        <v>374</v>
      </c>
      <c r="G1310" s="267" t="s">
        <v>2937</v>
      </c>
    </row>
    <row r="1311" spans="1:7">
      <c r="A1311">
        <v>159</v>
      </c>
      <c r="B1311">
        <v>2014</v>
      </c>
      <c r="C1311" t="s">
        <v>95</v>
      </c>
      <c r="D1311" t="s">
        <v>92</v>
      </c>
      <c r="E1311" t="s">
        <v>362</v>
      </c>
      <c r="F1311" s="267" t="s">
        <v>375</v>
      </c>
      <c r="G1311" s="267" t="s">
        <v>2938</v>
      </c>
    </row>
    <row r="1312" spans="1:7">
      <c r="A1312">
        <v>1</v>
      </c>
      <c r="B1312">
        <v>2014</v>
      </c>
      <c r="C1312" t="s">
        <v>154</v>
      </c>
      <c r="D1312" t="s">
        <v>92</v>
      </c>
      <c r="E1312" t="s">
        <v>362</v>
      </c>
      <c r="F1312" s="267" t="s">
        <v>376</v>
      </c>
      <c r="G1312" s="267" t="s">
        <v>2939</v>
      </c>
    </row>
    <row r="1313" spans="1:7">
      <c r="A1313">
        <v>241</v>
      </c>
      <c r="B1313">
        <v>2014</v>
      </c>
      <c r="C1313" t="s">
        <v>377</v>
      </c>
      <c r="D1313" t="s">
        <v>92</v>
      </c>
      <c r="E1313" t="s">
        <v>362</v>
      </c>
      <c r="F1313" s="267" t="s">
        <v>378</v>
      </c>
      <c r="G1313" s="267" t="s">
        <v>2940</v>
      </c>
    </row>
    <row r="1314" spans="1:7">
      <c r="A1314">
        <v>241001</v>
      </c>
      <c r="B1314">
        <v>2014</v>
      </c>
      <c r="C1314" t="s">
        <v>379</v>
      </c>
      <c r="D1314" t="s">
        <v>92</v>
      </c>
      <c r="E1314" t="s">
        <v>362</v>
      </c>
      <c r="F1314" s="267" t="s">
        <v>380</v>
      </c>
      <c r="G1314" s="267" t="s">
        <v>2941</v>
      </c>
    </row>
    <row r="1315" spans="1:7">
      <c r="A1315">
        <v>241999</v>
      </c>
      <c r="B1315">
        <v>2014</v>
      </c>
      <c r="C1315" t="s">
        <v>381</v>
      </c>
      <c r="D1315" t="s">
        <v>92</v>
      </c>
      <c r="E1315" t="s">
        <v>362</v>
      </c>
      <c r="F1315" s="267" t="s">
        <v>382</v>
      </c>
      <c r="G1315" s="267" t="s">
        <v>2942</v>
      </c>
    </row>
    <row r="1316" spans="1:7">
      <c r="A1316">
        <v>251</v>
      </c>
      <c r="B1316">
        <v>2014</v>
      </c>
      <c r="C1316" t="s">
        <v>101</v>
      </c>
      <c r="D1316" t="s">
        <v>92</v>
      </c>
      <c r="E1316" t="s">
        <v>362</v>
      </c>
      <c r="F1316" s="267" t="s">
        <v>383</v>
      </c>
      <c r="G1316" s="267" t="s">
        <v>2943</v>
      </c>
    </row>
    <row r="1317" spans="1:7">
      <c r="A1317">
        <v>252</v>
      </c>
      <c r="B1317">
        <v>2014</v>
      </c>
      <c r="C1317" t="s">
        <v>102</v>
      </c>
      <c r="D1317" t="s">
        <v>92</v>
      </c>
      <c r="E1317" t="s">
        <v>362</v>
      </c>
      <c r="F1317" s="267" t="s">
        <v>384</v>
      </c>
      <c r="G1317" s="267" t="s">
        <v>2944</v>
      </c>
    </row>
    <row r="1318" spans="1:7">
      <c r="A1318">
        <v>254</v>
      </c>
      <c r="B1318">
        <v>2014</v>
      </c>
      <c r="C1318" t="s">
        <v>103</v>
      </c>
      <c r="D1318" t="s">
        <v>92</v>
      </c>
      <c r="E1318" t="s">
        <v>362</v>
      </c>
      <c r="F1318" s="267" t="s">
        <v>385</v>
      </c>
      <c r="G1318" s="267" t="s">
        <v>2945</v>
      </c>
    </row>
    <row r="1319" spans="1:7">
      <c r="A1319">
        <v>255</v>
      </c>
      <c r="B1319">
        <v>2014</v>
      </c>
      <c r="C1319" t="s">
        <v>104</v>
      </c>
      <c r="D1319" t="s">
        <v>92</v>
      </c>
      <c r="E1319" t="s">
        <v>362</v>
      </c>
      <c r="F1319" s="267" t="s">
        <v>386</v>
      </c>
      <c r="G1319" s="267" t="s">
        <v>2946</v>
      </c>
    </row>
    <row r="1320" spans="1:7">
      <c r="A1320">
        <v>256</v>
      </c>
      <c r="B1320">
        <v>2014</v>
      </c>
      <c r="C1320" t="s">
        <v>105</v>
      </c>
      <c r="D1320" t="s">
        <v>92</v>
      </c>
      <c r="E1320" t="s">
        <v>362</v>
      </c>
      <c r="F1320" s="267" t="s">
        <v>387</v>
      </c>
      <c r="G1320" s="267" t="s">
        <v>2947</v>
      </c>
    </row>
    <row r="1321" spans="1:7">
      <c r="A1321">
        <v>257</v>
      </c>
      <c r="B1321">
        <v>2014</v>
      </c>
      <c r="C1321" t="s">
        <v>106</v>
      </c>
      <c r="D1321" t="s">
        <v>92</v>
      </c>
      <c r="E1321" t="s">
        <v>362</v>
      </c>
      <c r="F1321" s="267" t="s">
        <v>388</v>
      </c>
      <c r="G1321" s="267" t="s">
        <v>2948</v>
      </c>
    </row>
    <row r="1322" spans="1:7">
      <c r="A1322">
        <v>2</v>
      </c>
      <c r="B1322">
        <v>2014</v>
      </c>
      <c r="C1322" t="s">
        <v>155</v>
      </c>
      <c r="D1322" t="s">
        <v>92</v>
      </c>
      <c r="E1322" t="s">
        <v>362</v>
      </c>
      <c r="F1322" s="267" t="s">
        <v>389</v>
      </c>
      <c r="G1322" s="267" t="s">
        <v>2949</v>
      </c>
    </row>
    <row r="1323" spans="1:7">
      <c r="A1323">
        <v>351</v>
      </c>
      <c r="B1323">
        <v>2014</v>
      </c>
      <c r="C1323" t="s">
        <v>107</v>
      </c>
      <c r="D1323" t="s">
        <v>92</v>
      </c>
      <c r="E1323" t="s">
        <v>362</v>
      </c>
      <c r="F1323" s="267" t="s">
        <v>390</v>
      </c>
      <c r="G1323" s="267" t="s">
        <v>2950</v>
      </c>
    </row>
    <row r="1324" spans="1:7">
      <c r="A1324">
        <v>352</v>
      </c>
      <c r="B1324">
        <v>2014</v>
      </c>
      <c r="C1324" t="s">
        <v>108</v>
      </c>
      <c r="D1324" t="s">
        <v>92</v>
      </c>
      <c r="E1324" t="s">
        <v>362</v>
      </c>
      <c r="F1324" s="267" t="s">
        <v>391</v>
      </c>
      <c r="G1324" s="267" t="s">
        <v>2951</v>
      </c>
    </row>
    <row r="1325" spans="1:7">
      <c r="A1325">
        <v>353</v>
      </c>
      <c r="B1325">
        <v>2014</v>
      </c>
      <c r="C1325" t="s">
        <v>109</v>
      </c>
      <c r="D1325" t="s">
        <v>92</v>
      </c>
      <c r="E1325" t="s">
        <v>362</v>
      </c>
      <c r="F1325" s="267" t="s">
        <v>392</v>
      </c>
      <c r="G1325" s="267" t="s">
        <v>2952</v>
      </c>
    </row>
    <row r="1326" spans="1:7">
      <c r="A1326">
        <v>354</v>
      </c>
      <c r="B1326">
        <v>2014</v>
      </c>
      <c r="C1326" t="s">
        <v>110</v>
      </c>
      <c r="D1326" t="s">
        <v>92</v>
      </c>
      <c r="E1326" t="s">
        <v>362</v>
      </c>
      <c r="F1326" s="267" t="s">
        <v>393</v>
      </c>
      <c r="G1326" s="267" t="s">
        <v>2953</v>
      </c>
    </row>
    <row r="1327" spans="1:7">
      <c r="A1327">
        <v>355</v>
      </c>
      <c r="B1327">
        <v>2014</v>
      </c>
      <c r="C1327" t="s">
        <v>111</v>
      </c>
      <c r="D1327" t="s">
        <v>92</v>
      </c>
      <c r="E1327" t="s">
        <v>362</v>
      </c>
      <c r="F1327" s="267" t="s">
        <v>394</v>
      </c>
      <c r="G1327" s="267" t="s">
        <v>2954</v>
      </c>
    </row>
    <row r="1328" spans="1:7">
      <c r="A1328">
        <v>356</v>
      </c>
      <c r="B1328">
        <v>2014</v>
      </c>
      <c r="C1328" t="s">
        <v>112</v>
      </c>
      <c r="D1328" t="s">
        <v>92</v>
      </c>
      <c r="E1328" t="s">
        <v>362</v>
      </c>
      <c r="F1328" s="267" t="s">
        <v>395</v>
      </c>
      <c r="G1328" s="267" t="s">
        <v>2955</v>
      </c>
    </row>
    <row r="1329" spans="1:7">
      <c r="A1329">
        <v>357</v>
      </c>
      <c r="B1329">
        <v>2014</v>
      </c>
      <c r="C1329" t="s">
        <v>113</v>
      </c>
      <c r="D1329" t="s">
        <v>92</v>
      </c>
      <c r="E1329" t="s">
        <v>362</v>
      </c>
      <c r="F1329" s="267" t="s">
        <v>396</v>
      </c>
      <c r="G1329" s="267" t="s">
        <v>2956</v>
      </c>
    </row>
    <row r="1330" spans="1:7">
      <c r="A1330">
        <v>358</v>
      </c>
      <c r="B1330">
        <v>2014</v>
      </c>
      <c r="C1330" t="s">
        <v>114</v>
      </c>
      <c r="D1330" t="s">
        <v>92</v>
      </c>
      <c r="E1330" t="s">
        <v>362</v>
      </c>
      <c r="F1330" s="267" t="s">
        <v>397</v>
      </c>
      <c r="G1330" s="267" t="s">
        <v>2957</v>
      </c>
    </row>
    <row r="1331" spans="1:7">
      <c r="A1331">
        <v>359</v>
      </c>
      <c r="B1331">
        <v>2014</v>
      </c>
      <c r="C1331" t="s">
        <v>115</v>
      </c>
      <c r="D1331" t="s">
        <v>92</v>
      </c>
      <c r="E1331" t="s">
        <v>362</v>
      </c>
      <c r="F1331" s="267" t="s">
        <v>398</v>
      </c>
      <c r="G1331" s="267" t="s">
        <v>2958</v>
      </c>
    </row>
    <row r="1332" spans="1:7">
      <c r="A1332">
        <v>360</v>
      </c>
      <c r="B1332">
        <v>2014</v>
      </c>
      <c r="C1332" t="s">
        <v>116</v>
      </c>
      <c r="D1332" t="s">
        <v>92</v>
      </c>
      <c r="E1332" t="s">
        <v>362</v>
      </c>
      <c r="F1332" s="267" t="s">
        <v>399</v>
      </c>
      <c r="G1332" s="267" t="s">
        <v>2959</v>
      </c>
    </row>
    <row r="1333" spans="1:7">
      <c r="A1333">
        <v>361</v>
      </c>
      <c r="B1333">
        <v>2014</v>
      </c>
      <c r="C1333" t="s">
        <v>117</v>
      </c>
      <c r="D1333" t="s">
        <v>92</v>
      </c>
      <c r="E1333" t="s">
        <v>362</v>
      </c>
      <c r="F1333" s="267" t="s">
        <v>400</v>
      </c>
      <c r="G1333" s="267" t="s">
        <v>2960</v>
      </c>
    </row>
    <row r="1334" spans="1:7">
      <c r="A1334">
        <v>3</v>
      </c>
      <c r="B1334">
        <v>2014</v>
      </c>
      <c r="C1334" t="s">
        <v>156</v>
      </c>
      <c r="D1334" t="s">
        <v>92</v>
      </c>
      <c r="E1334" t="s">
        <v>362</v>
      </c>
      <c r="F1334" s="267" t="s">
        <v>401</v>
      </c>
      <c r="G1334" s="267" t="s">
        <v>2961</v>
      </c>
    </row>
    <row r="1335" spans="1:7">
      <c r="A1335">
        <v>401</v>
      </c>
      <c r="B1335">
        <v>2014</v>
      </c>
      <c r="C1335" t="s">
        <v>402</v>
      </c>
      <c r="D1335" t="s">
        <v>92</v>
      </c>
      <c r="E1335" t="s">
        <v>362</v>
      </c>
      <c r="F1335" s="267" t="s">
        <v>403</v>
      </c>
      <c r="G1335" s="267" t="s">
        <v>2271</v>
      </c>
    </row>
    <row r="1336" spans="1:7">
      <c r="A1336">
        <v>402</v>
      </c>
      <c r="B1336">
        <v>2014</v>
      </c>
      <c r="C1336" t="s">
        <v>404</v>
      </c>
      <c r="D1336" t="s">
        <v>92</v>
      </c>
      <c r="E1336" t="s">
        <v>362</v>
      </c>
      <c r="F1336" s="267" t="s">
        <v>405</v>
      </c>
      <c r="G1336" s="267" t="s">
        <v>2962</v>
      </c>
    </row>
    <row r="1337" spans="1:7">
      <c r="A1337">
        <v>403</v>
      </c>
      <c r="B1337">
        <v>2014</v>
      </c>
      <c r="C1337" t="s">
        <v>406</v>
      </c>
      <c r="D1337" t="s">
        <v>92</v>
      </c>
      <c r="E1337" t="s">
        <v>362</v>
      </c>
      <c r="F1337" s="267" t="s">
        <v>407</v>
      </c>
      <c r="G1337" s="267" t="s">
        <v>2963</v>
      </c>
    </row>
    <row r="1338" spans="1:7">
      <c r="A1338">
        <v>404</v>
      </c>
      <c r="B1338">
        <v>2014</v>
      </c>
      <c r="C1338" t="s">
        <v>408</v>
      </c>
      <c r="D1338" t="s">
        <v>92</v>
      </c>
      <c r="E1338" t="s">
        <v>362</v>
      </c>
      <c r="F1338" s="267" t="s">
        <v>409</v>
      </c>
      <c r="G1338" s="267" t="s">
        <v>2964</v>
      </c>
    </row>
    <row r="1339" spans="1:7">
      <c r="A1339">
        <v>405</v>
      </c>
      <c r="B1339">
        <v>2014</v>
      </c>
      <c r="C1339" t="s">
        <v>410</v>
      </c>
      <c r="D1339" t="s">
        <v>92</v>
      </c>
      <c r="E1339" t="s">
        <v>362</v>
      </c>
      <c r="F1339" s="267" t="s">
        <v>411</v>
      </c>
      <c r="G1339" s="267" t="s">
        <v>2965</v>
      </c>
    </row>
    <row r="1340" spans="1:7">
      <c r="A1340">
        <v>451</v>
      </c>
      <c r="B1340">
        <v>2014</v>
      </c>
      <c r="C1340" t="s">
        <v>118</v>
      </c>
      <c r="D1340" t="s">
        <v>92</v>
      </c>
      <c r="E1340" t="s">
        <v>362</v>
      </c>
      <c r="F1340" s="267" t="s">
        <v>412</v>
      </c>
      <c r="G1340" s="267" t="s">
        <v>2966</v>
      </c>
    </row>
    <row r="1341" spans="1:7">
      <c r="A1341">
        <v>452</v>
      </c>
      <c r="B1341">
        <v>2014</v>
      </c>
      <c r="C1341" t="s">
        <v>119</v>
      </c>
      <c r="D1341" t="s">
        <v>92</v>
      </c>
      <c r="E1341" t="s">
        <v>362</v>
      </c>
      <c r="F1341" s="267" t="s">
        <v>413</v>
      </c>
      <c r="G1341" s="267" t="s">
        <v>2967</v>
      </c>
    </row>
    <row r="1342" spans="1:7">
      <c r="A1342">
        <v>453</v>
      </c>
      <c r="B1342">
        <v>2014</v>
      </c>
      <c r="C1342" t="s">
        <v>120</v>
      </c>
      <c r="D1342" t="s">
        <v>92</v>
      </c>
      <c r="E1342" t="s">
        <v>362</v>
      </c>
      <c r="F1342" s="267" t="s">
        <v>414</v>
      </c>
      <c r="G1342" s="267" t="s">
        <v>2968</v>
      </c>
    </row>
    <row r="1343" spans="1:7">
      <c r="A1343">
        <v>454</v>
      </c>
      <c r="B1343">
        <v>2014</v>
      </c>
      <c r="C1343" t="s">
        <v>121</v>
      </c>
      <c r="D1343" t="s">
        <v>92</v>
      </c>
      <c r="E1343" t="s">
        <v>362</v>
      </c>
      <c r="F1343" s="267" t="s">
        <v>415</v>
      </c>
      <c r="G1343" s="267" t="s">
        <v>2969</v>
      </c>
    </row>
    <row r="1344" spans="1:7">
      <c r="A1344">
        <v>455</v>
      </c>
      <c r="B1344">
        <v>2014</v>
      </c>
      <c r="C1344" t="s">
        <v>122</v>
      </c>
      <c r="D1344" t="s">
        <v>92</v>
      </c>
      <c r="E1344" t="s">
        <v>362</v>
      </c>
      <c r="F1344" s="267" t="s">
        <v>416</v>
      </c>
      <c r="G1344" s="267" t="s">
        <v>2970</v>
      </c>
    </row>
    <row r="1345" spans="1:7">
      <c r="A1345">
        <v>456</v>
      </c>
      <c r="B1345">
        <v>2014</v>
      </c>
      <c r="C1345" t="s">
        <v>123</v>
      </c>
      <c r="D1345" t="s">
        <v>92</v>
      </c>
      <c r="E1345" t="s">
        <v>362</v>
      </c>
      <c r="F1345" s="267" t="s">
        <v>417</v>
      </c>
      <c r="G1345" s="267" t="s">
        <v>2971</v>
      </c>
    </row>
    <row r="1346" spans="1:7">
      <c r="A1346">
        <v>457</v>
      </c>
      <c r="B1346">
        <v>2014</v>
      </c>
      <c r="C1346" t="s">
        <v>124</v>
      </c>
      <c r="D1346" t="s">
        <v>92</v>
      </c>
      <c r="E1346" t="s">
        <v>362</v>
      </c>
      <c r="F1346" s="267" t="s">
        <v>418</v>
      </c>
      <c r="G1346" s="267" t="s">
        <v>2972</v>
      </c>
    </row>
    <row r="1347" spans="1:7">
      <c r="A1347">
        <v>458</v>
      </c>
      <c r="B1347">
        <v>2014</v>
      </c>
      <c r="C1347" t="s">
        <v>125</v>
      </c>
      <c r="D1347" t="s">
        <v>92</v>
      </c>
      <c r="E1347" t="s">
        <v>362</v>
      </c>
      <c r="F1347" s="267" t="s">
        <v>419</v>
      </c>
      <c r="G1347" s="267" t="s">
        <v>2973</v>
      </c>
    </row>
    <row r="1348" spans="1:7">
      <c r="A1348">
        <v>459</v>
      </c>
      <c r="B1348">
        <v>2014</v>
      </c>
      <c r="C1348" t="s">
        <v>126</v>
      </c>
      <c r="D1348" t="s">
        <v>92</v>
      </c>
      <c r="E1348" t="s">
        <v>362</v>
      </c>
      <c r="F1348" s="267" t="s">
        <v>420</v>
      </c>
      <c r="G1348" s="267" t="s">
        <v>2974</v>
      </c>
    </row>
    <row r="1349" spans="1:7">
      <c r="A1349">
        <v>460</v>
      </c>
      <c r="B1349">
        <v>2014</v>
      </c>
      <c r="C1349" t="s">
        <v>127</v>
      </c>
      <c r="D1349" t="s">
        <v>92</v>
      </c>
      <c r="E1349" t="s">
        <v>362</v>
      </c>
      <c r="F1349" s="267" t="s">
        <v>421</v>
      </c>
      <c r="G1349" s="267" t="s">
        <v>2975</v>
      </c>
    </row>
    <row r="1350" spans="1:7">
      <c r="A1350">
        <v>461</v>
      </c>
      <c r="B1350">
        <v>2014</v>
      </c>
      <c r="C1350" t="s">
        <v>128</v>
      </c>
      <c r="D1350" t="s">
        <v>92</v>
      </c>
      <c r="E1350" t="s">
        <v>362</v>
      </c>
      <c r="F1350" s="267" t="s">
        <v>422</v>
      </c>
      <c r="G1350" s="267" t="s">
        <v>2976</v>
      </c>
    </row>
    <row r="1351" spans="1:7">
      <c r="A1351">
        <v>462</v>
      </c>
      <c r="B1351">
        <v>2014</v>
      </c>
      <c r="C1351" t="s">
        <v>129</v>
      </c>
      <c r="D1351" t="s">
        <v>92</v>
      </c>
      <c r="E1351" t="s">
        <v>362</v>
      </c>
      <c r="F1351" s="267" t="s">
        <v>423</v>
      </c>
      <c r="G1351" s="267" t="s">
        <v>2977</v>
      </c>
    </row>
    <row r="1352" spans="1:7">
      <c r="A1352">
        <v>4</v>
      </c>
      <c r="B1352">
        <v>2014</v>
      </c>
      <c r="C1352" t="s">
        <v>157</v>
      </c>
      <c r="D1352" t="s">
        <v>92</v>
      </c>
      <c r="E1352" t="s">
        <v>362</v>
      </c>
      <c r="F1352" s="267" t="s">
        <v>424</v>
      </c>
      <c r="G1352" s="267" t="s">
        <v>2978</v>
      </c>
    </row>
    <row r="1353" spans="1:7">
      <c r="A1353">
        <v>0</v>
      </c>
      <c r="B1353">
        <v>2014</v>
      </c>
      <c r="C1353" t="s">
        <v>130</v>
      </c>
      <c r="D1353" t="s">
        <v>92</v>
      </c>
      <c r="E1353" t="s">
        <v>362</v>
      </c>
      <c r="F1353" s="267" t="s">
        <v>425</v>
      </c>
      <c r="G1353" s="267" t="s">
        <v>2979</v>
      </c>
    </row>
    <row r="1354" spans="1:7">
      <c r="A1354">
        <v>101</v>
      </c>
      <c r="B1354">
        <v>2014</v>
      </c>
      <c r="C1354" t="s">
        <v>363</v>
      </c>
      <c r="D1354" t="s">
        <v>93</v>
      </c>
      <c r="E1354" t="s">
        <v>362</v>
      </c>
      <c r="F1354" s="267" t="s">
        <v>364</v>
      </c>
      <c r="G1354" s="267" t="s">
        <v>2980</v>
      </c>
    </row>
    <row r="1355" spans="1:7">
      <c r="A1355">
        <v>102</v>
      </c>
      <c r="B1355">
        <v>2014</v>
      </c>
      <c r="C1355" t="s">
        <v>365</v>
      </c>
      <c r="D1355" t="s">
        <v>93</v>
      </c>
      <c r="E1355" t="s">
        <v>362</v>
      </c>
      <c r="F1355" s="267" t="s">
        <v>366</v>
      </c>
      <c r="G1355" s="267" t="s">
        <v>2981</v>
      </c>
    </row>
    <row r="1356" spans="1:7">
      <c r="A1356">
        <v>103</v>
      </c>
      <c r="B1356">
        <v>2014</v>
      </c>
      <c r="C1356" t="s">
        <v>367</v>
      </c>
      <c r="D1356" t="s">
        <v>93</v>
      </c>
      <c r="E1356" t="s">
        <v>362</v>
      </c>
      <c r="F1356" s="267" t="s">
        <v>368</v>
      </c>
      <c r="G1356" s="267" t="s">
        <v>2982</v>
      </c>
    </row>
    <row r="1357" spans="1:7">
      <c r="A1357">
        <v>151</v>
      </c>
      <c r="B1357">
        <v>2014</v>
      </c>
      <c r="C1357" t="s">
        <v>94</v>
      </c>
      <c r="D1357" t="s">
        <v>93</v>
      </c>
      <c r="E1357" t="s">
        <v>362</v>
      </c>
      <c r="F1357" s="267" t="s">
        <v>369</v>
      </c>
      <c r="G1357" s="267" t="s">
        <v>2983</v>
      </c>
    </row>
    <row r="1358" spans="1:7">
      <c r="A1358">
        <v>153</v>
      </c>
      <c r="B1358">
        <v>2014</v>
      </c>
      <c r="C1358" t="s">
        <v>96</v>
      </c>
      <c r="D1358" t="s">
        <v>93</v>
      </c>
      <c r="E1358" t="s">
        <v>362</v>
      </c>
      <c r="F1358" s="267" t="s">
        <v>370</v>
      </c>
      <c r="G1358" s="267" t="s">
        <v>2984</v>
      </c>
    </row>
    <row r="1359" spans="1:7">
      <c r="A1359">
        <v>154</v>
      </c>
      <c r="B1359">
        <v>2014</v>
      </c>
      <c r="C1359" t="s">
        <v>97</v>
      </c>
      <c r="D1359" t="s">
        <v>93</v>
      </c>
      <c r="E1359" t="s">
        <v>362</v>
      </c>
      <c r="F1359" s="267" t="s">
        <v>371</v>
      </c>
      <c r="G1359" s="267" t="s">
        <v>2985</v>
      </c>
    </row>
    <row r="1360" spans="1:7">
      <c r="A1360">
        <v>155</v>
      </c>
      <c r="B1360">
        <v>2014</v>
      </c>
      <c r="C1360" t="s">
        <v>98</v>
      </c>
      <c r="D1360" t="s">
        <v>93</v>
      </c>
      <c r="E1360" t="s">
        <v>362</v>
      </c>
      <c r="F1360" s="267" t="s">
        <v>372</v>
      </c>
      <c r="G1360" s="267" t="s">
        <v>2986</v>
      </c>
    </row>
    <row r="1361" spans="1:7">
      <c r="A1361">
        <v>157</v>
      </c>
      <c r="B1361">
        <v>2014</v>
      </c>
      <c r="C1361" t="s">
        <v>99</v>
      </c>
      <c r="D1361" t="s">
        <v>93</v>
      </c>
      <c r="E1361" t="s">
        <v>362</v>
      </c>
      <c r="F1361" s="267" t="s">
        <v>373</v>
      </c>
      <c r="G1361" s="267" t="s">
        <v>2987</v>
      </c>
    </row>
    <row r="1362" spans="1:7">
      <c r="A1362">
        <v>158</v>
      </c>
      <c r="B1362">
        <v>2014</v>
      </c>
      <c r="C1362" t="s">
        <v>100</v>
      </c>
      <c r="D1362" t="s">
        <v>93</v>
      </c>
      <c r="E1362" t="s">
        <v>362</v>
      </c>
      <c r="F1362" s="267" t="s">
        <v>374</v>
      </c>
      <c r="G1362" s="267" t="s">
        <v>2988</v>
      </c>
    </row>
    <row r="1363" spans="1:7">
      <c r="A1363">
        <v>159</v>
      </c>
      <c r="B1363">
        <v>2014</v>
      </c>
      <c r="C1363" t="s">
        <v>95</v>
      </c>
      <c r="D1363" t="s">
        <v>93</v>
      </c>
      <c r="E1363" t="s">
        <v>362</v>
      </c>
      <c r="F1363" s="267" t="s">
        <v>375</v>
      </c>
      <c r="G1363" s="267" t="s">
        <v>2989</v>
      </c>
    </row>
    <row r="1364" spans="1:7">
      <c r="A1364">
        <v>1</v>
      </c>
      <c r="B1364">
        <v>2014</v>
      </c>
      <c r="C1364" t="s">
        <v>154</v>
      </c>
      <c r="D1364" t="s">
        <v>93</v>
      </c>
      <c r="E1364" t="s">
        <v>362</v>
      </c>
      <c r="F1364" s="267" t="s">
        <v>376</v>
      </c>
      <c r="G1364" s="267" t="s">
        <v>2990</v>
      </c>
    </row>
    <row r="1365" spans="1:7">
      <c r="A1365">
        <v>241</v>
      </c>
      <c r="B1365">
        <v>2014</v>
      </c>
      <c r="C1365" t="s">
        <v>377</v>
      </c>
      <c r="D1365" t="s">
        <v>93</v>
      </c>
      <c r="E1365" t="s">
        <v>362</v>
      </c>
      <c r="F1365" s="267" t="s">
        <v>378</v>
      </c>
      <c r="G1365" s="267" t="s">
        <v>2991</v>
      </c>
    </row>
    <row r="1366" spans="1:7">
      <c r="A1366">
        <v>241001</v>
      </c>
      <c r="B1366">
        <v>2014</v>
      </c>
      <c r="C1366" t="s">
        <v>379</v>
      </c>
      <c r="D1366" t="s">
        <v>93</v>
      </c>
      <c r="E1366" t="s">
        <v>362</v>
      </c>
      <c r="F1366" s="267" t="s">
        <v>380</v>
      </c>
      <c r="G1366" s="267" t="s">
        <v>2992</v>
      </c>
    </row>
    <row r="1367" spans="1:7">
      <c r="A1367">
        <v>241999</v>
      </c>
      <c r="B1367">
        <v>2014</v>
      </c>
      <c r="C1367" t="s">
        <v>381</v>
      </c>
      <c r="D1367" t="s">
        <v>93</v>
      </c>
      <c r="E1367" t="s">
        <v>362</v>
      </c>
      <c r="F1367" s="267" t="s">
        <v>382</v>
      </c>
      <c r="G1367" s="267" t="s">
        <v>2993</v>
      </c>
    </row>
    <row r="1368" spans="1:7">
      <c r="A1368">
        <v>251</v>
      </c>
      <c r="B1368">
        <v>2014</v>
      </c>
      <c r="C1368" t="s">
        <v>101</v>
      </c>
      <c r="D1368" t="s">
        <v>93</v>
      </c>
      <c r="E1368" t="s">
        <v>362</v>
      </c>
      <c r="F1368" s="267" t="s">
        <v>383</v>
      </c>
      <c r="G1368" s="267" t="s">
        <v>2994</v>
      </c>
    </row>
    <row r="1369" spans="1:7">
      <c r="A1369">
        <v>252</v>
      </c>
      <c r="B1369">
        <v>2014</v>
      </c>
      <c r="C1369" t="s">
        <v>102</v>
      </c>
      <c r="D1369" t="s">
        <v>93</v>
      </c>
      <c r="E1369" t="s">
        <v>362</v>
      </c>
      <c r="F1369" s="267" t="s">
        <v>384</v>
      </c>
      <c r="G1369" s="267" t="s">
        <v>2995</v>
      </c>
    </row>
    <row r="1370" spans="1:7">
      <c r="A1370">
        <v>254</v>
      </c>
      <c r="B1370">
        <v>2014</v>
      </c>
      <c r="C1370" t="s">
        <v>103</v>
      </c>
      <c r="D1370" t="s">
        <v>93</v>
      </c>
      <c r="E1370" t="s">
        <v>362</v>
      </c>
      <c r="F1370" s="267" t="s">
        <v>385</v>
      </c>
      <c r="G1370" s="267" t="s">
        <v>2996</v>
      </c>
    </row>
    <row r="1371" spans="1:7">
      <c r="A1371">
        <v>255</v>
      </c>
      <c r="B1371">
        <v>2014</v>
      </c>
      <c r="C1371" t="s">
        <v>104</v>
      </c>
      <c r="D1371" t="s">
        <v>93</v>
      </c>
      <c r="E1371" t="s">
        <v>362</v>
      </c>
      <c r="F1371" s="267" t="s">
        <v>386</v>
      </c>
      <c r="G1371" s="267" t="s">
        <v>2997</v>
      </c>
    </row>
    <row r="1372" spans="1:7">
      <c r="A1372">
        <v>256</v>
      </c>
      <c r="B1372">
        <v>2014</v>
      </c>
      <c r="C1372" t="s">
        <v>105</v>
      </c>
      <c r="D1372" t="s">
        <v>93</v>
      </c>
      <c r="E1372" t="s">
        <v>362</v>
      </c>
      <c r="F1372" s="267" t="s">
        <v>387</v>
      </c>
      <c r="G1372" s="267" t="s">
        <v>2998</v>
      </c>
    </row>
    <row r="1373" spans="1:7">
      <c r="A1373">
        <v>257</v>
      </c>
      <c r="B1373">
        <v>2014</v>
      </c>
      <c r="C1373" t="s">
        <v>106</v>
      </c>
      <c r="D1373" t="s">
        <v>93</v>
      </c>
      <c r="E1373" t="s">
        <v>362</v>
      </c>
      <c r="F1373" s="267" t="s">
        <v>388</v>
      </c>
      <c r="G1373" s="267" t="s">
        <v>2999</v>
      </c>
    </row>
    <row r="1374" spans="1:7">
      <c r="A1374">
        <v>2</v>
      </c>
      <c r="B1374">
        <v>2014</v>
      </c>
      <c r="C1374" t="s">
        <v>155</v>
      </c>
      <c r="D1374" t="s">
        <v>93</v>
      </c>
      <c r="E1374" t="s">
        <v>362</v>
      </c>
      <c r="F1374" s="267" t="s">
        <v>389</v>
      </c>
      <c r="G1374" s="267" t="s">
        <v>3000</v>
      </c>
    </row>
    <row r="1375" spans="1:7">
      <c r="A1375">
        <v>351</v>
      </c>
      <c r="B1375">
        <v>2014</v>
      </c>
      <c r="C1375" t="s">
        <v>107</v>
      </c>
      <c r="D1375" t="s">
        <v>93</v>
      </c>
      <c r="E1375" t="s">
        <v>362</v>
      </c>
      <c r="F1375" s="267" t="s">
        <v>390</v>
      </c>
      <c r="G1375" s="267" t="s">
        <v>3001</v>
      </c>
    </row>
    <row r="1376" spans="1:7">
      <c r="A1376">
        <v>352</v>
      </c>
      <c r="B1376">
        <v>2014</v>
      </c>
      <c r="C1376" t="s">
        <v>108</v>
      </c>
      <c r="D1376" t="s">
        <v>93</v>
      </c>
      <c r="E1376" t="s">
        <v>362</v>
      </c>
      <c r="F1376" s="267" t="s">
        <v>391</v>
      </c>
      <c r="G1376" s="267" t="s">
        <v>3002</v>
      </c>
    </row>
    <row r="1377" spans="1:7">
      <c r="A1377">
        <v>353</v>
      </c>
      <c r="B1377">
        <v>2014</v>
      </c>
      <c r="C1377" t="s">
        <v>109</v>
      </c>
      <c r="D1377" t="s">
        <v>93</v>
      </c>
      <c r="E1377" t="s">
        <v>362</v>
      </c>
      <c r="F1377" s="267" t="s">
        <v>392</v>
      </c>
      <c r="G1377" s="267" t="s">
        <v>3003</v>
      </c>
    </row>
    <row r="1378" spans="1:7">
      <c r="A1378">
        <v>354</v>
      </c>
      <c r="B1378">
        <v>2014</v>
      </c>
      <c r="C1378" t="s">
        <v>110</v>
      </c>
      <c r="D1378" t="s">
        <v>93</v>
      </c>
      <c r="E1378" t="s">
        <v>362</v>
      </c>
      <c r="F1378" s="267" t="s">
        <v>393</v>
      </c>
      <c r="G1378" s="267" t="s">
        <v>3004</v>
      </c>
    </row>
    <row r="1379" spans="1:7">
      <c r="A1379">
        <v>355</v>
      </c>
      <c r="B1379">
        <v>2014</v>
      </c>
      <c r="C1379" t="s">
        <v>111</v>
      </c>
      <c r="D1379" t="s">
        <v>93</v>
      </c>
      <c r="E1379" t="s">
        <v>362</v>
      </c>
      <c r="F1379" s="267" t="s">
        <v>394</v>
      </c>
      <c r="G1379" s="267" t="s">
        <v>3005</v>
      </c>
    </row>
    <row r="1380" spans="1:7">
      <c r="A1380">
        <v>356</v>
      </c>
      <c r="B1380">
        <v>2014</v>
      </c>
      <c r="C1380" t="s">
        <v>112</v>
      </c>
      <c r="D1380" t="s">
        <v>93</v>
      </c>
      <c r="E1380" t="s">
        <v>362</v>
      </c>
      <c r="F1380" s="267" t="s">
        <v>395</v>
      </c>
      <c r="G1380" s="267" t="s">
        <v>3006</v>
      </c>
    </row>
    <row r="1381" spans="1:7">
      <c r="A1381">
        <v>357</v>
      </c>
      <c r="B1381">
        <v>2014</v>
      </c>
      <c r="C1381" t="s">
        <v>113</v>
      </c>
      <c r="D1381" t="s">
        <v>93</v>
      </c>
      <c r="E1381" t="s">
        <v>362</v>
      </c>
      <c r="F1381" s="267" t="s">
        <v>396</v>
      </c>
      <c r="G1381" s="267" t="s">
        <v>3007</v>
      </c>
    </row>
    <row r="1382" spans="1:7">
      <c r="A1382">
        <v>358</v>
      </c>
      <c r="B1382">
        <v>2014</v>
      </c>
      <c r="C1382" t="s">
        <v>114</v>
      </c>
      <c r="D1382" t="s">
        <v>93</v>
      </c>
      <c r="E1382" t="s">
        <v>362</v>
      </c>
      <c r="F1382" s="267" t="s">
        <v>397</v>
      </c>
      <c r="G1382" s="267" t="s">
        <v>3008</v>
      </c>
    </row>
    <row r="1383" spans="1:7">
      <c r="A1383">
        <v>359</v>
      </c>
      <c r="B1383">
        <v>2014</v>
      </c>
      <c r="C1383" t="s">
        <v>115</v>
      </c>
      <c r="D1383" t="s">
        <v>93</v>
      </c>
      <c r="E1383" t="s">
        <v>362</v>
      </c>
      <c r="F1383" s="267" t="s">
        <v>398</v>
      </c>
      <c r="G1383" s="267" t="s">
        <v>3009</v>
      </c>
    </row>
    <row r="1384" spans="1:7">
      <c r="A1384">
        <v>360</v>
      </c>
      <c r="B1384">
        <v>2014</v>
      </c>
      <c r="C1384" t="s">
        <v>116</v>
      </c>
      <c r="D1384" t="s">
        <v>93</v>
      </c>
      <c r="E1384" t="s">
        <v>362</v>
      </c>
      <c r="F1384" s="267" t="s">
        <v>399</v>
      </c>
      <c r="G1384" s="267" t="s">
        <v>3010</v>
      </c>
    </row>
    <row r="1385" spans="1:7">
      <c r="A1385">
        <v>361</v>
      </c>
      <c r="B1385">
        <v>2014</v>
      </c>
      <c r="C1385" t="s">
        <v>117</v>
      </c>
      <c r="D1385" t="s">
        <v>93</v>
      </c>
      <c r="E1385" t="s">
        <v>362</v>
      </c>
      <c r="F1385" s="267" t="s">
        <v>400</v>
      </c>
      <c r="G1385" s="267" t="s">
        <v>3011</v>
      </c>
    </row>
    <row r="1386" spans="1:7">
      <c r="A1386">
        <v>3</v>
      </c>
      <c r="B1386">
        <v>2014</v>
      </c>
      <c r="C1386" t="s">
        <v>156</v>
      </c>
      <c r="D1386" t="s">
        <v>93</v>
      </c>
      <c r="E1386" t="s">
        <v>362</v>
      </c>
      <c r="F1386" s="267" t="s">
        <v>401</v>
      </c>
      <c r="G1386" s="267" t="s">
        <v>3012</v>
      </c>
    </row>
    <row r="1387" spans="1:7">
      <c r="A1387">
        <v>401</v>
      </c>
      <c r="B1387">
        <v>2014</v>
      </c>
      <c r="C1387" t="s">
        <v>402</v>
      </c>
      <c r="D1387" t="s">
        <v>93</v>
      </c>
      <c r="E1387" t="s">
        <v>362</v>
      </c>
      <c r="F1387" s="267" t="s">
        <v>403</v>
      </c>
      <c r="G1387" s="267" t="s">
        <v>3013</v>
      </c>
    </row>
    <row r="1388" spans="1:7">
      <c r="A1388">
        <v>402</v>
      </c>
      <c r="B1388">
        <v>2014</v>
      </c>
      <c r="C1388" t="s">
        <v>404</v>
      </c>
      <c r="D1388" t="s">
        <v>93</v>
      </c>
      <c r="E1388" t="s">
        <v>362</v>
      </c>
      <c r="F1388" s="267" t="s">
        <v>405</v>
      </c>
      <c r="G1388" s="267" t="s">
        <v>3014</v>
      </c>
    </row>
    <row r="1389" spans="1:7">
      <c r="A1389">
        <v>403</v>
      </c>
      <c r="B1389">
        <v>2014</v>
      </c>
      <c r="C1389" t="s">
        <v>406</v>
      </c>
      <c r="D1389" t="s">
        <v>93</v>
      </c>
      <c r="E1389" t="s">
        <v>362</v>
      </c>
      <c r="F1389" s="267" t="s">
        <v>407</v>
      </c>
      <c r="G1389" s="267" t="s">
        <v>3015</v>
      </c>
    </row>
    <row r="1390" spans="1:7">
      <c r="A1390">
        <v>404</v>
      </c>
      <c r="B1390">
        <v>2014</v>
      </c>
      <c r="C1390" t="s">
        <v>408</v>
      </c>
      <c r="D1390" t="s">
        <v>93</v>
      </c>
      <c r="E1390" t="s">
        <v>362</v>
      </c>
      <c r="F1390" s="267" t="s">
        <v>409</v>
      </c>
      <c r="G1390" s="267" t="s">
        <v>3016</v>
      </c>
    </row>
    <row r="1391" spans="1:7">
      <c r="A1391">
        <v>405</v>
      </c>
      <c r="B1391">
        <v>2014</v>
      </c>
      <c r="C1391" t="s">
        <v>410</v>
      </c>
      <c r="D1391" t="s">
        <v>93</v>
      </c>
      <c r="E1391" t="s">
        <v>362</v>
      </c>
      <c r="F1391" s="267" t="s">
        <v>411</v>
      </c>
      <c r="G1391" s="267" t="s">
        <v>3017</v>
      </c>
    </row>
    <row r="1392" spans="1:7">
      <c r="A1392">
        <v>451</v>
      </c>
      <c r="B1392">
        <v>2014</v>
      </c>
      <c r="C1392" t="s">
        <v>118</v>
      </c>
      <c r="D1392" t="s">
        <v>93</v>
      </c>
      <c r="E1392" t="s">
        <v>362</v>
      </c>
      <c r="F1392" s="267" t="s">
        <v>412</v>
      </c>
      <c r="G1392" s="267" t="s">
        <v>3018</v>
      </c>
    </row>
    <row r="1393" spans="1:7">
      <c r="A1393">
        <v>452</v>
      </c>
      <c r="B1393">
        <v>2014</v>
      </c>
      <c r="C1393" t="s">
        <v>119</v>
      </c>
      <c r="D1393" t="s">
        <v>93</v>
      </c>
      <c r="E1393" t="s">
        <v>362</v>
      </c>
      <c r="F1393" s="267" t="s">
        <v>413</v>
      </c>
      <c r="G1393" s="267" t="s">
        <v>3019</v>
      </c>
    </row>
    <row r="1394" spans="1:7">
      <c r="A1394">
        <v>453</v>
      </c>
      <c r="B1394">
        <v>2014</v>
      </c>
      <c r="C1394" t="s">
        <v>120</v>
      </c>
      <c r="D1394" t="s">
        <v>93</v>
      </c>
      <c r="E1394" t="s">
        <v>362</v>
      </c>
      <c r="F1394" s="267" t="s">
        <v>414</v>
      </c>
      <c r="G1394" s="267" t="s">
        <v>3020</v>
      </c>
    </row>
    <row r="1395" spans="1:7">
      <c r="A1395">
        <v>454</v>
      </c>
      <c r="B1395">
        <v>2014</v>
      </c>
      <c r="C1395" t="s">
        <v>121</v>
      </c>
      <c r="D1395" t="s">
        <v>93</v>
      </c>
      <c r="E1395" t="s">
        <v>362</v>
      </c>
      <c r="F1395" s="267" t="s">
        <v>415</v>
      </c>
      <c r="G1395" s="267" t="s">
        <v>3021</v>
      </c>
    </row>
    <row r="1396" spans="1:7">
      <c r="A1396">
        <v>455</v>
      </c>
      <c r="B1396">
        <v>2014</v>
      </c>
      <c r="C1396" t="s">
        <v>122</v>
      </c>
      <c r="D1396" t="s">
        <v>93</v>
      </c>
      <c r="E1396" t="s">
        <v>362</v>
      </c>
      <c r="F1396" s="267" t="s">
        <v>416</v>
      </c>
      <c r="G1396" s="267" t="s">
        <v>3022</v>
      </c>
    </row>
    <row r="1397" spans="1:7">
      <c r="A1397">
        <v>456</v>
      </c>
      <c r="B1397">
        <v>2014</v>
      </c>
      <c r="C1397" t="s">
        <v>123</v>
      </c>
      <c r="D1397" t="s">
        <v>93</v>
      </c>
      <c r="E1397" t="s">
        <v>362</v>
      </c>
      <c r="F1397" s="267" t="s">
        <v>417</v>
      </c>
      <c r="G1397" s="267" t="s">
        <v>3023</v>
      </c>
    </row>
    <row r="1398" spans="1:7">
      <c r="A1398">
        <v>457</v>
      </c>
      <c r="B1398">
        <v>2014</v>
      </c>
      <c r="C1398" t="s">
        <v>124</v>
      </c>
      <c r="D1398" t="s">
        <v>93</v>
      </c>
      <c r="E1398" t="s">
        <v>362</v>
      </c>
      <c r="F1398" s="267" t="s">
        <v>418</v>
      </c>
      <c r="G1398" s="267" t="s">
        <v>3024</v>
      </c>
    </row>
    <row r="1399" spans="1:7">
      <c r="A1399">
        <v>458</v>
      </c>
      <c r="B1399">
        <v>2014</v>
      </c>
      <c r="C1399" t="s">
        <v>125</v>
      </c>
      <c r="D1399" t="s">
        <v>93</v>
      </c>
      <c r="E1399" t="s">
        <v>362</v>
      </c>
      <c r="F1399" s="267" t="s">
        <v>419</v>
      </c>
      <c r="G1399" s="267" t="s">
        <v>3025</v>
      </c>
    </row>
    <row r="1400" spans="1:7">
      <c r="A1400">
        <v>459</v>
      </c>
      <c r="B1400">
        <v>2014</v>
      </c>
      <c r="C1400" t="s">
        <v>126</v>
      </c>
      <c r="D1400" t="s">
        <v>93</v>
      </c>
      <c r="E1400" t="s">
        <v>362</v>
      </c>
      <c r="F1400" s="267" t="s">
        <v>420</v>
      </c>
      <c r="G1400" s="267" t="s">
        <v>3026</v>
      </c>
    </row>
    <row r="1401" spans="1:7">
      <c r="A1401">
        <v>460</v>
      </c>
      <c r="B1401">
        <v>2014</v>
      </c>
      <c r="C1401" t="s">
        <v>127</v>
      </c>
      <c r="D1401" t="s">
        <v>93</v>
      </c>
      <c r="E1401" t="s">
        <v>362</v>
      </c>
      <c r="F1401" s="267" t="s">
        <v>421</v>
      </c>
      <c r="G1401" s="267" t="s">
        <v>3027</v>
      </c>
    </row>
    <row r="1402" spans="1:7">
      <c r="A1402">
        <v>461</v>
      </c>
      <c r="B1402">
        <v>2014</v>
      </c>
      <c r="C1402" t="s">
        <v>128</v>
      </c>
      <c r="D1402" t="s">
        <v>93</v>
      </c>
      <c r="E1402" t="s">
        <v>362</v>
      </c>
      <c r="F1402" s="267" t="s">
        <v>422</v>
      </c>
      <c r="G1402" s="267" t="s">
        <v>3028</v>
      </c>
    </row>
    <row r="1403" spans="1:7">
      <c r="A1403">
        <v>462</v>
      </c>
      <c r="B1403">
        <v>2014</v>
      </c>
      <c r="C1403" t="s">
        <v>129</v>
      </c>
      <c r="D1403" t="s">
        <v>93</v>
      </c>
      <c r="E1403" t="s">
        <v>362</v>
      </c>
      <c r="F1403" s="267" t="s">
        <v>423</v>
      </c>
      <c r="G1403" s="267" t="s">
        <v>3029</v>
      </c>
    </row>
    <row r="1404" spans="1:7">
      <c r="A1404">
        <v>4</v>
      </c>
      <c r="B1404">
        <v>2014</v>
      </c>
      <c r="C1404" t="s">
        <v>157</v>
      </c>
      <c r="D1404" t="s">
        <v>93</v>
      </c>
      <c r="E1404" t="s">
        <v>362</v>
      </c>
      <c r="F1404" s="267" t="s">
        <v>424</v>
      </c>
      <c r="G1404" s="267" t="s">
        <v>3030</v>
      </c>
    </row>
    <row r="1405" spans="1:7">
      <c r="A1405">
        <v>0</v>
      </c>
      <c r="B1405">
        <v>2014</v>
      </c>
      <c r="C1405" t="s">
        <v>130</v>
      </c>
      <c r="D1405" t="s">
        <v>93</v>
      </c>
      <c r="E1405" t="s">
        <v>362</v>
      </c>
      <c r="F1405" s="267" t="s">
        <v>425</v>
      </c>
      <c r="G1405" s="267" t="s">
        <v>3031</v>
      </c>
    </row>
    <row r="1406" spans="1:7">
      <c r="A1406">
        <v>101</v>
      </c>
      <c r="B1406">
        <v>2014</v>
      </c>
      <c r="C1406" t="s">
        <v>363</v>
      </c>
      <c r="D1406" t="s">
        <v>131</v>
      </c>
      <c r="E1406" t="s">
        <v>362</v>
      </c>
      <c r="F1406" s="267" t="s">
        <v>364</v>
      </c>
      <c r="G1406" s="267" t="s">
        <v>3032</v>
      </c>
    </row>
    <row r="1407" spans="1:7">
      <c r="A1407">
        <v>102</v>
      </c>
      <c r="B1407">
        <v>2014</v>
      </c>
      <c r="C1407" t="s">
        <v>365</v>
      </c>
      <c r="D1407" t="s">
        <v>131</v>
      </c>
      <c r="E1407" t="s">
        <v>362</v>
      </c>
      <c r="F1407" s="267" t="s">
        <v>366</v>
      </c>
      <c r="G1407" s="267" t="s">
        <v>3033</v>
      </c>
    </row>
    <row r="1408" spans="1:7">
      <c r="A1408">
        <v>103</v>
      </c>
      <c r="B1408">
        <v>2014</v>
      </c>
      <c r="C1408" t="s">
        <v>367</v>
      </c>
      <c r="D1408" t="s">
        <v>131</v>
      </c>
      <c r="E1408" t="s">
        <v>362</v>
      </c>
      <c r="F1408" s="267" t="s">
        <v>368</v>
      </c>
      <c r="G1408" s="267" t="s">
        <v>3034</v>
      </c>
    </row>
    <row r="1409" spans="1:7">
      <c r="A1409">
        <v>151</v>
      </c>
      <c r="B1409">
        <v>2014</v>
      </c>
      <c r="C1409" t="s">
        <v>94</v>
      </c>
      <c r="D1409" t="s">
        <v>131</v>
      </c>
      <c r="E1409" t="s">
        <v>362</v>
      </c>
      <c r="F1409" s="267" t="s">
        <v>369</v>
      </c>
      <c r="G1409" s="267" t="s">
        <v>3035</v>
      </c>
    </row>
    <row r="1410" spans="1:7">
      <c r="A1410">
        <v>153</v>
      </c>
      <c r="B1410">
        <v>2014</v>
      </c>
      <c r="C1410" t="s">
        <v>96</v>
      </c>
      <c r="D1410" t="s">
        <v>131</v>
      </c>
      <c r="E1410" t="s">
        <v>362</v>
      </c>
      <c r="F1410" s="267" t="s">
        <v>370</v>
      </c>
      <c r="G1410" s="267" t="s">
        <v>3036</v>
      </c>
    </row>
    <row r="1411" spans="1:7">
      <c r="A1411">
        <v>154</v>
      </c>
      <c r="B1411">
        <v>2014</v>
      </c>
      <c r="C1411" t="s">
        <v>97</v>
      </c>
      <c r="D1411" t="s">
        <v>131</v>
      </c>
      <c r="E1411" t="s">
        <v>362</v>
      </c>
      <c r="F1411" s="267" t="s">
        <v>371</v>
      </c>
      <c r="G1411" s="267" t="s">
        <v>3037</v>
      </c>
    </row>
    <row r="1412" spans="1:7">
      <c r="A1412">
        <v>155</v>
      </c>
      <c r="B1412">
        <v>2014</v>
      </c>
      <c r="C1412" t="s">
        <v>98</v>
      </c>
      <c r="D1412" t="s">
        <v>131</v>
      </c>
      <c r="E1412" t="s">
        <v>362</v>
      </c>
      <c r="F1412" s="267" t="s">
        <v>372</v>
      </c>
      <c r="G1412" s="267" t="s">
        <v>3038</v>
      </c>
    </row>
    <row r="1413" spans="1:7">
      <c r="A1413">
        <v>157</v>
      </c>
      <c r="B1413">
        <v>2014</v>
      </c>
      <c r="C1413" t="s">
        <v>99</v>
      </c>
      <c r="D1413" t="s">
        <v>131</v>
      </c>
      <c r="E1413" t="s">
        <v>362</v>
      </c>
      <c r="F1413" s="267" t="s">
        <v>373</v>
      </c>
      <c r="G1413" s="267" t="s">
        <v>3039</v>
      </c>
    </row>
    <row r="1414" spans="1:7">
      <c r="A1414">
        <v>158</v>
      </c>
      <c r="B1414">
        <v>2014</v>
      </c>
      <c r="C1414" t="s">
        <v>100</v>
      </c>
      <c r="D1414" t="s">
        <v>131</v>
      </c>
      <c r="E1414" t="s">
        <v>362</v>
      </c>
      <c r="F1414" s="267" t="s">
        <v>374</v>
      </c>
      <c r="G1414" s="267" t="s">
        <v>3040</v>
      </c>
    </row>
    <row r="1415" spans="1:7">
      <c r="A1415">
        <v>159</v>
      </c>
      <c r="B1415">
        <v>2014</v>
      </c>
      <c r="C1415" t="s">
        <v>95</v>
      </c>
      <c r="D1415" t="s">
        <v>131</v>
      </c>
      <c r="E1415" t="s">
        <v>362</v>
      </c>
      <c r="F1415" s="267" t="s">
        <v>375</v>
      </c>
      <c r="G1415" s="267" t="s">
        <v>3041</v>
      </c>
    </row>
    <row r="1416" spans="1:7">
      <c r="A1416">
        <v>1</v>
      </c>
      <c r="B1416">
        <v>2014</v>
      </c>
      <c r="C1416" t="s">
        <v>154</v>
      </c>
      <c r="D1416" t="s">
        <v>131</v>
      </c>
      <c r="E1416" t="s">
        <v>362</v>
      </c>
      <c r="F1416" s="267" t="s">
        <v>376</v>
      </c>
      <c r="G1416" s="267" t="s">
        <v>3042</v>
      </c>
    </row>
    <row r="1417" spans="1:7">
      <c r="A1417">
        <v>241</v>
      </c>
      <c r="B1417">
        <v>2014</v>
      </c>
      <c r="C1417" t="s">
        <v>377</v>
      </c>
      <c r="D1417" t="s">
        <v>131</v>
      </c>
      <c r="E1417" t="s">
        <v>362</v>
      </c>
      <c r="F1417" s="267" t="s">
        <v>378</v>
      </c>
      <c r="G1417" s="267" t="s">
        <v>3043</v>
      </c>
    </row>
    <row r="1418" spans="1:7">
      <c r="A1418">
        <v>241001</v>
      </c>
      <c r="B1418">
        <v>2014</v>
      </c>
      <c r="C1418" t="s">
        <v>379</v>
      </c>
      <c r="D1418" t="s">
        <v>131</v>
      </c>
      <c r="E1418" t="s">
        <v>362</v>
      </c>
      <c r="F1418" s="267" t="s">
        <v>380</v>
      </c>
      <c r="G1418" s="267" t="s">
        <v>3044</v>
      </c>
    </row>
    <row r="1419" spans="1:7">
      <c r="A1419">
        <v>241999</v>
      </c>
      <c r="B1419">
        <v>2014</v>
      </c>
      <c r="C1419" t="s">
        <v>381</v>
      </c>
      <c r="D1419" t="s">
        <v>131</v>
      </c>
      <c r="E1419" t="s">
        <v>362</v>
      </c>
      <c r="F1419" s="267" t="s">
        <v>382</v>
      </c>
      <c r="G1419" s="267" t="s">
        <v>3045</v>
      </c>
    </row>
    <row r="1420" spans="1:7">
      <c r="A1420">
        <v>251</v>
      </c>
      <c r="B1420">
        <v>2014</v>
      </c>
      <c r="C1420" t="s">
        <v>101</v>
      </c>
      <c r="D1420" t="s">
        <v>131</v>
      </c>
      <c r="E1420" t="s">
        <v>362</v>
      </c>
      <c r="F1420" s="267" t="s">
        <v>383</v>
      </c>
      <c r="G1420" s="267" t="s">
        <v>3046</v>
      </c>
    </row>
    <row r="1421" spans="1:7">
      <c r="A1421">
        <v>252</v>
      </c>
      <c r="B1421">
        <v>2014</v>
      </c>
      <c r="C1421" t="s">
        <v>102</v>
      </c>
      <c r="D1421" t="s">
        <v>131</v>
      </c>
      <c r="E1421" t="s">
        <v>362</v>
      </c>
      <c r="F1421" s="267" t="s">
        <v>384</v>
      </c>
      <c r="G1421" s="267" t="s">
        <v>3047</v>
      </c>
    </row>
    <row r="1422" spans="1:7">
      <c r="A1422">
        <v>254</v>
      </c>
      <c r="B1422">
        <v>2014</v>
      </c>
      <c r="C1422" t="s">
        <v>103</v>
      </c>
      <c r="D1422" t="s">
        <v>131</v>
      </c>
      <c r="E1422" t="s">
        <v>362</v>
      </c>
      <c r="F1422" s="267" t="s">
        <v>385</v>
      </c>
      <c r="G1422" s="267" t="s">
        <v>3048</v>
      </c>
    </row>
    <row r="1423" spans="1:7">
      <c r="A1423">
        <v>255</v>
      </c>
      <c r="B1423">
        <v>2014</v>
      </c>
      <c r="C1423" t="s">
        <v>104</v>
      </c>
      <c r="D1423" t="s">
        <v>131</v>
      </c>
      <c r="E1423" t="s">
        <v>362</v>
      </c>
      <c r="F1423" s="267" t="s">
        <v>386</v>
      </c>
      <c r="G1423" s="267" t="s">
        <v>3049</v>
      </c>
    </row>
    <row r="1424" spans="1:7">
      <c r="A1424">
        <v>256</v>
      </c>
      <c r="B1424">
        <v>2014</v>
      </c>
      <c r="C1424" t="s">
        <v>105</v>
      </c>
      <c r="D1424" t="s">
        <v>131</v>
      </c>
      <c r="E1424" t="s">
        <v>362</v>
      </c>
      <c r="F1424" s="267" t="s">
        <v>387</v>
      </c>
      <c r="G1424" s="267" t="s">
        <v>3050</v>
      </c>
    </row>
    <row r="1425" spans="1:7">
      <c r="A1425">
        <v>257</v>
      </c>
      <c r="B1425">
        <v>2014</v>
      </c>
      <c r="C1425" t="s">
        <v>106</v>
      </c>
      <c r="D1425" t="s">
        <v>131</v>
      </c>
      <c r="E1425" t="s">
        <v>362</v>
      </c>
      <c r="F1425" s="267" t="s">
        <v>388</v>
      </c>
      <c r="G1425" s="267" t="s">
        <v>3051</v>
      </c>
    </row>
    <row r="1426" spans="1:7">
      <c r="A1426">
        <v>2</v>
      </c>
      <c r="B1426">
        <v>2014</v>
      </c>
      <c r="C1426" t="s">
        <v>155</v>
      </c>
      <c r="D1426" t="s">
        <v>131</v>
      </c>
      <c r="E1426" t="s">
        <v>362</v>
      </c>
      <c r="F1426" s="267" t="s">
        <v>389</v>
      </c>
      <c r="G1426" s="267" t="s">
        <v>3052</v>
      </c>
    </row>
    <row r="1427" spans="1:7">
      <c r="A1427">
        <v>351</v>
      </c>
      <c r="B1427">
        <v>2014</v>
      </c>
      <c r="C1427" t="s">
        <v>107</v>
      </c>
      <c r="D1427" t="s">
        <v>131</v>
      </c>
      <c r="E1427" t="s">
        <v>362</v>
      </c>
      <c r="F1427" s="267" t="s">
        <v>390</v>
      </c>
      <c r="G1427" s="267" t="s">
        <v>3053</v>
      </c>
    </row>
    <row r="1428" spans="1:7">
      <c r="A1428">
        <v>352</v>
      </c>
      <c r="B1428">
        <v>2014</v>
      </c>
      <c r="C1428" t="s">
        <v>108</v>
      </c>
      <c r="D1428" t="s">
        <v>131</v>
      </c>
      <c r="E1428" t="s">
        <v>362</v>
      </c>
      <c r="F1428" s="267" t="s">
        <v>391</v>
      </c>
      <c r="G1428" s="267" t="s">
        <v>3054</v>
      </c>
    </row>
    <row r="1429" spans="1:7">
      <c r="A1429">
        <v>353</v>
      </c>
      <c r="B1429">
        <v>2014</v>
      </c>
      <c r="C1429" t="s">
        <v>109</v>
      </c>
      <c r="D1429" t="s">
        <v>131</v>
      </c>
      <c r="E1429" t="s">
        <v>362</v>
      </c>
      <c r="F1429" s="267" t="s">
        <v>392</v>
      </c>
      <c r="G1429" s="267" t="s">
        <v>3055</v>
      </c>
    </row>
    <row r="1430" spans="1:7">
      <c r="A1430">
        <v>354</v>
      </c>
      <c r="B1430">
        <v>2014</v>
      </c>
      <c r="C1430" t="s">
        <v>110</v>
      </c>
      <c r="D1430" t="s">
        <v>131</v>
      </c>
      <c r="E1430" t="s">
        <v>362</v>
      </c>
      <c r="F1430" s="267" t="s">
        <v>393</v>
      </c>
      <c r="G1430" s="267" t="s">
        <v>3056</v>
      </c>
    </row>
    <row r="1431" spans="1:7">
      <c r="A1431">
        <v>355</v>
      </c>
      <c r="B1431">
        <v>2014</v>
      </c>
      <c r="C1431" t="s">
        <v>111</v>
      </c>
      <c r="D1431" t="s">
        <v>131</v>
      </c>
      <c r="E1431" t="s">
        <v>362</v>
      </c>
      <c r="F1431" s="267" t="s">
        <v>394</v>
      </c>
      <c r="G1431" s="267" t="s">
        <v>3057</v>
      </c>
    </row>
    <row r="1432" spans="1:7">
      <c r="A1432">
        <v>356</v>
      </c>
      <c r="B1432">
        <v>2014</v>
      </c>
      <c r="C1432" t="s">
        <v>112</v>
      </c>
      <c r="D1432" t="s">
        <v>131</v>
      </c>
      <c r="E1432" t="s">
        <v>362</v>
      </c>
      <c r="F1432" s="267" t="s">
        <v>395</v>
      </c>
      <c r="G1432" s="267" t="s">
        <v>3058</v>
      </c>
    </row>
    <row r="1433" spans="1:7">
      <c r="A1433">
        <v>357</v>
      </c>
      <c r="B1433">
        <v>2014</v>
      </c>
      <c r="C1433" t="s">
        <v>113</v>
      </c>
      <c r="D1433" t="s">
        <v>131</v>
      </c>
      <c r="E1433" t="s">
        <v>362</v>
      </c>
      <c r="F1433" s="267" t="s">
        <v>396</v>
      </c>
      <c r="G1433" s="267" t="s">
        <v>3059</v>
      </c>
    </row>
    <row r="1434" spans="1:7">
      <c r="A1434">
        <v>358</v>
      </c>
      <c r="B1434">
        <v>2014</v>
      </c>
      <c r="C1434" t="s">
        <v>114</v>
      </c>
      <c r="D1434" t="s">
        <v>131</v>
      </c>
      <c r="E1434" t="s">
        <v>362</v>
      </c>
      <c r="F1434" s="267" t="s">
        <v>397</v>
      </c>
      <c r="G1434" s="267" t="s">
        <v>3060</v>
      </c>
    </row>
    <row r="1435" spans="1:7">
      <c r="A1435">
        <v>359</v>
      </c>
      <c r="B1435">
        <v>2014</v>
      </c>
      <c r="C1435" t="s">
        <v>115</v>
      </c>
      <c r="D1435" t="s">
        <v>131</v>
      </c>
      <c r="E1435" t="s">
        <v>362</v>
      </c>
      <c r="F1435" s="267" t="s">
        <v>398</v>
      </c>
      <c r="G1435" s="267" t="s">
        <v>3061</v>
      </c>
    </row>
    <row r="1436" spans="1:7">
      <c r="A1436">
        <v>360</v>
      </c>
      <c r="B1436">
        <v>2014</v>
      </c>
      <c r="C1436" t="s">
        <v>116</v>
      </c>
      <c r="D1436" t="s">
        <v>131</v>
      </c>
      <c r="E1436" t="s">
        <v>362</v>
      </c>
      <c r="F1436" s="267" t="s">
        <v>399</v>
      </c>
      <c r="G1436" s="267" t="s">
        <v>3062</v>
      </c>
    </row>
    <row r="1437" spans="1:7">
      <c r="A1437">
        <v>361</v>
      </c>
      <c r="B1437">
        <v>2014</v>
      </c>
      <c r="C1437" t="s">
        <v>117</v>
      </c>
      <c r="D1437" t="s">
        <v>131</v>
      </c>
      <c r="E1437" t="s">
        <v>362</v>
      </c>
      <c r="F1437" s="267" t="s">
        <v>400</v>
      </c>
      <c r="G1437" s="267" t="s">
        <v>3063</v>
      </c>
    </row>
    <row r="1438" spans="1:7">
      <c r="A1438">
        <v>3</v>
      </c>
      <c r="B1438">
        <v>2014</v>
      </c>
      <c r="C1438" t="s">
        <v>156</v>
      </c>
      <c r="D1438" t="s">
        <v>131</v>
      </c>
      <c r="E1438" t="s">
        <v>362</v>
      </c>
      <c r="F1438" s="267" t="s">
        <v>401</v>
      </c>
      <c r="G1438" s="267" t="s">
        <v>3064</v>
      </c>
    </row>
    <row r="1439" spans="1:7">
      <c r="A1439">
        <v>401</v>
      </c>
      <c r="B1439">
        <v>2014</v>
      </c>
      <c r="C1439" t="s">
        <v>402</v>
      </c>
      <c r="D1439" t="s">
        <v>131</v>
      </c>
      <c r="E1439" t="s">
        <v>362</v>
      </c>
      <c r="F1439" s="267" t="s">
        <v>403</v>
      </c>
      <c r="G1439" s="267" t="s">
        <v>3065</v>
      </c>
    </row>
    <row r="1440" spans="1:7">
      <c r="A1440">
        <v>402</v>
      </c>
      <c r="B1440">
        <v>2014</v>
      </c>
      <c r="C1440" t="s">
        <v>404</v>
      </c>
      <c r="D1440" t="s">
        <v>131</v>
      </c>
      <c r="E1440" t="s">
        <v>362</v>
      </c>
      <c r="F1440" s="267" t="s">
        <v>405</v>
      </c>
      <c r="G1440" s="267" t="s">
        <v>3066</v>
      </c>
    </row>
    <row r="1441" spans="1:7">
      <c r="A1441">
        <v>403</v>
      </c>
      <c r="B1441">
        <v>2014</v>
      </c>
      <c r="C1441" t="s">
        <v>406</v>
      </c>
      <c r="D1441" t="s">
        <v>131</v>
      </c>
      <c r="E1441" t="s">
        <v>362</v>
      </c>
      <c r="F1441" s="267" t="s">
        <v>407</v>
      </c>
      <c r="G1441" s="267" t="s">
        <v>3067</v>
      </c>
    </row>
    <row r="1442" spans="1:7">
      <c r="A1442">
        <v>404</v>
      </c>
      <c r="B1442">
        <v>2014</v>
      </c>
      <c r="C1442" t="s">
        <v>408</v>
      </c>
      <c r="D1442" t="s">
        <v>131</v>
      </c>
      <c r="E1442" t="s">
        <v>362</v>
      </c>
      <c r="F1442" s="267" t="s">
        <v>409</v>
      </c>
      <c r="G1442" s="267" t="s">
        <v>3068</v>
      </c>
    </row>
    <row r="1443" spans="1:7">
      <c r="A1443">
        <v>405</v>
      </c>
      <c r="B1443">
        <v>2014</v>
      </c>
      <c r="C1443" t="s">
        <v>410</v>
      </c>
      <c r="D1443" t="s">
        <v>131</v>
      </c>
      <c r="E1443" t="s">
        <v>362</v>
      </c>
      <c r="F1443" s="267" t="s">
        <v>411</v>
      </c>
      <c r="G1443" s="267" t="s">
        <v>3069</v>
      </c>
    </row>
    <row r="1444" spans="1:7">
      <c r="A1444">
        <v>451</v>
      </c>
      <c r="B1444">
        <v>2014</v>
      </c>
      <c r="C1444" t="s">
        <v>118</v>
      </c>
      <c r="D1444" t="s">
        <v>131</v>
      </c>
      <c r="E1444" t="s">
        <v>362</v>
      </c>
      <c r="F1444" s="267" t="s">
        <v>412</v>
      </c>
      <c r="G1444" s="267" t="s">
        <v>3070</v>
      </c>
    </row>
    <row r="1445" spans="1:7">
      <c r="A1445">
        <v>452</v>
      </c>
      <c r="B1445">
        <v>2014</v>
      </c>
      <c r="C1445" t="s">
        <v>119</v>
      </c>
      <c r="D1445" t="s">
        <v>131</v>
      </c>
      <c r="E1445" t="s">
        <v>362</v>
      </c>
      <c r="F1445" s="267" t="s">
        <v>413</v>
      </c>
      <c r="G1445" s="267" t="s">
        <v>3071</v>
      </c>
    </row>
    <row r="1446" spans="1:7">
      <c r="A1446">
        <v>453</v>
      </c>
      <c r="B1446">
        <v>2014</v>
      </c>
      <c r="C1446" t="s">
        <v>120</v>
      </c>
      <c r="D1446" t="s">
        <v>131</v>
      </c>
      <c r="E1446" t="s">
        <v>362</v>
      </c>
      <c r="F1446" s="267" t="s">
        <v>414</v>
      </c>
      <c r="G1446" s="267" t="s">
        <v>3072</v>
      </c>
    </row>
    <row r="1447" spans="1:7">
      <c r="A1447">
        <v>454</v>
      </c>
      <c r="B1447">
        <v>2014</v>
      </c>
      <c r="C1447" t="s">
        <v>121</v>
      </c>
      <c r="D1447" t="s">
        <v>131</v>
      </c>
      <c r="E1447" t="s">
        <v>362</v>
      </c>
      <c r="F1447" s="267" t="s">
        <v>415</v>
      </c>
      <c r="G1447" s="267" t="s">
        <v>3073</v>
      </c>
    </row>
    <row r="1448" spans="1:7">
      <c r="A1448">
        <v>455</v>
      </c>
      <c r="B1448">
        <v>2014</v>
      </c>
      <c r="C1448" t="s">
        <v>122</v>
      </c>
      <c r="D1448" t="s">
        <v>131</v>
      </c>
      <c r="E1448" t="s">
        <v>362</v>
      </c>
      <c r="F1448" s="267" t="s">
        <v>416</v>
      </c>
      <c r="G1448" s="267" t="s">
        <v>3074</v>
      </c>
    </row>
    <row r="1449" spans="1:7">
      <c r="A1449">
        <v>456</v>
      </c>
      <c r="B1449">
        <v>2014</v>
      </c>
      <c r="C1449" t="s">
        <v>123</v>
      </c>
      <c r="D1449" t="s">
        <v>131</v>
      </c>
      <c r="E1449" t="s">
        <v>362</v>
      </c>
      <c r="F1449" s="267" t="s">
        <v>417</v>
      </c>
      <c r="G1449" s="267" t="s">
        <v>3075</v>
      </c>
    </row>
    <row r="1450" spans="1:7">
      <c r="A1450">
        <v>457</v>
      </c>
      <c r="B1450">
        <v>2014</v>
      </c>
      <c r="C1450" t="s">
        <v>124</v>
      </c>
      <c r="D1450" t="s">
        <v>131</v>
      </c>
      <c r="E1450" t="s">
        <v>362</v>
      </c>
      <c r="F1450" s="267" t="s">
        <v>418</v>
      </c>
      <c r="G1450" s="267" t="s">
        <v>3076</v>
      </c>
    </row>
    <row r="1451" spans="1:7">
      <c r="A1451">
        <v>458</v>
      </c>
      <c r="B1451">
        <v>2014</v>
      </c>
      <c r="C1451" t="s">
        <v>125</v>
      </c>
      <c r="D1451" t="s">
        <v>131</v>
      </c>
      <c r="E1451" t="s">
        <v>362</v>
      </c>
      <c r="F1451" s="267" t="s">
        <v>419</v>
      </c>
      <c r="G1451" s="267" t="s">
        <v>3077</v>
      </c>
    </row>
    <row r="1452" spans="1:7">
      <c r="A1452">
        <v>459</v>
      </c>
      <c r="B1452">
        <v>2014</v>
      </c>
      <c r="C1452" t="s">
        <v>126</v>
      </c>
      <c r="D1452" t="s">
        <v>131</v>
      </c>
      <c r="E1452" t="s">
        <v>362</v>
      </c>
      <c r="F1452" s="267" t="s">
        <v>420</v>
      </c>
      <c r="G1452" s="267" t="s">
        <v>3078</v>
      </c>
    </row>
    <row r="1453" spans="1:7">
      <c r="A1453">
        <v>460</v>
      </c>
      <c r="B1453">
        <v>2014</v>
      </c>
      <c r="C1453" t="s">
        <v>127</v>
      </c>
      <c r="D1453" t="s">
        <v>131</v>
      </c>
      <c r="E1453" t="s">
        <v>362</v>
      </c>
      <c r="F1453" s="267" t="s">
        <v>421</v>
      </c>
      <c r="G1453" s="267" t="s">
        <v>3079</v>
      </c>
    </row>
    <row r="1454" spans="1:7">
      <c r="A1454">
        <v>461</v>
      </c>
      <c r="B1454">
        <v>2014</v>
      </c>
      <c r="C1454" t="s">
        <v>128</v>
      </c>
      <c r="D1454" t="s">
        <v>131</v>
      </c>
      <c r="E1454" t="s">
        <v>362</v>
      </c>
      <c r="F1454" s="267" t="s">
        <v>422</v>
      </c>
      <c r="G1454" s="267" t="s">
        <v>3080</v>
      </c>
    </row>
    <row r="1455" spans="1:7">
      <c r="A1455">
        <v>462</v>
      </c>
      <c r="B1455">
        <v>2014</v>
      </c>
      <c r="C1455" t="s">
        <v>129</v>
      </c>
      <c r="D1455" t="s">
        <v>131</v>
      </c>
      <c r="E1455" t="s">
        <v>362</v>
      </c>
      <c r="F1455" s="267" t="s">
        <v>423</v>
      </c>
      <c r="G1455" s="267" t="s">
        <v>3081</v>
      </c>
    </row>
    <row r="1456" spans="1:7">
      <c r="A1456">
        <v>4</v>
      </c>
      <c r="B1456">
        <v>2014</v>
      </c>
      <c r="C1456" t="s">
        <v>157</v>
      </c>
      <c r="D1456" t="s">
        <v>131</v>
      </c>
      <c r="E1456" t="s">
        <v>362</v>
      </c>
      <c r="F1456" s="267" t="s">
        <v>424</v>
      </c>
      <c r="G1456" s="267" t="s">
        <v>3082</v>
      </c>
    </row>
    <row r="1457" spans="1:7">
      <c r="A1457">
        <v>0</v>
      </c>
      <c r="B1457">
        <v>2014</v>
      </c>
      <c r="C1457" t="s">
        <v>130</v>
      </c>
      <c r="D1457" t="s">
        <v>131</v>
      </c>
      <c r="E1457" t="s">
        <v>362</v>
      </c>
      <c r="F1457" s="267" t="s">
        <v>425</v>
      </c>
      <c r="G1457" s="267" t="s">
        <v>3083</v>
      </c>
    </row>
    <row r="1458" spans="1:7">
      <c r="A1458">
        <v>101</v>
      </c>
      <c r="B1458">
        <v>2013</v>
      </c>
      <c r="C1458" t="s">
        <v>363</v>
      </c>
      <c r="D1458" t="s">
        <v>91</v>
      </c>
      <c r="E1458" t="s">
        <v>362</v>
      </c>
      <c r="F1458" s="267" t="s">
        <v>364</v>
      </c>
      <c r="G1458" s="267" t="s">
        <v>3084</v>
      </c>
    </row>
    <row r="1459" spans="1:7">
      <c r="A1459">
        <v>102</v>
      </c>
      <c r="B1459">
        <v>2013</v>
      </c>
      <c r="C1459" t="s">
        <v>365</v>
      </c>
      <c r="D1459" t="s">
        <v>91</v>
      </c>
      <c r="E1459" t="s">
        <v>362</v>
      </c>
      <c r="F1459" s="267" t="s">
        <v>366</v>
      </c>
      <c r="G1459" s="267" t="s">
        <v>3085</v>
      </c>
    </row>
    <row r="1460" spans="1:7">
      <c r="A1460">
        <v>103</v>
      </c>
      <c r="B1460">
        <v>2013</v>
      </c>
      <c r="C1460" t="s">
        <v>367</v>
      </c>
      <c r="D1460" t="s">
        <v>91</v>
      </c>
      <c r="E1460" t="s">
        <v>362</v>
      </c>
      <c r="F1460" s="267" t="s">
        <v>368</v>
      </c>
      <c r="G1460" s="267" t="s">
        <v>3086</v>
      </c>
    </row>
    <row r="1461" spans="1:7">
      <c r="A1461">
        <v>151</v>
      </c>
      <c r="B1461">
        <v>2013</v>
      </c>
      <c r="C1461" t="s">
        <v>94</v>
      </c>
      <c r="D1461" t="s">
        <v>91</v>
      </c>
      <c r="E1461" t="s">
        <v>362</v>
      </c>
      <c r="F1461" s="267" t="s">
        <v>369</v>
      </c>
      <c r="G1461" s="267" t="s">
        <v>3087</v>
      </c>
    </row>
    <row r="1462" spans="1:7">
      <c r="A1462">
        <v>153</v>
      </c>
      <c r="B1462">
        <v>2013</v>
      </c>
      <c r="C1462" t="s">
        <v>96</v>
      </c>
      <c r="D1462" t="s">
        <v>91</v>
      </c>
      <c r="E1462" t="s">
        <v>362</v>
      </c>
      <c r="F1462" s="267" t="s">
        <v>370</v>
      </c>
      <c r="G1462" s="267" t="s">
        <v>3088</v>
      </c>
    </row>
    <row r="1463" spans="1:7">
      <c r="A1463">
        <v>154</v>
      </c>
      <c r="B1463">
        <v>2013</v>
      </c>
      <c r="C1463" t="s">
        <v>97</v>
      </c>
      <c r="D1463" t="s">
        <v>91</v>
      </c>
      <c r="E1463" t="s">
        <v>362</v>
      </c>
      <c r="F1463" s="267" t="s">
        <v>371</v>
      </c>
      <c r="G1463" s="267" t="s">
        <v>3089</v>
      </c>
    </row>
    <row r="1464" spans="1:7">
      <c r="A1464">
        <v>155</v>
      </c>
      <c r="B1464">
        <v>2013</v>
      </c>
      <c r="C1464" t="s">
        <v>98</v>
      </c>
      <c r="D1464" t="s">
        <v>91</v>
      </c>
      <c r="E1464" t="s">
        <v>362</v>
      </c>
      <c r="F1464" s="267" t="s">
        <v>372</v>
      </c>
      <c r="G1464" s="267" t="s">
        <v>3090</v>
      </c>
    </row>
    <row r="1465" spans="1:7">
      <c r="A1465">
        <v>157</v>
      </c>
      <c r="B1465">
        <v>2013</v>
      </c>
      <c r="C1465" t="s">
        <v>99</v>
      </c>
      <c r="D1465" t="s">
        <v>91</v>
      </c>
      <c r="E1465" t="s">
        <v>362</v>
      </c>
      <c r="F1465" s="267" t="s">
        <v>373</v>
      </c>
      <c r="G1465" s="267" t="s">
        <v>3091</v>
      </c>
    </row>
    <row r="1466" spans="1:7">
      <c r="A1466">
        <v>158</v>
      </c>
      <c r="B1466">
        <v>2013</v>
      </c>
      <c r="C1466" t="s">
        <v>100</v>
      </c>
      <c r="D1466" t="s">
        <v>91</v>
      </c>
      <c r="E1466" t="s">
        <v>362</v>
      </c>
      <c r="F1466" s="267" t="s">
        <v>374</v>
      </c>
      <c r="G1466" s="267" t="s">
        <v>3092</v>
      </c>
    </row>
    <row r="1467" spans="1:7">
      <c r="A1467">
        <v>159</v>
      </c>
      <c r="B1467">
        <v>2013</v>
      </c>
      <c r="C1467" t="s">
        <v>95</v>
      </c>
      <c r="D1467" t="s">
        <v>91</v>
      </c>
      <c r="E1467" t="s">
        <v>362</v>
      </c>
      <c r="F1467" s="267" t="s">
        <v>375</v>
      </c>
      <c r="G1467" s="267" t="s">
        <v>3093</v>
      </c>
    </row>
    <row r="1468" spans="1:7">
      <c r="A1468">
        <v>1</v>
      </c>
      <c r="B1468">
        <v>2013</v>
      </c>
      <c r="C1468" t="s">
        <v>154</v>
      </c>
      <c r="D1468" t="s">
        <v>91</v>
      </c>
      <c r="E1468" t="s">
        <v>362</v>
      </c>
      <c r="F1468" s="267" t="s">
        <v>376</v>
      </c>
      <c r="G1468" s="267" t="s">
        <v>3094</v>
      </c>
    </row>
    <row r="1469" spans="1:7">
      <c r="A1469">
        <v>241</v>
      </c>
      <c r="B1469">
        <v>2013</v>
      </c>
      <c r="C1469" t="s">
        <v>377</v>
      </c>
      <c r="D1469" t="s">
        <v>91</v>
      </c>
      <c r="E1469" t="s">
        <v>362</v>
      </c>
      <c r="F1469" s="267" t="s">
        <v>378</v>
      </c>
      <c r="G1469" s="267" t="s">
        <v>3095</v>
      </c>
    </row>
    <row r="1470" spans="1:7">
      <c r="A1470">
        <v>241001</v>
      </c>
      <c r="B1470">
        <v>2013</v>
      </c>
      <c r="C1470" t="s">
        <v>379</v>
      </c>
      <c r="D1470" t="s">
        <v>91</v>
      </c>
      <c r="E1470" t="s">
        <v>362</v>
      </c>
      <c r="F1470" s="267" t="s">
        <v>380</v>
      </c>
      <c r="G1470" s="267" t="s">
        <v>3096</v>
      </c>
    </row>
    <row r="1471" spans="1:7">
      <c r="A1471">
        <v>241999</v>
      </c>
      <c r="B1471">
        <v>2013</v>
      </c>
      <c r="C1471" t="s">
        <v>381</v>
      </c>
      <c r="D1471" t="s">
        <v>91</v>
      </c>
      <c r="E1471" t="s">
        <v>362</v>
      </c>
      <c r="F1471" s="267" t="s">
        <v>382</v>
      </c>
      <c r="G1471" s="267" t="s">
        <v>3097</v>
      </c>
    </row>
    <row r="1472" spans="1:7">
      <c r="A1472">
        <v>251</v>
      </c>
      <c r="B1472">
        <v>2013</v>
      </c>
      <c r="C1472" t="s">
        <v>101</v>
      </c>
      <c r="D1472" t="s">
        <v>91</v>
      </c>
      <c r="E1472" t="s">
        <v>362</v>
      </c>
      <c r="F1472" s="267" t="s">
        <v>383</v>
      </c>
      <c r="G1472" s="267" t="s">
        <v>3098</v>
      </c>
    </row>
    <row r="1473" spans="1:7">
      <c r="A1473">
        <v>252</v>
      </c>
      <c r="B1473">
        <v>2013</v>
      </c>
      <c r="C1473" t="s">
        <v>102</v>
      </c>
      <c r="D1473" t="s">
        <v>91</v>
      </c>
      <c r="E1473" t="s">
        <v>362</v>
      </c>
      <c r="F1473" s="267" t="s">
        <v>384</v>
      </c>
      <c r="G1473" s="267" t="s">
        <v>3099</v>
      </c>
    </row>
    <row r="1474" spans="1:7">
      <c r="A1474">
        <v>254</v>
      </c>
      <c r="B1474">
        <v>2013</v>
      </c>
      <c r="C1474" t="s">
        <v>103</v>
      </c>
      <c r="D1474" t="s">
        <v>91</v>
      </c>
      <c r="E1474" t="s">
        <v>362</v>
      </c>
      <c r="F1474" s="267" t="s">
        <v>385</v>
      </c>
      <c r="G1474" s="267" t="s">
        <v>3100</v>
      </c>
    </row>
    <row r="1475" spans="1:7">
      <c r="A1475">
        <v>255</v>
      </c>
      <c r="B1475">
        <v>2013</v>
      </c>
      <c r="C1475" t="s">
        <v>104</v>
      </c>
      <c r="D1475" t="s">
        <v>91</v>
      </c>
      <c r="E1475" t="s">
        <v>362</v>
      </c>
      <c r="F1475" s="267" t="s">
        <v>386</v>
      </c>
      <c r="G1475" s="267" t="s">
        <v>3101</v>
      </c>
    </row>
    <row r="1476" spans="1:7">
      <c r="A1476">
        <v>256</v>
      </c>
      <c r="B1476">
        <v>2013</v>
      </c>
      <c r="C1476" t="s">
        <v>105</v>
      </c>
      <c r="D1476" t="s">
        <v>91</v>
      </c>
      <c r="E1476" t="s">
        <v>362</v>
      </c>
      <c r="F1476" s="267" t="s">
        <v>387</v>
      </c>
      <c r="G1476" s="267" t="s">
        <v>3102</v>
      </c>
    </row>
    <row r="1477" spans="1:7">
      <c r="A1477">
        <v>257</v>
      </c>
      <c r="B1477">
        <v>2013</v>
      </c>
      <c r="C1477" t="s">
        <v>106</v>
      </c>
      <c r="D1477" t="s">
        <v>91</v>
      </c>
      <c r="E1477" t="s">
        <v>362</v>
      </c>
      <c r="F1477" s="267" t="s">
        <v>388</v>
      </c>
      <c r="G1477" s="267" t="s">
        <v>3103</v>
      </c>
    </row>
    <row r="1478" spans="1:7">
      <c r="A1478">
        <v>2</v>
      </c>
      <c r="B1478">
        <v>2013</v>
      </c>
      <c r="C1478" t="s">
        <v>155</v>
      </c>
      <c r="D1478" t="s">
        <v>91</v>
      </c>
      <c r="E1478" t="s">
        <v>362</v>
      </c>
      <c r="F1478" s="267" t="s">
        <v>389</v>
      </c>
      <c r="G1478" s="267" t="s">
        <v>3104</v>
      </c>
    </row>
    <row r="1479" spans="1:7">
      <c r="A1479">
        <v>351</v>
      </c>
      <c r="B1479">
        <v>2013</v>
      </c>
      <c r="C1479" t="s">
        <v>107</v>
      </c>
      <c r="D1479" t="s">
        <v>91</v>
      </c>
      <c r="E1479" t="s">
        <v>362</v>
      </c>
      <c r="F1479" s="267" t="s">
        <v>390</v>
      </c>
      <c r="G1479" s="267" t="s">
        <v>3105</v>
      </c>
    </row>
    <row r="1480" spans="1:7">
      <c r="A1480">
        <v>352</v>
      </c>
      <c r="B1480">
        <v>2013</v>
      </c>
      <c r="C1480" t="s">
        <v>108</v>
      </c>
      <c r="D1480" t="s">
        <v>91</v>
      </c>
      <c r="E1480" t="s">
        <v>362</v>
      </c>
      <c r="F1480" s="267" t="s">
        <v>391</v>
      </c>
      <c r="G1480" s="267" t="s">
        <v>3106</v>
      </c>
    </row>
    <row r="1481" spans="1:7">
      <c r="A1481">
        <v>353</v>
      </c>
      <c r="B1481">
        <v>2013</v>
      </c>
      <c r="C1481" t="s">
        <v>109</v>
      </c>
      <c r="D1481" t="s">
        <v>91</v>
      </c>
      <c r="E1481" t="s">
        <v>362</v>
      </c>
      <c r="F1481" s="267" t="s">
        <v>392</v>
      </c>
      <c r="G1481" s="267" t="s">
        <v>3107</v>
      </c>
    </row>
    <row r="1482" spans="1:7">
      <c r="A1482">
        <v>354</v>
      </c>
      <c r="B1482">
        <v>2013</v>
      </c>
      <c r="C1482" t="s">
        <v>110</v>
      </c>
      <c r="D1482" t="s">
        <v>91</v>
      </c>
      <c r="E1482" t="s">
        <v>362</v>
      </c>
      <c r="F1482" s="267" t="s">
        <v>393</v>
      </c>
      <c r="G1482" s="267" t="s">
        <v>3108</v>
      </c>
    </row>
    <row r="1483" spans="1:7">
      <c r="A1483">
        <v>355</v>
      </c>
      <c r="B1483">
        <v>2013</v>
      </c>
      <c r="C1483" t="s">
        <v>111</v>
      </c>
      <c r="D1483" t="s">
        <v>91</v>
      </c>
      <c r="E1483" t="s">
        <v>362</v>
      </c>
      <c r="F1483" s="267" t="s">
        <v>394</v>
      </c>
      <c r="G1483" s="267" t="s">
        <v>3109</v>
      </c>
    </row>
    <row r="1484" spans="1:7">
      <c r="A1484">
        <v>356</v>
      </c>
      <c r="B1484">
        <v>2013</v>
      </c>
      <c r="C1484" t="s">
        <v>112</v>
      </c>
      <c r="D1484" t="s">
        <v>91</v>
      </c>
      <c r="E1484" t="s">
        <v>362</v>
      </c>
      <c r="F1484" s="267" t="s">
        <v>395</v>
      </c>
      <c r="G1484" s="267" t="s">
        <v>3110</v>
      </c>
    </row>
    <row r="1485" spans="1:7">
      <c r="A1485">
        <v>357</v>
      </c>
      <c r="B1485">
        <v>2013</v>
      </c>
      <c r="C1485" t="s">
        <v>113</v>
      </c>
      <c r="D1485" t="s">
        <v>91</v>
      </c>
      <c r="E1485" t="s">
        <v>362</v>
      </c>
      <c r="F1485" s="267" t="s">
        <v>396</v>
      </c>
      <c r="G1485" s="267" t="s">
        <v>3111</v>
      </c>
    </row>
    <row r="1486" spans="1:7">
      <c r="A1486">
        <v>358</v>
      </c>
      <c r="B1486">
        <v>2013</v>
      </c>
      <c r="C1486" t="s">
        <v>114</v>
      </c>
      <c r="D1486" t="s">
        <v>91</v>
      </c>
      <c r="E1486" t="s">
        <v>362</v>
      </c>
      <c r="F1486" s="267" t="s">
        <v>397</v>
      </c>
      <c r="G1486" s="267" t="s">
        <v>3112</v>
      </c>
    </row>
    <row r="1487" spans="1:7">
      <c r="A1487">
        <v>359</v>
      </c>
      <c r="B1487">
        <v>2013</v>
      </c>
      <c r="C1487" t="s">
        <v>115</v>
      </c>
      <c r="D1487" t="s">
        <v>91</v>
      </c>
      <c r="E1487" t="s">
        <v>362</v>
      </c>
      <c r="F1487" s="267" t="s">
        <v>398</v>
      </c>
      <c r="G1487" s="267" t="s">
        <v>3113</v>
      </c>
    </row>
    <row r="1488" spans="1:7">
      <c r="A1488">
        <v>360</v>
      </c>
      <c r="B1488">
        <v>2013</v>
      </c>
      <c r="C1488" t="s">
        <v>116</v>
      </c>
      <c r="D1488" t="s">
        <v>91</v>
      </c>
      <c r="E1488" t="s">
        <v>362</v>
      </c>
      <c r="F1488" s="267" t="s">
        <v>399</v>
      </c>
      <c r="G1488" s="267" t="s">
        <v>3114</v>
      </c>
    </row>
    <row r="1489" spans="1:7">
      <c r="A1489">
        <v>361</v>
      </c>
      <c r="B1489">
        <v>2013</v>
      </c>
      <c r="C1489" t="s">
        <v>117</v>
      </c>
      <c r="D1489" t="s">
        <v>91</v>
      </c>
      <c r="E1489" t="s">
        <v>362</v>
      </c>
      <c r="F1489" s="267" t="s">
        <v>400</v>
      </c>
      <c r="G1489" s="267" t="s">
        <v>3115</v>
      </c>
    </row>
    <row r="1490" spans="1:7">
      <c r="A1490">
        <v>3</v>
      </c>
      <c r="B1490">
        <v>2013</v>
      </c>
      <c r="C1490" t="s">
        <v>156</v>
      </c>
      <c r="D1490" t="s">
        <v>91</v>
      </c>
      <c r="E1490" t="s">
        <v>362</v>
      </c>
      <c r="F1490" s="267" t="s">
        <v>401</v>
      </c>
      <c r="G1490" s="267" t="s">
        <v>3116</v>
      </c>
    </row>
    <row r="1491" spans="1:7">
      <c r="A1491">
        <v>401</v>
      </c>
      <c r="B1491">
        <v>2013</v>
      </c>
      <c r="C1491" t="s">
        <v>402</v>
      </c>
      <c r="D1491" t="s">
        <v>91</v>
      </c>
      <c r="E1491" t="s">
        <v>362</v>
      </c>
      <c r="F1491" s="267" t="s">
        <v>403</v>
      </c>
      <c r="G1491" s="267" t="s">
        <v>3117</v>
      </c>
    </row>
    <row r="1492" spans="1:7">
      <c r="A1492">
        <v>402</v>
      </c>
      <c r="B1492">
        <v>2013</v>
      </c>
      <c r="C1492" t="s">
        <v>404</v>
      </c>
      <c r="D1492" t="s">
        <v>91</v>
      </c>
      <c r="E1492" t="s">
        <v>362</v>
      </c>
      <c r="F1492" s="267" t="s">
        <v>405</v>
      </c>
      <c r="G1492" s="267" t="s">
        <v>3118</v>
      </c>
    </row>
    <row r="1493" spans="1:7">
      <c r="A1493">
        <v>403</v>
      </c>
      <c r="B1493">
        <v>2013</v>
      </c>
      <c r="C1493" t="s">
        <v>406</v>
      </c>
      <c r="D1493" t="s">
        <v>91</v>
      </c>
      <c r="E1493" t="s">
        <v>362</v>
      </c>
      <c r="F1493" s="267" t="s">
        <v>407</v>
      </c>
      <c r="G1493" s="267" t="s">
        <v>3119</v>
      </c>
    </row>
    <row r="1494" spans="1:7">
      <c r="A1494">
        <v>404</v>
      </c>
      <c r="B1494">
        <v>2013</v>
      </c>
      <c r="C1494" t="s">
        <v>408</v>
      </c>
      <c r="D1494" t="s">
        <v>91</v>
      </c>
      <c r="E1494" t="s">
        <v>362</v>
      </c>
      <c r="F1494" s="267" t="s">
        <v>409</v>
      </c>
      <c r="G1494" s="267" t="s">
        <v>3120</v>
      </c>
    </row>
    <row r="1495" spans="1:7">
      <c r="A1495">
        <v>405</v>
      </c>
      <c r="B1495">
        <v>2013</v>
      </c>
      <c r="C1495" t="s">
        <v>410</v>
      </c>
      <c r="D1495" t="s">
        <v>91</v>
      </c>
      <c r="E1495" t="s">
        <v>362</v>
      </c>
      <c r="F1495" s="267" t="s">
        <v>411</v>
      </c>
      <c r="G1495" s="267" t="s">
        <v>3121</v>
      </c>
    </row>
    <row r="1496" spans="1:7">
      <c r="A1496">
        <v>451</v>
      </c>
      <c r="B1496">
        <v>2013</v>
      </c>
      <c r="C1496" t="s">
        <v>118</v>
      </c>
      <c r="D1496" t="s">
        <v>91</v>
      </c>
      <c r="E1496" t="s">
        <v>362</v>
      </c>
      <c r="F1496" s="267" t="s">
        <v>412</v>
      </c>
      <c r="G1496" s="267" t="s">
        <v>3122</v>
      </c>
    </row>
    <row r="1497" spans="1:7">
      <c r="A1497">
        <v>452</v>
      </c>
      <c r="B1497">
        <v>2013</v>
      </c>
      <c r="C1497" t="s">
        <v>119</v>
      </c>
      <c r="D1497" t="s">
        <v>91</v>
      </c>
      <c r="E1497" t="s">
        <v>362</v>
      </c>
      <c r="F1497" s="267" t="s">
        <v>413</v>
      </c>
      <c r="G1497" s="267" t="s">
        <v>3123</v>
      </c>
    </row>
    <row r="1498" spans="1:7">
      <c r="A1498">
        <v>453</v>
      </c>
      <c r="B1498">
        <v>2013</v>
      </c>
      <c r="C1498" t="s">
        <v>120</v>
      </c>
      <c r="D1498" t="s">
        <v>91</v>
      </c>
      <c r="E1498" t="s">
        <v>362</v>
      </c>
      <c r="F1498" s="267" t="s">
        <v>414</v>
      </c>
      <c r="G1498" s="267" t="s">
        <v>3124</v>
      </c>
    </row>
    <row r="1499" spans="1:7">
      <c r="A1499">
        <v>454</v>
      </c>
      <c r="B1499">
        <v>2013</v>
      </c>
      <c r="C1499" t="s">
        <v>121</v>
      </c>
      <c r="D1499" t="s">
        <v>91</v>
      </c>
      <c r="E1499" t="s">
        <v>362</v>
      </c>
      <c r="F1499" s="267" t="s">
        <v>415</v>
      </c>
      <c r="G1499" s="267" t="s">
        <v>3125</v>
      </c>
    </row>
    <row r="1500" spans="1:7">
      <c r="A1500">
        <v>455</v>
      </c>
      <c r="B1500">
        <v>2013</v>
      </c>
      <c r="C1500" t="s">
        <v>122</v>
      </c>
      <c r="D1500" t="s">
        <v>91</v>
      </c>
      <c r="E1500" t="s">
        <v>362</v>
      </c>
      <c r="F1500" s="267" t="s">
        <v>416</v>
      </c>
      <c r="G1500" s="267" t="s">
        <v>3126</v>
      </c>
    </row>
    <row r="1501" spans="1:7">
      <c r="A1501">
        <v>456</v>
      </c>
      <c r="B1501">
        <v>2013</v>
      </c>
      <c r="C1501" t="s">
        <v>123</v>
      </c>
      <c r="D1501" t="s">
        <v>91</v>
      </c>
      <c r="E1501" t="s">
        <v>362</v>
      </c>
      <c r="F1501" s="267" t="s">
        <v>417</v>
      </c>
      <c r="G1501" s="267" t="s">
        <v>3127</v>
      </c>
    </row>
    <row r="1502" spans="1:7">
      <c r="A1502">
        <v>457</v>
      </c>
      <c r="B1502">
        <v>2013</v>
      </c>
      <c r="C1502" t="s">
        <v>124</v>
      </c>
      <c r="D1502" t="s">
        <v>91</v>
      </c>
      <c r="E1502" t="s">
        <v>362</v>
      </c>
      <c r="F1502" s="267" t="s">
        <v>418</v>
      </c>
      <c r="G1502" s="267" t="s">
        <v>3128</v>
      </c>
    </row>
    <row r="1503" spans="1:7">
      <c r="A1503">
        <v>458</v>
      </c>
      <c r="B1503">
        <v>2013</v>
      </c>
      <c r="C1503" t="s">
        <v>125</v>
      </c>
      <c r="D1503" t="s">
        <v>91</v>
      </c>
      <c r="E1503" t="s">
        <v>362</v>
      </c>
      <c r="F1503" s="267" t="s">
        <v>419</v>
      </c>
      <c r="G1503" s="267" t="s">
        <v>3129</v>
      </c>
    </row>
    <row r="1504" spans="1:7">
      <c r="A1504">
        <v>459</v>
      </c>
      <c r="B1504">
        <v>2013</v>
      </c>
      <c r="C1504" t="s">
        <v>126</v>
      </c>
      <c r="D1504" t="s">
        <v>91</v>
      </c>
      <c r="E1504" t="s">
        <v>362</v>
      </c>
      <c r="F1504" s="267" t="s">
        <v>420</v>
      </c>
      <c r="G1504" s="267" t="s">
        <v>3130</v>
      </c>
    </row>
    <row r="1505" spans="1:7">
      <c r="A1505">
        <v>460</v>
      </c>
      <c r="B1505">
        <v>2013</v>
      </c>
      <c r="C1505" t="s">
        <v>127</v>
      </c>
      <c r="D1505" t="s">
        <v>91</v>
      </c>
      <c r="E1505" t="s">
        <v>362</v>
      </c>
      <c r="F1505" s="267" t="s">
        <v>421</v>
      </c>
      <c r="G1505" s="267" t="s">
        <v>3131</v>
      </c>
    </row>
    <row r="1506" spans="1:7">
      <c r="A1506">
        <v>461</v>
      </c>
      <c r="B1506">
        <v>2013</v>
      </c>
      <c r="C1506" t="s">
        <v>128</v>
      </c>
      <c r="D1506" t="s">
        <v>91</v>
      </c>
      <c r="E1506" t="s">
        <v>362</v>
      </c>
      <c r="F1506" s="267" t="s">
        <v>422</v>
      </c>
      <c r="G1506" s="267" t="s">
        <v>3132</v>
      </c>
    </row>
    <row r="1507" spans="1:7">
      <c r="A1507">
        <v>462</v>
      </c>
      <c r="B1507">
        <v>2013</v>
      </c>
      <c r="C1507" t="s">
        <v>129</v>
      </c>
      <c r="D1507" t="s">
        <v>91</v>
      </c>
      <c r="E1507" t="s">
        <v>362</v>
      </c>
      <c r="F1507" s="267" t="s">
        <v>423</v>
      </c>
      <c r="G1507" s="267" t="s">
        <v>3132</v>
      </c>
    </row>
    <row r="1508" spans="1:7">
      <c r="A1508">
        <v>4</v>
      </c>
      <c r="B1508">
        <v>2013</v>
      </c>
      <c r="C1508" t="s">
        <v>157</v>
      </c>
      <c r="D1508" t="s">
        <v>91</v>
      </c>
      <c r="E1508" t="s">
        <v>362</v>
      </c>
      <c r="F1508" s="267" t="s">
        <v>424</v>
      </c>
      <c r="G1508" s="267" t="s">
        <v>3133</v>
      </c>
    </row>
    <row r="1509" spans="1:7">
      <c r="A1509">
        <v>0</v>
      </c>
      <c r="B1509">
        <v>2013</v>
      </c>
      <c r="C1509" t="s">
        <v>130</v>
      </c>
      <c r="D1509" t="s">
        <v>91</v>
      </c>
      <c r="E1509" t="s">
        <v>362</v>
      </c>
      <c r="F1509" s="267" t="s">
        <v>425</v>
      </c>
      <c r="G1509" s="267" t="s">
        <v>3134</v>
      </c>
    </row>
    <row r="1510" spans="1:7">
      <c r="A1510">
        <v>101</v>
      </c>
      <c r="B1510">
        <v>2013</v>
      </c>
      <c r="C1510" t="s">
        <v>363</v>
      </c>
      <c r="D1510" t="s">
        <v>92</v>
      </c>
      <c r="E1510" t="s">
        <v>362</v>
      </c>
      <c r="F1510" s="267" t="s">
        <v>364</v>
      </c>
      <c r="G1510" s="267" t="s">
        <v>3135</v>
      </c>
    </row>
    <row r="1511" spans="1:7">
      <c r="A1511">
        <v>102</v>
      </c>
      <c r="B1511">
        <v>2013</v>
      </c>
      <c r="C1511" t="s">
        <v>365</v>
      </c>
      <c r="D1511" t="s">
        <v>92</v>
      </c>
      <c r="E1511" t="s">
        <v>362</v>
      </c>
      <c r="F1511" s="267" t="s">
        <v>366</v>
      </c>
      <c r="G1511" s="267" t="s">
        <v>3136</v>
      </c>
    </row>
    <row r="1512" spans="1:7">
      <c r="A1512">
        <v>103</v>
      </c>
      <c r="B1512">
        <v>2013</v>
      </c>
      <c r="C1512" t="s">
        <v>367</v>
      </c>
      <c r="D1512" t="s">
        <v>92</v>
      </c>
      <c r="E1512" t="s">
        <v>362</v>
      </c>
      <c r="F1512" s="267" t="s">
        <v>368</v>
      </c>
      <c r="G1512" s="267" t="s">
        <v>3137</v>
      </c>
    </row>
    <row r="1513" spans="1:7">
      <c r="A1513">
        <v>151</v>
      </c>
      <c r="B1513">
        <v>2013</v>
      </c>
      <c r="C1513" t="s">
        <v>94</v>
      </c>
      <c r="D1513" t="s">
        <v>92</v>
      </c>
      <c r="E1513" t="s">
        <v>362</v>
      </c>
      <c r="F1513" s="267" t="s">
        <v>369</v>
      </c>
      <c r="G1513" s="267" t="s">
        <v>3138</v>
      </c>
    </row>
    <row r="1514" spans="1:7">
      <c r="A1514">
        <v>153</v>
      </c>
      <c r="B1514">
        <v>2013</v>
      </c>
      <c r="C1514" t="s">
        <v>96</v>
      </c>
      <c r="D1514" t="s">
        <v>92</v>
      </c>
      <c r="E1514" t="s">
        <v>362</v>
      </c>
      <c r="F1514" s="267" t="s">
        <v>370</v>
      </c>
      <c r="G1514" s="267" t="s">
        <v>3139</v>
      </c>
    </row>
    <row r="1515" spans="1:7">
      <c r="A1515">
        <v>154</v>
      </c>
      <c r="B1515">
        <v>2013</v>
      </c>
      <c r="C1515" t="s">
        <v>97</v>
      </c>
      <c r="D1515" t="s">
        <v>92</v>
      </c>
      <c r="E1515" t="s">
        <v>362</v>
      </c>
      <c r="F1515" s="267" t="s">
        <v>371</v>
      </c>
      <c r="G1515" s="267" t="s">
        <v>3140</v>
      </c>
    </row>
    <row r="1516" spans="1:7">
      <c r="A1516">
        <v>155</v>
      </c>
      <c r="B1516">
        <v>2013</v>
      </c>
      <c r="C1516" t="s">
        <v>98</v>
      </c>
      <c r="D1516" t="s">
        <v>92</v>
      </c>
      <c r="E1516" t="s">
        <v>362</v>
      </c>
      <c r="F1516" s="267" t="s">
        <v>372</v>
      </c>
      <c r="G1516" s="267" t="s">
        <v>3141</v>
      </c>
    </row>
    <row r="1517" spans="1:7">
      <c r="A1517">
        <v>157</v>
      </c>
      <c r="B1517">
        <v>2013</v>
      </c>
      <c r="C1517" t="s">
        <v>99</v>
      </c>
      <c r="D1517" t="s">
        <v>92</v>
      </c>
      <c r="E1517" t="s">
        <v>362</v>
      </c>
      <c r="F1517" s="267" t="s">
        <v>373</v>
      </c>
      <c r="G1517" s="267" t="s">
        <v>3142</v>
      </c>
    </row>
    <row r="1518" spans="1:7">
      <c r="A1518">
        <v>158</v>
      </c>
      <c r="B1518">
        <v>2013</v>
      </c>
      <c r="C1518" t="s">
        <v>100</v>
      </c>
      <c r="D1518" t="s">
        <v>92</v>
      </c>
      <c r="E1518" t="s">
        <v>362</v>
      </c>
      <c r="F1518" s="267" t="s">
        <v>374</v>
      </c>
      <c r="G1518" s="267" t="s">
        <v>3143</v>
      </c>
    </row>
    <row r="1519" spans="1:7">
      <c r="A1519">
        <v>159</v>
      </c>
      <c r="B1519">
        <v>2013</v>
      </c>
      <c r="C1519" t="s">
        <v>95</v>
      </c>
      <c r="D1519" t="s">
        <v>92</v>
      </c>
      <c r="E1519" t="s">
        <v>362</v>
      </c>
      <c r="F1519" s="267" t="s">
        <v>375</v>
      </c>
      <c r="G1519" s="267" t="s">
        <v>3144</v>
      </c>
    </row>
    <row r="1520" spans="1:7">
      <c r="A1520">
        <v>1</v>
      </c>
      <c r="B1520">
        <v>2013</v>
      </c>
      <c r="C1520" t="s">
        <v>154</v>
      </c>
      <c r="D1520" t="s">
        <v>92</v>
      </c>
      <c r="E1520" t="s">
        <v>362</v>
      </c>
      <c r="F1520" s="267" t="s">
        <v>376</v>
      </c>
      <c r="G1520" s="267" t="s">
        <v>3145</v>
      </c>
    </row>
    <row r="1521" spans="1:7">
      <c r="A1521">
        <v>241</v>
      </c>
      <c r="B1521">
        <v>2013</v>
      </c>
      <c r="C1521" t="s">
        <v>377</v>
      </c>
      <c r="D1521" t="s">
        <v>92</v>
      </c>
      <c r="E1521" t="s">
        <v>362</v>
      </c>
      <c r="F1521" s="267" t="s">
        <v>378</v>
      </c>
      <c r="G1521" s="267" t="s">
        <v>3146</v>
      </c>
    </row>
    <row r="1522" spans="1:7">
      <c r="A1522">
        <v>241001</v>
      </c>
      <c r="B1522">
        <v>2013</v>
      </c>
      <c r="C1522" t="s">
        <v>379</v>
      </c>
      <c r="D1522" t="s">
        <v>92</v>
      </c>
      <c r="E1522" t="s">
        <v>362</v>
      </c>
      <c r="F1522" s="267" t="s">
        <v>380</v>
      </c>
      <c r="G1522" s="267" t="s">
        <v>3147</v>
      </c>
    </row>
    <row r="1523" spans="1:7">
      <c r="A1523">
        <v>241999</v>
      </c>
      <c r="B1523">
        <v>2013</v>
      </c>
      <c r="C1523" t="s">
        <v>381</v>
      </c>
      <c r="D1523" t="s">
        <v>92</v>
      </c>
      <c r="E1523" t="s">
        <v>362</v>
      </c>
      <c r="F1523" s="267" t="s">
        <v>382</v>
      </c>
      <c r="G1523" s="267" t="s">
        <v>3148</v>
      </c>
    </row>
    <row r="1524" spans="1:7">
      <c r="A1524">
        <v>251</v>
      </c>
      <c r="B1524">
        <v>2013</v>
      </c>
      <c r="C1524" t="s">
        <v>101</v>
      </c>
      <c r="D1524" t="s">
        <v>92</v>
      </c>
      <c r="E1524" t="s">
        <v>362</v>
      </c>
      <c r="F1524" s="267" t="s">
        <v>383</v>
      </c>
      <c r="G1524" s="267" t="s">
        <v>3149</v>
      </c>
    </row>
    <row r="1525" spans="1:7">
      <c r="A1525">
        <v>252</v>
      </c>
      <c r="B1525">
        <v>2013</v>
      </c>
      <c r="C1525" t="s">
        <v>102</v>
      </c>
      <c r="D1525" t="s">
        <v>92</v>
      </c>
      <c r="E1525" t="s">
        <v>362</v>
      </c>
      <c r="F1525" s="267" t="s">
        <v>384</v>
      </c>
      <c r="G1525" s="267" t="s">
        <v>3150</v>
      </c>
    </row>
    <row r="1526" spans="1:7">
      <c r="A1526">
        <v>254</v>
      </c>
      <c r="B1526">
        <v>2013</v>
      </c>
      <c r="C1526" t="s">
        <v>103</v>
      </c>
      <c r="D1526" t="s">
        <v>92</v>
      </c>
      <c r="E1526" t="s">
        <v>362</v>
      </c>
      <c r="F1526" s="267" t="s">
        <v>385</v>
      </c>
      <c r="G1526" s="267" t="s">
        <v>3151</v>
      </c>
    </row>
    <row r="1527" spans="1:7">
      <c r="A1527">
        <v>255</v>
      </c>
      <c r="B1527">
        <v>2013</v>
      </c>
      <c r="C1527" t="s">
        <v>104</v>
      </c>
      <c r="D1527" t="s">
        <v>92</v>
      </c>
      <c r="E1527" t="s">
        <v>362</v>
      </c>
      <c r="F1527" s="267" t="s">
        <v>386</v>
      </c>
      <c r="G1527" s="267" t="s">
        <v>3152</v>
      </c>
    </row>
    <row r="1528" spans="1:7">
      <c r="A1528">
        <v>256</v>
      </c>
      <c r="B1528">
        <v>2013</v>
      </c>
      <c r="C1528" t="s">
        <v>105</v>
      </c>
      <c r="D1528" t="s">
        <v>92</v>
      </c>
      <c r="E1528" t="s">
        <v>362</v>
      </c>
      <c r="F1528" s="267" t="s">
        <v>387</v>
      </c>
      <c r="G1528" s="267" t="s">
        <v>3153</v>
      </c>
    </row>
    <row r="1529" spans="1:7">
      <c r="A1529">
        <v>257</v>
      </c>
      <c r="B1529">
        <v>2013</v>
      </c>
      <c r="C1529" t="s">
        <v>106</v>
      </c>
      <c r="D1529" t="s">
        <v>92</v>
      </c>
      <c r="E1529" t="s">
        <v>362</v>
      </c>
      <c r="F1529" s="267" t="s">
        <v>388</v>
      </c>
      <c r="G1529" s="267" t="s">
        <v>3154</v>
      </c>
    </row>
    <row r="1530" spans="1:7">
      <c r="A1530">
        <v>2</v>
      </c>
      <c r="B1530">
        <v>2013</v>
      </c>
      <c r="C1530" t="s">
        <v>155</v>
      </c>
      <c r="D1530" t="s">
        <v>92</v>
      </c>
      <c r="E1530" t="s">
        <v>362</v>
      </c>
      <c r="F1530" s="267" t="s">
        <v>389</v>
      </c>
      <c r="G1530" s="267" t="s">
        <v>3155</v>
      </c>
    </row>
    <row r="1531" spans="1:7">
      <c r="A1531">
        <v>351</v>
      </c>
      <c r="B1531">
        <v>2013</v>
      </c>
      <c r="C1531" t="s">
        <v>107</v>
      </c>
      <c r="D1531" t="s">
        <v>92</v>
      </c>
      <c r="E1531" t="s">
        <v>362</v>
      </c>
      <c r="F1531" s="267" t="s">
        <v>390</v>
      </c>
      <c r="G1531" s="267" t="s">
        <v>3156</v>
      </c>
    </row>
    <row r="1532" spans="1:7">
      <c r="A1532">
        <v>352</v>
      </c>
      <c r="B1532">
        <v>2013</v>
      </c>
      <c r="C1532" t="s">
        <v>108</v>
      </c>
      <c r="D1532" t="s">
        <v>92</v>
      </c>
      <c r="E1532" t="s">
        <v>362</v>
      </c>
      <c r="F1532" s="267" t="s">
        <v>391</v>
      </c>
      <c r="G1532" s="267" t="s">
        <v>3157</v>
      </c>
    </row>
    <row r="1533" spans="1:7">
      <c r="A1533">
        <v>353</v>
      </c>
      <c r="B1533">
        <v>2013</v>
      </c>
      <c r="C1533" t="s">
        <v>109</v>
      </c>
      <c r="D1533" t="s">
        <v>92</v>
      </c>
      <c r="E1533" t="s">
        <v>362</v>
      </c>
      <c r="F1533" s="267" t="s">
        <v>392</v>
      </c>
      <c r="G1533" s="267" t="s">
        <v>3158</v>
      </c>
    </row>
    <row r="1534" spans="1:7">
      <c r="A1534">
        <v>354</v>
      </c>
      <c r="B1534">
        <v>2013</v>
      </c>
      <c r="C1534" t="s">
        <v>110</v>
      </c>
      <c r="D1534" t="s">
        <v>92</v>
      </c>
      <c r="E1534" t="s">
        <v>362</v>
      </c>
      <c r="F1534" s="267" t="s">
        <v>393</v>
      </c>
      <c r="G1534" s="267" t="s">
        <v>3159</v>
      </c>
    </row>
    <row r="1535" spans="1:7">
      <c r="A1535">
        <v>355</v>
      </c>
      <c r="B1535">
        <v>2013</v>
      </c>
      <c r="C1535" t="s">
        <v>111</v>
      </c>
      <c r="D1535" t="s">
        <v>92</v>
      </c>
      <c r="E1535" t="s">
        <v>362</v>
      </c>
      <c r="F1535" s="267" t="s">
        <v>394</v>
      </c>
      <c r="G1535" s="267" t="s">
        <v>3160</v>
      </c>
    </row>
    <row r="1536" spans="1:7">
      <c r="A1536">
        <v>356</v>
      </c>
      <c r="B1536">
        <v>2013</v>
      </c>
      <c r="C1536" t="s">
        <v>112</v>
      </c>
      <c r="D1536" t="s">
        <v>92</v>
      </c>
      <c r="E1536" t="s">
        <v>362</v>
      </c>
      <c r="F1536" s="267" t="s">
        <v>395</v>
      </c>
      <c r="G1536" s="267" t="s">
        <v>3161</v>
      </c>
    </row>
    <row r="1537" spans="1:7">
      <c r="A1537">
        <v>357</v>
      </c>
      <c r="B1537">
        <v>2013</v>
      </c>
      <c r="C1537" t="s">
        <v>113</v>
      </c>
      <c r="D1537" t="s">
        <v>92</v>
      </c>
      <c r="E1537" t="s">
        <v>362</v>
      </c>
      <c r="F1537" s="267" t="s">
        <v>396</v>
      </c>
      <c r="G1537" s="267" t="s">
        <v>3162</v>
      </c>
    </row>
    <row r="1538" spans="1:7">
      <c r="A1538">
        <v>358</v>
      </c>
      <c r="B1538">
        <v>2013</v>
      </c>
      <c r="C1538" t="s">
        <v>114</v>
      </c>
      <c r="D1538" t="s">
        <v>92</v>
      </c>
      <c r="E1538" t="s">
        <v>362</v>
      </c>
      <c r="F1538" s="267" t="s">
        <v>397</v>
      </c>
      <c r="G1538" s="267" t="s">
        <v>3163</v>
      </c>
    </row>
    <row r="1539" spans="1:7">
      <c r="A1539">
        <v>359</v>
      </c>
      <c r="B1539">
        <v>2013</v>
      </c>
      <c r="C1539" t="s">
        <v>115</v>
      </c>
      <c r="D1539" t="s">
        <v>92</v>
      </c>
      <c r="E1539" t="s">
        <v>362</v>
      </c>
      <c r="F1539" s="267" t="s">
        <v>398</v>
      </c>
      <c r="G1539" s="267" t="s">
        <v>3164</v>
      </c>
    </row>
    <row r="1540" spans="1:7">
      <c r="A1540">
        <v>360</v>
      </c>
      <c r="B1540">
        <v>2013</v>
      </c>
      <c r="C1540" t="s">
        <v>116</v>
      </c>
      <c r="D1540" t="s">
        <v>92</v>
      </c>
      <c r="E1540" t="s">
        <v>362</v>
      </c>
      <c r="F1540" s="267" t="s">
        <v>399</v>
      </c>
      <c r="G1540" s="267" t="s">
        <v>3165</v>
      </c>
    </row>
    <row r="1541" spans="1:7">
      <c r="A1541">
        <v>361</v>
      </c>
      <c r="B1541">
        <v>2013</v>
      </c>
      <c r="C1541" t="s">
        <v>117</v>
      </c>
      <c r="D1541" t="s">
        <v>92</v>
      </c>
      <c r="E1541" t="s">
        <v>362</v>
      </c>
      <c r="F1541" s="267" t="s">
        <v>400</v>
      </c>
      <c r="G1541" s="267" t="s">
        <v>3166</v>
      </c>
    </row>
    <row r="1542" spans="1:7">
      <c r="A1542">
        <v>3</v>
      </c>
      <c r="B1542">
        <v>2013</v>
      </c>
      <c r="C1542" t="s">
        <v>156</v>
      </c>
      <c r="D1542" t="s">
        <v>92</v>
      </c>
      <c r="E1542" t="s">
        <v>362</v>
      </c>
      <c r="F1542" s="267" t="s">
        <v>401</v>
      </c>
      <c r="G1542" s="267" t="s">
        <v>3167</v>
      </c>
    </row>
    <row r="1543" spans="1:7">
      <c r="A1543">
        <v>401</v>
      </c>
      <c r="B1543">
        <v>2013</v>
      </c>
      <c r="C1543" t="s">
        <v>402</v>
      </c>
      <c r="D1543" t="s">
        <v>92</v>
      </c>
      <c r="E1543" t="s">
        <v>362</v>
      </c>
      <c r="F1543" s="267" t="s">
        <v>403</v>
      </c>
      <c r="G1543" s="267" t="s">
        <v>3168</v>
      </c>
    </row>
    <row r="1544" spans="1:7">
      <c r="A1544">
        <v>402</v>
      </c>
      <c r="B1544">
        <v>2013</v>
      </c>
      <c r="C1544" t="s">
        <v>404</v>
      </c>
      <c r="D1544" t="s">
        <v>92</v>
      </c>
      <c r="E1544" t="s">
        <v>362</v>
      </c>
      <c r="F1544" s="267" t="s">
        <v>405</v>
      </c>
      <c r="G1544" s="267" t="s">
        <v>3169</v>
      </c>
    </row>
    <row r="1545" spans="1:7">
      <c r="A1545">
        <v>403</v>
      </c>
      <c r="B1545">
        <v>2013</v>
      </c>
      <c r="C1545" t="s">
        <v>406</v>
      </c>
      <c r="D1545" t="s">
        <v>92</v>
      </c>
      <c r="E1545" t="s">
        <v>362</v>
      </c>
      <c r="F1545" s="267" t="s">
        <v>407</v>
      </c>
      <c r="G1545" s="267" t="s">
        <v>3170</v>
      </c>
    </row>
    <row r="1546" spans="1:7">
      <c r="A1546">
        <v>404</v>
      </c>
      <c r="B1546">
        <v>2013</v>
      </c>
      <c r="C1546" t="s">
        <v>408</v>
      </c>
      <c r="D1546" t="s">
        <v>92</v>
      </c>
      <c r="E1546" t="s">
        <v>362</v>
      </c>
      <c r="F1546" s="267" t="s">
        <v>409</v>
      </c>
      <c r="G1546" s="267" t="s">
        <v>3171</v>
      </c>
    </row>
    <row r="1547" spans="1:7">
      <c r="A1547">
        <v>405</v>
      </c>
      <c r="B1547">
        <v>2013</v>
      </c>
      <c r="C1547" t="s">
        <v>410</v>
      </c>
      <c r="D1547" t="s">
        <v>92</v>
      </c>
      <c r="E1547" t="s">
        <v>362</v>
      </c>
      <c r="F1547" s="267" t="s">
        <v>411</v>
      </c>
      <c r="G1547" s="267" t="s">
        <v>3172</v>
      </c>
    </row>
    <row r="1548" spans="1:7">
      <c r="A1548">
        <v>451</v>
      </c>
      <c r="B1548">
        <v>2013</v>
      </c>
      <c r="C1548" t="s">
        <v>118</v>
      </c>
      <c r="D1548" t="s">
        <v>92</v>
      </c>
      <c r="E1548" t="s">
        <v>362</v>
      </c>
      <c r="F1548" s="267" t="s">
        <v>412</v>
      </c>
      <c r="G1548" s="267" t="s">
        <v>3173</v>
      </c>
    </row>
    <row r="1549" spans="1:7">
      <c r="A1549">
        <v>452</v>
      </c>
      <c r="B1549">
        <v>2013</v>
      </c>
      <c r="C1549" t="s">
        <v>119</v>
      </c>
      <c r="D1549" t="s">
        <v>92</v>
      </c>
      <c r="E1549" t="s">
        <v>362</v>
      </c>
      <c r="F1549" s="267" t="s">
        <v>413</v>
      </c>
      <c r="G1549" s="267" t="s">
        <v>3174</v>
      </c>
    </row>
    <row r="1550" spans="1:7">
      <c r="A1550">
        <v>453</v>
      </c>
      <c r="B1550">
        <v>2013</v>
      </c>
      <c r="C1550" t="s">
        <v>120</v>
      </c>
      <c r="D1550" t="s">
        <v>92</v>
      </c>
      <c r="E1550" t="s">
        <v>362</v>
      </c>
      <c r="F1550" s="267" t="s">
        <v>414</v>
      </c>
      <c r="G1550" s="267" t="s">
        <v>3175</v>
      </c>
    </row>
    <row r="1551" spans="1:7">
      <c r="A1551">
        <v>454</v>
      </c>
      <c r="B1551">
        <v>2013</v>
      </c>
      <c r="C1551" t="s">
        <v>121</v>
      </c>
      <c r="D1551" t="s">
        <v>92</v>
      </c>
      <c r="E1551" t="s">
        <v>362</v>
      </c>
      <c r="F1551" s="267" t="s">
        <v>415</v>
      </c>
      <c r="G1551" s="267" t="s">
        <v>3176</v>
      </c>
    </row>
    <row r="1552" spans="1:7">
      <c r="A1552">
        <v>455</v>
      </c>
      <c r="B1552">
        <v>2013</v>
      </c>
      <c r="C1552" t="s">
        <v>122</v>
      </c>
      <c r="D1552" t="s">
        <v>92</v>
      </c>
      <c r="E1552" t="s">
        <v>362</v>
      </c>
      <c r="F1552" s="267" t="s">
        <v>416</v>
      </c>
      <c r="G1552" s="267" t="s">
        <v>3177</v>
      </c>
    </row>
    <row r="1553" spans="1:7">
      <c r="A1553">
        <v>456</v>
      </c>
      <c r="B1553">
        <v>2013</v>
      </c>
      <c r="C1553" t="s">
        <v>123</v>
      </c>
      <c r="D1553" t="s">
        <v>92</v>
      </c>
      <c r="E1553" t="s">
        <v>362</v>
      </c>
      <c r="F1553" s="267" t="s">
        <v>417</v>
      </c>
      <c r="G1553" s="267" t="s">
        <v>3178</v>
      </c>
    </row>
    <row r="1554" spans="1:7">
      <c r="A1554">
        <v>457</v>
      </c>
      <c r="B1554">
        <v>2013</v>
      </c>
      <c r="C1554" t="s">
        <v>124</v>
      </c>
      <c r="D1554" t="s">
        <v>92</v>
      </c>
      <c r="E1554" t="s">
        <v>362</v>
      </c>
      <c r="F1554" s="267" t="s">
        <v>418</v>
      </c>
      <c r="G1554" s="267" t="s">
        <v>3179</v>
      </c>
    </row>
    <row r="1555" spans="1:7">
      <c r="A1555">
        <v>458</v>
      </c>
      <c r="B1555">
        <v>2013</v>
      </c>
      <c r="C1555" t="s">
        <v>125</v>
      </c>
      <c r="D1555" t="s">
        <v>92</v>
      </c>
      <c r="E1555" t="s">
        <v>362</v>
      </c>
      <c r="F1555" s="267" t="s">
        <v>419</v>
      </c>
      <c r="G1555" s="267" t="s">
        <v>3180</v>
      </c>
    </row>
    <row r="1556" spans="1:7">
      <c r="A1556">
        <v>459</v>
      </c>
      <c r="B1556">
        <v>2013</v>
      </c>
      <c r="C1556" t="s">
        <v>126</v>
      </c>
      <c r="D1556" t="s">
        <v>92</v>
      </c>
      <c r="E1556" t="s">
        <v>362</v>
      </c>
      <c r="F1556" s="267" t="s">
        <v>420</v>
      </c>
      <c r="G1556" s="267" t="s">
        <v>3181</v>
      </c>
    </row>
    <row r="1557" spans="1:7">
      <c r="A1557">
        <v>460</v>
      </c>
      <c r="B1557">
        <v>2013</v>
      </c>
      <c r="C1557" t="s">
        <v>127</v>
      </c>
      <c r="D1557" t="s">
        <v>92</v>
      </c>
      <c r="E1557" t="s">
        <v>362</v>
      </c>
      <c r="F1557" s="267" t="s">
        <v>421</v>
      </c>
      <c r="G1557" s="267" t="s">
        <v>3182</v>
      </c>
    </row>
    <row r="1558" spans="1:7">
      <c r="A1558">
        <v>461</v>
      </c>
      <c r="B1558">
        <v>2013</v>
      </c>
      <c r="C1558" t="s">
        <v>128</v>
      </c>
      <c r="D1558" t="s">
        <v>92</v>
      </c>
      <c r="E1558" t="s">
        <v>362</v>
      </c>
      <c r="F1558" s="267" t="s">
        <v>422</v>
      </c>
      <c r="G1558" s="267" t="s">
        <v>3183</v>
      </c>
    </row>
    <row r="1559" spans="1:7">
      <c r="A1559">
        <v>462</v>
      </c>
      <c r="B1559">
        <v>2013</v>
      </c>
      <c r="C1559" t="s">
        <v>129</v>
      </c>
      <c r="D1559" t="s">
        <v>92</v>
      </c>
      <c r="E1559" t="s">
        <v>362</v>
      </c>
      <c r="F1559" s="267" t="s">
        <v>423</v>
      </c>
      <c r="G1559" s="267" t="s">
        <v>3184</v>
      </c>
    </row>
    <row r="1560" spans="1:7">
      <c r="A1560">
        <v>4</v>
      </c>
      <c r="B1560">
        <v>2013</v>
      </c>
      <c r="C1560" t="s">
        <v>157</v>
      </c>
      <c r="D1560" t="s">
        <v>92</v>
      </c>
      <c r="E1560" t="s">
        <v>362</v>
      </c>
      <c r="F1560" s="267" t="s">
        <v>424</v>
      </c>
      <c r="G1560" s="267" t="s">
        <v>3185</v>
      </c>
    </row>
    <row r="1561" spans="1:7">
      <c r="A1561">
        <v>0</v>
      </c>
      <c r="B1561">
        <v>2013</v>
      </c>
      <c r="C1561" t="s">
        <v>130</v>
      </c>
      <c r="D1561" t="s">
        <v>92</v>
      </c>
      <c r="E1561" t="s">
        <v>362</v>
      </c>
      <c r="F1561" s="267" t="s">
        <v>425</v>
      </c>
      <c r="G1561" s="267" t="s">
        <v>3186</v>
      </c>
    </row>
    <row r="1562" spans="1:7">
      <c r="A1562">
        <v>101</v>
      </c>
      <c r="B1562">
        <v>2013</v>
      </c>
      <c r="C1562" t="s">
        <v>363</v>
      </c>
      <c r="D1562" t="s">
        <v>93</v>
      </c>
      <c r="E1562" t="s">
        <v>362</v>
      </c>
      <c r="F1562" s="267" t="s">
        <v>364</v>
      </c>
      <c r="G1562" s="267" t="s">
        <v>3187</v>
      </c>
    </row>
    <row r="1563" spans="1:7">
      <c r="A1563">
        <v>102</v>
      </c>
      <c r="B1563">
        <v>2013</v>
      </c>
      <c r="C1563" t="s">
        <v>365</v>
      </c>
      <c r="D1563" t="s">
        <v>93</v>
      </c>
      <c r="E1563" t="s">
        <v>362</v>
      </c>
      <c r="F1563" s="267" t="s">
        <v>366</v>
      </c>
      <c r="G1563" s="267" t="s">
        <v>3188</v>
      </c>
    </row>
    <row r="1564" spans="1:7">
      <c r="A1564">
        <v>103</v>
      </c>
      <c r="B1564">
        <v>2013</v>
      </c>
      <c r="C1564" t="s">
        <v>367</v>
      </c>
      <c r="D1564" t="s">
        <v>93</v>
      </c>
      <c r="E1564" t="s">
        <v>362</v>
      </c>
      <c r="F1564" s="267" t="s">
        <v>368</v>
      </c>
      <c r="G1564" s="267" t="s">
        <v>3189</v>
      </c>
    </row>
    <row r="1565" spans="1:7">
      <c r="A1565">
        <v>151</v>
      </c>
      <c r="B1565">
        <v>2013</v>
      </c>
      <c r="C1565" t="s">
        <v>94</v>
      </c>
      <c r="D1565" t="s">
        <v>93</v>
      </c>
      <c r="E1565" t="s">
        <v>362</v>
      </c>
      <c r="F1565" s="267" t="s">
        <v>369</v>
      </c>
      <c r="G1565" s="267" t="s">
        <v>3190</v>
      </c>
    </row>
    <row r="1566" spans="1:7">
      <c r="A1566">
        <v>153</v>
      </c>
      <c r="B1566">
        <v>2013</v>
      </c>
      <c r="C1566" t="s">
        <v>96</v>
      </c>
      <c r="D1566" t="s">
        <v>93</v>
      </c>
      <c r="E1566" t="s">
        <v>362</v>
      </c>
      <c r="F1566" s="267" t="s">
        <v>370</v>
      </c>
      <c r="G1566" s="267" t="s">
        <v>3191</v>
      </c>
    </row>
    <row r="1567" spans="1:7">
      <c r="A1567">
        <v>154</v>
      </c>
      <c r="B1567">
        <v>2013</v>
      </c>
      <c r="C1567" t="s">
        <v>97</v>
      </c>
      <c r="D1567" t="s">
        <v>93</v>
      </c>
      <c r="E1567" t="s">
        <v>362</v>
      </c>
      <c r="F1567" s="267" t="s">
        <v>371</v>
      </c>
      <c r="G1567" s="267" t="s">
        <v>3192</v>
      </c>
    </row>
    <row r="1568" spans="1:7">
      <c r="A1568">
        <v>155</v>
      </c>
      <c r="B1568">
        <v>2013</v>
      </c>
      <c r="C1568" t="s">
        <v>98</v>
      </c>
      <c r="D1568" t="s">
        <v>93</v>
      </c>
      <c r="E1568" t="s">
        <v>362</v>
      </c>
      <c r="F1568" s="267" t="s">
        <v>372</v>
      </c>
      <c r="G1568" s="267" t="s">
        <v>3193</v>
      </c>
    </row>
    <row r="1569" spans="1:7">
      <c r="A1569">
        <v>157</v>
      </c>
      <c r="B1569">
        <v>2013</v>
      </c>
      <c r="C1569" t="s">
        <v>99</v>
      </c>
      <c r="D1569" t="s">
        <v>93</v>
      </c>
      <c r="E1569" t="s">
        <v>362</v>
      </c>
      <c r="F1569" s="267" t="s">
        <v>373</v>
      </c>
      <c r="G1569" s="267" t="s">
        <v>3194</v>
      </c>
    </row>
    <row r="1570" spans="1:7">
      <c r="A1570">
        <v>158</v>
      </c>
      <c r="B1570">
        <v>2013</v>
      </c>
      <c r="C1570" t="s">
        <v>100</v>
      </c>
      <c r="D1570" t="s">
        <v>93</v>
      </c>
      <c r="E1570" t="s">
        <v>362</v>
      </c>
      <c r="F1570" s="267" t="s">
        <v>374</v>
      </c>
      <c r="G1570" s="267" t="s">
        <v>3195</v>
      </c>
    </row>
    <row r="1571" spans="1:7">
      <c r="A1571">
        <v>159</v>
      </c>
      <c r="B1571">
        <v>2013</v>
      </c>
      <c r="C1571" t="s">
        <v>95</v>
      </c>
      <c r="D1571" t="s">
        <v>93</v>
      </c>
      <c r="E1571" t="s">
        <v>362</v>
      </c>
      <c r="F1571" s="267" t="s">
        <v>375</v>
      </c>
      <c r="G1571" s="267" t="s">
        <v>3196</v>
      </c>
    </row>
    <row r="1572" spans="1:7">
      <c r="A1572">
        <v>1</v>
      </c>
      <c r="B1572">
        <v>2013</v>
      </c>
      <c r="C1572" t="s">
        <v>154</v>
      </c>
      <c r="D1572" t="s">
        <v>93</v>
      </c>
      <c r="E1572" t="s">
        <v>362</v>
      </c>
      <c r="F1572" s="267" t="s">
        <v>376</v>
      </c>
      <c r="G1572" s="267" t="s">
        <v>3197</v>
      </c>
    </row>
    <row r="1573" spans="1:7">
      <c r="A1573">
        <v>241</v>
      </c>
      <c r="B1573">
        <v>2013</v>
      </c>
      <c r="C1573" t="s">
        <v>377</v>
      </c>
      <c r="D1573" t="s">
        <v>93</v>
      </c>
      <c r="E1573" t="s">
        <v>362</v>
      </c>
      <c r="F1573" s="267" t="s">
        <v>378</v>
      </c>
      <c r="G1573" s="267" t="s">
        <v>3198</v>
      </c>
    </row>
    <row r="1574" spans="1:7">
      <c r="A1574">
        <v>241001</v>
      </c>
      <c r="B1574">
        <v>2013</v>
      </c>
      <c r="C1574" t="s">
        <v>379</v>
      </c>
      <c r="D1574" t="s">
        <v>93</v>
      </c>
      <c r="E1574" t="s">
        <v>362</v>
      </c>
      <c r="F1574" s="267" t="s">
        <v>380</v>
      </c>
      <c r="G1574" s="267" t="s">
        <v>3199</v>
      </c>
    </row>
    <row r="1575" spans="1:7">
      <c r="A1575">
        <v>241999</v>
      </c>
      <c r="B1575">
        <v>2013</v>
      </c>
      <c r="C1575" t="s">
        <v>381</v>
      </c>
      <c r="D1575" t="s">
        <v>93</v>
      </c>
      <c r="E1575" t="s">
        <v>362</v>
      </c>
      <c r="F1575" s="267" t="s">
        <v>382</v>
      </c>
      <c r="G1575" s="267" t="s">
        <v>3200</v>
      </c>
    </row>
    <row r="1576" spans="1:7">
      <c r="A1576">
        <v>251</v>
      </c>
      <c r="B1576">
        <v>2013</v>
      </c>
      <c r="C1576" t="s">
        <v>101</v>
      </c>
      <c r="D1576" t="s">
        <v>93</v>
      </c>
      <c r="E1576" t="s">
        <v>362</v>
      </c>
      <c r="F1576" s="267" t="s">
        <v>383</v>
      </c>
      <c r="G1576" s="267" t="s">
        <v>3201</v>
      </c>
    </row>
    <row r="1577" spans="1:7">
      <c r="A1577">
        <v>252</v>
      </c>
      <c r="B1577">
        <v>2013</v>
      </c>
      <c r="C1577" t="s">
        <v>102</v>
      </c>
      <c r="D1577" t="s">
        <v>93</v>
      </c>
      <c r="E1577" t="s">
        <v>362</v>
      </c>
      <c r="F1577" s="267" t="s">
        <v>384</v>
      </c>
      <c r="G1577" s="267" t="s">
        <v>3202</v>
      </c>
    </row>
    <row r="1578" spans="1:7">
      <c r="A1578">
        <v>254</v>
      </c>
      <c r="B1578">
        <v>2013</v>
      </c>
      <c r="C1578" t="s">
        <v>103</v>
      </c>
      <c r="D1578" t="s">
        <v>93</v>
      </c>
      <c r="E1578" t="s">
        <v>362</v>
      </c>
      <c r="F1578" s="267" t="s">
        <v>385</v>
      </c>
      <c r="G1578" s="267" t="s">
        <v>3203</v>
      </c>
    </row>
    <row r="1579" spans="1:7">
      <c r="A1579">
        <v>255</v>
      </c>
      <c r="B1579">
        <v>2013</v>
      </c>
      <c r="C1579" t="s">
        <v>104</v>
      </c>
      <c r="D1579" t="s">
        <v>93</v>
      </c>
      <c r="E1579" t="s">
        <v>362</v>
      </c>
      <c r="F1579" s="267" t="s">
        <v>386</v>
      </c>
      <c r="G1579" s="267" t="s">
        <v>3204</v>
      </c>
    </row>
    <row r="1580" spans="1:7">
      <c r="A1580">
        <v>256</v>
      </c>
      <c r="B1580">
        <v>2013</v>
      </c>
      <c r="C1580" t="s">
        <v>105</v>
      </c>
      <c r="D1580" t="s">
        <v>93</v>
      </c>
      <c r="E1580" t="s">
        <v>362</v>
      </c>
      <c r="F1580" s="267" t="s">
        <v>387</v>
      </c>
      <c r="G1580" s="267" t="s">
        <v>3205</v>
      </c>
    </row>
    <row r="1581" spans="1:7">
      <c r="A1581">
        <v>257</v>
      </c>
      <c r="B1581">
        <v>2013</v>
      </c>
      <c r="C1581" t="s">
        <v>106</v>
      </c>
      <c r="D1581" t="s">
        <v>93</v>
      </c>
      <c r="E1581" t="s">
        <v>362</v>
      </c>
      <c r="F1581" s="267" t="s">
        <v>388</v>
      </c>
      <c r="G1581" s="267" t="s">
        <v>3206</v>
      </c>
    </row>
    <row r="1582" spans="1:7">
      <c r="A1582">
        <v>2</v>
      </c>
      <c r="B1582">
        <v>2013</v>
      </c>
      <c r="C1582" t="s">
        <v>155</v>
      </c>
      <c r="D1582" t="s">
        <v>93</v>
      </c>
      <c r="E1582" t="s">
        <v>362</v>
      </c>
      <c r="F1582" s="267" t="s">
        <v>389</v>
      </c>
      <c r="G1582" s="267" t="s">
        <v>3207</v>
      </c>
    </row>
    <row r="1583" spans="1:7">
      <c r="A1583">
        <v>351</v>
      </c>
      <c r="B1583">
        <v>2013</v>
      </c>
      <c r="C1583" t="s">
        <v>107</v>
      </c>
      <c r="D1583" t="s">
        <v>93</v>
      </c>
      <c r="E1583" t="s">
        <v>362</v>
      </c>
      <c r="F1583" s="267" t="s">
        <v>390</v>
      </c>
      <c r="G1583" s="267" t="s">
        <v>3208</v>
      </c>
    </row>
    <row r="1584" spans="1:7">
      <c r="A1584">
        <v>352</v>
      </c>
      <c r="B1584">
        <v>2013</v>
      </c>
      <c r="C1584" t="s">
        <v>108</v>
      </c>
      <c r="D1584" t="s">
        <v>93</v>
      </c>
      <c r="E1584" t="s">
        <v>362</v>
      </c>
      <c r="F1584" s="267" t="s">
        <v>391</v>
      </c>
      <c r="G1584" s="267" t="s">
        <v>3209</v>
      </c>
    </row>
    <row r="1585" spans="1:7">
      <c r="A1585">
        <v>353</v>
      </c>
      <c r="B1585">
        <v>2013</v>
      </c>
      <c r="C1585" t="s">
        <v>109</v>
      </c>
      <c r="D1585" t="s">
        <v>93</v>
      </c>
      <c r="E1585" t="s">
        <v>362</v>
      </c>
      <c r="F1585" s="267" t="s">
        <v>392</v>
      </c>
      <c r="G1585" s="267" t="s">
        <v>3210</v>
      </c>
    </row>
    <row r="1586" spans="1:7">
      <c r="A1586">
        <v>354</v>
      </c>
      <c r="B1586">
        <v>2013</v>
      </c>
      <c r="C1586" t="s">
        <v>110</v>
      </c>
      <c r="D1586" t="s">
        <v>93</v>
      </c>
      <c r="E1586" t="s">
        <v>362</v>
      </c>
      <c r="F1586" s="267" t="s">
        <v>393</v>
      </c>
      <c r="G1586" s="267" t="s">
        <v>3211</v>
      </c>
    </row>
    <row r="1587" spans="1:7">
      <c r="A1587">
        <v>355</v>
      </c>
      <c r="B1587">
        <v>2013</v>
      </c>
      <c r="C1587" t="s">
        <v>111</v>
      </c>
      <c r="D1587" t="s">
        <v>93</v>
      </c>
      <c r="E1587" t="s">
        <v>362</v>
      </c>
      <c r="F1587" s="267" t="s">
        <v>394</v>
      </c>
      <c r="G1587" s="267" t="s">
        <v>3212</v>
      </c>
    </row>
    <row r="1588" spans="1:7">
      <c r="A1588">
        <v>356</v>
      </c>
      <c r="B1588">
        <v>2013</v>
      </c>
      <c r="C1588" t="s">
        <v>112</v>
      </c>
      <c r="D1588" t="s">
        <v>93</v>
      </c>
      <c r="E1588" t="s">
        <v>362</v>
      </c>
      <c r="F1588" s="267" t="s">
        <v>395</v>
      </c>
      <c r="G1588" s="267" t="s">
        <v>3213</v>
      </c>
    </row>
    <row r="1589" spans="1:7">
      <c r="A1589">
        <v>357</v>
      </c>
      <c r="B1589">
        <v>2013</v>
      </c>
      <c r="C1589" t="s">
        <v>113</v>
      </c>
      <c r="D1589" t="s">
        <v>93</v>
      </c>
      <c r="E1589" t="s">
        <v>362</v>
      </c>
      <c r="F1589" s="267" t="s">
        <v>396</v>
      </c>
      <c r="G1589" s="267" t="s">
        <v>3214</v>
      </c>
    </row>
    <row r="1590" spans="1:7">
      <c r="A1590">
        <v>358</v>
      </c>
      <c r="B1590">
        <v>2013</v>
      </c>
      <c r="C1590" t="s">
        <v>114</v>
      </c>
      <c r="D1590" t="s">
        <v>93</v>
      </c>
      <c r="E1590" t="s">
        <v>362</v>
      </c>
      <c r="F1590" s="267" t="s">
        <v>397</v>
      </c>
      <c r="G1590" s="267" t="s">
        <v>3215</v>
      </c>
    </row>
    <row r="1591" spans="1:7">
      <c r="A1591">
        <v>359</v>
      </c>
      <c r="B1591">
        <v>2013</v>
      </c>
      <c r="C1591" t="s">
        <v>115</v>
      </c>
      <c r="D1591" t="s">
        <v>93</v>
      </c>
      <c r="E1591" t="s">
        <v>362</v>
      </c>
      <c r="F1591" s="267" t="s">
        <v>398</v>
      </c>
      <c r="G1591" s="267" t="s">
        <v>3216</v>
      </c>
    </row>
    <row r="1592" spans="1:7">
      <c r="A1592">
        <v>360</v>
      </c>
      <c r="B1592">
        <v>2013</v>
      </c>
      <c r="C1592" t="s">
        <v>116</v>
      </c>
      <c r="D1592" t="s">
        <v>93</v>
      </c>
      <c r="E1592" t="s">
        <v>362</v>
      </c>
      <c r="F1592" s="267" t="s">
        <v>399</v>
      </c>
      <c r="G1592" s="267" t="s">
        <v>3217</v>
      </c>
    </row>
    <row r="1593" spans="1:7">
      <c r="A1593">
        <v>361</v>
      </c>
      <c r="B1593">
        <v>2013</v>
      </c>
      <c r="C1593" t="s">
        <v>117</v>
      </c>
      <c r="D1593" t="s">
        <v>93</v>
      </c>
      <c r="E1593" t="s">
        <v>362</v>
      </c>
      <c r="F1593" s="267" t="s">
        <v>400</v>
      </c>
      <c r="G1593" s="267" t="s">
        <v>3218</v>
      </c>
    </row>
    <row r="1594" spans="1:7">
      <c r="A1594">
        <v>3</v>
      </c>
      <c r="B1594">
        <v>2013</v>
      </c>
      <c r="C1594" t="s">
        <v>156</v>
      </c>
      <c r="D1594" t="s">
        <v>93</v>
      </c>
      <c r="E1594" t="s">
        <v>362</v>
      </c>
      <c r="F1594" s="267" t="s">
        <v>401</v>
      </c>
      <c r="G1594" s="267" t="s">
        <v>3219</v>
      </c>
    </row>
    <row r="1595" spans="1:7">
      <c r="A1595">
        <v>401</v>
      </c>
      <c r="B1595">
        <v>2013</v>
      </c>
      <c r="C1595" t="s">
        <v>402</v>
      </c>
      <c r="D1595" t="s">
        <v>93</v>
      </c>
      <c r="E1595" t="s">
        <v>362</v>
      </c>
      <c r="F1595" s="267" t="s">
        <v>403</v>
      </c>
      <c r="G1595" s="267" t="s">
        <v>3220</v>
      </c>
    </row>
    <row r="1596" spans="1:7">
      <c r="A1596">
        <v>402</v>
      </c>
      <c r="B1596">
        <v>2013</v>
      </c>
      <c r="C1596" t="s">
        <v>404</v>
      </c>
      <c r="D1596" t="s">
        <v>93</v>
      </c>
      <c r="E1596" t="s">
        <v>362</v>
      </c>
      <c r="F1596" s="267" t="s">
        <v>405</v>
      </c>
      <c r="G1596" s="267" t="s">
        <v>3221</v>
      </c>
    </row>
    <row r="1597" spans="1:7">
      <c r="A1597">
        <v>403</v>
      </c>
      <c r="B1597">
        <v>2013</v>
      </c>
      <c r="C1597" t="s">
        <v>406</v>
      </c>
      <c r="D1597" t="s">
        <v>93</v>
      </c>
      <c r="E1597" t="s">
        <v>362</v>
      </c>
      <c r="F1597" s="267" t="s">
        <v>407</v>
      </c>
      <c r="G1597" s="267" t="s">
        <v>3222</v>
      </c>
    </row>
    <row r="1598" spans="1:7">
      <c r="A1598">
        <v>404</v>
      </c>
      <c r="B1598">
        <v>2013</v>
      </c>
      <c r="C1598" t="s">
        <v>408</v>
      </c>
      <c r="D1598" t="s">
        <v>93</v>
      </c>
      <c r="E1598" t="s">
        <v>362</v>
      </c>
      <c r="F1598" s="267" t="s">
        <v>409</v>
      </c>
      <c r="G1598" s="267" t="s">
        <v>3223</v>
      </c>
    </row>
    <row r="1599" spans="1:7">
      <c r="A1599">
        <v>405</v>
      </c>
      <c r="B1599">
        <v>2013</v>
      </c>
      <c r="C1599" t="s">
        <v>410</v>
      </c>
      <c r="D1599" t="s">
        <v>93</v>
      </c>
      <c r="E1599" t="s">
        <v>362</v>
      </c>
      <c r="F1599" s="267" t="s">
        <v>411</v>
      </c>
      <c r="G1599" s="267" t="s">
        <v>3224</v>
      </c>
    </row>
    <row r="1600" spans="1:7">
      <c r="A1600">
        <v>451</v>
      </c>
      <c r="B1600">
        <v>2013</v>
      </c>
      <c r="C1600" t="s">
        <v>118</v>
      </c>
      <c r="D1600" t="s">
        <v>93</v>
      </c>
      <c r="E1600" t="s">
        <v>362</v>
      </c>
      <c r="F1600" s="267" t="s">
        <v>412</v>
      </c>
      <c r="G1600" s="267" t="s">
        <v>3225</v>
      </c>
    </row>
    <row r="1601" spans="1:7">
      <c r="A1601">
        <v>452</v>
      </c>
      <c r="B1601">
        <v>2013</v>
      </c>
      <c r="C1601" t="s">
        <v>119</v>
      </c>
      <c r="D1601" t="s">
        <v>93</v>
      </c>
      <c r="E1601" t="s">
        <v>362</v>
      </c>
      <c r="F1601" s="267" t="s">
        <v>413</v>
      </c>
      <c r="G1601" s="267" t="s">
        <v>3226</v>
      </c>
    </row>
    <row r="1602" spans="1:7">
      <c r="A1602">
        <v>453</v>
      </c>
      <c r="B1602">
        <v>2013</v>
      </c>
      <c r="C1602" t="s">
        <v>120</v>
      </c>
      <c r="D1602" t="s">
        <v>93</v>
      </c>
      <c r="E1602" t="s">
        <v>362</v>
      </c>
      <c r="F1602" s="267" t="s">
        <v>414</v>
      </c>
      <c r="G1602" s="267" t="s">
        <v>3227</v>
      </c>
    </row>
    <row r="1603" spans="1:7">
      <c r="A1603">
        <v>454</v>
      </c>
      <c r="B1603">
        <v>2013</v>
      </c>
      <c r="C1603" t="s">
        <v>121</v>
      </c>
      <c r="D1603" t="s">
        <v>93</v>
      </c>
      <c r="E1603" t="s">
        <v>362</v>
      </c>
      <c r="F1603" s="267" t="s">
        <v>415</v>
      </c>
      <c r="G1603" s="267" t="s">
        <v>3228</v>
      </c>
    </row>
    <row r="1604" spans="1:7">
      <c r="A1604">
        <v>455</v>
      </c>
      <c r="B1604">
        <v>2013</v>
      </c>
      <c r="C1604" t="s">
        <v>122</v>
      </c>
      <c r="D1604" t="s">
        <v>93</v>
      </c>
      <c r="E1604" t="s">
        <v>362</v>
      </c>
      <c r="F1604" s="267" t="s">
        <v>416</v>
      </c>
      <c r="G1604" s="267" t="s">
        <v>3229</v>
      </c>
    </row>
    <row r="1605" spans="1:7">
      <c r="A1605">
        <v>456</v>
      </c>
      <c r="B1605">
        <v>2013</v>
      </c>
      <c r="C1605" t="s">
        <v>123</v>
      </c>
      <c r="D1605" t="s">
        <v>93</v>
      </c>
      <c r="E1605" t="s">
        <v>362</v>
      </c>
      <c r="F1605" s="267" t="s">
        <v>417</v>
      </c>
      <c r="G1605" s="267" t="s">
        <v>3230</v>
      </c>
    </row>
    <row r="1606" spans="1:7">
      <c r="A1606">
        <v>457</v>
      </c>
      <c r="B1606">
        <v>2013</v>
      </c>
      <c r="C1606" t="s">
        <v>124</v>
      </c>
      <c r="D1606" t="s">
        <v>93</v>
      </c>
      <c r="E1606" t="s">
        <v>362</v>
      </c>
      <c r="F1606" s="267" t="s">
        <v>418</v>
      </c>
      <c r="G1606" s="267" t="s">
        <v>3231</v>
      </c>
    </row>
    <row r="1607" spans="1:7">
      <c r="A1607">
        <v>458</v>
      </c>
      <c r="B1607">
        <v>2013</v>
      </c>
      <c r="C1607" t="s">
        <v>125</v>
      </c>
      <c r="D1607" t="s">
        <v>93</v>
      </c>
      <c r="E1607" t="s">
        <v>362</v>
      </c>
      <c r="F1607" s="267" t="s">
        <v>419</v>
      </c>
      <c r="G1607" s="267" t="s">
        <v>3232</v>
      </c>
    </row>
    <row r="1608" spans="1:7">
      <c r="A1608">
        <v>459</v>
      </c>
      <c r="B1608">
        <v>2013</v>
      </c>
      <c r="C1608" t="s">
        <v>126</v>
      </c>
      <c r="D1608" t="s">
        <v>93</v>
      </c>
      <c r="E1608" t="s">
        <v>362</v>
      </c>
      <c r="F1608" s="267" t="s">
        <v>420</v>
      </c>
      <c r="G1608" s="267" t="s">
        <v>3233</v>
      </c>
    </row>
    <row r="1609" spans="1:7">
      <c r="A1609">
        <v>460</v>
      </c>
      <c r="B1609">
        <v>2013</v>
      </c>
      <c r="C1609" t="s">
        <v>127</v>
      </c>
      <c r="D1609" t="s">
        <v>93</v>
      </c>
      <c r="E1609" t="s">
        <v>362</v>
      </c>
      <c r="F1609" s="267" t="s">
        <v>421</v>
      </c>
      <c r="G1609" s="267" t="s">
        <v>3234</v>
      </c>
    </row>
    <row r="1610" spans="1:7">
      <c r="A1610">
        <v>461</v>
      </c>
      <c r="B1610">
        <v>2013</v>
      </c>
      <c r="C1610" t="s">
        <v>128</v>
      </c>
      <c r="D1610" t="s">
        <v>93</v>
      </c>
      <c r="E1610" t="s">
        <v>362</v>
      </c>
      <c r="F1610" s="267" t="s">
        <v>422</v>
      </c>
      <c r="G1610" s="267" t="s">
        <v>3235</v>
      </c>
    </row>
    <row r="1611" spans="1:7">
      <c r="A1611">
        <v>462</v>
      </c>
      <c r="B1611">
        <v>2013</v>
      </c>
      <c r="C1611" t="s">
        <v>129</v>
      </c>
      <c r="D1611" t="s">
        <v>93</v>
      </c>
      <c r="E1611" t="s">
        <v>362</v>
      </c>
      <c r="F1611" s="267" t="s">
        <v>423</v>
      </c>
      <c r="G1611" s="267" t="s">
        <v>3236</v>
      </c>
    </row>
    <row r="1612" spans="1:7">
      <c r="A1612">
        <v>4</v>
      </c>
      <c r="B1612">
        <v>2013</v>
      </c>
      <c r="C1612" t="s">
        <v>157</v>
      </c>
      <c r="D1612" t="s">
        <v>93</v>
      </c>
      <c r="E1612" t="s">
        <v>362</v>
      </c>
      <c r="F1612" s="267" t="s">
        <v>424</v>
      </c>
      <c r="G1612" s="267" t="s">
        <v>3237</v>
      </c>
    </row>
    <row r="1613" spans="1:7">
      <c r="A1613">
        <v>0</v>
      </c>
      <c r="B1613">
        <v>2013</v>
      </c>
      <c r="C1613" t="s">
        <v>130</v>
      </c>
      <c r="D1613" t="s">
        <v>93</v>
      </c>
      <c r="E1613" t="s">
        <v>362</v>
      </c>
      <c r="F1613" s="267" t="s">
        <v>425</v>
      </c>
      <c r="G1613" s="267" t="s">
        <v>3238</v>
      </c>
    </row>
    <row r="1614" spans="1:7">
      <c r="A1614">
        <v>101</v>
      </c>
      <c r="B1614">
        <v>2013</v>
      </c>
      <c r="C1614" t="s">
        <v>363</v>
      </c>
      <c r="D1614" t="s">
        <v>131</v>
      </c>
      <c r="E1614" t="s">
        <v>362</v>
      </c>
      <c r="F1614" s="267" t="s">
        <v>364</v>
      </c>
      <c r="G1614" s="267" t="s">
        <v>3239</v>
      </c>
    </row>
    <row r="1615" spans="1:7">
      <c r="A1615">
        <v>102</v>
      </c>
      <c r="B1615">
        <v>2013</v>
      </c>
      <c r="C1615" t="s">
        <v>365</v>
      </c>
      <c r="D1615" t="s">
        <v>131</v>
      </c>
      <c r="E1615" t="s">
        <v>362</v>
      </c>
      <c r="F1615" s="267" t="s">
        <v>366</v>
      </c>
      <c r="G1615" s="267" t="s">
        <v>3240</v>
      </c>
    </row>
    <row r="1616" spans="1:7">
      <c r="A1616">
        <v>103</v>
      </c>
      <c r="B1616">
        <v>2013</v>
      </c>
      <c r="C1616" t="s">
        <v>367</v>
      </c>
      <c r="D1616" t="s">
        <v>131</v>
      </c>
      <c r="E1616" t="s">
        <v>362</v>
      </c>
      <c r="F1616" s="267" t="s">
        <v>368</v>
      </c>
      <c r="G1616" s="267" t="s">
        <v>3241</v>
      </c>
    </row>
    <row r="1617" spans="1:7">
      <c r="A1617">
        <v>151</v>
      </c>
      <c r="B1617">
        <v>2013</v>
      </c>
      <c r="C1617" t="s">
        <v>94</v>
      </c>
      <c r="D1617" t="s">
        <v>131</v>
      </c>
      <c r="E1617" t="s">
        <v>362</v>
      </c>
      <c r="F1617" s="267" t="s">
        <v>369</v>
      </c>
      <c r="G1617" s="267" t="s">
        <v>3242</v>
      </c>
    </row>
    <row r="1618" spans="1:7">
      <c r="A1618">
        <v>153</v>
      </c>
      <c r="B1618">
        <v>2013</v>
      </c>
      <c r="C1618" t="s">
        <v>96</v>
      </c>
      <c r="D1618" t="s">
        <v>131</v>
      </c>
      <c r="E1618" t="s">
        <v>362</v>
      </c>
      <c r="F1618" s="267" t="s">
        <v>370</v>
      </c>
      <c r="G1618" s="267" t="s">
        <v>3243</v>
      </c>
    </row>
    <row r="1619" spans="1:7">
      <c r="A1619">
        <v>154</v>
      </c>
      <c r="B1619">
        <v>2013</v>
      </c>
      <c r="C1619" t="s">
        <v>97</v>
      </c>
      <c r="D1619" t="s">
        <v>131</v>
      </c>
      <c r="E1619" t="s">
        <v>362</v>
      </c>
      <c r="F1619" s="267" t="s">
        <v>371</v>
      </c>
      <c r="G1619" s="267" t="s">
        <v>3244</v>
      </c>
    </row>
    <row r="1620" spans="1:7">
      <c r="A1620">
        <v>155</v>
      </c>
      <c r="B1620">
        <v>2013</v>
      </c>
      <c r="C1620" t="s">
        <v>98</v>
      </c>
      <c r="D1620" t="s">
        <v>131</v>
      </c>
      <c r="E1620" t="s">
        <v>362</v>
      </c>
      <c r="F1620" s="267" t="s">
        <v>372</v>
      </c>
      <c r="G1620" s="267" t="s">
        <v>3245</v>
      </c>
    </row>
    <row r="1621" spans="1:7">
      <c r="A1621">
        <v>157</v>
      </c>
      <c r="B1621">
        <v>2013</v>
      </c>
      <c r="C1621" t="s">
        <v>99</v>
      </c>
      <c r="D1621" t="s">
        <v>131</v>
      </c>
      <c r="E1621" t="s">
        <v>362</v>
      </c>
      <c r="F1621" s="267" t="s">
        <v>373</v>
      </c>
      <c r="G1621" s="267" t="s">
        <v>3246</v>
      </c>
    </row>
    <row r="1622" spans="1:7">
      <c r="A1622">
        <v>158</v>
      </c>
      <c r="B1622">
        <v>2013</v>
      </c>
      <c r="C1622" t="s">
        <v>100</v>
      </c>
      <c r="D1622" t="s">
        <v>131</v>
      </c>
      <c r="E1622" t="s">
        <v>362</v>
      </c>
      <c r="F1622" s="267" t="s">
        <v>374</v>
      </c>
      <c r="G1622" s="267" t="s">
        <v>3247</v>
      </c>
    </row>
    <row r="1623" spans="1:7">
      <c r="A1623">
        <v>159</v>
      </c>
      <c r="B1623">
        <v>2013</v>
      </c>
      <c r="C1623" t="s">
        <v>95</v>
      </c>
      <c r="D1623" t="s">
        <v>131</v>
      </c>
      <c r="E1623" t="s">
        <v>362</v>
      </c>
      <c r="F1623" s="267" t="s">
        <v>375</v>
      </c>
      <c r="G1623" s="267" t="s">
        <v>3248</v>
      </c>
    </row>
    <row r="1624" spans="1:7">
      <c r="A1624">
        <v>1</v>
      </c>
      <c r="B1624">
        <v>2013</v>
      </c>
      <c r="C1624" t="s">
        <v>154</v>
      </c>
      <c r="D1624" t="s">
        <v>131</v>
      </c>
      <c r="E1624" t="s">
        <v>362</v>
      </c>
      <c r="F1624" s="267" t="s">
        <v>376</v>
      </c>
      <c r="G1624" s="267" t="s">
        <v>3249</v>
      </c>
    </row>
    <row r="1625" spans="1:7">
      <c r="A1625">
        <v>241</v>
      </c>
      <c r="B1625">
        <v>2013</v>
      </c>
      <c r="C1625" t="s">
        <v>377</v>
      </c>
      <c r="D1625" t="s">
        <v>131</v>
      </c>
      <c r="E1625" t="s">
        <v>362</v>
      </c>
      <c r="F1625" s="267" t="s">
        <v>378</v>
      </c>
      <c r="G1625" s="267" t="s">
        <v>3250</v>
      </c>
    </row>
    <row r="1626" spans="1:7">
      <c r="A1626">
        <v>241001</v>
      </c>
      <c r="B1626">
        <v>2013</v>
      </c>
      <c r="C1626" t="s">
        <v>379</v>
      </c>
      <c r="D1626" t="s">
        <v>131</v>
      </c>
      <c r="E1626" t="s">
        <v>362</v>
      </c>
      <c r="F1626" s="267" t="s">
        <v>380</v>
      </c>
      <c r="G1626" s="267" t="s">
        <v>3251</v>
      </c>
    </row>
    <row r="1627" spans="1:7">
      <c r="A1627">
        <v>241999</v>
      </c>
      <c r="B1627">
        <v>2013</v>
      </c>
      <c r="C1627" t="s">
        <v>381</v>
      </c>
      <c r="D1627" t="s">
        <v>131</v>
      </c>
      <c r="E1627" t="s">
        <v>362</v>
      </c>
      <c r="F1627" s="267" t="s">
        <v>382</v>
      </c>
      <c r="G1627" s="267" t="s">
        <v>3252</v>
      </c>
    </row>
    <row r="1628" spans="1:7">
      <c r="A1628">
        <v>251</v>
      </c>
      <c r="B1628">
        <v>2013</v>
      </c>
      <c r="C1628" t="s">
        <v>101</v>
      </c>
      <c r="D1628" t="s">
        <v>131</v>
      </c>
      <c r="E1628" t="s">
        <v>362</v>
      </c>
      <c r="F1628" s="267" t="s">
        <v>383</v>
      </c>
      <c r="G1628" s="267" t="s">
        <v>3253</v>
      </c>
    </row>
    <row r="1629" spans="1:7">
      <c r="A1629">
        <v>252</v>
      </c>
      <c r="B1629">
        <v>2013</v>
      </c>
      <c r="C1629" t="s">
        <v>102</v>
      </c>
      <c r="D1629" t="s">
        <v>131</v>
      </c>
      <c r="E1629" t="s">
        <v>362</v>
      </c>
      <c r="F1629" s="267" t="s">
        <v>384</v>
      </c>
      <c r="G1629" s="267" t="s">
        <v>3254</v>
      </c>
    </row>
    <row r="1630" spans="1:7">
      <c r="A1630">
        <v>254</v>
      </c>
      <c r="B1630">
        <v>2013</v>
      </c>
      <c r="C1630" t="s">
        <v>103</v>
      </c>
      <c r="D1630" t="s">
        <v>131</v>
      </c>
      <c r="E1630" t="s">
        <v>362</v>
      </c>
      <c r="F1630" s="267" t="s">
        <v>385</v>
      </c>
      <c r="G1630" s="267" t="s">
        <v>3255</v>
      </c>
    </row>
    <row r="1631" spans="1:7">
      <c r="A1631">
        <v>255</v>
      </c>
      <c r="B1631">
        <v>2013</v>
      </c>
      <c r="C1631" t="s">
        <v>104</v>
      </c>
      <c r="D1631" t="s">
        <v>131</v>
      </c>
      <c r="E1631" t="s">
        <v>362</v>
      </c>
      <c r="F1631" s="267" t="s">
        <v>386</v>
      </c>
      <c r="G1631" s="267" t="s">
        <v>3256</v>
      </c>
    </row>
    <row r="1632" spans="1:7">
      <c r="A1632">
        <v>256</v>
      </c>
      <c r="B1632">
        <v>2013</v>
      </c>
      <c r="C1632" t="s">
        <v>105</v>
      </c>
      <c r="D1632" t="s">
        <v>131</v>
      </c>
      <c r="E1632" t="s">
        <v>362</v>
      </c>
      <c r="F1632" s="267" t="s">
        <v>387</v>
      </c>
      <c r="G1632" s="267" t="s">
        <v>3257</v>
      </c>
    </row>
    <row r="1633" spans="1:7">
      <c r="A1633">
        <v>257</v>
      </c>
      <c r="B1633">
        <v>2013</v>
      </c>
      <c r="C1633" t="s">
        <v>106</v>
      </c>
      <c r="D1633" t="s">
        <v>131</v>
      </c>
      <c r="E1633" t="s">
        <v>362</v>
      </c>
      <c r="F1633" s="267" t="s">
        <v>388</v>
      </c>
      <c r="G1633" s="267" t="s">
        <v>3258</v>
      </c>
    </row>
    <row r="1634" spans="1:7">
      <c r="A1634">
        <v>2</v>
      </c>
      <c r="B1634">
        <v>2013</v>
      </c>
      <c r="C1634" t="s">
        <v>155</v>
      </c>
      <c r="D1634" t="s">
        <v>131</v>
      </c>
      <c r="E1634" t="s">
        <v>362</v>
      </c>
      <c r="F1634" s="267" t="s">
        <v>389</v>
      </c>
      <c r="G1634" s="267" t="s">
        <v>3259</v>
      </c>
    </row>
    <row r="1635" spans="1:7">
      <c r="A1635">
        <v>351</v>
      </c>
      <c r="B1635">
        <v>2013</v>
      </c>
      <c r="C1635" t="s">
        <v>107</v>
      </c>
      <c r="D1635" t="s">
        <v>131</v>
      </c>
      <c r="E1635" t="s">
        <v>362</v>
      </c>
      <c r="F1635" s="267" t="s">
        <v>390</v>
      </c>
      <c r="G1635" s="267" t="s">
        <v>3260</v>
      </c>
    </row>
    <row r="1636" spans="1:7">
      <c r="A1636">
        <v>352</v>
      </c>
      <c r="B1636">
        <v>2013</v>
      </c>
      <c r="C1636" t="s">
        <v>108</v>
      </c>
      <c r="D1636" t="s">
        <v>131</v>
      </c>
      <c r="E1636" t="s">
        <v>362</v>
      </c>
      <c r="F1636" s="267" t="s">
        <v>391</v>
      </c>
      <c r="G1636" s="267" t="s">
        <v>3261</v>
      </c>
    </row>
    <row r="1637" spans="1:7">
      <c r="A1637">
        <v>353</v>
      </c>
      <c r="B1637">
        <v>2013</v>
      </c>
      <c r="C1637" t="s">
        <v>109</v>
      </c>
      <c r="D1637" t="s">
        <v>131</v>
      </c>
      <c r="E1637" t="s">
        <v>362</v>
      </c>
      <c r="F1637" s="267" t="s">
        <v>392</v>
      </c>
      <c r="G1637" s="267" t="s">
        <v>3262</v>
      </c>
    </row>
    <row r="1638" spans="1:7">
      <c r="A1638">
        <v>354</v>
      </c>
      <c r="B1638">
        <v>2013</v>
      </c>
      <c r="C1638" t="s">
        <v>110</v>
      </c>
      <c r="D1638" t="s">
        <v>131</v>
      </c>
      <c r="E1638" t="s">
        <v>362</v>
      </c>
      <c r="F1638" s="267" t="s">
        <v>393</v>
      </c>
      <c r="G1638" s="267" t="s">
        <v>3263</v>
      </c>
    </row>
    <row r="1639" spans="1:7">
      <c r="A1639">
        <v>355</v>
      </c>
      <c r="B1639">
        <v>2013</v>
      </c>
      <c r="C1639" t="s">
        <v>111</v>
      </c>
      <c r="D1639" t="s">
        <v>131</v>
      </c>
      <c r="E1639" t="s">
        <v>362</v>
      </c>
      <c r="F1639" s="267" t="s">
        <v>394</v>
      </c>
      <c r="G1639" s="267" t="s">
        <v>3264</v>
      </c>
    </row>
    <row r="1640" spans="1:7">
      <c r="A1640">
        <v>356</v>
      </c>
      <c r="B1640">
        <v>2013</v>
      </c>
      <c r="C1640" t="s">
        <v>112</v>
      </c>
      <c r="D1640" t="s">
        <v>131</v>
      </c>
      <c r="E1640" t="s">
        <v>362</v>
      </c>
      <c r="F1640" s="267" t="s">
        <v>395</v>
      </c>
      <c r="G1640" s="267" t="s">
        <v>3265</v>
      </c>
    </row>
    <row r="1641" spans="1:7">
      <c r="A1641">
        <v>357</v>
      </c>
      <c r="B1641">
        <v>2013</v>
      </c>
      <c r="C1641" t="s">
        <v>113</v>
      </c>
      <c r="D1641" t="s">
        <v>131</v>
      </c>
      <c r="E1641" t="s">
        <v>362</v>
      </c>
      <c r="F1641" s="267" t="s">
        <v>396</v>
      </c>
      <c r="G1641" s="267" t="s">
        <v>3266</v>
      </c>
    </row>
    <row r="1642" spans="1:7">
      <c r="A1642">
        <v>358</v>
      </c>
      <c r="B1642">
        <v>2013</v>
      </c>
      <c r="C1642" t="s">
        <v>114</v>
      </c>
      <c r="D1642" t="s">
        <v>131</v>
      </c>
      <c r="E1642" t="s">
        <v>362</v>
      </c>
      <c r="F1642" s="267" t="s">
        <v>397</v>
      </c>
      <c r="G1642" s="267" t="s">
        <v>3267</v>
      </c>
    </row>
    <row r="1643" spans="1:7">
      <c r="A1643">
        <v>359</v>
      </c>
      <c r="B1643">
        <v>2013</v>
      </c>
      <c r="C1643" t="s">
        <v>115</v>
      </c>
      <c r="D1643" t="s">
        <v>131</v>
      </c>
      <c r="E1643" t="s">
        <v>362</v>
      </c>
      <c r="F1643" s="267" t="s">
        <v>398</v>
      </c>
      <c r="G1643" s="267" t="s">
        <v>3268</v>
      </c>
    </row>
    <row r="1644" spans="1:7">
      <c r="A1644">
        <v>360</v>
      </c>
      <c r="B1644">
        <v>2013</v>
      </c>
      <c r="C1644" t="s">
        <v>116</v>
      </c>
      <c r="D1644" t="s">
        <v>131</v>
      </c>
      <c r="E1644" t="s">
        <v>362</v>
      </c>
      <c r="F1644" s="267" t="s">
        <v>399</v>
      </c>
      <c r="G1644" s="267" t="s">
        <v>3269</v>
      </c>
    </row>
    <row r="1645" spans="1:7">
      <c r="A1645">
        <v>361</v>
      </c>
      <c r="B1645">
        <v>2013</v>
      </c>
      <c r="C1645" t="s">
        <v>117</v>
      </c>
      <c r="D1645" t="s">
        <v>131</v>
      </c>
      <c r="E1645" t="s">
        <v>362</v>
      </c>
      <c r="F1645" s="267" t="s">
        <v>400</v>
      </c>
      <c r="G1645" s="267" t="s">
        <v>3270</v>
      </c>
    </row>
    <row r="1646" spans="1:7">
      <c r="A1646">
        <v>3</v>
      </c>
      <c r="B1646">
        <v>2013</v>
      </c>
      <c r="C1646" t="s">
        <v>156</v>
      </c>
      <c r="D1646" t="s">
        <v>131</v>
      </c>
      <c r="E1646" t="s">
        <v>362</v>
      </c>
      <c r="F1646" s="267" t="s">
        <v>401</v>
      </c>
      <c r="G1646" s="267" t="s">
        <v>3271</v>
      </c>
    </row>
    <row r="1647" spans="1:7">
      <c r="A1647">
        <v>401</v>
      </c>
      <c r="B1647">
        <v>2013</v>
      </c>
      <c r="C1647" t="s">
        <v>402</v>
      </c>
      <c r="D1647" t="s">
        <v>131</v>
      </c>
      <c r="E1647" t="s">
        <v>362</v>
      </c>
      <c r="F1647" s="267" t="s">
        <v>403</v>
      </c>
      <c r="G1647" s="267" t="s">
        <v>3272</v>
      </c>
    </row>
    <row r="1648" spans="1:7">
      <c r="A1648">
        <v>402</v>
      </c>
      <c r="B1648">
        <v>2013</v>
      </c>
      <c r="C1648" t="s">
        <v>404</v>
      </c>
      <c r="D1648" t="s">
        <v>131</v>
      </c>
      <c r="E1648" t="s">
        <v>362</v>
      </c>
      <c r="F1648" s="267" t="s">
        <v>405</v>
      </c>
      <c r="G1648" s="267" t="s">
        <v>3273</v>
      </c>
    </row>
    <row r="1649" spans="1:7">
      <c r="A1649">
        <v>403</v>
      </c>
      <c r="B1649">
        <v>2013</v>
      </c>
      <c r="C1649" t="s">
        <v>406</v>
      </c>
      <c r="D1649" t="s">
        <v>131</v>
      </c>
      <c r="E1649" t="s">
        <v>362</v>
      </c>
      <c r="F1649" s="267" t="s">
        <v>407</v>
      </c>
      <c r="G1649" s="267" t="s">
        <v>3274</v>
      </c>
    </row>
    <row r="1650" spans="1:7">
      <c r="A1650">
        <v>404</v>
      </c>
      <c r="B1650">
        <v>2013</v>
      </c>
      <c r="C1650" t="s">
        <v>408</v>
      </c>
      <c r="D1650" t="s">
        <v>131</v>
      </c>
      <c r="E1650" t="s">
        <v>362</v>
      </c>
      <c r="F1650" s="267" t="s">
        <v>409</v>
      </c>
      <c r="G1650" s="267" t="s">
        <v>3275</v>
      </c>
    </row>
    <row r="1651" spans="1:7">
      <c r="A1651">
        <v>405</v>
      </c>
      <c r="B1651">
        <v>2013</v>
      </c>
      <c r="C1651" t="s">
        <v>410</v>
      </c>
      <c r="D1651" t="s">
        <v>131</v>
      </c>
      <c r="E1651" t="s">
        <v>362</v>
      </c>
      <c r="F1651" s="267" t="s">
        <v>411</v>
      </c>
      <c r="G1651" s="267" t="s">
        <v>3276</v>
      </c>
    </row>
    <row r="1652" spans="1:7">
      <c r="A1652">
        <v>451</v>
      </c>
      <c r="B1652">
        <v>2013</v>
      </c>
      <c r="C1652" t="s">
        <v>118</v>
      </c>
      <c r="D1652" t="s">
        <v>131</v>
      </c>
      <c r="E1652" t="s">
        <v>362</v>
      </c>
      <c r="F1652" s="267" t="s">
        <v>412</v>
      </c>
      <c r="G1652" s="267" t="s">
        <v>3277</v>
      </c>
    </row>
    <row r="1653" spans="1:7">
      <c r="A1653">
        <v>452</v>
      </c>
      <c r="B1653">
        <v>2013</v>
      </c>
      <c r="C1653" t="s">
        <v>119</v>
      </c>
      <c r="D1653" t="s">
        <v>131</v>
      </c>
      <c r="E1653" t="s">
        <v>362</v>
      </c>
      <c r="F1653" s="267" t="s">
        <v>413</v>
      </c>
      <c r="G1653" s="267" t="s">
        <v>3278</v>
      </c>
    </row>
    <row r="1654" spans="1:7">
      <c r="A1654">
        <v>453</v>
      </c>
      <c r="B1654">
        <v>2013</v>
      </c>
      <c r="C1654" t="s">
        <v>120</v>
      </c>
      <c r="D1654" t="s">
        <v>131</v>
      </c>
      <c r="E1654" t="s">
        <v>362</v>
      </c>
      <c r="F1654" s="267" t="s">
        <v>414</v>
      </c>
      <c r="G1654" s="267" t="s">
        <v>3279</v>
      </c>
    </row>
    <row r="1655" spans="1:7">
      <c r="A1655">
        <v>454</v>
      </c>
      <c r="B1655">
        <v>2013</v>
      </c>
      <c r="C1655" t="s">
        <v>121</v>
      </c>
      <c r="D1655" t="s">
        <v>131</v>
      </c>
      <c r="E1655" t="s">
        <v>362</v>
      </c>
      <c r="F1655" s="267" t="s">
        <v>415</v>
      </c>
      <c r="G1655" s="267" t="s">
        <v>3280</v>
      </c>
    </row>
    <row r="1656" spans="1:7">
      <c r="A1656">
        <v>455</v>
      </c>
      <c r="B1656">
        <v>2013</v>
      </c>
      <c r="C1656" t="s">
        <v>122</v>
      </c>
      <c r="D1656" t="s">
        <v>131</v>
      </c>
      <c r="E1656" t="s">
        <v>362</v>
      </c>
      <c r="F1656" s="267" t="s">
        <v>416</v>
      </c>
      <c r="G1656" s="267" t="s">
        <v>3281</v>
      </c>
    </row>
    <row r="1657" spans="1:7">
      <c r="A1657">
        <v>456</v>
      </c>
      <c r="B1657">
        <v>2013</v>
      </c>
      <c r="C1657" t="s">
        <v>123</v>
      </c>
      <c r="D1657" t="s">
        <v>131</v>
      </c>
      <c r="E1657" t="s">
        <v>362</v>
      </c>
      <c r="F1657" s="267" t="s">
        <v>417</v>
      </c>
      <c r="G1657" s="267" t="s">
        <v>3282</v>
      </c>
    </row>
    <row r="1658" spans="1:7">
      <c r="A1658">
        <v>457</v>
      </c>
      <c r="B1658">
        <v>2013</v>
      </c>
      <c r="C1658" t="s">
        <v>124</v>
      </c>
      <c r="D1658" t="s">
        <v>131</v>
      </c>
      <c r="E1658" t="s">
        <v>362</v>
      </c>
      <c r="F1658" s="267" t="s">
        <v>418</v>
      </c>
      <c r="G1658" s="267" t="s">
        <v>3283</v>
      </c>
    </row>
    <row r="1659" spans="1:7">
      <c r="A1659">
        <v>458</v>
      </c>
      <c r="B1659">
        <v>2013</v>
      </c>
      <c r="C1659" t="s">
        <v>125</v>
      </c>
      <c r="D1659" t="s">
        <v>131</v>
      </c>
      <c r="E1659" t="s">
        <v>362</v>
      </c>
      <c r="F1659" s="267" t="s">
        <v>419</v>
      </c>
      <c r="G1659" s="267" t="s">
        <v>3284</v>
      </c>
    </row>
    <row r="1660" spans="1:7">
      <c r="A1660">
        <v>459</v>
      </c>
      <c r="B1660">
        <v>2013</v>
      </c>
      <c r="C1660" t="s">
        <v>126</v>
      </c>
      <c r="D1660" t="s">
        <v>131</v>
      </c>
      <c r="E1660" t="s">
        <v>362</v>
      </c>
      <c r="F1660" s="267" t="s">
        <v>420</v>
      </c>
      <c r="G1660" s="267" t="s">
        <v>3285</v>
      </c>
    </row>
    <row r="1661" spans="1:7">
      <c r="A1661">
        <v>460</v>
      </c>
      <c r="B1661">
        <v>2013</v>
      </c>
      <c r="C1661" t="s">
        <v>127</v>
      </c>
      <c r="D1661" t="s">
        <v>131</v>
      </c>
      <c r="E1661" t="s">
        <v>362</v>
      </c>
      <c r="F1661" s="267" t="s">
        <v>421</v>
      </c>
      <c r="G1661" s="267" t="s">
        <v>3286</v>
      </c>
    </row>
    <row r="1662" spans="1:7">
      <c r="A1662">
        <v>461</v>
      </c>
      <c r="B1662">
        <v>2013</v>
      </c>
      <c r="C1662" t="s">
        <v>128</v>
      </c>
      <c r="D1662" t="s">
        <v>131</v>
      </c>
      <c r="E1662" t="s">
        <v>362</v>
      </c>
      <c r="F1662" s="267" t="s">
        <v>422</v>
      </c>
      <c r="G1662" s="267" t="s">
        <v>3287</v>
      </c>
    </row>
    <row r="1663" spans="1:7">
      <c r="A1663">
        <v>462</v>
      </c>
      <c r="B1663">
        <v>2013</v>
      </c>
      <c r="C1663" t="s">
        <v>129</v>
      </c>
      <c r="D1663" t="s">
        <v>131</v>
      </c>
      <c r="E1663" t="s">
        <v>362</v>
      </c>
      <c r="F1663" s="267" t="s">
        <v>423</v>
      </c>
      <c r="G1663" s="267" t="s">
        <v>3288</v>
      </c>
    </row>
    <row r="1664" spans="1:7">
      <c r="A1664">
        <v>4</v>
      </c>
      <c r="B1664">
        <v>2013</v>
      </c>
      <c r="C1664" t="s">
        <v>157</v>
      </c>
      <c r="D1664" t="s">
        <v>131</v>
      </c>
      <c r="E1664" t="s">
        <v>362</v>
      </c>
      <c r="F1664" s="267" t="s">
        <v>424</v>
      </c>
      <c r="G1664" s="267" t="s">
        <v>3289</v>
      </c>
    </row>
    <row r="1665" spans="1:7">
      <c r="A1665">
        <v>0</v>
      </c>
      <c r="B1665">
        <v>2013</v>
      </c>
      <c r="C1665" t="s">
        <v>130</v>
      </c>
      <c r="D1665" t="s">
        <v>131</v>
      </c>
      <c r="E1665" t="s">
        <v>362</v>
      </c>
      <c r="F1665" s="267" t="s">
        <v>425</v>
      </c>
      <c r="G1665" s="267" t="s">
        <v>3290</v>
      </c>
    </row>
    <row r="1666" spans="1:7">
      <c r="A1666">
        <v>101</v>
      </c>
      <c r="B1666">
        <v>2011</v>
      </c>
      <c r="C1666" t="s">
        <v>363</v>
      </c>
      <c r="D1666" t="s">
        <v>91</v>
      </c>
      <c r="E1666" t="s">
        <v>362</v>
      </c>
      <c r="F1666" s="267" t="s">
        <v>364</v>
      </c>
      <c r="G1666" s="267" t="s">
        <v>3291</v>
      </c>
    </row>
    <row r="1667" spans="1:7">
      <c r="A1667">
        <v>102</v>
      </c>
      <c r="B1667">
        <v>2011</v>
      </c>
      <c r="C1667" t="s">
        <v>365</v>
      </c>
      <c r="D1667" t="s">
        <v>91</v>
      </c>
      <c r="E1667" t="s">
        <v>362</v>
      </c>
      <c r="F1667" s="267" t="s">
        <v>366</v>
      </c>
      <c r="G1667" s="267" t="s">
        <v>3292</v>
      </c>
    </row>
    <row r="1668" spans="1:7">
      <c r="A1668">
        <v>103</v>
      </c>
      <c r="B1668">
        <v>2011</v>
      </c>
      <c r="C1668" t="s">
        <v>367</v>
      </c>
      <c r="D1668" t="s">
        <v>91</v>
      </c>
      <c r="E1668" t="s">
        <v>362</v>
      </c>
      <c r="F1668" s="267" t="s">
        <v>368</v>
      </c>
      <c r="G1668" s="267" t="s">
        <v>3293</v>
      </c>
    </row>
    <row r="1669" spans="1:7">
      <c r="A1669">
        <v>151</v>
      </c>
      <c r="B1669">
        <v>2011</v>
      </c>
      <c r="C1669" t="s">
        <v>94</v>
      </c>
      <c r="D1669" t="s">
        <v>91</v>
      </c>
      <c r="E1669" t="s">
        <v>362</v>
      </c>
      <c r="F1669" s="267" t="s">
        <v>369</v>
      </c>
      <c r="G1669" s="267" t="s">
        <v>3294</v>
      </c>
    </row>
    <row r="1670" spans="1:7">
      <c r="A1670">
        <v>153</v>
      </c>
      <c r="B1670">
        <v>2011</v>
      </c>
      <c r="C1670" t="s">
        <v>96</v>
      </c>
      <c r="D1670" t="s">
        <v>91</v>
      </c>
      <c r="E1670" t="s">
        <v>362</v>
      </c>
      <c r="F1670" s="267" t="s">
        <v>370</v>
      </c>
      <c r="G1670" s="267" t="s">
        <v>3295</v>
      </c>
    </row>
    <row r="1671" spans="1:7">
      <c r="A1671">
        <v>154</v>
      </c>
      <c r="B1671">
        <v>2011</v>
      </c>
      <c r="C1671" t="s">
        <v>97</v>
      </c>
      <c r="D1671" t="s">
        <v>91</v>
      </c>
      <c r="E1671" t="s">
        <v>362</v>
      </c>
      <c r="F1671" s="267" t="s">
        <v>371</v>
      </c>
      <c r="G1671" s="267" t="s">
        <v>3296</v>
      </c>
    </row>
    <row r="1672" spans="1:7">
      <c r="A1672">
        <v>155</v>
      </c>
      <c r="B1672">
        <v>2011</v>
      </c>
      <c r="C1672" t="s">
        <v>98</v>
      </c>
      <c r="D1672" t="s">
        <v>91</v>
      </c>
      <c r="E1672" t="s">
        <v>362</v>
      </c>
      <c r="F1672" s="267" t="s">
        <v>372</v>
      </c>
      <c r="G1672" s="267" t="s">
        <v>3297</v>
      </c>
    </row>
    <row r="1673" spans="1:7">
      <c r="A1673">
        <v>157</v>
      </c>
      <c r="B1673">
        <v>2011</v>
      </c>
      <c r="C1673" t="s">
        <v>99</v>
      </c>
      <c r="D1673" t="s">
        <v>91</v>
      </c>
      <c r="E1673" t="s">
        <v>362</v>
      </c>
      <c r="F1673" s="267" t="s">
        <v>373</v>
      </c>
      <c r="G1673" s="267" t="s">
        <v>3298</v>
      </c>
    </row>
    <row r="1674" spans="1:7">
      <c r="A1674">
        <v>158</v>
      </c>
      <c r="B1674">
        <v>2011</v>
      </c>
      <c r="C1674" t="s">
        <v>100</v>
      </c>
      <c r="D1674" t="s">
        <v>91</v>
      </c>
      <c r="E1674" t="s">
        <v>362</v>
      </c>
      <c r="F1674" s="267" t="s">
        <v>374</v>
      </c>
      <c r="G1674" s="267" t="s">
        <v>3299</v>
      </c>
    </row>
    <row r="1675" spans="1:7">
      <c r="A1675">
        <v>159</v>
      </c>
      <c r="B1675">
        <v>2011</v>
      </c>
      <c r="C1675" t="s">
        <v>95</v>
      </c>
      <c r="D1675" t="s">
        <v>91</v>
      </c>
      <c r="E1675" t="s">
        <v>362</v>
      </c>
      <c r="F1675" s="267" t="s">
        <v>375</v>
      </c>
      <c r="G1675" s="267" t="s">
        <v>3300</v>
      </c>
    </row>
    <row r="1676" spans="1:7">
      <c r="A1676">
        <v>1</v>
      </c>
      <c r="B1676">
        <v>2011</v>
      </c>
      <c r="C1676" t="s">
        <v>154</v>
      </c>
      <c r="D1676" t="s">
        <v>91</v>
      </c>
      <c r="E1676" t="s">
        <v>362</v>
      </c>
      <c r="F1676" s="267" t="s">
        <v>376</v>
      </c>
      <c r="G1676" s="267" t="s">
        <v>3301</v>
      </c>
    </row>
    <row r="1677" spans="1:7">
      <c r="A1677">
        <v>241</v>
      </c>
      <c r="B1677">
        <v>2011</v>
      </c>
      <c r="C1677" t="s">
        <v>377</v>
      </c>
      <c r="D1677" t="s">
        <v>91</v>
      </c>
      <c r="E1677" t="s">
        <v>362</v>
      </c>
      <c r="F1677" s="267" t="s">
        <v>378</v>
      </c>
      <c r="G1677" s="267" t="s">
        <v>3302</v>
      </c>
    </row>
    <row r="1678" spans="1:7">
      <c r="A1678">
        <v>241001</v>
      </c>
      <c r="B1678">
        <v>2011</v>
      </c>
      <c r="C1678" t="s">
        <v>379</v>
      </c>
      <c r="D1678" t="s">
        <v>91</v>
      </c>
      <c r="E1678" t="s">
        <v>362</v>
      </c>
      <c r="F1678" s="267" t="s">
        <v>380</v>
      </c>
      <c r="G1678" s="267" t="s">
        <v>3303</v>
      </c>
    </row>
    <row r="1679" spans="1:7">
      <c r="A1679">
        <v>241999</v>
      </c>
      <c r="B1679">
        <v>2011</v>
      </c>
      <c r="C1679" t="s">
        <v>381</v>
      </c>
      <c r="D1679" t="s">
        <v>91</v>
      </c>
      <c r="E1679" t="s">
        <v>362</v>
      </c>
      <c r="F1679" s="267" t="s">
        <v>382</v>
      </c>
      <c r="G1679" s="267" t="s">
        <v>3304</v>
      </c>
    </row>
    <row r="1680" spans="1:7">
      <c r="A1680">
        <v>251</v>
      </c>
      <c r="B1680">
        <v>2011</v>
      </c>
      <c r="C1680" t="s">
        <v>101</v>
      </c>
      <c r="D1680" t="s">
        <v>91</v>
      </c>
      <c r="E1680" t="s">
        <v>362</v>
      </c>
      <c r="F1680" s="267" t="s">
        <v>383</v>
      </c>
      <c r="G1680" s="267" t="s">
        <v>3305</v>
      </c>
    </row>
    <row r="1681" spans="1:7">
      <c r="A1681">
        <v>252</v>
      </c>
      <c r="B1681">
        <v>2011</v>
      </c>
      <c r="C1681" t="s">
        <v>102</v>
      </c>
      <c r="D1681" t="s">
        <v>91</v>
      </c>
      <c r="E1681" t="s">
        <v>362</v>
      </c>
      <c r="F1681" s="267" t="s">
        <v>384</v>
      </c>
      <c r="G1681" s="267" t="s">
        <v>3306</v>
      </c>
    </row>
    <row r="1682" spans="1:7">
      <c r="A1682">
        <v>254</v>
      </c>
      <c r="B1682">
        <v>2011</v>
      </c>
      <c r="C1682" t="s">
        <v>103</v>
      </c>
      <c r="D1682" t="s">
        <v>91</v>
      </c>
      <c r="E1682" t="s">
        <v>362</v>
      </c>
      <c r="F1682" s="267" t="s">
        <v>385</v>
      </c>
      <c r="G1682" s="267" t="s">
        <v>3307</v>
      </c>
    </row>
    <row r="1683" spans="1:7">
      <c r="A1683">
        <v>255</v>
      </c>
      <c r="B1683">
        <v>2011</v>
      </c>
      <c r="C1683" t="s">
        <v>104</v>
      </c>
      <c r="D1683" t="s">
        <v>91</v>
      </c>
      <c r="E1683" t="s">
        <v>362</v>
      </c>
      <c r="F1683" s="267" t="s">
        <v>386</v>
      </c>
      <c r="G1683" s="267" t="s">
        <v>3308</v>
      </c>
    </row>
    <row r="1684" spans="1:7">
      <c r="A1684">
        <v>256</v>
      </c>
      <c r="B1684">
        <v>2011</v>
      </c>
      <c r="C1684" t="s">
        <v>105</v>
      </c>
      <c r="D1684" t="s">
        <v>91</v>
      </c>
      <c r="E1684" t="s">
        <v>362</v>
      </c>
      <c r="F1684" s="267" t="s">
        <v>387</v>
      </c>
      <c r="G1684" s="267" t="s">
        <v>3309</v>
      </c>
    </row>
    <row r="1685" spans="1:7">
      <c r="A1685">
        <v>257</v>
      </c>
      <c r="B1685">
        <v>2011</v>
      </c>
      <c r="C1685" t="s">
        <v>106</v>
      </c>
      <c r="D1685" t="s">
        <v>91</v>
      </c>
      <c r="E1685" t="s">
        <v>362</v>
      </c>
      <c r="F1685" s="267" t="s">
        <v>388</v>
      </c>
      <c r="G1685" s="267" t="s">
        <v>3310</v>
      </c>
    </row>
    <row r="1686" spans="1:7">
      <c r="A1686">
        <v>2</v>
      </c>
      <c r="B1686">
        <v>2011</v>
      </c>
      <c r="C1686" t="s">
        <v>155</v>
      </c>
      <c r="D1686" t="s">
        <v>91</v>
      </c>
      <c r="E1686" t="s">
        <v>362</v>
      </c>
      <c r="F1686" s="267" t="s">
        <v>389</v>
      </c>
      <c r="G1686" s="267" t="s">
        <v>3311</v>
      </c>
    </row>
    <row r="1687" spans="1:7">
      <c r="A1687">
        <v>351</v>
      </c>
      <c r="B1687">
        <v>2011</v>
      </c>
      <c r="C1687" t="s">
        <v>107</v>
      </c>
      <c r="D1687" t="s">
        <v>91</v>
      </c>
      <c r="E1687" t="s">
        <v>362</v>
      </c>
      <c r="F1687" s="267" t="s">
        <v>390</v>
      </c>
      <c r="G1687" s="267" t="s">
        <v>3312</v>
      </c>
    </row>
    <row r="1688" spans="1:7">
      <c r="A1688">
        <v>352</v>
      </c>
      <c r="B1688">
        <v>2011</v>
      </c>
      <c r="C1688" t="s">
        <v>108</v>
      </c>
      <c r="D1688" t="s">
        <v>91</v>
      </c>
      <c r="E1688" t="s">
        <v>362</v>
      </c>
      <c r="F1688" s="267" t="s">
        <v>391</v>
      </c>
      <c r="G1688" s="267" t="s">
        <v>3313</v>
      </c>
    </row>
    <row r="1689" spans="1:7">
      <c r="A1689">
        <v>353</v>
      </c>
      <c r="B1689">
        <v>2011</v>
      </c>
      <c r="C1689" t="s">
        <v>109</v>
      </c>
      <c r="D1689" t="s">
        <v>91</v>
      </c>
      <c r="E1689" t="s">
        <v>362</v>
      </c>
      <c r="F1689" s="267" t="s">
        <v>392</v>
      </c>
      <c r="G1689" s="267" t="s">
        <v>3314</v>
      </c>
    </row>
    <row r="1690" spans="1:7">
      <c r="A1690">
        <v>354</v>
      </c>
      <c r="B1690">
        <v>2011</v>
      </c>
      <c r="C1690" t="s">
        <v>110</v>
      </c>
      <c r="D1690" t="s">
        <v>91</v>
      </c>
      <c r="E1690" t="s">
        <v>362</v>
      </c>
      <c r="F1690" s="267" t="s">
        <v>393</v>
      </c>
      <c r="G1690" s="267" t="s">
        <v>3315</v>
      </c>
    </row>
    <row r="1691" spans="1:7">
      <c r="A1691">
        <v>355</v>
      </c>
      <c r="B1691">
        <v>2011</v>
      </c>
      <c r="C1691" t="s">
        <v>111</v>
      </c>
      <c r="D1691" t="s">
        <v>91</v>
      </c>
      <c r="E1691" t="s">
        <v>362</v>
      </c>
      <c r="F1691" s="267" t="s">
        <v>394</v>
      </c>
      <c r="G1691" s="267" t="s">
        <v>3316</v>
      </c>
    </row>
    <row r="1692" spans="1:7">
      <c r="A1692">
        <v>356</v>
      </c>
      <c r="B1692">
        <v>2011</v>
      </c>
      <c r="C1692" t="s">
        <v>112</v>
      </c>
      <c r="D1692" t="s">
        <v>91</v>
      </c>
      <c r="E1692" t="s">
        <v>362</v>
      </c>
      <c r="F1692" s="267" t="s">
        <v>395</v>
      </c>
      <c r="G1692" s="267" t="s">
        <v>3317</v>
      </c>
    </row>
    <row r="1693" spans="1:7">
      <c r="A1693">
        <v>357</v>
      </c>
      <c r="B1693">
        <v>2011</v>
      </c>
      <c r="C1693" t="s">
        <v>113</v>
      </c>
      <c r="D1693" t="s">
        <v>91</v>
      </c>
      <c r="E1693" t="s">
        <v>362</v>
      </c>
      <c r="F1693" s="267" t="s">
        <v>396</v>
      </c>
      <c r="G1693" s="267" t="s">
        <v>3318</v>
      </c>
    </row>
    <row r="1694" spans="1:7">
      <c r="A1694">
        <v>358</v>
      </c>
      <c r="B1694">
        <v>2011</v>
      </c>
      <c r="C1694" t="s">
        <v>114</v>
      </c>
      <c r="D1694" t="s">
        <v>91</v>
      </c>
      <c r="E1694" t="s">
        <v>362</v>
      </c>
      <c r="F1694" s="267" t="s">
        <v>397</v>
      </c>
      <c r="G1694" s="267" t="s">
        <v>3319</v>
      </c>
    </row>
    <row r="1695" spans="1:7">
      <c r="A1695">
        <v>359</v>
      </c>
      <c r="B1695">
        <v>2011</v>
      </c>
      <c r="C1695" t="s">
        <v>115</v>
      </c>
      <c r="D1695" t="s">
        <v>91</v>
      </c>
      <c r="E1695" t="s">
        <v>362</v>
      </c>
      <c r="F1695" s="267" t="s">
        <v>398</v>
      </c>
      <c r="G1695" s="267" t="s">
        <v>3320</v>
      </c>
    </row>
    <row r="1696" spans="1:7">
      <c r="A1696">
        <v>360</v>
      </c>
      <c r="B1696">
        <v>2011</v>
      </c>
      <c r="C1696" t="s">
        <v>116</v>
      </c>
      <c r="D1696" t="s">
        <v>91</v>
      </c>
      <c r="E1696" t="s">
        <v>362</v>
      </c>
      <c r="F1696" s="267" t="s">
        <v>399</v>
      </c>
      <c r="G1696" s="267" t="s">
        <v>3321</v>
      </c>
    </row>
    <row r="1697" spans="1:7">
      <c r="A1697">
        <v>361</v>
      </c>
      <c r="B1697">
        <v>2011</v>
      </c>
      <c r="C1697" t="s">
        <v>117</v>
      </c>
      <c r="D1697" t="s">
        <v>91</v>
      </c>
      <c r="E1697" t="s">
        <v>362</v>
      </c>
      <c r="F1697" s="267" t="s">
        <v>400</v>
      </c>
      <c r="G1697" s="267" t="s">
        <v>3322</v>
      </c>
    </row>
    <row r="1698" spans="1:7">
      <c r="A1698">
        <v>3</v>
      </c>
      <c r="B1698">
        <v>2011</v>
      </c>
      <c r="C1698" t="s">
        <v>156</v>
      </c>
      <c r="D1698" t="s">
        <v>91</v>
      </c>
      <c r="E1698" t="s">
        <v>362</v>
      </c>
      <c r="F1698" s="267" t="s">
        <v>401</v>
      </c>
      <c r="G1698" s="267" t="s">
        <v>3323</v>
      </c>
    </row>
    <row r="1699" spans="1:7">
      <c r="A1699">
        <v>401</v>
      </c>
      <c r="B1699">
        <v>2011</v>
      </c>
      <c r="C1699" t="s">
        <v>402</v>
      </c>
      <c r="D1699" t="s">
        <v>91</v>
      </c>
      <c r="E1699" t="s">
        <v>362</v>
      </c>
      <c r="F1699" s="267" t="s">
        <v>403</v>
      </c>
      <c r="G1699" s="267" t="s">
        <v>3324</v>
      </c>
    </row>
    <row r="1700" spans="1:7">
      <c r="A1700">
        <v>402</v>
      </c>
      <c r="B1700">
        <v>2011</v>
      </c>
      <c r="C1700" t="s">
        <v>404</v>
      </c>
      <c r="D1700" t="s">
        <v>91</v>
      </c>
      <c r="E1700" t="s">
        <v>362</v>
      </c>
      <c r="F1700" s="267" t="s">
        <v>405</v>
      </c>
      <c r="G1700" s="267" t="s">
        <v>3325</v>
      </c>
    </row>
    <row r="1701" spans="1:7">
      <c r="A1701">
        <v>403</v>
      </c>
      <c r="B1701">
        <v>2011</v>
      </c>
      <c r="C1701" t="s">
        <v>406</v>
      </c>
      <c r="D1701" t="s">
        <v>91</v>
      </c>
      <c r="E1701" t="s">
        <v>362</v>
      </c>
      <c r="F1701" s="267" t="s">
        <v>407</v>
      </c>
      <c r="G1701" s="267" t="s">
        <v>3326</v>
      </c>
    </row>
    <row r="1702" spans="1:7">
      <c r="A1702">
        <v>404</v>
      </c>
      <c r="B1702">
        <v>2011</v>
      </c>
      <c r="C1702" t="s">
        <v>408</v>
      </c>
      <c r="D1702" t="s">
        <v>91</v>
      </c>
      <c r="E1702" t="s">
        <v>362</v>
      </c>
      <c r="F1702" s="267" t="s">
        <v>409</v>
      </c>
      <c r="G1702" s="267" t="s">
        <v>3327</v>
      </c>
    </row>
    <row r="1703" spans="1:7">
      <c r="A1703">
        <v>405</v>
      </c>
      <c r="B1703">
        <v>2011</v>
      </c>
      <c r="C1703" t="s">
        <v>410</v>
      </c>
      <c r="D1703" t="s">
        <v>91</v>
      </c>
      <c r="E1703" t="s">
        <v>362</v>
      </c>
      <c r="F1703" s="267" t="s">
        <v>411</v>
      </c>
      <c r="G1703" s="267" t="s">
        <v>3328</v>
      </c>
    </row>
    <row r="1704" spans="1:7">
      <c r="A1704">
        <v>451</v>
      </c>
      <c r="B1704">
        <v>2011</v>
      </c>
      <c r="C1704" t="s">
        <v>118</v>
      </c>
      <c r="D1704" t="s">
        <v>91</v>
      </c>
      <c r="E1704" t="s">
        <v>362</v>
      </c>
      <c r="F1704" s="267" t="s">
        <v>412</v>
      </c>
      <c r="G1704" s="267" t="s">
        <v>3329</v>
      </c>
    </row>
    <row r="1705" spans="1:7">
      <c r="A1705">
        <v>452</v>
      </c>
      <c r="B1705">
        <v>2011</v>
      </c>
      <c r="C1705" t="s">
        <v>119</v>
      </c>
      <c r="D1705" t="s">
        <v>91</v>
      </c>
      <c r="E1705" t="s">
        <v>362</v>
      </c>
      <c r="F1705" s="267" t="s">
        <v>413</v>
      </c>
      <c r="G1705" s="267" t="s">
        <v>3330</v>
      </c>
    </row>
    <row r="1706" spans="1:7">
      <c r="A1706">
        <v>453</v>
      </c>
      <c r="B1706">
        <v>2011</v>
      </c>
      <c r="C1706" t="s">
        <v>120</v>
      </c>
      <c r="D1706" t="s">
        <v>91</v>
      </c>
      <c r="E1706" t="s">
        <v>362</v>
      </c>
      <c r="F1706" s="267" t="s">
        <v>414</v>
      </c>
      <c r="G1706" s="267" t="s">
        <v>3331</v>
      </c>
    </row>
    <row r="1707" spans="1:7">
      <c r="A1707">
        <v>454</v>
      </c>
      <c r="B1707">
        <v>2011</v>
      </c>
      <c r="C1707" t="s">
        <v>121</v>
      </c>
      <c r="D1707" t="s">
        <v>91</v>
      </c>
      <c r="E1707" t="s">
        <v>362</v>
      </c>
      <c r="F1707" s="267" t="s">
        <v>415</v>
      </c>
      <c r="G1707" s="267" t="s">
        <v>3332</v>
      </c>
    </row>
    <row r="1708" spans="1:7">
      <c r="A1708">
        <v>455</v>
      </c>
      <c r="B1708">
        <v>2011</v>
      </c>
      <c r="C1708" t="s">
        <v>122</v>
      </c>
      <c r="D1708" t="s">
        <v>91</v>
      </c>
      <c r="E1708" t="s">
        <v>362</v>
      </c>
      <c r="F1708" s="267" t="s">
        <v>416</v>
      </c>
      <c r="G1708" s="267" t="s">
        <v>3333</v>
      </c>
    </row>
    <row r="1709" spans="1:7">
      <c r="A1709">
        <v>456</v>
      </c>
      <c r="B1709">
        <v>2011</v>
      </c>
      <c r="C1709" t="s">
        <v>123</v>
      </c>
      <c r="D1709" t="s">
        <v>91</v>
      </c>
      <c r="E1709" t="s">
        <v>362</v>
      </c>
      <c r="F1709" s="267" t="s">
        <v>417</v>
      </c>
      <c r="G1709" s="267" t="s">
        <v>3334</v>
      </c>
    </row>
    <row r="1710" spans="1:7">
      <c r="A1710">
        <v>457</v>
      </c>
      <c r="B1710">
        <v>2011</v>
      </c>
      <c r="C1710" t="s">
        <v>124</v>
      </c>
      <c r="D1710" t="s">
        <v>91</v>
      </c>
      <c r="E1710" t="s">
        <v>362</v>
      </c>
      <c r="F1710" s="267" t="s">
        <v>418</v>
      </c>
      <c r="G1710" s="267" t="s">
        <v>3335</v>
      </c>
    </row>
    <row r="1711" spans="1:7">
      <c r="A1711">
        <v>458</v>
      </c>
      <c r="B1711">
        <v>2011</v>
      </c>
      <c r="C1711" t="s">
        <v>125</v>
      </c>
      <c r="D1711" t="s">
        <v>91</v>
      </c>
      <c r="E1711" t="s">
        <v>362</v>
      </c>
      <c r="F1711" s="267" t="s">
        <v>419</v>
      </c>
      <c r="G1711" s="267" t="s">
        <v>3336</v>
      </c>
    </row>
    <row r="1712" spans="1:7">
      <c r="A1712">
        <v>459</v>
      </c>
      <c r="B1712">
        <v>2011</v>
      </c>
      <c r="C1712" t="s">
        <v>126</v>
      </c>
      <c r="D1712" t="s">
        <v>91</v>
      </c>
      <c r="E1712" t="s">
        <v>362</v>
      </c>
      <c r="F1712" s="267" t="s">
        <v>420</v>
      </c>
      <c r="G1712" s="267" t="s">
        <v>3337</v>
      </c>
    </row>
    <row r="1713" spans="1:7">
      <c r="A1713">
        <v>460</v>
      </c>
      <c r="B1713">
        <v>2011</v>
      </c>
      <c r="C1713" t="s">
        <v>127</v>
      </c>
      <c r="D1713" t="s">
        <v>91</v>
      </c>
      <c r="E1713" t="s">
        <v>362</v>
      </c>
      <c r="F1713" s="267" t="s">
        <v>421</v>
      </c>
      <c r="G1713" s="267" t="s">
        <v>3338</v>
      </c>
    </row>
    <row r="1714" spans="1:7">
      <c r="A1714">
        <v>461</v>
      </c>
      <c r="B1714">
        <v>2011</v>
      </c>
      <c r="C1714" t="s">
        <v>128</v>
      </c>
      <c r="D1714" t="s">
        <v>91</v>
      </c>
      <c r="E1714" t="s">
        <v>362</v>
      </c>
      <c r="F1714" s="267" t="s">
        <v>422</v>
      </c>
      <c r="G1714" s="267" t="s">
        <v>3339</v>
      </c>
    </row>
    <row r="1715" spans="1:7">
      <c r="A1715">
        <v>462</v>
      </c>
      <c r="B1715">
        <v>2011</v>
      </c>
      <c r="C1715" t="s">
        <v>129</v>
      </c>
      <c r="D1715" t="s">
        <v>91</v>
      </c>
      <c r="E1715" t="s">
        <v>362</v>
      </c>
      <c r="F1715" s="267" t="s">
        <v>423</v>
      </c>
      <c r="G1715" s="267" t="s">
        <v>3340</v>
      </c>
    </row>
    <row r="1716" spans="1:7">
      <c r="A1716">
        <v>4</v>
      </c>
      <c r="B1716">
        <v>2011</v>
      </c>
      <c r="C1716" t="s">
        <v>157</v>
      </c>
      <c r="D1716" t="s">
        <v>91</v>
      </c>
      <c r="E1716" t="s">
        <v>362</v>
      </c>
      <c r="F1716" s="267" t="s">
        <v>424</v>
      </c>
      <c r="G1716" s="267" t="s">
        <v>3341</v>
      </c>
    </row>
    <row r="1717" spans="1:7">
      <c r="A1717">
        <v>0</v>
      </c>
      <c r="B1717">
        <v>2011</v>
      </c>
      <c r="C1717" t="s">
        <v>130</v>
      </c>
      <c r="D1717" t="s">
        <v>91</v>
      </c>
      <c r="E1717" t="s">
        <v>362</v>
      </c>
      <c r="F1717" s="267" t="s">
        <v>425</v>
      </c>
      <c r="G1717" s="267" t="s">
        <v>3342</v>
      </c>
    </row>
    <row r="1718" spans="1:7">
      <c r="A1718">
        <v>101</v>
      </c>
      <c r="B1718">
        <v>2011</v>
      </c>
      <c r="C1718" t="s">
        <v>363</v>
      </c>
      <c r="D1718" t="s">
        <v>92</v>
      </c>
      <c r="E1718" t="s">
        <v>362</v>
      </c>
      <c r="F1718" s="267" t="s">
        <v>364</v>
      </c>
      <c r="G1718" s="267" t="s">
        <v>3343</v>
      </c>
    </row>
    <row r="1719" spans="1:7">
      <c r="A1719">
        <v>102</v>
      </c>
      <c r="B1719">
        <v>2011</v>
      </c>
      <c r="C1719" t="s">
        <v>365</v>
      </c>
      <c r="D1719" t="s">
        <v>92</v>
      </c>
      <c r="E1719" t="s">
        <v>362</v>
      </c>
      <c r="F1719" s="267" t="s">
        <v>366</v>
      </c>
      <c r="G1719" s="267" t="s">
        <v>3344</v>
      </c>
    </row>
    <row r="1720" spans="1:7">
      <c r="A1720">
        <v>103</v>
      </c>
      <c r="B1720">
        <v>2011</v>
      </c>
      <c r="C1720" t="s">
        <v>367</v>
      </c>
      <c r="D1720" t="s">
        <v>92</v>
      </c>
      <c r="E1720" t="s">
        <v>362</v>
      </c>
      <c r="F1720" s="267" t="s">
        <v>368</v>
      </c>
      <c r="G1720" s="267" t="s">
        <v>3345</v>
      </c>
    </row>
    <row r="1721" spans="1:7">
      <c r="A1721">
        <v>151</v>
      </c>
      <c r="B1721">
        <v>2011</v>
      </c>
      <c r="C1721" t="s">
        <v>94</v>
      </c>
      <c r="D1721" t="s">
        <v>92</v>
      </c>
      <c r="E1721" t="s">
        <v>362</v>
      </c>
      <c r="F1721" s="267" t="s">
        <v>369</v>
      </c>
      <c r="G1721" s="267" t="s">
        <v>3346</v>
      </c>
    </row>
    <row r="1722" spans="1:7">
      <c r="A1722">
        <v>153</v>
      </c>
      <c r="B1722">
        <v>2011</v>
      </c>
      <c r="C1722" t="s">
        <v>96</v>
      </c>
      <c r="D1722" t="s">
        <v>92</v>
      </c>
      <c r="E1722" t="s">
        <v>362</v>
      </c>
      <c r="F1722" s="267" t="s">
        <v>370</v>
      </c>
      <c r="G1722" s="267" t="s">
        <v>3347</v>
      </c>
    </row>
    <row r="1723" spans="1:7">
      <c r="A1723">
        <v>154</v>
      </c>
      <c r="B1723">
        <v>2011</v>
      </c>
      <c r="C1723" t="s">
        <v>97</v>
      </c>
      <c r="D1723" t="s">
        <v>92</v>
      </c>
      <c r="E1723" t="s">
        <v>362</v>
      </c>
      <c r="F1723" s="267" t="s">
        <v>371</v>
      </c>
      <c r="G1723" s="267" t="s">
        <v>3348</v>
      </c>
    </row>
    <row r="1724" spans="1:7">
      <c r="A1724">
        <v>155</v>
      </c>
      <c r="B1724">
        <v>2011</v>
      </c>
      <c r="C1724" t="s">
        <v>98</v>
      </c>
      <c r="D1724" t="s">
        <v>92</v>
      </c>
      <c r="E1724" t="s">
        <v>362</v>
      </c>
      <c r="F1724" s="267" t="s">
        <v>372</v>
      </c>
      <c r="G1724" s="267" t="s">
        <v>3349</v>
      </c>
    </row>
    <row r="1725" spans="1:7">
      <c r="A1725">
        <v>157</v>
      </c>
      <c r="B1725">
        <v>2011</v>
      </c>
      <c r="C1725" t="s">
        <v>99</v>
      </c>
      <c r="D1725" t="s">
        <v>92</v>
      </c>
      <c r="E1725" t="s">
        <v>362</v>
      </c>
      <c r="F1725" s="267" t="s">
        <v>373</v>
      </c>
      <c r="G1725" s="267" t="s">
        <v>3350</v>
      </c>
    </row>
    <row r="1726" spans="1:7">
      <c r="A1726">
        <v>158</v>
      </c>
      <c r="B1726">
        <v>2011</v>
      </c>
      <c r="C1726" t="s">
        <v>100</v>
      </c>
      <c r="D1726" t="s">
        <v>92</v>
      </c>
      <c r="E1726" t="s">
        <v>362</v>
      </c>
      <c r="F1726" s="267" t="s">
        <v>374</v>
      </c>
      <c r="G1726" s="267" t="s">
        <v>3351</v>
      </c>
    </row>
    <row r="1727" spans="1:7">
      <c r="A1727">
        <v>159</v>
      </c>
      <c r="B1727">
        <v>2011</v>
      </c>
      <c r="C1727" t="s">
        <v>95</v>
      </c>
      <c r="D1727" t="s">
        <v>92</v>
      </c>
      <c r="E1727" t="s">
        <v>362</v>
      </c>
      <c r="F1727" s="267" t="s">
        <v>375</v>
      </c>
      <c r="G1727" s="267" t="s">
        <v>3352</v>
      </c>
    </row>
    <row r="1728" spans="1:7">
      <c r="A1728">
        <v>1</v>
      </c>
      <c r="B1728">
        <v>2011</v>
      </c>
      <c r="C1728" t="s">
        <v>154</v>
      </c>
      <c r="D1728" t="s">
        <v>92</v>
      </c>
      <c r="E1728" t="s">
        <v>362</v>
      </c>
      <c r="F1728" s="267" t="s">
        <v>376</v>
      </c>
      <c r="G1728" s="267" t="s">
        <v>3353</v>
      </c>
    </row>
    <row r="1729" spans="1:7">
      <c r="A1729">
        <v>241</v>
      </c>
      <c r="B1729">
        <v>2011</v>
      </c>
      <c r="C1729" t="s">
        <v>377</v>
      </c>
      <c r="D1729" t="s">
        <v>92</v>
      </c>
      <c r="E1729" t="s">
        <v>362</v>
      </c>
      <c r="F1729" s="267" t="s">
        <v>378</v>
      </c>
      <c r="G1729" s="267" t="s">
        <v>3354</v>
      </c>
    </row>
    <row r="1730" spans="1:7">
      <c r="A1730">
        <v>241001</v>
      </c>
      <c r="B1730">
        <v>2011</v>
      </c>
      <c r="C1730" t="s">
        <v>379</v>
      </c>
      <c r="D1730" t="s">
        <v>92</v>
      </c>
      <c r="E1730" t="s">
        <v>362</v>
      </c>
      <c r="F1730" s="267" t="s">
        <v>380</v>
      </c>
      <c r="G1730" s="267" t="s">
        <v>3355</v>
      </c>
    </row>
    <row r="1731" spans="1:7">
      <c r="A1731">
        <v>241999</v>
      </c>
      <c r="B1731">
        <v>2011</v>
      </c>
      <c r="C1731" t="s">
        <v>381</v>
      </c>
      <c r="D1731" t="s">
        <v>92</v>
      </c>
      <c r="E1731" t="s">
        <v>362</v>
      </c>
      <c r="F1731" s="267" t="s">
        <v>382</v>
      </c>
      <c r="G1731" s="267" t="s">
        <v>3356</v>
      </c>
    </row>
    <row r="1732" spans="1:7">
      <c r="A1732">
        <v>251</v>
      </c>
      <c r="B1732">
        <v>2011</v>
      </c>
      <c r="C1732" t="s">
        <v>101</v>
      </c>
      <c r="D1732" t="s">
        <v>92</v>
      </c>
      <c r="E1732" t="s">
        <v>362</v>
      </c>
      <c r="F1732" s="267" t="s">
        <v>383</v>
      </c>
      <c r="G1732" s="267" t="s">
        <v>3357</v>
      </c>
    </row>
    <row r="1733" spans="1:7">
      <c r="A1733">
        <v>252</v>
      </c>
      <c r="B1733">
        <v>2011</v>
      </c>
      <c r="C1733" t="s">
        <v>102</v>
      </c>
      <c r="D1733" t="s">
        <v>92</v>
      </c>
      <c r="E1733" t="s">
        <v>362</v>
      </c>
      <c r="F1733" s="267" t="s">
        <v>384</v>
      </c>
      <c r="G1733" s="267" t="s">
        <v>3358</v>
      </c>
    </row>
    <row r="1734" spans="1:7">
      <c r="A1734">
        <v>254</v>
      </c>
      <c r="B1734">
        <v>2011</v>
      </c>
      <c r="C1734" t="s">
        <v>103</v>
      </c>
      <c r="D1734" t="s">
        <v>92</v>
      </c>
      <c r="E1734" t="s">
        <v>362</v>
      </c>
      <c r="F1734" s="267" t="s">
        <v>385</v>
      </c>
      <c r="G1734" s="267" t="s">
        <v>3359</v>
      </c>
    </row>
    <row r="1735" spans="1:7">
      <c r="A1735">
        <v>255</v>
      </c>
      <c r="B1735">
        <v>2011</v>
      </c>
      <c r="C1735" t="s">
        <v>104</v>
      </c>
      <c r="D1735" t="s">
        <v>92</v>
      </c>
      <c r="E1735" t="s">
        <v>362</v>
      </c>
      <c r="F1735" s="267" t="s">
        <v>386</v>
      </c>
      <c r="G1735" s="267" t="s">
        <v>3360</v>
      </c>
    </row>
    <row r="1736" spans="1:7">
      <c r="A1736">
        <v>256</v>
      </c>
      <c r="B1736">
        <v>2011</v>
      </c>
      <c r="C1736" t="s">
        <v>105</v>
      </c>
      <c r="D1736" t="s">
        <v>92</v>
      </c>
      <c r="E1736" t="s">
        <v>362</v>
      </c>
      <c r="F1736" s="267" t="s">
        <v>387</v>
      </c>
      <c r="G1736" s="267" t="s">
        <v>3361</v>
      </c>
    </row>
    <row r="1737" spans="1:7">
      <c r="A1737">
        <v>257</v>
      </c>
      <c r="B1737">
        <v>2011</v>
      </c>
      <c r="C1737" t="s">
        <v>106</v>
      </c>
      <c r="D1737" t="s">
        <v>92</v>
      </c>
      <c r="E1737" t="s">
        <v>362</v>
      </c>
      <c r="F1737" s="267" t="s">
        <v>388</v>
      </c>
      <c r="G1737" s="267" t="s">
        <v>3362</v>
      </c>
    </row>
    <row r="1738" spans="1:7">
      <c r="A1738">
        <v>2</v>
      </c>
      <c r="B1738">
        <v>2011</v>
      </c>
      <c r="C1738" t="s">
        <v>155</v>
      </c>
      <c r="D1738" t="s">
        <v>92</v>
      </c>
      <c r="E1738" t="s">
        <v>362</v>
      </c>
      <c r="F1738" s="267" t="s">
        <v>389</v>
      </c>
      <c r="G1738" s="267" t="s">
        <v>3363</v>
      </c>
    </row>
    <row r="1739" spans="1:7">
      <c r="A1739">
        <v>351</v>
      </c>
      <c r="B1739">
        <v>2011</v>
      </c>
      <c r="C1739" t="s">
        <v>107</v>
      </c>
      <c r="D1739" t="s">
        <v>92</v>
      </c>
      <c r="E1739" t="s">
        <v>362</v>
      </c>
      <c r="F1739" s="267" t="s">
        <v>390</v>
      </c>
      <c r="G1739" s="267" t="s">
        <v>3364</v>
      </c>
    </row>
    <row r="1740" spans="1:7">
      <c r="A1740">
        <v>352</v>
      </c>
      <c r="B1740">
        <v>2011</v>
      </c>
      <c r="C1740" t="s">
        <v>108</v>
      </c>
      <c r="D1740" t="s">
        <v>92</v>
      </c>
      <c r="E1740" t="s">
        <v>362</v>
      </c>
      <c r="F1740" s="267" t="s">
        <v>391</v>
      </c>
      <c r="G1740" s="267" t="s">
        <v>3365</v>
      </c>
    </row>
    <row r="1741" spans="1:7">
      <c r="A1741">
        <v>353</v>
      </c>
      <c r="B1741">
        <v>2011</v>
      </c>
      <c r="C1741" t="s">
        <v>109</v>
      </c>
      <c r="D1741" t="s">
        <v>92</v>
      </c>
      <c r="E1741" t="s">
        <v>362</v>
      </c>
      <c r="F1741" s="267" t="s">
        <v>392</v>
      </c>
      <c r="G1741" s="267" t="s">
        <v>3366</v>
      </c>
    </row>
    <row r="1742" spans="1:7">
      <c r="A1742">
        <v>354</v>
      </c>
      <c r="B1742">
        <v>2011</v>
      </c>
      <c r="C1742" t="s">
        <v>110</v>
      </c>
      <c r="D1742" t="s">
        <v>92</v>
      </c>
      <c r="E1742" t="s">
        <v>362</v>
      </c>
      <c r="F1742" s="267" t="s">
        <v>393</v>
      </c>
      <c r="G1742" s="267" t="s">
        <v>3367</v>
      </c>
    </row>
    <row r="1743" spans="1:7">
      <c r="A1743">
        <v>355</v>
      </c>
      <c r="B1743">
        <v>2011</v>
      </c>
      <c r="C1743" t="s">
        <v>111</v>
      </c>
      <c r="D1743" t="s">
        <v>92</v>
      </c>
      <c r="E1743" t="s">
        <v>362</v>
      </c>
      <c r="F1743" s="267" t="s">
        <v>394</v>
      </c>
      <c r="G1743" s="267" t="s">
        <v>3368</v>
      </c>
    </row>
    <row r="1744" spans="1:7">
      <c r="A1744">
        <v>356</v>
      </c>
      <c r="B1744">
        <v>2011</v>
      </c>
      <c r="C1744" t="s">
        <v>112</v>
      </c>
      <c r="D1744" t="s">
        <v>92</v>
      </c>
      <c r="E1744" t="s">
        <v>362</v>
      </c>
      <c r="F1744" s="267" t="s">
        <v>395</v>
      </c>
      <c r="G1744" s="267" t="s">
        <v>3369</v>
      </c>
    </row>
    <row r="1745" spans="1:7">
      <c r="A1745">
        <v>357</v>
      </c>
      <c r="B1745">
        <v>2011</v>
      </c>
      <c r="C1745" t="s">
        <v>113</v>
      </c>
      <c r="D1745" t="s">
        <v>92</v>
      </c>
      <c r="E1745" t="s">
        <v>362</v>
      </c>
      <c r="F1745" s="267" t="s">
        <v>396</v>
      </c>
      <c r="G1745" s="267" t="s">
        <v>3370</v>
      </c>
    </row>
    <row r="1746" spans="1:7">
      <c r="A1746">
        <v>358</v>
      </c>
      <c r="B1746">
        <v>2011</v>
      </c>
      <c r="C1746" t="s">
        <v>114</v>
      </c>
      <c r="D1746" t="s">
        <v>92</v>
      </c>
      <c r="E1746" t="s">
        <v>362</v>
      </c>
      <c r="F1746" s="267" t="s">
        <v>397</v>
      </c>
      <c r="G1746" s="267" t="s">
        <v>3371</v>
      </c>
    </row>
    <row r="1747" spans="1:7">
      <c r="A1747">
        <v>359</v>
      </c>
      <c r="B1747">
        <v>2011</v>
      </c>
      <c r="C1747" t="s">
        <v>115</v>
      </c>
      <c r="D1747" t="s">
        <v>92</v>
      </c>
      <c r="E1747" t="s">
        <v>362</v>
      </c>
      <c r="F1747" s="267" t="s">
        <v>398</v>
      </c>
      <c r="G1747" s="267" t="s">
        <v>3372</v>
      </c>
    </row>
    <row r="1748" spans="1:7">
      <c r="A1748">
        <v>360</v>
      </c>
      <c r="B1748">
        <v>2011</v>
      </c>
      <c r="C1748" t="s">
        <v>116</v>
      </c>
      <c r="D1748" t="s">
        <v>92</v>
      </c>
      <c r="E1748" t="s">
        <v>362</v>
      </c>
      <c r="F1748" s="267" t="s">
        <v>399</v>
      </c>
      <c r="G1748" s="267" t="s">
        <v>3373</v>
      </c>
    </row>
    <row r="1749" spans="1:7">
      <c r="A1749">
        <v>361</v>
      </c>
      <c r="B1749">
        <v>2011</v>
      </c>
      <c r="C1749" t="s">
        <v>117</v>
      </c>
      <c r="D1749" t="s">
        <v>92</v>
      </c>
      <c r="E1749" t="s">
        <v>362</v>
      </c>
      <c r="F1749" s="267" t="s">
        <v>400</v>
      </c>
      <c r="G1749" s="267" t="s">
        <v>3374</v>
      </c>
    </row>
    <row r="1750" spans="1:7">
      <c r="A1750">
        <v>3</v>
      </c>
      <c r="B1750">
        <v>2011</v>
      </c>
      <c r="C1750" t="s">
        <v>156</v>
      </c>
      <c r="D1750" t="s">
        <v>92</v>
      </c>
      <c r="E1750" t="s">
        <v>362</v>
      </c>
      <c r="F1750" s="267" t="s">
        <v>401</v>
      </c>
      <c r="G1750" s="267" t="s">
        <v>3375</v>
      </c>
    </row>
    <row r="1751" spans="1:7">
      <c r="A1751">
        <v>401</v>
      </c>
      <c r="B1751">
        <v>2011</v>
      </c>
      <c r="C1751" t="s">
        <v>402</v>
      </c>
      <c r="D1751" t="s">
        <v>92</v>
      </c>
      <c r="E1751" t="s">
        <v>362</v>
      </c>
      <c r="F1751" s="267" t="s">
        <v>403</v>
      </c>
      <c r="G1751" s="267" t="s">
        <v>3376</v>
      </c>
    </row>
    <row r="1752" spans="1:7">
      <c r="A1752">
        <v>402</v>
      </c>
      <c r="B1752">
        <v>2011</v>
      </c>
      <c r="C1752" t="s">
        <v>404</v>
      </c>
      <c r="D1752" t="s">
        <v>92</v>
      </c>
      <c r="E1752" t="s">
        <v>362</v>
      </c>
      <c r="F1752" s="267" t="s">
        <v>405</v>
      </c>
      <c r="G1752" s="267" t="s">
        <v>3377</v>
      </c>
    </row>
    <row r="1753" spans="1:7">
      <c r="A1753">
        <v>403</v>
      </c>
      <c r="B1753">
        <v>2011</v>
      </c>
      <c r="C1753" t="s">
        <v>406</v>
      </c>
      <c r="D1753" t="s">
        <v>92</v>
      </c>
      <c r="E1753" t="s">
        <v>362</v>
      </c>
      <c r="F1753" s="267" t="s">
        <v>407</v>
      </c>
      <c r="G1753" s="267" t="s">
        <v>3378</v>
      </c>
    </row>
    <row r="1754" spans="1:7">
      <c r="A1754">
        <v>404</v>
      </c>
      <c r="B1754">
        <v>2011</v>
      </c>
      <c r="C1754" t="s">
        <v>408</v>
      </c>
      <c r="D1754" t="s">
        <v>92</v>
      </c>
      <c r="E1754" t="s">
        <v>362</v>
      </c>
      <c r="F1754" s="267" t="s">
        <v>409</v>
      </c>
      <c r="G1754" s="267" t="s">
        <v>3379</v>
      </c>
    </row>
    <row r="1755" spans="1:7">
      <c r="A1755">
        <v>405</v>
      </c>
      <c r="B1755">
        <v>2011</v>
      </c>
      <c r="C1755" t="s">
        <v>410</v>
      </c>
      <c r="D1755" t="s">
        <v>92</v>
      </c>
      <c r="E1755" t="s">
        <v>362</v>
      </c>
      <c r="F1755" s="267" t="s">
        <v>411</v>
      </c>
      <c r="G1755" s="267" t="s">
        <v>3380</v>
      </c>
    </row>
    <row r="1756" spans="1:7">
      <c r="A1756">
        <v>451</v>
      </c>
      <c r="B1756">
        <v>2011</v>
      </c>
      <c r="C1756" t="s">
        <v>118</v>
      </c>
      <c r="D1756" t="s">
        <v>92</v>
      </c>
      <c r="E1756" t="s">
        <v>362</v>
      </c>
      <c r="F1756" s="267" t="s">
        <v>412</v>
      </c>
      <c r="G1756" s="267" t="s">
        <v>3381</v>
      </c>
    </row>
    <row r="1757" spans="1:7">
      <c r="A1757">
        <v>452</v>
      </c>
      <c r="B1757">
        <v>2011</v>
      </c>
      <c r="C1757" t="s">
        <v>119</v>
      </c>
      <c r="D1757" t="s">
        <v>92</v>
      </c>
      <c r="E1757" t="s">
        <v>362</v>
      </c>
      <c r="F1757" s="267" t="s">
        <v>413</v>
      </c>
      <c r="G1757" s="267" t="s">
        <v>3382</v>
      </c>
    </row>
    <row r="1758" spans="1:7">
      <c r="A1758">
        <v>453</v>
      </c>
      <c r="B1758">
        <v>2011</v>
      </c>
      <c r="C1758" t="s">
        <v>120</v>
      </c>
      <c r="D1758" t="s">
        <v>92</v>
      </c>
      <c r="E1758" t="s">
        <v>362</v>
      </c>
      <c r="F1758" s="267" t="s">
        <v>414</v>
      </c>
      <c r="G1758" s="267" t="s">
        <v>3383</v>
      </c>
    </row>
    <row r="1759" spans="1:7">
      <c r="A1759">
        <v>454</v>
      </c>
      <c r="B1759">
        <v>2011</v>
      </c>
      <c r="C1759" t="s">
        <v>121</v>
      </c>
      <c r="D1759" t="s">
        <v>92</v>
      </c>
      <c r="E1759" t="s">
        <v>362</v>
      </c>
      <c r="F1759" s="267" t="s">
        <v>415</v>
      </c>
      <c r="G1759" s="267" t="s">
        <v>3384</v>
      </c>
    </row>
    <row r="1760" spans="1:7">
      <c r="A1760">
        <v>455</v>
      </c>
      <c r="B1760">
        <v>2011</v>
      </c>
      <c r="C1760" t="s">
        <v>122</v>
      </c>
      <c r="D1760" t="s">
        <v>92</v>
      </c>
      <c r="E1760" t="s">
        <v>362</v>
      </c>
      <c r="F1760" s="267" t="s">
        <v>416</v>
      </c>
      <c r="G1760" s="267" t="s">
        <v>3385</v>
      </c>
    </row>
    <row r="1761" spans="1:7">
      <c r="A1761">
        <v>456</v>
      </c>
      <c r="B1761">
        <v>2011</v>
      </c>
      <c r="C1761" t="s">
        <v>123</v>
      </c>
      <c r="D1761" t="s">
        <v>92</v>
      </c>
      <c r="E1761" t="s">
        <v>362</v>
      </c>
      <c r="F1761" s="267" t="s">
        <v>417</v>
      </c>
      <c r="G1761" s="267" t="s">
        <v>3386</v>
      </c>
    </row>
    <row r="1762" spans="1:7">
      <c r="A1762">
        <v>457</v>
      </c>
      <c r="B1762">
        <v>2011</v>
      </c>
      <c r="C1762" t="s">
        <v>124</v>
      </c>
      <c r="D1762" t="s">
        <v>92</v>
      </c>
      <c r="E1762" t="s">
        <v>362</v>
      </c>
      <c r="F1762" s="267" t="s">
        <v>418</v>
      </c>
      <c r="G1762" s="267" t="s">
        <v>3387</v>
      </c>
    </row>
    <row r="1763" spans="1:7">
      <c r="A1763">
        <v>458</v>
      </c>
      <c r="B1763">
        <v>2011</v>
      </c>
      <c r="C1763" t="s">
        <v>125</v>
      </c>
      <c r="D1763" t="s">
        <v>92</v>
      </c>
      <c r="E1763" t="s">
        <v>362</v>
      </c>
      <c r="F1763" s="267" t="s">
        <v>419</v>
      </c>
      <c r="G1763" s="267" t="s">
        <v>3388</v>
      </c>
    </row>
    <row r="1764" spans="1:7">
      <c r="A1764">
        <v>459</v>
      </c>
      <c r="B1764">
        <v>2011</v>
      </c>
      <c r="C1764" t="s">
        <v>126</v>
      </c>
      <c r="D1764" t="s">
        <v>92</v>
      </c>
      <c r="E1764" t="s">
        <v>362</v>
      </c>
      <c r="F1764" s="267" t="s">
        <v>420</v>
      </c>
      <c r="G1764" s="267" t="s">
        <v>3389</v>
      </c>
    </row>
    <row r="1765" spans="1:7">
      <c r="A1765">
        <v>460</v>
      </c>
      <c r="B1765">
        <v>2011</v>
      </c>
      <c r="C1765" t="s">
        <v>127</v>
      </c>
      <c r="D1765" t="s">
        <v>92</v>
      </c>
      <c r="E1765" t="s">
        <v>362</v>
      </c>
      <c r="F1765" s="267" t="s">
        <v>421</v>
      </c>
      <c r="G1765" s="267" t="s">
        <v>3390</v>
      </c>
    </row>
    <row r="1766" spans="1:7">
      <c r="A1766">
        <v>461</v>
      </c>
      <c r="B1766">
        <v>2011</v>
      </c>
      <c r="C1766" t="s">
        <v>128</v>
      </c>
      <c r="D1766" t="s">
        <v>92</v>
      </c>
      <c r="E1766" t="s">
        <v>362</v>
      </c>
      <c r="F1766" s="267" t="s">
        <v>422</v>
      </c>
      <c r="G1766" s="267" t="s">
        <v>3391</v>
      </c>
    </row>
    <row r="1767" spans="1:7">
      <c r="A1767">
        <v>462</v>
      </c>
      <c r="B1767">
        <v>2011</v>
      </c>
      <c r="C1767" t="s">
        <v>129</v>
      </c>
      <c r="D1767" t="s">
        <v>92</v>
      </c>
      <c r="E1767" t="s">
        <v>362</v>
      </c>
      <c r="F1767" s="267" t="s">
        <v>423</v>
      </c>
      <c r="G1767" s="267" t="s">
        <v>3392</v>
      </c>
    </row>
    <row r="1768" spans="1:7">
      <c r="A1768">
        <v>4</v>
      </c>
      <c r="B1768">
        <v>2011</v>
      </c>
      <c r="C1768" t="s">
        <v>157</v>
      </c>
      <c r="D1768" t="s">
        <v>92</v>
      </c>
      <c r="E1768" t="s">
        <v>362</v>
      </c>
      <c r="F1768" s="267" t="s">
        <v>424</v>
      </c>
      <c r="G1768" s="267" t="s">
        <v>3393</v>
      </c>
    </row>
    <row r="1769" spans="1:7">
      <c r="A1769">
        <v>0</v>
      </c>
      <c r="B1769">
        <v>2011</v>
      </c>
      <c r="C1769" t="s">
        <v>130</v>
      </c>
      <c r="D1769" t="s">
        <v>92</v>
      </c>
      <c r="E1769" t="s">
        <v>362</v>
      </c>
      <c r="F1769" s="267" t="s">
        <v>425</v>
      </c>
      <c r="G1769" s="267" t="s">
        <v>3394</v>
      </c>
    </row>
    <row r="1770" spans="1:7">
      <c r="A1770">
        <v>101</v>
      </c>
      <c r="B1770">
        <v>2011</v>
      </c>
      <c r="C1770" t="s">
        <v>363</v>
      </c>
      <c r="D1770" t="s">
        <v>93</v>
      </c>
      <c r="E1770" t="s">
        <v>362</v>
      </c>
      <c r="F1770" s="267" t="s">
        <v>364</v>
      </c>
      <c r="G1770" s="267" t="s">
        <v>3395</v>
      </c>
    </row>
    <row r="1771" spans="1:7">
      <c r="A1771">
        <v>102</v>
      </c>
      <c r="B1771">
        <v>2011</v>
      </c>
      <c r="C1771" t="s">
        <v>365</v>
      </c>
      <c r="D1771" t="s">
        <v>93</v>
      </c>
      <c r="E1771" t="s">
        <v>362</v>
      </c>
      <c r="F1771" s="267" t="s">
        <v>366</v>
      </c>
      <c r="G1771" s="267" t="s">
        <v>3396</v>
      </c>
    </row>
    <row r="1772" spans="1:7">
      <c r="A1772">
        <v>103</v>
      </c>
      <c r="B1772">
        <v>2011</v>
      </c>
      <c r="C1772" t="s">
        <v>367</v>
      </c>
      <c r="D1772" t="s">
        <v>93</v>
      </c>
      <c r="E1772" t="s">
        <v>362</v>
      </c>
      <c r="F1772" s="267" t="s">
        <v>368</v>
      </c>
      <c r="G1772" s="267" t="s">
        <v>3397</v>
      </c>
    </row>
    <row r="1773" spans="1:7">
      <c r="A1773">
        <v>151</v>
      </c>
      <c r="B1773">
        <v>2011</v>
      </c>
      <c r="C1773" t="s">
        <v>94</v>
      </c>
      <c r="D1773" t="s">
        <v>93</v>
      </c>
      <c r="E1773" t="s">
        <v>362</v>
      </c>
      <c r="F1773" s="267" t="s">
        <v>369</v>
      </c>
      <c r="G1773" s="267" t="s">
        <v>3398</v>
      </c>
    </row>
    <row r="1774" spans="1:7">
      <c r="A1774">
        <v>153</v>
      </c>
      <c r="B1774">
        <v>2011</v>
      </c>
      <c r="C1774" t="s">
        <v>96</v>
      </c>
      <c r="D1774" t="s">
        <v>93</v>
      </c>
      <c r="E1774" t="s">
        <v>362</v>
      </c>
      <c r="F1774" s="267" t="s">
        <v>370</v>
      </c>
      <c r="G1774" s="267" t="s">
        <v>3399</v>
      </c>
    </row>
    <row r="1775" spans="1:7">
      <c r="A1775">
        <v>154</v>
      </c>
      <c r="B1775">
        <v>2011</v>
      </c>
      <c r="C1775" t="s">
        <v>97</v>
      </c>
      <c r="D1775" t="s">
        <v>93</v>
      </c>
      <c r="E1775" t="s">
        <v>362</v>
      </c>
      <c r="F1775" s="267" t="s">
        <v>371</v>
      </c>
      <c r="G1775" s="267" t="s">
        <v>3400</v>
      </c>
    </row>
    <row r="1776" spans="1:7">
      <c r="A1776">
        <v>155</v>
      </c>
      <c r="B1776">
        <v>2011</v>
      </c>
      <c r="C1776" t="s">
        <v>98</v>
      </c>
      <c r="D1776" t="s">
        <v>93</v>
      </c>
      <c r="E1776" t="s">
        <v>362</v>
      </c>
      <c r="F1776" s="267" t="s">
        <v>372</v>
      </c>
      <c r="G1776" s="267" t="s">
        <v>3401</v>
      </c>
    </row>
    <row r="1777" spans="1:7">
      <c r="A1777">
        <v>157</v>
      </c>
      <c r="B1777">
        <v>2011</v>
      </c>
      <c r="C1777" t="s">
        <v>99</v>
      </c>
      <c r="D1777" t="s">
        <v>93</v>
      </c>
      <c r="E1777" t="s">
        <v>362</v>
      </c>
      <c r="F1777" s="267" t="s">
        <v>373</v>
      </c>
      <c r="G1777" s="267" t="s">
        <v>3402</v>
      </c>
    </row>
    <row r="1778" spans="1:7">
      <c r="A1778">
        <v>158</v>
      </c>
      <c r="B1778">
        <v>2011</v>
      </c>
      <c r="C1778" t="s">
        <v>100</v>
      </c>
      <c r="D1778" t="s">
        <v>93</v>
      </c>
      <c r="E1778" t="s">
        <v>362</v>
      </c>
      <c r="F1778" s="267" t="s">
        <v>374</v>
      </c>
      <c r="G1778" s="267" t="s">
        <v>3403</v>
      </c>
    </row>
    <row r="1779" spans="1:7">
      <c r="A1779">
        <v>159</v>
      </c>
      <c r="B1779">
        <v>2011</v>
      </c>
      <c r="C1779" t="s">
        <v>95</v>
      </c>
      <c r="D1779" t="s">
        <v>93</v>
      </c>
      <c r="E1779" t="s">
        <v>362</v>
      </c>
      <c r="F1779" s="267" t="s">
        <v>375</v>
      </c>
      <c r="G1779" s="267" t="s">
        <v>3404</v>
      </c>
    </row>
    <row r="1780" spans="1:7">
      <c r="A1780">
        <v>1</v>
      </c>
      <c r="B1780">
        <v>2011</v>
      </c>
      <c r="C1780" t="s">
        <v>154</v>
      </c>
      <c r="D1780" t="s">
        <v>93</v>
      </c>
      <c r="E1780" t="s">
        <v>362</v>
      </c>
      <c r="F1780" s="267" t="s">
        <v>376</v>
      </c>
      <c r="G1780" s="267" t="s">
        <v>3405</v>
      </c>
    </row>
    <row r="1781" spans="1:7">
      <c r="A1781">
        <v>241</v>
      </c>
      <c r="B1781">
        <v>2011</v>
      </c>
      <c r="C1781" t="s">
        <v>377</v>
      </c>
      <c r="D1781" t="s">
        <v>93</v>
      </c>
      <c r="E1781" t="s">
        <v>362</v>
      </c>
      <c r="F1781" s="267" t="s">
        <v>378</v>
      </c>
      <c r="G1781" s="267" t="s">
        <v>3406</v>
      </c>
    </row>
    <row r="1782" spans="1:7">
      <c r="A1782">
        <v>241001</v>
      </c>
      <c r="B1782">
        <v>2011</v>
      </c>
      <c r="C1782" t="s">
        <v>379</v>
      </c>
      <c r="D1782" t="s">
        <v>93</v>
      </c>
      <c r="E1782" t="s">
        <v>362</v>
      </c>
      <c r="F1782" s="267" t="s">
        <v>380</v>
      </c>
      <c r="G1782" s="267" t="s">
        <v>3407</v>
      </c>
    </row>
    <row r="1783" spans="1:7">
      <c r="A1783">
        <v>241999</v>
      </c>
      <c r="B1783">
        <v>2011</v>
      </c>
      <c r="C1783" t="s">
        <v>381</v>
      </c>
      <c r="D1783" t="s">
        <v>93</v>
      </c>
      <c r="E1783" t="s">
        <v>362</v>
      </c>
      <c r="F1783" s="267" t="s">
        <v>382</v>
      </c>
      <c r="G1783" s="267" t="s">
        <v>3408</v>
      </c>
    </row>
    <row r="1784" spans="1:7">
      <c r="A1784">
        <v>251</v>
      </c>
      <c r="B1784">
        <v>2011</v>
      </c>
      <c r="C1784" t="s">
        <v>101</v>
      </c>
      <c r="D1784" t="s">
        <v>93</v>
      </c>
      <c r="E1784" t="s">
        <v>362</v>
      </c>
      <c r="F1784" s="267" t="s">
        <v>383</v>
      </c>
      <c r="G1784" s="267" t="s">
        <v>3409</v>
      </c>
    </row>
    <row r="1785" spans="1:7">
      <c r="A1785">
        <v>252</v>
      </c>
      <c r="B1785">
        <v>2011</v>
      </c>
      <c r="C1785" t="s">
        <v>102</v>
      </c>
      <c r="D1785" t="s">
        <v>93</v>
      </c>
      <c r="E1785" t="s">
        <v>362</v>
      </c>
      <c r="F1785" s="267" t="s">
        <v>384</v>
      </c>
      <c r="G1785" s="267" t="s">
        <v>3410</v>
      </c>
    </row>
    <row r="1786" spans="1:7">
      <c r="A1786">
        <v>254</v>
      </c>
      <c r="B1786">
        <v>2011</v>
      </c>
      <c r="C1786" t="s">
        <v>103</v>
      </c>
      <c r="D1786" t="s">
        <v>93</v>
      </c>
      <c r="E1786" t="s">
        <v>362</v>
      </c>
      <c r="F1786" s="267" t="s">
        <v>385</v>
      </c>
      <c r="G1786" s="267" t="s">
        <v>3411</v>
      </c>
    </row>
    <row r="1787" spans="1:7">
      <c r="A1787">
        <v>255</v>
      </c>
      <c r="B1787">
        <v>2011</v>
      </c>
      <c r="C1787" t="s">
        <v>104</v>
      </c>
      <c r="D1787" t="s">
        <v>93</v>
      </c>
      <c r="E1787" t="s">
        <v>362</v>
      </c>
      <c r="F1787" s="267" t="s">
        <v>386</v>
      </c>
      <c r="G1787" s="267" t="s">
        <v>3412</v>
      </c>
    </row>
    <row r="1788" spans="1:7">
      <c r="A1788">
        <v>256</v>
      </c>
      <c r="B1788">
        <v>2011</v>
      </c>
      <c r="C1788" t="s">
        <v>105</v>
      </c>
      <c r="D1788" t="s">
        <v>93</v>
      </c>
      <c r="E1788" t="s">
        <v>362</v>
      </c>
      <c r="F1788" s="267" t="s">
        <v>387</v>
      </c>
      <c r="G1788" s="267" t="s">
        <v>3413</v>
      </c>
    </row>
    <row r="1789" spans="1:7">
      <c r="A1789">
        <v>257</v>
      </c>
      <c r="B1789">
        <v>2011</v>
      </c>
      <c r="C1789" t="s">
        <v>106</v>
      </c>
      <c r="D1789" t="s">
        <v>93</v>
      </c>
      <c r="E1789" t="s">
        <v>362</v>
      </c>
      <c r="F1789" s="267" t="s">
        <v>388</v>
      </c>
      <c r="G1789" s="267" t="s">
        <v>3414</v>
      </c>
    </row>
    <row r="1790" spans="1:7">
      <c r="A1790">
        <v>2</v>
      </c>
      <c r="B1790">
        <v>2011</v>
      </c>
      <c r="C1790" t="s">
        <v>155</v>
      </c>
      <c r="D1790" t="s">
        <v>93</v>
      </c>
      <c r="E1790" t="s">
        <v>362</v>
      </c>
      <c r="F1790" s="267" t="s">
        <v>389</v>
      </c>
      <c r="G1790" s="267" t="s">
        <v>3415</v>
      </c>
    </row>
    <row r="1791" spans="1:7">
      <c r="A1791">
        <v>351</v>
      </c>
      <c r="B1791">
        <v>2011</v>
      </c>
      <c r="C1791" t="s">
        <v>107</v>
      </c>
      <c r="D1791" t="s">
        <v>93</v>
      </c>
      <c r="E1791" t="s">
        <v>362</v>
      </c>
      <c r="F1791" s="267" t="s">
        <v>390</v>
      </c>
      <c r="G1791" s="267" t="s">
        <v>3416</v>
      </c>
    </row>
    <row r="1792" spans="1:7">
      <c r="A1792">
        <v>352</v>
      </c>
      <c r="B1792">
        <v>2011</v>
      </c>
      <c r="C1792" t="s">
        <v>108</v>
      </c>
      <c r="D1792" t="s">
        <v>93</v>
      </c>
      <c r="E1792" t="s">
        <v>362</v>
      </c>
      <c r="F1792" s="267" t="s">
        <v>391</v>
      </c>
      <c r="G1792" s="267" t="s">
        <v>3417</v>
      </c>
    </row>
    <row r="1793" spans="1:7">
      <c r="A1793">
        <v>353</v>
      </c>
      <c r="B1793">
        <v>2011</v>
      </c>
      <c r="C1793" t="s">
        <v>109</v>
      </c>
      <c r="D1793" t="s">
        <v>93</v>
      </c>
      <c r="E1793" t="s">
        <v>362</v>
      </c>
      <c r="F1793" s="267" t="s">
        <v>392</v>
      </c>
      <c r="G1793" s="267" t="s">
        <v>3418</v>
      </c>
    </row>
    <row r="1794" spans="1:7">
      <c r="A1794">
        <v>354</v>
      </c>
      <c r="B1794">
        <v>2011</v>
      </c>
      <c r="C1794" t="s">
        <v>110</v>
      </c>
      <c r="D1794" t="s">
        <v>93</v>
      </c>
      <c r="E1794" t="s">
        <v>362</v>
      </c>
      <c r="F1794" s="267" t="s">
        <v>393</v>
      </c>
      <c r="G1794" s="267" t="s">
        <v>3419</v>
      </c>
    </row>
    <row r="1795" spans="1:7">
      <c r="A1795">
        <v>355</v>
      </c>
      <c r="B1795">
        <v>2011</v>
      </c>
      <c r="C1795" t="s">
        <v>111</v>
      </c>
      <c r="D1795" t="s">
        <v>93</v>
      </c>
      <c r="E1795" t="s">
        <v>362</v>
      </c>
      <c r="F1795" s="267" t="s">
        <v>394</v>
      </c>
      <c r="G1795" s="267" t="s">
        <v>3420</v>
      </c>
    </row>
    <row r="1796" spans="1:7">
      <c r="A1796">
        <v>356</v>
      </c>
      <c r="B1796">
        <v>2011</v>
      </c>
      <c r="C1796" t="s">
        <v>112</v>
      </c>
      <c r="D1796" t="s">
        <v>93</v>
      </c>
      <c r="E1796" t="s">
        <v>362</v>
      </c>
      <c r="F1796" s="267" t="s">
        <v>395</v>
      </c>
      <c r="G1796" s="267" t="s">
        <v>3421</v>
      </c>
    </row>
    <row r="1797" spans="1:7">
      <c r="A1797">
        <v>357</v>
      </c>
      <c r="B1797">
        <v>2011</v>
      </c>
      <c r="C1797" t="s">
        <v>113</v>
      </c>
      <c r="D1797" t="s">
        <v>93</v>
      </c>
      <c r="E1797" t="s">
        <v>362</v>
      </c>
      <c r="F1797" s="267" t="s">
        <v>396</v>
      </c>
      <c r="G1797" s="267" t="s">
        <v>3422</v>
      </c>
    </row>
    <row r="1798" spans="1:7">
      <c r="A1798">
        <v>358</v>
      </c>
      <c r="B1798">
        <v>2011</v>
      </c>
      <c r="C1798" t="s">
        <v>114</v>
      </c>
      <c r="D1798" t="s">
        <v>93</v>
      </c>
      <c r="E1798" t="s">
        <v>362</v>
      </c>
      <c r="F1798" s="267" t="s">
        <v>397</v>
      </c>
      <c r="G1798" s="267" t="s">
        <v>3423</v>
      </c>
    </row>
    <row r="1799" spans="1:7">
      <c r="A1799">
        <v>359</v>
      </c>
      <c r="B1799">
        <v>2011</v>
      </c>
      <c r="C1799" t="s">
        <v>115</v>
      </c>
      <c r="D1799" t="s">
        <v>93</v>
      </c>
      <c r="E1799" t="s">
        <v>362</v>
      </c>
      <c r="F1799" s="267" t="s">
        <v>398</v>
      </c>
      <c r="G1799" s="267" t="s">
        <v>3424</v>
      </c>
    </row>
    <row r="1800" spans="1:7">
      <c r="A1800">
        <v>360</v>
      </c>
      <c r="B1800">
        <v>2011</v>
      </c>
      <c r="C1800" t="s">
        <v>116</v>
      </c>
      <c r="D1800" t="s">
        <v>93</v>
      </c>
      <c r="E1800" t="s">
        <v>362</v>
      </c>
      <c r="F1800" s="267" t="s">
        <v>399</v>
      </c>
      <c r="G1800" s="267" t="s">
        <v>3425</v>
      </c>
    </row>
    <row r="1801" spans="1:7">
      <c r="A1801">
        <v>361</v>
      </c>
      <c r="B1801">
        <v>2011</v>
      </c>
      <c r="C1801" t="s">
        <v>117</v>
      </c>
      <c r="D1801" t="s">
        <v>93</v>
      </c>
      <c r="E1801" t="s">
        <v>362</v>
      </c>
      <c r="F1801" s="267" t="s">
        <v>400</v>
      </c>
      <c r="G1801" s="267" t="s">
        <v>3426</v>
      </c>
    </row>
    <row r="1802" spans="1:7">
      <c r="A1802">
        <v>3</v>
      </c>
      <c r="B1802">
        <v>2011</v>
      </c>
      <c r="C1802" t="s">
        <v>156</v>
      </c>
      <c r="D1802" t="s">
        <v>93</v>
      </c>
      <c r="E1802" t="s">
        <v>362</v>
      </c>
      <c r="F1802" s="267" t="s">
        <v>401</v>
      </c>
      <c r="G1802" s="267" t="s">
        <v>3427</v>
      </c>
    </row>
    <row r="1803" spans="1:7">
      <c r="A1803">
        <v>401</v>
      </c>
      <c r="B1803">
        <v>2011</v>
      </c>
      <c r="C1803" t="s">
        <v>402</v>
      </c>
      <c r="D1803" t="s">
        <v>93</v>
      </c>
      <c r="E1803" t="s">
        <v>362</v>
      </c>
      <c r="F1803" s="267" t="s">
        <v>403</v>
      </c>
      <c r="G1803" s="267" t="s">
        <v>3428</v>
      </c>
    </row>
    <row r="1804" spans="1:7">
      <c r="A1804">
        <v>402</v>
      </c>
      <c r="B1804">
        <v>2011</v>
      </c>
      <c r="C1804" t="s">
        <v>404</v>
      </c>
      <c r="D1804" t="s">
        <v>93</v>
      </c>
      <c r="E1804" t="s">
        <v>362</v>
      </c>
      <c r="F1804" s="267" t="s">
        <v>405</v>
      </c>
      <c r="G1804" s="267" t="s">
        <v>3429</v>
      </c>
    </row>
    <row r="1805" spans="1:7">
      <c r="A1805">
        <v>403</v>
      </c>
      <c r="B1805">
        <v>2011</v>
      </c>
      <c r="C1805" t="s">
        <v>406</v>
      </c>
      <c r="D1805" t="s">
        <v>93</v>
      </c>
      <c r="E1805" t="s">
        <v>362</v>
      </c>
      <c r="F1805" s="267" t="s">
        <v>407</v>
      </c>
      <c r="G1805" s="267" t="s">
        <v>3430</v>
      </c>
    </row>
    <row r="1806" spans="1:7">
      <c r="A1806">
        <v>404</v>
      </c>
      <c r="B1806">
        <v>2011</v>
      </c>
      <c r="C1806" t="s">
        <v>408</v>
      </c>
      <c r="D1806" t="s">
        <v>93</v>
      </c>
      <c r="E1806" t="s">
        <v>362</v>
      </c>
      <c r="F1806" s="267" t="s">
        <v>409</v>
      </c>
      <c r="G1806" s="267" t="s">
        <v>3431</v>
      </c>
    </row>
    <row r="1807" spans="1:7">
      <c r="A1807">
        <v>405</v>
      </c>
      <c r="B1807">
        <v>2011</v>
      </c>
      <c r="C1807" t="s">
        <v>410</v>
      </c>
      <c r="D1807" t="s">
        <v>93</v>
      </c>
      <c r="E1807" t="s">
        <v>362</v>
      </c>
      <c r="F1807" s="267" t="s">
        <v>411</v>
      </c>
      <c r="G1807" s="267" t="s">
        <v>3432</v>
      </c>
    </row>
    <row r="1808" spans="1:7">
      <c r="A1808">
        <v>451</v>
      </c>
      <c r="B1808">
        <v>2011</v>
      </c>
      <c r="C1808" t="s">
        <v>118</v>
      </c>
      <c r="D1808" t="s">
        <v>93</v>
      </c>
      <c r="E1808" t="s">
        <v>362</v>
      </c>
      <c r="F1808" s="267" t="s">
        <v>412</v>
      </c>
      <c r="G1808" s="267" t="s">
        <v>3433</v>
      </c>
    </row>
    <row r="1809" spans="1:7">
      <c r="A1809">
        <v>452</v>
      </c>
      <c r="B1809">
        <v>2011</v>
      </c>
      <c r="C1809" t="s">
        <v>119</v>
      </c>
      <c r="D1809" t="s">
        <v>93</v>
      </c>
      <c r="E1809" t="s">
        <v>362</v>
      </c>
      <c r="F1809" s="267" t="s">
        <v>413</v>
      </c>
      <c r="G1809" s="267" t="s">
        <v>3434</v>
      </c>
    </row>
    <row r="1810" spans="1:7">
      <c r="A1810">
        <v>453</v>
      </c>
      <c r="B1810">
        <v>2011</v>
      </c>
      <c r="C1810" t="s">
        <v>120</v>
      </c>
      <c r="D1810" t="s">
        <v>93</v>
      </c>
      <c r="E1810" t="s">
        <v>362</v>
      </c>
      <c r="F1810" s="267" t="s">
        <v>414</v>
      </c>
      <c r="G1810" s="267" t="s">
        <v>3435</v>
      </c>
    </row>
    <row r="1811" spans="1:7">
      <c r="A1811">
        <v>454</v>
      </c>
      <c r="B1811">
        <v>2011</v>
      </c>
      <c r="C1811" t="s">
        <v>121</v>
      </c>
      <c r="D1811" t="s">
        <v>93</v>
      </c>
      <c r="E1811" t="s">
        <v>362</v>
      </c>
      <c r="F1811" s="267" t="s">
        <v>415</v>
      </c>
      <c r="G1811" s="267" t="s">
        <v>3436</v>
      </c>
    </row>
    <row r="1812" spans="1:7">
      <c r="A1812">
        <v>455</v>
      </c>
      <c r="B1812">
        <v>2011</v>
      </c>
      <c r="C1812" t="s">
        <v>122</v>
      </c>
      <c r="D1812" t="s">
        <v>93</v>
      </c>
      <c r="E1812" t="s">
        <v>362</v>
      </c>
      <c r="F1812" s="267" t="s">
        <v>416</v>
      </c>
      <c r="G1812" s="267" t="s">
        <v>3437</v>
      </c>
    </row>
    <row r="1813" spans="1:7">
      <c r="A1813">
        <v>456</v>
      </c>
      <c r="B1813">
        <v>2011</v>
      </c>
      <c r="C1813" t="s">
        <v>123</v>
      </c>
      <c r="D1813" t="s">
        <v>93</v>
      </c>
      <c r="E1813" t="s">
        <v>362</v>
      </c>
      <c r="F1813" s="267" t="s">
        <v>417</v>
      </c>
      <c r="G1813" s="267" t="s">
        <v>3438</v>
      </c>
    </row>
    <row r="1814" spans="1:7">
      <c r="A1814">
        <v>457</v>
      </c>
      <c r="B1814">
        <v>2011</v>
      </c>
      <c r="C1814" t="s">
        <v>124</v>
      </c>
      <c r="D1814" t="s">
        <v>93</v>
      </c>
      <c r="E1814" t="s">
        <v>362</v>
      </c>
      <c r="F1814" s="267" t="s">
        <v>418</v>
      </c>
      <c r="G1814" s="267" t="s">
        <v>3439</v>
      </c>
    </row>
    <row r="1815" spans="1:7">
      <c r="A1815">
        <v>458</v>
      </c>
      <c r="B1815">
        <v>2011</v>
      </c>
      <c r="C1815" t="s">
        <v>125</v>
      </c>
      <c r="D1815" t="s">
        <v>93</v>
      </c>
      <c r="E1815" t="s">
        <v>362</v>
      </c>
      <c r="F1815" s="267" t="s">
        <v>419</v>
      </c>
      <c r="G1815" s="267" t="s">
        <v>3440</v>
      </c>
    </row>
    <row r="1816" spans="1:7">
      <c r="A1816">
        <v>459</v>
      </c>
      <c r="B1816">
        <v>2011</v>
      </c>
      <c r="C1816" t="s">
        <v>126</v>
      </c>
      <c r="D1816" t="s">
        <v>93</v>
      </c>
      <c r="E1816" t="s">
        <v>362</v>
      </c>
      <c r="F1816" s="267" t="s">
        <v>420</v>
      </c>
      <c r="G1816" s="267" t="s">
        <v>3441</v>
      </c>
    </row>
    <row r="1817" spans="1:7">
      <c r="A1817">
        <v>460</v>
      </c>
      <c r="B1817">
        <v>2011</v>
      </c>
      <c r="C1817" t="s">
        <v>127</v>
      </c>
      <c r="D1817" t="s">
        <v>93</v>
      </c>
      <c r="E1817" t="s">
        <v>362</v>
      </c>
      <c r="F1817" s="267" t="s">
        <v>421</v>
      </c>
      <c r="G1817" s="267" t="s">
        <v>3442</v>
      </c>
    </row>
    <row r="1818" spans="1:7">
      <c r="A1818">
        <v>461</v>
      </c>
      <c r="B1818">
        <v>2011</v>
      </c>
      <c r="C1818" t="s">
        <v>128</v>
      </c>
      <c r="D1818" t="s">
        <v>93</v>
      </c>
      <c r="E1818" t="s">
        <v>362</v>
      </c>
      <c r="F1818" s="267" t="s">
        <v>422</v>
      </c>
      <c r="G1818" s="267" t="s">
        <v>3443</v>
      </c>
    </row>
    <row r="1819" spans="1:7">
      <c r="A1819">
        <v>462</v>
      </c>
      <c r="B1819">
        <v>2011</v>
      </c>
      <c r="C1819" t="s">
        <v>129</v>
      </c>
      <c r="D1819" t="s">
        <v>93</v>
      </c>
      <c r="E1819" t="s">
        <v>362</v>
      </c>
      <c r="F1819" s="267" t="s">
        <v>423</v>
      </c>
      <c r="G1819" s="267" t="s">
        <v>214</v>
      </c>
    </row>
    <row r="1820" spans="1:7">
      <c r="A1820">
        <v>4</v>
      </c>
      <c r="B1820">
        <v>2011</v>
      </c>
      <c r="C1820" t="s">
        <v>157</v>
      </c>
      <c r="D1820" t="s">
        <v>93</v>
      </c>
      <c r="E1820" t="s">
        <v>362</v>
      </c>
      <c r="F1820" s="267" t="s">
        <v>424</v>
      </c>
      <c r="G1820" s="267" t="s">
        <v>3444</v>
      </c>
    </row>
    <row r="1821" spans="1:7">
      <c r="A1821">
        <v>0</v>
      </c>
      <c r="B1821">
        <v>2011</v>
      </c>
      <c r="C1821" t="s">
        <v>130</v>
      </c>
      <c r="D1821" t="s">
        <v>93</v>
      </c>
      <c r="E1821" t="s">
        <v>362</v>
      </c>
      <c r="F1821" s="267" t="s">
        <v>425</v>
      </c>
      <c r="G1821" s="267" t="s">
        <v>3445</v>
      </c>
    </row>
    <row r="1822" spans="1:7">
      <c r="A1822">
        <v>101</v>
      </c>
      <c r="B1822">
        <v>2011</v>
      </c>
      <c r="C1822" t="s">
        <v>363</v>
      </c>
      <c r="D1822" t="s">
        <v>131</v>
      </c>
      <c r="E1822" t="s">
        <v>362</v>
      </c>
      <c r="F1822" s="267" t="s">
        <v>364</v>
      </c>
      <c r="G1822" s="267" t="s">
        <v>3446</v>
      </c>
    </row>
    <row r="1823" spans="1:7">
      <c r="A1823">
        <v>102</v>
      </c>
      <c r="B1823">
        <v>2011</v>
      </c>
      <c r="C1823" t="s">
        <v>365</v>
      </c>
      <c r="D1823" t="s">
        <v>131</v>
      </c>
      <c r="E1823" t="s">
        <v>362</v>
      </c>
      <c r="F1823" s="267" t="s">
        <v>366</v>
      </c>
      <c r="G1823" s="267" t="s">
        <v>3447</v>
      </c>
    </row>
    <row r="1824" spans="1:7">
      <c r="A1824">
        <v>103</v>
      </c>
      <c r="B1824">
        <v>2011</v>
      </c>
      <c r="C1824" t="s">
        <v>367</v>
      </c>
      <c r="D1824" t="s">
        <v>131</v>
      </c>
      <c r="E1824" t="s">
        <v>362</v>
      </c>
      <c r="F1824" s="267" t="s">
        <v>368</v>
      </c>
      <c r="G1824" s="267" t="s">
        <v>3448</v>
      </c>
    </row>
    <row r="1825" spans="1:7">
      <c r="A1825">
        <v>151</v>
      </c>
      <c r="B1825">
        <v>2011</v>
      </c>
      <c r="C1825" t="s">
        <v>94</v>
      </c>
      <c r="D1825" t="s">
        <v>131</v>
      </c>
      <c r="E1825" t="s">
        <v>362</v>
      </c>
      <c r="F1825" s="267" t="s">
        <v>369</v>
      </c>
      <c r="G1825" s="267" t="s">
        <v>3449</v>
      </c>
    </row>
    <row r="1826" spans="1:7">
      <c r="A1826">
        <v>153</v>
      </c>
      <c r="B1826">
        <v>2011</v>
      </c>
      <c r="C1826" t="s">
        <v>96</v>
      </c>
      <c r="D1826" t="s">
        <v>131</v>
      </c>
      <c r="E1826" t="s">
        <v>362</v>
      </c>
      <c r="F1826" s="267" t="s">
        <v>370</v>
      </c>
      <c r="G1826" s="267" t="s">
        <v>3450</v>
      </c>
    </row>
    <row r="1827" spans="1:7">
      <c r="A1827">
        <v>154</v>
      </c>
      <c r="B1827">
        <v>2011</v>
      </c>
      <c r="C1827" t="s">
        <v>97</v>
      </c>
      <c r="D1827" t="s">
        <v>131</v>
      </c>
      <c r="E1827" t="s">
        <v>362</v>
      </c>
      <c r="F1827" s="267" t="s">
        <v>371</v>
      </c>
      <c r="G1827" s="267" t="s">
        <v>3451</v>
      </c>
    </row>
    <row r="1828" spans="1:7">
      <c r="A1828">
        <v>155</v>
      </c>
      <c r="B1828">
        <v>2011</v>
      </c>
      <c r="C1828" t="s">
        <v>98</v>
      </c>
      <c r="D1828" t="s">
        <v>131</v>
      </c>
      <c r="E1828" t="s">
        <v>362</v>
      </c>
      <c r="F1828" s="267" t="s">
        <v>372</v>
      </c>
      <c r="G1828" s="267" t="s">
        <v>3452</v>
      </c>
    </row>
    <row r="1829" spans="1:7">
      <c r="A1829">
        <v>157</v>
      </c>
      <c r="B1829">
        <v>2011</v>
      </c>
      <c r="C1829" t="s">
        <v>99</v>
      </c>
      <c r="D1829" t="s">
        <v>131</v>
      </c>
      <c r="E1829" t="s">
        <v>362</v>
      </c>
      <c r="F1829" s="267" t="s">
        <v>373</v>
      </c>
      <c r="G1829" s="267" t="s">
        <v>3453</v>
      </c>
    </row>
    <row r="1830" spans="1:7">
      <c r="A1830">
        <v>158</v>
      </c>
      <c r="B1830">
        <v>2011</v>
      </c>
      <c r="C1830" t="s">
        <v>100</v>
      </c>
      <c r="D1830" t="s">
        <v>131</v>
      </c>
      <c r="E1830" t="s">
        <v>362</v>
      </c>
      <c r="F1830" s="267" t="s">
        <v>374</v>
      </c>
      <c r="G1830" s="267" t="s">
        <v>3454</v>
      </c>
    </row>
    <row r="1831" spans="1:7">
      <c r="A1831">
        <v>159</v>
      </c>
      <c r="B1831">
        <v>2011</v>
      </c>
      <c r="C1831" t="s">
        <v>95</v>
      </c>
      <c r="D1831" t="s">
        <v>131</v>
      </c>
      <c r="E1831" t="s">
        <v>362</v>
      </c>
      <c r="F1831" s="267" t="s">
        <v>375</v>
      </c>
      <c r="G1831" s="267" t="s">
        <v>3455</v>
      </c>
    </row>
    <row r="1832" spans="1:7">
      <c r="A1832">
        <v>1</v>
      </c>
      <c r="B1832">
        <v>2011</v>
      </c>
      <c r="C1832" t="s">
        <v>154</v>
      </c>
      <c r="D1832" t="s">
        <v>131</v>
      </c>
      <c r="E1832" t="s">
        <v>362</v>
      </c>
      <c r="F1832" s="267" t="s">
        <v>376</v>
      </c>
      <c r="G1832" s="267" t="s">
        <v>3456</v>
      </c>
    </row>
    <row r="1833" spans="1:7">
      <c r="A1833">
        <v>241</v>
      </c>
      <c r="B1833">
        <v>2011</v>
      </c>
      <c r="C1833" t="s">
        <v>377</v>
      </c>
      <c r="D1833" t="s">
        <v>131</v>
      </c>
      <c r="E1833" t="s">
        <v>362</v>
      </c>
      <c r="F1833" s="267" t="s">
        <v>378</v>
      </c>
      <c r="G1833" s="267" t="s">
        <v>3457</v>
      </c>
    </row>
    <row r="1834" spans="1:7">
      <c r="A1834">
        <v>241001</v>
      </c>
      <c r="B1834">
        <v>2011</v>
      </c>
      <c r="C1834" t="s">
        <v>379</v>
      </c>
      <c r="D1834" t="s">
        <v>131</v>
      </c>
      <c r="E1834" t="s">
        <v>362</v>
      </c>
      <c r="F1834" s="267" t="s">
        <v>380</v>
      </c>
      <c r="G1834" s="267" t="s">
        <v>3458</v>
      </c>
    </row>
    <row r="1835" spans="1:7">
      <c r="A1835">
        <v>241999</v>
      </c>
      <c r="B1835">
        <v>2011</v>
      </c>
      <c r="C1835" t="s">
        <v>381</v>
      </c>
      <c r="D1835" t="s">
        <v>131</v>
      </c>
      <c r="E1835" t="s">
        <v>362</v>
      </c>
      <c r="F1835" s="267" t="s">
        <v>382</v>
      </c>
      <c r="G1835" s="267" t="s">
        <v>3459</v>
      </c>
    </row>
    <row r="1836" spans="1:7">
      <c r="A1836">
        <v>251</v>
      </c>
      <c r="B1836">
        <v>2011</v>
      </c>
      <c r="C1836" t="s">
        <v>101</v>
      </c>
      <c r="D1836" t="s">
        <v>131</v>
      </c>
      <c r="E1836" t="s">
        <v>362</v>
      </c>
      <c r="F1836" s="267" t="s">
        <v>383</v>
      </c>
      <c r="G1836" s="267" t="s">
        <v>3460</v>
      </c>
    </row>
    <row r="1837" spans="1:7">
      <c r="A1837">
        <v>252</v>
      </c>
      <c r="B1837">
        <v>2011</v>
      </c>
      <c r="C1837" t="s">
        <v>102</v>
      </c>
      <c r="D1837" t="s">
        <v>131</v>
      </c>
      <c r="E1837" t="s">
        <v>362</v>
      </c>
      <c r="F1837" s="267" t="s">
        <v>384</v>
      </c>
      <c r="G1837" s="267" t="s">
        <v>3461</v>
      </c>
    </row>
    <row r="1838" spans="1:7">
      <c r="A1838">
        <v>254</v>
      </c>
      <c r="B1838">
        <v>2011</v>
      </c>
      <c r="C1838" t="s">
        <v>103</v>
      </c>
      <c r="D1838" t="s">
        <v>131</v>
      </c>
      <c r="E1838" t="s">
        <v>362</v>
      </c>
      <c r="F1838" s="267" t="s">
        <v>385</v>
      </c>
      <c r="G1838" s="267" t="s">
        <v>3462</v>
      </c>
    </row>
    <row r="1839" spans="1:7">
      <c r="A1839">
        <v>255</v>
      </c>
      <c r="B1839">
        <v>2011</v>
      </c>
      <c r="C1839" t="s">
        <v>104</v>
      </c>
      <c r="D1839" t="s">
        <v>131</v>
      </c>
      <c r="E1839" t="s">
        <v>362</v>
      </c>
      <c r="F1839" s="267" t="s">
        <v>386</v>
      </c>
      <c r="G1839" s="267" t="s">
        <v>3463</v>
      </c>
    </row>
    <row r="1840" spans="1:7">
      <c r="A1840">
        <v>256</v>
      </c>
      <c r="B1840">
        <v>2011</v>
      </c>
      <c r="C1840" t="s">
        <v>105</v>
      </c>
      <c r="D1840" t="s">
        <v>131</v>
      </c>
      <c r="E1840" t="s">
        <v>362</v>
      </c>
      <c r="F1840" s="267" t="s">
        <v>387</v>
      </c>
      <c r="G1840" s="267" t="s">
        <v>3464</v>
      </c>
    </row>
    <row r="1841" spans="1:7">
      <c r="A1841">
        <v>257</v>
      </c>
      <c r="B1841">
        <v>2011</v>
      </c>
      <c r="C1841" t="s">
        <v>106</v>
      </c>
      <c r="D1841" t="s">
        <v>131</v>
      </c>
      <c r="E1841" t="s">
        <v>362</v>
      </c>
      <c r="F1841" s="267" t="s">
        <v>388</v>
      </c>
      <c r="G1841" s="267" t="s">
        <v>3465</v>
      </c>
    </row>
    <row r="1842" spans="1:7">
      <c r="A1842">
        <v>2</v>
      </c>
      <c r="B1842">
        <v>2011</v>
      </c>
      <c r="C1842" t="s">
        <v>155</v>
      </c>
      <c r="D1842" t="s">
        <v>131</v>
      </c>
      <c r="E1842" t="s">
        <v>362</v>
      </c>
      <c r="F1842" s="267" t="s">
        <v>389</v>
      </c>
      <c r="G1842" s="267" t="s">
        <v>3466</v>
      </c>
    </row>
    <row r="1843" spans="1:7">
      <c r="A1843">
        <v>351</v>
      </c>
      <c r="B1843">
        <v>2011</v>
      </c>
      <c r="C1843" t="s">
        <v>107</v>
      </c>
      <c r="D1843" t="s">
        <v>131</v>
      </c>
      <c r="E1843" t="s">
        <v>362</v>
      </c>
      <c r="F1843" s="267" t="s">
        <v>390</v>
      </c>
      <c r="G1843" s="267" t="s">
        <v>3467</v>
      </c>
    </row>
    <row r="1844" spans="1:7">
      <c r="A1844">
        <v>352</v>
      </c>
      <c r="B1844">
        <v>2011</v>
      </c>
      <c r="C1844" t="s">
        <v>108</v>
      </c>
      <c r="D1844" t="s">
        <v>131</v>
      </c>
      <c r="E1844" t="s">
        <v>362</v>
      </c>
      <c r="F1844" s="267" t="s">
        <v>391</v>
      </c>
      <c r="G1844" s="267" t="s">
        <v>3468</v>
      </c>
    </row>
    <row r="1845" spans="1:7">
      <c r="A1845">
        <v>353</v>
      </c>
      <c r="B1845">
        <v>2011</v>
      </c>
      <c r="C1845" t="s">
        <v>109</v>
      </c>
      <c r="D1845" t="s">
        <v>131</v>
      </c>
      <c r="E1845" t="s">
        <v>362</v>
      </c>
      <c r="F1845" s="267" t="s">
        <v>392</v>
      </c>
      <c r="G1845" s="267" t="s">
        <v>3469</v>
      </c>
    </row>
    <row r="1846" spans="1:7">
      <c r="A1846">
        <v>354</v>
      </c>
      <c r="B1846">
        <v>2011</v>
      </c>
      <c r="C1846" t="s">
        <v>110</v>
      </c>
      <c r="D1846" t="s">
        <v>131</v>
      </c>
      <c r="E1846" t="s">
        <v>362</v>
      </c>
      <c r="F1846" s="267" t="s">
        <v>393</v>
      </c>
      <c r="G1846" s="267" t="s">
        <v>3470</v>
      </c>
    </row>
    <row r="1847" spans="1:7">
      <c r="A1847">
        <v>355</v>
      </c>
      <c r="B1847">
        <v>2011</v>
      </c>
      <c r="C1847" t="s">
        <v>111</v>
      </c>
      <c r="D1847" t="s">
        <v>131</v>
      </c>
      <c r="E1847" t="s">
        <v>362</v>
      </c>
      <c r="F1847" s="267" t="s">
        <v>394</v>
      </c>
      <c r="G1847" s="267" t="s">
        <v>3471</v>
      </c>
    </row>
    <row r="1848" spans="1:7">
      <c r="A1848">
        <v>356</v>
      </c>
      <c r="B1848">
        <v>2011</v>
      </c>
      <c r="C1848" t="s">
        <v>112</v>
      </c>
      <c r="D1848" t="s">
        <v>131</v>
      </c>
      <c r="E1848" t="s">
        <v>362</v>
      </c>
      <c r="F1848" s="267" t="s">
        <v>395</v>
      </c>
      <c r="G1848" s="267" t="s">
        <v>3472</v>
      </c>
    </row>
    <row r="1849" spans="1:7">
      <c r="A1849">
        <v>357</v>
      </c>
      <c r="B1849">
        <v>2011</v>
      </c>
      <c r="C1849" t="s">
        <v>113</v>
      </c>
      <c r="D1849" t="s">
        <v>131</v>
      </c>
      <c r="E1849" t="s">
        <v>362</v>
      </c>
      <c r="F1849" s="267" t="s">
        <v>396</v>
      </c>
      <c r="G1849" s="267" t="s">
        <v>3473</v>
      </c>
    </row>
    <row r="1850" spans="1:7">
      <c r="A1850">
        <v>358</v>
      </c>
      <c r="B1850">
        <v>2011</v>
      </c>
      <c r="C1850" t="s">
        <v>114</v>
      </c>
      <c r="D1850" t="s">
        <v>131</v>
      </c>
      <c r="E1850" t="s">
        <v>362</v>
      </c>
      <c r="F1850" s="267" t="s">
        <v>397</v>
      </c>
      <c r="G1850" s="267" t="s">
        <v>3474</v>
      </c>
    </row>
    <row r="1851" spans="1:7">
      <c r="A1851">
        <v>359</v>
      </c>
      <c r="B1851">
        <v>2011</v>
      </c>
      <c r="C1851" t="s">
        <v>115</v>
      </c>
      <c r="D1851" t="s">
        <v>131</v>
      </c>
      <c r="E1851" t="s">
        <v>362</v>
      </c>
      <c r="F1851" s="267" t="s">
        <v>398</v>
      </c>
      <c r="G1851" s="267" t="s">
        <v>3475</v>
      </c>
    </row>
    <row r="1852" spans="1:7">
      <c r="A1852">
        <v>360</v>
      </c>
      <c r="B1852">
        <v>2011</v>
      </c>
      <c r="C1852" t="s">
        <v>116</v>
      </c>
      <c r="D1852" t="s">
        <v>131</v>
      </c>
      <c r="E1852" t="s">
        <v>362</v>
      </c>
      <c r="F1852" s="267" t="s">
        <v>399</v>
      </c>
      <c r="G1852" s="267" t="s">
        <v>3476</v>
      </c>
    </row>
    <row r="1853" spans="1:7">
      <c r="A1853">
        <v>361</v>
      </c>
      <c r="B1853">
        <v>2011</v>
      </c>
      <c r="C1853" t="s">
        <v>117</v>
      </c>
      <c r="D1853" t="s">
        <v>131</v>
      </c>
      <c r="E1853" t="s">
        <v>362</v>
      </c>
      <c r="F1853" s="267" t="s">
        <v>400</v>
      </c>
      <c r="G1853" s="267" t="s">
        <v>3477</v>
      </c>
    </row>
    <row r="1854" spans="1:7">
      <c r="A1854">
        <v>3</v>
      </c>
      <c r="B1854">
        <v>2011</v>
      </c>
      <c r="C1854" t="s">
        <v>156</v>
      </c>
      <c r="D1854" t="s">
        <v>131</v>
      </c>
      <c r="E1854" t="s">
        <v>362</v>
      </c>
      <c r="F1854" s="267" t="s">
        <v>401</v>
      </c>
      <c r="G1854" s="267" t="s">
        <v>3478</v>
      </c>
    </row>
    <row r="1855" spans="1:7">
      <c r="A1855">
        <v>401</v>
      </c>
      <c r="B1855">
        <v>2011</v>
      </c>
      <c r="C1855" t="s">
        <v>402</v>
      </c>
      <c r="D1855" t="s">
        <v>131</v>
      </c>
      <c r="E1855" t="s">
        <v>362</v>
      </c>
      <c r="F1855" s="267" t="s">
        <v>403</v>
      </c>
      <c r="G1855" s="267" t="s">
        <v>3479</v>
      </c>
    </row>
    <row r="1856" spans="1:7">
      <c r="A1856">
        <v>402</v>
      </c>
      <c r="B1856">
        <v>2011</v>
      </c>
      <c r="C1856" t="s">
        <v>404</v>
      </c>
      <c r="D1856" t="s">
        <v>131</v>
      </c>
      <c r="E1856" t="s">
        <v>362</v>
      </c>
      <c r="F1856" s="267" t="s">
        <v>405</v>
      </c>
      <c r="G1856" s="267" t="s">
        <v>3480</v>
      </c>
    </row>
    <row r="1857" spans="1:7">
      <c r="A1857">
        <v>403</v>
      </c>
      <c r="B1857">
        <v>2011</v>
      </c>
      <c r="C1857" t="s">
        <v>406</v>
      </c>
      <c r="D1857" t="s">
        <v>131</v>
      </c>
      <c r="E1857" t="s">
        <v>362</v>
      </c>
      <c r="F1857" s="267" t="s">
        <v>407</v>
      </c>
      <c r="G1857" s="267" t="s">
        <v>3481</v>
      </c>
    </row>
    <row r="1858" spans="1:7">
      <c r="A1858">
        <v>404</v>
      </c>
      <c r="B1858">
        <v>2011</v>
      </c>
      <c r="C1858" t="s">
        <v>408</v>
      </c>
      <c r="D1858" t="s">
        <v>131</v>
      </c>
      <c r="E1858" t="s">
        <v>362</v>
      </c>
      <c r="F1858" s="267" t="s">
        <v>409</v>
      </c>
      <c r="G1858" s="267" t="s">
        <v>3482</v>
      </c>
    </row>
    <row r="1859" spans="1:7">
      <c r="A1859">
        <v>405</v>
      </c>
      <c r="B1859">
        <v>2011</v>
      </c>
      <c r="C1859" t="s">
        <v>410</v>
      </c>
      <c r="D1859" t="s">
        <v>131</v>
      </c>
      <c r="E1859" t="s">
        <v>362</v>
      </c>
      <c r="F1859" s="267" t="s">
        <v>411</v>
      </c>
      <c r="G1859" s="267" t="s">
        <v>3483</v>
      </c>
    </row>
    <row r="1860" spans="1:7">
      <c r="A1860">
        <v>451</v>
      </c>
      <c r="B1860">
        <v>2011</v>
      </c>
      <c r="C1860" t="s">
        <v>118</v>
      </c>
      <c r="D1860" t="s">
        <v>131</v>
      </c>
      <c r="E1860" t="s">
        <v>362</v>
      </c>
      <c r="F1860" s="267" t="s">
        <v>412</v>
      </c>
      <c r="G1860" s="267" t="s">
        <v>3484</v>
      </c>
    </row>
    <row r="1861" spans="1:7">
      <c r="A1861">
        <v>452</v>
      </c>
      <c r="B1861">
        <v>2011</v>
      </c>
      <c r="C1861" t="s">
        <v>119</v>
      </c>
      <c r="D1861" t="s">
        <v>131</v>
      </c>
      <c r="E1861" t="s">
        <v>362</v>
      </c>
      <c r="F1861" s="267" t="s">
        <v>413</v>
      </c>
      <c r="G1861" s="267" t="s">
        <v>3485</v>
      </c>
    </row>
    <row r="1862" spans="1:7">
      <c r="A1862">
        <v>453</v>
      </c>
      <c r="B1862">
        <v>2011</v>
      </c>
      <c r="C1862" t="s">
        <v>120</v>
      </c>
      <c r="D1862" t="s">
        <v>131</v>
      </c>
      <c r="E1862" t="s">
        <v>362</v>
      </c>
      <c r="F1862" s="267" t="s">
        <v>414</v>
      </c>
      <c r="G1862" s="267" t="s">
        <v>3486</v>
      </c>
    </row>
    <row r="1863" spans="1:7">
      <c r="A1863">
        <v>454</v>
      </c>
      <c r="B1863">
        <v>2011</v>
      </c>
      <c r="C1863" t="s">
        <v>121</v>
      </c>
      <c r="D1863" t="s">
        <v>131</v>
      </c>
      <c r="E1863" t="s">
        <v>362</v>
      </c>
      <c r="F1863" s="267" t="s">
        <v>415</v>
      </c>
      <c r="G1863" s="267" t="s">
        <v>3487</v>
      </c>
    </row>
    <row r="1864" spans="1:7">
      <c r="A1864">
        <v>455</v>
      </c>
      <c r="B1864">
        <v>2011</v>
      </c>
      <c r="C1864" t="s">
        <v>122</v>
      </c>
      <c r="D1864" t="s">
        <v>131</v>
      </c>
      <c r="E1864" t="s">
        <v>362</v>
      </c>
      <c r="F1864" s="267" t="s">
        <v>416</v>
      </c>
      <c r="G1864" s="267" t="s">
        <v>3488</v>
      </c>
    </row>
    <row r="1865" spans="1:7">
      <c r="A1865">
        <v>456</v>
      </c>
      <c r="B1865">
        <v>2011</v>
      </c>
      <c r="C1865" t="s">
        <v>123</v>
      </c>
      <c r="D1865" t="s">
        <v>131</v>
      </c>
      <c r="E1865" t="s">
        <v>362</v>
      </c>
      <c r="F1865" s="267" t="s">
        <v>417</v>
      </c>
      <c r="G1865" s="267" t="s">
        <v>3489</v>
      </c>
    </row>
    <row r="1866" spans="1:7">
      <c r="A1866">
        <v>457</v>
      </c>
      <c r="B1866">
        <v>2011</v>
      </c>
      <c r="C1866" t="s">
        <v>124</v>
      </c>
      <c r="D1866" t="s">
        <v>131</v>
      </c>
      <c r="E1866" t="s">
        <v>362</v>
      </c>
      <c r="F1866" s="267" t="s">
        <v>418</v>
      </c>
      <c r="G1866" s="267" t="s">
        <v>3490</v>
      </c>
    </row>
    <row r="1867" spans="1:7">
      <c r="A1867">
        <v>458</v>
      </c>
      <c r="B1867">
        <v>2011</v>
      </c>
      <c r="C1867" t="s">
        <v>125</v>
      </c>
      <c r="D1867" t="s">
        <v>131</v>
      </c>
      <c r="E1867" t="s">
        <v>362</v>
      </c>
      <c r="F1867" s="267" t="s">
        <v>419</v>
      </c>
      <c r="G1867" s="267" t="s">
        <v>3491</v>
      </c>
    </row>
    <row r="1868" spans="1:7">
      <c r="A1868">
        <v>459</v>
      </c>
      <c r="B1868">
        <v>2011</v>
      </c>
      <c r="C1868" t="s">
        <v>126</v>
      </c>
      <c r="D1868" t="s">
        <v>131</v>
      </c>
      <c r="E1868" t="s">
        <v>362</v>
      </c>
      <c r="F1868" s="267" t="s">
        <v>420</v>
      </c>
      <c r="G1868" s="267" t="s">
        <v>3492</v>
      </c>
    </row>
    <row r="1869" spans="1:7">
      <c r="A1869">
        <v>460</v>
      </c>
      <c r="B1869">
        <v>2011</v>
      </c>
      <c r="C1869" t="s">
        <v>127</v>
      </c>
      <c r="D1869" t="s">
        <v>131</v>
      </c>
      <c r="E1869" t="s">
        <v>362</v>
      </c>
      <c r="F1869" s="267" t="s">
        <v>421</v>
      </c>
      <c r="G1869" s="267" t="s">
        <v>3493</v>
      </c>
    </row>
    <row r="1870" spans="1:7">
      <c r="A1870">
        <v>461</v>
      </c>
      <c r="B1870">
        <v>2011</v>
      </c>
      <c r="C1870" t="s">
        <v>128</v>
      </c>
      <c r="D1870" t="s">
        <v>131</v>
      </c>
      <c r="E1870" t="s">
        <v>362</v>
      </c>
      <c r="F1870" s="267" t="s">
        <v>422</v>
      </c>
      <c r="G1870" s="267" t="s">
        <v>3494</v>
      </c>
    </row>
    <row r="1871" spans="1:7">
      <c r="A1871">
        <v>462</v>
      </c>
      <c r="B1871">
        <v>2011</v>
      </c>
      <c r="C1871" t="s">
        <v>129</v>
      </c>
      <c r="D1871" t="s">
        <v>131</v>
      </c>
      <c r="E1871" t="s">
        <v>362</v>
      </c>
      <c r="F1871" s="267" t="s">
        <v>423</v>
      </c>
      <c r="G1871" s="267" t="s">
        <v>214</v>
      </c>
    </row>
    <row r="1872" spans="1:7">
      <c r="A1872">
        <v>4</v>
      </c>
      <c r="B1872">
        <v>2011</v>
      </c>
      <c r="C1872" t="s">
        <v>157</v>
      </c>
      <c r="D1872" t="s">
        <v>131</v>
      </c>
      <c r="E1872" t="s">
        <v>362</v>
      </c>
      <c r="F1872" s="267" t="s">
        <v>424</v>
      </c>
      <c r="G1872" s="267" t="s">
        <v>3495</v>
      </c>
    </row>
    <row r="1873" spans="1:7">
      <c r="A1873">
        <v>0</v>
      </c>
      <c r="B1873">
        <v>2011</v>
      </c>
      <c r="C1873" t="s">
        <v>130</v>
      </c>
      <c r="D1873" t="s">
        <v>131</v>
      </c>
      <c r="E1873" t="s">
        <v>362</v>
      </c>
      <c r="F1873" s="267" t="s">
        <v>425</v>
      </c>
      <c r="G1873" s="267" t="s">
        <v>3496</v>
      </c>
    </row>
    <row r="1874" spans="1:7">
      <c r="F1874" s="267"/>
      <c r="G1874" s="267" t="s">
        <v>3</v>
      </c>
    </row>
    <row r="1875" spans="1:7">
      <c r="F1875" s="267"/>
      <c r="G1875" s="267" t="s">
        <v>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A378E-DD47-48F1-9C18-F417032E075D}">
  <sheetPr codeName="Tabelle14"/>
  <dimension ref="A1:M60"/>
  <sheetViews>
    <sheetView topLeftCell="C1" zoomScale="160" zoomScaleNormal="160" workbookViewId="0">
      <selection activeCell="A12" sqref="A12"/>
    </sheetView>
  </sheetViews>
  <sheetFormatPr baseColWidth="10" defaultRowHeight="13.5"/>
  <cols>
    <col min="2" max="2" width="25.125" customWidth="1"/>
  </cols>
  <sheetData>
    <row r="1" spans="1:13">
      <c r="B1" s="222"/>
      <c r="C1" s="222"/>
      <c r="D1" s="222"/>
      <c r="E1" s="222"/>
      <c r="F1" s="222"/>
      <c r="G1" s="222"/>
      <c r="H1" s="222"/>
      <c r="I1" s="221"/>
      <c r="J1" s="222"/>
      <c r="K1" s="222"/>
      <c r="L1" s="222"/>
      <c r="M1" s="221" t="s">
        <v>227</v>
      </c>
    </row>
    <row r="2" spans="1:13" ht="15"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</row>
    <row r="3" spans="1:13">
      <c r="B3" s="301" t="s">
        <v>228</v>
      </c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</row>
    <row r="4" spans="1:13" ht="15">
      <c r="B4" s="220" t="s">
        <v>345</v>
      </c>
      <c r="C4" s="205"/>
      <c r="D4" s="205"/>
      <c r="E4" s="205"/>
      <c r="F4" s="205"/>
      <c r="G4" s="205"/>
      <c r="H4" s="205"/>
      <c r="I4" s="205"/>
      <c r="J4" s="205"/>
      <c r="K4" s="205"/>
      <c r="L4" s="205"/>
      <c r="M4" s="205"/>
    </row>
    <row r="5" spans="1:13" ht="15">
      <c r="B5" s="219" t="s">
        <v>346</v>
      </c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</row>
    <row r="6" spans="1:13" ht="15">
      <c r="B6" s="205"/>
      <c r="C6" s="205"/>
      <c r="D6" s="205"/>
      <c r="E6" s="205"/>
      <c r="F6" s="205"/>
      <c r="G6" s="205"/>
      <c r="H6" s="205"/>
      <c r="I6" s="205"/>
      <c r="J6" s="205"/>
      <c r="K6" s="205"/>
      <c r="L6" s="205"/>
      <c r="M6" s="205"/>
    </row>
    <row r="7" spans="1:13">
      <c r="B7" s="303" t="s">
        <v>231</v>
      </c>
      <c r="C7" s="303" t="s">
        <v>28</v>
      </c>
      <c r="D7" s="305" t="s">
        <v>232</v>
      </c>
      <c r="E7" s="305"/>
      <c r="F7" s="309" t="s">
        <v>232</v>
      </c>
      <c r="G7" s="306"/>
      <c r="H7" s="306"/>
      <c r="I7" s="307"/>
      <c r="J7" s="306" t="s">
        <v>233</v>
      </c>
      <c r="K7" s="306"/>
      <c r="L7" s="306"/>
      <c r="M7" s="307"/>
    </row>
    <row r="8" spans="1:13" ht="45">
      <c r="B8" s="304"/>
      <c r="C8" s="304"/>
      <c r="D8" s="235" t="s">
        <v>89</v>
      </c>
      <c r="E8" s="228" t="s">
        <v>90</v>
      </c>
      <c r="F8" s="218" t="s">
        <v>234</v>
      </c>
      <c r="G8" s="218" t="s">
        <v>235</v>
      </c>
      <c r="H8" s="218" t="s">
        <v>347</v>
      </c>
      <c r="I8" s="217" t="s">
        <v>237</v>
      </c>
      <c r="J8" s="226" t="s">
        <v>234</v>
      </c>
      <c r="K8" s="218" t="s">
        <v>235</v>
      </c>
      <c r="L8" s="218" t="s">
        <v>347</v>
      </c>
      <c r="M8" s="217" t="s">
        <v>237</v>
      </c>
    </row>
    <row r="9" spans="1:13">
      <c r="B9" s="308"/>
      <c r="C9" s="215">
        <v>1</v>
      </c>
      <c r="D9" s="234">
        <v>2</v>
      </c>
      <c r="E9" s="216">
        <v>3</v>
      </c>
      <c r="F9" s="216">
        <v>4</v>
      </c>
      <c r="G9" s="216">
        <v>5</v>
      </c>
      <c r="H9" s="216">
        <v>6</v>
      </c>
      <c r="I9" s="215">
        <v>7</v>
      </c>
      <c r="J9" s="234">
        <v>8</v>
      </c>
      <c r="K9" s="216">
        <v>9</v>
      </c>
      <c r="L9" s="216">
        <v>10</v>
      </c>
      <c r="M9" s="215">
        <v>11</v>
      </c>
    </row>
    <row r="10" spans="1:13">
      <c r="A10" s="108">
        <v>0</v>
      </c>
      <c r="B10" s="223" t="s">
        <v>238</v>
      </c>
      <c r="C10" s="212">
        <v>291733</v>
      </c>
      <c r="D10" s="214">
        <v>192854</v>
      </c>
      <c r="E10" s="214">
        <v>93737</v>
      </c>
      <c r="F10" s="213">
        <v>75423</v>
      </c>
      <c r="G10" s="213">
        <v>87848</v>
      </c>
      <c r="H10" s="213">
        <v>34334</v>
      </c>
      <c r="I10" s="229">
        <v>94128</v>
      </c>
      <c r="J10" s="237">
        <v>25.853434476044878</v>
      </c>
      <c r="K10" s="238">
        <v>30.112465850623686</v>
      </c>
      <c r="L10" s="238">
        <v>11.768980540425662</v>
      </c>
      <c r="M10" s="239">
        <v>32.265119132905774</v>
      </c>
    </row>
    <row r="11" spans="1:13">
      <c r="A11" s="108">
        <v>1</v>
      </c>
      <c r="B11" s="224" t="s">
        <v>239</v>
      </c>
      <c r="C11" s="209">
        <v>53466</v>
      </c>
      <c r="D11" s="211">
        <v>35528</v>
      </c>
      <c r="E11" s="211">
        <v>17938</v>
      </c>
      <c r="F11" s="210">
        <v>12043</v>
      </c>
      <c r="G11" s="211">
        <v>17264</v>
      </c>
      <c r="H11" s="211">
        <v>10939</v>
      </c>
      <c r="I11" s="230">
        <v>13220</v>
      </c>
      <c r="J11" s="240">
        <v>22.524595069763961</v>
      </c>
      <c r="K11" s="240">
        <v>32.289679422436691</v>
      </c>
      <c r="L11" s="240">
        <v>20.459731418097483</v>
      </c>
      <c r="M11" s="241">
        <v>24.725994089701867</v>
      </c>
    </row>
    <row r="12" spans="1:13">
      <c r="A12" s="107">
        <v>101</v>
      </c>
      <c r="B12" s="227" t="s">
        <v>240</v>
      </c>
      <c r="C12" s="209">
        <v>11541</v>
      </c>
      <c r="D12" s="211">
        <v>6997</v>
      </c>
      <c r="E12" s="211">
        <v>4544</v>
      </c>
      <c r="F12" s="210">
        <v>2695</v>
      </c>
      <c r="G12" s="211">
        <v>3224</v>
      </c>
      <c r="H12" s="211">
        <v>2875</v>
      </c>
      <c r="I12" s="230">
        <v>2747</v>
      </c>
      <c r="J12" s="240">
        <v>23.351529330214021</v>
      </c>
      <c r="K12" s="240">
        <v>27.93518759206308</v>
      </c>
      <c r="L12" s="240">
        <v>24.911186205701412</v>
      </c>
      <c r="M12" s="241">
        <v>23.80209687202149</v>
      </c>
    </row>
    <row r="13" spans="1:13">
      <c r="A13" s="107">
        <v>102</v>
      </c>
      <c r="B13" s="227" t="s">
        <v>241</v>
      </c>
      <c r="C13" s="209">
        <v>4878</v>
      </c>
      <c r="D13" s="211">
        <v>3738</v>
      </c>
      <c r="E13" s="211">
        <v>1140</v>
      </c>
      <c r="F13" s="210">
        <v>1065</v>
      </c>
      <c r="G13" s="211">
        <v>1954</v>
      </c>
      <c r="H13" s="211">
        <v>439</v>
      </c>
      <c r="I13" s="230">
        <v>1420</v>
      </c>
      <c r="J13" s="240">
        <v>21.832718327183272</v>
      </c>
      <c r="K13" s="240">
        <v>40.05740057400574</v>
      </c>
      <c r="L13" s="240">
        <v>8.9995899958999583</v>
      </c>
      <c r="M13" s="241">
        <v>29.110291102911027</v>
      </c>
    </row>
    <row r="14" spans="1:13">
      <c r="A14" s="107">
        <v>103</v>
      </c>
      <c r="B14" s="227" t="s">
        <v>242</v>
      </c>
      <c r="C14" s="209">
        <v>10661</v>
      </c>
      <c r="D14" s="211">
        <v>7333</v>
      </c>
      <c r="E14" s="211">
        <v>3328</v>
      </c>
      <c r="F14" s="210">
        <v>1624</v>
      </c>
      <c r="G14" s="211">
        <v>3468</v>
      </c>
      <c r="H14" s="211">
        <v>2716</v>
      </c>
      <c r="I14" s="230">
        <v>2853</v>
      </c>
      <c r="J14" s="240">
        <v>15.233092580433356</v>
      </c>
      <c r="K14" s="240">
        <v>32.529781446393393</v>
      </c>
      <c r="L14" s="240">
        <v>25.476034143138541</v>
      </c>
      <c r="M14" s="241">
        <v>26.761091830034704</v>
      </c>
    </row>
    <row r="15" spans="1:13">
      <c r="A15" s="107">
        <v>151</v>
      </c>
      <c r="B15" s="227" t="s">
        <v>243</v>
      </c>
      <c r="C15" s="209">
        <v>3257</v>
      </c>
      <c r="D15" s="211">
        <v>2169</v>
      </c>
      <c r="E15" s="211">
        <v>1088</v>
      </c>
      <c r="F15" s="210">
        <v>801</v>
      </c>
      <c r="G15" s="211">
        <v>896</v>
      </c>
      <c r="H15" s="211">
        <v>563</v>
      </c>
      <c r="I15" s="230">
        <v>997</v>
      </c>
      <c r="J15" s="240">
        <v>24.593183911575068</v>
      </c>
      <c r="K15" s="240">
        <v>27.509978507829292</v>
      </c>
      <c r="L15" s="240">
        <v>17.285845870432915</v>
      </c>
      <c r="M15" s="241">
        <v>30.610991710162725</v>
      </c>
    </row>
    <row r="16" spans="1:13">
      <c r="A16" s="107">
        <v>153</v>
      </c>
      <c r="B16" s="227" t="s">
        <v>244</v>
      </c>
      <c r="C16" s="209">
        <v>3225</v>
      </c>
      <c r="D16" s="211">
        <v>2090</v>
      </c>
      <c r="E16" s="211">
        <v>1135</v>
      </c>
      <c r="F16" s="210">
        <v>843</v>
      </c>
      <c r="G16" s="211">
        <v>982</v>
      </c>
      <c r="H16" s="211">
        <v>567</v>
      </c>
      <c r="I16" s="230">
        <v>833</v>
      </c>
      <c r="J16" s="240">
        <v>26.13953488372093</v>
      </c>
      <c r="K16" s="240">
        <v>30.449612403100776</v>
      </c>
      <c r="L16" s="240">
        <v>17.581395348837209</v>
      </c>
      <c r="M16" s="241">
        <v>25.829457364341085</v>
      </c>
    </row>
    <row r="17" spans="1:13">
      <c r="A17" s="107">
        <v>154</v>
      </c>
      <c r="B17" s="227" t="s">
        <v>245</v>
      </c>
      <c r="C17" s="209">
        <v>1701</v>
      </c>
      <c r="D17" s="211">
        <v>1149</v>
      </c>
      <c r="E17" s="211">
        <v>552</v>
      </c>
      <c r="F17" s="210">
        <v>388</v>
      </c>
      <c r="G17" s="211">
        <v>741</v>
      </c>
      <c r="H17" s="211">
        <v>230</v>
      </c>
      <c r="I17" s="230">
        <v>342</v>
      </c>
      <c r="J17" s="240">
        <v>22.810111699000586</v>
      </c>
      <c r="K17" s="240">
        <v>43.562610229276899</v>
      </c>
      <c r="L17" s="240">
        <v>13.52145796590241</v>
      </c>
      <c r="M17" s="241">
        <v>20.105820105820104</v>
      </c>
    </row>
    <row r="18" spans="1:13">
      <c r="A18" s="107">
        <v>155</v>
      </c>
      <c r="B18" s="227" t="s">
        <v>246</v>
      </c>
      <c r="C18" s="209">
        <v>3416</v>
      </c>
      <c r="D18" s="211">
        <v>2534</v>
      </c>
      <c r="E18" s="211">
        <v>882</v>
      </c>
      <c r="F18" s="210">
        <v>805</v>
      </c>
      <c r="G18" s="211">
        <v>1459</v>
      </c>
      <c r="H18" s="211">
        <v>349</v>
      </c>
      <c r="I18" s="230">
        <v>803</v>
      </c>
      <c r="J18" s="240">
        <v>23.565573770491802</v>
      </c>
      <c r="K18" s="240">
        <v>42.710772833723652</v>
      </c>
      <c r="L18" s="240">
        <v>10.216627634660421</v>
      </c>
      <c r="M18" s="241">
        <v>23.507025761124122</v>
      </c>
    </row>
    <row r="19" spans="1:13">
      <c r="A19" s="107">
        <v>157</v>
      </c>
      <c r="B19" s="227" t="s">
        <v>247</v>
      </c>
      <c r="C19" s="209">
        <v>3368</v>
      </c>
      <c r="D19" s="211">
        <v>2434</v>
      </c>
      <c r="E19" s="211">
        <v>934</v>
      </c>
      <c r="F19" s="210">
        <v>954</v>
      </c>
      <c r="G19" s="211">
        <v>1074</v>
      </c>
      <c r="H19" s="211">
        <v>224</v>
      </c>
      <c r="I19" s="230">
        <v>1116</v>
      </c>
      <c r="J19" s="240">
        <v>28.325415676959619</v>
      </c>
      <c r="K19" s="240">
        <v>31.88836104513064</v>
      </c>
      <c r="L19" s="240">
        <v>6.6508313539192399</v>
      </c>
      <c r="M19" s="241">
        <v>33.135391923990497</v>
      </c>
    </row>
    <row r="20" spans="1:13">
      <c r="A20" s="107">
        <v>158</v>
      </c>
      <c r="B20" s="227" t="s">
        <v>248</v>
      </c>
      <c r="C20" s="209">
        <v>1586</v>
      </c>
      <c r="D20" s="211">
        <v>1010</v>
      </c>
      <c r="E20" s="211">
        <v>576</v>
      </c>
      <c r="F20" s="210">
        <v>379</v>
      </c>
      <c r="G20" s="211">
        <v>646</v>
      </c>
      <c r="H20" s="211">
        <v>205</v>
      </c>
      <c r="I20" s="230">
        <v>356</v>
      </c>
      <c r="J20" s="240">
        <v>23.896595208070618</v>
      </c>
      <c r="K20" s="240">
        <v>40.731399747793191</v>
      </c>
      <c r="L20" s="240">
        <v>12.925598991172762</v>
      </c>
      <c r="M20" s="241">
        <v>22.446406052963429</v>
      </c>
    </row>
    <row r="21" spans="1:13">
      <c r="A21" s="107">
        <v>159</v>
      </c>
      <c r="B21" s="227" t="s">
        <v>249</v>
      </c>
      <c r="C21" s="209">
        <v>9833</v>
      </c>
      <c r="D21" s="211">
        <v>6074</v>
      </c>
      <c r="E21" s="211">
        <v>3759</v>
      </c>
      <c r="F21" s="210">
        <v>2489</v>
      </c>
      <c r="G21" s="211">
        <v>2820</v>
      </c>
      <c r="H21" s="211">
        <v>2771</v>
      </c>
      <c r="I21" s="230">
        <v>1753</v>
      </c>
      <c r="J21" s="240">
        <v>25.31272246516831</v>
      </c>
      <c r="K21" s="240">
        <v>28.678938269093866</v>
      </c>
      <c r="L21" s="240">
        <v>28.180616292077698</v>
      </c>
      <c r="M21" s="241">
        <v>17.827722973660123</v>
      </c>
    </row>
    <row r="22" spans="1:13">
      <c r="A22" s="108">
        <v>2</v>
      </c>
      <c r="B22" s="225" t="s">
        <v>250</v>
      </c>
      <c r="C22" s="209">
        <v>89506</v>
      </c>
      <c r="D22" s="211">
        <v>56744</v>
      </c>
      <c r="E22" s="211">
        <v>32762</v>
      </c>
      <c r="F22" s="210">
        <v>24589</v>
      </c>
      <c r="G22" s="211">
        <v>29857</v>
      </c>
      <c r="H22" s="211">
        <v>11481</v>
      </c>
      <c r="I22" s="230">
        <v>23579</v>
      </c>
      <c r="J22" s="240">
        <v>27.471901325050833</v>
      </c>
      <c r="K22" s="240">
        <v>33.3575402766295</v>
      </c>
      <c r="L22" s="240">
        <v>12.827073045382432</v>
      </c>
      <c r="M22" s="241">
        <v>26.343485352937233</v>
      </c>
    </row>
    <row r="23" spans="1:13">
      <c r="A23" s="107">
        <v>241</v>
      </c>
      <c r="B23" s="227" t="s">
        <v>251</v>
      </c>
      <c r="C23" s="209">
        <v>62632</v>
      </c>
      <c r="D23" s="211">
        <v>38889</v>
      </c>
      <c r="E23" s="211">
        <v>23743</v>
      </c>
      <c r="F23" s="210">
        <v>17390</v>
      </c>
      <c r="G23" s="211">
        <v>20633</v>
      </c>
      <c r="H23" s="211">
        <v>8609</v>
      </c>
      <c r="I23" s="230">
        <v>16000</v>
      </c>
      <c r="J23" s="240">
        <v>27.765359560607997</v>
      </c>
      <c r="K23" s="240">
        <v>32.943223911099757</v>
      </c>
      <c r="L23" s="240">
        <v>13.745369779026696</v>
      </c>
      <c r="M23" s="241">
        <v>25.54604674926555</v>
      </c>
    </row>
    <row r="24" spans="1:13">
      <c r="A24" s="107">
        <v>251</v>
      </c>
      <c r="B24" s="227" t="s">
        <v>252</v>
      </c>
      <c r="C24" s="209">
        <v>6594</v>
      </c>
      <c r="D24" s="211">
        <v>4544</v>
      </c>
      <c r="E24" s="211">
        <v>2050</v>
      </c>
      <c r="F24" s="210">
        <v>1605</v>
      </c>
      <c r="G24" s="211">
        <v>2173</v>
      </c>
      <c r="H24" s="211">
        <v>477</v>
      </c>
      <c r="I24" s="230">
        <v>2339</v>
      </c>
      <c r="J24" s="240">
        <v>24.340309372156504</v>
      </c>
      <c r="K24" s="240">
        <v>32.954200788595692</v>
      </c>
      <c r="L24" s="240">
        <v>7.2338489535941761</v>
      </c>
      <c r="M24" s="241">
        <v>35.471640885653628</v>
      </c>
    </row>
    <row r="25" spans="1:13">
      <c r="A25" s="107">
        <v>252</v>
      </c>
      <c r="B25" s="227" t="s">
        <v>253</v>
      </c>
      <c r="C25" s="209">
        <v>4124</v>
      </c>
      <c r="D25" s="211">
        <v>2541</v>
      </c>
      <c r="E25" s="211">
        <v>1583</v>
      </c>
      <c r="F25" s="210">
        <v>1166</v>
      </c>
      <c r="G25" s="211">
        <v>1522</v>
      </c>
      <c r="H25" s="211">
        <v>458</v>
      </c>
      <c r="I25" s="230">
        <v>978</v>
      </c>
      <c r="J25" s="240">
        <v>28.273520853540251</v>
      </c>
      <c r="K25" s="240">
        <v>36.905916585838995</v>
      </c>
      <c r="L25" s="240">
        <v>11.105722599418041</v>
      </c>
      <c r="M25" s="241">
        <v>23.714839961202717</v>
      </c>
    </row>
    <row r="26" spans="1:13">
      <c r="A26" s="107">
        <v>254</v>
      </c>
      <c r="B26" s="227" t="s">
        <v>254</v>
      </c>
      <c r="C26" s="209">
        <v>6461</v>
      </c>
      <c r="D26" s="211">
        <v>4211</v>
      </c>
      <c r="E26" s="211">
        <v>2250</v>
      </c>
      <c r="F26" s="210">
        <v>1644</v>
      </c>
      <c r="G26" s="211">
        <v>2297</v>
      </c>
      <c r="H26" s="211">
        <v>1168</v>
      </c>
      <c r="I26" s="230">
        <v>1352</v>
      </c>
      <c r="J26" s="240">
        <v>25.444977557653615</v>
      </c>
      <c r="K26" s="240">
        <v>35.551772171490484</v>
      </c>
      <c r="L26" s="240">
        <v>18.077696950936389</v>
      </c>
      <c r="M26" s="241">
        <v>20.925553319919516</v>
      </c>
    </row>
    <row r="27" spans="1:13">
      <c r="A27" s="107">
        <v>255</v>
      </c>
      <c r="B27" s="227" t="s">
        <v>255</v>
      </c>
      <c r="C27" s="209">
        <v>1484</v>
      </c>
      <c r="D27" s="211">
        <v>998</v>
      </c>
      <c r="E27" s="211">
        <v>486</v>
      </c>
      <c r="F27" s="210">
        <v>413</v>
      </c>
      <c r="G27" s="211">
        <v>491</v>
      </c>
      <c r="H27" s="211">
        <v>188</v>
      </c>
      <c r="I27" s="230">
        <v>392</v>
      </c>
      <c r="J27" s="240">
        <v>27.830188679245282</v>
      </c>
      <c r="K27" s="240">
        <v>33.086253369272235</v>
      </c>
      <c r="L27" s="240">
        <v>12.668463611859838</v>
      </c>
      <c r="M27" s="241">
        <v>26.415094339622641</v>
      </c>
    </row>
    <row r="28" spans="1:13">
      <c r="A28" s="107">
        <v>256</v>
      </c>
      <c r="B28" s="227" t="s">
        <v>256</v>
      </c>
      <c r="C28" s="209">
        <v>4349</v>
      </c>
      <c r="D28" s="211">
        <v>3022</v>
      </c>
      <c r="E28" s="211">
        <v>1327</v>
      </c>
      <c r="F28" s="210">
        <v>1309</v>
      </c>
      <c r="G28" s="211">
        <v>1081</v>
      </c>
      <c r="H28" s="211">
        <v>243</v>
      </c>
      <c r="I28" s="230">
        <v>1716</v>
      </c>
      <c r="J28" s="240">
        <v>30.098873304207864</v>
      </c>
      <c r="K28" s="240">
        <v>24.856288802023453</v>
      </c>
      <c r="L28" s="240">
        <v>5.5874913773281216</v>
      </c>
      <c r="M28" s="241">
        <v>39.457346516440559</v>
      </c>
    </row>
    <row r="29" spans="1:13">
      <c r="A29" s="107">
        <v>257</v>
      </c>
      <c r="B29" s="227" t="s">
        <v>257</v>
      </c>
      <c r="C29" s="209">
        <v>3862</v>
      </c>
      <c r="D29" s="211">
        <v>2539</v>
      </c>
      <c r="E29" s="211">
        <v>1323</v>
      </c>
      <c r="F29" s="210">
        <v>1062</v>
      </c>
      <c r="G29" s="211">
        <v>1660</v>
      </c>
      <c r="H29" s="211">
        <v>338</v>
      </c>
      <c r="I29" s="230">
        <v>802</v>
      </c>
      <c r="J29" s="240">
        <v>27.498705334023821</v>
      </c>
      <c r="K29" s="240">
        <v>42.982910409114446</v>
      </c>
      <c r="L29" s="240">
        <v>8.7519419989642664</v>
      </c>
      <c r="M29" s="241">
        <v>20.766442257897463</v>
      </c>
    </row>
    <row r="30" spans="1:13">
      <c r="A30" s="108">
        <v>3</v>
      </c>
      <c r="B30" s="225" t="s">
        <v>258</v>
      </c>
      <c r="C30" s="209">
        <v>47031</v>
      </c>
      <c r="D30" s="211">
        <v>32095</v>
      </c>
      <c r="E30" s="211">
        <v>14936</v>
      </c>
      <c r="F30" s="210">
        <v>12396</v>
      </c>
      <c r="G30" s="211">
        <v>13974</v>
      </c>
      <c r="H30" s="211">
        <v>4397</v>
      </c>
      <c r="I30" s="230">
        <v>16264</v>
      </c>
      <c r="J30" s="240">
        <v>26.35708362569369</v>
      </c>
      <c r="K30" s="240">
        <v>29.712317407667282</v>
      </c>
      <c r="L30" s="240">
        <v>9.3491526865259083</v>
      </c>
      <c r="M30" s="241">
        <v>34.58144628011312</v>
      </c>
    </row>
    <row r="31" spans="1:13">
      <c r="A31" s="107">
        <v>351</v>
      </c>
      <c r="B31" s="227" t="s">
        <v>259</v>
      </c>
      <c r="C31" s="209">
        <v>4092</v>
      </c>
      <c r="D31" s="211">
        <v>2631</v>
      </c>
      <c r="E31" s="211">
        <v>1461</v>
      </c>
      <c r="F31" s="210">
        <v>1284</v>
      </c>
      <c r="G31" s="211">
        <v>1242</v>
      </c>
      <c r="H31" s="211">
        <v>576</v>
      </c>
      <c r="I31" s="230">
        <v>990</v>
      </c>
      <c r="J31" s="240">
        <v>31.378299120234605</v>
      </c>
      <c r="K31" s="240">
        <v>30.351906158357771</v>
      </c>
      <c r="L31" s="240">
        <v>14.07624633431085</v>
      </c>
      <c r="M31" s="241">
        <v>24.193548387096776</v>
      </c>
    </row>
    <row r="32" spans="1:13">
      <c r="A32" s="107">
        <v>352</v>
      </c>
      <c r="B32" s="227" t="s">
        <v>260</v>
      </c>
      <c r="C32" s="209">
        <v>4388</v>
      </c>
      <c r="D32" s="211">
        <v>2924</v>
      </c>
      <c r="E32" s="211">
        <v>1464</v>
      </c>
      <c r="F32" s="210">
        <v>1148</v>
      </c>
      <c r="G32" s="211">
        <v>1364</v>
      </c>
      <c r="H32" s="211">
        <v>293</v>
      </c>
      <c r="I32" s="230">
        <v>1583</v>
      </c>
      <c r="J32" s="240">
        <v>26.162260711030083</v>
      </c>
      <c r="K32" s="240">
        <v>31.084776663628077</v>
      </c>
      <c r="L32" s="240">
        <v>6.6773017319963541</v>
      </c>
      <c r="M32" s="241">
        <v>36.075660893345486</v>
      </c>
    </row>
    <row r="33" spans="1:13">
      <c r="A33" s="107">
        <v>353</v>
      </c>
      <c r="B33" s="227" t="s">
        <v>261</v>
      </c>
      <c r="C33" s="209">
        <v>9737</v>
      </c>
      <c r="D33" s="211">
        <v>7051</v>
      </c>
      <c r="E33" s="211">
        <v>2686</v>
      </c>
      <c r="F33" s="210">
        <v>2788</v>
      </c>
      <c r="G33" s="211">
        <v>2594</v>
      </c>
      <c r="H33" s="211">
        <v>677</v>
      </c>
      <c r="I33" s="230">
        <v>3678</v>
      </c>
      <c r="J33" s="240">
        <v>28.633049193796857</v>
      </c>
      <c r="K33" s="240">
        <v>26.640649070555611</v>
      </c>
      <c r="L33" s="240">
        <v>6.9528602238882611</v>
      </c>
      <c r="M33" s="241">
        <v>37.773441511759266</v>
      </c>
    </row>
    <row r="34" spans="1:13">
      <c r="A34" s="107">
        <v>354</v>
      </c>
      <c r="B34" s="227" t="s">
        <v>262</v>
      </c>
      <c r="C34" s="209">
        <v>750</v>
      </c>
      <c r="D34" s="211">
        <v>456</v>
      </c>
      <c r="E34" s="211">
        <v>294</v>
      </c>
      <c r="F34" s="210">
        <v>125</v>
      </c>
      <c r="G34" s="211">
        <v>239</v>
      </c>
      <c r="H34" s="211">
        <v>87</v>
      </c>
      <c r="I34" s="230">
        <v>299</v>
      </c>
      <c r="J34" s="240">
        <v>16.666666666666668</v>
      </c>
      <c r="K34" s="240">
        <v>31.866666666666667</v>
      </c>
      <c r="L34" s="240">
        <v>11.6</v>
      </c>
      <c r="M34" s="241">
        <v>39.866666666666667</v>
      </c>
    </row>
    <row r="35" spans="1:13">
      <c r="A35" s="107">
        <v>355</v>
      </c>
      <c r="B35" s="227" t="s">
        <v>263</v>
      </c>
      <c r="C35" s="209">
        <v>3926</v>
      </c>
      <c r="D35" s="211">
        <v>2530</v>
      </c>
      <c r="E35" s="211">
        <v>1396</v>
      </c>
      <c r="F35" s="210">
        <v>1067</v>
      </c>
      <c r="G35" s="211">
        <v>1231</v>
      </c>
      <c r="H35" s="211">
        <v>588</v>
      </c>
      <c r="I35" s="230">
        <v>1040</v>
      </c>
      <c r="J35" s="240">
        <v>27.1777890983189</v>
      </c>
      <c r="K35" s="240">
        <v>31.355068772287314</v>
      </c>
      <c r="L35" s="240">
        <v>14.977075904228222</v>
      </c>
      <c r="M35" s="241">
        <v>26.490066225165563</v>
      </c>
    </row>
    <row r="36" spans="1:13">
      <c r="A36" s="107">
        <v>356</v>
      </c>
      <c r="B36" s="227" t="s">
        <v>264</v>
      </c>
      <c r="C36" s="209">
        <v>2020</v>
      </c>
      <c r="D36" s="211">
        <v>1391</v>
      </c>
      <c r="E36" s="211">
        <v>629</v>
      </c>
      <c r="F36" s="210">
        <v>538</v>
      </c>
      <c r="G36" s="211">
        <v>670</v>
      </c>
      <c r="H36" s="211">
        <v>232</v>
      </c>
      <c r="I36" s="230">
        <v>580</v>
      </c>
      <c r="J36" s="240">
        <v>26.633663366336634</v>
      </c>
      <c r="K36" s="240">
        <v>33.168316831683171</v>
      </c>
      <c r="L36" s="240">
        <v>11.485148514851485</v>
      </c>
      <c r="M36" s="241">
        <v>28.712871287128714</v>
      </c>
    </row>
    <row r="37" spans="1:13">
      <c r="A37" s="107">
        <v>357</v>
      </c>
      <c r="B37" s="227" t="s">
        <v>265</v>
      </c>
      <c r="C37" s="209">
        <v>4630</v>
      </c>
      <c r="D37" s="211">
        <v>3136</v>
      </c>
      <c r="E37" s="211">
        <v>1494</v>
      </c>
      <c r="F37" s="210">
        <v>1221</v>
      </c>
      <c r="G37" s="211">
        <v>1643</v>
      </c>
      <c r="H37" s="211">
        <v>413</v>
      </c>
      <c r="I37" s="230">
        <v>1353</v>
      </c>
      <c r="J37" s="240">
        <v>26.37149028077754</v>
      </c>
      <c r="K37" s="240">
        <v>35.485961123110151</v>
      </c>
      <c r="L37" s="240">
        <v>8.9200863930885532</v>
      </c>
      <c r="M37" s="241">
        <v>29.22246220302376</v>
      </c>
    </row>
    <row r="38" spans="1:13">
      <c r="A38" s="107">
        <v>358</v>
      </c>
      <c r="B38" s="227" t="s">
        <v>266</v>
      </c>
      <c r="C38" s="209">
        <v>4303</v>
      </c>
      <c r="D38" s="211">
        <v>2824</v>
      </c>
      <c r="E38" s="211">
        <v>1479</v>
      </c>
      <c r="F38" s="210">
        <v>938</v>
      </c>
      <c r="G38" s="211">
        <v>1565</v>
      </c>
      <c r="H38" s="211">
        <v>341</v>
      </c>
      <c r="I38" s="230">
        <v>1459</v>
      </c>
      <c r="J38" s="240">
        <v>21.798745061584942</v>
      </c>
      <c r="K38" s="240">
        <v>36.369974436439691</v>
      </c>
      <c r="L38" s="240">
        <v>7.9247036950964445</v>
      </c>
      <c r="M38" s="241">
        <v>33.906576806878924</v>
      </c>
    </row>
    <row r="39" spans="1:13">
      <c r="A39" s="107">
        <v>359</v>
      </c>
      <c r="B39" s="227" t="s">
        <v>267</v>
      </c>
      <c r="C39" s="209">
        <v>5874</v>
      </c>
      <c r="D39" s="211">
        <v>4173</v>
      </c>
      <c r="E39" s="211">
        <v>1701</v>
      </c>
      <c r="F39" s="210">
        <v>1348</v>
      </c>
      <c r="G39" s="211">
        <v>1465</v>
      </c>
      <c r="H39" s="211">
        <v>534</v>
      </c>
      <c r="I39" s="230">
        <v>2527</v>
      </c>
      <c r="J39" s="240">
        <v>22.948586993530814</v>
      </c>
      <c r="K39" s="240">
        <v>24.940415389853591</v>
      </c>
      <c r="L39" s="240">
        <v>9.0909090909090917</v>
      </c>
      <c r="M39" s="241">
        <v>43.020088525706505</v>
      </c>
    </row>
    <row r="40" spans="1:13">
      <c r="A40" s="107">
        <v>360</v>
      </c>
      <c r="B40" s="227" t="s">
        <v>268</v>
      </c>
      <c r="C40" s="209">
        <v>1682</v>
      </c>
      <c r="D40" s="211">
        <v>1035</v>
      </c>
      <c r="E40" s="211">
        <v>647</v>
      </c>
      <c r="F40" s="210">
        <v>372</v>
      </c>
      <c r="G40" s="211">
        <v>605</v>
      </c>
      <c r="H40" s="211">
        <v>225</v>
      </c>
      <c r="I40" s="230">
        <v>480</v>
      </c>
      <c r="J40" s="240">
        <v>22.116527942925089</v>
      </c>
      <c r="K40" s="240">
        <v>35.969084423305588</v>
      </c>
      <c r="L40" s="240">
        <v>13.376932223543401</v>
      </c>
      <c r="M40" s="241">
        <v>28.53745541022592</v>
      </c>
    </row>
    <row r="41" spans="1:13">
      <c r="A41" s="107">
        <v>361</v>
      </c>
      <c r="B41" s="227" t="s">
        <v>269</v>
      </c>
      <c r="C41" s="209">
        <v>5629</v>
      </c>
      <c r="D41" s="211">
        <v>3944</v>
      </c>
      <c r="E41" s="211">
        <v>1685</v>
      </c>
      <c r="F41" s="210">
        <v>1567</v>
      </c>
      <c r="G41" s="211">
        <v>1356</v>
      </c>
      <c r="H41" s="211">
        <v>431</v>
      </c>
      <c r="I41" s="230">
        <v>2275</v>
      </c>
      <c r="J41" s="240">
        <v>27.83798187955232</v>
      </c>
      <c r="K41" s="240">
        <v>24.089536329721088</v>
      </c>
      <c r="L41" s="240">
        <v>7.6567774027358322</v>
      </c>
      <c r="M41" s="241">
        <v>40.415704387990765</v>
      </c>
    </row>
    <row r="42" spans="1:13">
      <c r="A42" s="108">
        <v>4</v>
      </c>
      <c r="B42" s="225" t="s">
        <v>270</v>
      </c>
      <c r="C42" s="209">
        <v>101730</v>
      </c>
      <c r="D42" s="211">
        <v>68487</v>
      </c>
      <c r="E42" s="211">
        <v>33243</v>
      </c>
      <c r="F42" s="210">
        <v>26395</v>
      </c>
      <c r="G42" s="211">
        <v>26753</v>
      </c>
      <c r="H42" s="211">
        <v>7517</v>
      </c>
      <c r="I42" s="230">
        <v>41065</v>
      </c>
      <c r="J42" s="240">
        <v>25.946131917821685</v>
      </c>
      <c r="K42" s="240">
        <v>26.298043841541336</v>
      </c>
      <c r="L42" s="240">
        <v>7.3891674039123165</v>
      </c>
      <c r="M42" s="241">
        <v>40.366656836724665</v>
      </c>
    </row>
    <row r="43" spans="1:13">
      <c r="A43" s="107">
        <v>401</v>
      </c>
      <c r="B43" s="227" t="s">
        <v>271</v>
      </c>
      <c r="C43" s="209">
        <v>1864</v>
      </c>
      <c r="D43" s="211">
        <v>1219</v>
      </c>
      <c r="E43" s="211">
        <v>645</v>
      </c>
      <c r="F43" s="210">
        <v>599</v>
      </c>
      <c r="G43" s="211">
        <v>583</v>
      </c>
      <c r="H43" s="211">
        <v>186</v>
      </c>
      <c r="I43" s="230">
        <v>496</v>
      </c>
      <c r="J43" s="240">
        <v>32.13519313304721</v>
      </c>
      <c r="K43" s="240">
        <v>31.276824034334766</v>
      </c>
      <c r="L43" s="240">
        <v>9.9785407725321882</v>
      </c>
      <c r="M43" s="241">
        <v>26.609442060085836</v>
      </c>
    </row>
    <row r="44" spans="1:13">
      <c r="A44" s="107">
        <v>402</v>
      </c>
      <c r="B44" s="227" t="s">
        <v>272</v>
      </c>
      <c r="C44" s="209">
        <v>1823</v>
      </c>
      <c r="D44" s="211">
        <v>1350</v>
      </c>
      <c r="E44" s="211">
        <v>473</v>
      </c>
      <c r="F44" s="210">
        <v>480</v>
      </c>
      <c r="G44" s="211">
        <v>607</v>
      </c>
      <c r="H44" s="211">
        <v>184</v>
      </c>
      <c r="I44" s="230">
        <v>552</v>
      </c>
      <c r="J44" s="240">
        <v>26.330224904004389</v>
      </c>
      <c r="K44" s="240">
        <v>33.296763576522217</v>
      </c>
      <c r="L44" s="240">
        <v>10.093252879868349</v>
      </c>
      <c r="M44" s="241">
        <v>30.279758639605046</v>
      </c>
    </row>
    <row r="45" spans="1:13">
      <c r="A45" s="107">
        <v>403</v>
      </c>
      <c r="B45" s="227" t="s">
        <v>273</v>
      </c>
      <c r="C45" s="209">
        <v>6162</v>
      </c>
      <c r="D45" s="211">
        <v>3917</v>
      </c>
      <c r="E45" s="211">
        <v>2245</v>
      </c>
      <c r="F45" s="210">
        <v>1794</v>
      </c>
      <c r="G45" s="211">
        <v>1521</v>
      </c>
      <c r="H45" s="211">
        <v>1119</v>
      </c>
      <c r="I45" s="230">
        <v>1728</v>
      </c>
      <c r="J45" s="240">
        <v>29.11392405063291</v>
      </c>
      <c r="K45" s="240">
        <v>24.683544303797468</v>
      </c>
      <c r="L45" s="240">
        <v>18.159688412852969</v>
      </c>
      <c r="M45" s="241">
        <v>28.042843232716649</v>
      </c>
    </row>
    <row r="46" spans="1:13">
      <c r="A46" s="107">
        <v>404</v>
      </c>
      <c r="B46" s="227" t="s">
        <v>274</v>
      </c>
      <c r="C46" s="209">
        <v>8847</v>
      </c>
      <c r="D46" s="211">
        <v>4934</v>
      </c>
      <c r="E46" s="211">
        <v>3913</v>
      </c>
      <c r="F46" s="210">
        <v>2857</v>
      </c>
      <c r="G46" s="211">
        <v>2674</v>
      </c>
      <c r="H46" s="211">
        <v>1002</v>
      </c>
      <c r="I46" s="230">
        <v>2314</v>
      </c>
      <c r="J46" s="240">
        <v>32.293432802079799</v>
      </c>
      <c r="K46" s="240">
        <v>30.224935006216796</v>
      </c>
      <c r="L46" s="240">
        <v>11.325873177348253</v>
      </c>
      <c r="M46" s="241">
        <v>26.155759014355148</v>
      </c>
    </row>
    <row r="47" spans="1:13">
      <c r="A47" s="107">
        <v>405</v>
      </c>
      <c r="B47" s="227" t="s">
        <v>275</v>
      </c>
      <c r="C47" s="209">
        <v>1855</v>
      </c>
      <c r="D47" s="211">
        <v>1310</v>
      </c>
      <c r="E47" s="211">
        <v>545</v>
      </c>
      <c r="F47" s="210">
        <v>620</v>
      </c>
      <c r="G47" s="211">
        <v>508</v>
      </c>
      <c r="H47" s="211">
        <v>273</v>
      </c>
      <c r="I47" s="230">
        <v>454</v>
      </c>
      <c r="J47" s="240">
        <v>33.423180592991912</v>
      </c>
      <c r="K47" s="240">
        <v>27.385444743935309</v>
      </c>
      <c r="L47" s="240">
        <v>14.716981132075471</v>
      </c>
      <c r="M47" s="241">
        <v>24.474393530997304</v>
      </c>
    </row>
    <row r="48" spans="1:13">
      <c r="A48" s="107">
        <v>451</v>
      </c>
      <c r="B48" s="227" t="s">
        <v>276</v>
      </c>
      <c r="C48" s="209">
        <v>4153</v>
      </c>
      <c r="D48" s="211">
        <v>2852</v>
      </c>
      <c r="E48" s="211">
        <v>1301</v>
      </c>
      <c r="F48" s="210">
        <v>1117</v>
      </c>
      <c r="G48" s="211">
        <v>1062</v>
      </c>
      <c r="H48" s="211">
        <v>307</v>
      </c>
      <c r="I48" s="230">
        <v>1667</v>
      </c>
      <c r="J48" s="240">
        <v>26.896219600288948</v>
      </c>
      <c r="K48" s="240">
        <v>25.571875752468095</v>
      </c>
      <c r="L48" s="240">
        <v>7.3922465687454855</v>
      </c>
      <c r="M48" s="241">
        <v>40.139658078497469</v>
      </c>
    </row>
    <row r="49" spans="1:13">
      <c r="A49" s="107">
        <v>452</v>
      </c>
      <c r="B49" s="227" t="s">
        <v>277</v>
      </c>
      <c r="C49" s="209">
        <v>4164</v>
      </c>
      <c r="D49" s="211">
        <v>2658</v>
      </c>
      <c r="E49" s="211">
        <v>1506</v>
      </c>
      <c r="F49" s="210">
        <v>1133</v>
      </c>
      <c r="G49" s="211">
        <v>1154</v>
      </c>
      <c r="H49" s="211">
        <v>375</v>
      </c>
      <c r="I49" s="230">
        <v>1502</v>
      </c>
      <c r="J49" s="240">
        <v>27.209414024975985</v>
      </c>
      <c r="K49" s="240">
        <v>27.713736791546591</v>
      </c>
      <c r="L49" s="240">
        <v>9.0057636887608066</v>
      </c>
      <c r="M49" s="241">
        <v>36.07108549471662</v>
      </c>
    </row>
    <row r="50" spans="1:13">
      <c r="A50" s="107">
        <v>453</v>
      </c>
      <c r="B50" s="227" t="s">
        <v>278</v>
      </c>
      <c r="C50" s="209">
        <v>10632</v>
      </c>
      <c r="D50" s="211">
        <v>7314</v>
      </c>
      <c r="E50" s="211">
        <v>3318</v>
      </c>
      <c r="F50" s="210">
        <v>3199</v>
      </c>
      <c r="G50" s="211">
        <v>2166</v>
      </c>
      <c r="H50" s="211">
        <v>336</v>
      </c>
      <c r="I50" s="230">
        <v>4931</v>
      </c>
      <c r="J50" s="240">
        <v>30.088412340105343</v>
      </c>
      <c r="K50" s="240">
        <v>20.372460496613996</v>
      </c>
      <c r="L50" s="240">
        <v>3.1602708803611739</v>
      </c>
      <c r="M50" s="241">
        <v>46.378856282919486</v>
      </c>
    </row>
    <row r="51" spans="1:13">
      <c r="A51" s="107">
        <v>454</v>
      </c>
      <c r="B51" s="227" t="s">
        <v>279</v>
      </c>
      <c r="C51" s="209">
        <v>14967</v>
      </c>
      <c r="D51" s="211">
        <v>10881</v>
      </c>
      <c r="E51" s="211">
        <v>4086</v>
      </c>
      <c r="F51" s="210">
        <v>2967</v>
      </c>
      <c r="G51" s="211">
        <v>4220</v>
      </c>
      <c r="H51" s="211">
        <v>1103</v>
      </c>
      <c r="I51" s="230">
        <v>6677</v>
      </c>
      <c r="J51" s="240">
        <v>19.823611946281819</v>
      </c>
      <c r="K51" s="240">
        <v>28.195363132224227</v>
      </c>
      <c r="L51" s="240">
        <v>7.3695463352709289</v>
      </c>
      <c r="M51" s="241">
        <v>44.611478586223022</v>
      </c>
    </row>
    <row r="52" spans="1:13">
      <c r="A52" s="107">
        <v>455</v>
      </c>
      <c r="B52" s="227" t="s">
        <v>280</v>
      </c>
      <c r="C52" s="209">
        <v>1524</v>
      </c>
      <c r="D52" s="211">
        <v>982</v>
      </c>
      <c r="E52" s="211">
        <v>542</v>
      </c>
      <c r="F52" s="210">
        <v>352</v>
      </c>
      <c r="G52" s="211">
        <v>448</v>
      </c>
      <c r="H52" s="211">
        <v>191</v>
      </c>
      <c r="I52" s="230">
        <v>533</v>
      </c>
      <c r="J52" s="240">
        <v>23.097112860892388</v>
      </c>
      <c r="K52" s="240">
        <v>29.396325459317584</v>
      </c>
      <c r="L52" s="240">
        <v>12.532808398950131</v>
      </c>
      <c r="M52" s="241">
        <v>34.973753280839894</v>
      </c>
    </row>
    <row r="53" spans="1:13">
      <c r="A53" s="107">
        <v>456</v>
      </c>
      <c r="B53" s="227" t="s">
        <v>281</v>
      </c>
      <c r="C53" s="209">
        <v>5790</v>
      </c>
      <c r="D53" s="211">
        <v>3984</v>
      </c>
      <c r="E53" s="211">
        <v>1806</v>
      </c>
      <c r="F53" s="210">
        <v>1280</v>
      </c>
      <c r="G53" s="211">
        <v>2095</v>
      </c>
      <c r="H53" s="211">
        <v>412</v>
      </c>
      <c r="I53" s="230">
        <v>2003</v>
      </c>
      <c r="J53" s="240">
        <v>22.107081174438687</v>
      </c>
      <c r="K53" s="240">
        <v>36.183074265975819</v>
      </c>
      <c r="L53" s="240">
        <v>7.1157167530224523</v>
      </c>
      <c r="M53" s="241">
        <v>34.594127806563037</v>
      </c>
    </row>
    <row r="54" spans="1:13">
      <c r="A54" s="107">
        <v>457</v>
      </c>
      <c r="B54" s="227" t="s">
        <v>282</v>
      </c>
      <c r="C54" s="209">
        <v>3766</v>
      </c>
      <c r="D54" s="211">
        <v>2684</v>
      </c>
      <c r="E54" s="211">
        <v>1082</v>
      </c>
      <c r="F54" s="210">
        <v>693</v>
      </c>
      <c r="G54" s="211">
        <v>1127</v>
      </c>
      <c r="H54" s="211">
        <v>309</v>
      </c>
      <c r="I54" s="230">
        <v>1637</v>
      </c>
      <c r="J54" s="240">
        <v>18.401486988847584</v>
      </c>
      <c r="K54" s="240">
        <v>29.925650557620816</v>
      </c>
      <c r="L54" s="240">
        <v>8.2049920339883169</v>
      </c>
      <c r="M54" s="241">
        <v>43.467870419543281</v>
      </c>
    </row>
    <row r="55" spans="1:13">
      <c r="A55" s="107">
        <v>458</v>
      </c>
      <c r="B55" s="227" t="s">
        <v>283</v>
      </c>
      <c r="C55" s="209">
        <v>3842</v>
      </c>
      <c r="D55" s="211">
        <v>2708</v>
      </c>
      <c r="E55" s="211">
        <v>1134</v>
      </c>
      <c r="F55" s="210">
        <v>1051</v>
      </c>
      <c r="G55" s="211">
        <v>1008</v>
      </c>
      <c r="H55" s="211">
        <v>198</v>
      </c>
      <c r="I55" s="230">
        <v>1585</v>
      </c>
      <c r="J55" s="240">
        <v>27.355543987506508</v>
      </c>
      <c r="K55" s="240">
        <v>26.236335242061426</v>
      </c>
      <c r="L55" s="240">
        <v>5.1535658511192084</v>
      </c>
      <c r="M55" s="241">
        <v>41.254554919312859</v>
      </c>
    </row>
    <row r="56" spans="1:13">
      <c r="A56" s="107">
        <v>459</v>
      </c>
      <c r="B56" s="227" t="s">
        <v>284</v>
      </c>
      <c r="C56" s="209">
        <v>17707</v>
      </c>
      <c r="D56" s="211">
        <v>11697</v>
      </c>
      <c r="E56" s="211">
        <v>6010</v>
      </c>
      <c r="F56" s="210">
        <v>4493</v>
      </c>
      <c r="G56" s="211">
        <v>4053</v>
      </c>
      <c r="H56" s="211">
        <v>807</v>
      </c>
      <c r="I56" s="230">
        <v>8354</v>
      </c>
      <c r="J56" s="240">
        <v>25.374145818038063</v>
      </c>
      <c r="K56" s="240">
        <v>22.889252837860735</v>
      </c>
      <c r="L56" s="240">
        <v>4.5575196250070595</v>
      </c>
      <c r="M56" s="241">
        <v>47.179081719094142</v>
      </c>
    </row>
    <row r="57" spans="1:13">
      <c r="A57" s="107">
        <v>460</v>
      </c>
      <c r="B57" s="227" t="s">
        <v>285</v>
      </c>
      <c r="C57" s="209">
        <v>11205</v>
      </c>
      <c r="D57" s="211">
        <v>7462</v>
      </c>
      <c r="E57" s="211">
        <v>3743</v>
      </c>
      <c r="F57" s="210">
        <v>3057</v>
      </c>
      <c r="G57" s="211">
        <v>2412</v>
      </c>
      <c r="H57" s="211">
        <v>478</v>
      </c>
      <c r="I57" s="230">
        <v>5258</v>
      </c>
      <c r="J57" s="240">
        <v>27.282463186077646</v>
      </c>
      <c r="K57" s="240">
        <v>21.526104417670684</v>
      </c>
      <c r="L57" s="240">
        <v>4.2659526996876398</v>
      </c>
      <c r="M57" s="241">
        <v>46.925479696564032</v>
      </c>
    </row>
    <row r="58" spans="1:13">
      <c r="A58" s="107">
        <v>461</v>
      </c>
      <c r="B58" s="227" t="s">
        <v>286</v>
      </c>
      <c r="C58" s="209">
        <v>2505</v>
      </c>
      <c r="D58" s="211">
        <v>1989</v>
      </c>
      <c r="E58" s="211">
        <v>516</v>
      </c>
      <c r="F58" s="210">
        <v>528</v>
      </c>
      <c r="G58" s="211">
        <v>886</v>
      </c>
      <c r="H58" s="211">
        <v>174</v>
      </c>
      <c r="I58" s="230">
        <v>917</v>
      </c>
      <c r="J58" s="240">
        <v>21.077844311377245</v>
      </c>
      <c r="K58" s="240">
        <v>35.36926147704591</v>
      </c>
      <c r="L58" s="240">
        <v>6.9461077844311374</v>
      </c>
      <c r="M58" s="241">
        <v>36.606786427145707</v>
      </c>
    </row>
    <row r="59" spans="1:13">
      <c r="A59" s="107">
        <v>462</v>
      </c>
      <c r="B59" s="227" t="s">
        <v>287</v>
      </c>
      <c r="C59" s="236">
        <v>924</v>
      </c>
      <c r="D59" s="232">
        <v>546</v>
      </c>
      <c r="E59" s="232">
        <v>378</v>
      </c>
      <c r="F59" s="231">
        <v>175</v>
      </c>
      <c r="G59" s="232">
        <v>229</v>
      </c>
      <c r="H59" s="232">
        <v>63</v>
      </c>
      <c r="I59" s="233">
        <v>457</v>
      </c>
      <c r="J59" s="242">
        <v>18.939393939393938</v>
      </c>
      <c r="K59" s="242">
        <v>24.783549783549784</v>
      </c>
      <c r="L59" s="242">
        <v>6.8181818181818183</v>
      </c>
      <c r="M59" s="243">
        <v>49.458874458874462</v>
      </c>
    </row>
    <row r="60" spans="1:13">
      <c r="B60" s="208" t="s">
        <v>348</v>
      </c>
      <c r="C60" s="207"/>
      <c r="D60" s="207"/>
      <c r="E60" s="207"/>
      <c r="F60" s="207"/>
      <c r="G60" s="207"/>
      <c r="H60" s="207"/>
      <c r="I60" s="206"/>
      <c r="J60" s="207"/>
      <c r="K60" s="207"/>
      <c r="L60" s="207"/>
      <c r="M60" s="206" t="s">
        <v>289</v>
      </c>
    </row>
  </sheetData>
  <mergeCells count="6">
    <mergeCell ref="B3:M3"/>
    <mergeCell ref="C7:C8"/>
    <mergeCell ref="D7:E7"/>
    <mergeCell ref="J7:M7"/>
    <mergeCell ref="B7:B9"/>
    <mergeCell ref="F7:I7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5C385-D5A3-47D2-A5AB-311C80F33A04}">
  <sheetPr codeName="Tabelle15"/>
  <dimension ref="A1:K49"/>
  <sheetViews>
    <sheetView topLeftCell="A30" zoomScale="145" zoomScaleNormal="145" workbookViewId="0">
      <selection activeCell="A10" sqref="A10"/>
    </sheetView>
  </sheetViews>
  <sheetFormatPr baseColWidth="10" defaultRowHeight="13.5"/>
  <cols>
    <col min="2" max="2" width="28.75" customWidth="1"/>
    <col min="6" max="9" width="11.875" bestFit="1" customWidth="1"/>
  </cols>
  <sheetData>
    <row r="1" spans="2:11">
      <c r="B1" s="171" t="s">
        <v>349</v>
      </c>
    </row>
    <row r="2" spans="2:11">
      <c r="B2" s="171" t="s">
        <v>309</v>
      </c>
    </row>
    <row r="4" spans="2:11">
      <c r="B4" s="245" t="s">
        <v>4</v>
      </c>
    </row>
    <row r="5" spans="2:11">
      <c r="B5" s="244"/>
    </row>
    <row r="6" spans="2:11">
      <c r="B6" s="246" t="s">
        <v>310</v>
      </c>
    </row>
    <row r="7" spans="2:11">
      <c r="B7" s="246" t="s">
        <v>350</v>
      </c>
    </row>
    <row r="8" spans="2:11">
      <c r="B8" s="246"/>
    </row>
    <row r="9" spans="2:11">
      <c r="B9" s="246" t="s">
        <v>312</v>
      </c>
    </row>
    <row r="10" spans="2:11">
      <c r="B10" s="246" t="s">
        <v>351</v>
      </c>
    </row>
    <row r="11" spans="2:11">
      <c r="B11" s="244"/>
    </row>
    <row r="12" spans="2:11">
      <c r="B12" s="246" t="s">
        <v>314</v>
      </c>
    </row>
    <row r="13" spans="2:11" ht="14.25" thickBot="1"/>
    <row r="14" spans="2:11">
      <c r="B14" s="251" t="s">
        <v>130</v>
      </c>
      <c r="C14" s="313" t="s">
        <v>11</v>
      </c>
      <c r="D14" s="314"/>
      <c r="E14" s="314"/>
      <c r="F14" s="314"/>
      <c r="G14" s="314"/>
      <c r="H14" s="314"/>
      <c r="I14" s="314"/>
      <c r="J14" s="314"/>
      <c r="K14" s="315"/>
    </row>
    <row r="15" spans="2:11">
      <c r="B15" s="252" t="s">
        <v>315</v>
      </c>
      <c r="C15" s="316"/>
      <c r="D15" s="317"/>
      <c r="E15" s="317"/>
      <c r="F15" s="317"/>
      <c r="G15" s="317"/>
      <c r="H15" s="317"/>
      <c r="I15" s="317"/>
      <c r="J15" s="317"/>
      <c r="K15" s="318"/>
    </row>
    <row r="16" spans="2:11" ht="14.25" thickBot="1">
      <c r="B16" s="252" t="s">
        <v>316</v>
      </c>
      <c r="C16" s="319"/>
      <c r="D16" s="320"/>
      <c r="E16" s="320"/>
      <c r="F16" s="320"/>
      <c r="G16" s="320"/>
      <c r="H16" s="320"/>
      <c r="I16" s="320"/>
      <c r="J16" s="320"/>
      <c r="K16" s="321"/>
    </row>
    <row r="17" spans="2:11" ht="14.25" thickBot="1">
      <c r="B17" s="252" t="s">
        <v>317</v>
      </c>
      <c r="C17" s="322" t="s">
        <v>12</v>
      </c>
      <c r="D17" s="323"/>
      <c r="E17" s="324"/>
      <c r="F17" s="322" t="s">
        <v>13</v>
      </c>
      <c r="G17" s="323"/>
      <c r="H17" s="324"/>
      <c r="I17" s="322" t="s">
        <v>14</v>
      </c>
      <c r="J17" s="323"/>
      <c r="K17" s="325"/>
    </row>
    <row r="18" spans="2:11" ht="14.25" thickBot="1">
      <c r="B18" s="252" t="s">
        <v>318</v>
      </c>
      <c r="C18" s="247" t="s">
        <v>15</v>
      </c>
      <c r="D18" s="247" t="s">
        <v>16</v>
      </c>
      <c r="E18" s="247" t="s">
        <v>17</v>
      </c>
      <c r="F18" s="247" t="s">
        <v>15</v>
      </c>
      <c r="G18" s="247" t="s">
        <v>16</v>
      </c>
      <c r="H18" s="247" t="s">
        <v>17</v>
      </c>
      <c r="I18" s="247" t="s">
        <v>15</v>
      </c>
      <c r="J18" s="247" t="s">
        <v>16</v>
      </c>
      <c r="K18" s="254" t="s">
        <v>17</v>
      </c>
    </row>
    <row r="19" spans="2:11" ht="14.25" thickBot="1">
      <c r="B19" s="255" t="s">
        <v>319</v>
      </c>
      <c r="C19" s="248">
        <v>1</v>
      </c>
      <c r="D19" s="248">
        <v>2</v>
      </c>
      <c r="E19" s="248">
        <v>3</v>
      </c>
      <c r="F19" s="248">
        <v>4</v>
      </c>
      <c r="G19" s="248">
        <v>5</v>
      </c>
      <c r="H19" s="248">
        <v>6</v>
      </c>
      <c r="I19" s="248">
        <v>7</v>
      </c>
      <c r="J19" s="248">
        <v>8</v>
      </c>
      <c r="K19" s="256">
        <v>9</v>
      </c>
    </row>
    <row r="20" spans="2:11" ht="14.25" thickBot="1">
      <c r="B20" s="257"/>
      <c r="K20" s="253"/>
    </row>
    <row r="21" spans="2:11" ht="14.25" thickBot="1">
      <c r="B21" s="310" t="s">
        <v>320</v>
      </c>
      <c r="C21" s="311"/>
      <c r="D21" s="311"/>
      <c r="E21" s="311"/>
      <c r="F21" s="311"/>
      <c r="G21" s="311"/>
      <c r="H21" s="311"/>
      <c r="I21" s="311"/>
      <c r="J21" s="311"/>
      <c r="K21" s="312"/>
    </row>
    <row r="22" spans="2:11" ht="14.25" thickBot="1">
      <c r="B22" s="258" t="s">
        <v>28</v>
      </c>
      <c r="C22" s="249">
        <v>518606</v>
      </c>
      <c r="D22" s="249">
        <v>277298</v>
      </c>
      <c r="E22" s="249">
        <v>241308</v>
      </c>
      <c r="F22" s="249">
        <v>455669</v>
      </c>
      <c r="G22" s="249">
        <v>238188</v>
      </c>
      <c r="H22" s="249">
        <v>217481</v>
      </c>
      <c r="I22" s="249">
        <v>62632</v>
      </c>
      <c r="J22" s="249">
        <v>38889</v>
      </c>
      <c r="K22" s="259">
        <v>23743</v>
      </c>
    </row>
    <row r="23" spans="2:11" ht="14.25" thickBot="1">
      <c r="B23" s="260" t="s">
        <v>321</v>
      </c>
      <c r="C23" s="250">
        <v>64584</v>
      </c>
      <c r="D23" s="250">
        <v>37924</v>
      </c>
      <c r="E23" s="250">
        <v>26660</v>
      </c>
      <c r="F23" s="250">
        <v>47095</v>
      </c>
      <c r="G23" s="250">
        <v>26319</v>
      </c>
      <c r="H23" s="250">
        <v>20776</v>
      </c>
      <c r="I23" s="250">
        <v>17390</v>
      </c>
      <c r="J23" s="250">
        <v>11524</v>
      </c>
      <c r="K23" s="261">
        <v>5866</v>
      </c>
    </row>
    <row r="24" spans="2:11" ht="14.25" thickBot="1">
      <c r="B24" s="258" t="s">
        <v>322</v>
      </c>
      <c r="C24" s="249">
        <v>310570</v>
      </c>
      <c r="D24" s="249">
        <v>159277</v>
      </c>
      <c r="E24" s="249">
        <v>151293</v>
      </c>
      <c r="F24" s="249">
        <v>289832</v>
      </c>
      <c r="G24" s="249">
        <v>147005</v>
      </c>
      <c r="H24" s="249">
        <v>142827</v>
      </c>
      <c r="I24" s="249">
        <v>20633</v>
      </c>
      <c r="J24" s="249">
        <v>12210</v>
      </c>
      <c r="K24" s="259">
        <v>8423</v>
      </c>
    </row>
    <row r="25" spans="2:11" ht="14.25" thickBot="1">
      <c r="B25" s="260" t="s">
        <v>323</v>
      </c>
      <c r="C25" s="250">
        <v>97866</v>
      </c>
      <c r="D25" s="250">
        <v>52784</v>
      </c>
      <c r="E25" s="250">
        <v>45082</v>
      </c>
      <c r="F25" s="250">
        <v>89225</v>
      </c>
      <c r="G25" s="250">
        <v>48308</v>
      </c>
      <c r="H25" s="250">
        <v>40917</v>
      </c>
      <c r="I25" s="250">
        <v>8609</v>
      </c>
      <c r="J25" s="250">
        <v>4455</v>
      </c>
      <c r="K25" s="261">
        <v>4154</v>
      </c>
    </row>
    <row r="26" spans="2:11" ht="14.25" thickBot="1">
      <c r="B26" s="258" t="s">
        <v>324</v>
      </c>
      <c r="C26" s="249">
        <v>45586</v>
      </c>
      <c r="D26" s="249">
        <v>27313</v>
      </c>
      <c r="E26" s="249">
        <v>18273</v>
      </c>
      <c r="F26" s="249">
        <v>29517</v>
      </c>
      <c r="G26" s="249">
        <v>16556</v>
      </c>
      <c r="H26" s="249">
        <v>12961</v>
      </c>
      <c r="I26" s="249">
        <v>16000</v>
      </c>
      <c r="J26" s="249">
        <v>10700</v>
      </c>
      <c r="K26" s="259">
        <v>5300</v>
      </c>
    </row>
    <row r="27" spans="2:11" ht="14.25" thickBot="1">
      <c r="B27" s="310" t="s">
        <v>325</v>
      </c>
      <c r="C27" s="311"/>
      <c r="D27" s="311"/>
      <c r="E27" s="311"/>
      <c r="F27" s="311"/>
      <c r="G27" s="311"/>
      <c r="H27" s="311"/>
      <c r="I27" s="311"/>
      <c r="J27" s="311"/>
      <c r="K27" s="312"/>
    </row>
    <row r="28" spans="2:11" ht="14.25" thickBot="1">
      <c r="B28" s="258" t="s">
        <v>28</v>
      </c>
      <c r="C28" s="249">
        <v>328211</v>
      </c>
      <c r="D28" s="249">
        <v>172861</v>
      </c>
      <c r="E28" s="249">
        <v>155350</v>
      </c>
      <c r="F28" s="249">
        <v>289210</v>
      </c>
      <c r="G28" s="249">
        <v>149758</v>
      </c>
      <c r="H28" s="249">
        <v>139452</v>
      </c>
      <c r="I28" s="249">
        <v>38815</v>
      </c>
      <c r="J28" s="249">
        <v>22979</v>
      </c>
      <c r="K28" s="259">
        <v>15836</v>
      </c>
    </row>
    <row r="29" spans="2:11" ht="14.25" thickBot="1">
      <c r="B29" s="260" t="s">
        <v>321</v>
      </c>
      <c r="C29" s="250">
        <v>38679</v>
      </c>
      <c r="D29" s="250">
        <v>21914</v>
      </c>
      <c r="E29" s="250">
        <v>16765</v>
      </c>
      <c r="F29" s="250">
        <v>28124</v>
      </c>
      <c r="G29" s="250">
        <v>15193</v>
      </c>
      <c r="H29" s="250">
        <v>12931</v>
      </c>
      <c r="I29" s="250">
        <v>10501</v>
      </c>
      <c r="J29" s="250">
        <v>6680</v>
      </c>
      <c r="K29" s="261">
        <v>3821</v>
      </c>
    </row>
    <row r="30" spans="2:11" ht="14.25" thickBot="1">
      <c r="B30" s="258" t="s">
        <v>322</v>
      </c>
      <c r="C30" s="249">
        <v>186646</v>
      </c>
      <c r="D30" s="249">
        <v>93912</v>
      </c>
      <c r="E30" s="249">
        <v>92734</v>
      </c>
      <c r="F30" s="249">
        <v>174020</v>
      </c>
      <c r="G30" s="249">
        <v>86745</v>
      </c>
      <c r="H30" s="249">
        <v>87275</v>
      </c>
      <c r="I30" s="249">
        <v>12561</v>
      </c>
      <c r="J30" s="249">
        <v>7133</v>
      </c>
      <c r="K30" s="259">
        <v>5428</v>
      </c>
    </row>
    <row r="31" spans="2:11" ht="14.25" thickBot="1">
      <c r="B31" s="260" t="s">
        <v>323</v>
      </c>
      <c r="C31" s="250">
        <v>76061</v>
      </c>
      <c r="D31" s="250">
        <v>41179</v>
      </c>
      <c r="E31" s="250">
        <v>34882</v>
      </c>
      <c r="F31" s="250">
        <v>69350</v>
      </c>
      <c r="G31" s="250">
        <v>37763</v>
      </c>
      <c r="H31" s="250">
        <v>31587</v>
      </c>
      <c r="I31" s="250">
        <v>6687</v>
      </c>
      <c r="J31" s="250">
        <v>3402</v>
      </c>
      <c r="K31" s="261">
        <v>3285</v>
      </c>
    </row>
    <row r="32" spans="2:11" ht="14.25" thickBot="1">
      <c r="B32" s="262" t="s">
        <v>324</v>
      </c>
      <c r="C32" s="263">
        <v>26825</v>
      </c>
      <c r="D32" s="263">
        <v>15856</v>
      </c>
      <c r="E32" s="263">
        <v>10969</v>
      </c>
      <c r="F32" s="263">
        <v>17716</v>
      </c>
      <c r="G32" s="263">
        <v>10057</v>
      </c>
      <c r="H32" s="263">
        <v>7659</v>
      </c>
      <c r="I32" s="263">
        <v>9066</v>
      </c>
      <c r="J32" s="263">
        <v>5764</v>
      </c>
      <c r="K32" s="264">
        <v>3302</v>
      </c>
    </row>
    <row r="33" spans="1:11" ht="14.25" thickBot="1">
      <c r="B33" s="265" t="s">
        <v>354</v>
      </c>
    </row>
    <row r="34" spans="1:11" ht="14.25" thickBot="1">
      <c r="B34" s="258" t="s">
        <v>28</v>
      </c>
      <c r="C34">
        <f>C22-C28</f>
        <v>190395</v>
      </c>
      <c r="D34">
        <f t="shared" ref="D34:K34" si="0">D22-D28</f>
        <v>104437</v>
      </c>
      <c r="E34">
        <f t="shared" si="0"/>
        <v>85958</v>
      </c>
      <c r="F34">
        <f t="shared" si="0"/>
        <v>166459</v>
      </c>
      <c r="G34">
        <f t="shared" si="0"/>
        <v>88430</v>
      </c>
      <c r="H34">
        <f>H22-H28</f>
        <v>78029</v>
      </c>
      <c r="I34">
        <f t="shared" si="0"/>
        <v>23817</v>
      </c>
      <c r="J34">
        <f t="shared" si="0"/>
        <v>15910</v>
      </c>
      <c r="K34">
        <f t="shared" si="0"/>
        <v>7907</v>
      </c>
    </row>
    <row r="35" spans="1:11" ht="14.25" thickBot="1">
      <c r="B35" s="260" t="s">
        <v>321</v>
      </c>
      <c r="C35">
        <f t="shared" ref="C35:K35" si="1">C23-C29</f>
        <v>25905</v>
      </c>
      <c r="D35">
        <f t="shared" si="1"/>
        <v>16010</v>
      </c>
      <c r="E35">
        <f t="shared" si="1"/>
        <v>9895</v>
      </c>
      <c r="F35">
        <f t="shared" si="1"/>
        <v>18971</v>
      </c>
      <c r="G35">
        <f t="shared" si="1"/>
        <v>11126</v>
      </c>
      <c r="H35">
        <f t="shared" si="1"/>
        <v>7845</v>
      </c>
      <c r="I35">
        <f t="shared" si="1"/>
        <v>6889</v>
      </c>
      <c r="J35">
        <f t="shared" si="1"/>
        <v>4844</v>
      </c>
      <c r="K35">
        <f t="shared" si="1"/>
        <v>2045</v>
      </c>
    </row>
    <row r="36" spans="1:11" ht="14.25" thickBot="1">
      <c r="B36" s="258" t="s">
        <v>322</v>
      </c>
      <c r="C36">
        <f t="shared" ref="C36:K36" si="2">C24-C30</f>
        <v>123924</v>
      </c>
      <c r="D36">
        <f t="shared" si="2"/>
        <v>65365</v>
      </c>
      <c r="E36">
        <f t="shared" si="2"/>
        <v>58559</v>
      </c>
      <c r="F36">
        <f t="shared" si="2"/>
        <v>115812</v>
      </c>
      <c r="G36">
        <f t="shared" si="2"/>
        <v>60260</v>
      </c>
      <c r="H36">
        <f t="shared" si="2"/>
        <v>55552</v>
      </c>
      <c r="I36">
        <f t="shared" si="2"/>
        <v>8072</v>
      </c>
      <c r="J36">
        <f t="shared" si="2"/>
        <v>5077</v>
      </c>
      <c r="K36">
        <f t="shared" si="2"/>
        <v>2995</v>
      </c>
    </row>
    <row r="37" spans="1:11" ht="14.25" thickBot="1">
      <c r="B37" s="260" t="s">
        <v>323</v>
      </c>
      <c r="C37">
        <f t="shared" ref="C37:K37" si="3">C25-C31</f>
        <v>21805</v>
      </c>
      <c r="D37">
        <f t="shared" si="3"/>
        <v>11605</v>
      </c>
      <c r="E37">
        <f t="shared" si="3"/>
        <v>10200</v>
      </c>
      <c r="F37">
        <f t="shared" si="3"/>
        <v>19875</v>
      </c>
      <c r="G37">
        <f t="shared" si="3"/>
        <v>10545</v>
      </c>
      <c r="H37">
        <f t="shared" si="3"/>
        <v>9330</v>
      </c>
      <c r="I37">
        <f t="shared" si="3"/>
        <v>1922</v>
      </c>
      <c r="J37">
        <f t="shared" si="3"/>
        <v>1053</v>
      </c>
      <c r="K37">
        <f t="shared" si="3"/>
        <v>869</v>
      </c>
    </row>
    <row r="38" spans="1:11" ht="14.25" thickBot="1">
      <c r="B38" s="262" t="s">
        <v>324</v>
      </c>
      <c r="C38">
        <f t="shared" ref="C38:K38" si="4">C26-C32</f>
        <v>18761</v>
      </c>
      <c r="D38">
        <f t="shared" si="4"/>
        <v>11457</v>
      </c>
      <c r="E38">
        <f t="shared" si="4"/>
        <v>7304</v>
      </c>
      <c r="F38">
        <f t="shared" si="4"/>
        <v>11801</v>
      </c>
      <c r="G38">
        <f t="shared" si="4"/>
        <v>6499</v>
      </c>
      <c r="H38">
        <f t="shared" si="4"/>
        <v>5302</v>
      </c>
      <c r="I38">
        <f t="shared" si="4"/>
        <v>6934</v>
      </c>
      <c r="J38">
        <f t="shared" si="4"/>
        <v>4936</v>
      </c>
      <c r="K38">
        <f t="shared" si="4"/>
        <v>1998</v>
      </c>
    </row>
    <row r="42" spans="1:11">
      <c r="B42" s="246" t="s">
        <v>326</v>
      </c>
    </row>
    <row r="45" spans="1:11">
      <c r="B45" t="s">
        <v>352</v>
      </c>
    </row>
    <row r="47" spans="1:11">
      <c r="C47" s="204" t="s">
        <v>28</v>
      </c>
      <c r="D47" s="204" t="s">
        <v>89</v>
      </c>
      <c r="E47" s="204" t="s">
        <v>90</v>
      </c>
      <c r="F47" s="204" t="s">
        <v>91</v>
      </c>
      <c r="G47" s="204" t="s">
        <v>92</v>
      </c>
      <c r="H47" s="204" t="s">
        <v>93</v>
      </c>
      <c r="I47" s="204" t="s">
        <v>131</v>
      </c>
    </row>
    <row r="48" spans="1:11">
      <c r="A48">
        <v>241001</v>
      </c>
      <c r="B48" t="s">
        <v>353</v>
      </c>
      <c r="C48">
        <f>I28</f>
        <v>38815</v>
      </c>
      <c r="D48">
        <f>J28</f>
        <v>22979</v>
      </c>
      <c r="E48">
        <f>K28</f>
        <v>15836</v>
      </c>
      <c r="F48">
        <f>I31/C48*100</f>
        <v>17.227875821203142</v>
      </c>
      <c r="G48">
        <f>I30/C48*100</f>
        <v>32.36120056679119</v>
      </c>
      <c r="H48">
        <f>I29/C48*100</f>
        <v>27.053973979131779</v>
      </c>
      <c r="I48">
        <f>I32/C48*100</f>
        <v>23.356949632873889</v>
      </c>
    </row>
    <row r="49" spans="1:9">
      <c r="A49">
        <v>241999</v>
      </c>
      <c r="B49" t="s">
        <v>354</v>
      </c>
      <c r="C49">
        <f>I34</f>
        <v>23817</v>
      </c>
      <c r="D49">
        <f>J34</f>
        <v>15910</v>
      </c>
      <c r="E49">
        <f>K34</f>
        <v>7907</v>
      </c>
      <c r="F49">
        <f>I37/C49*100</f>
        <v>8.0698660620565139</v>
      </c>
      <c r="G49">
        <f>I36/C49*100</f>
        <v>33.891757987991774</v>
      </c>
      <c r="H49">
        <f>I35/C49*100</f>
        <v>28.924717638661463</v>
      </c>
      <c r="I49">
        <f>I38/C49*100</f>
        <v>29.113658311290251</v>
      </c>
    </row>
  </sheetData>
  <mergeCells count="6">
    <mergeCell ref="B27:K27"/>
    <mergeCell ref="C14:K16"/>
    <mergeCell ref="C17:E17"/>
    <mergeCell ref="F17:H17"/>
    <mergeCell ref="I17:K17"/>
    <mergeCell ref="B21:K21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8647-29DC-4C47-9198-89B7A44CF126}">
  <sheetPr codeName="Tabelle5"/>
  <dimension ref="A1:I47"/>
  <sheetViews>
    <sheetView workbookViewId="0">
      <selection activeCell="H8" sqref="F7:H8"/>
    </sheetView>
  </sheetViews>
  <sheetFormatPr baseColWidth="10" defaultRowHeight="13.5"/>
  <cols>
    <col min="2" max="2" width="16.25" customWidth="1"/>
    <col min="3" max="3" width="29.375" bestFit="1" customWidth="1"/>
  </cols>
  <sheetData>
    <row r="1" spans="1:9" ht="15">
      <c r="A1" t="s">
        <v>220</v>
      </c>
      <c r="B1" s="109" t="s">
        <v>224</v>
      </c>
      <c r="C1" s="109" t="s">
        <v>221</v>
      </c>
      <c r="D1" s="109" t="s">
        <v>222</v>
      </c>
    </row>
    <row r="2" spans="1:9" ht="15">
      <c r="A2" s="120">
        <v>101</v>
      </c>
      <c r="B2" s="109">
        <v>3101</v>
      </c>
      <c r="C2" s="109" t="s">
        <v>132</v>
      </c>
      <c r="D2" s="110">
        <f>VLOOKUP(A2,'2019_C4_Zeitreihe'!$A$10:$F$61,6,FALSE)</f>
        <v>23.438200233037556</v>
      </c>
      <c r="F2" s="120">
        <v>0</v>
      </c>
      <c r="G2" s="109">
        <v>0</v>
      </c>
      <c r="H2" s="109" t="s">
        <v>130</v>
      </c>
      <c r="I2" s="110">
        <f>VLOOKUP(F2,'2019_C4_Zeitreihe'!$A$10:$F$61,6,FALSE)</f>
        <v>11.298843327313078</v>
      </c>
    </row>
    <row r="3" spans="1:9" ht="15">
      <c r="A3" s="120">
        <v>102</v>
      </c>
      <c r="B3" s="109">
        <v>3102</v>
      </c>
      <c r="C3" s="109" t="s">
        <v>133</v>
      </c>
      <c r="D3" s="110">
        <f>VLOOKUP(A3,'2019_C4_Zeitreihe'!$A$10:$F$61,6,FALSE)</f>
        <v>8.5317042342532119</v>
      </c>
      <c r="F3" s="120">
        <v>241</v>
      </c>
      <c r="G3" s="109">
        <v>241</v>
      </c>
      <c r="H3" s="109" t="s">
        <v>137</v>
      </c>
      <c r="I3" s="110">
        <f>VLOOKUP(F3,'2019_C4_Zeitreihe'!$A$10:$F$61,6,FALSE)</f>
        <v>13.260450796055123</v>
      </c>
    </row>
    <row r="4" spans="1:9" ht="15">
      <c r="A4" s="120">
        <v>103</v>
      </c>
      <c r="B4" s="109">
        <v>3103</v>
      </c>
      <c r="C4" s="109" t="s">
        <v>134</v>
      </c>
      <c r="D4" s="110">
        <f>VLOOKUP(A4,'2019_C4_Zeitreihe'!$A$10:$F$61,6,FALSE)</f>
        <v>23.930793157076206</v>
      </c>
    </row>
    <row r="5" spans="1:9" ht="15">
      <c r="A5" s="120">
        <v>151</v>
      </c>
      <c r="B5" s="109">
        <v>3151</v>
      </c>
      <c r="C5" s="109" t="s">
        <v>94</v>
      </c>
      <c r="D5" s="110">
        <f>VLOOKUP(A5,'2019_C4_Zeitreihe'!$A$10:$F$61,6,FALSE)</f>
        <v>16.710526315789473</v>
      </c>
    </row>
    <row r="6" spans="1:9" ht="15">
      <c r="A6" s="120">
        <v>153</v>
      </c>
      <c r="B6" s="109">
        <v>3153</v>
      </c>
      <c r="C6" s="109" t="s">
        <v>96</v>
      </c>
      <c r="D6" s="110">
        <f>VLOOKUP(A6,'2019_C4_Zeitreihe'!$A$10:$F$61,6,FALSE)</f>
        <v>16.67201025969862</v>
      </c>
    </row>
    <row r="7" spans="1:9" ht="15">
      <c r="A7" s="120">
        <v>154</v>
      </c>
      <c r="B7" s="109">
        <v>3154</v>
      </c>
      <c r="C7" s="109" t="s">
        <v>97</v>
      </c>
      <c r="D7" s="110">
        <f>VLOOKUP(A7,'2019_C4_Zeitreihe'!$A$10:$F$61,6,FALSE)</f>
        <v>12.780989081567116</v>
      </c>
    </row>
    <row r="8" spans="1:9" ht="15">
      <c r="A8" s="120">
        <v>155</v>
      </c>
      <c r="B8" s="109">
        <v>3155</v>
      </c>
      <c r="C8" s="109" t="s">
        <v>98</v>
      </c>
      <c r="D8" s="110">
        <f>VLOOKUP(A8,'2019_C4_Zeitreihe'!$A$10:$F$61,6,FALSE)</f>
        <v>9.6239265620373118</v>
      </c>
    </row>
    <row r="9" spans="1:9" ht="15">
      <c r="A9" s="120">
        <v>157</v>
      </c>
      <c r="B9" s="109">
        <v>3157</v>
      </c>
      <c r="C9" s="109" t="s">
        <v>99</v>
      </c>
      <c r="D9" s="110">
        <f>VLOOKUP(A9,'2019_C4_Zeitreihe'!$A$10:$F$61,6,FALSE)</f>
        <v>6.0578931662190394</v>
      </c>
    </row>
    <row r="10" spans="1:9" ht="15">
      <c r="A10" s="120">
        <v>158</v>
      </c>
      <c r="B10" s="109">
        <v>3158</v>
      </c>
      <c r="C10" s="109" t="s">
        <v>100</v>
      </c>
      <c r="D10" s="110">
        <f>VLOOKUP(A10,'2019_C4_Zeitreihe'!$A$10:$F$61,6,FALSE)</f>
        <v>12.781456953642385</v>
      </c>
    </row>
    <row r="11" spans="1:9" ht="15">
      <c r="A11" s="120">
        <v>159</v>
      </c>
      <c r="B11" s="109">
        <v>3159</v>
      </c>
      <c r="C11" s="109" t="s">
        <v>95</v>
      </c>
      <c r="D11" s="110">
        <f>VLOOKUP(A11,'2019_C4_Zeitreihe'!$A$10:$F$61,6,FALSE)</f>
        <v>28.582010582010582</v>
      </c>
    </row>
    <row r="12" spans="1:9" ht="15">
      <c r="A12" s="120">
        <v>241001</v>
      </c>
      <c r="B12" s="109">
        <v>3241001</v>
      </c>
      <c r="C12" s="109" t="s">
        <v>162</v>
      </c>
      <c r="D12" s="110">
        <f>VLOOKUP(A12,'2019_C4_Zeitreihe'!$A$10:$F$61,6,FALSE)</f>
        <v>16.441605839416059</v>
      </c>
    </row>
    <row r="13" spans="1:9" ht="15">
      <c r="A13" s="120">
        <v>241999</v>
      </c>
      <c r="B13" s="109">
        <v>3241999</v>
      </c>
      <c r="C13" s="109" t="s">
        <v>163</v>
      </c>
      <c r="D13" s="110">
        <f>VLOOKUP(A13,'2019_C4_Zeitreihe'!$A$10:$F$61,6,FALSE)</f>
        <v>7.8071233856191622</v>
      </c>
    </row>
    <row r="14" spans="1:9" ht="15">
      <c r="A14" s="120">
        <v>251</v>
      </c>
      <c r="B14" s="109">
        <v>3251</v>
      </c>
      <c r="C14" s="109" t="s">
        <v>101</v>
      </c>
      <c r="D14" s="110">
        <f>VLOOKUP(A14,'2019_C4_Zeitreihe'!$A$10:$F$61,6,FALSE)</f>
        <v>7.0395371263259401</v>
      </c>
    </row>
    <row r="15" spans="1:9" ht="15">
      <c r="A15" s="120">
        <v>252</v>
      </c>
      <c r="B15" s="109">
        <v>3252</v>
      </c>
      <c r="C15" s="109" t="s">
        <v>102</v>
      </c>
      <c r="D15" s="110">
        <f>VLOOKUP(A15,'2019_C4_Zeitreihe'!$A$10:$F$61,6,FALSE)</f>
        <v>10.784797630799606</v>
      </c>
    </row>
    <row r="16" spans="1:9" ht="15">
      <c r="A16" s="120">
        <v>254</v>
      </c>
      <c r="B16" s="109">
        <v>3254</v>
      </c>
      <c r="C16" s="109" t="s">
        <v>103</v>
      </c>
      <c r="D16" s="110">
        <f>VLOOKUP(A16,'2019_C4_Zeitreihe'!$A$10:$F$61,6,FALSE)</f>
        <v>16.739025566811385</v>
      </c>
    </row>
    <row r="17" spans="1:4" ht="15">
      <c r="A17" s="120">
        <v>255</v>
      </c>
      <c r="B17" s="109">
        <v>3255</v>
      </c>
      <c r="C17" s="109" t="s">
        <v>104</v>
      </c>
      <c r="D17" s="110">
        <f>VLOOKUP(A17,'2019_C4_Zeitreihe'!$A$10:$F$61,6,FALSE)</f>
        <v>12.737508796622096</v>
      </c>
    </row>
    <row r="18" spans="1:4" ht="15">
      <c r="A18" s="120">
        <v>256</v>
      </c>
      <c r="B18" s="109">
        <v>3256</v>
      </c>
      <c r="C18" s="109" t="s">
        <v>105</v>
      </c>
      <c r="D18" s="110">
        <f>VLOOKUP(A18,'2019_C4_Zeitreihe'!$A$10:$F$61,6,FALSE)</f>
        <v>5.7732926543065011</v>
      </c>
    </row>
    <row r="19" spans="1:4" ht="15">
      <c r="A19" s="120">
        <v>257</v>
      </c>
      <c r="B19" s="109">
        <v>3257</v>
      </c>
      <c r="C19" s="109" t="s">
        <v>106</v>
      </c>
      <c r="D19" s="110">
        <f>VLOOKUP(A19,'2019_C4_Zeitreihe'!$A$10:$F$61,6,FALSE)</f>
        <v>8.6473298997018162</v>
      </c>
    </row>
    <row r="20" spans="1:4" ht="15">
      <c r="A20" s="120">
        <v>351</v>
      </c>
      <c r="B20" s="109">
        <v>3351</v>
      </c>
      <c r="C20" s="109" t="s">
        <v>107</v>
      </c>
      <c r="D20" s="110">
        <f>VLOOKUP(A20,'2019_C4_Zeitreihe'!$A$10:$F$61,6,FALSE)</f>
        <v>14.088900441902782</v>
      </c>
    </row>
    <row r="21" spans="1:4" ht="15">
      <c r="A21" s="120">
        <v>352</v>
      </c>
      <c r="B21" s="109">
        <v>3352</v>
      </c>
      <c r="C21" s="109" t="s">
        <v>108</v>
      </c>
      <c r="D21" s="110">
        <f>VLOOKUP(A21,'2019_C4_Zeitreihe'!$A$10:$F$61,6,FALSE)</f>
        <v>6.4289066166119193</v>
      </c>
    </row>
    <row r="22" spans="1:4" ht="15">
      <c r="A22" s="120">
        <v>353</v>
      </c>
      <c r="B22" s="109">
        <v>3353</v>
      </c>
      <c r="C22" s="109" t="s">
        <v>109</v>
      </c>
      <c r="D22" s="110">
        <f>VLOOKUP(A22,'2019_C4_Zeitreihe'!$A$10:$F$61,6,FALSE)</f>
        <v>7.0402298850574709</v>
      </c>
    </row>
    <row r="23" spans="1:4" ht="15">
      <c r="A23" s="120">
        <v>354</v>
      </c>
      <c r="B23" s="109">
        <v>3354</v>
      </c>
      <c r="C23" s="109" t="s">
        <v>110</v>
      </c>
      <c r="D23" s="110">
        <f>VLOOKUP(A23,'2019_C4_Zeitreihe'!$A$10:$F$61,6,FALSE)</f>
        <v>9.5371669004207575</v>
      </c>
    </row>
    <row r="24" spans="1:4" ht="15">
      <c r="A24" s="120">
        <v>355</v>
      </c>
      <c r="B24" s="109">
        <v>3355</v>
      </c>
      <c r="C24" s="109" t="s">
        <v>111</v>
      </c>
      <c r="D24" s="110">
        <f>VLOOKUP(A24,'2019_C4_Zeitreihe'!$A$10:$F$61,6,FALSE)</f>
        <v>13.553676658980272</v>
      </c>
    </row>
    <row r="25" spans="1:4" ht="15">
      <c r="A25" s="120">
        <v>356</v>
      </c>
      <c r="B25" s="109">
        <v>3356</v>
      </c>
      <c r="C25" s="109" t="s">
        <v>112</v>
      </c>
      <c r="D25" s="110">
        <f>VLOOKUP(A25,'2019_C4_Zeitreihe'!$A$10:$F$61,6,FALSE)</f>
        <v>9.4206549118387901</v>
      </c>
    </row>
    <row r="26" spans="1:4" ht="15">
      <c r="A26" s="120">
        <v>357</v>
      </c>
      <c r="B26" s="109">
        <v>3357</v>
      </c>
      <c r="C26" s="109" t="s">
        <v>113</v>
      </c>
      <c r="D26" s="110">
        <f>VLOOKUP(A26,'2019_C4_Zeitreihe'!$A$10:$F$61,6,FALSE)</f>
        <v>8.878618341036244</v>
      </c>
    </row>
    <row r="27" spans="1:4" ht="15">
      <c r="A27" s="120">
        <v>358</v>
      </c>
      <c r="B27" s="109">
        <v>3358</v>
      </c>
      <c r="C27" s="109" t="s">
        <v>114</v>
      </c>
      <c r="D27" s="110">
        <f>VLOOKUP(A27,'2019_C4_Zeitreihe'!$A$10:$F$61,6,FALSE)</f>
        <v>7.4676089517078914</v>
      </c>
    </row>
    <row r="28" spans="1:4" ht="15">
      <c r="A28" s="120">
        <v>359</v>
      </c>
      <c r="B28" s="109">
        <v>3359</v>
      </c>
      <c r="C28" s="109" t="s">
        <v>115</v>
      </c>
      <c r="D28" s="110">
        <f>VLOOKUP(A28,'2019_C4_Zeitreihe'!$A$10:$F$61,6,FALSE)</f>
        <v>8.2904313864725729</v>
      </c>
    </row>
    <row r="29" spans="1:4" ht="15">
      <c r="A29" s="120">
        <v>360</v>
      </c>
      <c r="B29" s="109">
        <v>3360</v>
      </c>
      <c r="C29" s="109" t="s">
        <v>116</v>
      </c>
      <c r="D29" s="110">
        <f>VLOOKUP(A29,'2019_C4_Zeitreihe'!$A$10:$F$61,6,FALSE)</f>
        <v>14.489164086687307</v>
      </c>
    </row>
    <row r="30" spans="1:4" ht="15">
      <c r="A30" s="120">
        <v>361</v>
      </c>
      <c r="B30" s="109">
        <v>3361</v>
      </c>
      <c r="C30" s="109" t="s">
        <v>117</v>
      </c>
      <c r="D30" s="110">
        <f>VLOOKUP(A30,'2019_C4_Zeitreihe'!$A$10:$F$61,6,FALSE)</f>
        <v>8.1186094069529648</v>
      </c>
    </row>
    <row r="31" spans="1:4" ht="15">
      <c r="A31" s="120">
        <v>401</v>
      </c>
      <c r="B31" s="109">
        <v>3401</v>
      </c>
      <c r="C31" s="109" t="s">
        <v>139</v>
      </c>
      <c r="D31" s="110">
        <f>VLOOKUP(A31,'2019_C4_Zeitreihe'!$A$10:$F$61,6,FALSE)</f>
        <v>9.3229744728079904</v>
      </c>
    </row>
    <row r="32" spans="1:4" ht="15">
      <c r="A32" s="120">
        <v>402</v>
      </c>
      <c r="B32" s="109">
        <v>3402</v>
      </c>
      <c r="C32" s="109" t="s">
        <v>140</v>
      </c>
      <c r="D32" s="110">
        <f>VLOOKUP(A32,'2019_C4_Zeitreihe'!$A$10:$F$61,6,FALSE)</f>
        <v>9.2371562013492472</v>
      </c>
    </row>
    <row r="33" spans="1:4" ht="15">
      <c r="A33" s="120">
        <v>403</v>
      </c>
      <c r="B33" s="109">
        <v>3403</v>
      </c>
      <c r="C33" s="109" t="s">
        <v>141</v>
      </c>
      <c r="D33" s="110">
        <f>VLOOKUP(A33,'2019_C4_Zeitreihe'!$A$10:$F$61,6,FALSE)</f>
        <v>17.710986585158771</v>
      </c>
    </row>
    <row r="34" spans="1:4" ht="15">
      <c r="A34" s="120">
        <v>404</v>
      </c>
      <c r="B34" s="109">
        <v>3404</v>
      </c>
      <c r="C34" s="109" t="s">
        <v>142</v>
      </c>
      <c r="D34" s="110">
        <f>VLOOKUP(A34,'2019_C4_Zeitreihe'!$A$10:$F$61,6,FALSE)</f>
        <v>10.791700475252116</v>
      </c>
    </row>
    <row r="35" spans="1:4" ht="15">
      <c r="A35" s="120">
        <v>405</v>
      </c>
      <c r="B35" s="109">
        <v>3405</v>
      </c>
      <c r="C35" s="109" t="s">
        <v>143</v>
      </c>
      <c r="D35" s="110">
        <f>VLOOKUP(A35,'2019_C4_Zeitreihe'!$A$10:$F$61,6,FALSE)</f>
        <v>15.210751374465486</v>
      </c>
    </row>
    <row r="36" spans="1:4" ht="15">
      <c r="A36" s="120">
        <v>451</v>
      </c>
      <c r="B36" s="109">
        <v>3451</v>
      </c>
      <c r="C36" s="109" t="s">
        <v>118</v>
      </c>
      <c r="D36" s="110">
        <f>VLOOKUP(A36,'2019_C4_Zeitreihe'!$A$10:$F$61,6,FALSE)</f>
        <v>6.8692206076618234</v>
      </c>
    </row>
    <row r="37" spans="1:4" ht="15">
      <c r="A37" s="120">
        <v>452</v>
      </c>
      <c r="B37" s="109">
        <v>3452</v>
      </c>
      <c r="C37" s="109" t="s">
        <v>119</v>
      </c>
      <c r="D37" s="110">
        <f>VLOOKUP(A37,'2019_C4_Zeitreihe'!$A$10:$F$61,6,FALSE)</f>
        <v>8.1824432729773093</v>
      </c>
    </row>
    <row r="38" spans="1:4" ht="15">
      <c r="A38" s="120">
        <v>453</v>
      </c>
      <c r="B38" s="109">
        <v>3453</v>
      </c>
      <c r="C38" s="109" t="s">
        <v>120</v>
      </c>
      <c r="D38" s="110">
        <f>VLOOKUP(A38,'2019_C4_Zeitreihe'!$A$10:$F$61,6,FALSE)</f>
        <v>3.1306081754735793</v>
      </c>
    </row>
    <row r="39" spans="1:4" ht="15">
      <c r="A39" s="120">
        <v>454</v>
      </c>
      <c r="B39" s="109">
        <v>3454</v>
      </c>
      <c r="C39" s="109" t="s">
        <v>121</v>
      </c>
      <c r="D39" s="110">
        <f>VLOOKUP(A39,'2019_C4_Zeitreihe'!$A$10:$F$61,6,FALSE)</f>
        <v>6.6182811152630068</v>
      </c>
    </row>
    <row r="40" spans="1:4" ht="15">
      <c r="A40" s="120">
        <v>455</v>
      </c>
      <c r="B40" s="109">
        <v>3455</v>
      </c>
      <c r="C40" s="109" t="s">
        <v>122</v>
      </c>
      <c r="D40" s="110">
        <f>VLOOKUP(A40,'2019_C4_Zeitreihe'!$A$10:$F$61,6,FALSE)</f>
        <v>10.803127221037668</v>
      </c>
    </row>
    <row r="41" spans="1:4" ht="15">
      <c r="A41" s="120">
        <v>456</v>
      </c>
      <c r="B41" s="109">
        <v>3456</v>
      </c>
      <c r="C41" s="109" t="s">
        <v>123</v>
      </c>
      <c r="D41" s="110">
        <f>VLOOKUP(A41,'2019_C4_Zeitreihe'!$A$10:$F$61,6,FALSE)</f>
        <v>6.8928950159066806</v>
      </c>
    </row>
    <row r="42" spans="1:4" ht="15">
      <c r="A42" s="120">
        <v>457</v>
      </c>
      <c r="B42" s="109">
        <v>3457</v>
      </c>
      <c r="C42" s="109" t="s">
        <v>124</v>
      </c>
      <c r="D42" s="110">
        <f>VLOOKUP(A42,'2019_C4_Zeitreihe'!$A$10:$F$61,6,FALSE)</f>
        <v>8.1146223888591322</v>
      </c>
    </row>
    <row r="43" spans="1:4" ht="15">
      <c r="A43" s="120">
        <v>458</v>
      </c>
      <c r="B43" s="109">
        <v>3458</v>
      </c>
      <c r="C43" s="109" t="s">
        <v>125</v>
      </c>
      <c r="D43" s="110">
        <f>VLOOKUP(A43,'2019_C4_Zeitreihe'!$A$10:$F$61,6,FALSE)</f>
        <v>4.4204851752021561</v>
      </c>
    </row>
    <row r="44" spans="1:4" ht="15">
      <c r="A44" s="120">
        <v>459</v>
      </c>
      <c r="B44" s="109">
        <v>3459</v>
      </c>
      <c r="C44" s="109" t="s">
        <v>126</v>
      </c>
      <c r="D44" s="110">
        <f>VLOOKUP(A44,'2019_C4_Zeitreihe'!$A$10:$F$61,6,FALSE)</f>
        <v>4.196042756424835</v>
      </c>
    </row>
    <row r="45" spans="1:4" ht="15">
      <c r="A45" s="120">
        <v>460</v>
      </c>
      <c r="B45" s="109">
        <v>3460</v>
      </c>
      <c r="C45" s="109" t="s">
        <v>127</v>
      </c>
      <c r="D45" s="110">
        <f>VLOOKUP(A45,'2019_C4_Zeitreihe'!$A$10:$F$61,6,FALSE)</f>
        <v>4.4123134328358207</v>
      </c>
    </row>
    <row r="46" spans="1:4" ht="15">
      <c r="A46" s="120">
        <v>461</v>
      </c>
      <c r="B46" s="109">
        <v>3461</v>
      </c>
      <c r="C46" s="109" t="s">
        <v>128</v>
      </c>
      <c r="D46" s="110">
        <f>VLOOKUP(A46,'2019_C4_Zeitreihe'!$A$10:$F$61,6,FALSE)</f>
        <v>6.2274005624748892</v>
      </c>
    </row>
    <row r="47" spans="1:4" ht="15">
      <c r="A47" s="120">
        <v>462</v>
      </c>
      <c r="B47" s="109">
        <v>3462</v>
      </c>
      <c r="C47" s="109" t="s">
        <v>129</v>
      </c>
      <c r="D47" s="110">
        <f>VLOOKUP(A47,'2019_C4_Zeitreihe'!$A$10:$F$61,6,FALSE)</f>
        <v>5.8704453441295543</v>
      </c>
    </row>
  </sheetData>
  <conditionalFormatting sqref="C2:D47 I2:I3">
    <cfRule type="expression" dxfId="1" priority="1">
      <formula>"$C$2:$C47=kkleinste($D$2:$D$47)"</formula>
    </cfRule>
  </conditionalFormatting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5F51D-BE1C-4F9A-8D44-38A9CCBF651C}">
  <sheetPr codeName="Tabelle7"/>
  <dimension ref="A1:BN66"/>
  <sheetViews>
    <sheetView zoomScale="145" zoomScaleNormal="145" workbookViewId="0">
      <selection activeCell="C23" sqref="C23"/>
    </sheetView>
  </sheetViews>
  <sheetFormatPr baseColWidth="10" defaultRowHeight="13.5"/>
  <cols>
    <col min="2" max="2" width="28.5" bestFit="1" customWidth="1"/>
    <col min="3" max="9" width="11" customWidth="1"/>
  </cols>
  <sheetData>
    <row r="1" spans="1:66" ht="30" customHeight="1">
      <c r="A1" s="55" t="s">
        <v>161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8"/>
      <c r="AG1" s="58"/>
      <c r="AH1" s="58"/>
      <c r="AI1" s="58"/>
      <c r="AJ1" s="58"/>
      <c r="AK1" s="58"/>
      <c r="AL1" s="58"/>
      <c r="AM1" s="58"/>
      <c r="AN1" s="58"/>
      <c r="AO1" s="59"/>
      <c r="AS1" s="60"/>
    </row>
    <row r="2" spans="1:66" ht="30" customHeight="1">
      <c r="A2" s="61" t="s">
        <v>164</v>
      </c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S2" s="60"/>
    </row>
    <row r="3" spans="1:66"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0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</row>
    <row r="4" spans="1:66"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0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</row>
    <row r="5" spans="1:66" ht="8.25" customHeight="1">
      <c r="A5" s="298" t="s">
        <v>220</v>
      </c>
      <c r="B5" s="326" t="s">
        <v>86</v>
      </c>
      <c r="C5" s="278">
        <v>2019</v>
      </c>
      <c r="D5" s="279"/>
      <c r="E5" s="279"/>
      <c r="F5" s="279"/>
      <c r="G5" s="279"/>
      <c r="H5" s="279"/>
      <c r="I5" s="280"/>
      <c r="J5" s="278">
        <v>2018</v>
      </c>
      <c r="K5" s="279"/>
      <c r="L5" s="279"/>
      <c r="M5" s="279"/>
      <c r="N5" s="279"/>
      <c r="O5" s="279"/>
      <c r="P5" s="280"/>
      <c r="Q5" s="278">
        <v>2017</v>
      </c>
      <c r="R5" s="279"/>
      <c r="S5" s="279"/>
      <c r="T5" s="279"/>
      <c r="U5" s="279"/>
      <c r="V5" s="279"/>
      <c r="W5" s="280"/>
      <c r="X5" s="278">
        <v>2016</v>
      </c>
      <c r="Y5" s="279"/>
      <c r="Z5" s="279"/>
      <c r="AA5" s="279"/>
      <c r="AB5" s="279"/>
      <c r="AC5" s="279"/>
      <c r="AD5" s="280"/>
      <c r="AE5" s="278">
        <v>2015</v>
      </c>
      <c r="AF5" s="279"/>
      <c r="AG5" s="279"/>
      <c r="AH5" s="279"/>
      <c r="AI5" s="279"/>
      <c r="AJ5" s="279"/>
      <c r="AK5" s="280"/>
      <c r="AL5" s="278">
        <v>2014</v>
      </c>
      <c r="AM5" s="279"/>
      <c r="AN5" s="279"/>
      <c r="AO5" s="279"/>
      <c r="AP5" s="279"/>
      <c r="AQ5" s="279"/>
      <c r="AR5" s="280"/>
      <c r="AS5" s="278">
        <v>2013</v>
      </c>
      <c r="AT5" s="279"/>
      <c r="AU5" s="279"/>
      <c r="AV5" s="279"/>
      <c r="AW5" s="279"/>
      <c r="AX5" s="279"/>
      <c r="AY5" s="280"/>
      <c r="AZ5" s="278">
        <v>2011</v>
      </c>
      <c r="BA5" s="279"/>
      <c r="BB5" s="279"/>
      <c r="BC5" s="279"/>
      <c r="BD5" s="279"/>
      <c r="BE5" s="279"/>
      <c r="BF5" s="280"/>
      <c r="BG5" s="278">
        <v>2010</v>
      </c>
      <c r="BH5" s="279"/>
      <c r="BI5" s="279"/>
      <c r="BJ5" s="279"/>
      <c r="BK5" s="279"/>
      <c r="BL5" s="279"/>
      <c r="BM5" s="279"/>
      <c r="BN5" s="63"/>
    </row>
    <row r="6" spans="1:66" ht="8.25" customHeight="1">
      <c r="A6" s="299"/>
      <c r="B6" s="327"/>
      <c r="C6" s="281" t="s">
        <v>160</v>
      </c>
      <c r="D6" s="282"/>
      <c r="E6" s="283"/>
      <c r="F6" s="281" t="s">
        <v>223</v>
      </c>
      <c r="G6" s="282"/>
      <c r="H6" s="282"/>
      <c r="I6" s="283"/>
      <c r="J6" s="281" t="s">
        <v>160</v>
      </c>
      <c r="K6" s="282"/>
      <c r="L6" s="283"/>
      <c r="M6" s="281" t="s">
        <v>223</v>
      </c>
      <c r="N6" s="282"/>
      <c r="O6" s="282"/>
      <c r="P6" s="283"/>
      <c r="Q6" s="281" t="s">
        <v>160</v>
      </c>
      <c r="R6" s="282"/>
      <c r="S6" s="283"/>
      <c r="T6" s="281" t="s">
        <v>223</v>
      </c>
      <c r="U6" s="282"/>
      <c r="V6" s="282"/>
      <c r="W6" s="283"/>
      <c r="X6" s="281" t="s">
        <v>160</v>
      </c>
      <c r="Y6" s="282"/>
      <c r="Z6" s="283"/>
      <c r="AA6" s="281" t="s">
        <v>223</v>
      </c>
      <c r="AB6" s="282"/>
      <c r="AC6" s="282"/>
      <c r="AD6" s="283"/>
      <c r="AE6" s="281" t="s">
        <v>160</v>
      </c>
      <c r="AF6" s="282"/>
      <c r="AG6" s="283"/>
      <c r="AH6" s="281" t="s">
        <v>223</v>
      </c>
      <c r="AI6" s="282"/>
      <c r="AJ6" s="282"/>
      <c r="AK6" s="283"/>
      <c r="AL6" s="281" t="s">
        <v>160</v>
      </c>
      <c r="AM6" s="282"/>
      <c r="AN6" s="283"/>
      <c r="AO6" s="281" t="s">
        <v>223</v>
      </c>
      <c r="AP6" s="282"/>
      <c r="AQ6" s="282"/>
      <c r="AR6" s="283"/>
      <c r="AS6" s="281" t="s">
        <v>160</v>
      </c>
      <c r="AT6" s="282"/>
      <c r="AU6" s="283"/>
      <c r="AV6" s="281" t="s">
        <v>223</v>
      </c>
      <c r="AW6" s="282"/>
      <c r="AX6" s="282"/>
      <c r="AY6" s="283"/>
      <c r="AZ6" s="281" t="s">
        <v>160</v>
      </c>
      <c r="BA6" s="282"/>
      <c r="BB6" s="283"/>
      <c r="BC6" s="281" t="s">
        <v>223</v>
      </c>
      <c r="BD6" s="282"/>
      <c r="BE6" s="282"/>
      <c r="BF6" s="283"/>
      <c r="BG6" s="281" t="s">
        <v>160</v>
      </c>
      <c r="BH6" s="282"/>
      <c r="BI6" s="283"/>
      <c r="BJ6" s="281" t="s">
        <v>223</v>
      </c>
      <c r="BK6" s="282"/>
      <c r="BL6" s="282"/>
      <c r="BM6" s="283"/>
      <c r="BN6" s="62"/>
    </row>
    <row r="7" spans="1:66" ht="8.25" customHeight="1">
      <c r="A7" s="299"/>
      <c r="B7" s="327"/>
      <c r="C7" s="123" t="s">
        <v>28</v>
      </c>
      <c r="D7" s="123" t="s">
        <v>89</v>
      </c>
      <c r="E7" s="123" t="s">
        <v>90</v>
      </c>
      <c r="F7" s="123" t="s">
        <v>91</v>
      </c>
      <c r="G7" s="123" t="s">
        <v>92</v>
      </c>
      <c r="H7" s="123" t="s">
        <v>93</v>
      </c>
      <c r="I7" s="123" t="s">
        <v>131</v>
      </c>
      <c r="J7" s="123" t="s">
        <v>28</v>
      </c>
      <c r="K7" s="123" t="s">
        <v>89</v>
      </c>
      <c r="L7" s="123" t="s">
        <v>90</v>
      </c>
      <c r="M7" s="123" t="s">
        <v>91</v>
      </c>
      <c r="N7" s="123" t="s">
        <v>92</v>
      </c>
      <c r="O7" s="123" t="s">
        <v>93</v>
      </c>
      <c r="P7" s="123" t="s">
        <v>131</v>
      </c>
      <c r="Q7" s="123" t="s">
        <v>28</v>
      </c>
      <c r="R7" s="123" t="s">
        <v>89</v>
      </c>
      <c r="S7" s="123" t="s">
        <v>90</v>
      </c>
      <c r="T7" s="123" t="s">
        <v>91</v>
      </c>
      <c r="U7" s="123" t="s">
        <v>92</v>
      </c>
      <c r="V7" s="123" t="s">
        <v>93</v>
      </c>
      <c r="W7" s="123" t="s">
        <v>131</v>
      </c>
      <c r="X7" s="123" t="s">
        <v>28</v>
      </c>
      <c r="Y7" s="123" t="s">
        <v>89</v>
      </c>
      <c r="Z7" s="123" t="s">
        <v>90</v>
      </c>
      <c r="AA7" s="123" t="s">
        <v>91</v>
      </c>
      <c r="AB7" s="123" t="s">
        <v>92</v>
      </c>
      <c r="AC7" s="123" t="s">
        <v>93</v>
      </c>
      <c r="AD7" s="123" t="s">
        <v>131</v>
      </c>
      <c r="AE7" s="123" t="s">
        <v>28</v>
      </c>
      <c r="AF7" s="123" t="s">
        <v>89</v>
      </c>
      <c r="AG7" s="123" t="s">
        <v>90</v>
      </c>
      <c r="AH7" s="123" t="s">
        <v>91</v>
      </c>
      <c r="AI7" s="123" t="s">
        <v>92</v>
      </c>
      <c r="AJ7" s="123" t="s">
        <v>93</v>
      </c>
      <c r="AK7" s="123" t="s">
        <v>131</v>
      </c>
      <c r="AL7" s="123" t="s">
        <v>28</v>
      </c>
      <c r="AM7" s="123" t="s">
        <v>89</v>
      </c>
      <c r="AN7" s="123" t="s">
        <v>90</v>
      </c>
      <c r="AO7" s="123" t="s">
        <v>91</v>
      </c>
      <c r="AP7" s="123" t="s">
        <v>92</v>
      </c>
      <c r="AQ7" s="123" t="s">
        <v>93</v>
      </c>
      <c r="AR7" s="123" t="s">
        <v>131</v>
      </c>
      <c r="AS7" s="123" t="s">
        <v>28</v>
      </c>
      <c r="AT7" s="123" t="s">
        <v>89</v>
      </c>
      <c r="AU7" s="123" t="s">
        <v>90</v>
      </c>
      <c r="AV7" s="123" t="s">
        <v>91</v>
      </c>
      <c r="AW7" s="123" t="s">
        <v>92</v>
      </c>
      <c r="AX7" s="123" t="s">
        <v>93</v>
      </c>
      <c r="AY7" s="123" t="s">
        <v>131</v>
      </c>
      <c r="AZ7" s="123" t="s">
        <v>28</v>
      </c>
      <c r="BA7" s="123" t="s">
        <v>89</v>
      </c>
      <c r="BB7" s="123" t="s">
        <v>90</v>
      </c>
      <c r="BC7" s="123" t="s">
        <v>91</v>
      </c>
      <c r="BD7" s="123" t="s">
        <v>92</v>
      </c>
      <c r="BE7" s="123" t="s">
        <v>93</v>
      </c>
      <c r="BF7" s="123" t="s">
        <v>131</v>
      </c>
      <c r="BG7" s="123" t="s">
        <v>28</v>
      </c>
      <c r="BH7" s="123" t="s">
        <v>89</v>
      </c>
      <c r="BI7" s="123" t="s">
        <v>90</v>
      </c>
      <c r="BJ7" s="123" t="s">
        <v>91</v>
      </c>
      <c r="BK7" s="123" t="s">
        <v>92</v>
      </c>
      <c r="BL7" s="121" t="s">
        <v>93</v>
      </c>
      <c r="BM7" s="121" t="s">
        <v>131</v>
      </c>
      <c r="BN7" s="62"/>
    </row>
    <row r="8" spans="1:66" ht="8.25" customHeight="1">
      <c r="A8" s="300"/>
      <c r="B8" s="295"/>
      <c r="C8" s="281" t="s">
        <v>84</v>
      </c>
      <c r="D8" s="282"/>
      <c r="E8" s="283"/>
      <c r="F8" s="281" t="s">
        <v>85</v>
      </c>
      <c r="G8" s="282"/>
      <c r="H8" s="282"/>
      <c r="I8" s="125"/>
      <c r="J8" s="281" t="s">
        <v>84</v>
      </c>
      <c r="K8" s="282"/>
      <c r="L8" s="283"/>
      <c r="M8" s="281" t="s">
        <v>85</v>
      </c>
      <c r="N8" s="282"/>
      <c r="O8" s="282"/>
      <c r="P8" s="125"/>
      <c r="Q8" s="281" t="s">
        <v>84</v>
      </c>
      <c r="R8" s="282"/>
      <c r="S8" s="283"/>
      <c r="T8" s="281" t="s">
        <v>85</v>
      </c>
      <c r="U8" s="282"/>
      <c r="V8" s="282"/>
      <c r="W8" s="125"/>
      <c r="X8" s="281" t="s">
        <v>84</v>
      </c>
      <c r="Y8" s="282"/>
      <c r="Z8" s="283"/>
      <c r="AA8" s="281" t="s">
        <v>85</v>
      </c>
      <c r="AB8" s="282"/>
      <c r="AC8" s="282"/>
      <c r="AD8" s="125"/>
      <c r="AE8" s="281" t="s">
        <v>84</v>
      </c>
      <c r="AF8" s="282"/>
      <c r="AG8" s="283"/>
      <c r="AH8" s="281" t="s">
        <v>85</v>
      </c>
      <c r="AI8" s="282"/>
      <c r="AJ8" s="282"/>
      <c r="AK8" s="122"/>
      <c r="AL8" s="282" t="s">
        <v>84</v>
      </c>
      <c r="AM8" s="282"/>
      <c r="AN8" s="283"/>
      <c r="AO8" s="281" t="s">
        <v>85</v>
      </c>
      <c r="AP8" s="282"/>
      <c r="AQ8" s="282"/>
      <c r="AR8" s="282"/>
      <c r="AS8" s="282" t="s">
        <v>84</v>
      </c>
      <c r="AT8" s="282"/>
      <c r="AU8" s="283"/>
      <c r="AV8" s="281" t="s">
        <v>85</v>
      </c>
      <c r="AW8" s="282"/>
      <c r="AX8" s="282"/>
      <c r="AY8" s="282"/>
      <c r="AZ8" s="282" t="s">
        <v>84</v>
      </c>
      <c r="BA8" s="282"/>
      <c r="BB8" s="283"/>
      <c r="BC8" s="281" t="s">
        <v>85</v>
      </c>
      <c r="BD8" s="282"/>
      <c r="BE8" s="282"/>
      <c r="BF8" s="282"/>
      <c r="BG8" s="282" t="s">
        <v>84</v>
      </c>
      <c r="BH8" s="282"/>
      <c r="BI8" s="283"/>
      <c r="BJ8" s="281" t="s">
        <v>85</v>
      </c>
      <c r="BK8" s="282"/>
      <c r="BL8" s="282"/>
      <c r="BM8" s="62"/>
      <c r="BN8" s="62"/>
    </row>
    <row r="9" spans="1:66" ht="8.25" customHeight="1">
      <c r="A9" s="67" t="s">
        <v>18</v>
      </c>
      <c r="B9" s="67" t="s">
        <v>19</v>
      </c>
      <c r="C9" s="67" t="s">
        <v>20</v>
      </c>
      <c r="D9" s="67" t="s">
        <v>21</v>
      </c>
      <c r="E9" s="67" t="s">
        <v>22</v>
      </c>
      <c r="F9" s="67" t="s">
        <v>23</v>
      </c>
      <c r="G9" s="67" t="s">
        <v>24</v>
      </c>
      <c r="H9" s="67" t="s">
        <v>25</v>
      </c>
      <c r="I9" s="67" t="s">
        <v>26</v>
      </c>
      <c r="J9" s="67" t="s">
        <v>165</v>
      </c>
      <c r="K9" s="67" t="s">
        <v>166</v>
      </c>
      <c r="L9" s="67" t="s">
        <v>167</v>
      </c>
      <c r="M9" s="67" t="s">
        <v>168</v>
      </c>
      <c r="N9" s="67" t="s">
        <v>169</v>
      </c>
      <c r="O9" s="67" t="s">
        <v>170</v>
      </c>
      <c r="P9" s="67" t="s">
        <v>171</v>
      </c>
      <c r="Q9" s="67" t="s">
        <v>172</v>
      </c>
      <c r="R9" s="67" t="s">
        <v>173</v>
      </c>
      <c r="S9" s="67" t="s">
        <v>174</v>
      </c>
      <c r="T9" s="67" t="s">
        <v>175</v>
      </c>
      <c r="U9" s="67" t="s">
        <v>176</v>
      </c>
      <c r="V9" s="67" t="s">
        <v>177</v>
      </c>
      <c r="W9" s="67" t="s">
        <v>178</v>
      </c>
      <c r="X9" s="67" t="s">
        <v>179</v>
      </c>
      <c r="Y9" s="67" t="s">
        <v>180</v>
      </c>
      <c r="Z9" s="67" t="s">
        <v>181</v>
      </c>
      <c r="AA9" s="67" t="s">
        <v>182</v>
      </c>
      <c r="AB9" s="67" t="s">
        <v>183</v>
      </c>
      <c r="AC9" s="67" t="s">
        <v>184</v>
      </c>
      <c r="AD9" s="67" t="s">
        <v>185</v>
      </c>
      <c r="AE9" s="67" t="s">
        <v>186</v>
      </c>
      <c r="AF9" s="67" t="s">
        <v>187</v>
      </c>
      <c r="AG9" s="67" t="s">
        <v>188</v>
      </c>
      <c r="AH9" s="67" t="s">
        <v>189</v>
      </c>
      <c r="AI9" s="67" t="s">
        <v>190</v>
      </c>
      <c r="AJ9" s="67" t="s">
        <v>191</v>
      </c>
      <c r="AK9" s="67" t="s">
        <v>192</v>
      </c>
      <c r="AL9" s="67" t="s">
        <v>193</v>
      </c>
      <c r="AM9" s="67" t="s">
        <v>194</v>
      </c>
      <c r="AN9" s="67" t="s">
        <v>195</v>
      </c>
      <c r="AO9" s="67" t="s">
        <v>196</v>
      </c>
      <c r="AP9" s="67" t="s">
        <v>197</v>
      </c>
      <c r="AQ9" s="67" t="s">
        <v>198</v>
      </c>
      <c r="AR9" s="67" t="s">
        <v>199</v>
      </c>
      <c r="AS9" s="67" t="s">
        <v>200</v>
      </c>
      <c r="AT9" s="67" t="s">
        <v>201</v>
      </c>
      <c r="AU9" s="67" t="s">
        <v>202</v>
      </c>
      <c r="AV9" s="67" t="s">
        <v>203</v>
      </c>
      <c r="AW9" s="67" t="s">
        <v>204</v>
      </c>
      <c r="AX9" s="67" t="s">
        <v>205</v>
      </c>
      <c r="AY9" s="67" t="s">
        <v>206</v>
      </c>
      <c r="AZ9" s="67" t="s">
        <v>207</v>
      </c>
      <c r="BA9" s="67" t="s">
        <v>208</v>
      </c>
      <c r="BB9" s="67" t="s">
        <v>209</v>
      </c>
      <c r="BC9" s="67" t="s">
        <v>210</v>
      </c>
      <c r="BD9" s="67" t="s">
        <v>211</v>
      </c>
      <c r="BE9" s="67" t="s">
        <v>212</v>
      </c>
      <c r="BF9" s="67" t="s">
        <v>290</v>
      </c>
      <c r="BG9" s="67" t="s">
        <v>291</v>
      </c>
      <c r="BH9" s="67" t="s">
        <v>292</v>
      </c>
      <c r="BI9" s="67" t="s">
        <v>293</v>
      </c>
      <c r="BJ9" s="67" t="s">
        <v>294</v>
      </c>
      <c r="BK9" s="67" t="s">
        <v>295</v>
      </c>
      <c r="BL9" s="67" t="s">
        <v>296</v>
      </c>
      <c r="BM9" s="67" t="s">
        <v>297</v>
      </c>
      <c r="BN9" s="62"/>
    </row>
    <row r="10" spans="1:66" ht="8.25" customHeight="1">
      <c r="A10" s="107">
        <v>101</v>
      </c>
      <c r="B10" s="68" t="s">
        <v>215</v>
      </c>
      <c r="C10" s="111">
        <f>VLOOKUP((A10),'2019_C4_Rohdaten_BA'!$A$10:$O$59,5,FALSE)</f>
        <v>11157</v>
      </c>
      <c r="D10" s="111">
        <f>VLOOKUP((A10),'2019_C4_Rohdaten_BA'!$A$10:$O$59,6,FALSE)</f>
        <v>6758</v>
      </c>
      <c r="E10" s="111">
        <f>VLOOKUP((A10),'2019_C4_Rohdaten_BA'!$A$10:$O$59,7,FALSE)</f>
        <v>4399</v>
      </c>
      <c r="F10" s="69">
        <f>VLOOKUP((A10),'2019_C4_Rohdaten_BA'!$A$10:$O$59,12,FALSE)</f>
        <v>23.438200233037556</v>
      </c>
      <c r="G10" s="69">
        <f>VLOOKUP((A10),'2019_C4_Rohdaten_BA'!$A$10:$O$59,13,FALSE)</f>
        <v>27.686654118490633</v>
      </c>
      <c r="H10" s="69">
        <f>VLOOKUP((A10),'2019_C4_Rohdaten_BA'!$A$10:$O$59,14,FALSE)</f>
        <v>23.877386394191987</v>
      </c>
      <c r="I10" s="69">
        <f>VLOOKUP((A10),'2019_C4_Rohdaten_BA'!$A$10:$O$59,15,FALSE)</f>
        <v>24.997759254279824</v>
      </c>
      <c r="J10" s="111">
        <v>119978</v>
      </c>
      <c r="K10" s="111">
        <v>62411</v>
      </c>
      <c r="L10" s="111">
        <v>57567</v>
      </c>
      <c r="M10" s="69">
        <v>22.897890462513619</v>
      </c>
      <c r="N10" s="69">
        <v>28.335149054174508</v>
      </c>
      <c r="O10" s="69">
        <v>23.37327919183916</v>
      </c>
      <c r="P10" s="69">
        <v>25.393681291472713</v>
      </c>
      <c r="Q10" s="111">
        <v>9028</v>
      </c>
      <c r="R10" s="111">
        <v>5388</v>
      </c>
      <c r="S10" s="111">
        <v>3640</v>
      </c>
      <c r="T10" s="69">
        <v>22.120070890562694</v>
      </c>
      <c r="U10" s="69">
        <v>29.463890119627823</v>
      </c>
      <c r="V10" s="69">
        <v>22.441293752769162</v>
      </c>
      <c r="W10" s="69">
        <v>25.97474523704032</v>
      </c>
      <c r="X10" s="111">
        <v>7951</v>
      </c>
      <c r="Y10" s="111">
        <v>4671</v>
      </c>
      <c r="Z10" s="111">
        <v>3280</v>
      </c>
      <c r="AA10" s="69">
        <v>20.324487485850838</v>
      </c>
      <c r="AB10" s="69">
        <v>31.14073701421205</v>
      </c>
      <c r="AC10" s="69">
        <v>22.286504842158219</v>
      </c>
      <c r="AD10" s="69">
        <v>26.248270657778892</v>
      </c>
      <c r="AE10" s="70">
        <v>7339</v>
      </c>
      <c r="AF10" s="70">
        <v>4285</v>
      </c>
      <c r="AG10" s="70">
        <v>3054</v>
      </c>
      <c r="AH10" s="53">
        <v>22.564382068401688</v>
      </c>
      <c r="AI10" s="53">
        <v>30.467366126175229</v>
      </c>
      <c r="AJ10" s="53">
        <v>20.316119362310943</v>
      </c>
      <c r="AK10" s="71">
        <v>26.652132443112141</v>
      </c>
      <c r="AL10" s="70">
        <v>6498</v>
      </c>
      <c r="AM10" s="70">
        <v>3809</v>
      </c>
      <c r="AN10" s="70">
        <v>2689</v>
      </c>
      <c r="AO10" s="53">
        <v>22.991689750692519</v>
      </c>
      <c r="AP10" s="53">
        <v>29.809172052939363</v>
      </c>
      <c r="AQ10" s="53">
        <v>18.990458602646967</v>
      </c>
      <c r="AR10" s="53">
        <v>28.208679593721154</v>
      </c>
      <c r="AS10" s="70">
        <v>6076</v>
      </c>
      <c r="AT10" s="70">
        <v>3483</v>
      </c>
      <c r="AU10" s="70">
        <v>2593</v>
      </c>
      <c r="AV10" s="53">
        <v>19.897959183673468</v>
      </c>
      <c r="AW10" s="53">
        <v>26.645819618169845</v>
      </c>
      <c r="AX10" s="53">
        <v>16.919025674786042</v>
      </c>
      <c r="AY10" s="53">
        <v>36.537195523370642</v>
      </c>
      <c r="AZ10" s="70">
        <v>5072</v>
      </c>
      <c r="BA10" s="70">
        <v>2923</v>
      </c>
      <c r="BB10" s="70">
        <v>2149</v>
      </c>
      <c r="BC10" s="53">
        <v>16.522082018927446</v>
      </c>
      <c r="BD10" s="53">
        <v>26.419558359621455</v>
      </c>
      <c r="BE10" s="53">
        <v>20.465299684542586</v>
      </c>
      <c r="BF10" s="53">
        <v>36.593059936908517</v>
      </c>
      <c r="BG10" s="70">
        <v>4884</v>
      </c>
      <c r="BH10" s="70">
        <v>2877</v>
      </c>
      <c r="BI10" s="70">
        <v>2007</v>
      </c>
      <c r="BJ10" s="53">
        <v>16.461916461916463</v>
      </c>
      <c r="BK10" s="53">
        <v>26.801801801801801</v>
      </c>
      <c r="BL10" s="53">
        <v>21.703521703521702</v>
      </c>
      <c r="BM10" s="72">
        <v>35.032760032760038</v>
      </c>
      <c r="BN10" s="73"/>
    </row>
    <row r="11" spans="1:66" ht="8.25" customHeight="1">
      <c r="A11" s="107">
        <v>102</v>
      </c>
      <c r="B11" s="74" t="s">
        <v>216</v>
      </c>
      <c r="C11" s="111">
        <f>VLOOKUP((A11),'2019_C4_Rohdaten_BA'!$A$10:$O$59,5,FALSE)</f>
        <v>4747</v>
      </c>
      <c r="D11" s="111">
        <f>VLOOKUP((A11),'2019_C4_Rohdaten_BA'!$A$10:$O$59,6,FALSE)</f>
        <v>3672</v>
      </c>
      <c r="E11" s="111">
        <f>VLOOKUP((A11),'2019_C4_Rohdaten_BA'!$A$10:$O$59,7,FALSE)</f>
        <v>1075</v>
      </c>
      <c r="F11" s="69">
        <f>VLOOKUP((A11),'2019_C4_Rohdaten_BA'!$A$10:$O$59,12,FALSE)</f>
        <v>8.5317042342532119</v>
      </c>
      <c r="G11" s="69">
        <f>VLOOKUP((A11),'2019_C4_Rohdaten_BA'!$A$10:$O$59,13,FALSE)</f>
        <v>41.036444069938909</v>
      </c>
      <c r="H11" s="69">
        <f>VLOOKUP((A11),'2019_C4_Rohdaten_BA'!$A$10:$O$59,14,FALSE)</f>
        <v>22.793343164103643</v>
      </c>
      <c r="I11" s="69">
        <f>VLOOKUP((A11),'2019_C4_Rohdaten_BA'!$A$10:$O$59,15,FALSE)</f>
        <v>27.638508531704232</v>
      </c>
      <c r="J11" s="112">
        <v>43612</v>
      </c>
      <c r="K11" s="112">
        <v>28751</v>
      </c>
      <c r="L11" s="112">
        <v>14861</v>
      </c>
      <c r="M11" s="75">
        <v>7.8196872125115</v>
      </c>
      <c r="N11" s="75">
        <v>41.283348666053357</v>
      </c>
      <c r="O11" s="75">
        <v>23.344066237350507</v>
      </c>
      <c r="P11" s="75">
        <v>27.552897884084636</v>
      </c>
      <c r="Q11" s="112">
        <v>3977</v>
      </c>
      <c r="R11" s="112">
        <v>3093</v>
      </c>
      <c r="S11" s="112">
        <v>884</v>
      </c>
      <c r="T11" s="75">
        <v>22.353532813678655</v>
      </c>
      <c r="U11" s="75">
        <v>42.167462911742518</v>
      </c>
      <c r="V11" s="75">
        <v>7.0656273573045008</v>
      </c>
      <c r="W11" s="75">
        <v>28.413376917274331</v>
      </c>
      <c r="X11" s="112">
        <v>3635</v>
      </c>
      <c r="Y11" s="112">
        <v>2863</v>
      </c>
      <c r="Z11" s="112">
        <v>772</v>
      </c>
      <c r="AA11" s="75">
        <v>22.668500687757909</v>
      </c>
      <c r="AB11" s="75">
        <v>43.466299862448423</v>
      </c>
      <c r="AC11" s="75">
        <v>7.0976616231086656</v>
      </c>
      <c r="AD11" s="75">
        <v>26.767537826685007</v>
      </c>
      <c r="AE11" s="76">
        <v>3420</v>
      </c>
      <c r="AF11" s="76">
        <v>2684</v>
      </c>
      <c r="AG11" s="76">
        <v>736</v>
      </c>
      <c r="AH11" s="29">
        <v>6.3742690058479532</v>
      </c>
      <c r="AI11" s="29">
        <v>43.625730994152043</v>
      </c>
      <c r="AJ11" s="29">
        <v>22.485380116959064</v>
      </c>
      <c r="AK11" s="77">
        <v>27.51461988304094</v>
      </c>
      <c r="AL11" s="76">
        <v>3197</v>
      </c>
      <c r="AM11" s="76">
        <v>2561</v>
      </c>
      <c r="AN11" s="76">
        <v>636</v>
      </c>
      <c r="AO11" s="29">
        <v>6.2558648733187363</v>
      </c>
      <c r="AP11" s="29">
        <v>42.63371911166719</v>
      </c>
      <c r="AQ11" s="29">
        <v>21.582733812949641</v>
      </c>
      <c r="AR11" s="29">
        <v>29.527682202064433</v>
      </c>
      <c r="AS11" s="76">
        <v>3135</v>
      </c>
      <c r="AT11" s="76">
        <v>2514</v>
      </c>
      <c r="AU11" s="76">
        <v>621</v>
      </c>
      <c r="AV11" s="29">
        <v>5.4226475279106863</v>
      </c>
      <c r="AW11" s="29">
        <v>38.819776714513551</v>
      </c>
      <c r="AX11" s="29">
        <v>20.797448165869216</v>
      </c>
      <c r="AY11" s="29">
        <v>34.960127591706552</v>
      </c>
      <c r="AZ11" s="76">
        <v>2783</v>
      </c>
      <c r="BA11" s="76">
        <v>2252</v>
      </c>
      <c r="BB11" s="76">
        <v>531</v>
      </c>
      <c r="BC11" s="29">
        <v>3.9525691699604746</v>
      </c>
      <c r="BD11" s="29">
        <v>43.370463528566297</v>
      </c>
      <c r="BE11" s="29">
        <v>33.668702838663314</v>
      </c>
      <c r="BF11" s="29">
        <v>19.008264462809919</v>
      </c>
      <c r="BG11" s="76">
        <v>2640</v>
      </c>
      <c r="BH11" s="76">
        <v>2180</v>
      </c>
      <c r="BI11" s="76">
        <v>460</v>
      </c>
      <c r="BJ11" s="29">
        <v>3.75</v>
      </c>
      <c r="BK11" s="29">
        <v>44.393939393939398</v>
      </c>
      <c r="BL11" s="29">
        <v>33.06818181818182</v>
      </c>
      <c r="BM11" s="78">
        <v>18.787878787878789</v>
      </c>
      <c r="BN11" s="62"/>
    </row>
    <row r="12" spans="1:66" ht="8.25" customHeight="1">
      <c r="A12" s="107">
        <v>103</v>
      </c>
      <c r="B12" s="74" t="s">
        <v>217</v>
      </c>
      <c r="C12" s="111">
        <f>VLOOKUP((A12),'2019_C4_Rohdaten_BA'!$A$10:$O$59,5,FALSE)</f>
        <v>10288</v>
      </c>
      <c r="D12" s="111">
        <f>VLOOKUP((A12),'2019_C4_Rohdaten_BA'!$A$10:$O$59,6,FALSE)</f>
        <v>7063</v>
      </c>
      <c r="E12" s="111">
        <f>VLOOKUP((A12),'2019_C4_Rohdaten_BA'!$A$10:$O$59,7,FALSE)</f>
        <v>3225</v>
      </c>
      <c r="F12" s="69">
        <f>VLOOKUP((A12),'2019_C4_Rohdaten_BA'!$A$10:$O$59,12,FALSE)</f>
        <v>23.930793157076206</v>
      </c>
      <c r="G12" s="69">
        <f>VLOOKUP((A12),'2019_C4_Rohdaten_BA'!$A$10:$O$59,13,FALSE)</f>
        <v>33.009331259720064</v>
      </c>
      <c r="H12" s="69">
        <f>VLOOKUP((A12),'2019_C4_Rohdaten_BA'!$A$10:$O$59,14,FALSE)</f>
        <v>14.725894245723172</v>
      </c>
      <c r="I12" s="69">
        <f>VLOOKUP((A12),'2019_C4_Rohdaten_BA'!$A$10:$O$59,15,FALSE)</f>
        <v>28.333981337480559</v>
      </c>
      <c r="J12" s="112">
        <v>110769</v>
      </c>
      <c r="K12" s="112">
        <v>74321</v>
      </c>
      <c r="L12" s="112">
        <v>36448</v>
      </c>
      <c r="M12" s="75">
        <v>21.965666097781348</v>
      </c>
      <c r="N12" s="75">
        <v>33.982531874309807</v>
      </c>
      <c r="O12" s="75">
        <v>14.165244453368137</v>
      </c>
      <c r="P12" s="75">
        <v>29.886557574540706</v>
      </c>
      <c r="Q12" s="112">
        <v>8937</v>
      </c>
      <c r="R12" s="112">
        <v>6215</v>
      </c>
      <c r="S12" s="112">
        <v>2722</v>
      </c>
      <c r="T12" s="75">
        <v>12.811905561150274</v>
      </c>
      <c r="U12" s="75">
        <v>34.250867181380777</v>
      </c>
      <c r="V12" s="75">
        <v>22.143896162023051</v>
      </c>
      <c r="W12" s="75">
        <v>30.793331095445897</v>
      </c>
      <c r="X12" s="112">
        <v>8705</v>
      </c>
      <c r="Y12" s="112">
        <v>6078</v>
      </c>
      <c r="Z12" s="112">
        <v>2627</v>
      </c>
      <c r="AA12" s="75">
        <v>12.590465249856406</v>
      </c>
      <c r="AB12" s="75">
        <v>33.658816771970137</v>
      </c>
      <c r="AC12" s="75">
        <v>22.240091901206203</v>
      </c>
      <c r="AD12" s="75">
        <v>31.510626076967256</v>
      </c>
      <c r="AE12" s="76">
        <v>8235</v>
      </c>
      <c r="AF12" s="76">
        <v>5780</v>
      </c>
      <c r="AG12" s="76">
        <v>2455</v>
      </c>
      <c r="AH12" s="29">
        <v>22.465088038858529</v>
      </c>
      <c r="AI12" s="29">
        <v>33.636915604128717</v>
      </c>
      <c r="AJ12" s="29">
        <v>11.220400728597451</v>
      </c>
      <c r="AK12" s="77">
        <v>32.677595628415304</v>
      </c>
      <c r="AL12" s="76">
        <v>7848</v>
      </c>
      <c r="AM12" s="76">
        <v>5502</v>
      </c>
      <c r="AN12" s="76">
        <v>2346</v>
      </c>
      <c r="AO12" s="29">
        <v>21.062691131498472</v>
      </c>
      <c r="AP12" s="29">
        <v>33.613659531090725</v>
      </c>
      <c r="AQ12" s="29">
        <v>11.1493374108053</v>
      </c>
      <c r="AR12" s="29">
        <v>34.174311926605498</v>
      </c>
      <c r="AS12" s="76">
        <v>7609</v>
      </c>
      <c r="AT12" s="76">
        <v>5458</v>
      </c>
      <c r="AU12" s="76">
        <v>2151</v>
      </c>
      <c r="AV12" s="29">
        <v>17.124457878827705</v>
      </c>
      <c r="AW12" s="29">
        <v>32.8164016296491</v>
      </c>
      <c r="AX12" s="29">
        <v>6.4266000788539888</v>
      </c>
      <c r="AY12" s="29">
        <v>43.632540412669201</v>
      </c>
      <c r="AZ12" s="76">
        <v>6421</v>
      </c>
      <c r="BA12" s="76">
        <v>4848</v>
      </c>
      <c r="BB12" s="76">
        <v>1573</v>
      </c>
      <c r="BC12" s="29">
        <v>12.630431396978665</v>
      </c>
      <c r="BD12" s="29">
        <v>43.933966671857966</v>
      </c>
      <c r="BE12" s="29">
        <v>12.973057156206199</v>
      </c>
      <c r="BF12" s="29">
        <v>30.462544774957173</v>
      </c>
      <c r="BG12" s="76">
        <v>5540</v>
      </c>
      <c r="BH12" s="76">
        <v>4151</v>
      </c>
      <c r="BI12" s="76">
        <v>1389</v>
      </c>
      <c r="BJ12" s="29">
        <v>12.942238267148015</v>
      </c>
      <c r="BK12" s="29">
        <v>49.422382671480143</v>
      </c>
      <c r="BL12" s="29">
        <v>14.458483754512635</v>
      </c>
      <c r="BM12" s="78">
        <v>23.176895306859215</v>
      </c>
      <c r="BN12" s="62"/>
    </row>
    <row r="13" spans="1:66" ht="8.25" customHeight="1">
      <c r="A13" s="107">
        <v>151</v>
      </c>
      <c r="B13" s="74" t="s">
        <v>94</v>
      </c>
      <c r="C13" s="111">
        <f>VLOOKUP((A13),'2019_C4_Rohdaten_BA'!$A$10:$O$59,5,FALSE)</f>
        <v>3040</v>
      </c>
      <c r="D13" s="111">
        <f>VLOOKUP((A13),'2019_C4_Rohdaten_BA'!$A$10:$O$59,6,FALSE)</f>
        <v>2038</v>
      </c>
      <c r="E13" s="111">
        <f>VLOOKUP((A13),'2019_C4_Rohdaten_BA'!$A$10:$O$59,7,FALSE)</f>
        <v>1002</v>
      </c>
      <c r="F13" s="69">
        <f>VLOOKUP((A13),'2019_C4_Rohdaten_BA'!$A$10:$O$59,12,FALSE)</f>
        <v>16.710526315789473</v>
      </c>
      <c r="G13" s="69">
        <f>VLOOKUP((A13),'2019_C4_Rohdaten_BA'!$A$10:$O$59,13,FALSE)</f>
        <v>25.986842105263158</v>
      </c>
      <c r="H13" s="69">
        <f>VLOOKUP((A13),'2019_C4_Rohdaten_BA'!$A$10:$O$59,14,FALSE)</f>
        <v>24.638157894736842</v>
      </c>
      <c r="I13" s="69">
        <f>VLOOKUP((A13),'2019_C4_Rohdaten_BA'!$A$10:$O$59,15,FALSE)</f>
        <v>32.664473684210527</v>
      </c>
      <c r="J13" s="112">
        <v>39280</v>
      </c>
      <c r="K13" s="112">
        <v>20120</v>
      </c>
      <c r="L13" s="112">
        <v>19160</v>
      </c>
      <c r="M13" s="75">
        <v>15.396058014131647</v>
      </c>
      <c r="N13" s="75">
        <v>26.887318705838602</v>
      </c>
      <c r="O13" s="75">
        <v>25.883227965786539</v>
      </c>
      <c r="P13" s="75">
        <v>31.833395314243212</v>
      </c>
      <c r="Q13" s="112">
        <v>2431</v>
      </c>
      <c r="R13" s="112">
        <v>1612</v>
      </c>
      <c r="S13" s="112">
        <v>819</v>
      </c>
      <c r="T13" s="75">
        <v>24.886877828054299</v>
      </c>
      <c r="U13" s="75">
        <v>28.630193336075688</v>
      </c>
      <c r="V13" s="75">
        <v>14.644179350061703</v>
      </c>
      <c r="W13" s="75">
        <v>31.838749485808311</v>
      </c>
      <c r="X13" s="112">
        <v>2218</v>
      </c>
      <c r="Y13" s="112">
        <v>1464</v>
      </c>
      <c r="Z13" s="112">
        <v>754</v>
      </c>
      <c r="AA13" s="75">
        <v>25.247971145175836</v>
      </c>
      <c r="AB13" s="75">
        <v>28.67448151487827</v>
      </c>
      <c r="AC13" s="75">
        <v>15.329125338142472</v>
      </c>
      <c r="AD13" s="75">
        <v>30.748422001803426</v>
      </c>
      <c r="AE13" s="76">
        <v>2136</v>
      </c>
      <c r="AF13" s="76">
        <v>1406</v>
      </c>
      <c r="AG13" s="76">
        <v>730</v>
      </c>
      <c r="AH13" s="29">
        <v>15.870786516853933</v>
      </c>
      <c r="AI13" s="29">
        <v>27.153558052434455</v>
      </c>
      <c r="AJ13" s="29">
        <v>25.046816479400746</v>
      </c>
      <c r="AK13" s="77">
        <v>31.928838951310865</v>
      </c>
      <c r="AL13" s="76">
        <v>1933</v>
      </c>
      <c r="AM13" s="76">
        <v>1323</v>
      </c>
      <c r="AN13" s="76">
        <v>610</v>
      </c>
      <c r="AO13" s="29">
        <v>14.79565442317641</v>
      </c>
      <c r="AP13" s="29">
        <v>26.952922917744438</v>
      </c>
      <c r="AQ13" s="29">
        <v>26.435592343507501</v>
      </c>
      <c r="AR13" s="29">
        <v>31.81583031557166</v>
      </c>
      <c r="AS13" s="76">
        <v>1755</v>
      </c>
      <c r="AT13" s="76">
        <v>1205</v>
      </c>
      <c r="AU13" s="76">
        <v>550</v>
      </c>
      <c r="AV13" s="29">
        <v>12.763532763532764</v>
      </c>
      <c r="AW13" s="29">
        <v>23.646723646723647</v>
      </c>
      <c r="AX13" s="29">
        <v>26.837606837606838</v>
      </c>
      <c r="AY13" s="29">
        <v>36.752136752136749</v>
      </c>
      <c r="AZ13" s="76">
        <v>1367</v>
      </c>
      <c r="BA13" s="76">
        <v>908</v>
      </c>
      <c r="BB13" s="76">
        <v>459</v>
      </c>
      <c r="BC13" s="29">
        <v>9.9487929773226043</v>
      </c>
      <c r="BD13" s="29">
        <v>23.116313094367229</v>
      </c>
      <c r="BE13" s="29">
        <v>32.845647403072419</v>
      </c>
      <c r="BF13" s="29">
        <v>34.089246525237748</v>
      </c>
      <c r="BG13" s="76">
        <v>1266</v>
      </c>
      <c r="BH13" s="76">
        <v>848</v>
      </c>
      <c r="BI13" s="76">
        <v>418</v>
      </c>
      <c r="BJ13" s="29">
        <v>10.821484992101107</v>
      </c>
      <c r="BK13" s="29">
        <v>23.696682464454977</v>
      </c>
      <c r="BL13" s="29">
        <v>32.227488151658768</v>
      </c>
      <c r="BM13" s="78">
        <v>33.254344391785139</v>
      </c>
      <c r="BN13" s="62"/>
    </row>
    <row r="14" spans="1:66" ht="8.25" customHeight="1">
      <c r="A14" s="107">
        <v>153</v>
      </c>
      <c r="B14" s="74" t="s">
        <v>96</v>
      </c>
      <c r="C14" s="111">
        <f>VLOOKUP((A14),'2019_C4_Rohdaten_BA'!$A$10:$O$59,5,FALSE)</f>
        <v>3119</v>
      </c>
      <c r="D14" s="111">
        <f>VLOOKUP((A14),'2019_C4_Rohdaten_BA'!$A$10:$O$59,6,FALSE)</f>
        <v>1991</v>
      </c>
      <c r="E14" s="111">
        <f>VLOOKUP((A14),'2019_C4_Rohdaten_BA'!$A$10:$O$59,7,FALSE)</f>
        <v>1128</v>
      </c>
      <c r="F14" s="69">
        <f>VLOOKUP((A14),'2019_C4_Rohdaten_BA'!$A$10:$O$59,12,FALSE)</f>
        <v>16.67201025969862</v>
      </c>
      <c r="G14" s="69">
        <f>VLOOKUP((A14),'2019_C4_Rohdaten_BA'!$A$10:$O$59,13,FALSE)</f>
        <v>30.522603398525167</v>
      </c>
      <c r="H14" s="69">
        <f>VLOOKUP((A14),'2019_C4_Rohdaten_BA'!$A$10:$O$59,14,FALSE)</f>
        <v>25.553061878807309</v>
      </c>
      <c r="I14" s="69">
        <f>VLOOKUP((A14),'2019_C4_Rohdaten_BA'!$A$10:$O$59,15,FALSE)</f>
        <v>27.2523244629689</v>
      </c>
      <c r="J14" s="112">
        <v>42548</v>
      </c>
      <c r="K14" s="112">
        <v>20938</v>
      </c>
      <c r="L14" s="112">
        <v>21610</v>
      </c>
      <c r="M14" s="75">
        <v>16.618392469225199</v>
      </c>
      <c r="N14" s="75">
        <v>31.788559015206374</v>
      </c>
      <c r="O14" s="75">
        <v>23.859522085445327</v>
      </c>
      <c r="P14" s="75">
        <v>27.733526430123099</v>
      </c>
      <c r="Q14" s="112">
        <v>2405</v>
      </c>
      <c r="R14" s="112">
        <v>1547</v>
      </c>
      <c r="S14" s="112">
        <v>858</v>
      </c>
      <c r="T14" s="75">
        <v>22.245322245322246</v>
      </c>
      <c r="U14" s="75">
        <v>30.72765072765073</v>
      </c>
      <c r="V14" s="75">
        <v>17.962577962577964</v>
      </c>
      <c r="W14" s="75">
        <v>29.064449064449065</v>
      </c>
      <c r="X14" s="112">
        <v>2132</v>
      </c>
      <c r="Y14" s="112">
        <v>1379</v>
      </c>
      <c r="Z14" s="112">
        <v>753</v>
      </c>
      <c r="AA14" s="75">
        <v>20.825515947467167</v>
      </c>
      <c r="AB14" s="75">
        <v>32.551594746716702</v>
      </c>
      <c r="AC14" s="75">
        <v>18.667917448405252</v>
      </c>
      <c r="AD14" s="75">
        <v>27.954971857410882</v>
      </c>
      <c r="AE14" s="76">
        <v>1970</v>
      </c>
      <c r="AF14" s="76">
        <v>1301</v>
      </c>
      <c r="AG14" s="76">
        <v>669</v>
      </c>
      <c r="AH14" s="29">
        <v>19.593908629441625</v>
      </c>
      <c r="AI14" s="29">
        <v>31.319796954314722</v>
      </c>
      <c r="AJ14" s="29">
        <v>18.781725888324875</v>
      </c>
      <c r="AK14" s="77">
        <v>30.304568527918779</v>
      </c>
      <c r="AL14" s="76">
        <v>1797</v>
      </c>
      <c r="AM14" s="76">
        <v>1202</v>
      </c>
      <c r="AN14" s="76">
        <v>595</v>
      </c>
      <c r="AO14" s="29">
        <v>19.810795770728991</v>
      </c>
      <c r="AP14" s="29">
        <v>31.942125765164164</v>
      </c>
      <c r="AQ14" s="29">
        <v>18.809126321647192</v>
      </c>
      <c r="AR14" s="29">
        <v>29.437952142459647</v>
      </c>
      <c r="AS14" s="76">
        <v>1674</v>
      </c>
      <c r="AT14" s="76">
        <v>1083</v>
      </c>
      <c r="AU14" s="76">
        <v>591</v>
      </c>
      <c r="AV14" s="29">
        <v>20.609318996415769</v>
      </c>
      <c r="AW14" s="29">
        <v>26.642771804062125</v>
      </c>
      <c r="AX14" s="29">
        <v>20.43010752688172</v>
      </c>
      <c r="AY14" s="29">
        <v>32.317801672640385</v>
      </c>
      <c r="AZ14" s="76">
        <v>1406</v>
      </c>
      <c r="BA14" s="76">
        <v>911</v>
      </c>
      <c r="BB14" s="76">
        <v>495</v>
      </c>
      <c r="BC14" s="29">
        <v>18.492176386913229</v>
      </c>
      <c r="BD14" s="29">
        <v>26.600284495021338</v>
      </c>
      <c r="BE14" s="29">
        <v>19.274537695590325</v>
      </c>
      <c r="BF14" s="29">
        <v>35.633001422475104</v>
      </c>
      <c r="BG14" s="76">
        <v>1324</v>
      </c>
      <c r="BH14" s="76">
        <v>868</v>
      </c>
      <c r="BI14" s="76">
        <v>456</v>
      </c>
      <c r="BJ14" s="29">
        <v>18.126888217522659</v>
      </c>
      <c r="BK14" s="29">
        <v>27.265861027190329</v>
      </c>
      <c r="BL14" s="29">
        <v>18.806646525679756</v>
      </c>
      <c r="BM14" s="78">
        <v>35.800604229607259</v>
      </c>
      <c r="BN14" s="62"/>
    </row>
    <row r="15" spans="1:66" ht="8.25" customHeight="1">
      <c r="A15" s="107">
        <v>154</v>
      </c>
      <c r="B15" s="74" t="s">
        <v>97</v>
      </c>
      <c r="C15" s="111">
        <f>VLOOKUP((A15),'2019_C4_Rohdaten_BA'!$A$10:$O$59,5,FALSE)</f>
        <v>1557</v>
      </c>
      <c r="D15" s="111">
        <f>VLOOKUP((A15),'2019_C4_Rohdaten_BA'!$A$10:$O$59,6,FALSE)</f>
        <v>1083</v>
      </c>
      <c r="E15" s="111">
        <f>VLOOKUP((A15),'2019_C4_Rohdaten_BA'!$A$10:$O$59,7,FALSE)</f>
        <v>474</v>
      </c>
      <c r="F15" s="69">
        <f>VLOOKUP((A15),'2019_C4_Rohdaten_BA'!$A$10:$O$59,12,FALSE)</f>
        <v>12.780989081567116</v>
      </c>
      <c r="G15" s="69">
        <f>VLOOKUP((A15),'2019_C4_Rohdaten_BA'!$A$10:$O$59,13,FALSE)</f>
        <v>42.260757867694281</v>
      </c>
      <c r="H15" s="69">
        <f>VLOOKUP((A15),'2019_C4_Rohdaten_BA'!$A$10:$O$59,14,FALSE)</f>
        <v>22.414900449582529</v>
      </c>
      <c r="I15" s="69">
        <f>VLOOKUP((A15),'2019_C4_Rohdaten_BA'!$A$10:$O$59,15,FALSE)</f>
        <v>22.543352601156069</v>
      </c>
      <c r="J15" s="112">
        <v>21049</v>
      </c>
      <c r="K15" s="112">
        <v>8680</v>
      </c>
      <c r="L15" s="112">
        <v>12369</v>
      </c>
      <c r="M15" s="75">
        <v>12.718378756114603</v>
      </c>
      <c r="N15" s="75">
        <v>42.348008385744237</v>
      </c>
      <c r="O15" s="75">
        <v>21.313766596785463</v>
      </c>
      <c r="P15" s="75">
        <v>23.619846261355697</v>
      </c>
      <c r="Q15" s="112">
        <v>1295</v>
      </c>
      <c r="R15" s="112">
        <v>882</v>
      </c>
      <c r="S15" s="112">
        <v>413</v>
      </c>
      <c r="T15" s="75">
        <v>20.231660231660232</v>
      </c>
      <c r="U15" s="75">
        <v>41.853281853281857</v>
      </c>
      <c r="V15" s="75">
        <v>14.054054054054054</v>
      </c>
      <c r="W15" s="75">
        <v>23.861003861003859</v>
      </c>
      <c r="X15" s="112">
        <v>862</v>
      </c>
      <c r="Y15" s="112">
        <v>509</v>
      </c>
      <c r="Z15" s="112">
        <v>353</v>
      </c>
      <c r="AA15" s="75">
        <v>24.709976798143853</v>
      </c>
      <c r="AB15" s="75">
        <v>35.150812064965194</v>
      </c>
      <c r="AC15" s="75">
        <v>15.893271461716937</v>
      </c>
      <c r="AD15" s="75">
        <v>24.245939675174014</v>
      </c>
      <c r="AE15" s="76">
        <v>712</v>
      </c>
      <c r="AF15" s="76">
        <v>399</v>
      </c>
      <c r="AG15" s="76">
        <v>313</v>
      </c>
      <c r="AH15" s="29">
        <v>14.606741573033707</v>
      </c>
      <c r="AI15" s="29">
        <v>33.567415730337082</v>
      </c>
      <c r="AJ15" s="29">
        <v>25.280898876404496</v>
      </c>
      <c r="AK15" s="77">
        <v>26.544943820224717</v>
      </c>
      <c r="AL15" s="80">
        <v>676</v>
      </c>
      <c r="AM15" s="80">
        <v>373</v>
      </c>
      <c r="AN15" s="80">
        <v>303</v>
      </c>
      <c r="AO15" s="29">
        <v>13.313609467455622</v>
      </c>
      <c r="AP15" s="29">
        <v>33.57988165680473</v>
      </c>
      <c r="AQ15" s="29">
        <v>24.260355029585799</v>
      </c>
      <c r="AR15" s="29">
        <v>28.846153846153854</v>
      </c>
      <c r="AS15" s="80">
        <v>587</v>
      </c>
      <c r="AT15" s="80">
        <v>315</v>
      </c>
      <c r="AU15" s="80">
        <v>272</v>
      </c>
      <c r="AV15" s="29">
        <v>11.41396933560477</v>
      </c>
      <c r="AW15" s="29">
        <v>29.982964224872234</v>
      </c>
      <c r="AX15" s="29">
        <v>26.575809199318567</v>
      </c>
      <c r="AY15" s="29">
        <v>32.027257240204428</v>
      </c>
      <c r="AZ15" s="80">
        <v>472</v>
      </c>
      <c r="BA15" s="80">
        <v>251</v>
      </c>
      <c r="BB15" s="80">
        <v>221</v>
      </c>
      <c r="BC15" s="81">
        <v>9.7457627118644066</v>
      </c>
      <c r="BD15" s="81">
        <v>30.932203389830509</v>
      </c>
      <c r="BE15" s="82">
        <v>33.299999999999997</v>
      </c>
      <c r="BF15" s="81">
        <v>26.022033898305089</v>
      </c>
      <c r="BG15" s="80">
        <v>418</v>
      </c>
      <c r="BH15" s="80">
        <v>230</v>
      </c>
      <c r="BI15" s="80">
        <v>188</v>
      </c>
      <c r="BJ15" s="81">
        <v>10.526315789473683</v>
      </c>
      <c r="BK15" s="81">
        <v>33.253588516746412</v>
      </c>
      <c r="BL15" s="81">
        <v>25.837320574162682</v>
      </c>
      <c r="BM15" s="78">
        <v>30.382775119617229</v>
      </c>
      <c r="BN15" s="62"/>
    </row>
    <row r="16" spans="1:66" ht="8.25" customHeight="1">
      <c r="A16" s="107">
        <v>155</v>
      </c>
      <c r="B16" s="74" t="s">
        <v>332</v>
      </c>
      <c r="C16" s="111">
        <f>VLOOKUP((A16),'2019_C4_Rohdaten_BA'!$A$10:$O$59,5,FALSE)</f>
        <v>3377</v>
      </c>
      <c r="D16" s="111">
        <f>VLOOKUP((A16),'2019_C4_Rohdaten_BA'!$A$10:$O$59,6,FALSE)</f>
        <v>2552</v>
      </c>
      <c r="E16" s="111">
        <f>VLOOKUP((A16),'2019_C4_Rohdaten_BA'!$A$10:$O$59,7,FALSE)</f>
        <v>825</v>
      </c>
      <c r="F16" s="69">
        <f>VLOOKUP((A16),'2019_C4_Rohdaten_BA'!$A$10:$O$59,12,FALSE)</f>
        <v>9.6239265620373118</v>
      </c>
      <c r="G16" s="69">
        <f>VLOOKUP((A16),'2019_C4_Rohdaten_BA'!$A$10:$O$59,13,FALSE)</f>
        <v>44.151613858454247</v>
      </c>
      <c r="H16" s="69">
        <f>VLOOKUP((A16),'2019_C4_Rohdaten_BA'!$A$10:$O$59,14,FALSE)</f>
        <v>23.097423748889547</v>
      </c>
      <c r="I16" s="69">
        <f>VLOOKUP((A16),'2019_C4_Rohdaten_BA'!$A$10:$O$59,15,FALSE)</f>
        <v>23.127035830618894</v>
      </c>
      <c r="J16" s="112">
        <v>42353</v>
      </c>
      <c r="K16" s="112">
        <v>22551</v>
      </c>
      <c r="L16" s="112">
        <v>19802</v>
      </c>
      <c r="M16" s="75">
        <v>8.1809432146294512</v>
      </c>
      <c r="N16" s="75">
        <v>45.299967917869751</v>
      </c>
      <c r="O16" s="75">
        <v>22.48957330766763</v>
      </c>
      <c r="P16" s="75">
        <v>24.029515559833172</v>
      </c>
      <c r="Q16" s="112">
        <v>2659</v>
      </c>
      <c r="R16" s="112">
        <v>2052</v>
      </c>
      <c r="S16" s="112">
        <v>607</v>
      </c>
      <c r="T16" s="75">
        <v>20.007521624670929</v>
      </c>
      <c r="U16" s="75">
        <v>47.273411056788269</v>
      </c>
      <c r="V16" s="75">
        <v>8.3113952613764575</v>
      </c>
      <c r="W16" s="75">
        <v>24.407672057164348</v>
      </c>
      <c r="X16" s="112">
        <v>2414</v>
      </c>
      <c r="Y16" s="112">
        <v>1841</v>
      </c>
      <c r="Z16" s="112">
        <v>573</v>
      </c>
      <c r="AA16" s="75">
        <v>16.818558409279206</v>
      </c>
      <c r="AB16" s="75">
        <v>49.088649544324767</v>
      </c>
      <c r="AC16" s="75">
        <v>8.7406793703396843</v>
      </c>
      <c r="AD16" s="75">
        <v>25.352112676056336</v>
      </c>
      <c r="AE16" s="80">
        <v>2052</v>
      </c>
      <c r="AF16" s="80">
        <v>1540</v>
      </c>
      <c r="AG16" s="80">
        <v>512</v>
      </c>
      <c r="AH16" s="29">
        <v>8.9668615984405449</v>
      </c>
      <c r="AI16" s="29">
        <v>51.169590643274852</v>
      </c>
      <c r="AJ16" s="29">
        <v>16.569200779727094</v>
      </c>
      <c r="AK16" s="77">
        <v>23.294346978557506</v>
      </c>
      <c r="AL16" s="80">
        <v>1873</v>
      </c>
      <c r="AM16" s="80">
        <v>1400</v>
      </c>
      <c r="AN16" s="80">
        <v>473</v>
      </c>
      <c r="AO16" s="29">
        <v>8.3822744260544582</v>
      </c>
      <c r="AP16" s="29">
        <v>50.774159103043246</v>
      </c>
      <c r="AQ16" s="29">
        <v>17.405232247730911</v>
      </c>
      <c r="AR16" s="29">
        <v>23.438334223171388</v>
      </c>
      <c r="AS16" s="80">
        <v>1655</v>
      </c>
      <c r="AT16" s="80">
        <v>1208</v>
      </c>
      <c r="AU16" s="80">
        <v>447</v>
      </c>
      <c r="AV16" s="29">
        <v>10.453172205438065</v>
      </c>
      <c r="AW16" s="29">
        <v>44.350453172205441</v>
      </c>
      <c r="AX16" s="29">
        <v>17.039274924471297</v>
      </c>
      <c r="AY16" s="29">
        <v>28.157099697885194</v>
      </c>
      <c r="AZ16" s="80">
        <v>1102</v>
      </c>
      <c r="BA16" s="80">
        <v>681</v>
      </c>
      <c r="BB16" s="80">
        <v>421</v>
      </c>
      <c r="BC16" s="81">
        <v>10.798548094373865</v>
      </c>
      <c r="BD16" s="81">
        <v>31.760435571687839</v>
      </c>
      <c r="BE16" s="81">
        <v>24.954627949183301</v>
      </c>
      <c r="BF16" s="81">
        <v>32.486388384754996</v>
      </c>
      <c r="BG16" s="80">
        <v>1003</v>
      </c>
      <c r="BH16" s="80">
        <v>643</v>
      </c>
      <c r="BI16" s="80">
        <v>360</v>
      </c>
      <c r="BJ16" s="81">
        <v>9.5712861415752748</v>
      </c>
      <c r="BK16" s="81">
        <v>34.097706879361915</v>
      </c>
      <c r="BL16" s="81">
        <v>24.32701894317049</v>
      </c>
      <c r="BM16" s="78">
        <v>32.00398803589232</v>
      </c>
      <c r="BN16" s="62"/>
    </row>
    <row r="17" spans="1:66" ht="8.25" customHeight="1">
      <c r="A17" s="107">
        <v>157</v>
      </c>
      <c r="B17" s="74" t="s">
        <v>99</v>
      </c>
      <c r="C17" s="111">
        <f>VLOOKUP((A17),'2019_C4_Rohdaten_BA'!$A$10:$O$59,5,FALSE)</f>
        <v>3351</v>
      </c>
      <c r="D17" s="111">
        <f>VLOOKUP((A17),'2019_C4_Rohdaten_BA'!$A$10:$O$59,6,FALSE)</f>
        <v>2439</v>
      </c>
      <c r="E17" s="111">
        <f>VLOOKUP((A17),'2019_C4_Rohdaten_BA'!$A$10:$O$59,7,FALSE)</f>
        <v>912</v>
      </c>
      <c r="F17" s="69">
        <f>VLOOKUP((A17),'2019_C4_Rohdaten_BA'!$A$10:$O$59,12,FALSE)</f>
        <v>6.0578931662190394</v>
      </c>
      <c r="G17" s="69">
        <f>VLOOKUP((A17),'2019_C4_Rohdaten_BA'!$A$10:$O$59,13,FALSE)</f>
        <v>29.364368845120861</v>
      </c>
      <c r="H17" s="69">
        <f>VLOOKUP((A17),'2019_C4_Rohdaten_BA'!$A$10:$O$59,14,FALSE)</f>
        <v>28.91674127126231</v>
      </c>
      <c r="I17" s="69">
        <f>VLOOKUP((A17),'2019_C4_Rohdaten_BA'!$A$10:$O$59,15,FALSE)</f>
        <v>35.660996717397794</v>
      </c>
      <c r="J17" s="112">
        <v>29551</v>
      </c>
      <c r="K17" s="112">
        <v>15182</v>
      </c>
      <c r="L17" s="112">
        <v>14369</v>
      </c>
      <c r="M17" s="75">
        <v>6.8725868725868722</v>
      </c>
      <c r="N17" s="75">
        <v>33.320463320463325</v>
      </c>
      <c r="O17" s="75">
        <v>30.386100386100384</v>
      </c>
      <c r="P17" s="75">
        <v>29.420849420849422</v>
      </c>
      <c r="Q17" s="112">
        <v>2202</v>
      </c>
      <c r="R17" s="112">
        <v>1601</v>
      </c>
      <c r="S17" s="112">
        <v>601</v>
      </c>
      <c r="T17" s="75">
        <v>30.290644868301541</v>
      </c>
      <c r="U17" s="75">
        <v>34.831970935513169</v>
      </c>
      <c r="V17" s="75">
        <v>6.4486830154405084</v>
      </c>
      <c r="W17" s="75">
        <v>28.428701180744774</v>
      </c>
      <c r="X17" s="112">
        <v>1899</v>
      </c>
      <c r="Y17" s="112">
        <v>1350</v>
      </c>
      <c r="Z17" s="112">
        <v>549</v>
      </c>
      <c r="AA17" s="75">
        <v>28.225381779884152</v>
      </c>
      <c r="AB17" s="75">
        <v>36.387572406529749</v>
      </c>
      <c r="AC17" s="75">
        <v>6.6877303844128484</v>
      </c>
      <c r="AD17" s="75">
        <v>28.69931542917325</v>
      </c>
      <c r="AE17" s="76">
        <v>1599</v>
      </c>
      <c r="AF17" s="76">
        <v>1112</v>
      </c>
      <c r="AG17" s="76">
        <v>487</v>
      </c>
      <c r="AH17" s="29">
        <v>6.2539086929330825</v>
      </c>
      <c r="AI17" s="29">
        <v>35.709818636647903</v>
      </c>
      <c r="AJ17" s="29">
        <v>29.393370856785488</v>
      </c>
      <c r="AK17" s="77">
        <v>28.642901813633536</v>
      </c>
      <c r="AL17" s="57">
        <v>1412</v>
      </c>
      <c r="AM17" s="57">
        <v>989</v>
      </c>
      <c r="AN17" s="57">
        <v>423</v>
      </c>
      <c r="AO17" s="29">
        <v>5.9490084985835701</v>
      </c>
      <c r="AP17" s="29">
        <v>35.623229461756374</v>
      </c>
      <c r="AQ17" s="29">
        <v>27.974504249291787</v>
      </c>
      <c r="AR17" s="29">
        <v>30.453257790368273</v>
      </c>
      <c r="AS17" s="57">
        <v>1321</v>
      </c>
      <c r="AT17" s="57">
        <v>926</v>
      </c>
      <c r="AU17" s="57">
        <v>395</v>
      </c>
      <c r="AV17" s="29">
        <v>5.5261165783497352</v>
      </c>
      <c r="AW17" s="29">
        <v>31.94549583648751</v>
      </c>
      <c r="AX17" s="29">
        <v>29.144587433762304</v>
      </c>
      <c r="AY17" s="29">
        <v>33.383800151400457</v>
      </c>
      <c r="AZ17" s="57">
        <v>1168</v>
      </c>
      <c r="BA17" s="57">
        <v>805</v>
      </c>
      <c r="BB17" s="57">
        <v>363</v>
      </c>
      <c r="BC17" s="83">
        <v>4.0239726027397262</v>
      </c>
      <c r="BD17" s="83">
        <v>27.739726027397261</v>
      </c>
      <c r="BE17" s="83">
        <v>29.280821917808218</v>
      </c>
      <c r="BF17" s="83">
        <v>38.955479452054789</v>
      </c>
      <c r="BG17" s="57">
        <v>1069</v>
      </c>
      <c r="BH17" s="57">
        <v>741</v>
      </c>
      <c r="BI17" s="57">
        <v>328</v>
      </c>
      <c r="BJ17" s="83">
        <v>3.3676333021515439</v>
      </c>
      <c r="BK17" s="83">
        <v>30.589335827876518</v>
      </c>
      <c r="BL17" s="83">
        <v>30.589335827876518</v>
      </c>
      <c r="BM17" s="78">
        <v>35.453695042095426</v>
      </c>
      <c r="BN17" s="62"/>
    </row>
    <row r="18" spans="1:66" ht="8.25" customHeight="1">
      <c r="A18" s="107">
        <v>158</v>
      </c>
      <c r="B18" s="74" t="s">
        <v>100</v>
      </c>
      <c r="C18" s="111">
        <f>VLOOKUP((A18),'2019_C4_Rohdaten_BA'!$A$10:$O$59,5,FALSE)</f>
        <v>1510</v>
      </c>
      <c r="D18" s="111">
        <f>VLOOKUP((A18),'2019_C4_Rohdaten_BA'!$A$10:$O$59,6,FALSE)</f>
        <v>969</v>
      </c>
      <c r="E18" s="111">
        <f>VLOOKUP((A18),'2019_C4_Rohdaten_BA'!$A$10:$O$59,7,FALSE)</f>
        <v>541</v>
      </c>
      <c r="F18" s="69">
        <f>VLOOKUP((A18),'2019_C4_Rohdaten_BA'!$A$10:$O$59,12,FALSE)</f>
        <v>12.781456953642385</v>
      </c>
      <c r="G18" s="69">
        <f>VLOOKUP((A18),'2019_C4_Rohdaten_BA'!$A$10:$O$59,13,FALSE)</f>
        <v>40.662251655629142</v>
      </c>
      <c r="H18" s="69">
        <f>VLOOKUP((A18),'2019_C4_Rohdaten_BA'!$A$10:$O$59,14,FALSE)</f>
        <v>22.715231788079471</v>
      </c>
      <c r="I18" s="69">
        <f>VLOOKUP((A18),'2019_C4_Rohdaten_BA'!$A$10:$O$59,15,FALSE)</f>
        <v>23.841059602649008</v>
      </c>
      <c r="J18" s="112">
        <v>23462</v>
      </c>
      <c r="K18" s="112">
        <v>10528</v>
      </c>
      <c r="L18" s="112">
        <v>12934</v>
      </c>
      <c r="M18" s="75">
        <v>12.110481586402265</v>
      </c>
      <c r="N18" s="75">
        <v>40.226628895184135</v>
      </c>
      <c r="O18" s="75">
        <v>22.592067988668553</v>
      </c>
      <c r="P18" s="75">
        <v>25.070821529745039</v>
      </c>
      <c r="Q18" s="112">
        <v>1212</v>
      </c>
      <c r="R18" s="112">
        <v>730</v>
      </c>
      <c r="S18" s="112">
        <v>482</v>
      </c>
      <c r="T18" s="75">
        <v>21.03960396039604</v>
      </c>
      <c r="U18" s="75">
        <v>40.759075907590756</v>
      </c>
      <c r="V18" s="75">
        <v>11.138613861386139</v>
      </c>
      <c r="W18" s="75">
        <v>27.062706270627064</v>
      </c>
      <c r="X18" s="112">
        <v>1041</v>
      </c>
      <c r="Y18" s="112">
        <v>635</v>
      </c>
      <c r="Z18" s="112">
        <v>406</v>
      </c>
      <c r="AA18" s="75">
        <v>19.404418828049952</v>
      </c>
      <c r="AB18" s="75">
        <v>42.459173871277613</v>
      </c>
      <c r="AC18" s="75">
        <v>10.182516810758885</v>
      </c>
      <c r="AD18" s="75">
        <v>27.953890489913547</v>
      </c>
      <c r="AE18" s="57">
        <v>885</v>
      </c>
      <c r="AF18" s="57">
        <v>529</v>
      </c>
      <c r="AG18" s="57">
        <v>356</v>
      </c>
      <c r="AH18" s="29">
        <v>10.96045197740113</v>
      </c>
      <c r="AI18" s="29">
        <v>42.93785310734463</v>
      </c>
      <c r="AJ18" s="29">
        <v>18.192090395480225</v>
      </c>
      <c r="AK18" s="77">
        <v>27.909604519774021</v>
      </c>
      <c r="AL18" s="57">
        <v>784</v>
      </c>
      <c r="AM18" s="57">
        <v>480</v>
      </c>
      <c r="AN18" s="57">
        <v>304</v>
      </c>
      <c r="AO18" s="29">
        <v>10.969387755102041</v>
      </c>
      <c r="AP18" s="29">
        <v>39.413265306122447</v>
      </c>
      <c r="AQ18" s="29">
        <v>18.494897959183675</v>
      </c>
      <c r="AR18" s="29">
        <v>31.122448979591837</v>
      </c>
      <c r="AS18" s="57">
        <v>734</v>
      </c>
      <c r="AT18" s="57">
        <v>437</v>
      </c>
      <c r="AU18" s="57">
        <v>297</v>
      </c>
      <c r="AV18" s="29">
        <v>10.899182561307901</v>
      </c>
      <c r="AW18" s="29">
        <v>35.422343324250683</v>
      </c>
      <c r="AX18" s="29">
        <v>16.757493188010901</v>
      </c>
      <c r="AY18" s="29">
        <v>36.920980926430516</v>
      </c>
      <c r="AZ18" s="57">
        <v>556</v>
      </c>
      <c r="BA18" s="57">
        <v>305</v>
      </c>
      <c r="BB18" s="57">
        <v>251</v>
      </c>
      <c r="BC18" s="83">
        <v>7.7338129496402885</v>
      </c>
      <c r="BD18" s="83">
        <v>30.39568345323741</v>
      </c>
      <c r="BE18" s="83">
        <v>20.68345323741007</v>
      </c>
      <c r="BF18" s="83">
        <v>41.187050359712224</v>
      </c>
      <c r="BG18" s="57">
        <v>541</v>
      </c>
      <c r="BH18" s="57">
        <v>313</v>
      </c>
      <c r="BI18" s="57">
        <v>228</v>
      </c>
      <c r="BJ18" s="83">
        <v>7.9482439926062849</v>
      </c>
      <c r="BK18" s="83">
        <v>28.650646950092423</v>
      </c>
      <c r="BL18" s="83">
        <v>21.256931608133087</v>
      </c>
      <c r="BM18" s="78">
        <v>42.144177449168204</v>
      </c>
      <c r="BN18" s="62"/>
    </row>
    <row r="19" spans="1:66" ht="8.25" customHeight="1">
      <c r="A19" s="107">
        <v>159</v>
      </c>
      <c r="B19" s="74" t="s">
        <v>95</v>
      </c>
      <c r="C19" s="111">
        <f>VLOOKUP((A19),'2019_C4_Rohdaten_BA'!$A$10:$O$59,5,FALSE)</f>
        <v>9450</v>
      </c>
      <c r="D19" s="111">
        <f>VLOOKUP((A19),'2019_C4_Rohdaten_BA'!$A$10:$O$59,6,FALSE)</f>
        <v>5838</v>
      </c>
      <c r="E19" s="111">
        <f>VLOOKUP((A19),'2019_C4_Rohdaten_BA'!$A$10:$O$59,7,FALSE)</f>
        <v>3612</v>
      </c>
      <c r="F19" s="69">
        <f>VLOOKUP((A19),'2019_C4_Rohdaten_BA'!$A$10:$O$59,12,FALSE)</f>
        <v>28.582010582010582</v>
      </c>
      <c r="G19" s="69">
        <f>VLOOKUP((A19),'2019_C4_Rohdaten_BA'!$A$10:$O$59,13,FALSE)</f>
        <v>28.264550264550266</v>
      </c>
      <c r="H19" s="69">
        <f>VLOOKUP((A19),'2019_C4_Rohdaten_BA'!$A$10:$O$59,14,FALSE)</f>
        <v>24.825396825396826</v>
      </c>
      <c r="I19" s="69">
        <f>VLOOKUP((A19),'2019_C4_Rohdaten_BA'!$A$10:$O$59,15,FALSE)</f>
        <v>18.328042328042329</v>
      </c>
      <c r="J19" s="112">
        <v>120386</v>
      </c>
      <c r="K19" s="112">
        <v>61270</v>
      </c>
      <c r="L19" s="112">
        <v>59116</v>
      </c>
      <c r="M19" s="75">
        <v>29.114216422219659</v>
      </c>
      <c r="N19" s="75">
        <v>29.322092620394962</v>
      </c>
      <c r="O19" s="75">
        <v>23.33987758401663</v>
      </c>
      <c r="P19" s="75">
        <v>18.223813373368749</v>
      </c>
      <c r="Q19" s="112">
        <v>7778</v>
      </c>
      <c r="R19" s="112">
        <v>4661</v>
      </c>
      <c r="S19" s="112">
        <v>3117</v>
      </c>
      <c r="T19" s="75">
        <v>23.592183080483416</v>
      </c>
      <c r="U19" s="75">
        <v>29.622010799691438</v>
      </c>
      <c r="V19" s="75">
        <v>28.992028799177167</v>
      </c>
      <c r="W19" s="75">
        <v>17.793777320647983</v>
      </c>
      <c r="X19" s="112">
        <v>7135</v>
      </c>
      <c r="Y19" s="112">
        <v>4274</v>
      </c>
      <c r="Z19" s="112">
        <v>2861</v>
      </c>
      <c r="AA19" s="75">
        <v>23.37771548703574</v>
      </c>
      <c r="AB19" s="75">
        <v>29.964961457603362</v>
      </c>
      <c r="AC19" s="75">
        <v>27.498248072880166</v>
      </c>
      <c r="AD19" s="75">
        <v>19.159074982480728</v>
      </c>
      <c r="AE19" s="111">
        <f>'2019_LSN_Ergänzung'!O97</f>
        <v>6297</v>
      </c>
      <c r="AF19" s="111">
        <f>'2019_LSN_Ergänzung'!P97</f>
        <v>3748</v>
      </c>
      <c r="AG19" s="111">
        <f>'2019_LSN_Ergänzung'!Q97</f>
        <v>2549</v>
      </c>
      <c r="AH19" s="79">
        <f>'2019_LSN_Ergänzung'!R97</f>
        <v>27.584564078132445</v>
      </c>
      <c r="AI19" s="79">
        <f>'2019_LSN_Ergänzung'!S97</f>
        <v>18.040336668254724</v>
      </c>
      <c r="AJ19" s="79">
        <f>'2019_LSN_Ergänzung'!T97</f>
        <v>14.419564872161347</v>
      </c>
      <c r="AK19" s="79">
        <f>'2019_LSN_Ergänzung'!U97</f>
        <v>12.10100047641734</v>
      </c>
      <c r="AL19" s="111">
        <f>'2019_LSN_Ergänzung'!O98</f>
        <v>5660</v>
      </c>
      <c r="AM19" s="111">
        <f>'2019_LSN_Ergänzung'!P98</f>
        <v>3317</v>
      </c>
      <c r="AN19" s="111">
        <f>'2019_LSN_Ergänzung'!Q98</f>
        <v>2343</v>
      </c>
      <c r="AO19" s="79">
        <f>'2019_LSN_Ergänzung'!R98</f>
        <v>28.533568904593636</v>
      </c>
      <c r="AP19" s="79">
        <f>'2019_LSN_Ergänzung'!S98</f>
        <v>29.522968197879855</v>
      </c>
      <c r="AQ19" s="79">
        <f>'2019_LSN_Ergänzung'!T98</f>
        <v>22.402826855123674</v>
      </c>
      <c r="AR19" s="79">
        <f>'2019_LSN_Ergänzung'!U98</f>
        <v>19.540636042402827</v>
      </c>
      <c r="AS19" s="111">
        <f>'2019_LSN_Ergänzung'!O99</f>
        <v>5218</v>
      </c>
      <c r="AT19" s="111">
        <f>'2019_LSN_Ergänzung'!P99</f>
        <v>3075</v>
      </c>
      <c r="AU19" s="111">
        <f>'2019_LSN_Ergänzung'!Q99</f>
        <v>2143</v>
      </c>
      <c r="AV19" s="79">
        <f>'2019_LSN_Ergänzung'!R99</f>
        <v>27.098505174396319</v>
      </c>
      <c r="AW19" s="79">
        <f>'2019_LSN_Ergänzung'!S99</f>
        <v>29.781525488692985</v>
      </c>
      <c r="AX19" s="79">
        <f>'2019_LSN_Ergänzung'!T99</f>
        <v>22.575699501724799</v>
      </c>
      <c r="AY19" s="79">
        <f>'2019_LSN_Ergänzung'!U99</f>
        <v>20.544269835185894</v>
      </c>
      <c r="AZ19" s="111">
        <f>'2019_LSN_Ergänzung'!O101</f>
        <v>4656</v>
      </c>
      <c r="BA19" s="111">
        <f>'2019_LSN_Ergänzung'!P101</f>
        <v>2780</v>
      </c>
      <c r="BB19" s="111">
        <f>'2019_LSN_Ergänzung'!Q101</f>
        <v>1876</v>
      </c>
      <c r="BC19" s="79">
        <f>'2019_LSN_Ergänzung'!R101</f>
        <v>20.36082474226804</v>
      </c>
      <c r="BD19" s="79">
        <f>'2019_LSN_Ergänzung'!S101</f>
        <v>26.396048109965637</v>
      </c>
      <c r="BE19" s="79">
        <f>'2019_LSN_Ergänzung'!T101</f>
        <v>10.352233676975946</v>
      </c>
      <c r="BF19" s="79">
        <f>'2019_LSN_Ergänzung'!U101</f>
        <v>36.404639175257728</v>
      </c>
      <c r="BG19" s="191">
        <f>'2019_LSN_Ergänzung'!C214</f>
        <v>4434</v>
      </c>
      <c r="BH19" s="191">
        <f>'2019_LSN_Ergänzung'!D214</f>
        <v>2611</v>
      </c>
      <c r="BI19" s="191">
        <f>'2019_LSN_Ergänzung'!E214</f>
        <v>1823</v>
      </c>
      <c r="BJ19" s="79">
        <f>'2019_LSN_Ergänzung'!F214</f>
        <v>20.365358592692829</v>
      </c>
      <c r="BK19" s="79">
        <f>'2019_LSN_Ergänzung'!G214</f>
        <v>27.06359945872801</v>
      </c>
      <c r="BL19" s="79">
        <f>'2019_LSN_Ergänzung'!H214</f>
        <v>25.146594497068108</v>
      </c>
      <c r="BM19" s="79">
        <f>'2019_LSN_Ergänzung'!I214</f>
        <v>27.424447451511057</v>
      </c>
      <c r="BN19" s="62"/>
    </row>
    <row r="20" spans="1:66" s="54" customFormat="1" ht="16.5" customHeight="1">
      <c r="A20" s="108">
        <v>1</v>
      </c>
      <c r="B20" s="84" t="s">
        <v>154</v>
      </c>
      <c r="C20" s="111">
        <f>VLOOKUP((A20),'2019_C4_Rohdaten_BA'!$A$10:$O$59,5,FALSE)</f>
        <v>51596</v>
      </c>
      <c r="D20" s="111">
        <f>VLOOKUP((A20),'2019_C4_Rohdaten_BA'!$A$10:$O$59,6,FALSE)</f>
        <v>34403</v>
      </c>
      <c r="E20" s="111">
        <f>VLOOKUP((A20),'2019_C4_Rohdaten_BA'!$A$10:$O$59,7,FALSE)</f>
        <v>17193</v>
      </c>
      <c r="F20" s="69">
        <f>VLOOKUP((A20),'2019_C4_Rohdaten_BA'!$A$10:$O$59,12,FALSE)</f>
        <v>19.635243042096288</v>
      </c>
      <c r="G20" s="69">
        <f>VLOOKUP((A20),'2019_C4_Rohdaten_BA'!$A$10:$O$59,13,FALSE)</f>
        <v>32.159469726335374</v>
      </c>
      <c r="H20" s="69">
        <f>VLOOKUP((A20),'2019_C4_Rohdaten_BA'!$A$10:$O$59,14,FALSE)</f>
        <v>22.470734165439183</v>
      </c>
      <c r="I20" s="69">
        <f>VLOOKUP((A20),'2019_C4_Rohdaten_BA'!$A$10:$O$59,15,FALSE)</f>
        <v>25.734553066129159</v>
      </c>
      <c r="J20" s="113">
        <v>592988</v>
      </c>
      <c r="K20" s="113">
        <v>324752</v>
      </c>
      <c r="L20" s="113">
        <v>268236</v>
      </c>
      <c r="M20" s="85">
        <v>19.164577401946204</v>
      </c>
      <c r="N20" s="85">
        <v>33.208685675434495</v>
      </c>
      <c r="O20" s="85">
        <v>21.828921089533846</v>
      </c>
      <c r="P20" s="85">
        <v>25.797815833085451</v>
      </c>
      <c r="Q20" s="113">
        <v>41924</v>
      </c>
      <c r="R20" s="113">
        <v>27781</v>
      </c>
      <c r="S20" s="113">
        <v>14143</v>
      </c>
      <c r="T20" s="85">
        <v>20.804312565594884</v>
      </c>
      <c r="U20" s="85">
        <v>33.863658047896195</v>
      </c>
      <c r="V20" s="85">
        <v>19.103616067169163</v>
      </c>
      <c r="W20" s="85">
        <v>26.228413319339754</v>
      </c>
      <c r="X20" s="113">
        <v>37992</v>
      </c>
      <c r="Y20" s="113">
        <v>25064</v>
      </c>
      <c r="Z20" s="113">
        <v>12928</v>
      </c>
      <c r="AA20" s="85">
        <v>19.912086755106337</v>
      </c>
      <c r="AB20" s="85">
        <v>34.415140029479893</v>
      </c>
      <c r="AC20" s="85">
        <v>19.075068435460096</v>
      </c>
      <c r="AD20" s="85">
        <v>26.597704779953673</v>
      </c>
      <c r="AE20" s="86">
        <v>34645</v>
      </c>
      <c r="AF20" s="86">
        <v>22784</v>
      </c>
      <c r="AG20" s="86">
        <v>11861</v>
      </c>
      <c r="AH20" s="87">
        <v>19.255303795641499</v>
      </c>
      <c r="AI20" s="87">
        <v>34.15500072160485</v>
      </c>
      <c r="AJ20" s="87">
        <v>19.445807475826239</v>
      </c>
      <c r="AK20" s="105">
        <v>27.143888006927408</v>
      </c>
      <c r="AL20" s="86">
        <v>31675</v>
      </c>
      <c r="AM20" s="86">
        <v>20955</v>
      </c>
      <c r="AN20" s="86">
        <v>10720</v>
      </c>
      <c r="AO20" s="87">
        <v>19.005524861878452</v>
      </c>
      <c r="AP20" s="87">
        <v>33.764798737174431</v>
      </c>
      <c r="AQ20" s="87">
        <v>18.771902131018152</v>
      </c>
      <c r="AR20" s="87">
        <v>28.457774269928965</v>
      </c>
      <c r="AS20" s="86">
        <v>29844</v>
      </c>
      <c r="AT20" s="86">
        <v>19733</v>
      </c>
      <c r="AU20" s="86">
        <v>10111</v>
      </c>
      <c r="AV20" s="87">
        <v>16.743734083902961</v>
      </c>
      <c r="AW20" s="87">
        <v>30.907385069025601</v>
      </c>
      <c r="AX20" s="87">
        <v>16.968234821069561</v>
      </c>
      <c r="AY20" s="87">
        <v>35.380646026001884</v>
      </c>
      <c r="AZ20" s="86">
        <v>25113</v>
      </c>
      <c r="BA20" s="86">
        <v>16687</v>
      </c>
      <c r="BB20" s="86">
        <v>8426</v>
      </c>
      <c r="BC20" s="88">
        <v>13.725958666825946</v>
      </c>
      <c r="BD20" s="88">
        <v>33.030701230438417</v>
      </c>
      <c r="BE20" s="88">
        <v>21.932863457173575</v>
      </c>
      <c r="BF20" s="88">
        <v>31.310476645562069</v>
      </c>
      <c r="BG20" s="86">
        <v>23119</v>
      </c>
      <c r="BH20" s="86">
        <v>15462</v>
      </c>
      <c r="BI20" s="86">
        <v>7657</v>
      </c>
      <c r="BJ20" s="88">
        <v>13.491067952766123</v>
      </c>
      <c r="BK20" s="88">
        <v>34.789567022795104</v>
      </c>
      <c r="BL20" s="88">
        <v>22.924866992516975</v>
      </c>
      <c r="BM20" s="89">
        <v>28.794498031921805</v>
      </c>
      <c r="BN20" s="106"/>
    </row>
    <row r="21" spans="1:66" ht="8.25" customHeight="1">
      <c r="A21" s="107">
        <v>241</v>
      </c>
      <c r="B21" s="74" t="s">
        <v>137</v>
      </c>
      <c r="C21" s="111">
        <f>VLOOKUP((A21),'2019_C4_Rohdaten_BA'!$A$10:$O$59,5,FALSE)</f>
        <v>60737</v>
      </c>
      <c r="D21" s="111">
        <f>VLOOKUP((A21),'2019_C4_Rohdaten_BA'!$A$10:$O$59,6,FALSE)</f>
        <v>38040</v>
      </c>
      <c r="E21" s="111">
        <f>VLOOKUP((A21),'2019_C4_Rohdaten_BA'!$A$10:$O$59,7,FALSE)</f>
        <v>22697</v>
      </c>
      <c r="F21" s="69">
        <f>VLOOKUP((A21),'2019_C4_Rohdaten_BA'!$A$10:$O$59,12,FALSE)</f>
        <v>13.260450796055123</v>
      </c>
      <c r="G21" s="69">
        <f>VLOOKUP((A21),'2019_C4_Rohdaten_BA'!$A$10:$O$59,13,FALSE)</f>
        <v>32.5057213889392</v>
      </c>
      <c r="H21" s="69">
        <f>VLOOKUP((A21),'2019_C4_Rohdaten_BA'!$A$10:$O$59,14,FALSE)</f>
        <v>27.582857236939592</v>
      </c>
      <c r="I21" s="69">
        <f>VLOOKUP((A21),'2019_C4_Rohdaten_BA'!$A$10:$O$59,15,FALSE)</f>
        <v>26.650970578066087</v>
      </c>
      <c r="J21" s="112">
        <v>453174</v>
      </c>
      <c r="K21" s="112">
        <v>237484</v>
      </c>
      <c r="L21" s="112">
        <v>215690</v>
      </c>
      <c r="M21" s="75">
        <v>12.773112234004696</v>
      </c>
      <c r="N21" s="75">
        <v>32.485232367803</v>
      </c>
      <c r="O21" s="75">
        <v>26.638673404028186</v>
      </c>
      <c r="P21" s="75">
        <v>28.102981994164118</v>
      </c>
      <c r="Q21" s="112">
        <v>51403</v>
      </c>
      <c r="R21" s="112">
        <v>31628</v>
      </c>
      <c r="S21" s="112">
        <v>19775</v>
      </c>
      <c r="T21" s="75">
        <v>25.51991128922436</v>
      </c>
      <c r="U21" s="75">
        <v>33.013637336342242</v>
      </c>
      <c r="V21" s="75">
        <v>12.528451646791044</v>
      </c>
      <c r="W21" s="75">
        <v>28.937999727642357</v>
      </c>
      <c r="X21" s="112">
        <v>47129</v>
      </c>
      <c r="Y21" s="112">
        <v>28379</v>
      </c>
      <c r="Z21" s="112">
        <v>18750</v>
      </c>
      <c r="AA21" s="75">
        <v>25.226505972967811</v>
      </c>
      <c r="AB21" s="75">
        <v>33.274629209191794</v>
      </c>
      <c r="AC21" s="75">
        <v>12.376668293407455</v>
      </c>
      <c r="AD21" s="75">
        <v>29.12219652443294</v>
      </c>
      <c r="AE21" s="57">
        <v>42697</v>
      </c>
      <c r="AF21" s="57">
        <v>25611</v>
      </c>
      <c r="AG21" s="57">
        <v>17086</v>
      </c>
      <c r="AH21" s="29">
        <v>11.768976743096704</v>
      </c>
      <c r="AI21" s="29">
        <v>33.599550319694593</v>
      </c>
      <c r="AJ21" s="29">
        <v>24.683233014029089</v>
      </c>
      <c r="AK21" s="77">
        <v>29.948239923179617</v>
      </c>
      <c r="AL21" s="57">
        <v>38784</v>
      </c>
      <c r="AM21" s="57">
        <v>23178</v>
      </c>
      <c r="AN21" s="57">
        <v>15606</v>
      </c>
      <c r="AO21" s="29">
        <v>11.636241749174918</v>
      </c>
      <c r="AP21" s="29">
        <v>33.369430693069305</v>
      </c>
      <c r="AQ21" s="29">
        <v>24.100144389438942</v>
      </c>
      <c r="AR21" s="29">
        <v>30.89418316831684</v>
      </c>
      <c r="AS21" s="57">
        <v>36262</v>
      </c>
      <c r="AT21" s="57">
        <v>21449</v>
      </c>
      <c r="AU21" s="57">
        <v>14813</v>
      </c>
      <c r="AV21" s="29">
        <v>9.6961006011802997</v>
      </c>
      <c r="AW21" s="29">
        <v>29.253764271137829</v>
      </c>
      <c r="AX21" s="29">
        <v>21.071645248469473</v>
      </c>
      <c r="AY21" s="29">
        <v>39.978489879212397</v>
      </c>
      <c r="AZ21" s="57">
        <v>31033</v>
      </c>
      <c r="BA21" s="57">
        <v>18295</v>
      </c>
      <c r="BB21" s="57">
        <v>12738</v>
      </c>
      <c r="BC21" s="83">
        <v>8.139722231173268</v>
      </c>
      <c r="BD21" s="83">
        <v>28.949827602874361</v>
      </c>
      <c r="BE21" s="83">
        <v>22.356845938194823</v>
      </c>
      <c r="BF21" s="83">
        <v>40.553604227757546</v>
      </c>
      <c r="BG21" s="57">
        <v>29580</v>
      </c>
      <c r="BH21" s="57">
        <v>17491</v>
      </c>
      <c r="BI21" s="57">
        <v>12089</v>
      </c>
      <c r="BJ21" s="83">
        <v>7.873563218390804</v>
      </c>
      <c r="BK21" s="83">
        <v>29.486139283299529</v>
      </c>
      <c r="BL21" s="83">
        <v>22.809330628803245</v>
      </c>
      <c r="BM21" s="78">
        <v>39.830966869506412</v>
      </c>
      <c r="BN21" s="62"/>
    </row>
    <row r="22" spans="1:66" ht="8.25" customHeight="1">
      <c r="A22" s="107">
        <v>241001</v>
      </c>
      <c r="B22" s="74" t="s">
        <v>218</v>
      </c>
      <c r="C22" s="111">
        <f>'2019_LSN_Ergänzung'!N31</f>
        <v>38360</v>
      </c>
      <c r="D22" s="111">
        <f>'2019_LSN_Ergänzung'!O31</f>
        <v>23217</v>
      </c>
      <c r="E22" s="111">
        <f>'2019_LSN_Ergänzung'!P31</f>
        <v>15143</v>
      </c>
      <c r="F22" s="69">
        <f>'2019_LSN_Ergänzung'!Q31</f>
        <v>16.441605839416059</v>
      </c>
      <c r="G22" s="69">
        <f>'2019_LSN_Ergänzung'!R31</f>
        <v>31.850886339937436</v>
      </c>
      <c r="H22" s="69">
        <f>'2019_LSN_Ergänzung'!S31</f>
        <v>26.736183524504693</v>
      </c>
      <c r="I22" s="69">
        <f>'2019_LSN_Ergänzung'!T31</f>
        <v>24.971324296141812</v>
      </c>
      <c r="J22" s="112">
        <v>288598</v>
      </c>
      <c r="K22" s="112">
        <v>150232</v>
      </c>
      <c r="L22" s="112">
        <v>138366</v>
      </c>
      <c r="M22" s="75">
        <v>15.644649713427189</v>
      </c>
      <c r="N22" s="75">
        <v>32.073896833787771</v>
      </c>
      <c r="O22" s="75">
        <v>25.699738467531024</v>
      </c>
      <c r="P22" s="75">
        <v>26.581714985254017</v>
      </c>
      <c r="Q22" s="112">
        <v>33601</v>
      </c>
      <c r="R22" s="112">
        <v>20038</v>
      </c>
      <c r="S22" s="112">
        <v>13563</v>
      </c>
      <c r="T22" s="75">
        <v>24.886164102258864</v>
      </c>
      <c r="U22" s="75">
        <v>32.046665277819116</v>
      </c>
      <c r="V22" s="75">
        <v>15.213832921639236</v>
      </c>
      <c r="W22" s="75">
        <v>27.853337698282786</v>
      </c>
      <c r="X22" s="112">
        <v>31290</v>
      </c>
      <c r="Y22" s="112">
        <v>18178</v>
      </c>
      <c r="Z22" s="112">
        <v>13112</v>
      </c>
      <c r="AA22" s="75">
        <v>24.749121124960052</v>
      </c>
      <c r="AB22" s="75">
        <v>32.336209651645895</v>
      </c>
      <c r="AC22" s="75">
        <v>14.988814317673377</v>
      </c>
      <c r="AD22" s="75">
        <v>27.925854905720676</v>
      </c>
      <c r="AE22" s="57">
        <v>28583</v>
      </c>
      <c r="AF22" s="57">
        <v>16567</v>
      </c>
      <c r="AG22" s="57">
        <v>12016</v>
      </c>
      <c r="AH22" s="29">
        <v>14.298709022845749</v>
      </c>
      <c r="AI22" s="29">
        <v>32.613791414477141</v>
      </c>
      <c r="AJ22" s="29">
        <v>24.248679284889622</v>
      </c>
      <c r="AK22" s="77">
        <v>28.838820277787491</v>
      </c>
      <c r="AL22" s="57">
        <v>25406</v>
      </c>
      <c r="AM22" s="57">
        <v>14610</v>
      </c>
      <c r="AN22" s="57">
        <v>10796</v>
      </c>
      <c r="AO22" s="29">
        <v>14.532000314886249</v>
      </c>
      <c r="AP22" s="29">
        <v>33.043375580571521</v>
      </c>
      <c r="AQ22" s="29">
        <v>23.60072423836889</v>
      </c>
      <c r="AR22" s="29">
        <v>28.823899866173349</v>
      </c>
      <c r="AS22" s="57">
        <v>23903</v>
      </c>
      <c r="AT22" s="57">
        <v>13643</v>
      </c>
      <c r="AU22" s="57">
        <v>10260</v>
      </c>
      <c r="AV22" s="29">
        <v>12.282977032171694</v>
      </c>
      <c r="AW22" s="29">
        <v>29.017278165920597</v>
      </c>
      <c r="AX22" s="29">
        <v>21.147973057775175</v>
      </c>
      <c r="AY22" s="29">
        <v>37.55177174413253</v>
      </c>
      <c r="AZ22" s="57">
        <v>20895</v>
      </c>
      <c r="BA22" s="57">
        <v>11991</v>
      </c>
      <c r="BB22" s="57">
        <v>8904</v>
      </c>
      <c r="BC22" s="83">
        <v>10.284757118927972</v>
      </c>
      <c r="BD22" s="83">
        <v>30.437903804737974</v>
      </c>
      <c r="BE22" s="83">
        <v>23.129935391241922</v>
      </c>
      <c r="BF22" s="83">
        <v>36.147403685092129</v>
      </c>
      <c r="BG22" s="57">
        <v>20029</v>
      </c>
      <c r="BH22" s="57">
        <v>11533</v>
      </c>
      <c r="BI22" s="57">
        <v>8496</v>
      </c>
      <c r="BJ22" s="83">
        <v>10.000499276049728</v>
      </c>
      <c r="BK22" s="83">
        <v>31.149832742523344</v>
      </c>
      <c r="BL22" s="83">
        <v>23.106495581406961</v>
      </c>
      <c r="BM22" s="78">
        <v>35.743172400019965</v>
      </c>
      <c r="BN22" s="62"/>
    </row>
    <row r="23" spans="1:66" ht="8.25" customHeight="1">
      <c r="A23" s="107">
        <v>241999</v>
      </c>
      <c r="B23" s="74" t="s">
        <v>219</v>
      </c>
      <c r="C23" s="111">
        <f>'2019_LSN_Ergänzung'!N32</f>
        <v>22377</v>
      </c>
      <c r="D23" s="111">
        <f>'2019_LSN_Ergänzung'!O32</f>
        <v>14823</v>
      </c>
      <c r="E23" s="111">
        <f>'2019_LSN_Ergänzung'!P32</f>
        <v>7554</v>
      </c>
      <c r="F23" s="69">
        <f>'2019_LSN_Ergänzung'!Q32</f>
        <v>7.8071233856191622</v>
      </c>
      <c r="G23" s="69">
        <f>'2019_LSN_Ergänzung'!R32</f>
        <v>33.628279036510705</v>
      </c>
      <c r="H23" s="69">
        <f>'2019_LSN_Ergänzung'!S32</f>
        <v>29.034276265808646</v>
      </c>
      <c r="I23" s="69">
        <f>'2019_LSN_Ergänzung'!T32</f>
        <v>29.530321312061492</v>
      </c>
      <c r="J23" s="112">
        <v>164576</v>
      </c>
      <c r="K23" s="112">
        <v>87252</v>
      </c>
      <c r="L23" s="112">
        <v>77324</v>
      </c>
      <c r="M23" s="75">
        <v>7.6793998618102846</v>
      </c>
      <c r="N23" s="75">
        <v>33.214885006415948</v>
      </c>
      <c r="O23" s="75">
        <v>28.304214786299475</v>
      </c>
      <c r="P23" s="75">
        <v>30.801500345474288</v>
      </c>
      <c r="Q23" s="112">
        <v>17802</v>
      </c>
      <c r="R23" s="112">
        <v>11590</v>
      </c>
      <c r="S23" s="112">
        <v>6212</v>
      </c>
      <c r="T23" s="75">
        <v>26.716099314683746</v>
      </c>
      <c r="U23" s="75">
        <v>34.838782159307939</v>
      </c>
      <c r="V23" s="75">
        <v>7.4598359734861255</v>
      </c>
      <c r="W23" s="75">
        <v>30.985282552522186</v>
      </c>
      <c r="X23" s="112">
        <v>15839</v>
      </c>
      <c r="Y23" s="112">
        <v>10201</v>
      </c>
      <c r="Z23" s="112">
        <v>5638</v>
      </c>
      <c r="AA23" s="75">
        <v>26.16958141296799</v>
      </c>
      <c r="AB23" s="75">
        <v>35.128480333354375</v>
      </c>
      <c r="AC23" s="75">
        <v>7.216364669486711</v>
      </c>
      <c r="AD23" s="75">
        <v>31.485573584190924</v>
      </c>
      <c r="AE23" s="57">
        <v>14114</v>
      </c>
      <c r="AF23" s="57">
        <v>9044</v>
      </c>
      <c r="AG23" s="57">
        <v>5070</v>
      </c>
      <c r="AH23" s="29">
        <v>6.6458835199093098</v>
      </c>
      <c r="AI23" s="29">
        <v>35.595862264418308</v>
      </c>
      <c r="AJ23" s="29">
        <v>25.563270511548819</v>
      </c>
      <c r="AK23" s="77">
        <v>32.194983704123558</v>
      </c>
      <c r="AL23" s="57">
        <v>13378</v>
      </c>
      <c r="AM23" s="57">
        <v>8568</v>
      </c>
      <c r="AN23" s="57">
        <v>4810</v>
      </c>
      <c r="AO23" s="29">
        <v>6.1369412468231426</v>
      </c>
      <c r="AP23" s="29">
        <v>33.988638062490658</v>
      </c>
      <c r="AQ23" s="29">
        <v>25.04858723277022</v>
      </c>
      <c r="AR23" s="29">
        <v>34.825833457915984</v>
      </c>
      <c r="AS23" s="57">
        <v>12359</v>
      </c>
      <c r="AT23" s="57">
        <v>7806</v>
      </c>
      <c r="AU23" s="57">
        <v>4553</v>
      </c>
      <c r="AV23" s="29">
        <v>4.692936321708876</v>
      </c>
      <c r="AW23" s="29">
        <v>29.711141678129298</v>
      </c>
      <c r="AX23" s="29">
        <v>20.924022979205436</v>
      </c>
      <c r="AY23" s="29">
        <v>44.671899020956396</v>
      </c>
      <c r="AZ23" s="57"/>
      <c r="BA23" s="57"/>
      <c r="BB23" s="57"/>
      <c r="BC23" s="83">
        <v>3.7186821858354699</v>
      </c>
      <c r="BD23" s="83">
        <v>25.882817123693037</v>
      </c>
      <c r="BE23" s="83">
        <v>20.763464194121127</v>
      </c>
      <c r="BF23" s="83">
        <v>49.635036496350367</v>
      </c>
      <c r="BG23" s="57">
        <v>9551</v>
      </c>
      <c r="BH23" s="57">
        <v>5958</v>
      </c>
      <c r="BI23" s="57">
        <v>3593</v>
      </c>
      <c r="BJ23" s="83">
        <v>3.4132551565281126</v>
      </c>
      <c r="BK23" s="83">
        <v>25.997277771961052</v>
      </c>
      <c r="BL23" s="83">
        <v>22.18615851743273</v>
      </c>
      <c r="BM23" s="78">
        <v>48.403308554078109</v>
      </c>
      <c r="BN23" s="62"/>
    </row>
    <row r="24" spans="1:66" ht="8.25" customHeight="1">
      <c r="A24" s="107">
        <v>251</v>
      </c>
      <c r="B24" s="74" t="s">
        <v>101</v>
      </c>
      <c r="C24" s="111">
        <f>VLOOKUP((A24),'2019_C4_Rohdaten_BA'!$A$10:$O$59,5,FALSE)</f>
        <v>6222</v>
      </c>
      <c r="D24" s="111">
        <f>VLOOKUP((A24),'2019_C4_Rohdaten_BA'!$A$10:$O$59,6,FALSE)</f>
        <v>4331</v>
      </c>
      <c r="E24" s="111">
        <f>VLOOKUP((A24),'2019_C4_Rohdaten_BA'!$A$10:$O$59,7,FALSE)</f>
        <v>1891</v>
      </c>
      <c r="F24" s="69">
        <f>VLOOKUP((A24),'2019_C4_Rohdaten_BA'!$A$10:$O$59,12,FALSE)</f>
        <v>7.0395371263259401</v>
      </c>
      <c r="G24" s="69">
        <f>VLOOKUP((A24),'2019_C4_Rohdaten_BA'!$A$10:$O$59,13,FALSE)</f>
        <v>31.870781099324976</v>
      </c>
      <c r="H24" s="69">
        <f>VLOOKUP((A24),'2019_C4_Rohdaten_BA'!$A$10:$O$59,14,FALSE)</f>
        <v>25.281260045001606</v>
      </c>
      <c r="I24" s="69">
        <f>VLOOKUP((A24),'2019_C4_Rohdaten_BA'!$A$10:$O$59,15,FALSE)</f>
        <v>35.808421729347479</v>
      </c>
      <c r="J24" s="112">
        <v>64741</v>
      </c>
      <c r="K24" s="112">
        <v>34323</v>
      </c>
      <c r="L24" s="112">
        <v>30418</v>
      </c>
      <c r="M24" s="75">
        <v>6.785967399007796</v>
      </c>
      <c r="N24" s="75">
        <v>32.246633593196314</v>
      </c>
      <c r="O24" s="75">
        <v>23.493975903614459</v>
      </c>
      <c r="P24" s="75">
        <v>37.473423104181428</v>
      </c>
      <c r="Q24" s="112">
        <v>4811</v>
      </c>
      <c r="R24" s="112">
        <v>3330</v>
      </c>
      <c r="S24" s="112">
        <v>1481</v>
      </c>
      <c r="T24" s="75">
        <v>21.575556017459988</v>
      </c>
      <c r="U24" s="75">
        <v>33.257119102057786</v>
      </c>
      <c r="V24" s="75">
        <v>7.690708792350863</v>
      </c>
      <c r="W24" s="75">
        <v>37.476616088131365</v>
      </c>
      <c r="X24" s="112">
        <v>4067</v>
      </c>
      <c r="Y24" s="112">
        <v>2806</v>
      </c>
      <c r="Z24" s="112">
        <v>1261</v>
      </c>
      <c r="AA24" s="75">
        <v>20.088517334644703</v>
      </c>
      <c r="AB24" s="75">
        <v>32.579296778952546</v>
      </c>
      <c r="AC24" s="75">
        <v>7.9419719695106954</v>
      </c>
      <c r="AD24" s="75">
        <v>39.390213916892058</v>
      </c>
      <c r="AE24" s="57">
        <v>3781</v>
      </c>
      <c r="AF24" s="57">
        <v>2662</v>
      </c>
      <c r="AG24" s="57">
        <v>1119</v>
      </c>
      <c r="AH24" s="29">
        <v>7.8550647976725729</v>
      </c>
      <c r="AI24" s="29">
        <v>32.002115842369747</v>
      </c>
      <c r="AJ24" s="29">
        <v>23.618090452261306</v>
      </c>
      <c r="AK24" s="77">
        <v>36.524728907696378</v>
      </c>
      <c r="AL24" s="57">
        <v>3017</v>
      </c>
      <c r="AM24" s="57">
        <v>2084</v>
      </c>
      <c r="AN24" s="57">
        <v>933</v>
      </c>
      <c r="AO24" s="29">
        <v>8.3526682134570756</v>
      </c>
      <c r="AP24" s="29">
        <v>31.554524361948953</v>
      </c>
      <c r="AQ24" s="29">
        <v>20.914816042426253</v>
      </c>
      <c r="AR24" s="29">
        <v>39.177991382167718</v>
      </c>
      <c r="AS24" s="57">
        <v>2539</v>
      </c>
      <c r="AT24" s="57">
        <v>1679</v>
      </c>
      <c r="AU24" s="57">
        <v>860</v>
      </c>
      <c r="AV24" s="29">
        <v>8.1922016541945641</v>
      </c>
      <c r="AW24" s="29">
        <v>27.097282394643564</v>
      </c>
      <c r="AX24" s="29">
        <v>18.314296967309964</v>
      </c>
      <c r="AY24" s="29">
        <v>46.396218983851917</v>
      </c>
      <c r="AZ24" s="57">
        <v>2033</v>
      </c>
      <c r="BA24" s="57">
        <v>1364</v>
      </c>
      <c r="BB24" s="57">
        <v>669</v>
      </c>
      <c r="BC24" s="83">
        <v>7.0831283817019184</v>
      </c>
      <c r="BD24" s="83">
        <v>23.167732415150024</v>
      </c>
      <c r="BE24" s="83">
        <v>19.183472700442692</v>
      </c>
      <c r="BF24" s="83">
        <v>50.565666502705362</v>
      </c>
      <c r="BG24" s="57">
        <v>1832</v>
      </c>
      <c r="BH24" s="57">
        <v>1217</v>
      </c>
      <c r="BI24" s="57">
        <v>615</v>
      </c>
      <c r="BJ24" s="83">
        <v>6.3864628820960698</v>
      </c>
      <c r="BK24" s="83">
        <v>22.816593886462883</v>
      </c>
      <c r="BL24" s="83">
        <v>19.432314410480352</v>
      </c>
      <c r="BM24" s="78">
        <v>51.364628820960689</v>
      </c>
      <c r="BN24" s="62"/>
    </row>
    <row r="25" spans="1:66" ht="8.25" customHeight="1">
      <c r="A25" s="107">
        <v>252</v>
      </c>
      <c r="B25" s="74" t="s">
        <v>102</v>
      </c>
      <c r="C25" s="111">
        <f>VLOOKUP((A25),'2019_C4_Rohdaten_BA'!$A$10:$O$59,5,FALSE)</f>
        <v>4052</v>
      </c>
      <c r="D25" s="111">
        <f>VLOOKUP((A25),'2019_C4_Rohdaten_BA'!$A$10:$O$59,6,FALSE)</f>
        <v>2542</v>
      </c>
      <c r="E25" s="111">
        <f>VLOOKUP((A25),'2019_C4_Rohdaten_BA'!$A$10:$O$59,7,FALSE)</f>
        <v>1510</v>
      </c>
      <c r="F25" s="69">
        <f>VLOOKUP((A25),'2019_C4_Rohdaten_BA'!$A$10:$O$59,12,FALSE)</f>
        <v>10.784797630799606</v>
      </c>
      <c r="G25" s="69">
        <f>VLOOKUP((A25),'2019_C4_Rohdaten_BA'!$A$10:$O$59,13,FALSE)</f>
        <v>36.994076999012833</v>
      </c>
      <c r="H25" s="69">
        <f>VLOOKUP((A25),'2019_C4_Rohdaten_BA'!$A$10:$O$59,14,FALSE)</f>
        <v>27.665350444225073</v>
      </c>
      <c r="I25" s="69">
        <f>VLOOKUP((A25),'2019_C4_Rohdaten_BA'!$A$10:$O$59,15,FALSE)</f>
        <v>24.555774925962488</v>
      </c>
      <c r="J25" s="112">
        <v>48329</v>
      </c>
      <c r="K25" s="112">
        <v>23638</v>
      </c>
      <c r="L25" s="112">
        <v>24691</v>
      </c>
      <c r="M25" s="75">
        <v>10.60358890701468</v>
      </c>
      <c r="N25" s="75">
        <v>37.629146275149537</v>
      </c>
      <c r="O25" s="75">
        <v>26.318651441000547</v>
      </c>
      <c r="P25" s="75">
        <v>25.44861337683524</v>
      </c>
      <c r="Q25" s="112">
        <v>3270</v>
      </c>
      <c r="R25" s="112">
        <v>1959</v>
      </c>
      <c r="S25" s="112">
        <v>1311</v>
      </c>
      <c r="T25" s="75">
        <v>23.394495412844037</v>
      </c>
      <c r="U25" s="75">
        <v>37.767584097859327</v>
      </c>
      <c r="V25" s="75">
        <v>10.733944954128441</v>
      </c>
      <c r="W25" s="75">
        <v>28.103975535168196</v>
      </c>
      <c r="X25" s="112">
        <v>3023</v>
      </c>
      <c r="Y25" s="112">
        <v>1793</v>
      </c>
      <c r="Z25" s="112">
        <v>1230</v>
      </c>
      <c r="AA25" s="75">
        <v>22.758848825669865</v>
      </c>
      <c r="AB25" s="75">
        <v>39.034072113794245</v>
      </c>
      <c r="AC25" s="75">
        <v>11.147866357922593</v>
      </c>
      <c r="AD25" s="75">
        <v>27.059212702613301</v>
      </c>
      <c r="AE25" s="57">
        <v>2786</v>
      </c>
      <c r="AF25" s="57">
        <v>1655</v>
      </c>
      <c r="AG25" s="57">
        <v>1131</v>
      </c>
      <c r="AH25" s="29">
        <v>10.804020100502512</v>
      </c>
      <c r="AI25" s="29">
        <v>38.944723618090457</v>
      </c>
      <c r="AJ25" s="29">
        <v>22.469490308686289</v>
      </c>
      <c r="AK25" s="77">
        <v>27.781765972720741</v>
      </c>
      <c r="AL25" s="57">
        <v>2495</v>
      </c>
      <c r="AM25" s="57">
        <v>1452</v>
      </c>
      <c r="AN25" s="57">
        <v>1043</v>
      </c>
      <c r="AO25" s="29">
        <v>10.661322645290582</v>
      </c>
      <c r="AP25" s="29">
        <v>39.599198396793589</v>
      </c>
      <c r="AQ25" s="29">
        <v>20.881763527054108</v>
      </c>
      <c r="AR25" s="29">
        <v>28.857715430861724</v>
      </c>
      <c r="AS25" s="57">
        <v>2420</v>
      </c>
      <c r="AT25" s="57">
        <v>1381</v>
      </c>
      <c r="AU25" s="57">
        <v>1039</v>
      </c>
      <c r="AV25" s="29">
        <v>8.0165289256198342</v>
      </c>
      <c r="AW25" s="29">
        <v>35.495867768595041</v>
      </c>
      <c r="AX25" s="29">
        <v>20.702479338842974</v>
      </c>
      <c r="AY25" s="29">
        <v>35.785123966942152</v>
      </c>
      <c r="AZ25" s="57">
        <v>2195</v>
      </c>
      <c r="BA25" s="57">
        <v>1247</v>
      </c>
      <c r="BB25" s="57">
        <v>948</v>
      </c>
      <c r="BC25" s="83">
        <v>5.9225512528473807</v>
      </c>
      <c r="BD25" s="83">
        <v>31.75398633257403</v>
      </c>
      <c r="BE25" s="83">
        <v>30.113895216400909</v>
      </c>
      <c r="BF25" s="83">
        <v>32.20956719817768</v>
      </c>
      <c r="BG25" s="57">
        <v>2106</v>
      </c>
      <c r="BH25" s="57">
        <v>1190</v>
      </c>
      <c r="BI25" s="57">
        <v>916</v>
      </c>
      <c r="BJ25" s="83">
        <v>5.3181386514719851</v>
      </c>
      <c r="BK25" s="83">
        <v>31.861348528015192</v>
      </c>
      <c r="BL25" s="83">
        <v>31.481481481481481</v>
      </c>
      <c r="BM25" s="78">
        <v>31.339031339031344</v>
      </c>
      <c r="BN25" s="62"/>
    </row>
    <row r="26" spans="1:66" ht="8.25" customHeight="1">
      <c r="A26" s="107">
        <v>254</v>
      </c>
      <c r="B26" s="74" t="s">
        <v>103</v>
      </c>
      <c r="C26" s="111">
        <f>VLOOKUP((A26),'2019_C4_Rohdaten_BA'!$A$10:$O$59,5,FALSE)</f>
        <v>6219</v>
      </c>
      <c r="D26" s="111">
        <f>VLOOKUP((A26),'2019_C4_Rohdaten_BA'!$A$10:$O$59,6,FALSE)</f>
        <v>4059</v>
      </c>
      <c r="E26" s="111">
        <f>VLOOKUP((A26),'2019_C4_Rohdaten_BA'!$A$10:$O$59,7,FALSE)</f>
        <v>2160</v>
      </c>
      <c r="F26" s="69">
        <f>VLOOKUP((A26),'2019_C4_Rohdaten_BA'!$A$10:$O$59,12,FALSE)</f>
        <v>16.739025566811385</v>
      </c>
      <c r="G26" s="69">
        <f>VLOOKUP((A26),'2019_C4_Rohdaten_BA'!$A$10:$O$59,13,FALSE)</f>
        <v>34.651873291525966</v>
      </c>
      <c r="H26" s="69">
        <f>VLOOKUP((A26),'2019_C4_Rohdaten_BA'!$A$10:$O$59,14,FALSE)</f>
        <v>25.373854317414374</v>
      </c>
      <c r="I26" s="69">
        <f>VLOOKUP((A26),'2019_C4_Rohdaten_BA'!$A$10:$O$59,15,FALSE)</f>
        <v>23.235246824248271</v>
      </c>
      <c r="J26" s="112">
        <v>86145</v>
      </c>
      <c r="K26" s="112">
        <v>43829</v>
      </c>
      <c r="L26" s="112">
        <v>42316</v>
      </c>
      <c r="M26" s="75">
        <v>15.638575152041703</v>
      </c>
      <c r="N26" s="75">
        <v>35.499565595134662</v>
      </c>
      <c r="O26" s="75">
        <v>24.969591659426584</v>
      </c>
      <c r="P26" s="75">
        <v>23.892267593397047</v>
      </c>
      <c r="Q26" s="112">
        <v>5044</v>
      </c>
      <c r="R26" s="112">
        <v>3238</v>
      </c>
      <c r="S26" s="112">
        <v>1806</v>
      </c>
      <c r="T26" s="75">
        <v>24.187153053132434</v>
      </c>
      <c r="U26" s="75">
        <v>37.390959555908012</v>
      </c>
      <c r="V26" s="75">
        <v>15.027755749405234</v>
      </c>
      <c r="W26" s="75">
        <v>23.394131641554321</v>
      </c>
      <c r="X26" s="112">
        <v>4436</v>
      </c>
      <c r="Y26" s="112">
        <v>2817</v>
      </c>
      <c r="Z26" s="112">
        <v>1619</v>
      </c>
      <c r="AA26" s="75">
        <v>24.301172227231742</v>
      </c>
      <c r="AB26" s="75">
        <v>38.232642019837691</v>
      </c>
      <c r="AC26" s="75">
        <v>14.337240757439135</v>
      </c>
      <c r="AD26" s="75">
        <v>23.128944995491434</v>
      </c>
      <c r="AE26" s="57">
        <v>3866</v>
      </c>
      <c r="AF26" s="57">
        <v>2410</v>
      </c>
      <c r="AG26" s="57">
        <v>1456</v>
      </c>
      <c r="AH26" s="29">
        <v>14.459389549922399</v>
      </c>
      <c r="AI26" s="29">
        <v>38.618727366787375</v>
      </c>
      <c r="AJ26" s="29">
        <v>23.952405587170205</v>
      </c>
      <c r="AK26" s="77">
        <v>22.969477496120021</v>
      </c>
      <c r="AL26" s="57">
        <v>3537</v>
      </c>
      <c r="AM26" s="57">
        <v>2230</v>
      </c>
      <c r="AN26" s="57">
        <v>1307</v>
      </c>
      <c r="AO26" s="29">
        <v>13.79700310998021</v>
      </c>
      <c r="AP26" s="29">
        <v>38.733389878428049</v>
      </c>
      <c r="AQ26" s="29">
        <v>23.664122137404579</v>
      </c>
      <c r="AR26" s="29">
        <v>23.805484874187165</v>
      </c>
      <c r="AS26" s="57">
        <v>3331</v>
      </c>
      <c r="AT26" s="57">
        <v>2102</v>
      </c>
      <c r="AU26" s="57">
        <v>1229</v>
      </c>
      <c r="AV26" s="29">
        <v>11.8282797958571</v>
      </c>
      <c r="AW26" s="29">
        <v>34.614229960972679</v>
      </c>
      <c r="AX26" s="29">
        <v>23.146202341639146</v>
      </c>
      <c r="AY26" s="29">
        <v>30.411287901531082</v>
      </c>
      <c r="AZ26" s="57">
        <v>2922</v>
      </c>
      <c r="BA26" s="57">
        <v>1830</v>
      </c>
      <c r="BB26" s="57">
        <v>1092</v>
      </c>
      <c r="BC26" s="83">
        <v>8.3846680355920604</v>
      </c>
      <c r="BD26" s="83">
        <v>32.477754962354553</v>
      </c>
      <c r="BE26" s="83">
        <v>24.503764544832308</v>
      </c>
      <c r="BF26" s="83">
        <v>34.633812457221083</v>
      </c>
      <c r="BG26" s="57">
        <v>2768</v>
      </c>
      <c r="BH26" s="57">
        <v>1739</v>
      </c>
      <c r="BI26" s="57">
        <v>1029</v>
      </c>
      <c r="BJ26" s="83">
        <v>8.2369942196531785</v>
      </c>
      <c r="BK26" s="83">
        <v>32.080924855491325</v>
      </c>
      <c r="BL26" s="83">
        <v>24.638728323699421</v>
      </c>
      <c r="BM26" s="78">
        <v>35.043352601156073</v>
      </c>
      <c r="BN26" s="62"/>
    </row>
    <row r="27" spans="1:66" ht="8.25" customHeight="1">
      <c r="A27" s="107">
        <v>255</v>
      </c>
      <c r="B27" s="74" t="s">
        <v>104</v>
      </c>
      <c r="C27" s="111">
        <f>VLOOKUP((A27),'2019_C4_Rohdaten_BA'!$A$10:$O$59,5,FALSE)</f>
        <v>1421</v>
      </c>
      <c r="D27" s="111">
        <f>VLOOKUP((A27),'2019_C4_Rohdaten_BA'!$A$10:$O$59,6,FALSE)</f>
        <v>945</v>
      </c>
      <c r="E27" s="111">
        <f>VLOOKUP((A27),'2019_C4_Rohdaten_BA'!$A$10:$O$59,7,FALSE)</f>
        <v>476</v>
      </c>
      <c r="F27" s="69">
        <f>VLOOKUP((A27),'2019_C4_Rohdaten_BA'!$A$10:$O$59,12,FALSE)</f>
        <v>12.737508796622096</v>
      </c>
      <c r="G27" s="69">
        <f>VLOOKUP((A27),'2019_C4_Rohdaten_BA'!$A$10:$O$59,13,FALSE)</f>
        <v>32.582688247712881</v>
      </c>
      <c r="H27" s="69">
        <f>VLOOKUP((A27),'2019_C4_Rohdaten_BA'!$A$10:$O$59,14,FALSE)</f>
        <v>27.867698803659394</v>
      </c>
      <c r="I27" s="69">
        <f>VLOOKUP((A27),'2019_C4_Rohdaten_BA'!$A$10:$O$59,15,FALSE)</f>
        <v>26.812104152005631</v>
      </c>
      <c r="J27" s="112">
        <v>21221</v>
      </c>
      <c r="K27" s="112">
        <v>11638</v>
      </c>
      <c r="L27" s="112">
        <v>9583</v>
      </c>
      <c r="M27" s="75">
        <v>11.190476190476192</v>
      </c>
      <c r="N27" s="75">
        <v>35.079365079365076</v>
      </c>
      <c r="O27" s="75">
        <v>28.571428571428569</v>
      </c>
      <c r="P27" s="75">
        <v>25.158730158730158</v>
      </c>
      <c r="Q27" s="112">
        <v>1088</v>
      </c>
      <c r="R27" s="112">
        <v>720</v>
      </c>
      <c r="S27" s="112">
        <v>368</v>
      </c>
      <c r="T27" s="75">
        <v>27.113970588235293</v>
      </c>
      <c r="U27" s="75">
        <v>35.202205882352942</v>
      </c>
      <c r="V27" s="75">
        <v>11.121323529411764</v>
      </c>
      <c r="W27" s="75">
        <v>26.5625</v>
      </c>
      <c r="X27" s="112">
        <v>980</v>
      </c>
      <c r="Y27" s="112">
        <v>637</v>
      </c>
      <c r="Z27" s="112">
        <v>343</v>
      </c>
      <c r="AA27" s="75">
        <v>28.877551020408166</v>
      </c>
      <c r="AB27" s="75">
        <v>35.816326530612244</v>
      </c>
      <c r="AC27" s="75">
        <v>12.244897959183673</v>
      </c>
      <c r="AD27" s="75">
        <v>23.061224489795919</v>
      </c>
      <c r="AE27" s="57">
        <v>851</v>
      </c>
      <c r="AF27" s="57">
        <v>567</v>
      </c>
      <c r="AG27" s="57">
        <v>284</v>
      </c>
      <c r="AH27" s="29">
        <v>12.220916568742656</v>
      </c>
      <c r="AI27" s="29">
        <v>36.192714453584017</v>
      </c>
      <c r="AJ27" s="29">
        <v>31.374853113983548</v>
      </c>
      <c r="AK27" s="77">
        <v>20.21151586368978</v>
      </c>
      <c r="AL27" s="57">
        <v>819</v>
      </c>
      <c r="AM27" s="57">
        <v>557</v>
      </c>
      <c r="AN27" s="57">
        <v>262</v>
      </c>
      <c r="AO27" s="29">
        <v>9.2796092796092804</v>
      </c>
      <c r="AP27" s="29">
        <v>37.72893772893773</v>
      </c>
      <c r="AQ27" s="29">
        <v>31.135531135531135</v>
      </c>
      <c r="AR27" s="29">
        <v>21.855921855921849</v>
      </c>
      <c r="AS27" s="57">
        <v>745</v>
      </c>
      <c r="AT27" s="57">
        <v>499</v>
      </c>
      <c r="AU27" s="57">
        <v>246</v>
      </c>
      <c r="AV27" s="29">
        <v>9.1275167785234892</v>
      </c>
      <c r="AW27" s="29">
        <v>35.167785234899327</v>
      </c>
      <c r="AX27" s="29">
        <v>31.275167785234899</v>
      </c>
      <c r="AY27" s="29">
        <v>24.429530201342285</v>
      </c>
      <c r="AZ27" s="57">
        <v>677</v>
      </c>
      <c r="BA27" s="57">
        <v>455</v>
      </c>
      <c r="BB27" s="57">
        <v>222</v>
      </c>
      <c r="BC27" s="83">
        <v>6.6469719350073859</v>
      </c>
      <c r="BD27" s="83">
        <v>31.905465288035451</v>
      </c>
      <c r="BE27" s="83">
        <v>36.779911373707534</v>
      </c>
      <c r="BF27" s="83">
        <v>24.667651403249629</v>
      </c>
      <c r="BG27" s="57">
        <v>663</v>
      </c>
      <c r="BH27" s="57">
        <v>447</v>
      </c>
      <c r="BI27" s="57">
        <v>216</v>
      </c>
      <c r="BJ27" s="83">
        <v>6.6365007541478134</v>
      </c>
      <c r="BK27" s="83">
        <v>31.372549019607842</v>
      </c>
      <c r="BL27" s="83">
        <v>37.858220211161388</v>
      </c>
      <c r="BM27" s="78">
        <v>24.132730015082956</v>
      </c>
      <c r="BN27" s="62"/>
    </row>
    <row r="28" spans="1:66" ht="8.25" customHeight="1">
      <c r="A28" s="107">
        <v>256</v>
      </c>
      <c r="B28" s="74" t="s">
        <v>105</v>
      </c>
      <c r="C28" s="111">
        <f>VLOOKUP((A28),'2019_C4_Rohdaten_BA'!$A$10:$O$59,5,FALSE)</f>
        <v>4261</v>
      </c>
      <c r="D28" s="111">
        <f>VLOOKUP((A28),'2019_C4_Rohdaten_BA'!$A$10:$O$59,6,FALSE)</f>
        <v>3042</v>
      </c>
      <c r="E28" s="111">
        <f>VLOOKUP((A28),'2019_C4_Rohdaten_BA'!$A$10:$O$59,7,FALSE)</f>
        <v>1219</v>
      </c>
      <c r="F28" s="69">
        <f>VLOOKUP((A28),'2019_C4_Rohdaten_BA'!$A$10:$O$59,12,FALSE)</f>
        <v>5.7732926543065011</v>
      </c>
      <c r="G28" s="69">
        <f>VLOOKUP((A28),'2019_C4_Rohdaten_BA'!$A$10:$O$59,13,FALSE)</f>
        <v>24.524759446139402</v>
      </c>
      <c r="H28" s="69">
        <f>VLOOKUP((A28),'2019_C4_Rohdaten_BA'!$A$10:$O$59,14,FALSE)</f>
        <v>24.689040131424548</v>
      </c>
      <c r="I28" s="69">
        <f>VLOOKUP((A28),'2019_C4_Rohdaten_BA'!$A$10:$O$59,15,FALSE)</f>
        <v>45.012907768129544</v>
      </c>
      <c r="J28" s="112">
        <v>36261</v>
      </c>
      <c r="K28" s="112">
        <v>19591</v>
      </c>
      <c r="L28" s="112">
        <v>16670</v>
      </c>
      <c r="M28" s="75">
        <v>6.2463683904706562</v>
      </c>
      <c r="N28" s="75">
        <v>26.263800116211506</v>
      </c>
      <c r="O28" s="75">
        <v>27.309703660662404</v>
      </c>
      <c r="P28" s="75">
        <v>40.18012783265543</v>
      </c>
      <c r="Q28" s="112">
        <v>2668</v>
      </c>
      <c r="R28" s="112">
        <v>1901</v>
      </c>
      <c r="S28" s="112">
        <v>767</v>
      </c>
      <c r="T28" s="75">
        <v>26.72413793103448</v>
      </c>
      <c r="U28" s="75">
        <v>27.023988005997001</v>
      </c>
      <c r="V28" s="75">
        <v>6.7841079460269862</v>
      </c>
      <c r="W28" s="75">
        <v>39.467766116941526</v>
      </c>
      <c r="X28" s="112">
        <v>2391</v>
      </c>
      <c r="Y28" s="112">
        <v>1701</v>
      </c>
      <c r="Z28" s="112">
        <v>690</v>
      </c>
      <c r="AA28" s="75">
        <v>26.516102049351737</v>
      </c>
      <c r="AB28" s="75">
        <v>27.603513174404014</v>
      </c>
      <c r="AC28" s="75">
        <v>5.7716436637390212</v>
      </c>
      <c r="AD28" s="75">
        <v>40.108741112505228</v>
      </c>
      <c r="AE28" s="57">
        <v>2038</v>
      </c>
      <c r="AF28" s="57">
        <v>1438</v>
      </c>
      <c r="AG28" s="57">
        <v>600</v>
      </c>
      <c r="AH28" s="29">
        <v>5.5446516192345436</v>
      </c>
      <c r="AI28" s="29">
        <v>29.587831207065751</v>
      </c>
      <c r="AJ28" s="29">
        <v>26.104023552502454</v>
      </c>
      <c r="AK28" s="77">
        <v>38.763493621197256</v>
      </c>
      <c r="AL28" s="57">
        <v>1800</v>
      </c>
      <c r="AM28" s="57">
        <v>1249</v>
      </c>
      <c r="AN28" s="57">
        <v>551</v>
      </c>
      <c r="AO28" s="29">
        <v>5.6666666666666661</v>
      </c>
      <c r="AP28" s="29">
        <v>30.222222222222221</v>
      </c>
      <c r="AQ28" s="29">
        <v>25.611111111111111</v>
      </c>
      <c r="AR28" s="29">
        <v>38.5</v>
      </c>
      <c r="AS28" s="57">
        <v>1637</v>
      </c>
      <c r="AT28" s="57">
        <v>1144</v>
      </c>
      <c r="AU28" s="57">
        <v>493</v>
      </c>
      <c r="AV28" s="29">
        <v>4.8869883934025662</v>
      </c>
      <c r="AW28" s="29">
        <v>27.306047648136833</v>
      </c>
      <c r="AX28" s="29">
        <v>25.045815516188146</v>
      </c>
      <c r="AY28" s="29">
        <v>42.761148442272457</v>
      </c>
      <c r="AZ28" s="57">
        <v>1245</v>
      </c>
      <c r="BA28" s="57">
        <v>865</v>
      </c>
      <c r="BB28" s="57">
        <v>380</v>
      </c>
      <c r="BC28" s="83">
        <v>3.2128514056224895</v>
      </c>
      <c r="BD28" s="83">
        <v>24.016064257028113</v>
      </c>
      <c r="BE28" s="83">
        <v>30.200803212851408</v>
      </c>
      <c r="BF28" s="83">
        <v>42.570281124497988</v>
      </c>
      <c r="BG28" s="57">
        <v>1148</v>
      </c>
      <c r="BH28" s="57">
        <v>822</v>
      </c>
      <c r="BI28" s="57">
        <v>326</v>
      </c>
      <c r="BJ28" s="83">
        <v>3.3972125435540068</v>
      </c>
      <c r="BK28" s="83">
        <v>23.780487804878049</v>
      </c>
      <c r="BL28" s="83">
        <v>30.923344947735192</v>
      </c>
      <c r="BM28" s="78">
        <v>41.898954703832757</v>
      </c>
      <c r="BN28" s="62"/>
    </row>
    <row r="29" spans="1:66" ht="8.25" customHeight="1">
      <c r="A29" s="107">
        <v>257</v>
      </c>
      <c r="B29" s="74" t="s">
        <v>106</v>
      </c>
      <c r="C29" s="111">
        <f>VLOOKUP((A29),'2019_C4_Rohdaten_BA'!$A$10:$O$59,5,FALSE)</f>
        <v>3689</v>
      </c>
      <c r="D29" s="111">
        <f>VLOOKUP((A29),'2019_C4_Rohdaten_BA'!$A$10:$O$59,6,FALSE)</f>
        <v>2420</v>
      </c>
      <c r="E29" s="111">
        <f>VLOOKUP((A29),'2019_C4_Rohdaten_BA'!$A$10:$O$59,7,FALSE)</f>
        <v>1269</v>
      </c>
      <c r="F29" s="69">
        <f>VLOOKUP((A29),'2019_C4_Rohdaten_BA'!$A$10:$O$59,12,FALSE)</f>
        <v>8.6473298997018162</v>
      </c>
      <c r="G29" s="69">
        <f>VLOOKUP((A29),'2019_C4_Rohdaten_BA'!$A$10:$O$59,13,FALSE)</f>
        <v>43.345079967470859</v>
      </c>
      <c r="H29" s="69">
        <f>VLOOKUP((A29),'2019_C4_Rohdaten_BA'!$A$10:$O$59,14,FALSE)</f>
        <v>26.24017348875034</v>
      </c>
      <c r="I29" s="69">
        <f>VLOOKUP((A29),'2019_C4_Rohdaten_BA'!$A$10:$O$59,15,FALSE)</f>
        <v>21.767416644076985</v>
      </c>
      <c r="J29" s="112">
        <v>41732</v>
      </c>
      <c r="K29" s="112">
        <v>21201</v>
      </c>
      <c r="L29" s="112">
        <v>20531</v>
      </c>
      <c r="M29" s="75">
        <v>8.0931586608442512</v>
      </c>
      <c r="N29" s="75">
        <v>43.522561863173216</v>
      </c>
      <c r="O29" s="75">
        <v>26.22998544395924</v>
      </c>
      <c r="P29" s="75">
        <v>22.154294032023287</v>
      </c>
      <c r="Q29" s="112">
        <v>2966</v>
      </c>
      <c r="R29" s="112">
        <v>1935</v>
      </c>
      <c r="S29" s="112">
        <v>1031</v>
      </c>
      <c r="T29" s="75">
        <v>25.354012137559</v>
      </c>
      <c r="U29" s="75">
        <v>43.391773432231965</v>
      </c>
      <c r="V29" s="75">
        <v>7.4848280512474723</v>
      </c>
      <c r="W29" s="75">
        <v>23.769386378961567</v>
      </c>
      <c r="X29" s="112">
        <v>2642</v>
      </c>
      <c r="Y29" s="112">
        <v>1720</v>
      </c>
      <c r="Z29" s="112">
        <v>922</v>
      </c>
      <c r="AA29" s="75">
        <v>24.716124148372444</v>
      </c>
      <c r="AB29" s="75">
        <v>42.922028766086299</v>
      </c>
      <c r="AC29" s="75">
        <v>7.9863739591218774</v>
      </c>
      <c r="AD29" s="75">
        <v>24.375473126419379</v>
      </c>
      <c r="AE29" s="57">
        <v>2296</v>
      </c>
      <c r="AF29" s="57">
        <v>1494</v>
      </c>
      <c r="AG29" s="57">
        <v>802</v>
      </c>
      <c r="AH29" s="29">
        <v>7.6219512195121952</v>
      </c>
      <c r="AI29" s="29">
        <v>39.851916376306619</v>
      </c>
      <c r="AJ29" s="29">
        <v>26.393728222996515</v>
      </c>
      <c r="AK29" s="29">
        <v>26.132404181184672</v>
      </c>
      <c r="AL29" s="57">
        <v>1920</v>
      </c>
      <c r="AM29" s="57">
        <v>1192</v>
      </c>
      <c r="AN29" s="57">
        <v>728</v>
      </c>
      <c r="AO29" s="29">
        <v>6.9270833333333339</v>
      </c>
      <c r="AP29" s="29">
        <v>37.864583333333336</v>
      </c>
      <c r="AQ29" s="29">
        <v>27.447916666666668</v>
      </c>
      <c r="AR29" s="29">
        <v>27.760416666666657</v>
      </c>
      <c r="AS29" s="57">
        <v>1777</v>
      </c>
      <c r="AT29" s="57">
        <v>1129</v>
      </c>
      <c r="AU29" s="57">
        <v>648</v>
      </c>
      <c r="AV29" s="29">
        <v>6.6404051772650536</v>
      </c>
      <c r="AW29" s="29">
        <v>36.015756893640969</v>
      </c>
      <c r="AX29" s="29">
        <v>28.418683173888574</v>
      </c>
      <c r="AY29" s="29">
        <v>28.925154755205398</v>
      </c>
      <c r="AZ29" s="57">
        <v>1538</v>
      </c>
      <c r="BA29" s="57">
        <v>989</v>
      </c>
      <c r="BB29" s="57">
        <v>549</v>
      </c>
      <c r="BC29" s="83">
        <v>5.2665799739921981</v>
      </c>
      <c r="BD29" s="83">
        <v>31.144343302990897</v>
      </c>
      <c r="BE29" s="83">
        <v>30.754226267880362</v>
      </c>
      <c r="BF29" s="83">
        <v>32.834850455136532</v>
      </c>
      <c r="BG29" s="57">
        <v>1505</v>
      </c>
      <c r="BH29" s="57">
        <v>990</v>
      </c>
      <c r="BI29" s="57">
        <v>515</v>
      </c>
      <c r="BJ29" s="83">
        <v>5.249169435215947</v>
      </c>
      <c r="BK29" s="83">
        <v>30.963455149501662</v>
      </c>
      <c r="BL29" s="83">
        <v>33.02325581395349</v>
      </c>
      <c r="BM29" s="78">
        <v>30.764119601328908</v>
      </c>
      <c r="BN29" s="62"/>
    </row>
    <row r="30" spans="1:66" s="54" customFormat="1" ht="16.5" customHeight="1">
      <c r="A30" s="108">
        <v>2</v>
      </c>
      <c r="B30" s="84" t="s">
        <v>155</v>
      </c>
      <c r="C30" s="111">
        <f>VLOOKUP((A30),'2019_C4_Rohdaten_BA'!$A$10:$O$59,5,FALSE)</f>
        <v>86601</v>
      </c>
      <c r="D30" s="111">
        <f>VLOOKUP((A30),'2019_C4_Rohdaten_BA'!$A$10:$O$59,6,FALSE)</f>
        <v>55379</v>
      </c>
      <c r="E30" s="111">
        <f>VLOOKUP((A30),'2019_C4_Rohdaten_BA'!$A$10:$O$59,7,FALSE)</f>
        <v>31222</v>
      </c>
      <c r="F30" s="69">
        <f>VLOOKUP((A30),'2019_C4_Rohdaten_BA'!$A$10:$O$59,12,FALSE)</f>
        <v>12.373991062458863</v>
      </c>
      <c r="G30" s="69">
        <f>VLOOKUP((A30),'2019_C4_Rohdaten_BA'!$A$10:$O$59,13,FALSE)</f>
        <v>32.894539324026283</v>
      </c>
      <c r="H30" s="69">
        <f>VLOOKUP((A30),'2019_C4_Rohdaten_BA'!$A$10:$O$59,14,FALSE)</f>
        <v>27.067816768859483</v>
      </c>
      <c r="I30" s="69">
        <f>VLOOKUP((A30),'2019_C4_Rohdaten_BA'!$A$10:$O$59,15,FALSE)</f>
        <v>27.663652844655374</v>
      </c>
      <c r="J30" s="113">
        <v>751603</v>
      </c>
      <c r="K30" s="113">
        <v>391704</v>
      </c>
      <c r="L30" s="113">
        <v>359899</v>
      </c>
      <c r="M30" s="85">
        <v>11.944395477095872</v>
      </c>
      <c r="N30" s="85">
        <v>33.173839683698908</v>
      </c>
      <c r="O30" s="85">
        <v>26.321488831247326</v>
      </c>
      <c r="P30" s="85">
        <v>28.560276007957892</v>
      </c>
      <c r="Q30" s="113">
        <v>71250</v>
      </c>
      <c r="R30" s="113">
        <v>44711</v>
      </c>
      <c r="S30" s="113">
        <v>26539</v>
      </c>
      <c r="T30" s="85">
        <v>25.124210526315789</v>
      </c>
      <c r="U30" s="85">
        <v>33.799298245614033</v>
      </c>
      <c r="V30" s="85">
        <v>11.849824561403508</v>
      </c>
      <c r="W30" s="85">
        <v>29.226666666666667</v>
      </c>
      <c r="X30" s="113">
        <v>64668</v>
      </c>
      <c r="Y30" s="113">
        <v>39853</v>
      </c>
      <c r="Z30" s="113">
        <v>24815</v>
      </c>
      <c r="AA30" s="85">
        <v>24.806705016391415</v>
      </c>
      <c r="AB30" s="85">
        <v>34.063215191439348</v>
      </c>
      <c r="AC30" s="85">
        <v>11.749242283664255</v>
      </c>
      <c r="AD30" s="85">
        <v>29.380837508504982</v>
      </c>
      <c r="AE30" s="86">
        <v>58315</v>
      </c>
      <c r="AF30" s="86">
        <v>35837</v>
      </c>
      <c r="AG30" s="86">
        <v>22478</v>
      </c>
      <c r="AH30" s="87">
        <v>11.27325730944011</v>
      </c>
      <c r="AI30" s="87">
        <v>34.227900197204839</v>
      </c>
      <c r="AJ30" s="87">
        <v>24.674612020920861</v>
      </c>
      <c r="AK30" s="87">
        <v>29.824230472434188</v>
      </c>
      <c r="AL30" s="86">
        <v>52372</v>
      </c>
      <c r="AM30" s="86">
        <v>31942</v>
      </c>
      <c r="AN30" s="86">
        <v>20430</v>
      </c>
      <c r="AO30" s="87">
        <v>11.131902543343772</v>
      </c>
      <c r="AP30" s="87">
        <v>34.048728328114258</v>
      </c>
      <c r="AQ30" s="87">
        <v>24.018559535629727</v>
      </c>
      <c r="AR30" s="87">
        <v>30.800809592912252</v>
      </c>
      <c r="AS30" s="86">
        <v>48711</v>
      </c>
      <c r="AT30" s="86">
        <v>29383</v>
      </c>
      <c r="AU30" s="86">
        <v>19328</v>
      </c>
      <c r="AV30" s="87">
        <v>9.398287861058078</v>
      </c>
      <c r="AW30" s="87">
        <v>30.089712795877727</v>
      </c>
      <c r="AX30" s="87">
        <v>21.609082137504878</v>
      </c>
      <c r="AY30" s="87">
        <v>38.902917205559305</v>
      </c>
      <c r="AZ30" s="86">
        <v>41643</v>
      </c>
      <c r="BA30" s="86">
        <v>25045</v>
      </c>
      <c r="BB30" s="86">
        <v>16598</v>
      </c>
      <c r="BC30" s="88">
        <v>7.7107797228825978</v>
      </c>
      <c r="BD30" s="88">
        <v>29.044497274451892</v>
      </c>
      <c r="BE30" s="88">
        <v>23.540571044353193</v>
      </c>
      <c r="BF30" s="88">
        <v>39.704151958312323</v>
      </c>
      <c r="BG30" s="86">
        <v>39602</v>
      </c>
      <c r="BH30" s="86">
        <v>23896</v>
      </c>
      <c r="BI30" s="86">
        <v>15706</v>
      </c>
      <c r="BJ30" s="88">
        <v>7.444068481389829</v>
      </c>
      <c r="BK30" s="88">
        <v>29.407605676480987</v>
      </c>
      <c r="BL30" s="88">
        <v>24.117468814706328</v>
      </c>
      <c r="BM30" s="89">
        <v>39.030857027422861</v>
      </c>
      <c r="BN30" s="106"/>
    </row>
    <row r="31" spans="1:66" ht="8.25" customHeight="1">
      <c r="A31" s="107">
        <v>351</v>
      </c>
      <c r="B31" s="74" t="s">
        <v>107</v>
      </c>
      <c r="C31" s="111">
        <f>VLOOKUP((A31),'2019_C4_Rohdaten_BA'!$A$10:$O$59,5,FALSE)</f>
        <v>3847</v>
      </c>
      <c r="D31" s="111">
        <f>VLOOKUP((A31),'2019_C4_Rohdaten_BA'!$A$10:$O$59,6,FALSE)</f>
        <v>2498</v>
      </c>
      <c r="E31" s="111">
        <f>VLOOKUP((A31),'2019_C4_Rohdaten_BA'!$A$10:$O$59,7,FALSE)</f>
        <v>1349</v>
      </c>
      <c r="F31" s="69">
        <f>VLOOKUP((A31),'2019_C4_Rohdaten_BA'!$A$10:$O$59,12,FALSE)</f>
        <v>14.088900441902782</v>
      </c>
      <c r="G31" s="69">
        <f>VLOOKUP((A31),'2019_C4_Rohdaten_BA'!$A$10:$O$59,13,FALSE)</f>
        <v>31.089160384715363</v>
      </c>
      <c r="H31" s="69">
        <f>VLOOKUP((A31),'2019_C4_Rohdaten_BA'!$A$10:$O$59,14,FALSE)</f>
        <v>30.387314790746036</v>
      </c>
      <c r="I31" s="69">
        <f>VLOOKUP((A31),'2019_C4_Rohdaten_BA'!$A$10:$O$59,15,FALSE)</f>
        <v>24.434624382635821</v>
      </c>
      <c r="J31" s="112">
        <v>53710</v>
      </c>
      <c r="K31" s="112">
        <v>26858</v>
      </c>
      <c r="L31" s="112">
        <v>26852</v>
      </c>
      <c r="M31" s="75">
        <v>13.554392088423503</v>
      </c>
      <c r="N31" s="75">
        <v>33.216986620127983</v>
      </c>
      <c r="O31" s="75">
        <v>29.086678301337987</v>
      </c>
      <c r="P31" s="75">
        <v>24.141942990110529</v>
      </c>
      <c r="Q31" s="112">
        <v>3061</v>
      </c>
      <c r="R31" s="112">
        <v>1955</v>
      </c>
      <c r="S31" s="112">
        <v>1106</v>
      </c>
      <c r="T31" s="75">
        <v>28.520091473374716</v>
      </c>
      <c r="U31" s="75">
        <v>33.322443645867359</v>
      </c>
      <c r="V31" s="75">
        <v>14.276380267886314</v>
      </c>
      <c r="W31" s="75">
        <v>23.881084612871611</v>
      </c>
      <c r="X31" s="112">
        <v>2746</v>
      </c>
      <c r="Y31" s="112">
        <v>1734</v>
      </c>
      <c r="Z31" s="112">
        <v>1012</v>
      </c>
      <c r="AA31" s="75">
        <v>27.093954843408596</v>
      </c>
      <c r="AB31" s="75">
        <v>34.705025491624184</v>
      </c>
      <c r="AC31" s="75">
        <v>14.566642388929353</v>
      </c>
      <c r="AD31" s="75">
        <v>23.634377276037874</v>
      </c>
      <c r="AE31" s="57">
        <v>2601</v>
      </c>
      <c r="AF31" s="57">
        <v>1639</v>
      </c>
      <c r="AG31" s="57">
        <v>962</v>
      </c>
      <c r="AH31" s="29">
        <v>14.494425221068818</v>
      </c>
      <c r="AI31" s="29">
        <v>35.063437139561707</v>
      </c>
      <c r="AJ31" s="29">
        <v>25.297962322183775</v>
      </c>
      <c r="AK31" s="29">
        <v>25.144175317185699</v>
      </c>
      <c r="AL31" s="57">
        <v>2335</v>
      </c>
      <c r="AM31" s="57">
        <v>1500</v>
      </c>
      <c r="AN31" s="57">
        <v>835</v>
      </c>
      <c r="AO31" s="29">
        <v>14.903640256959314</v>
      </c>
      <c r="AP31" s="29">
        <v>34.304068522483938</v>
      </c>
      <c r="AQ31" s="29">
        <v>23.640256959314776</v>
      </c>
      <c r="AR31" s="29">
        <v>27.15203426124198</v>
      </c>
      <c r="AS31" s="57">
        <v>2199</v>
      </c>
      <c r="AT31" s="57">
        <v>1418</v>
      </c>
      <c r="AU31" s="57">
        <v>781</v>
      </c>
      <c r="AV31" s="29">
        <v>13.005911778080945</v>
      </c>
      <c r="AW31" s="29">
        <v>31.832651205093228</v>
      </c>
      <c r="AX31" s="29">
        <v>22.737608003638019</v>
      </c>
      <c r="AY31" s="29">
        <v>32.423829013187813</v>
      </c>
      <c r="AZ31" s="57">
        <v>1680</v>
      </c>
      <c r="BA31" s="57">
        <v>1043</v>
      </c>
      <c r="BB31" s="57">
        <v>637</v>
      </c>
      <c r="BC31" s="83">
        <v>12.678571428571427</v>
      </c>
      <c r="BD31" s="83">
        <v>31.36904761904762</v>
      </c>
      <c r="BE31" s="83">
        <v>21.964285714285715</v>
      </c>
      <c r="BF31" s="83">
        <v>33.988095238095227</v>
      </c>
      <c r="BG31" s="57">
        <v>1592</v>
      </c>
      <c r="BH31" s="57">
        <v>981</v>
      </c>
      <c r="BI31" s="57">
        <v>611</v>
      </c>
      <c r="BJ31" s="83">
        <v>12.751256281407036</v>
      </c>
      <c r="BK31" s="83">
        <v>33.479899497487438</v>
      </c>
      <c r="BL31" s="83">
        <v>21.482412060301506</v>
      </c>
      <c r="BM31" s="78">
        <v>32.286432160804026</v>
      </c>
      <c r="BN31" s="62"/>
    </row>
    <row r="32" spans="1:66" ht="8.25" customHeight="1">
      <c r="A32" s="107">
        <v>352</v>
      </c>
      <c r="B32" s="74" t="s">
        <v>108</v>
      </c>
      <c r="C32" s="111">
        <f>VLOOKUP((A32),'2019_C4_Rohdaten_BA'!$A$10:$O$59,5,FALSE)</f>
        <v>4262</v>
      </c>
      <c r="D32" s="111">
        <f>VLOOKUP((A32),'2019_C4_Rohdaten_BA'!$A$10:$O$59,6,FALSE)</f>
        <v>2846</v>
      </c>
      <c r="E32" s="111">
        <f>VLOOKUP((A32),'2019_C4_Rohdaten_BA'!$A$10:$O$59,7,FALSE)</f>
        <v>1416</v>
      </c>
      <c r="F32" s="69">
        <f>VLOOKUP((A32),'2019_C4_Rohdaten_BA'!$A$10:$O$59,12,FALSE)</f>
        <v>6.4289066166119193</v>
      </c>
      <c r="G32" s="69">
        <f>VLOOKUP((A32),'2019_C4_Rohdaten_BA'!$A$10:$O$59,13,FALSE)</f>
        <v>29.892069450961991</v>
      </c>
      <c r="H32" s="69">
        <f>VLOOKUP((A32),'2019_C4_Rohdaten_BA'!$A$10:$O$59,14,FALSE)</f>
        <v>25.668700140778977</v>
      </c>
      <c r="I32" s="69">
        <f>VLOOKUP((A32),'2019_C4_Rohdaten_BA'!$A$10:$O$59,15,FALSE)</f>
        <v>38.010323791647117</v>
      </c>
      <c r="J32" s="112">
        <v>43492</v>
      </c>
      <c r="K32" s="112">
        <v>20527</v>
      </c>
      <c r="L32" s="112">
        <v>22965</v>
      </c>
      <c r="M32" s="75">
        <v>6.3041385948026951</v>
      </c>
      <c r="N32" s="75">
        <v>28.946102021174209</v>
      </c>
      <c r="O32" s="75">
        <v>23.796920115495666</v>
      </c>
      <c r="P32" s="75">
        <v>40.952839268527427</v>
      </c>
      <c r="Q32" s="112">
        <v>3769</v>
      </c>
      <c r="R32" s="112">
        <v>2426</v>
      </c>
      <c r="S32" s="112">
        <v>1343</v>
      </c>
      <c r="T32" s="75">
        <v>23.029981427434333</v>
      </c>
      <c r="U32" s="75">
        <v>27.805784027593528</v>
      </c>
      <c r="V32" s="75">
        <v>6.6330591668877688</v>
      </c>
      <c r="W32" s="75">
        <v>42.53117537808437</v>
      </c>
      <c r="X32" s="112">
        <v>3391</v>
      </c>
      <c r="Y32" s="112">
        <v>2178</v>
      </c>
      <c r="Z32" s="112">
        <v>1213</v>
      </c>
      <c r="AA32" s="75">
        <v>21.675022117369508</v>
      </c>
      <c r="AB32" s="75">
        <v>29.106458271896194</v>
      </c>
      <c r="AC32" s="75">
        <v>6.7531701562960773</v>
      </c>
      <c r="AD32" s="75">
        <v>42.465349454438218</v>
      </c>
      <c r="AE32" s="57">
        <v>2948</v>
      </c>
      <c r="AF32" s="57">
        <v>1881</v>
      </c>
      <c r="AG32" s="57">
        <v>1067</v>
      </c>
      <c r="AH32" s="29">
        <v>6.2415196743554953</v>
      </c>
      <c r="AI32" s="29">
        <v>30.156037991858888</v>
      </c>
      <c r="AJ32" s="29">
        <v>22.388059701492537</v>
      </c>
      <c r="AK32" s="29">
        <v>41.214382632293081</v>
      </c>
      <c r="AL32" s="57">
        <v>2772</v>
      </c>
      <c r="AM32" s="57">
        <v>1809</v>
      </c>
      <c r="AN32" s="57">
        <v>963</v>
      </c>
      <c r="AO32" s="29">
        <v>6.0245310245310248</v>
      </c>
      <c r="AP32" s="29">
        <v>30.266955266955264</v>
      </c>
      <c r="AQ32" s="29">
        <v>21.103896103896101</v>
      </c>
      <c r="AR32" s="29">
        <v>42.604617604617609</v>
      </c>
      <c r="AS32" s="57">
        <v>2483</v>
      </c>
      <c r="AT32" s="57">
        <v>1529</v>
      </c>
      <c r="AU32" s="57">
        <v>954</v>
      </c>
      <c r="AV32" s="29">
        <v>5.1550543697140556</v>
      </c>
      <c r="AW32" s="29">
        <v>26.29883205799436</v>
      </c>
      <c r="AX32" s="29">
        <v>19.009262988320579</v>
      </c>
      <c r="AY32" s="29">
        <v>49.536850583970995</v>
      </c>
      <c r="AZ32" s="57">
        <v>2066</v>
      </c>
      <c r="BA32" s="57">
        <v>1245</v>
      </c>
      <c r="BB32" s="57">
        <v>821</v>
      </c>
      <c r="BC32" s="83">
        <v>4.0174249757986447</v>
      </c>
      <c r="BD32" s="83">
        <v>22.749273959341725</v>
      </c>
      <c r="BE32" s="83">
        <v>26.621490803484992</v>
      </c>
      <c r="BF32" s="83">
        <v>46.611810261374643</v>
      </c>
      <c r="BG32" s="57">
        <v>1926</v>
      </c>
      <c r="BH32" s="57">
        <v>1130</v>
      </c>
      <c r="BI32" s="57">
        <v>796</v>
      </c>
      <c r="BJ32" s="83">
        <v>4.5171339563862922</v>
      </c>
      <c r="BK32" s="83">
        <v>22.689511941848391</v>
      </c>
      <c r="BL32" s="83">
        <v>27.414330218068532</v>
      </c>
      <c r="BM32" s="78">
        <v>45.379023883696789</v>
      </c>
      <c r="BN32" s="62"/>
    </row>
    <row r="33" spans="1:66" ht="8.25" customHeight="1">
      <c r="A33" s="107">
        <v>353</v>
      </c>
      <c r="B33" s="74" t="s">
        <v>109</v>
      </c>
      <c r="C33" s="111">
        <f>VLOOKUP((A33),'2019_C4_Rohdaten_BA'!$A$10:$O$59,5,FALSE)</f>
        <v>9048</v>
      </c>
      <c r="D33" s="111">
        <f>VLOOKUP((A33),'2019_C4_Rohdaten_BA'!$A$10:$O$59,6,FALSE)</f>
        <v>6600</v>
      </c>
      <c r="E33" s="111">
        <f>VLOOKUP((A33),'2019_C4_Rohdaten_BA'!$A$10:$O$59,7,FALSE)</f>
        <v>2448</v>
      </c>
      <c r="F33" s="69">
        <f>VLOOKUP((A33),'2019_C4_Rohdaten_BA'!$A$10:$O$59,12,FALSE)</f>
        <v>7.0402298850574709</v>
      </c>
      <c r="G33" s="69">
        <f>VLOOKUP((A33),'2019_C4_Rohdaten_BA'!$A$10:$O$59,13,FALSE)</f>
        <v>26.790450928381961</v>
      </c>
      <c r="H33" s="69">
        <f>VLOOKUP((A33),'2019_C4_Rohdaten_BA'!$A$10:$O$59,14,FALSE)</f>
        <v>28.547745358090186</v>
      </c>
      <c r="I33" s="69">
        <f>VLOOKUP((A33),'2019_C4_Rohdaten_BA'!$A$10:$O$59,15,FALSE)</f>
        <v>37.621573828470382</v>
      </c>
      <c r="J33" s="112">
        <v>56625</v>
      </c>
      <c r="K33" s="112">
        <v>28343</v>
      </c>
      <c r="L33" s="112">
        <v>28282</v>
      </c>
      <c r="M33" s="75">
        <v>6.7604581673306772</v>
      </c>
      <c r="N33" s="75">
        <v>28.212151394422314</v>
      </c>
      <c r="O33" s="75">
        <v>25.224103585657371</v>
      </c>
      <c r="P33" s="75">
        <v>39.803286852589643</v>
      </c>
      <c r="Q33" s="112">
        <v>6224</v>
      </c>
      <c r="R33" s="112">
        <v>4363</v>
      </c>
      <c r="S33" s="112">
        <v>1861</v>
      </c>
      <c r="T33" s="75">
        <v>19.296272493573266</v>
      </c>
      <c r="U33" s="75">
        <v>29.161311053984573</v>
      </c>
      <c r="V33" s="75">
        <v>6.0893316195372744</v>
      </c>
      <c r="W33" s="75">
        <v>45.453084832904885</v>
      </c>
      <c r="X33" s="112">
        <v>5337</v>
      </c>
      <c r="Y33" s="112">
        <v>3666</v>
      </c>
      <c r="Z33" s="112">
        <v>1671</v>
      </c>
      <c r="AA33" s="75">
        <v>19.599025669851976</v>
      </c>
      <c r="AB33" s="75">
        <v>28.592842420835673</v>
      </c>
      <c r="AC33" s="75">
        <v>5.5649241146711637</v>
      </c>
      <c r="AD33" s="75">
        <v>46.243207794641187</v>
      </c>
      <c r="AE33" s="57">
        <v>4482</v>
      </c>
      <c r="AF33" s="57">
        <v>3072</v>
      </c>
      <c r="AG33" s="57">
        <v>1410</v>
      </c>
      <c r="AH33" s="29">
        <v>5.4886211512717535</v>
      </c>
      <c r="AI33" s="29">
        <v>30.031236055332439</v>
      </c>
      <c r="AJ33" s="29">
        <v>17.492190986166889</v>
      </c>
      <c r="AK33" s="29">
        <v>46.987951807228917</v>
      </c>
      <c r="AL33" s="57">
        <v>3799</v>
      </c>
      <c r="AM33" s="57">
        <v>2541</v>
      </c>
      <c r="AN33" s="57">
        <v>1258</v>
      </c>
      <c r="AO33" s="29">
        <v>5.3171887338773365</v>
      </c>
      <c r="AP33" s="29">
        <v>29.718346933403527</v>
      </c>
      <c r="AQ33" s="29">
        <v>18.215319821005526</v>
      </c>
      <c r="AR33" s="29">
        <v>46.749144511713617</v>
      </c>
      <c r="AS33" s="57">
        <v>3361</v>
      </c>
      <c r="AT33" s="57">
        <v>2195</v>
      </c>
      <c r="AU33" s="57">
        <v>1166</v>
      </c>
      <c r="AV33" s="29">
        <v>3.9869086581374593</v>
      </c>
      <c r="AW33" s="29">
        <v>24.843796489140139</v>
      </c>
      <c r="AX33" s="29">
        <v>16.096399880987803</v>
      </c>
      <c r="AY33" s="29">
        <v>55.072894971734598</v>
      </c>
      <c r="AZ33" s="57">
        <v>2595</v>
      </c>
      <c r="BA33" s="57">
        <v>1679</v>
      </c>
      <c r="BB33" s="57">
        <v>916</v>
      </c>
      <c r="BC33" s="83">
        <v>3.352601156069364</v>
      </c>
      <c r="BD33" s="83">
        <v>20.616570327552985</v>
      </c>
      <c r="BE33" s="83">
        <v>20.809248554913296</v>
      </c>
      <c r="BF33" s="83">
        <v>55.221579961464357</v>
      </c>
      <c r="BG33" s="57">
        <v>2320</v>
      </c>
      <c r="BH33" s="57">
        <v>1480</v>
      </c>
      <c r="BI33" s="57">
        <v>840</v>
      </c>
      <c r="BJ33" s="83">
        <v>3.6206896551724141</v>
      </c>
      <c r="BK33" s="83">
        <v>20.517241379310345</v>
      </c>
      <c r="BL33" s="83">
        <v>20.431034482758619</v>
      </c>
      <c r="BM33" s="78">
        <v>55.431034482758619</v>
      </c>
      <c r="BN33" s="62"/>
    </row>
    <row r="34" spans="1:66" ht="8.25" customHeight="1">
      <c r="A34" s="107">
        <v>354</v>
      </c>
      <c r="B34" s="74" t="s">
        <v>110</v>
      </c>
      <c r="C34" s="111">
        <f>VLOOKUP((A34),'2019_C4_Rohdaten_BA'!$A$10:$O$59,5,FALSE)</f>
        <v>713</v>
      </c>
      <c r="D34" s="111">
        <f>VLOOKUP((A34),'2019_C4_Rohdaten_BA'!$A$10:$O$59,6,FALSE)</f>
        <v>457</v>
      </c>
      <c r="E34" s="111">
        <f>VLOOKUP((A34),'2019_C4_Rohdaten_BA'!$A$10:$O$59,7,FALSE)</f>
        <v>256</v>
      </c>
      <c r="F34" s="69">
        <f>VLOOKUP((A34),'2019_C4_Rohdaten_BA'!$A$10:$O$59,12,FALSE)</f>
        <v>9.5371669004207575</v>
      </c>
      <c r="G34" s="69">
        <f>VLOOKUP((A34),'2019_C4_Rohdaten_BA'!$A$10:$O$59,13,FALSE)</f>
        <v>32.258064516129032</v>
      </c>
      <c r="H34" s="69">
        <f>VLOOKUP((A34),'2019_C4_Rohdaten_BA'!$A$10:$O$59,14,FALSE)</f>
        <v>17.391304347826086</v>
      </c>
      <c r="I34" s="69">
        <f>VLOOKUP((A34),'2019_C4_Rohdaten_BA'!$A$10:$O$59,15,FALSE)</f>
        <v>40.813464235624124</v>
      </c>
      <c r="J34" s="112">
        <v>13587</v>
      </c>
      <c r="K34" s="112">
        <v>6502</v>
      </c>
      <c r="L34" s="112">
        <v>7085</v>
      </c>
      <c r="M34" s="75">
        <v>8.862629246676514</v>
      </c>
      <c r="N34" s="75">
        <v>28.80354505169867</v>
      </c>
      <c r="O34" s="75">
        <v>19.793205317577549</v>
      </c>
      <c r="P34" s="75">
        <v>42.540620384047266</v>
      </c>
      <c r="Q34" s="112">
        <v>654</v>
      </c>
      <c r="R34" s="112">
        <v>370</v>
      </c>
      <c r="S34" s="112">
        <v>284</v>
      </c>
      <c r="T34" s="75">
        <v>16.513761467889911</v>
      </c>
      <c r="U34" s="75">
        <v>30.122324159021407</v>
      </c>
      <c r="V34" s="75">
        <v>8.5626911314984699</v>
      </c>
      <c r="W34" s="75">
        <v>44.801223241590215</v>
      </c>
      <c r="X34" s="112">
        <v>521</v>
      </c>
      <c r="Y34" s="112">
        <v>282</v>
      </c>
      <c r="Z34" s="112">
        <v>239</v>
      </c>
      <c r="AA34" s="75">
        <v>12.092130518234164</v>
      </c>
      <c r="AB34" s="75">
        <v>28.406909788867562</v>
      </c>
      <c r="AC34" s="75">
        <v>8.2533589251439547</v>
      </c>
      <c r="AD34" s="75">
        <v>51.247600767754321</v>
      </c>
      <c r="AE34" s="57">
        <v>629</v>
      </c>
      <c r="AF34" s="57">
        <v>394</v>
      </c>
      <c r="AG34" s="57">
        <v>235</v>
      </c>
      <c r="AH34" s="29">
        <v>5.5643879173290935</v>
      </c>
      <c r="AI34" s="29">
        <v>24.642289348171701</v>
      </c>
      <c r="AJ34" s="29">
        <v>8.4260731319554854</v>
      </c>
      <c r="AK34" s="29">
        <v>61.367249602543716</v>
      </c>
      <c r="AL34" s="57">
        <v>362</v>
      </c>
      <c r="AM34" s="57">
        <v>215</v>
      </c>
      <c r="AN34" s="57">
        <v>147</v>
      </c>
      <c r="AO34" s="29">
        <v>6.9060773480662991</v>
      </c>
      <c r="AP34" s="29">
        <v>34.254143646408842</v>
      </c>
      <c r="AQ34" s="29">
        <v>13.259668508287293</v>
      </c>
      <c r="AR34" s="29">
        <v>45.58011049723757</v>
      </c>
      <c r="AS34" s="57">
        <v>303</v>
      </c>
      <c r="AT34" s="57">
        <v>183</v>
      </c>
      <c r="AU34" s="57">
        <v>120</v>
      </c>
      <c r="AV34" s="29">
        <v>6.2706270627062706</v>
      </c>
      <c r="AW34" s="29">
        <v>34.323432343234323</v>
      </c>
      <c r="AX34" s="29">
        <v>10.891089108910892</v>
      </c>
      <c r="AY34" s="29">
        <v>48.514851485148519</v>
      </c>
      <c r="AZ34" s="57">
        <v>183</v>
      </c>
      <c r="BA34" s="57">
        <v>100</v>
      </c>
      <c r="BB34" s="57">
        <v>83</v>
      </c>
      <c r="BC34" s="83">
        <v>7.1038251366120218</v>
      </c>
      <c r="BD34" s="83">
        <v>28.415300546448087</v>
      </c>
      <c r="BE34" s="83">
        <v>11.475409836065573</v>
      </c>
      <c r="BF34" s="83">
        <v>53.005464480874309</v>
      </c>
      <c r="BG34" s="57">
        <v>158</v>
      </c>
      <c r="BH34" s="57">
        <v>77</v>
      </c>
      <c r="BI34" s="57">
        <v>81</v>
      </c>
      <c r="BJ34" s="83">
        <v>6.962025316455696</v>
      </c>
      <c r="BK34" s="83">
        <v>32.911392405063289</v>
      </c>
      <c r="BL34" s="83" t="s">
        <v>214</v>
      </c>
      <c r="BM34" s="78" t="s">
        <v>214</v>
      </c>
      <c r="BN34" s="62"/>
    </row>
    <row r="35" spans="1:66" ht="8.25" customHeight="1">
      <c r="A35" s="107">
        <v>355</v>
      </c>
      <c r="B35" s="74" t="s">
        <v>111</v>
      </c>
      <c r="C35" s="111">
        <f>VLOOKUP((A35),'2019_C4_Rohdaten_BA'!$A$10:$O$59,5,FALSE)</f>
        <v>3903</v>
      </c>
      <c r="D35" s="111">
        <f>VLOOKUP((A35),'2019_C4_Rohdaten_BA'!$A$10:$O$59,6,FALSE)</f>
        <v>2552</v>
      </c>
      <c r="E35" s="111">
        <f>VLOOKUP((A35),'2019_C4_Rohdaten_BA'!$A$10:$O$59,7,FALSE)</f>
        <v>1351</v>
      </c>
      <c r="F35" s="69">
        <f>VLOOKUP((A35),'2019_C4_Rohdaten_BA'!$A$10:$O$59,12,FALSE)</f>
        <v>13.553676658980272</v>
      </c>
      <c r="G35" s="69">
        <f>VLOOKUP((A35),'2019_C4_Rohdaten_BA'!$A$10:$O$59,13,FALSE)</f>
        <v>31.206764027671021</v>
      </c>
      <c r="H35" s="69">
        <f>VLOOKUP((A35),'2019_C4_Rohdaten_BA'!$A$10:$O$59,14,FALSE)</f>
        <v>27.363566487317449</v>
      </c>
      <c r="I35" s="69">
        <f>VLOOKUP((A35),'2019_C4_Rohdaten_BA'!$A$10:$O$59,15,FALSE)</f>
        <v>27.875992826031258</v>
      </c>
      <c r="J35" s="112">
        <v>54677</v>
      </c>
      <c r="K35" s="112">
        <v>26789</v>
      </c>
      <c r="L35" s="112">
        <v>27888</v>
      </c>
      <c r="M35" s="75">
        <v>13.85921665297179</v>
      </c>
      <c r="N35" s="75">
        <v>31.55299917830731</v>
      </c>
      <c r="O35" s="75">
        <v>26.376335250616268</v>
      </c>
      <c r="P35" s="75">
        <v>28.21144891810463</v>
      </c>
      <c r="Q35" s="112">
        <v>3125</v>
      </c>
      <c r="R35" s="112">
        <v>1975</v>
      </c>
      <c r="S35" s="112">
        <v>1150</v>
      </c>
      <c r="T35" s="75">
        <v>22.656000000000002</v>
      </c>
      <c r="U35" s="75">
        <v>33.472000000000001</v>
      </c>
      <c r="V35" s="75">
        <v>14.56</v>
      </c>
      <c r="W35" s="75">
        <v>29.311999999999998</v>
      </c>
      <c r="X35" s="112">
        <v>2745</v>
      </c>
      <c r="Y35" s="112">
        <v>1676</v>
      </c>
      <c r="Z35" s="112">
        <v>1069</v>
      </c>
      <c r="AA35" s="75">
        <v>21.712204007285973</v>
      </c>
      <c r="AB35" s="75">
        <v>34.244080145719494</v>
      </c>
      <c r="AC35" s="75">
        <v>14.24408014571949</v>
      </c>
      <c r="AD35" s="75">
        <v>29.799635701275047</v>
      </c>
      <c r="AE35" s="57">
        <v>2309</v>
      </c>
      <c r="AF35" s="57">
        <v>1378</v>
      </c>
      <c r="AG35" s="57">
        <v>931</v>
      </c>
      <c r="AH35" s="29">
        <v>14.94153313122564</v>
      </c>
      <c r="AI35" s="29">
        <v>34.084019055868339</v>
      </c>
      <c r="AJ35" s="29">
        <v>22.304027717626678</v>
      </c>
      <c r="AK35" s="29">
        <v>28.67042009527934</v>
      </c>
      <c r="AL35" s="57">
        <v>2087</v>
      </c>
      <c r="AM35" s="57">
        <v>1231</v>
      </c>
      <c r="AN35" s="57">
        <v>856</v>
      </c>
      <c r="AO35" s="29">
        <v>14.853857211308096</v>
      </c>
      <c r="AP35" s="29">
        <v>32.82223287014854</v>
      </c>
      <c r="AQ35" s="29">
        <v>21.562050790608527</v>
      </c>
      <c r="AR35" s="29">
        <v>30.761859127934841</v>
      </c>
      <c r="AS35" s="57">
        <v>1907</v>
      </c>
      <c r="AT35" s="57">
        <v>1099</v>
      </c>
      <c r="AU35" s="57">
        <v>808</v>
      </c>
      <c r="AV35" s="29">
        <v>13.004719454640798</v>
      </c>
      <c r="AW35" s="29">
        <v>28.211851074986889</v>
      </c>
      <c r="AX35" s="29">
        <v>19.611955951756684</v>
      </c>
      <c r="AY35" s="29">
        <v>39.171473518615628</v>
      </c>
      <c r="AZ35" s="57">
        <v>1670</v>
      </c>
      <c r="BA35" s="57">
        <v>983</v>
      </c>
      <c r="BB35" s="57">
        <v>687</v>
      </c>
      <c r="BC35" s="83">
        <v>10.119760479041915</v>
      </c>
      <c r="BD35" s="83">
        <v>24.491017964071858</v>
      </c>
      <c r="BE35" s="83">
        <v>20.838323353293415</v>
      </c>
      <c r="BF35" s="83">
        <v>44.550898203592808</v>
      </c>
      <c r="BG35" s="57">
        <v>1501</v>
      </c>
      <c r="BH35" s="57">
        <v>882</v>
      </c>
      <c r="BI35" s="57">
        <v>619</v>
      </c>
      <c r="BJ35" s="83">
        <v>9.7268487674883417</v>
      </c>
      <c r="BK35" s="83">
        <v>24.5836109260493</v>
      </c>
      <c r="BL35" s="83">
        <v>21.71885409726849</v>
      </c>
      <c r="BM35" s="78">
        <v>43.970686209193865</v>
      </c>
      <c r="BN35" s="62"/>
    </row>
    <row r="36" spans="1:66" ht="8.25" customHeight="1">
      <c r="A36" s="107">
        <v>356</v>
      </c>
      <c r="B36" s="74" t="s">
        <v>112</v>
      </c>
      <c r="C36" s="111">
        <f>VLOOKUP((A36),'2019_C4_Rohdaten_BA'!$A$10:$O$59,5,FALSE)</f>
        <v>1985</v>
      </c>
      <c r="D36" s="111">
        <f>VLOOKUP((A36),'2019_C4_Rohdaten_BA'!$A$10:$O$59,6,FALSE)</f>
        <v>1395</v>
      </c>
      <c r="E36" s="111">
        <f>VLOOKUP((A36),'2019_C4_Rohdaten_BA'!$A$10:$O$59,7,FALSE)</f>
        <v>590</v>
      </c>
      <c r="F36" s="69">
        <f>VLOOKUP((A36),'2019_C4_Rohdaten_BA'!$A$10:$O$59,12,FALSE)</f>
        <v>9.4206549118387901</v>
      </c>
      <c r="G36" s="69">
        <f>VLOOKUP((A36),'2019_C4_Rohdaten_BA'!$A$10:$O$59,13,FALSE)</f>
        <v>32.695214105793454</v>
      </c>
      <c r="H36" s="69">
        <f>VLOOKUP((A36),'2019_C4_Rohdaten_BA'!$A$10:$O$59,14,FALSE)</f>
        <v>26.347607052896727</v>
      </c>
      <c r="I36" s="69">
        <f>VLOOKUP((A36),'2019_C4_Rohdaten_BA'!$A$10:$O$59,15,FALSE)</f>
        <v>31.536523929471034</v>
      </c>
      <c r="J36" s="112">
        <v>24683</v>
      </c>
      <c r="K36" s="112">
        <v>12035</v>
      </c>
      <c r="L36" s="112">
        <v>12648</v>
      </c>
      <c r="M36" s="75">
        <v>9.9823840281855549</v>
      </c>
      <c r="N36" s="75">
        <v>33.352906635349385</v>
      </c>
      <c r="O36" s="75">
        <v>25.425719318849087</v>
      </c>
      <c r="P36" s="75">
        <v>31.238990017615968</v>
      </c>
      <c r="Q36" s="112">
        <v>1491</v>
      </c>
      <c r="R36" s="112">
        <v>1002</v>
      </c>
      <c r="S36" s="112">
        <v>489</v>
      </c>
      <c r="T36" s="75">
        <v>23.205902079141516</v>
      </c>
      <c r="U36" s="75">
        <v>33.936955063715629</v>
      </c>
      <c r="V36" s="75">
        <v>10.395707578806171</v>
      </c>
      <c r="W36" s="75">
        <v>32.461435278336687</v>
      </c>
      <c r="X36" s="112">
        <v>1321</v>
      </c>
      <c r="Y36" s="112">
        <v>905</v>
      </c>
      <c r="Z36" s="112">
        <v>416</v>
      </c>
      <c r="AA36" s="75">
        <v>24.678274034822103</v>
      </c>
      <c r="AB36" s="75">
        <v>33.232399697199092</v>
      </c>
      <c r="AC36" s="75">
        <v>8.4027252081756245</v>
      </c>
      <c r="AD36" s="75">
        <v>33.686601059803181</v>
      </c>
      <c r="AE36" s="57">
        <v>1054</v>
      </c>
      <c r="AF36" s="57">
        <v>700</v>
      </c>
      <c r="AG36" s="57">
        <v>354</v>
      </c>
      <c r="AH36" s="29">
        <v>7.9696394686907022</v>
      </c>
      <c r="AI36" s="29">
        <v>37.950664136622393</v>
      </c>
      <c r="AJ36" s="29">
        <v>22.485768500948765</v>
      </c>
      <c r="AK36" s="29">
        <v>31.59392789373814</v>
      </c>
      <c r="AL36" s="57">
        <v>989</v>
      </c>
      <c r="AM36" s="57">
        <v>675</v>
      </c>
      <c r="AN36" s="57">
        <v>314</v>
      </c>
      <c r="AO36" s="29">
        <v>6.6734074823053584</v>
      </c>
      <c r="AP36" s="29">
        <v>34.681496461071795</v>
      </c>
      <c r="AQ36" s="29">
        <v>24.165824064711831</v>
      </c>
      <c r="AR36" s="29">
        <v>34.47927199191102</v>
      </c>
      <c r="AS36" s="57">
        <v>909</v>
      </c>
      <c r="AT36" s="57">
        <v>612</v>
      </c>
      <c r="AU36" s="57">
        <v>297</v>
      </c>
      <c r="AV36" s="29">
        <v>4.5104510451045101</v>
      </c>
      <c r="AW36" s="29">
        <v>31.573157315731574</v>
      </c>
      <c r="AX36" s="29">
        <v>22.442244224422442</v>
      </c>
      <c r="AY36" s="29">
        <v>41.474147414741473</v>
      </c>
      <c r="AZ36" s="57">
        <v>775</v>
      </c>
      <c r="BA36" s="57">
        <v>503</v>
      </c>
      <c r="BB36" s="57">
        <v>272</v>
      </c>
      <c r="BC36" s="83">
        <v>3.225806451612903</v>
      </c>
      <c r="BD36" s="83">
        <v>28.258064516129032</v>
      </c>
      <c r="BE36" s="83">
        <v>18.70967741935484</v>
      </c>
      <c r="BF36" s="83">
        <v>49.806451612903217</v>
      </c>
      <c r="BG36" s="57">
        <v>645</v>
      </c>
      <c r="BH36" s="57">
        <v>403</v>
      </c>
      <c r="BI36" s="57">
        <v>242</v>
      </c>
      <c r="BJ36" s="83">
        <v>2.3255813953488373</v>
      </c>
      <c r="BK36" s="83">
        <v>25.736434108527135</v>
      </c>
      <c r="BL36" s="83">
        <v>19.224806201550386</v>
      </c>
      <c r="BM36" s="78">
        <v>52.713178294573638</v>
      </c>
      <c r="BN36" s="62"/>
    </row>
    <row r="37" spans="1:66" ht="8.25" customHeight="1">
      <c r="A37" s="107">
        <v>357</v>
      </c>
      <c r="B37" s="74" t="s">
        <v>113</v>
      </c>
      <c r="C37" s="111">
        <f>VLOOKUP((A37),'2019_C4_Rohdaten_BA'!$A$10:$O$59,5,FALSE)</f>
        <v>4111</v>
      </c>
      <c r="D37" s="111">
        <f>VLOOKUP((A37),'2019_C4_Rohdaten_BA'!$A$10:$O$59,6,FALSE)</f>
        <v>2823</v>
      </c>
      <c r="E37" s="111">
        <f>VLOOKUP((A37),'2019_C4_Rohdaten_BA'!$A$10:$O$59,7,FALSE)</f>
        <v>1288</v>
      </c>
      <c r="F37" s="69">
        <f>VLOOKUP((A37),'2019_C4_Rohdaten_BA'!$A$10:$O$59,12,FALSE)</f>
        <v>8.878618341036244</v>
      </c>
      <c r="G37" s="69">
        <f>VLOOKUP((A37),'2019_C4_Rohdaten_BA'!$A$10:$O$59,13,FALSE)</f>
        <v>35.879348090488932</v>
      </c>
      <c r="H37" s="69">
        <f>VLOOKUP((A37),'2019_C4_Rohdaten_BA'!$A$10:$O$59,14,FALSE)</f>
        <v>23.960107029919726</v>
      </c>
      <c r="I37" s="69">
        <f>VLOOKUP((A37),'2019_C4_Rohdaten_BA'!$A$10:$O$59,15,FALSE)</f>
        <v>31.281926538555098</v>
      </c>
      <c r="J37" s="112">
        <v>52095</v>
      </c>
      <c r="K37" s="112">
        <v>26906</v>
      </c>
      <c r="L37" s="112">
        <v>25189</v>
      </c>
      <c r="M37" s="75">
        <v>8.7077093732667787</v>
      </c>
      <c r="N37" s="75">
        <v>34.803105934553521</v>
      </c>
      <c r="O37" s="75">
        <v>22.462562396006653</v>
      </c>
      <c r="P37" s="75">
        <v>34.026622296173045</v>
      </c>
      <c r="Q37" s="112">
        <v>3356</v>
      </c>
      <c r="R37" s="112">
        <v>2263</v>
      </c>
      <c r="S37" s="112">
        <v>1093</v>
      </c>
      <c r="T37" s="75">
        <v>19.338498212157329</v>
      </c>
      <c r="U37" s="75">
        <v>37.216924910607865</v>
      </c>
      <c r="V37" s="75">
        <v>8.9094159713945178</v>
      </c>
      <c r="W37" s="75">
        <v>34.535160905840286</v>
      </c>
      <c r="X37" s="112">
        <v>2984</v>
      </c>
      <c r="Y37" s="112">
        <v>1975</v>
      </c>
      <c r="Z37" s="112">
        <v>1009</v>
      </c>
      <c r="AA37" s="75">
        <v>16.823056300268096</v>
      </c>
      <c r="AB37" s="75">
        <v>40.214477211796243</v>
      </c>
      <c r="AC37" s="75">
        <v>8.8136729222520103</v>
      </c>
      <c r="AD37" s="75">
        <v>34.148793565683647</v>
      </c>
      <c r="AE37" s="57">
        <v>2229</v>
      </c>
      <c r="AF37" s="57">
        <v>1487</v>
      </c>
      <c r="AG37" s="57">
        <v>742</v>
      </c>
      <c r="AH37" s="29">
        <v>10.273665320771647</v>
      </c>
      <c r="AI37" s="29">
        <v>31.942575145805296</v>
      </c>
      <c r="AJ37" s="29">
        <v>19.02198295199641</v>
      </c>
      <c r="AK37" s="29">
        <v>38.761776581426652</v>
      </c>
      <c r="AL37" s="57">
        <v>2018</v>
      </c>
      <c r="AM37" s="57">
        <v>1339</v>
      </c>
      <c r="AN37" s="57">
        <v>679</v>
      </c>
      <c r="AO37" s="29">
        <v>9.4648166501486628</v>
      </c>
      <c r="AP37" s="29">
        <v>31.318136769078297</v>
      </c>
      <c r="AQ37" s="29">
        <v>18.334985133795836</v>
      </c>
      <c r="AR37" s="29">
        <v>40.882061446977204</v>
      </c>
      <c r="AS37" s="57">
        <v>1752</v>
      </c>
      <c r="AT37" s="57">
        <v>1116</v>
      </c>
      <c r="AU37" s="57">
        <v>636</v>
      </c>
      <c r="AV37" s="29">
        <v>9.1894977168949765</v>
      </c>
      <c r="AW37" s="29">
        <v>27.853881278538811</v>
      </c>
      <c r="AX37" s="29">
        <v>17.751141552511417</v>
      </c>
      <c r="AY37" s="29">
        <v>45.205479452054803</v>
      </c>
      <c r="AZ37" s="57">
        <v>1437</v>
      </c>
      <c r="BA37" s="57">
        <v>875</v>
      </c>
      <c r="BB37" s="57">
        <v>562</v>
      </c>
      <c r="BC37" s="83">
        <v>6.8197633959638138</v>
      </c>
      <c r="BD37" s="83">
        <v>27.20946416144746</v>
      </c>
      <c r="BE37" s="83">
        <v>27.905358385525403</v>
      </c>
      <c r="BF37" s="83">
        <v>38.065414057063329</v>
      </c>
      <c r="BG37" s="57">
        <v>1295</v>
      </c>
      <c r="BH37" s="57">
        <v>791</v>
      </c>
      <c r="BI37" s="57">
        <v>504</v>
      </c>
      <c r="BJ37" s="83">
        <v>6.2548262548262556</v>
      </c>
      <c r="BK37" s="83">
        <v>28.108108108108109</v>
      </c>
      <c r="BL37" s="83">
        <v>32.972972972972975</v>
      </c>
      <c r="BM37" s="78">
        <v>32.664092664092664</v>
      </c>
      <c r="BN37" s="62"/>
    </row>
    <row r="38" spans="1:66" ht="8.25" customHeight="1">
      <c r="A38" s="107">
        <v>358</v>
      </c>
      <c r="B38" s="74" t="s">
        <v>114</v>
      </c>
      <c r="C38" s="111">
        <f>VLOOKUP((A38),'2019_C4_Rohdaten_BA'!$A$10:$O$59,5,FALSE)</f>
        <v>4245</v>
      </c>
      <c r="D38" s="111">
        <f>VLOOKUP((A38),'2019_C4_Rohdaten_BA'!$A$10:$O$59,6,FALSE)</f>
        <v>2765</v>
      </c>
      <c r="E38" s="111">
        <f>VLOOKUP((A38),'2019_C4_Rohdaten_BA'!$A$10:$O$59,7,FALSE)</f>
        <v>1480</v>
      </c>
      <c r="F38" s="69">
        <f>VLOOKUP((A38),'2019_C4_Rohdaten_BA'!$A$10:$O$59,12,FALSE)</f>
        <v>7.4676089517078914</v>
      </c>
      <c r="G38" s="69">
        <f>VLOOKUP((A38),'2019_C4_Rohdaten_BA'!$A$10:$O$59,13,FALSE)</f>
        <v>35.948174322732626</v>
      </c>
      <c r="H38" s="69">
        <f>VLOOKUP((A38),'2019_C4_Rohdaten_BA'!$A$10:$O$59,14,FALSE)</f>
        <v>21.43698468786808</v>
      </c>
      <c r="I38" s="69">
        <f>VLOOKUP((A38),'2019_C4_Rohdaten_BA'!$A$10:$O$59,15,FALSE)</f>
        <v>35.147232037691403</v>
      </c>
      <c r="J38" s="112">
        <v>43669</v>
      </c>
      <c r="K38" s="112">
        <v>22261</v>
      </c>
      <c r="L38" s="112">
        <v>21408</v>
      </c>
      <c r="M38" s="75">
        <v>7.3742428232815378</v>
      </c>
      <c r="N38" s="75">
        <v>36.792204371872536</v>
      </c>
      <c r="O38" s="75">
        <v>20.858572557282066</v>
      </c>
      <c r="P38" s="75">
        <v>34.974980247563863</v>
      </c>
      <c r="Q38" s="112">
        <v>3290</v>
      </c>
      <c r="R38" s="112">
        <v>2171</v>
      </c>
      <c r="S38" s="112">
        <v>1119</v>
      </c>
      <c r="T38" s="75">
        <v>21.124620060790271</v>
      </c>
      <c r="U38" s="75">
        <v>35.775075987841944</v>
      </c>
      <c r="V38" s="75">
        <v>7.5379939209726441</v>
      </c>
      <c r="W38" s="75">
        <v>35.562310030395139</v>
      </c>
      <c r="X38" s="112">
        <v>2855</v>
      </c>
      <c r="Y38" s="112">
        <v>1854</v>
      </c>
      <c r="Z38" s="112">
        <v>1001</v>
      </c>
      <c r="AA38" s="75">
        <v>21.190893169877409</v>
      </c>
      <c r="AB38" s="75">
        <v>36.812609457092819</v>
      </c>
      <c r="AC38" s="75">
        <v>7.8809106830122584</v>
      </c>
      <c r="AD38" s="75">
        <v>34.115586690017516</v>
      </c>
      <c r="AE38" s="57">
        <v>2484</v>
      </c>
      <c r="AF38" s="57">
        <v>1634</v>
      </c>
      <c r="AG38" s="57">
        <v>850</v>
      </c>
      <c r="AH38" s="29">
        <v>7.7294685990338161</v>
      </c>
      <c r="AI38" s="29">
        <v>37.721417069243159</v>
      </c>
      <c r="AJ38" s="29">
        <v>19.404186795491142</v>
      </c>
      <c r="AK38" s="29">
        <v>35.144927536231883</v>
      </c>
      <c r="AL38" s="57">
        <v>2268</v>
      </c>
      <c r="AM38" s="57">
        <v>1510</v>
      </c>
      <c r="AN38" s="57">
        <v>758</v>
      </c>
      <c r="AO38" s="29">
        <v>7.4955908289241622</v>
      </c>
      <c r="AP38" s="29">
        <v>37.213403880070544</v>
      </c>
      <c r="AQ38" s="29">
        <v>18.562610229276896</v>
      </c>
      <c r="AR38" s="29">
        <v>36.728395061728392</v>
      </c>
      <c r="AS38" s="57">
        <v>2105</v>
      </c>
      <c r="AT38" s="57">
        <v>1391</v>
      </c>
      <c r="AU38" s="57">
        <v>714</v>
      </c>
      <c r="AV38" s="29">
        <v>5.3681710213776723</v>
      </c>
      <c r="AW38" s="29">
        <v>30.023752969121141</v>
      </c>
      <c r="AX38" s="29">
        <v>16.959619952494062</v>
      </c>
      <c r="AY38" s="29">
        <v>47.648456057007124</v>
      </c>
      <c r="AZ38" s="57">
        <v>1726</v>
      </c>
      <c r="BA38" s="57">
        <v>1114</v>
      </c>
      <c r="BB38" s="57">
        <v>612</v>
      </c>
      <c r="BC38" s="83">
        <v>4.6349942062572422</v>
      </c>
      <c r="BD38" s="83">
        <v>26.709154113557361</v>
      </c>
      <c r="BE38" s="83">
        <v>24.449594438006951</v>
      </c>
      <c r="BF38" s="83">
        <v>44.206257242178445</v>
      </c>
      <c r="BG38" s="57">
        <v>1605</v>
      </c>
      <c r="BH38" s="57">
        <v>1029</v>
      </c>
      <c r="BI38" s="57">
        <v>576</v>
      </c>
      <c r="BJ38" s="83">
        <v>3.0529595015576323</v>
      </c>
      <c r="BK38" s="83">
        <v>26.915887850467289</v>
      </c>
      <c r="BL38" s="83">
        <v>25.420560747663551</v>
      </c>
      <c r="BM38" s="78">
        <v>44.610591900311526</v>
      </c>
      <c r="BN38" s="62"/>
    </row>
    <row r="39" spans="1:66" ht="8.25" customHeight="1">
      <c r="A39" s="107">
        <v>359</v>
      </c>
      <c r="B39" s="74" t="s">
        <v>115</v>
      </c>
      <c r="C39" s="111">
        <f>VLOOKUP((A39),'2019_C4_Rohdaten_BA'!$A$10:$O$59,5,FALSE)</f>
        <v>5633</v>
      </c>
      <c r="D39" s="111">
        <f>VLOOKUP((A39),'2019_C4_Rohdaten_BA'!$A$10:$O$59,6,FALSE)</f>
        <v>4017</v>
      </c>
      <c r="E39" s="111">
        <f>VLOOKUP((A39),'2019_C4_Rohdaten_BA'!$A$10:$O$59,7,FALSE)</f>
        <v>1616</v>
      </c>
      <c r="F39" s="69">
        <f>VLOOKUP((A39),'2019_C4_Rohdaten_BA'!$A$10:$O$59,12,FALSE)</f>
        <v>8.2904313864725729</v>
      </c>
      <c r="G39" s="69">
        <f>VLOOKUP((A39),'2019_C4_Rohdaten_BA'!$A$10:$O$59,13,FALSE)</f>
        <v>24.729273921533817</v>
      </c>
      <c r="H39" s="69">
        <f>VLOOKUP((A39),'2019_C4_Rohdaten_BA'!$A$10:$O$59,14,FALSE)</f>
        <v>22.048641931475235</v>
      </c>
      <c r="I39" s="69">
        <f>VLOOKUP((A39),'2019_C4_Rohdaten_BA'!$A$10:$O$59,15,FALSE)</f>
        <v>44.931652760518375</v>
      </c>
      <c r="J39" s="112">
        <v>57029</v>
      </c>
      <c r="K39" s="112">
        <v>29121</v>
      </c>
      <c r="L39" s="112">
        <v>27908</v>
      </c>
      <c r="M39" s="75">
        <v>7.7137176938369789</v>
      </c>
      <c r="N39" s="75">
        <v>25.347912524850898</v>
      </c>
      <c r="O39" s="75">
        <v>20.656063618290258</v>
      </c>
      <c r="P39" s="75">
        <v>46.282306163021872</v>
      </c>
      <c r="Q39" s="112">
        <v>4514</v>
      </c>
      <c r="R39" s="112">
        <v>3241</v>
      </c>
      <c r="S39" s="112">
        <v>1273</v>
      </c>
      <c r="T39" s="75">
        <v>18.365086397873284</v>
      </c>
      <c r="U39" s="75">
        <v>25.963668586619406</v>
      </c>
      <c r="V39" s="75">
        <v>7.9973416038989802</v>
      </c>
      <c r="W39" s="75">
        <v>47.673903411608329</v>
      </c>
      <c r="X39" s="112">
        <v>4321</v>
      </c>
      <c r="Y39" s="112">
        <v>3253</v>
      </c>
      <c r="Z39" s="112">
        <v>1068</v>
      </c>
      <c r="AA39" s="75">
        <v>15.667669520944225</v>
      </c>
      <c r="AB39" s="75">
        <v>24.369358944688731</v>
      </c>
      <c r="AC39" s="75">
        <v>7.4288359176116634</v>
      </c>
      <c r="AD39" s="75">
        <v>52.534135616755385</v>
      </c>
      <c r="AE39" s="57">
        <v>4157</v>
      </c>
      <c r="AF39" s="57">
        <v>3195</v>
      </c>
      <c r="AG39" s="57">
        <v>962</v>
      </c>
      <c r="AH39" s="29">
        <v>6.3988453211450569</v>
      </c>
      <c r="AI39" s="29">
        <v>25.066153476064468</v>
      </c>
      <c r="AJ39" s="29">
        <v>13.302862641327881</v>
      </c>
      <c r="AK39" s="29">
        <v>55.232138561462591</v>
      </c>
      <c r="AL39" s="57">
        <v>4176</v>
      </c>
      <c r="AM39" s="57">
        <v>3228</v>
      </c>
      <c r="AN39" s="57">
        <v>948</v>
      </c>
      <c r="AO39" s="29">
        <v>6.1781609195402298</v>
      </c>
      <c r="AP39" s="29">
        <v>24.305555555555554</v>
      </c>
      <c r="AQ39" s="29">
        <v>11.422413793103448</v>
      </c>
      <c r="AR39" s="29">
        <v>58.093869731800766</v>
      </c>
      <c r="AS39" s="57">
        <v>3996</v>
      </c>
      <c r="AT39" s="57">
        <v>3142</v>
      </c>
      <c r="AU39" s="57">
        <v>854</v>
      </c>
      <c r="AV39" s="29">
        <v>6.1311311311311307</v>
      </c>
      <c r="AW39" s="29">
        <v>22.797797797797799</v>
      </c>
      <c r="AX39" s="29">
        <v>9.5095095095095097</v>
      </c>
      <c r="AY39" s="29">
        <v>61.561561561561561</v>
      </c>
      <c r="AZ39" s="57">
        <v>3800</v>
      </c>
      <c r="BA39" s="57">
        <v>3172</v>
      </c>
      <c r="BB39" s="57">
        <v>628</v>
      </c>
      <c r="BC39" s="83">
        <v>10.710526315789473</v>
      </c>
      <c r="BD39" s="83">
        <v>22.973684210526315</v>
      </c>
      <c r="BE39" s="83">
        <v>7.8157894736842106</v>
      </c>
      <c r="BF39" s="83">
        <v>58.500000000000007</v>
      </c>
      <c r="BG39" s="57">
        <v>3469</v>
      </c>
      <c r="BH39" s="57">
        <v>2915</v>
      </c>
      <c r="BI39" s="57">
        <v>554</v>
      </c>
      <c r="BJ39" s="83">
        <v>9.7722686653214179</v>
      </c>
      <c r="BK39" s="83">
        <v>23.320841741135773</v>
      </c>
      <c r="BL39" s="83">
        <v>8.8209858748918997</v>
      </c>
      <c r="BM39" s="78">
        <v>58.085903718650897</v>
      </c>
      <c r="BN39" s="62"/>
    </row>
    <row r="40" spans="1:66" ht="8.25" customHeight="1">
      <c r="A40" s="107">
        <v>360</v>
      </c>
      <c r="B40" s="74" t="s">
        <v>116</v>
      </c>
      <c r="C40" s="111">
        <f>VLOOKUP((A40),'2019_C4_Rohdaten_BA'!$A$10:$O$59,5,FALSE)</f>
        <v>1615</v>
      </c>
      <c r="D40" s="111">
        <f>VLOOKUP((A40),'2019_C4_Rohdaten_BA'!$A$10:$O$59,6,FALSE)</f>
        <v>1016</v>
      </c>
      <c r="E40" s="111">
        <f>VLOOKUP((A40),'2019_C4_Rohdaten_BA'!$A$10:$O$59,7,FALSE)</f>
        <v>599</v>
      </c>
      <c r="F40" s="69">
        <f>VLOOKUP((A40),'2019_C4_Rohdaten_BA'!$A$10:$O$59,12,FALSE)</f>
        <v>14.489164086687307</v>
      </c>
      <c r="G40" s="69">
        <f>VLOOKUP((A40),'2019_C4_Rohdaten_BA'!$A$10:$O$59,13,FALSE)</f>
        <v>35.60371517027864</v>
      </c>
      <c r="H40" s="69">
        <f>VLOOKUP((A40),'2019_C4_Rohdaten_BA'!$A$10:$O$59,14,FALSE)</f>
        <v>22.229102167182663</v>
      </c>
      <c r="I40" s="69">
        <f>VLOOKUP((A40),'2019_C4_Rohdaten_BA'!$A$10:$O$59,15,FALSE)</f>
        <v>27.678018575851393</v>
      </c>
      <c r="J40" s="112">
        <v>28188</v>
      </c>
      <c r="K40" s="112">
        <v>13232</v>
      </c>
      <c r="L40" s="112">
        <v>14956</v>
      </c>
      <c r="M40" s="75">
        <v>14.578910120311395</v>
      </c>
      <c r="N40" s="75">
        <v>34.748761500353858</v>
      </c>
      <c r="O40" s="75">
        <v>19.53290870488323</v>
      </c>
      <c r="P40" s="75">
        <v>31.139419674451524</v>
      </c>
      <c r="Q40" s="112">
        <v>1245</v>
      </c>
      <c r="R40" s="112">
        <v>750</v>
      </c>
      <c r="S40" s="112">
        <v>495</v>
      </c>
      <c r="T40" s="75">
        <v>17.831325301204821</v>
      </c>
      <c r="U40" s="75">
        <v>32.690763052208837</v>
      </c>
      <c r="V40" s="75">
        <v>16.626506024096386</v>
      </c>
      <c r="W40" s="75">
        <v>32.851405622489963</v>
      </c>
      <c r="X40" s="112">
        <v>1068</v>
      </c>
      <c r="Y40" s="112">
        <v>660</v>
      </c>
      <c r="Z40" s="112">
        <v>408</v>
      </c>
      <c r="AA40" s="75">
        <v>17.977528089887642</v>
      </c>
      <c r="AB40" s="75">
        <v>35.018726591760299</v>
      </c>
      <c r="AC40" s="75">
        <v>16.292134831460675</v>
      </c>
      <c r="AD40" s="75">
        <v>30.711610486891384</v>
      </c>
      <c r="AE40" s="57">
        <v>962</v>
      </c>
      <c r="AF40" s="57">
        <v>570</v>
      </c>
      <c r="AG40" s="57">
        <v>392</v>
      </c>
      <c r="AH40" s="29">
        <v>16.735966735966738</v>
      </c>
      <c r="AI40" s="29">
        <v>33.991683991683992</v>
      </c>
      <c r="AJ40" s="29">
        <v>16.424116424116423</v>
      </c>
      <c r="AK40" s="29">
        <v>32.848232848232854</v>
      </c>
      <c r="AL40" s="57">
        <v>857</v>
      </c>
      <c r="AM40" s="57">
        <v>501</v>
      </c>
      <c r="AN40" s="57">
        <v>356</v>
      </c>
      <c r="AO40" s="29">
        <v>14.935822637106183</v>
      </c>
      <c r="AP40" s="29">
        <v>34.189031505250881</v>
      </c>
      <c r="AQ40" s="29">
        <v>15.402567094515755</v>
      </c>
      <c r="AR40" s="29">
        <v>35.472578763127174</v>
      </c>
      <c r="AS40" s="57">
        <v>752</v>
      </c>
      <c r="AT40" s="57">
        <v>437</v>
      </c>
      <c r="AU40" s="57">
        <v>315</v>
      </c>
      <c r="AV40" s="29">
        <v>12.5</v>
      </c>
      <c r="AW40" s="29">
        <v>29.920212765957448</v>
      </c>
      <c r="AX40" s="29">
        <v>11.569148936170212</v>
      </c>
      <c r="AY40" s="29">
        <v>46.010638297872347</v>
      </c>
      <c r="AZ40" s="57">
        <v>596</v>
      </c>
      <c r="BA40" s="57">
        <v>361</v>
      </c>
      <c r="BB40" s="57">
        <v>235</v>
      </c>
      <c r="BC40" s="83">
        <v>9.2281879194630871</v>
      </c>
      <c r="BD40" s="83">
        <v>29.194630872483224</v>
      </c>
      <c r="BE40" s="83">
        <v>11.409395973154362</v>
      </c>
      <c r="BF40" s="83">
        <v>50.167785234899327</v>
      </c>
      <c r="BG40" s="57">
        <v>523</v>
      </c>
      <c r="BH40" s="57">
        <v>310</v>
      </c>
      <c r="BI40" s="57">
        <v>213</v>
      </c>
      <c r="BJ40" s="83">
        <v>7.4569789674952203</v>
      </c>
      <c r="BK40" s="83">
        <v>31.166347992351817</v>
      </c>
      <c r="BL40" s="83">
        <v>12.619502868068832</v>
      </c>
      <c r="BM40" s="78">
        <v>48.75717017208413</v>
      </c>
      <c r="BN40" s="62"/>
    </row>
    <row r="41" spans="1:66" ht="8.25" customHeight="1">
      <c r="A41" s="107">
        <v>361</v>
      </c>
      <c r="B41" s="74" t="s">
        <v>117</v>
      </c>
      <c r="C41" s="111">
        <f>VLOOKUP((A41),'2019_C4_Rohdaten_BA'!$A$10:$O$59,5,FALSE)</f>
        <v>4890</v>
      </c>
      <c r="D41" s="111">
        <f>VLOOKUP((A41),'2019_C4_Rohdaten_BA'!$A$10:$O$59,6,FALSE)</f>
        <v>3456</v>
      </c>
      <c r="E41" s="111">
        <f>VLOOKUP((A41),'2019_C4_Rohdaten_BA'!$A$10:$O$59,7,FALSE)</f>
        <v>1434</v>
      </c>
      <c r="F41" s="69">
        <f>VLOOKUP((A41),'2019_C4_Rohdaten_BA'!$A$10:$O$59,12,FALSE)</f>
        <v>8.1186094069529648</v>
      </c>
      <c r="G41" s="69">
        <f>VLOOKUP((A41),'2019_C4_Rohdaten_BA'!$A$10:$O$59,13,FALSE)</f>
        <v>26.400817995910021</v>
      </c>
      <c r="H41" s="69">
        <f>VLOOKUP((A41),'2019_C4_Rohdaten_BA'!$A$10:$O$59,14,FALSE)</f>
        <v>26.012269938650306</v>
      </c>
      <c r="I41" s="69">
        <f>VLOOKUP((A41),'2019_C4_Rohdaten_BA'!$A$10:$O$59,15,FALSE)</f>
        <v>39.468302658486706</v>
      </c>
      <c r="J41" s="112">
        <v>42942</v>
      </c>
      <c r="K41" s="112">
        <v>22677</v>
      </c>
      <c r="L41" s="112">
        <v>20265</v>
      </c>
      <c r="M41" s="75">
        <v>8.2403824265877521</v>
      </c>
      <c r="N41" s="75">
        <v>26.178010471204189</v>
      </c>
      <c r="O41" s="75">
        <v>25.950375597541541</v>
      </c>
      <c r="P41" s="75">
        <v>39.631231504666516</v>
      </c>
      <c r="Q41" s="112">
        <v>3863</v>
      </c>
      <c r="R41" s="112">
        <v>2605</v>
      </c>
      <c r="S41" s="112">
        <v>1258</v>
      </c>
      <c r="T41" s="75">
        <v>25.213564587108468</v>
      </c>
      <c r="U41" s="75">
        <v>27.439813616360343</v>
      </c>
      <c r="V41" s="75">
        <v>9.2415221330572095</v>
      </c>
      <c r="W41" s="75">
        <v>38.105099663473986</v>
      </c>
      <c r="X41" s="112">
        <v>3287</v>
      </c>
      <c r="Y41" s="112">
        <v>2209</v>
      </c>
      <c r="Z41" s="112">
        <v>1078</v>
      </c>
      <c r="AA41" s="75">
        <v>25.585640401581987</v>
      </c>
      <c r="AB41" s="75">
        <v>29.327654396105874</v>
      </c>
      <c r="AC41" s="75">
        <v>10.495892911469424</v>
      </c>
      <c r="AD41" s="75">
        <v>34.590812290842713</v>
      </c>
      <c r="AE41" s="57">
        <v>2706</v>
      </c>
      <c r="AF41" s="57">
        <v>1764</v>
      </c>
      <c r="AG41" s="57">
        <v>942</v>
      </c>
      <c r="AH41" s="29">
        <v>11.936437546193645</v>
      </c>
      <c r="AI41" s="29">
        <v>31.300813008130078</v>
      </c>
      <c r="AJ41" s="29">
        <v>23.133776792313377</v>
      </c>
      <c r="AK41" s="29">
        <v>33.628972653362908</v>
      </c>
      <c r="AL41" s="57">
        <v>2427</v>
      </c>
      <c r="AM41" s="57">
        <v>1566</v>
      </c>
      <c r="AN41" s="57">
        <v>861</v>
      </c>
      <c r="AO41" s="29">
        <v>11.701689328388957</v>
      </c>
      <c r="AP41" s="29">
        <v>31.520395550061803</v>
      </c>
      <c r="AQ41" s="29">
        <v>25.751957148743305</v>
      </c>
      <c r="AR41" s="29">
        <v>31.025957972805934</v>
      </c>
      <c r="AS41" s="57">
        <v>2239</v>
      </c>
      <c r="AT41" s="57">
        <v>1434</v>
      </c>
      <c r="AU41" s="57">
        <v>805</v>
      </c>
      <c r="AV41" s="29">
        <v>10.45109423849933</v>
      </c>
      <c r="AW41" s="29">
        <v>28.271549799017421</v>
      </c>
      <c r="AX41" s="29">
        <v>24.47521214828048</v>
      </c>
      <c r="AY41" s="29">
        <v>36.802143814202772</v>
      </c>
      <c r="AZ41" s="57">
        <v>1943</v>
      </c>
      <c r="BA41" s="57">
        <v>1264</v>
      </c>
      <c r="BB41" s="57">
        <v>679</v>
      </c>
      <c r="BC41" s="83">
        <v>7.8229541945445193</v>
      </c>
      <c r="BD41" s="83">
        <v>24.395265054040145</v>
      </c>
      <c r="BE41" s="83">
        <v>33.093154915079772</v>
      </c>
      <c r="BF41" s="83">
        <v>34.688625836335568</v>
      </c>
      <c r="BG41" s="57">
        <v>1820</v>
      </c>
      <c r="BH41" s="57">
        <v>1195</v>
      </c>
      <c r="BI41" s="57">
        <v>625</v>
      </c>
      <c r="BJ41" s="83">
        <v>7.9670329670329663</v>
      </c>
      <c r="BK41" s="83">
        <v>24.945054945054945</v>
      </c>
      <c r="BL41" s="83">
        <v>36.483516483516482</v>
      </c>
      <c r="BM41" s="78">
        <v>30.604395604395602</v>
      </c>
      <c r="BN41" s="62"/>
    </row>
    <row r="42" spans="1:66" s="54" customFormat="1" ht="16.5" customHeight="1">
      <c r="A42" s="108">
        <v>3</v>
      </c>
      <c r="B42" s="84" t="s">
        <v>156</v>
      </c>
      <c r="C42" s="111">
        <f>VLOOKUP((A42),'2019_C4_Rohdaten_BA'!$A$10:$O$59,5,FALSE)</f>
        <v>44252</v>
      </c>
      <c r="D42" s="111">
        <f>VLOOKUP((A42),'2019_C4_Rohdaten_BA'!$A$10:$O$59,6,FALSE)</f>
        <v>30425</v>
      </c>
      <c r="E42" s="111">
        <f>VLOOKUP((A42),'2019_C4_Rohdaten_BA'!$A$10:$O$59,7,FALSE)</f>
        <v>13827</v>
      </c>
      <c r="F42" s="69">
        <f>VLOOKUP((A42),'2019_C4_Rohdaten_BA'!$A$10:$O$59,12,FALSE)</f>
        <v>9.0775558166862513</v>
      </c>
      <c r="G42" s="69">
        <f>VLOOKUP((A42),'2019_C4_Rohdaten_BA'!$A$10:$O$59,13,FALSE)</f>
        <v>29.944409292235378</v>
      </c>
      <c r="H42" s="69">
        <f>VLOOKUP((A42),'2019_C4_Rohdaten_BA'!$A$10:$O$59,14,FALSE)</f>
        <v>25.601102775015818</v>
      </c>
      <c r="I42" s="69">
        <f>VLOOKUP((A42),'2019_C4_Rohdaten_BA'!$A$10:$O$59,15,FALSE)</f>
        <v>35.376932116062548</v>
      </c>
      <c r="J42" s="113">
        <v>470697</v>
      </c>
      <c r="K42" s="113">
        <v>235251</v>
      </c>
      <c r="L42" s="113">
        <v>235446</v>
      </c>
      <c r="M42" s="85">
        <v>8.9156807700020053</v>
      </c>
      <c r="N42" s="85">
        <v>30.313815921395626</v>
      </c>
      <c r="O42" s="85">
        <v>24.067575696811712</v>
      </c>
      <c r="P42" s="85">
        <v>36.702927611790656</v>
      </c>
      <c r="Q42" s="113">
        <v>34592</v>
      </c>
      <c r="R42" s="113">
        <v>23121</v>
      </c>
      <c r="S42" s="113">
        <v>11471</v>
      </c>
      <c r="T42" s="85">
        <v>21.603260869565215</v>
      </c>
      <c r="U42" s="85">
        <v>30.923334875115632</v>
      </c>
      <c r="V42" s="85">
        <v>9.2622571692876967</v>
      </c>
      <c r="W42" s="85">
        <v>38.211147086031453</v>
      </c>
      <c r="X42" s="113">
        <v>30576</v>
      </c>
      <c r="Y42" s="113">
        <v>20392</v>
      </c>
      <c r="Z42" s="113">
        <v>10184</v>
      </c>
      <c r="AA42" s="85">
        <v>20.692700156985872</v>
      </c>
      <c r="AB42" s="85">
        <v>31.511643118785976</v>
      </c>
      <c r="AC42" s="85">
        <v>9.1542386185243316</v>
      </c>
      <c r="AD42" s="85">
        <v>38.641418105703821</v>
      </c>
      <c r="AE42" s="86">
        <v>26561</v>
      </c>
      <c r="AF42" s="86">
        <v>17714</v>
      </c>
      <c r="AG42" s="86">
        <v>8847</v>
      </c>
      <c r="AH42" s="87">
        <v>9.1939309513949024</v>
      </c>
      <c r="AI42" s="87">
        <v>31.45212906140582</v>
      </c>
      <c r="AJ42" s="87">
        <v>19.389330221000716</v>
      </c>
      <c r="AK42" s="87">
        <v>39.964609766198556</v>
      </c>
      <c r="AL42" s="86">
        <v>24090</v>
      </c>
      <c r="AM42" s="86">
        <v>16115</v>
      </c>
      <c r="AN42" s="86">
        <v>7975</v>
      </c>
      <c r="AO42" s="87">
        <v>8.9207139892071385</v>
      </c>
      <c r="AP42" s="87">
        <v>31.008717310087174</v>
      </c>
      <c r="AQ42" s="87">
        <v>19.057700290577003</v>
      </c>
      <c r="AR42" s="87">
        <v>41.012868410128682</v>
      </c>
      <c r="AS42" s="86">
        <v>22006</v>
      </c>
      <c r="AT42" s="86">
        <v>14556</v>
      </c>
      <c r="AU42" s="86">
        <v>7450</v>
      </c>
      <c r="AV42" s="87">
        <v>7.7387985094974105</v>
      </c>
      <c r="AW42" s="87">
        <v>27.292556575479416</v>
      </c>
      <c r="AX42" s="87">
        <v>17.299827319821866</v>
      </c>
      <c r="AY42" s="87">
        <v>47.668817595201304</v>
      </c>
      <c r="AZ42" s="86">
        <v>18471</v>
      </c>
      <c r="BA42" s="86">
        <v>12339</v>
      </c>
      <c r="BB42" s="86">
        <v>6132</v>
      </c>
      <c r="BC42" s="88">
        <v>7.4819988089437501</v>
      </c>
      <c r="BD42" s="88">
        <v>24.822695035460992</v>
      </c>
      <c r="BE42" s="88">
        <v>20.594445346759784</v>
      </c>
      <c r="BF42" s="88">
        <v>47.100860808835471</v>
      </c>
      <c r="BG42" s="86">
        <v>16854</v>
      </c>
      <c r="BH42" s="86">
        <v>11193</v>
      </c>
      <c r="BI42" s="86">
        <v>5661</v>
      </c>
      <c r="BJ42" s="88">
        <v>7.1140382105138249</v>
      </c>
      <c r="BK42" s="88">
        <v>25.246232348403939</v>
      </c>
      <c r="BL42" s="88">
        <v>21.870179185949922</v>
      </c>
      <c r="BM42" s="89">
        <v>45.769550255132316</v>
      </c>
      <c r="BN42" s="106"/>
    </row>
    <row r="43" spans="1:66" ht="8.25" customHeight="1">
      <c r="A43" s="107">
        <v>401</v>
      </c>
      <c r="B43" s="74" t="s">
        <v>139</v>
      </c>
      <c r="C43" s="111">
        <f>VLOOKUP((A43),'2019_C4_Rohdaten_BA'!$A$10:$O$59,5,FALSE)</f>
        <v>1802</v>
      </c>
      <c r="D43" s="111">
        <f>VLOOKUP((A43),'2019_C4_Rohdaten_BA'!$A$10:$O$59,6,FALSE)</f>
        <v>1145</v>
      </c>
      <c r="E43" s="111">
        <f>VLOOKUP((A43),'2019_C4_Rohdaten_BA'!$A$10:$O$59,7,FALSE)</f>
        <v>657</v>
      </c>
      <c r="F43" s="69">
        <f>VLOOKUP((A43),'2019_C4_Rohdaten_BA'!$A$10:$O$59,12,FALSE)</f>
        <v>9.3229744728079904</v>
      </c>
      <c r="G43" s="69">
        <f>VLOOKUP((A43),'2019_C4_Rohdaten_BA'!$A$10:$O$59,13,FALSE)</f>
        <v>30.965593784683684</v>
      </c>
      <c r="H43" s="69">
        <f>VLOOKUP((A43),'2019_C4_Rohdaten_BA'!$A$10:$O$59,14,FALSE)</f>
        <v>28.856825749167591</v>
      </c>
      <c r="I43" s="69">
        <f>VLOOKUP((A43),'2019_C4_Rohdaten_BA'!$A$10:$O$59,15,FALSE)</f>
        <v>30.854605993340734</v>
      </c>
      <c r="J43" s="112">
        <v>18808</v>
      </c>
      <c r="K43" s="112">
        <v>8571</v>
      </c>
      <c r="L43" s="112">
        <v>10237</v>
      </c>
      <c r="M43" s="75">
        <v>8.9630931458699479</v>
      </c>
      <c r="N43" s="75">
        <v>30.228471001757466</v>
      </c>
      <c r="O43" s="75">
        <v>27.123608670181603</v>
      </c>
      <c r="P43" s="75">
        <v>33.684827182190979</v>
      </c>
      <c r="Q43" s="112">
        <v>1536</v>
      </c>
      <c r="R43" s="112">
        <v>891</v>
      </c>
      <c r="S43" s="112">
        <v>645</v>
      </c>
      <c r="T43" s="75">
        <v>26.432291666666668</v>
      </c>
      <c r="U43" s="75">
        <v>30.2734375</v>
      </c>
      <c r="V43" s="75">
        <v>8.984375</v>
      </c>
      <c r="W43" s="75">
        <v>34.309895833333329</v>
      </c>
      <c r="X43" s="112">
        <v>1350</v>
      </c>
      <c r="Y43" s="112">
        <v>754</v>
      </c>
      <c r="Z43" s="112">
        <v>596</v>
      </c>
      <c r="AA43" s="75">
        <v>26.888888888888889</v>
      </c>
      <c r="AB43" s="75">
        <v>29.407407407407408</v>
      </c>
      <c r="AC43" s="75">
        <v>8.6666666666666679</v>
      </c>
      <c r="AD43" s="75">
        <v>35.037037037037038</v>
      </c>
      <c r="AE43" s="57">
        <v>1165</v>
      </c>
      <c r="AF43" s="57">
        <v>617</v>
      </c>
      <c r="AG43" s="57">
        <v>548</v>
      </c>
      <c r="AH43" s="29">
        <v>8.7553648068669521</v>
      </c>
      <c r="AI43" s="29">
        <v>28.412017167381975</v>
      </c>
      <c r="AJ43" s="29">
        <v>25.321888412017167</v>
      </c>
      <c r="AK43" s="29">
        <v>37.510729613733915</v>
      </c>
      <c r="AL43" s="57">
        <v>1088</v>
      </c>
      <c r="AM43" s="57">
        <v>588</v>
      </c>
      <c r="AN43" s="57">
        <v>500</v>
      </c>
      <c r="AO43" s="29">
        <v>6.5257352941176476</v>
      </c>
      <c r="AP43" s="29">
        <v>27.113970588235293</v>
      </c>
      <c r="AQ43" s="29">
        <v>26.286764705882355</v>
      </c>
      <c r="AR43" s="29">
        <v>40.073529411764717</v>
      </c>
      <c r="AS43" s="57">
        <v>1035</v>
      </c>
      <c r="AT43" s="57">
        <v>515</v>
      </c>
      <c r="AU43" s="57">
        <v>520</v>
      </c>
      <c r="AV43" s="29">
        <v>4.1545893719806761</v>
      </c>
      <c r="AW43" s="29">
        <v>23.188405797101449</v>
      </c>
      <c r="AX43" s="29">
        <v>18.55072463768116</v>
      </c>
      <c r="AY43" s="29">
        <v>54.106280193236714</v>
      </c>
      <c r="AZ43" s="57">
        <v>915</v>
      </c>
      <c r="BA43" s="57">
        <v>474</v>
      </c>
      <c r="BB43" s="57">
        <v>441</v>
      </c>
      <c r="BC43" s="83">
        <v>3.6065573770491808</v>
      </c>
      <c r="BD43" s="83">
        <v>23.169398907103826</v>
      </c>
      <c r="BE43" s="83">
        <v>18.797814207650273</v>
      </c>
      <c r="BF43" s="83">
        <v>54.42622950819672</v>
      </c>
      <c r="BG43" s="57">
        <v>774</v>
      </c>
      <c r="BH43" s="57">
        <v>404</v>
      </c>
      <c r="BI43" s="57">
        <v>370</v>
      </c>
      <c r="BJ43" s="83">
        <v>3.6175710594315245</v>
      </c>
      <c r="BK43" s="83">
        <v>25.710594315245476</v>
      </c>
      <c r="BL43" s="83">
        <v>18.475452196382431</v>
      </c>
      <c r="BM43" s="78">
        <v>52.196382428940566</v>
      </c>
      <c r="BN43" s="62"/>
    </row>
    <row r="44" spans="1:66" ht="8.25" customHeight="1">
      <c r="A44" s="107">
        <v>402</v>
      </c>
      <c r="B44" s="74" t="s">
        <v>140</v>
      </c>
      <c r="C44" s="111">
        <f>VLOOKUP((A44),'2019_C4_Rohdaten_BA'!$A$10:$O$59,5,FALSE)</f>
        <v>1927</v>
      </c>
      <c r="D44" s="111">
        <f>VLOOKUP((A44),'2019_C4_Rohdaten_BA'!$A$10:$O$59,6,FALSE)</f>
        <v>1437</v>
      </c>
      <c r="E44" s="111">
        <f>VLOOKUP((A44),'2019_C4_Rohdaten_BA'!$A$10:$O$59,7,FALSE)</f>
        <v>490</v>
      </c>
      <c r="F44" s="69">
        <f>VLOOKUP((A44),'2019_C4_Rohdaten_BA'!$A$10:$O$59,12,FALSE)</f>
        <v>9.2371562013492472</v>
      </c>
      <c r="G44" s="69">
        <f>VLOOKUP((A44),'2019_C4_Rohdaten_BA'!$A$10:$O$59,13,FALSE)</f>
        <v>33.834976647638818</v>
      </c>
      <c r="H44" s="69">
        <f>VLOOKUP((A44),'2019_C4_Rohdaten_BA'!$A$10:$O$59,14,FALSE)</f>
        <v>26.466009340944474</v>
      </c>
      <c r="I44" s="69">
        <f>VLOOKUP((A44),'2019_C4_Rohdaten_BA'!$A$10:$O$59,15,FALSE)</f>
        <v>30.461857810067464</v>
      </c>
      <c r="J44" s="112">
        <v>32746</v>
      </c>
      <c r="K44" s="112">
        <v>21967</v>
      </c>
      <c r="L44" s="112">
        <v>10779</v>
      </c>
      <c r="M44" s="75">
        <v>8.9716684155299049</v>
      </c>
      <c r="N44" s="75">
        <v>35.88667366211962</v>
      </c>
      <c r="O44" s="75">
        <v>26.495278069254987</v>
      </c>
      <c r="P44" s="75">
        <v>28.646379853095489</v>
      </c>
      <c r="Q44" s="112">
        <v>1621</v>
      </c>
      <c r="R44" s="112">
        <v>1203</v>
      </c>
      <c r="S44" s="112">
        <v>418</v>
      </c>
      <c r="T44" s="75">
        <v>23.874151758173966</v>
      </c>
      <c r="U44" s="75">
        <v>38.433066008636644</v>
      </c>
      <c r="V44" s="75">
        <v>9.8704503392967311</v>
      </c>
      <c r="W44" s="75">
        <v>27.82233189389266</v>
      </c>
      <c r="X44" s="112">
        <v>1508</v>
      </c>
      <c r="Y44" s="112">
        <v>1127</v>
      </c>
      <c r="Z44" s="112">
        <v>381</v>
      </c>
      <c r="AA44" s="75">
        <v>22.745358090185679</v>
      </c>
      <c r="AB44" s="75">
        <v>40.318302387267906</v>
      </c>
      <c r="AC44" s="75">
        <v>9.0185676392572933</v>
      </c>
      <c r="AD44" s="75">
        <v>27.91777188328912</v>
      </c>
      <c r="AE44" s="57">
        <v>1507</v>
      </c>
      <c r="AF44" s="57">
        <v>1196</v>
      </c>
      <c r="AG44" s="57">
        <v>311</v>
      </c>
      <c r="AH44" s="29">
        <v>8.0955540809555409</v>
      </c>
      <c r="AI44" s="29">
        <v>40.942269409422693</v>
      </c>
      <c r="AJ44" s="29">
        <v>20.902455209024552</v>
      </c>
      <c r="AK44" s="29">
        <v>30.059721300597214</v>
      </c>
      <c r="AL44" s="57">
        <v>1230</v>
      </c>
      <c r="AM44" s="57">
        <v>984</v>
      </c>
      <c r="AN44" s="57">
        <v>246</v>
      </c>
      <c r="AO44" s="29">
        <v>8.617886178861788</v>
      </c>
      <c r="AP44" s="29">
        <v>40.243902439024396</v>
      </c>
      <c r="AQ44" s="29">
        <v>16.747967479674799</v>
      </c>
      <c r="AR44" s="29">
        <v>34.390243902439018</v>
      </c>
      <c r="AS44" s="57">
        <v>1104</v>
      </c>
      <c r="AT44" s="57">
        <v>877</v>
      </c>
      <c r="AU44" s="57">
        <v>227</v>
      </c>
      <c r="AV44" s="29">
        <v>8.1521739130434785</v>
      </c>
      <c r="AW44" s="29">
        <v>35.054347826086953</v>
      </c>
      <c r="AX44" s="29">
        <v>18.659420289855071</v>
      </c>
      <c r="AY44" s="29">
        <v>38.134057971014506</v>
      </c>
      <c r="AZ44" s="57">
        <v>909</v>
      </c>
      <c r="BA44" s="57">
        <v>715</v>
      </c>
      <c r="BB44" s="57">
        <v>194</v>
      </c>
      <c r="BC44" s="83">
        <v>6.6006600660065997</v>
      </c>
      <c r="BD44" s="83">
        <v>35.093509350935093</v>
      </c>
      <c r="BE44" s="83">
        <v>16.061606160616062</v>
      </c>
      <c r="BF44" s="83">
        <v>42.244224422442244</v>
      </c>
      <c r="BG44" s="57">
        <v>791</v>
      </c>
      <c r="BH44" s="57">
        <v>612</v>
      </c>
      <c r="BI44" s="57">
        <v>179</v>
      </c>
      <c r="BJ44" s="83">
        <v>7.8381795195954496</v>
      </c>
      <c r="BK44" s="83">
        <v>39.443742098609356</v>
      </c>
      <c r="BL44" s="83">
        <v>15.802781289506953</v>
      </c>
      <c r="BM44" s="78">
        <v>36.915297092288242</v>
      </c>
      <c r="BN44" s="62"/>
    </row>
    <row r="45" spans="1:66" ht="8.25" customHeight="1">
      <c r="A45" s="107">
        <v>403</v>
      </c>
      <c r="B45" s="74" t="s">
        <v>141</v>
      </c>
      <c r="C45" s="111">
        <f>VLOOKUP((A45),'2019_C4_Rohdaten_BA'!$A$10:$O$59,5,FALSE)</f>
        <v>5889</v>
      </c>
      <c r="D45" s="111">
        <f>VLOOKUP((A45),'2019_C4_Rohdaten_BA'!$A$10:$O$59,6,FALSE)</f>
        <v>3809</v>
      </c>
      <c r="E45" s="111">
        <f>VLOOKUP((A45),'2019_C4_Rohdaten_BA'!$A$10:$O$59,7,FALSE)</f>
        <v>2080</v>
      </c>
      <c r="F45" s="69">
        <f>VLOOKUP((A45),'2019_C4_Rohdaten_BA'!$A$10:$O$59,12,FALSE)</f>
        <v>17.710986585158771</v>
      </c>
      <c r="G45" s="69">
        <f>VLOOKUP((A45),'2019_C4_Rohdaten_BA'!$A$10:$O$59,13,FALSE)</f>
        <v>24.961793173713705</v>
      </c>
      <c r="H45" s="69">
        <f>VLOOKUP((A45),'2019_C4_Rohdaten_BA'!$A$10:$O$59,14,FALSE)</f>
        <v>27.576838172864662</v>
      </c>
      <c r="I45" s="69">
        <f>VLOOKUP((A45),'2019_C4_Rohdaten_BA'!$A$10:$O$59,15,FALSE)</f>
        <v>29.750382068262862</v>
      </c>
      <c r="J45" s="112">
        <v>77768</v>
      </c>
      <c r="K45" s="112">
        <v>36297</v>
      </c>
      <c r="L45" s="112">
        <v>41471</v>
      </c>
      <c r="M45" s="75">
        <v>18.664488462323874</v>
      </c>
      <c r="N45" s="75">
        <v>26.608127424954052</v>
      </c>
      <c r="O45" s="75">
        <v>27.179906064937715</v>
      </c>
      <c r="P45" s="75">
        <v>27.547478047784356</v>
      </c>
      <c r="Q45" s="112">
        <v>4306</v>
      </c>
      <c r="R45" s="112">
        <v>2682</v>
      </c>
      <c r="S45" s="112">
        <v>1624</v>
      </c>
      <c r="T45" s="75">
        <v>23.989781699953554</v>
      </c>
      <c r="U45" s="75">
        <v>27.519739897816997</v>
      </c>
      <c r="V45" s="75">
        <v>18.253599628425452</v>
      </c>
      <c r="W45" s="75">
        <v>30.236878773803994</v>
      </c>
      <c r="X45" s="112">
        <v>3802</v>
      </c>
      <c r="Y45" s="112">
        <v>2298</v>
      </c>
      <c r="Z45" s="112">
        <v>1504</v>
      </c>
      <c r="AA45" s="75">
        <v>21.962125197264598</v>
      </c>
      <c r="AB45" s="75">
        <v>28.485007890583901</v>
      </c>
      <c r="AC45" s="75">
        <v>17.648605996843767</v>
      </c>
      <c r="AD45" s="75">
        <v>31.904260915307731</v>
      </c>
      <c r="AE45" s="57">
        <v>3254</v>
      </c>
      <c r="AF45" s="57">
        <v>1894</v>
      </c>
      <c r="AG45" s="57">
        <v>1360</v>
      </c>
      <c r="AH45" s="29">
        <v>19.821757836508912</v>
      </c>
      <c r="AI45" s="29">
        <v>28.795328826060235</v>
      </c>
      <c r="AJ45" s="29">
        <v>21.727105101413642</v>
      </c>
      <c r="AK45" s="29">
        <v>29.655808236017211</v>
      </c>
      <c r="AL45" s="57">
        <v>2913</v>
      </c>
      <c r="AM45" s="57">
        <v>1673</v>
      </c>
      <c r="AN45" s="57">
        <v>1240</v>
      </c>
      <c r="AO45" s="29">
        <v>18.57191898386543</v>
      </c>
      <c r="AP45" s="29">
        <v>27.943700652248545</v>
      </c>
      <c r="AQ45" s="29">
        <v>22.931685547545484</v>
      </c>
      <c r="AR45" s="29">
        <v>30.552694816340541</v>
      </c>
      <c r="AS45" s="57">
        <v>2850</v>
      </c>
      <c r="AT45" s="57">
        <v>1654</v>
      </c>
      <c r="AU45" s="57">
        <v>1196</v>
      </c>
      <c r="AV45" s="29">
        <v>15.543859649122806</v>
      </c>
      <c r="AW45" s="29">
        <v>22.280701754385966</v>
      </c>
      <c r="AX45" s="29">
        <v>21.438596491228072</v>
      </c>
      <c r="AY45" s="29">
        <v>40.736842105263158</v>
      </c>
      <c r="AZ45" s="57">
        <v>2245</v>
      </c>
      <c r="BA45" s="57">
        <v>1217</v>
      </c>
      <c r="BB45" s="57">
        <v>1028</v>
      </c>
      <c r="BC45" s="83">
        <v>13.407572383073497</v>
      </c>
      <c r="BD45" s="83">
        <v>23.518930957683743</v>
      </c>
      <c r="BE45" s="83">
        <v>21.202672605790646</v>
      </c>
      <c r="BF45" s="83">
        <v>41.870824053452125</v>
      </c>
      <c r="BG45" s="57">
        <v>1976</v>
      </c>
      <c r="BH45" s="57">
        <v>1070</v>
      </c>
      <c r="BI45" s="57">
        <v>906</v>
      </c>
      <c r="BJ45" s="83">
        <v>13.056680161943321</v>
      </c>
      <c r="BK45" s="83">
        <v>24.898785425101213</v>
      </c>
      <c r="BL45" s="83">
        <v>20.141700404858302</v>
      </c>
      <c r="BM45" s="78">
        <v>41.902834008097173</v>
      </c>
      <c r="BN45" s="62"/>
    </row>
    <row r="46" spans="1:66" ht="8.25" customHeight="1">
      <c r="A46" s="107">
        <v>404</v>
      </c>
      <c r="B46" s="74" t="s">
        <v>142</v>
      </c>
      <c r="C46" s="111">
        <f>VLOOKUP((A46),'2019_C4_Rohdaten_BA'!$A$10:$O$59,5,FALSE)</f>
        <v>8627</v>
      </c>
      <c r="D46" s="111">
        <f>VLOOKUP((A46),'2019_C4_Rohdaten_BA'!$A$10:$O$59,6,FALSE)</f>
        <v>4905</v>
      </c>
      <c r="E46" s="111">
        <f>VLOOKUP((A46),'2019_C4_Rohdaten_BA'!$A$10:$O$59,7,FALSE)</f>
        <v>3722</v>
      </c>
      <c r="F46" s="69">
        <f>VLOOKUP((A46),'2019_C4_Rohdaten_BA'!$A$10:$O$59,12,FALSE)</f>
        <v>10.791700475252116</v>
      </c>
      <c r="G46" s="69">
        <f>VLOOKUP((A46),'2019_C4_Rohdaten_BA'!$A$10:$O$59,13,FALSE)</f>
        <v>29.500405703025386</v>
      </c>
      <c r="H46" s="69">
        <f>VLOOKUP((A46),'2019_C4_Rohdaten_BA'!$A$10:$O$59,14,FALSE)</f>
        <v>32.050539005448009</v>
      </c>
      <c r="I46" s="69">
        <f>VLOOKUP((A46),'2019_C4_Rohdaten_BA'!$A$10:$O$59,15,FALSE)</f>
        <v>27.657354816274488</v>
      </c>
      <c r="J46" s="112">
        <v>86145</v>
      </c>
      <c r="K46" s="112">
        <v>42817</v>
      </c>
      <c r="L46" s="112">
        <v>43328</v>
      </c>
      <c r="M46" s="75">
        <v>10.994833752814943</v>
      </c>
      <c r="N46" s="75">
        <v>30.600079480725924</v>
      </c>
      <c r="O46" s="75">
        <v>30.812028083189823</v>
      </c>
      <c r="P46" s="75">
        <v>27.593058683269305</v>
      </c>
      <c r="Q46" s="112">
        <v>6975</v>
      </c>
      <c r="R46" s="112">
        <v>3933</v>
      </c>
      <c r="S46" s="112">
        <v>3042</v>
      </c>
      <c r="T46" s="75">
        <v>29.275985663082437</v>
      </c>
      <c r="U46" s="75">
        <v>31.913978494623656</v>
      </c>
      <c r="V46" s="75">
        <v>10.265232974910395</v>
      </c>
      <c r="W46" s="75">
        <v>28.544802867383513</v>
      </c>
      <c r="X46" s="112">
        <v>6418</v>
      </c>
      <c r="Y46" s="112">
        <v>3581</v>
      </c>
      <c r="Z46" s="112">
        <v>2837</v>
      </c>
      <c r="AA46" s="75">
        <v>27.609847304456213</v>
      </c>
      <c r="AB46" s="75">
        <v>32.76721720162044</v>
      </c>
      <c r="AC46" s="75">
        <v>10.096603303209722</v>
      </c>
      <c r="AD46" s="75">
        <v>29.526332190713617</v>
      </c>
      <c r="AE46" s="57">
        <v>5656</v>
      </c>
      <c r="AF46" s="57">
        <v>3101</v>
      </c>
      <c r="AG46" s="57">
        <v>2555</v>
      </c>
      <c r="AH46" s="29">
        <v>10.696605374823196</v>
      </c>
      <c r="AI46" s="29">
        <v>32.708628005657708</v>
      </c>
      <c r="AJ46" s="29">
        <v>28.217821782178216</v>
      </c>
      <c r="AK46" s="29">
        <v>28.376944837340876</v>
      </c>
      <c r="AL46" s="57">
        <v>5043</v>
      </c>
      <c r="AM46" s="57">
        <v>2772</v>
      </c>
      <c r="AN46" s="57">
        <v>2271</v>
      </c>
      <c r="AO46" s="29">
        <v>10.152686892722587</v>
      </c>
      <c r="AP46" s="29">
        <v>33.511798532619473</v>
      </c>
      <c r="AQ46" s="29">
        <v>26.174895895300416</v>
      </c>
      <c r="AR46" s="29">
        <v>30.160618679357533</v>
      </c>
      <c r="AS46" s="57">
        <v>5026</v>
      </c>
      <c r="AT46" s="57">
        <v>2728</v>
      </c>
      <c r="AU46" s="57">
        <v>2298</v>
      </c>
      <c r="AV46" s="29">
        <v>9.0728213290887378</v>
      </c>
      <c r="AW46" s="29">
        <v>26.064464783127733</v>
      </c>
      <c r="AX46" s="29">
        <v>22.22443294866693</v>
      </c>
      <c r="AY46" s="29">
        <v>42.638280939116598</v>
      </c>
      <c r="AZ46" s="57">
        <v>4333</v>
      </c>
      <c r="BA46" s="57">
        <v>2453</v>
      </c>
      <c r="BB46" s="57">
        <v>1880</v>
      </c>
      <c r="BC46" s="83">
        <v>7.8467574428802216</v>
      </c>
      <c r="BD46" s="83">
        <v>25.571197784444959</v>
      </c>
      <c r="BE46" s="83">
        <v>31.940918532194786</v>
      </c>
      <c r="BF46" s="83">
        <v>34.641126240480034</v>
      </c>
      <c r="BG46" s="57">
        <v>4024</v>
      </c>
      <c r="BH46" s="57">
        <v>2226</v>
      </c>
      <c r="BI46" s="57">
        <v>1798</v>
      </c>
      <c r="BJ46" s="83">
        <v>7.6540755467196826</v>
      </c>
      <c r="BK46" s="83">
        <v>27.236580516898606</v>
      </c>
      <c r="BL46" s="83">
        <v>31.088469184890656</v>
      </c>
      <c r="BM46" s="78">
        <v>34.020874751491057</v>
      </c>
      <c r="BN46" s="62"/>
    </row>
    <row r="47" spans="1:66" ht="8.25" customHeight="1">
      <c r="A47" s="107">
        <v>405</v>
      </c>
      <c r="B47" s="74" t="s">
        <v>143</v>
      </c>
      <c r="C47" s="111">
        <f>VLOOKUP((A47),'2019_C4_Rohdaten_BA'!$A$10:$O$59,5,FALSE)</f>
        <v>1637</v>
      </c>
      <c r="D47" s="111">
        <f>VLOOKUP((A47),'2019_C4_Rohdaten_BA'!$A$10:$O$59,6,FALSE)</f>
        <v>1146</v>
      </c>
      <c r="E47" s="111">
        <f>VLOOKUP((A47),'2019_C4_Rohdaten_BA'!$A$10:$O$59,7,FALSE)</f>
        <v>491</v>
      </c>
      <c r="F47" s="69">
        <f>VLOOKUP((A47),'2019_C4_Rohdaten_BA'!$A$10:$O$59,12,FALSE)</f>
        <v>15.210751374465486</v>
      </c>
      <c r="G47" s="69">
        <f>VLOOKUP((A47),'2019_C4_Rohdaten_BA'!$A$10:$O$59,13,FALSE)</f>
        <v>29.138668295662796</v>
      </c>
      <c r="H47" s="69">
        <f>VLOOKUP((A47),'2019_C4_Rohdaten_BA'!$A$10:$O$59,14,FALSE)</f>
        <v>30.726939523518631</v>
      </c>
      <c r="I47" s="69">
        <f>VLOOKUP((A47),'2019_C4_Rohdaten_BA'!$A$10:$O$59,15,FALSE)</f>
        <v>24.923640806353085</v>
      </c>
      <c r="J47" s="112">
        <v>28514</v>
      </c>
      <c r="K47" s="112">
        <v>15123</v>
      </c>
      <c r="L47" s="112">
        <v>13391</v>
      </c>
      <c r="M47" s="75">
        <v>13.782252989301448</v>
      </c>
      <c r="N47" s="75">
        <v>28.382630585273755</v>
      </c>
      <c r="O47" s="75">
        <v>27.375707992448078</v>
      </c>
      <c r="P47" s="75">
        <v>30.459408432976716</v>
      </c>
      <c r="Q47" s="112">
        <v>1208</v>
      </c>
      <c r="R47" s="112">
        <v>826</v>
      </c>
      <c r="S47" s="112">
        <v>382</v>
      </c>
      <c r="T47" s="75">
        <v>22.682119205298012</v>
      </c>
      <c r="U47" s="75">
        <v>34.354304635761594</v>
      </c>
      <c r="V47" s="75">
        <v>14.98344370860927</v>
      </c>
      <c r="W47" s="75">
        <v>27.980132450331123</v>
      </c>
      <c r="X47" s="112">
        <v>1156</v>
      </c>
      <c r="Y47" s="112">
        <v>808</v>
      </c>
      <c r="Z47" s="112">
        <v>348</v>
      </c>
      <c r="AA47" s="75">
        <v>22.664359861591695</v>
      </c>
      <c r="AB47" s="75">
        <v>34.256055363321799</v>
      </c>
      <c r="AC47" s="75">
        <v>14.359861591695502</v>
      </c>
      <c r="AD47" s="75">
        <v>28.719723183391004</v>
      </c>
      <c r="AE47" s="57">
        <v>954</v>
      </c>
      <c r="AF47" s="57">
        <v>637</v>
      </c>
      <c r="AG47" s="57">
        <v>317</v>
      </c>
      <c r="AH47" s="29">
        <v>15.09433962264151</v>
      </c>
      <c r="AI47" s="29">
        <v>33.333333333333329</v>
      </c>
      <c r="AJ47" s="29">
        <v>21.488469601677149</v>
      </c>
      <c r="AK47" s="29">
        <v>30.083857442348009</v>
      </c>
      <c r="AL47" s="57">
        <v>772</v>
      </c>
      <c r="AM47" s="57">
        <v>499</v>
      </c>
      <c r="AN47" s="57">
        <v>273</v>
      </c>
      <c r="AO47" s="29">
        <v>16.968911917098445</v>
      </c>
      <c r="AP47" s="29">
        <v>35.62176165803109</v>
      </c>
      <c r="AQ47" s="29">
        <v>18.652849740932641</v>
      </c>
      <c r="AR47" s="29">
        <v>28.756476683937827</v>
      </c>
      <c r="AS47" s="57">
        <v>722</v>
      </c>
      <c r="AT47" s="57">
        <v>474</v>
      </c>
      <c r="AU47" s="57">
        <v>248</v>
      </c>
      <c r="AV47" s="29">
        <v>11.495844875346259</v>
      </c>
      <c r="AW47" s="29">
        <v>30.886426592797783</v>
      </c>
      <c r="AX47" s="29">
        <v>19.94459833795014</v>
      </c>
      <c r="AY47" s="29">
        <v>37.67313019390582</v>
      </c>
      <c r="AZ47" s="57">
        <v>618</v>
      </c>
      <c r="BA47" s="57">
        <v>384</v>
      </c>
      <c r="BB47" s="57">
        <v>234</v>
      </c>
      <c r="BC47" s="83">
        <v>13.915857605177994</v>
      </c>
      <c r="BD47" s="83">
        <v>27.831715210355988</v>
      </c>
      <c r="BE47" s="83">
        <v>20.550161812297734</v>
      </c>
      <c r="BF47" s="83">
        <v>37.702265372168284</v>
      </c>
      <c r="BG47" s="57">
        <v>581</v>
      </c>
      <c r="BH47" s="57">
        <v>354</v>
      </c>
      <c r="BI47" s="57">
        <v>227</v>
      </c>
      <c r="BJ47" s="83">
        <v>13.253012048192772</v>
      </c>
      <c r="BK47" s="83">
        <v>27.538726333907054</v>
      </c>
      <c r="BL47" s="83">
        <v>24.096385542168676</v>
      </c>
      <c r="BM47" s="78">
        <v>35.111876075731502</v>
      </c>
      <c r="BN47" s="62"/>
    </row>
    <row r="48" spans="1:66" ht="8.25" customHeight="1">
      <c r="A48" s="107">
        <v>451</v>
      </c>
      <c r="B48" s="74" t="s">
        <v>118</v>
      </c>
      <c r="C48" s="111">
        <f>VLOOKUP((A48),'2019_C4_Rohdaten_BA'!$A$10:$O$59,5,FALSE)</f>
        <v>3785</v>
      </c>
      <c r="D48" s="111">
        <f>VLOOKUP((A48),'2019_C4_Rohdaten_BA'!$A$10:$O$59,6,FALSE)</f>
        <v>2613</v>
      </c>
      <c r="E48" s="111">
        <f>VLOOKUP((A48),'2019_C4_Rohdaten_BA'!$A$10:$O$59,7,FALSE)</f>
        <v>1172</v>
      </c>
      <c r="F48" s="69">
        <f>VLOOKUP((A48),'2019_C4_Rohdaten_BA'!$A$10:$O$59,12,FALSE)</f>
        <v>6.8692206076618234</v>
      </c>
      <c r="G48" s="69">
        <f>VLOOKUP((A48),'2019_C4_Rohdaten_BA'!$A$10:$O$59,13,FALSE)</f>
        <v>26.182298546895641</v>
      </c>
      <c r="H48" s="69">
        <f>VLOOKUP((A48),'2019_C4_Rohdaten_BA'!$A$10:$O$59,14,FALSE)</f>
        <v>24.861294583883751</v>
      </c>
      <c r="I48" s="69">
        <f>VLOOKUP((A48),'2019_C4_Rohdaten_BA'!$A$10:$O$59,15,FALSE)</f>
        <v>42.087186261558784</v>
      </c>
      <c r="J48" s="112">
        <v>39811</v>
      </c>
      <c r="K48" s="112">
        <v>21616</v>
      </c>
      <c r="L48" s="112">
        <v>18195</v>
      </c>
      <c r="M48" s="75">
        <v>5.8051341890315049</v>
      </c>
      <c r="N48" s="75">
        <v>26.983663943990667</v>
      </c>
      <c r="O48" s="75">
        <v>23.045507584597434</v>
      </c>
      <c r="P48" s="75">
        <v>44.1656942823804</v>
      </c>
      <c r="Q48" s="112">
        <v>2934</v>
      </c>
      <c r="R48" s="112">
        <v>2033</v>
      </c>
      <c r="S48" s="112">
        <v>901</v>
      </c>
      <c r="T48" s="75">
        <v>22.801635991820042</v>
      </c>
      <c r="U48" s="75">
        <v>26.380368098159508</v>
      </c>
      <c r="V48" s="75">
        <v>5.5896387184730747</v>
      </c>
      <c r="W48" s="75">
        <v>45.228357191547374</v>
      </c>
      <c r="X48" s="112">
        <v>2769</v>
      </c>
      <c r="Y48" s="112">
        <v>1962</v>
      </c>
      <c r="Z48" s="112">
        <v>807</v>
      </c>
      <c r="AA48" s="75">
        <v>19.501625135427954</v>
      </c>
      <c r="AB48" s="75">
        <v>25.315998555435176</v>
      </c>
      <c r="AC48" s="75">
        <v>5.4893463344167577</v>
      </c>
      <c r="AD48" s="75">
        <v>49.693029974720119</v>
      </c>
      <c r="AE48" s="57">
        <v>2321</v>
      </c>
      <c r="AF48" s="57">
        <v>1570</v>
      </c>
      <c r="AG48" s="57">
        <v>751</v>
      </c>
      <c r="AH48" s="29">
        <v>5.8164584230934944</v>
      </c>
      <c r="AI48" s="29">
        <v>27.057302886686774</v>
      </c>
      <c r="AJ48" s="29">
        <v>18.914261094355879</v>
      </c>
      <c r="AK48" s="29">
        <v>48.211977595863857</v>
      </c>
      <c r="AL48" s="57">
        <v>2132</v>
      </c>
      <c r="AM48" s="57">
        <v>1462</v>
      </c>
      <c r="AN48" s="57">
        <v>670</v>
      </c>
      <c r="AO48" s="29">
        <v>5.0656660412757972</v>
      </c>
      <c r="AP48" s="29">
        <v>28.04878048780488</v>
      </c>
      <c r="AQ48" s="29">
        <v>18.714821763602252</v>
      </c>
      <c r="AR48" s="29">
        <v>48.170731707317067</v>
      </c>
      <c r="AS48" s="57">
        <v>1917</v>
      </c>
      <c r="AT48" s="57">
        <v>1315</v>
      </c>
      <c r="AU48" s="57">
        <v>602</v>
      </c>
      <c r="AV48" s="29">
        <v>4.9556598852373499</v>
      </c>
      <c r="AW48" s="29">
        <v>23.526343244653102</v>
      </c>
      <c r="AX48" s="29">
        <v>15.805946791862285</v>
      </c>
      <c r="AY48" s="29">
        <v>55.712050078247259</v>
      </c>
      <c r="AZ48" s="57">
        <v>1467</v>
      </c>
      <c r="BA48" s="57">
        <v>993</v>
      </c>
      <c r="BB48" s="57">
        <v>474</v>
      </c>
      <c r="BC48" s="83">
        <v>3.6809815950920246</v>
      </c>
      <c r="BD48" s="83">
        <v>21.199727334696661</v>
      </c>
      <c r="BE48" s="83">
        <v>23.790047716428084</v>
      </c>
      <c r="BF48" s="83">
        <v>51.329243353783227</v>
      </c>
      <c r="BG48" s="57">
        <v>1243</v>
      </c>
      <c r="BH48" s="57">
        <v>851</v>
      </c>
      <c r="BI48" s="57">
        <v>392</v>
      </c>
      <c r="BJ48" s="83">
        <v>4.1029766693483509</v>
      </c>
      <c r="BK48" s="83">
        <v>23.008849557522122</v>
      </c>
      <c r="BL48" s="83">
        <v>27.755430410297667</v>
      </c>
      <c r="BM48" s="78">
        <v>45.13274336283186</v>
      </c>
      <c r="BN48" s="62"/>
    </row>
    <row r="49" spans="1:66" ht="8.25" customHeight="1">
      <c r="A49" s="107">
        <v>452</v>
      </c>
      <c r="B49" s="74" t="s">
        <v>119</v>
      </c>
      <c r="C49" s="111">
        <f>VLOOKUP((A49),'2019_C4_Rohdaten_BA'!$A$10:$O$59,5,FALSE)</f>
        <v>4363</v>
      </c>
      <c r="D49" s="111">
        <f>VLOOKUP((A49),'2019_C4_Rohdaten_BA'!$A$10:$O$59,6,FALSE)</f>
        <v>2791</v>
      </c>
      <c r="E49" s="111">
        <f>VLOOKUP((A49),'2019_C4_Rohdaten_BA'!$A$10:$O$59,7,FALSE)</f>
        <v>1572</v>
      </c>
      <c r="F49" s="69">
        <f>VLOOKUP((A49),'2019_C4_Rohdaten_BA'!$A$10:$O$59,12,FALSE)</f>
        <v>8.1824432729773093</v>
      </c>
      <c r="G49" s="69">
        <f>VLOOKUP((A49),'2019_C4_Rohdaten_BA'!$A$10:$O$59,13,FALSE)</f>
        <v>26.816410726564289</v>
      </c>
      <c r="H49" s="69">
        <f>VLOOKUP((A49),'2019_C4_Rohdaten_BA'!$A$10:$O$59,14,FALSE)</f>
        <v>26.335090534036215</v>
      </c>
      <c r="I49" s="69">
        <f>VLOOKUP((A49),'2019_C4_Rohdaten_BA'!$A$10:$O$59,15,FALSE)</f>
        <v>38.666055466422186</v>
      </c>
      <c r="J49" s="112">
        <v>56716</v>
      </c>
      <c r="K49" s="112">
        <v>29363</v>
      </c>
      <c r="L49" s="112">
        <v>27353</v>
      </c>
      <c r="M49" s="75">
        <v>8.2466918714555764</v>
      </c>
      <c r="N49" s="75">
        <v>27.882797731568999</v>
      </c>
      <c r="O49" s="75">
        <v>23.298676748582231</v>
      </c>
      <c r="P49" s="75">
        <v>40.571833648393195</v>
      </c>
      <c r="Q49" s="112">
        <v>3934</v>
      </c>
      <c r="R49" s="112">
        <v>2507</v>
      </c>
      <c r="S49" s="112">
        <v>1427</v>
      </c>
      <c r="T49" s="75">
        <v>22.191154041687849</v>
      </c>
      <c r="U49" s="75">
        <v>29.588205388917132</v>
      </c>
      <c r="V49" s="75">
        <v>8.4646670055922719</v>
      </c>
      <c r="W49" s="75">
        <v>39.755973563802741</v>
      </c>
      <c r="X49" s="112">
        <v>3395</v>
      </c>
      <c r="Y49" s="112">
        <v>2094</v>
      </c>
      <c r="Z49" s="112">
        <v>1301</v>
      </c>
      <c r="AA49" s="75">
        <v>20.824742268041238</v>
      </c>
      <c r="AB49" s="75">
        <v>30.044182621502209</v>
      </c>
      <c r="AC49" s="75">
        <v>8.3652430044182609</v>
      </c>
      <c r="AD49" s="75">
        <v>40.765832106038289</v>
      </c>
      <c r="AE49" s="57">
        <v>3182</v>
      </c>
      <c r="AF49" s="57">
        <v>1983</v>
      </c>
      <c r="AG49" s="57">
        <v>1199</v>
      </c>
      <c r="AH49" s="29">
        <v>6.945317410433689</v>
      </c>
      <c r="AI49" s="29">
        <v>30.609679446888748</v>
      </c>
      <c r="AJ49" s="29">
        <v>19.35889377749843</v>
      </c>
      <c r="AK49" s="29">
        <v>43.086109365179141</v>
      </c>
      <c r="AL49" s="57">
        <v>2728</v>
      </c>
      <c r="AM49" s="57">
        <v>1697</v>
      </c>
      <c r="AN49" s="57">
        <v>1031</v>
      </c>
      <c r="AO49" s="29">
        <v>7.1114369501466284</v>
      </c>
      <c r="AP49" s="29">
        <v>27.126099706744867</v>
      </c>
      <c r="AQ49" s="29">
        <v>18.878299120234605</v>
      </c>
      <c r="AR49" s="29">
        <v>46.884164222873906</v>
      </c>
      <c r="AS49" s="57">
        <v>2155</v>
      </c>
      <c r="AT49" s="57">
        <v>1250</v>
      </c>
      <c r="AU49" s="57">
        <v>905</v>
      </c>
      <c r="AV49" s="29">
        <v>6.8677494199535962</v>
      </c>
      <c r="AW49" s="29">
        <v>24.222737819025522</v>
      </c>
      <c r="AX49" s="29">
        <v>18.561484918793504</v>
      </c>
      <c r="AY49" s="29">
        <v>50.348027842227381</v>
      </c>
      <c r="AZ49" s="57">
        <v>1508</v>
      </c>
      <c r="BA49" s="57">
        <v>843</v>
      </c>
      <c r="BB49" s="57">
        <v>665</v>
      </c>
      <c r="BC49" s="83">
        <v>5.636604774535809</v>
      </c>
      <c r="BD49" s="83">
        <v>23.209549071618039</v>
      </c>
      <c r="BE49" s="83">
        <v>20.755968169761275</v>
      </c>
      <c r="BF49" s="83">
        <v>50.397877984084872</v>
      </c>
      <c r="BG49" s="57">
        <v>1373</v>
      </c>
      <c r="BH49" s="57">
        <v>801</v>
      </c>
      <c r="BI49" s="57">
        <v>572</v>
      </c>
      <c r="BJ49" s="83">
        <v>5.7538237436270938</v>
      </c>
      <c r="BK49" s="83">
        <v>21.849963583394029</v>
      </c>
      <c r="BL49" s="83">
        <v>19.592134013109977</v>
      </c>
      <c r="BM49" s="78">
        <v>52.804078659868892</v>
      </c>
      <c r="BN49" s="62"/>
    </row>
    <row r="50" spans="1:66" ht="8.25" customHeight="1">
      <c r="A50" s="107">
        <v>453</v>
      </c>
      <c r="B50" s="74" t="s">
        <v>120</v>
      </c>
      <c r="C50" s="111">
        <f>VLOOKUP((A50),'2019_C4_Rohdaten_BA'!$A$10:$O$59,5,FALSE)</f>
        <v>10030</v>
      </c>
      <c r="D50" s="111">
        <f>VLOOKUP((A50),'2019_C4_Rohdaten_BA'!$A$10:$O$59,6,FALSE)</f>
        <v>6972</v>
      </c>
      <c r="E50" s="111">
        <f>VLOOKUP((A50),'2019_C4_Rohdaten_BA'!$A$10:$O$59,7,FALSE)</f>
        <v>3058</v>
      </c>
      <c r="F50" s="69">
        <f>VLOOKUP((A50),'2019_C4_Rohdaten_BA'!$A$10:$O$59,12,FALSE)</f>
        <v>3.1306081754735793</v>
      </c>
      <c r="G50" s="69">
        <f>VLOOKUP((A50),'2019_C4_Rohdaten_BA'!$A$10:$O$59,13,FALSE)</f>
        <v>20.508474576271187</v>
      </c>
      <c r="H50" s="69">
        <f>VLOOKUP((A50),'2019_C4_Rohdaten_BA'!$A$10:$O$59,14,FALSE)</f>
        <v>28.005982053838483</v>
      </c>
      <c r="I50" s="69">
        <f>VLOOKUP((A50),'2019_C4_Rohdaten_BA'!$A$10:$O$59,15,FALSE)</f>
        <v>48.354935194416747</v>
      </c>
      <c r="J50" s="112">
        <v>56744</v>
      </c>
      <c r="K50" s="112">
        <v>32936</v>
      </c>
      <c r="L50" s="112">
        <v>23808</v>
      </c>
      <c r="M50" s="75">
        <v>2.9102844638949672</v>
      </c>
      <c r="N50" s="75">
        <v>19.277899343544856</v>
      </c>
      <c r="O50" s="75">
        <v>26.827133479212257</v>
      </c>
      <c r="P50" s="75">
        <v>50.984682713347915</v>
      </c>
      <c r="Q50" s="112">
        <v>7928</v>
      </c>
      <c r="R50" s="112">
        <v>5694</v>
      </c>
      <c r="S50" s="112">
        <v>2234</v>
      </c>
      <c r="T50" s="75">
        <v>25.403632694248234</v>
      </c>
      <c r="U50" s="75">
        <v>18.592330978809283</v>
      </c>
      <c r="V50" s="75">
        <v>2.9011099899091826</v>
      </c>
      <c r="W50" s="75">
        <v>53.102926337033296</v>
      </c>
      <c r="X50" s="112">
        <v>6135</v>
      </c>
      <c r="Y50" s="112">
        <v>4327</v>
      </c>
      <c r="Z50" s="112">
        <v>1808</v>
      </c>
      <c r="AA50" s="75">
        <v>25.525672371638141</v>
      </c>
      <c r="AB50" s="75">
        <v>20.603096984515076</v>
      </c>
      <c r="AC50" s="75">
        <v>3.3414832925835372</v>
      </c>
      <c r="AD50" s="75">
        <v>50.529747351263246</v>
      </c>
      <c r="AE50" s="57">
        <v>5111</v>
      </c>
      <c r="AF50" s="57">
        <v>3624</v>
      </c>
      <c r="AG50" s="57">
        <v>1487</v>
      </c>
      <c r="AH50" s="29">
        <v>3.2283310506750142</v>
      </c>
      <c r="AI50" s="29">
        <v>21.32655057718646</v>
      </c>
      <c r="AJ50" s="29">
        <v>21.502641361768735</v>
      </c>
      <c r="AK50" s="29">
        <v>53.942477010369785</v>
      </c>
      <c r="AL50" s="57">
        <v>4579</v>
      </c>
      <c r="AM50" s="57">
        <v>3248</v>
      </c>
      <c r="AN50" s="57">
        <v>1331</v>
      </c>
      <c r="AO50" s="29">
        <v>3.0574361214238914</v>
      </c>
      <c r="AP50" s="29">
        <v>20.419305525223848</v>
      </c>
      <c r="AQ50" s="29">
        <v>22.493994321904346</v>
      </c>
      <c r="AR50" s="29">
        <v>54.029264031447909</v>
      </c>
      <c r="AS50" s="57">
        <v>3948</v>
      </c>
      <c r="AT50" s="57">
        <v>2817</v>
      </c>
      <c r="AU50" s="57">
        <v>1131</v>
      </c>
      <c r="AV50" s="29">
        <v>2.2796352583586628</v>
      </c>
      <c r="AW50" s="29">
        <v>16.742654508611956</v>
      </c>
      <c r="AX50" s="29">
        <v>18.009118541033434</v>
      </c>
      <c r="AY50" s="29">
        <v>62.968591691995961</v>
      </c>
      <c r="AZ50" s="57">
        <v>2649</v>
      </c>
      <c r="BA50" s="57">
        <v>1960</v>
      </c>
      <c r="BB50" s="57">
        <v>689</v>
      </c>
      <c r="BC50" s="83">
        <v>2.0762551906379767</v>
      </c>
      <c r="BD50" s="83">
        <v>16.572291430728576</v>
      </c>
      <c r="BE50" s="83">
        <v>25.519063797659491</v>
      </c>
      <c r="BF50" s="83">
        <v>55.832389580973945</v>
      </c>
      <c r="BG50" s="57">
        <v>2434</v>
      </c>
      <c r="BH50" s="57">
        <v>1793</v>
      </c>
      <c r="BI50" s="57">
        <v>641</v>
      </c>
      <c r="BJ50" s="83">
        <v>1.9720624486442069</v>
      </c>
      <c r="BK50" s="83">
        <v>21.405094494658996</v>
      </c>
      <c r="BL50" s="83">
        <v>31.34757600657354</v>
      </c>
      <c r="BM50" s="78">
        <v>45.275267050123247</v>
      </c>
      <c r="BN50" s="62"/>
    </row>
    <row r="51" spans="1:66" ht="8.25" customHeight="1">
      <c r="A51" s="107">
        <v>454</v>
      </c>
      <c r="B51" s="74" t="s">
        <v>121</v>
      </c>
      <c r="C51" s="111">
        <f>VLOOKUP((A51),'2019_C4_Rohdaten_BA'!$A$10:$O$59,5,FALSE)</f>
        <v>13916</v>
      </c>
      <c r="D51" s="111">
        <f>VLOOKUP((A51),'2019_C4_Rohdaten_BA'!$A$10:$O$59,6,FALSE)</f>
        <v>10248</v>
      </c>
      <c r="E51" s="111">
        <f>VLOOKUP((A51),'2019_C4_Rohdaten_BA'!$A$10:$O$59,7,FALSE)</f>
        <v>3668</v>
      </c>
      <c r="F51" s="69">
        <f>VLOOKUP((A51),'2019_C4_Rohdaten_BA'!$A$10:$O$59,12,FALSE)</f>
        <v>6.6182811152630068</v>
      </c>
      <c r="G51" s="69">
        <f>VLOOKUP((A51),'2019_C4_Rohdaten_BA'!$A$10:$O$59,13,FALSE)</f>
        <v>28.377407300948548</v>
      </c>
      <c r="H51" s="69">
        <f>VLOOKUP((A51),'2019_C4_Rohdaten_BA'!$A$10:$O$59,14,FALSE)</f>
        <v>19.186547858580052</v>
      </c>
      <c r="I51" s="69">
        <f>VLOOKUP((A51),'2019_C4_Rohdaten_BA'!$A$10:$O$59,15,FALSE)</f>
        <v>45.817763725208394</v>
      </c>
      <c r="J51" s="112">
        <v>124120</v>
      </c>
      <c r="K51" s="112">
        <v>73304</v>
      </c>
      <c r="L51" s="112">
        <v>50816</v>
      </c>
      <c r="M51" s="75">
        <v>6.5376864167674329</v>
      </c>
      <c r="N51" s="75">
        <v>30.100765820233775</v>
      </c>
      <c r="O51" s="75">
        <v>20.233776702942365</v>
      </c>
      <c r="P51" s="75">
        <v>43.127771060056432</v>
      </c>
      <c r="Q51" s="112">
        <v>10836</v>
      </c>
      <c r="R51" s="112">
        <v>7902</v>
      </c>
      <c r="S51" s="112">
        <v>2934</v>
      </c>
      <c r="T51" s="75">
        <v>19.204503506829088</v>
      </c>
      <c r="U51" s="75">
        <v>29.346622369878183</v>
      </c>
      <c r="V51" s="75">
        <v>6.7183462532299743</v>
      </c>
      <c r="W51" s="75">
        <v>44.730527870062751</v>
      </c>
      <c r="X51" s="112">
        <v>9390</v>
      </c>
      <c r="Y51" s="112">
        <v>6844</v>
      </c>
      <c r="Z51" s="112">
        <v>2546</v>
      </c>
      <c r="AA51" s="75">
        <v>16.922257720979765</v>
      </c>
      <c r="AB51" s="75">
        <v>29.861554845580407</v>
      </c>
      <c r="AC51" s="75">
        <v>6.98615548455804</v>
      </c>
      <c r="AD51" s="75">
        <v>46.230031948881788</v>
      </c>
      <c r="AE51" s="57">
        <v>7801</v>
      </c>
      <c r="AF51" s="57">
        <v>5793</v>
      </c>
      <c r="AG51" s="57">
        <v>2008</v>
      </c>
      <c r="AH51" s="29">
        <v>7.0760158953980259</v>
      </c>
      <c r="AI51" s="29">
        <v>30.214075118574542</v>
      </c>
      <c r="AJ51" s="29">
        <v>15.754390462761183</v>
      </c>
      <c r="AK51" s="29">
        <v>46.95551852326625</v>
      </c>
      <c r="AL51" s="57">
        <v>5620</v>
      </c>
      <c r="AM51" s="57">
        <v>4178</v>
      </c>
      <c r="AN51" s="57">
        <v>1442</v>
      </c>
      <c r="AO51" s="29">
        <v>7.9715302491103204</v>
      </c>
      <c r="AP51" s="29">
        <v>35.587188612099645</v>
      </c>
      <c r="AQ51" s="29">
        <v>17.330960854092528</v>
      </c>
      <c r="AR51" s="29">
        <v>39.110320284697508</v>
      </c>
      <c r="AS51" s="57">
        <v>4817</v>
      </c>
      <c r="AT51" s="57">
        <v>3511</v>
      </c>
      <c r="AU51" s="57">
        <v>1306</v>
      </c>
      <c r="AV51" s="29">
        <v>7.9510068507369729</v>
      </c>
      <c r="AW51" s="29">
        <v>32.592900145318666</v>
      </c>
      <c r="AX51" s="29">
        <v>14.780984014947062</v>
      </c>
      <c r="AY51" s="29">
        <v>44.675108988997295</v>
      </c>
      <c r="AZ51" s="57">
        <v>3084</v>
      </c>
      <c r="BA51" s="57">
        <v>2236</v>
      </c>
      <c r="BB51" s="57">
        <v>848</v>
      </c>
      <c r="BC51" s="83">
        <v>7.4254215304798965</v>
      </c>
      <c r="BD51" s="83">
        <v>35.376134889753565</v>
      </c>
      <c r="BE51" s="83">
        <v>17.866407263294423</v>
      </c>
      <c r="BF51" s="83">
        <v>39.33203631647212</v>
      </c>
      <c r="BG51" s="57">
        <v>2771</v>
      </c>
      <c r="BH51" s="57">
        <v>2047</v>
      </c>
      <c r="BI51" s="57">
        <v>724</v>
      </c>
      <c r="BJ51" s="83">
        <v>7.0371706964994587</v>
      </c>
      <c r="BK51" s="83">
        <v>37.748105377120176</v>
      </c>
      <c r="BL51" s="83">
        <v>18.765788523998555</v>
      </c>
      <c r="BM51" s="78">
        <v>36.448935402381814</v>
      </c>
      <c r="BN51" s="62"/>
    </row>
    <row r="52" spans="1:66" ht="8.25" customHeight="1">
      <c r="A52" s="107">
        <v>455</v>
      </c>
      <c r="B52" s="74" t="s">
        <v>122</v>
      </c>
      <c r="C52" s="111">
        <f>VLOOKUP((A52),'2019_C4_Rohdaten_BA'!$A$10:$O$59,5,FALSE)</f>
        <v>1407</v>
      </c>
      <c r="D52" s="111">
        <f>VLOOKUP((A52),'2019_C4_Rohdaten_BA'!$A$10:$O$59,6,FALSE)</f>
        <v>905</v>
      </c>
      <c r="E52" s="111">
        <f>VLOOKUP((A52),'2019_C4_Rohdaten_BA'!$A$10:$O$59,7,FALSE)</f>
        <v>502</v>
      </c>
      <c r="F52" s="69">
        <f>VLOOKUP((A52),'2019_C4_Rohdaten_BA'!$A$10:$O$59,12,FALSE)</f>
        <v>10.803127221037668</v>
      </c>
      <c r="G52" s="69">
        <f>VLOOKUP((A52),'2019_C4_Rohdaten_BA'!$A$10:$O$59,13,FALSE)</f>
        <v>30.063965884861407</v>
      </c>
      <c r="H52" s="69">
        <f>VLOOKUP((A52),'2019_C4_Rohdaten_BA'!$A$10:$O$59,14,FALSE)</f>
        <v>22.316986496090973</v>
      </c>
      <c r="I52" s="69">
        <f>VLOOKUP((A52),'2019_C4_Rohdaten_BA'!$A$10:$O$59,15,FALSE)</f>
        <v>36.815920398009951</v>
      </c>
      <c r="J52" s="112">
        <v>28029</v>
      </c>
      <c r="K52" s="112">
        <v>13841</v>
      </c>
      <c r="L52" s="112">
        <v>14188</v>
      </c>
      <c r="M52" s="75">
        <v>11.837048424289009</v>
      </c>
      <c r="N52" s="75">
        <v>30.822444273635664</v>
      </c>
      <c r="O52" s="75">
        <v>20.138355111452729</v>
      </c>
      <c r="P52" s="75">
        <v>37.202152190622598</v>
      </c>
      <c r="Q52" s="112">
        <v>1141</v>
      </c>
      <c r="R52" s="112">
        <v>726</v>
      </c>
      <c r="S52" s="112">
        <v>415</v>
      </c>
      <c r="T52" s="75">
        <v>18.75547765118317</v>
      </c>
      <c r="U52" s="75">
        <v>29.623137598597722</v>
      </c>
      <c r="V52" s="75">
        <v>11.831726555652935</v>
      </c>
      <c r="W52" s="75">
        <v>39.789658194566172</v>
      </c>
      <c r="X52" s="112">
        <v>992</v>
      </c>
      <c r="Y52" s="112">
        <v>609</v>
      </c>
      <c r="Z52" s="112">
        <v>383</v>
      </c>
      <c r="AA52" s="75">
        <v>17.338709677419356</v>
      </c>
      <c r="AB52" s="75">
        <v>30.040322580645164</v>
      </c>
      <c r="AC52" s="75">
        <v>12.298387096774194</v>
      </c>
      <c r="AD52" s="75">
        <v>40.322580645161288</v>
      </c>
      <c r="AE52" s="57">
        <v>961</v>
      </c>
      <c r="AF52" s="57">
        <v>580</v>
      </c>
      <c r="AG52" s="57">
        <v>381</v>
      </c>
      <c r="AH52" s="29">
        <v>9.469302809573362</v>
      </c>
      <c r="AI52" s="29">
        <v>30.905306971904267</v>
      </c>
      <c r="AJ52" s="29">
        <v>19.87513007284079</v>
      </c>
      <c r="AK52" s="29">
        <v>39.75026014568158</v>
      </c>
      <c r="AL52" s="57">
        <v>856</v>
      </c>
      <c r="AM52" s="57">
        <v>508</v>
      </c>
      <c r="AN52" s="57">
        <v>348</v>
      </c>
      <c r="AO52" s="29">
        <v>9.1121495327102799</v>
      </c>
      <c r="AP52" s="29">
        <v>33.177570093457945</v>
      </c>
      <c r="AQ52" s="29">
        <v>19.859813084112147</v>
      </c>
      <c r="AR52" s="29">
        <v>37.850467289719631</v>
      </c>
      <c r="AS52" s="57">
        <v>737</v>
      </c>
      <c r="AT52" s="57">
        <v>435</v>
      </c>
      <c r="AU52" s="57">
        <v>302</v>
      </c>
      <c r="AV52" s="29">
        <v>8.0054274084124835</v>
      </c>
      <c r="AW52" s="29">
        <v>25.915875169606512</v>
      </c>
      <c r="AX52" s="29">
        <v>17.503392130257804</v>
      </c>
      <c r="AY52" s="29">
        <v>48.575305291723197</v>
      </c>
      <c r="AZ52" s="57">
        <v>544</v>
      </c>
      <c r="BA52" s="57">
        <v>300</v>
      </c>
      <c r="BB52" s="57">
        <v>244</v>
      </c>
      <c r="BC52" s="83">
        <v>6.6176470588235299</v>
      </c>
      <c r="BD52" s="83">
        <v>29.963235294117645</v>
      </c>
      <c r="BE52" s="83">
        <v>18.382352941176471</v>
      </c>
      <c r="BF52" s="83">
        <v>45.036764705882362</v>
      </c>
      <c r="BG52" s="57">
        <v>506</v>
      </c>
      <c r="BH52" s="57">
        <v>300</v>
      </c>
      <c r="BI52" s="57">
        <v>206</v>
      </c>
      <c r="BJ52" s="83">
        <v>3.9525691699604746</v>
      </c>
      <c r="BK52" s="83">
        <v>32.411067193675891</v>
      </c>
      <c r="BL52" s="83">
        <v>19.762845849802371</v>
      </c>
      <c r="BM52" s="78">
        <v>43.873517786561258</v>
      </c>
      <c r="BN52" s="62"/>
    </row>
    <row r="53" spans="1:66" ht="8.25" customHeight="1">
      <c r="A53" s="107">
        <v>456</v>
      </c>
      <c r="B53" s="74" t="s">
        <v>123</v>
      </c>
      <c r="C53" s="111">
        <f>VLOOKUP((A53),'2019_C4_Rohdaten_BA'!$A$10:$O$59,5,FALSE)</f>
        <v>5658</v>
      </c>
      <c r="D53" s="111">
        <f>VLOOKUP((A53),'2019_C4_Rohdaten_BA'!$A$10:$O$59,6,FALSE)</f>
        <v>3875</v>
      </c>
      <c r="E53" s="111">
        <f>VLOOKUP((A53),'2019_C4_Rohdaten_BA'!$A$10:$O$59,7,FALSE)</f>
        <v>1783</v>
      </c>
      <c r="F53" s="69">
        <f>VLOOKUP((A53),'2019_C4_Rohdaten_BA'!$A$10:$O$59,12,FALSE)</f>
        <v>6.8928950159066806</v>
      </c>
      <c r="G53" s="69">
        <f>VLOOKUP((A53),'2019_C4_Rohdaten_BA'!$A$10:$O$59,13,FALSE)</f>
        <v>37.345351714386709</v>
      </c>
      <c r="H53" s="69">
        <f>VLOOKUP((A53),'2019_C4_Rohdaten_BA'!$A$10:$O$59,14,FALSE)</f>
        <v>21.50936726758572</v>
      </c>
      <c r="I53" s="69">
        <f>VLOOKUP((A53),'2019_C4_Rohdaten_BA'!$A$10:$O$59,15,FALSE)</f>
        <v>34.252386002120893</v>
      </c>
      <c r="J53" s="112">
        <v>44233</v>
      </c>
      <c r="K53" s="112">
        <v>24071</v>
      </c>
      <c r="L53" s="112">
        <v>20162</v>
      </c>
      <c r="M53" s="75">
        <v>6.5814943863724356</v>
      </c>
      <c r="N53" s="75">
        <v>38.559814169570267</v>
      </c>
      <c r="O53" s="75">
        <v>20.596205962059621</v>
      </c>
      <c r="P53" s="75">
        <v>34.262485481997679</v>
      </c>
      <c r="Q53" s="112">
        <v>4741</v>
      </c>
      <c r="R53" s="112">
        <v>3221</v>
      </c>
      <c r="S53" s="112">
        <v>1520</v>
      </c>
      <c r="T53" s="75">
        <v>18.540392322294874</v>
      </c>
      <c r="U53" s="75">
        <v>40.582155663362158</v>
      </c>
      <c r="V53" s="75">
        <v>6.3066863530900656</v>
      </c>
      <c r="W53" s="75">
        <v>34.570765661252899</v>
      </c>
      <c r="X53" s="112">
        <v>4464</v>
      </c>
      <c r="Y53" s="112">
        <v>2998</v>
      </c>
      <c r="Z53" s="112">
        <v>1466</v>
      </c>
      <c r="AA53" s="75">
        <v>17.405913978494624</v>
      </c>
      <c r="AB53" s="75">
        <v>39.202508960573482</v>
      </c>
      <c r="AC53" s="75">
        <v>6.25</v>
      </c>
      <c r="AD53" s="75">
        <v>37.141577060931901</v>
      </c>
      <c r="AE53" s="57">
        <v>3906</v>
      </c>
      <c r="AF53" s="57">
        <v>2577</v>
      </c>
      <c r="AG53" s="57">
        <v>1329</v>
      </c>
      <c r="AH53" s="29">
        <v>6.477214541730671</v>
      </c>
      <c r="AI53" s="29">
        <v>39.73374295954941</v>
      </c>
      <c r="AJ53" s="29">
        <v>16.820276497695851</v>
      </c>
      <c r="AK53" s="29">
        <v>36.968766001024065</v>
      </c>
      <c r="AL53" s="57">
        <v>3298</v>
      </c>
      <c r="AM53" s="57">
        <v>2222</v>
      </c>
      <c r="AN53" s="57">
        <v>1076</v>
      </c>
      <c r="AO53" s="29">
        <v>6.3978168587022433</v>
      </c>
      <c r="AP53" s="29">
        <v>42.631898120072769</v>
      </c>
      <c r="AQ53" s="29">
        <v>16.00970285021225</v>
      </c>
      <c r="AR53" s="29">
        <v>34.960582171012739</v>
      </c>
      <c r="AS53" s="57">
        <v>3138</v>
      </c>
      <c r="AT53" s="57">
        <v>2122</v>
      </c>
      <c r="AU53" s="57">
        <v>1016</v>
      </c>
      <c r="AV53" s="29">
        <v>5.353728489483748</v>
      </c>
      <c r="AW53" s="29">
        <v>37.667304015296367</v>
      </c>
      <c r="AX53" s="29">
        <v>15.423836838750796</v>
      </c>
      <c r="AY53" s="29">
        <v>41.555130656469082</v>
      </c>
      <c r="AZ53" s="57">
        <v>1987</v>
      </c>
      <c r="BA53" s="57">
        <v>1363</v>
      </c>
      <c r="BB53" s="57">
        <v>624</v>
      </c>
      <c r="BC53" s="83">
        <v>4.5294413688978361</v>
      </c>
      <c r="BD53" s="83">
        <v>36.48716658278812</v>
      </c>
      <c r="BE53" s="83">
        <v>20.684448917966783</v>
      </c>
      <c r="BF53" s="83">
        <v>38.298943130347254</v>
      </c>
      <c r="BG53" s="57">
        <v>1685</v>
      </c>
      <c r="BH53" s="57">
        <v>1137</v>
      </c>
      <c r="BI53" s="57">
        <v>548</v>
      </c>
      <c r="BJ53" s="83">
        <v>4.9258160237388724</v>
      </c>
      <c r="BK53" s="83">
        <v>39.169139465875368</v>
      </c>
      <c r="BL53" s="83">
        <v>19.465875370919878</v>
      </c>
      <c r="BM53" s="78">
        <v>36.439169139465882</v>
      </c>
      <c r="BN53" s="62"/>
    </row>
    <row r="54" spans="1:66" ht="8.25" customHeight="1">
      <c r="A54" s="107">
        <v>457</v>
      </c>
      <c r="B54" s="74" t="s">
        <v>124</v>
      </c>
      <c r="C54" s="111">
        <f>VLOOKUP((A54),'2019_C4_Rohdaten_BA'!$A$10:$O$59,5,FALSE)</f>
        <v>3734</v>
      </c>
      <c r="D54" s="111">
        <f>VLOOKUP((A54),'2019_C4_Rohdaten_BA'!$A$10:$O$59,6,FALSE)</f>
        <v>2680</v>
      </c>
      <c r="E54" s="111">
        <f>VLOOKUP((A54),'2019_C4_Rohdaten_BA'!$A$10:$O$59,7,FALSE)</f>
        <v>1054</v>
      </c>
      <c r="F54" s="69">
        <f>VLOOKUP((A54),'2019_C4_Rohdaten_BA'!$A$10:$O$59,12,FALSE)</f>
        <v>8.1146223888591322</v>
      </c>
      <c r="G54" s="69">
        <f>VLOOKUP((A54),'2019_C4_Rohdaten_BA'!$A$10:$O$59,13,FALSE)</f>
        <v>29.539367970005355</v>
      </c>
      <c r="H54" s="69">
        <f>VLOOKUP((A54),'2019_C4_Rohdaten_BA'!$A$10:$O$59,14,FALSE)</f>
        <v>16.952329941081949</v>
      </c>
      <c r="I54" s="69">
        <f>VLOOKUP((A54),'2019_C4_Rohdaten_BA'!$A$10:$O$59,15,FALSE)</f>
        <v>45.393679700053561</v>
      </c>
      <c r="J54" s="112">
        <v>43692</v>
      </c>
      <c r="K54" s="112">
        <v>22411</v>
      </c>
      <c r="L54" s="112">
        <v>21281</v>
      </c>
      <c r="M54" s="75">
        <v>8.6263901412684092</v>
      </c>
      <c r="N54" s="75">
        <v>29.636308987075445</v>
      </c>
      <c r="O54" s="75">
        <v>15.419296663660957</v>
      </c>
      <c r="P54" s="75">
        <v>46.318004207995187</v>
      </c>
      <c r="Q54" s="112">
        <v>2855</v>
      </c>
      <c r="R54" s="112">
        <v>1943</v>
      </c>
      <c r="S54" s="112">
        <v>912</v>
      </c>
      <c r="T54" s="75">
        <v>15.691768826619965</v>
      </c>
      <c r="U54" s="75">
        <v>33.730297723292466</v>
      </c>
      <c r="V54" s="75">
        <v>9.3520140105078813</v>
      </c>
      <c r="W54" s="75">
        <v>41.225919439579684</v>
      </c>
      <c r="X54" s="112">
        <v>2482</v>
      </c>
      <c r="Y54" s="112">
        <v>1663</v>
      </c>
      <c r="Z54" s="112">
        <v>819</v>
      </c>
      <c r="AA54" s="75">
        <v>15.350523771152297</v>
      </c>
      <c r="AB54" s="75">
        <v>32.87671232876712</v>
      </c>
      <c r="AC54" s="75">
        <v>9.7099113618049966</v>
      </c>
      <c r="AD54" s="75">
        <v>42.062852538275585</v>
      </c>
      <c r="AE54" s="57">
        <v>2168</v>
      </c>
      <c r="AF54" s="57">
        <v>1460</v>
      </c>
      <c r="AG54" s="57">
        <v>708</v>
      </c>
      <c r="AH54" s="29">
        <v>10.285977859778598</v>
      </c>
      <c r="AI54" s="29">
        <v>33.025830258302584</v>
      </c>
      <c r="AJ54" s="29">
        <v>13.422509225092252</v>
      </c>
      <c r="AK54" s="29">
        <v>43.265682656826563</v>
      </c>
      <c r="AL54" s="57">
        <v>1862</v>
      </c>
      <c r="AM54" s="57">
        <v>1250</v>
      </c>
      <c r="AN54" s="57">
        <v>612</v>
      </c>
      <c r="AO54" s="29">
        <v>10.472610096670246</v>
      </c>
      <c r="AP54" s="29">
        <v>33.243823845327604</v>
      </c>
      <c r="AQ54" s="29">
        <v>13.48012889366273</v>
      </c>
      <c r="AR54" s="29">
        <v>42.803437164339414</v>
      </c>
      <c r="AS54" s="57">
        <v>1804</v>
      </c>
      <c r="AT54" s="57">
        <v>1189</v>
      </c>
      <c r="AU54" s="57">
        <v>615</v>
      </c>
      <c r="AV54" s="29">
        <v>7.815964523281596</v>
      </c>
      <c r="AW54" s="29">
        <v>24.778270509977826</v>
      </c>
      <c r="AX54" s="29">
        <v>12.472283813747229</v>
      </c>
      <c r="AY54" s="29">
        <v>54.933481152993352</v>
      </c>
      <c r="AZ54" s="57">
        <v>1537</v>
      </c>
      <c r="BA54" s="57">
        <v>1099</v>
      </c>
      <c r="BB54" s="57">
        <v>438</v>
      </c>
      <c r="BC54" s="83">
        <v>4.9446974625894597</v>
      </c>
      <c r="BD54" s="83">
        <v>22.381262199089136</v>
      </c>
      <c r="BE54" s="83">
        <v>13.467794404684449</v>
      </c>
      <c r="BF54" s="83">
        <v>59.20624593363695</v>
      </c>
      <c r="BG54" s="57">
        <v>1352</v>
      </c>
      <c r="BH54" s="57">
        <v>970</v>
      </c>
      <c r="BI54" s="57">
        <v>382</v>
      </c>
      <c r="BJ54" s="83">
        <v>4.7337278106508878</v>
      </c>
      <c r="BK54" s="83">
        <v>24.630177514792901</v>
      </c>
      <c r="BL54" s="83">
        <v>12.278106508875739</v>
      </c>
      <c r="BM54" s="78">
        <v>58.357988165680467</v>
      </c>
      <c r="BN54" s="62"/>
    </row>
    <row r="55" spans="1:66" ht="8.25" customHeight="1">
      <c r="A55" s="107">
        <v>458</v>
      </c>
      <c r="B55" s="74" t="s">
        <v>125</v>
      </c>
      <c r="C55" s="111">
        <f>VLOOKUP((A55),'2019_C4_Rohdaten_BA'!$A$10:$O$59,5,FALSE)</f>
        <v>3710</v>
      </c>
      <c r="D55" s="111">
        <f>VLOOKUP((A55),'2019_C4_Rohdaten_BA'!$A$10:$O$59,6,FALSE)</f>
        <v>2646</v>
      </c>
      <c r="E55" s="111">
        <f>VLOOKUP((A55),'2019_C4_Rohdaten_BA'!$A$10:$O$59,7,FALSE)</f>
        <v>1064</v>
      </c>
      <c r="F55" s="69">
        <f>VLOOKUP((A55),'2019_C4_Rohdaten_BA'!$A$10:$O$59,12,FALSE)</f>
        <v>4.4204851752021561</v>
      </c>
      <c r="G55" s="69">
        <f>VLOOKUP((A55),'2019_C4_Rohdaten_BA'!$A$10:$O$59,13,FALSE)</f>
        <v>25.525606469002696</v>
      </c>
      <c r="H55" s="69">
        <f>VLOOKUP((A55),'2019_C4_Rohdaten_BA'!$A$10:$O$59,14,FALSE)</f>
        <v>27.035040431266847</v>
      </c>
      <c r="I55" s="69">
        <f>VLOOKUP((A55),'2019_C4_Rohdaten_BA'!$A$10:$O$59,15,FALSE)</f>
        <v>43.018867924528301</v>
      </c>
      <c r="J55" s="112">
        <v>32203</v>
      </c>
      <c r="K55" s="112">
        <v>17259</v>
      </c>
      <c r="L55" s="112">
        <v>14944</v>
      </c>
      <c r="M55" s="75">
        <v>4.20954162768943</v>
      </c>
      <c r="N55" s="75">
        <v>25.101340816962892</v>
      </c>
      <c r="O55" s="75">
        <v>25.194886186467102</v>
      </c>
      <c r="P55" s="75">
        <v>45.49423136888057</v>
      </c>
      <c r="Q55" s="112">
        <v>2773</v>
      </c>
      <c r="R55" s="112">
        <v>1968</v>
      </c>
      <c r="S55" s="112">
        <v>805</v>
      </c>
      <c r="T55" s="75">
        <v>23.548503425892537</v>
      </c>
      <c r="U55" s="75">
        <v>26.433465560764514</v>
      </c>
      <c r="V55" s="75">
        <v>4.5077533357374682</v>
      </c>
      <c r="W55" s="75">
        <v>45.51027767760548</v>
      </c>
      <c r="X55" s="112">
        <v>2350</v>
      </c>
      <c r="Y55" s="112">
        <v>1656</v>
      </c>
      <c r="Z55" s="112">
        <v>694</v>
      </c>
      <c r="AA55" s="75">
        <v>21.74468085106383</v>
      </c>
      <c r="AB55" s="75">
        <v>25.191489361702128</v>
      </c>
      <c r="AC55" s="75">
        <v>4.3829787234042552</v>
      </c>
      <c r="AD55" s="75">
        <v>48.680851063829792</v>
      </c>
      <c r="AE55" s="57">
        <v>2064</v>
      </c>
      <c r="AF55" s="57">
        <v>1474</v>
      </c>
      <c r="AG55" s="57">
        <v>590</v>
      </c>
      <c r="AH55" s="29">
        <v>4.4089147286821708</v>
      </c>
      <c r="AI55" s="29">
        <v>23.885658914728683</v>
      </c>
      <c r="AJ55" s="29">
        <v>20.736434108527131</v>
      </c>
      <c r="AK55" s="29">
        <v>50.968992248062015</v>
      </c>
      <c r="AL55" s="57">
        <v>1947</v>
      </c>
      <c r="AM55" s="57">
        <v>1328</v>
      </c>
      <c r="AN55" s="57">
        <v>619</v>
      </c>
      <c r="AO55" s="29">
        <v>4.2116076014381099</v>
      </c>
      <c r="AP55" s="29">
        <v>23.112480739599384</v>
      </c>
      <c r="AQ55" s="29">
        <v>31.124807395993837</v>
      </c>
      <c r="AR55" s="29">
        <v>41.551104262968664</v>
      </c>
      <c r="AS55" s="57">
        <v>1646</v>
      </c>
      <c r="AT55" s="57">
        <v>1111</v>
      </c>
      <c r="AU55" s="57">
        <v>535</v>
      </c>
      <c r="AV55" s="29">
        <v>3.7059538274605104</v>
      </c>
      <c r="AW55" s="29">
        <v>20.473876063183475</v>
      </c>
      <c r="AX55" s="29">
        <v>27.52126366950182</v>
      </c>
      <c r="AY55" s="29">
        <v>48.298906439854193</v>
      </c>
      <c r="AZ55" s="57">
        <v>1372</v>
      </c>
      <c r="BA55" s="57">
        <v>917</v>
      </c>
      <c r="BB55" s="57">
        <v>455</v>
      </c>
      <c r="BC55" s="83">
        <v>2.0408163265306123</v>
      </c>
      <c r="BD55" s="83">
        <v>18.367346938775512</v>
      </c>
      <c r="BE55" s="83">
        <v>16.326530612244898</v>
      </c>
      <c r="BF55" s="83">
        <v>63.265306122448983</v>
      </c>
      <c r="BG55" s="57">
        <v>1320</v>
      </c>
      <c r="BH55" s="57">
        <v>916</v>
      </c>
      <c r="BI55" s="57">
        <v>404</v>
      </c>
      <c r="BJ55" s="83">
        <v>2.1212121212121215</v>
      </c>
      <c r="BK55" s="83">
        <v>16.666666666666664</v>
      </c>
      <c r="BL55" s="83">
        <v>15.681818181818183</v>
      </c>
      <c r="BM55" s="78">
        <v>65.530303030303031</v>
      </c>
      <c r="BN55" s="62"/>
    </row>
    <row r="56" spans="1:66" ht="8.25" customHeight="1">
      <c r="A56" s="107">
        <v>459</v>
      </c>
      <c r="B56" s="74" t="s">
        <v>126</v>
      </c>
      <c r="C56" s="111">
        <f>VLOOKUP((A56),'2019_C4_Rohdaten_BA'!$A$10:$O$59,5,FALSE)</f>
        <v>17588</v>
      </c>
      <c r="D56" s="111">
        <f>VLOOKUP((A56),'2019_C4_Rohdaten_BA'!$A$10:$O$59,6,FALSE)</f>
        <v>11759</v>
      </c>
      <c r="E56" s="111">
        <f>VLOOKUP((A56),'2019_C4_Rohdaten_BA'!$A$10:$O$59,7,FALSE)</f>
        <v>5829</v>
      </c>
      <c r="F56" s="69">
        <f>VLOOKUP((A56),'2019_C4_Rohdaten_BA'!$A$10:$O$59,12,FALSE)</f>
        <v>4.196042756424835</v>
      </c>
      <c r="G56" s="69">
        <f>VLOOKUP((A56),'2019_C4_Rohdaten_BA'!$A$10:$O$59,13,FALSE)</f>
        <v>22.174209688423925</v>
      </c>
      <c r="H56" s="69">
        <f>VLOOKUP((A56),'2019_C4_Rohdaten_BA'!$A$10:$O$59,14,FALSE)</f>
        <v>24.55651580623152</v>
      </c>
      <c r="I56" s="69">
        <f>VLOOKUP((A56),'2019_C4_Rohdaten_BA'!$A$10:$O$59,15,FALSE)</f>
        <v>49.073231748919717</v>
      </c>
      <c r="J56" s="112">
        <v>111624</v>
      </c>
      <c r="K56" s="112">
        <v>62110</v>
      </c>
      <c r="L56" s="112">
        <v>49514</v>
      </c>
      <c r="M56" s="75">
        <v>3.9975247524752477</v>
      </c>
      <c r="N56" s="75">
        <v>21.998762376237625</v>
      </c>
      <c r="O56" s="75">
        <v>24.077970297029701</v>
      </c>
      <c r="P56" s="75">
        <v>49.925742574257427</v>
      </c>
      <c r="Q56" s="112">
        <v>13926</v>
      </c>
      <c r="R56" s="112">
        <v>9370</v>
      </c>
      <c r="S56" s="112">
        <v>4556</v>
      </c>
      <c r="T56" s="75">
        <v>24.673273014505241</v>
      </c>
      <c r="U56" s="75">
        <v>23.617693522906794</v>
      </c>
      <c r="V56" s="75">
        <v>4.3156685336780125</v>
      </c>
      <c r="W56" s="75">
        <v>47.393364928909953</v>
      </c>
      <c r="X56" s="112">
        <v>11933</v>
      </c>
      <c r="Y56" s="112">
        <v>8100</v>
      </c>
      <c r="Z56" s="112">
        <v>3833</v>
      </c>
      <c r="AA56" s="75">
        <v>25.668314757395461</v>
      </c>
      <c r="AB56" s="75">
        <v>24.009050532137767</v>
      </c>
      <c r="AC56" s="75">
        <v>4.3409033771893073</v>
      </c>
      <c r="AD56" s="75">
        <v>45.981731333277466</v>
      </c>
      <c r="AE56" s="57">
        <v>10321</v>
      </c>
      <c r="AF56" s="57">
        <v>7130</v>
      </c>
      <c r="AG56" s="57">
        <v>3191</v>
      </c>
      <c r="AH56" s="29">
        <v>4.2631527952717763</v>
      </c>
      <c r="AI56" s="29">
        <v>25.511093886251334</v>
      </c>
      <c r="AJ56" s="29">
        <v>24.774731130704389</v>
      </c>
      <c r="AK56" s="29">
        <v>45.451022187772494</v>
      </c>
      <c r="AL56" s="57">
        <v>8767</v>
      </c>
      <c r="AM56" s="57">
        <v>5978</v>
      </c>
      <c r="AN56" s="57">
        <v>2789</v>
      </c>
      <c r="AO56" s="29">
        <v>4.323029542602943</v>
      </c>
      <c r="AP56" s="29">
        <v>24.786129804950381</v>
      </c>
      <c r="AQ56" s="29">
        <v>26.896315729439944</v>
      </c>
      <c r="AR56" s="29">
        <v>43.994524923006729</v>
      </c>
      <c r="AS56" s="57">
        <v>7527</v>
      </c>
      <c r="AT56" s="57">
        <v>5133</v>
      </c>
      <c r="AU56" s="57">
        <v>2394</v>
      </c>
      <c r="AV56" s="29">
        <v>3.7066560382622558</v>
      </c>
      <c r="AW56" s="29">
        <v>22.492360834329748</v>
      </c>
      <c r="AX56" s="29">
        <v>25.680882157566092</v>
      </c>
      <c r="AY56" s="29">
        <v>48.120100969841914</v>
      </c>
      <c r="AZ56" s="57">
        <v>6322</v>
      </c>
      <c r="BA56" s="57">
        <v>4360</v>
      </c>
      <c r="BB56" s="57">
        <v>1962</v>
      </c>
      <c r="BC56" s="83">
        <v>3.0211958241062953</v>
      </c>
      <c r="BD56" s="83">
        <v>18.664979436887062</v>
      </c>
      <c r="BE56" s="83">
        <v>36.048718759886114</v>
      </c>
      <c r="BF56" s="83">
        <v>42.265105979120527</v>
      </c>
      <c r="BG56" s="57">
        <v>5311</v>
      </c>
      <c r="BH56" s="57">
        <v>3710</v>
      </c>
      <c r="BI56" s="57">
        <v>1601</v>
      </c>
      <c r="BJ56" s="83">
        <v>2.9749576350969686</v>
      </c>
      <c r="BK56" s="83">
        <v>20.12803615138392</v>
      </c>
      <c r="BL56" s="83">
        <v>43.268687629448316</v>
      </c>
      <c r="BM56" s="78">
        <v>33.628318584070797</v>
      </c>
      <c r="BN56" s="62"/>
    </row>
    <row r="57" spans="1:66" ht="8.25" customHeight="1">
      <c r="A57" s="107">
        <v>460</v>
      </c>
      <c r="B57" s="74" t="s">
        <v>127</v>
      </c>
      <c r="C57" s="111">
        <f>VLOOKUP((A57),'2019_C4_Rohdaten_BA'!$A$10:$O$59,5,FALSE)</f>
        <v>10720</v>
      </c>
      <c r="D57" s="111">
        <f>VLOOKUP((A57),'2019_C4_Rohdaten_BA'!$A$10:$O$59,6,FALSE)</f>
        <v>7249</v>
      </c>
      <c r="E57" s="111">
        <f>VLOOKUP((A57),'2019_C4_Rohdaten_BA'!$A$10:$O$59,7,FALSE)</f>
        <v>3471</v>
      </c>
      <c r="F57" s="69">
        <f>VLOOKUP((A57),'2019_C4_Rohdaten_BA'!$A$10:$O$59,12,FALSE)</f>
        <v>4.4123134328358207</v>
      </c>
      <c r="G57" s="69">
        <f>VLOOKUP((A57),'2019_C4_Rohdaten_BA'!$A$10:$O$59,13,FALSE)</f>
        <v>21.128731343283583</v>
      </c>
      <c r="H57" s="69">
        <f>VLOOKUP((A57),'2019_C4_Rohdaten_BA'!$A$10:$O$59,14,FALSE)</f>
        <v>27.406716417910449</v>
      </c>
      <c r="I57" s="69">
        <f>VLOOKUP((A57),'2019_C4_Rohdaten_BA'!$A$10:$O$59,15,FALSE)</f>
        <v>47.052238805970148</v>
      </c>
      <c r="J57" s="112">
        <v>61232</v>
      </c>
      <c r="K57" s="112">
        <v>35622</v>
      </c>
      <c r="L57" s="112">
        <v>25610</v>
      </c>
      <c r="M57" s="75">
        <v>4.1569026999490575</v>
      </c>
      <c r="N57" s="75">
        <v>22.027508914926134</v>
      </c>
      <c r="O57" s="75">
        <v>25.674987264391234</v>
      </c>
      <c r="P57" s="75">
        <v>48.140601120733571</v>
      </c>
      <c r="Q57" s="112">
        <v>9005</v>
      </c>
      <c r="R57" s="112">
        <v>6010</v>
      </c>
      <c r="S57" s="112">
        <v>2995</v>
      </c>
      <c r="T57" s="75">
        <v>24.652970571904497</v>
      </c>
      <c r="U57" s="75">
        <v>21.787895613548027</v>
      </c>
      <c r="V57" s="75">
        <v>3.9644641865630206</v>
      </c>
      <c r="W57" s="75">
        <v>49.594669627984459</v>
      </c>
      <c r="X57" s="112">
        <v>8345</v>
      </c>
      <c r="Y57" s="112">
        <v>5481</v>
      </c>
      <c r="Z57" s="112">
        <v>2864</v>
      </c>
      <c r="AA57" s="75">
        <v>25.871779508687837</v>
      </c>
      <c r="AB57" s="75">
        <v>20</v>
      </c>
      <c r="AC57" s="75">
        <v>3.9185140802875975</v>
      </c>
      <c r="AD57" s="75">
        <v>50.20970641102457</v>
      </c>
      <c r="AE57" s="57">
        <v>7530</v>
      </c>
      <c r="AF57" s="57">
        <v>4866</v>
      </c>
      <c r="AG57" s="57">
        <v>2664</v>
      </c>
      <c r="AH57" s="29">
        <v>3.5723771580345289</v>
      </c>
      <c r="AI57" s="29">
        <v>19.070385126162019</v>
      </c>
      <c r="AJ57" s="29">
        <v>25.830013280212484</v>
      </c>
      <c r="AK57" s="29">
        <v>51.527224435590966</v>
      </c>
      <c r="AL57" s="57">
        <v>6430</v>
      </c>
      <c r="AM57" s="57">
        <v>4165</v>
      </c>
      <c r="AN57" s="57">
        <v>2265</v>
      </c>
      <c r="AO57" s="29">
        <v>3.9502332814930012</v>
      </c>
      <c r="AP57" s="29">
        <v>17.293934681181959</v>
      </c>
      <c r="AQ57" s="29">
        <v>25.863141524105753</v>
      </c>
      <c r="AR57" s="29">
        <v>52.892690513219286</v>
      </c>
      <c r="AS57" s="57">
        <v>6068</v>
      </c>
      <c r="AT57" s="57">
        <v>3964</v>
      </c>
      <c r="AU57" s="57">
        <v>2104</v>
      </c>
      <c r="AV57" s="29">
        <v>3.4937376400791038</v>
      </c>
      <c r="AW57" s="29">
        <v>12.673038892551089</v>
      </c>
      <c r="AX57" s="29">
        <v>21.704021094264998</v>
      </c>
      <c r="AY57" s="29">
        <v>62.129202373104803</v>
      </c>
      <c r="AZ57" s="57">
        <v>4812</v>
      </c>
      <c r="BA57" s="57">
        <v>3104</v>
      </c>
      <c r="BB57" s="57">
        <v>1708</v>
      </c>
      <c r="BC57" s="83">
        <v>3.2626766417290107</v>
      </c>
      <c r="BD57" s="83">
        <v>10.203657522859517</v>
      </c>
      <c r="BE57" s="83">
        <v>20.802161263507895</v>
      </c>
      <c r="BF57" s="83">
        <v>65.731504571903571</v>
      </c>
      <c r="BG57" s="57">
        <v>3764</v>
      </c>
      <c r="BH57" s="57">
        <v>2398</v>
      </c>
      <c r="BI57" s="57">
        <v>1366</v>
      </c>
      <c r="BJ57" s="83">
        <v>3.6131774707757707</v>
      </c>
      <c r="BK57" s="83">
        <v>11.955366631243358</v>
      </c>
      <c r="BL57" s="83">
        <v>26.886291179596171</v>
      </c>
      <c r="BM57" s="78">
        <v>57.545164718384697</v>
      </c>
      <c r="BN57" s="62"/>
    </row>
    <row r="58" spans="1:66" ht="8.25" customHeight="1">
      <c r="A58" s="107">
        <v>461</v>
      </c>
      <c r="B58" s="74" t="s">
        <v>128</v>
      </c>
      <c r="C58" s="111">
        <f>VLOOKUP((A58),'2019_C4_Rohdaten_BA'!$A$10:$O$59,5,FALSE)</f>
        <v>2489</v>
      </c>
      <c r="D58" s="111">
        <f>VLOOKUP((A58),'2019_C4_Rohdaten_BA'!$A$10:$O$59,6,FALSE)</f>
        <v>2018</v>
      </c>
      <c r="E58" s="111">
        <f>VLOOKUP((A58),'2019_C4_Rohdaten_BA'!$A$10:$O$59,7,FALSE)</f>
        <v>471</v>
      </c>
      <c r="F58" s="69">
        <f>VLOOKUP((A58),'2019_C4_Rohdaten_BA'!$A$10:$O$59,12,FALSE)</f>
        <v>6.2274005624748892</v>
      </c>
      <c r="G58" s="69">
        <f>VLOOKUP((A58),'2019_C4_Rohdaten_BA'!$A$10:$O$59,13,FALSE)</f>
        <v>35.074327038971475</v>
      </c>
      <c r="H58" s="69">
        <f>VLOOKUP((A58),'2019_C4_Rohdaten_BA'!$A$10:$O$59,14,FALSE)</f>
        <v>20.36962635596625</v>
      </c>
      <c r="I58" s="69">
        <f>VLOOKUP((A58),'2019_C4_Rohdaten_BA'!$A$10:$O$59,15,FALSE)</f>
        <v>38.328646042587387</v>
      </c>
      <c r="J58" s="112">
        <v>27402</v>
      </c>
      <c r="K58" s="112">
        <v>16700</v>
      </c>
      <c r="L58" s="112">
        <v>10702</v>
      </c>
      <c r="M58" s="75">
        <v>5.6619144602851321</v>
      </c>
      <c r="N58" s="75">
        <v>34.501018329938901</v>
      </c>
      <c r="O58" s="75">
        <v>19.633401221995928</v>
      </c>
      <c r="P58" s="75">
        <v>40.203665987780042</v>
      </c>
      <c r="Q58" s="112">
        <v>2101</v>
      </c>
      <c r="R58" s="112">
        <v>1739</v>
      </c>
      <c r="S58" s="112">
        <v>362</v>
      </c>
      <c r="T58" s="75">
        <v>18.419800095192766</v>
      </c>
      <c r="U58" s="75">
        <v>36.220847215611613</v>
      </c>
      <c r="V58" s="75">
        <v>6.0923369823893383</v>
      </c>
      <c r="W58" s="75">
        <v>39.267015706806284</v>
      </c>
      <c r="X58" s="112">
        <v>1850</v>
      </c>
      <c r="Y58" s="112">
        <v>1511</v>
      </c>
      <c r="Z58" s="112">
        <v>339</v>
      </c>
      <c r="AA58" s="75">
        <v>18.216216216216218</v>
      </c>
      <c r="AB58" s="75">
        <v>37.567567567567565</v>
      </c>
      <c r="AC58" s="75">
        <v>5.5135135135135132</v>
      </c>
      <c r="AD58" s="75">
        <v>38.702702702702702</v>
      </c>
      <c r="AE58" s="57">
        <v>1550</v>
      </c>
      <c r="AF58" s="57">
        <v>1283</v>
      </c>
      <c r="AG58" s="57">
        <v>267</v>
      </c>
      <c r="AH58" s="29">
        <v>5.4838709677419359</v>
      </c>
      <c r="AI58" s="29">
        <v>40.580645161290327</v>
      </c>
      <c r="AJ58" s="29">
        <v>19.35483870967742</v>
      </c>
      <c r="AK58" s="29">
        <v>34.580645161290313</v>
      </c>
      <c r="AL58" s="57">
        <v>1330</v>
      </c>
      <c r="AM58" s="57">
        <v>1110</v>
      </c>
      <c r="AN58" s="57">
        <v>220</v>
      </c>
      <c r="AO58" s="29">
        <v>4.8120300751879705</v>
      </c>
      <c r="AP58" s="29">
        <v>41.127819548872182</v>
      </c>
      <c r="AQ58" s="29">
        <v>20.375939849624061</v>
      </c>
      <c r="AR58" s="29">
        <v>33.684210526315788</v>
      </c>
      <c r="AS58" s="57">
        <v>1240</v>
      </c>
      <c r="AT58" s="57">
        <v>1014</v>
      </c>
      <c r="AU58" s="57">
        <v>226</v>
      </c>
      <c r="AV58" s="29">
        <v>4.435483870967742</v>
      </c>
      <c r="AW58" s="29">
        <v>40.887096774193552</v>
      </c>
      <c r="AX58" s="29">
        <v>22.016129032258064</v>
      </c>
      <c r="AY58" s="29">
        <v>32.661290322580641</v>
      </c>
      <c r="AZ58" s="57">
        <v>931</v>
      </c>
      <c r="BA58" s="57">
        <v>754</v>
      </c>
      <c r="BB58" s="57">
        <v>177</v>
      </c>
      <c r="BC58" s="83">
        <v>5.1557465091299681</v>
      </c>
      <c r="BD58" s="83">
        <v>40.064446831364123</v>
      </c>
      <c r="BE58" s="83">
        <v>21.267454350161117</v>
      </c>
      <c r="BF58" s="83">
        <v>33.512352309344791</v>
      </c>
      <c r="BG58" s="57">
        <v>842</v>
      </c>
      <c r="BH58" s="57">
        <v>691</v>
      </c>
      <c r="BI58" s="57">
        <v>151</v>
      </c>
      <c r="BJ58" s="83">
        <v>5.225653206650831</v>
      </c>
      <c r="BK58" s="83">
        <v>41.567695961995248</v>
      </c>
      <c r="BL58" s="83">
        <v>25.059382422802852</v>
      </c>
      <c r="BM58" s="78">
        <v>28.147268408551064</v>
      </c>
      <c r="BN58" s="62"/>
    </row>
    <row r="59" spans="1:66" ht="8.25" customHeight="1">
      <c r="A59" s="107">
        <v>462</v>
      </c>
      <c r="B59" s="74" t="s">
        <v>129</v>
      </c>
      <c r="C59" s="111">
        <f>VLOOKUP((A59),'2019_C4_Rohdaten_BA'!$A$10:$O$59,5,FALSE)</f>
        <v>988</v>
      </c>
      <c r="D59" s="111">
        <f>VLOOKUP((A59),'2019_C4_Rohdaten_BA'!$A$10:$O$59,6,FALSE)</f>
        <v>577</v>
      </c>
      <c r="E59" s="111">
        <f>VLOOKUP((A59),'2019_C4_Rohdaten_BA'!$A$10:$O$59,7,FALSE)</f>
        <v>411</v>
      </c>
      <c r="F59" s="69">
        <f>VLOOKUP((A59),'2019_C4_Rohdaten_BA'!$A$10:$O$59,12,FALSE)</f>
        <v>5.8704453441295543</v>
      </c>
      <c r="G59" s="69">
        <f>VLOOKUP((A59),'2019_C4_Rohdaten_BA'!$A$10:$O$59,13,FALSE)</f>
        <v>22.267206477732792</v>
      </c>
      <c r="H59" s="69">
        <f>VLOOKUP((A59),'2019_C4_Rohdaten_BA'!$A$10:$O$59,14,FALSE)</f>
        <v>18.623481781376519</v>
      </c>
      <c r="I59" s="69">
        <f>VLOOKUP((A59),'2019_C4_Rohdaten_BA'!$A$10:$O$59,15,FALSE)</f>
        <v>53.238866396761132</v>
      </c>
      <c r="J59" s="112">
        <v>15063</v>
      </c>
      <c r="K59" s="112">
        <v>7466</v>
      </c>
      <c r="L59" s="112">
        <v>7597</v>
      </c>
      <c r="M59" s="75">
        <v>5.9649122807017543</v>
      </c>
      <c r="N59" s="75">
        <v>22.807017543859647</v>
      </c>
      <c r="O59" s="75">
        <v>16.023391812865498</v>
      </c>
      <c r="P59" s="75">
        <v>55.204678362573098</v>
      </c>
      <c r="Q59" s="112">
        <v>801</v>
      </c>
      <c r="R59" s="112">
        <v>462</v>
      </c>
      <c r="S59" s="112">
        <v>339</v>
      </c>
      <c r="T59" s="75">
        <v>14.107365792759053</v>
      </c>
      <c r="U59" s="75">
        <v>21.972534332084894</v>
      </c>
      <c r="V59" s="75">
        <v>6.1173533083645442</v>
      </c>
      <c r="W59" s="75">
        <v>57.802746566791505</v>
      </c>
      <c r="X59" s="112">
        <v>688</v>
      </c>
      <c r="Y59" s="112">
        <v>396</v>
      </c>
      <c r="Z59" s="112">
        <v>292</v>
      </c>
      <c r="AA59" s="75">
        <v>11.337209302325581</v>
      </c>
      <c r="AB59" s="75">
        <v>21.36627906976744</v>
      </c>
      <c r="AC59" s="75">
        <v>6.104651162790697</v>
      </c>
      <c r="AD59" s="75">
        <v>61.191860465116278</v>
      </c>
      <c r="AE59" s="57">
        <v>675</v>
      </c>
      <c r="AF59" s="57">
        <v>368</v>
      </c>
      <c r="AG59" s="57">
        <v>307</v>
      </c>
      <c r="AH59" s="29">
        <v>5.7777777777777777</v>
      </c>
      <c r="AI59" s="29">
        <v>22.222222222222221</v>
      </c>
      <c r="AJ59" s="29">
        <v>10.666666666666668</v>
      </c>
      <c r="AK59" s="29">
        <v>61.333333333333336</v>
      </c>
      <c r="AL59" s="57">
        <v>586</v>
      </c>
      <c r="AM59" s="57">
        <v>317</v>
      </c>
      <c r="AN59" s="57">
        <v>269</v>
      </c>
      <c r="AO59" s="29">
        <v>4.0955631399317403</v>
      </c>
      <c r="AP59" s="29">
        <v>20.136518771331058</v>
      </c>
      <c r="AQ59" s="29">
        <v>11.262798634812286</v>
      </c>
      <c r="AR59" s="29">
        <v>64.50511945392492</v>
      </c>
      <c r="AS59" s="57">
        <v>496</v>
      </c>
      <c r="AT59" s="57">
        <v>258</v>
      </c>
      <c r="AU59" s="57">
        <v>238</v>
      </c>
      <c r="AV59" s="29">
        <v>4.435483870967742</v>
      </c>
      <c r="AW59" s="29">
        <v>16.33064516129032</v>
      </c>
      <c r="AX59" s="29">
        <v>9.879032258064516</v>
      </c>
      <c r="AY59" s="29">
        <v>69.354838709677423</v>
      </c>
      <c r="AZ59" s="57">
        <v>389</v>
      </c>
      <c r="BA59" s="57">
        <v>205</v>
      </c>
      <c r="BB59" s="57">
        <v>184</v>
      </c>
      <c r="BC59" s="83">
        <v>5.6555269922879177</v>
      </c>
      <c r="BD59" s="83">
        <v>17.480719794344473</v>
      </c>
      <c r="BE59" s="83" t="s">
        <v>214</v>
      </c>
      <c r="BF59" s="83" t="s">
        <v>214</v>
      </c>
      <c r="BG59" s="57">
        <v>293</v>
      </c>
      <c r="BH59" s="57">
        <v>149</v>
      </c>
      <c r="BI59" s="57">
        <v>144</v>
      </c>
      <c r="BJ59" s="83">
        <v>5.4607508532423212</v>
      </c>
      <c r="BK59" s="83" t="s">
        <v>214</v>
      </c>
      <c r="BL59" s="83" t="s">
        <v>214</v>
      </c>
      <c r="BM59" s="78" t="s">
        <v>214</v>
      </c>
      <c r="BN59" s="62"/>
    </row>
    <row r="60" spans="1:66" s="54" customFormat="1" ht="16.5" customHeight="1">
      <c r="A60" s="108">
        <v>4</v>
      </c>
      <c r="B60" s="84" t="s">
        <v>157</v>
      </c>
      <c r="C60" s="111">
        <f>VLOOKUP((A60),'2019_C4_Rohdaten_BA'!$A$10:$O$59,5,FALSE)</f>
        <v>98270</v>
      </c>
      <c r="D60" s="111">
        <f>VLOOKUP((A60),'2019_C4_Rohdaten_BA'!$A$10:$O$59,6,FALSE)</f>
        <v>66775</v>
      </c>
      <c r="E60" s="111">
        <f>VLOOKUP((A60),'2019_C4_Rohdaten_BA'!$A$10:$O$59,7,FALSE)</f>
        <v>31495</v>
      </c>
      <c r="F60" s="69">
        <f>VLOOKUP((A60),'2019_C4_Rohdaten_BA'!$A$10:$O$59,12,FALSE)</f>
        <v>6.9746616464841766</v>
      </c>
      <c r="G60" s="69">
        <f>VLOOKUP((A60),'2019_C4_Rohdaten_BA'!$A$10:$O$59,13,FALSE)</f>
        <v>26.165666022183778</v>
      </c>
      <c r="H60" s="69">
        <f>VLOOKUP((A60),'2019_C4_Rohdaten_BA'!$A$10:$O$59,14,FALSE)</f>
        <v>25.039177775516436</v>
      </c>
      <c r="I60" s="69">
        <f>VLOOKUP((A60),'2019_C4_Rohdaten_BA'!$A$10:$O$59,15,FALSE)</f>
        <v>41.820494555815607</v>
      </c>
      <c r="J60" s="113">
        <v>884850</v>
      </c>
      <c r="K60" s="113">
        <v>481474</v>
      </c>
      <c r="L60" s="113">
        <v>403376</v>
      </c>
      <c r="M60" s="85">
        <v>6.8118332043213412</v>
      </c>
      <c r="N60" s="85">
        <v>26.708847978999088</v>
      </c>
      <c r="O60" s="85">
        <v>24.091587296245191</v>
      </c>
      <c r="P60" s="85">
        <v>42.387731520434379</v>
      </c>
      <c r="Q60" s="113">
        <v>78621</v>
      </c>
      <c r="R60" s="113">
        <v>53110</v>
      </c>
      <c r="S60" s="113">
        <v>25511</v>
      </c>
      <c r="T60" s="85">
        <v>23.058724768191706</v>
      </c>
      <c r="U60" s="85">
        <v>27.539715851998832</v>
      </c>
      <c r="V60" s="85">
        <v>6.8645781661388181</v>
      </c>
      <c r="W60" s="85">
        <v>42.53698121367065</v>
      </c>
      <c r="X60" s="113">
        <v>69027</v>
      </c>
      <c r="Y60" s="113">
        <v>46209</v>
      </c>
      <c r="Z60" s="113">
        <v>22818</v>
      </c>
      <c r="AA60" s="85">
        <v>22.389789502658381</v>
      </c>
      <c r="AB60" s="85">
        <v>27.826792414562419</v>
      </c>
      <c r="AC60" s="85">
        <v>6.9088907239196251</v>
      </c>
      <c r="AD60" s="85">
        <v>42.874527358859574</v>
      </c>
      <c r="AE60" s="86">
        <v>60126</v>
      </c>
      <c r="AF60" s="86">
        <v>40153</v>
      </c>
      <c r="AG60" s="86">
        <v>19973</v>
      </c>
      <c r="AH60" s="87">
        <v>6.9553936732860988</v>
      </c>
      <c r="AI60" s="87">
        <v>28.287263413498319</v>
      </c>
      <c r="AJ60" s="87">
        <v>21.524797924358847</v>
      </c>
      <c r="AK60" s="87">
        <v>43.232544988856731</v>
      </c>
      <c r="AL60" s="86">
        <v>51181</v>
      </c>
      <c r="AM60" s="86">
        <v>33979</v>
      </c>
      <c r="AN60" s="86">
        <v>17202</v>
      </c>
      <c r="AO60" s="87">
        <v>6.912721517750728</v>
      </c>
      <c r="AP60" s="87">
        <v>28.430472245559873</v>
      </c>
      <c r="AQ60" s="87">
        <v>22.3813524550126</v>
      </c>
      <c r="AR60" s="87">
        <v>42.275453781676802</v>
      </c>
      <c r="AS60" s="86">
        <v>46230</v>
      </c>
      <c r="AT60" s="86">
        <v>30367</v>
      </c>
      <c r="AU60" s="86">
        <v>15863</v>
      </c>
      <c r="AV60" s="87">
        <v>6.1172398875189273</v>
      </c>
      <c r="AW60" s="87">
        <v>24.239671209171533</v>
      </c>
      <c r="AX60" s="87">
        <v>20.028120268224097</v>
      </c>
      <c r="AY60" s="87">
        <v>49.61496863508544</v>
      </c>
      <c r="AZ60" s="86">
        <v>35622</v>
      </c>
      <c r="BA60" s="86">
        <v>23377</v>
      </c>
      <c r="BB60" s="86">
        <v>12245</v>
      </c>
      <c r="BC60" s="88">
        <v>5.3085172084666779</v>
      </c>
      <c r="BD60" s="88">
        <v>22.811745550502501</v>
      </c>
      <c r="BE60" s="88">
        <v>24.308011902756725</v>
      </c>
      <c r="BF60" s="88">
        <v>47.571725338274092</v>
      </c>
      <c r="BG60" s="86">
        <v>31040</v>
      </c>
      <c r="BH60" s="86">
        <v>20429</v>
      </c>
      <c r="BI60" s="86">
        <v>10611</v>
      </c>
      <c r="BJ60" s="88">
        <v>5.331829896907216</v>
      </c>
      <c r="BK60" s="88">
        <v>24.871134020618555</v>
      </c>
      <c r="BL60" s="88">
        <v>26.794458762886599</v>
      </c>
      <c r="BM60" s="89">
        <v>43.002577319587637</v>
      </c>
      <c r="BN60" s="106"/>
    </row>
    <row r="61" spans="1:66" s="54" customFormat="1" ht="16.5" customHeight="1">
      <c r="A61" s="108">
        <v>0</v>
      </c>
      <c r="B61" s="84" t="s">
        <v>130</v>
      </c>
      <c r="C61" s="111">
        <f>VLOOKUP((A61),'2019_C4_Rohdaten_BA'!$A$10:$O$59,5,FALSE)</f>
        <v>280719</v>
      </c>
      <c r="D61" s="111">
        <f>VLOOKUP((A61),'2019_C4_Rohdaten_BA'!$A$10:$O$59,6,FALSE)</f>
        <v>186982</v>
      </c>
      <c r="E61" s="111">
        <f>VLOOKUP((A61),'2019_C4_Rohdaten_BA'!$A$10:$O$59,7,FALSE)</f>
        <v>93737</v>
      </c>
      <c r="F61" s="69">
        <f>VLOOKUP((A61),'2019_C4_Rohdaten_BA'!$A$10:$O$59,12,FALSE)</f>
        <v>11.298843327313078</v>
      </c>
      <c r="G61" s="69">
        <f>VLOOKUP((A61),'2019_C4_Rohdaten_BA'!$A$10:$O$59,13,FALSE)</f>
        <v>29.938835632785811</v>
      </c>
      <c r="H61" s="69">
        <f>VLOOKUP((A61),'2019_C4_Rohdaten_BA'!$A$10:$O$59,14,FALSE)</f>
        <v>25.281509267274391</v>
      </c>
      <c r="I61" s="69">
        <f>VLOOKUP((A61),'2019_C4_Rohdaten_BA'!$A$10:$O$59,15,FALSE)</f>
        <v>33.480811772626723</v>
      </c>
      <c r="J61" s="113">
        <v>2700138</v>
      </c>
      <c r="K61" s="113">
        <v>1433181</v>
      </c>
      <c r="L61" s="113">
        <v>1266957</v>
      </c>
      <c r="M61" s="85">
        <v>11.010922866792685</v>
      </c>
      <c r="N61" s="85">
        <v>30.478359730587552</v>
      </c>
      <c r="O61" s="85">
        <v>24.364137304857955</v>
      </c>
      <c r="P61" s="85">
        <v>34.146580097761806</v>
      </c>
      <c r="Q61" s="113">
        <v>226387</v>
      </c>
      <c r="R61" s="113">
        <v>148723</v>
      </c>
      <c r="S61" s="113">
        <v>77664</v>
      </c>
      <c r="T61" s="85">
        <v>23.068904133187861</v>
      </c>
      <c r="U61" s="85">
        <v>31.197904473313397</v>
      </c>
      <c r="V61" s="85">
        <v>11.066448161776075</v>
      </c>
      <c r="W61" s="85">
        <v>34.66674323172267</v>
      </c>
      <c r="X61" s="113">
        <v>202263</v>
      </c>
      <c r="Y61" s="113">
        <v>131518</v>
      </c>
      <c r="Z61" s="113">
        <v>70745</v>
      </c>
      <c r="AA61" s="85">
        <v>22.440584783178338</v>
      </c>
      <c r="AB61" s="85">
        <v>31.615273183923904</v>
      </c>
      <c r="AC61" s="85">
        <v>11.081117159342044</v>
      </c>
      <c r="AD61" s="85">
        <v>34.863024873555716</v>
      </c>
      <c r="AE61" s="86">
        <v>179647</v>
      </c>
      <c r="AF61" s="86">
        <v>116488</v>
      </c>
      <c r="AG61" s="86">
        <v>63159</v>
      </c>
      <c r="AH61" s="87">
        <v>11.060023267853067</v>
      </c>
      <c r="AI61" s="87">
        <v>31.815170862858828</v>
      </c>
      <c r="AJ61" s="87">
        <v>21.830589990370004</v>
      </c>
      <c r="AK61" s="87">
        <v>35.294215878918102</v>
      </c>
      <c r="AL61" s="86">
        <v>159318</v>
      </c>
      <c r="AM61" s="86">
        <v>102991</v>
      </c>
      <c r="AN61" s="86">
        <v>56327</v>
      </c>
      <c r="AO61" s="87">
        <v>11.007544659109454</v>
      </c>
      <c r="AP61" s="87">
        <v>31.727739489574308</v>
      </c>
      <c r="AQ61" s="87">
        <v>21.699368558480522</v>
      </c>
      <c r="AR61" s="87">
        <v>35.56534729283571</v>
      </c>
      <c r="AS61" s="86">
        <v>146791</v>
      </c>
      <c r="AT61" s="86">
        <v>94039</v>
      </c>
      <c r="AU61" s="86">
        <v>52752</v>
      </c>
      <c r="AV61" s="87">
        <v>9.6095809688604881</v>
      </c>
      <c r="AW61" s="87">
        <v>27.994223079071606</v>
      </c>
      <c r="AX61" s="87">
        <v>19.52163279765108</v>
      </c>
      <c r="AY61" s="87">
        <v>42.874563154416833</v>
      </c>
      <c r="AZ61" s="86">
        <v>120849</v>
      </c>
      <c r="BA61" s="86">
        <v>77448</v>
      </c>
      <c r="BB61" s="86">
        <v>43401</v>
      </c>
      <c r="BC61" s="88">
        <v>8.217693154266895</v>
      </c>
      <c r="BD61" s="88">
        <v>27.390379730076376</v>
      </c>
      <c r="BE61" s="88">
        <v>22.982399523372145</v>
      </c>
      <c r="BF61" s="88">
        <v>41.409527592284576</v>
      </c>
      <c r="BG61" s="86">
        <v>110615</v>
      </c>
      <c r="BH61" s="86">
        <v>70980</v>
      </c>
      <c r="BI61" s="86">
        <v>39635</v>
      </c>
      <c r="BJ61" s="88">
        <v>8.0649098223568227</v>
      </c>
      <c r="BK61" s="88">
        <v>28.625412466663651</v>
      </c>
      <c r="BL61" s="88">
        <v>24.276996790670342</v>
      </c>
      <c r="BM61" s="89">
        <v>39.03268092030919</v>
      </c>
      <c r="BN61" s="90"/>
    </row>
    <row r="62" spans="1:66" ht="8.25" customHeight="1">
      <c r="B62" s="91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3"/>
      <c r="AF62" s="93"/>
      <c r="AG62" s="93"/>
      <c r="AH62" s="94"/>
      <c r="AI62" s="94"/>
      <c r="AJ62" s="94"/>
      <c r="AK62" s="94"/>
      <c r="AL62" s="93"/>
      <c r="AM62" s="93"/>
      <c r="AN62" s="93"/>
      <c r="AO62" s="95"/>
      <c r="AP62" s="95"/>
      <c r="AQ62" s="95"/>
      <c r="AR62" s="95"/>
      <c r="AS62" s="93"/>
      <c r="AT62" s="93"/>
      <c r="AU62" s="93"/>
      <c r="AV62" s="95"/>
      <c r="AW62" s="95"/>
      <c r="AX62" s="95"/>
      <c r="AY62" s="95"/>
      <c r="AZ62" s="93"/>
      <c r="BA62" s="93"/>
      <c r="BB62" s="93"/>
      <c r="BC62" s="96"/>
      <c r="BD62" s="96"/>
      <c r="BE62" s="96"/>
      <c r="BF62" s="96"/>
      <c r="BG62" s="93"/>
      <c r="BH62" s="93"/>
      <c r="BI62" s="93"/>
      <c r="BJ62" s="96"/>
      <c r="BK62" s="96"/>
      <c r="BL62" s="96"/>
      <c r="BM62" s="97"/>
      <c r="BN62" s="97"/>
    </row>
    <row r="63" spans="1:66" ht="8.25" customHeight="1">
      <c r="B63" s="297" t="s">
        <v>158</v>
      </c>
      <c r="C63" s="297"/>
      <c r="D63" s="297"/>
      <c r="E63" s="297"/>
      <c r="F63" s="297"/>
      <c r="G63" s="297"/>
      <c r="H63" s="297"/>
      <c r="I63" s="297"/>
      <c r="J63" s="297"/>
      <c r="K63" s="297"/>
      <c r="L63" s="297"/>
      <c r="M63" s="297"/>
      <c r="N63" s="297"/>
      <c r="O63" s="297"/>
      <c r="P63" s="297"/>
      <c r="Q63" s="297"/>
      <c r="R63" s="297"/>
      <c r="S63" s="297"/>
      <c r="T63" s="297"/>
      <c r="U63" s="297"/>
      <c r="V63" s="297"/>
      <c r="W63" s="297"/>
      <c r="X63" s="297"/>
      <c r="Y63" s="297"/>
      <c r="Z63" s="297"/>
      <c r="AA63" s="297"/>
      <c r="AB63" s="297"/>
      <c r="AC63" s="297"/>
      <c r="AD63" s="297"/>
      <c r="AE63" s="297"/>
      <c r="AF63" s="297"/>
      <c r="AG63" s="297"/>
      <c r="AH63" s="297"/>
      <c r="AI63" s="297"/>
      <c r="AJ63" s="297"/>
      <c r="AK63" s="124"/>
      <c r="AL63" s="99"/>
      <c r="AM63" s="100"/>
      <c r="AN63" s="99"/>
      <c r="AO63" s="99"/>
      <c r="AP63" s="99"/>
      <c r="AQ63" s="99"/>
      <c r="AR63" s="99"/>
    </row>
    <row r="64" spans="1:66" ht="8.25" customHeight="1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2"/>
      <c r="AF64" s="99"/>
      <c r="AG64" s="99"/>
      <c r="AH64" s="99"/>
      <c r="AI64" s="99"/>
      <c r="AJ64" s="99"/>
      <c r="AK64" s="99"/>
      <c r="AL64" s="99"/>
      <c r="AM64" s="100"/>
      <c r="AN64" s="99"/>
      <c r="AO64" s="99"/>
      <c r="AP64" s="99"/>
      <c r="AQ64" s="99"/>
      <c r="AR64" s="99"/>
    </row>
    <row r="65" spans="2:44" ht="8.25" customHeight="1">
      <c r="B65" s="25" t="s">
        <v>159</v>
      </c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103"/>
      <c r="AF65" s="103"/>
      <c r="AG65" s="103"/>
      <c r="AH65" s="103"/>
      <c r="AI65" s="103"/>
      <c r="AJ65" s="103"/>
      <c r="AK65" s="103"/>
      <c r="AL65" s="99"/>
      <c r="AM65" s="100"/>
      <c r="AN65" s="99"/>
      <c r="AO65" s="99"/>
      <c r="AP65" s="99"/>
      <c r="AQ65" s="99"/>
      <c r="AR65" s="99"/>
    </row>
    <row r="66" spans="2:44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2"/>
      <c r="AF66" s="99"/>
      <c r="AG66" s="99"/>
      <c r="AH66" s="99"/>
      <c r="AI66" s="99"/>
      <c r="AJ66" s="99"/>
      <c r="AK66" s="99"/>
      <c r="AL66" s="99"/>
      <c r="AM66" s="100"/>
      <c r="AN66" s="99"/>
      <c r="AO66" s="99"/>
      <c r="AP66" s="99"/>
      <c r="AQ66" s="99"/>
      <c r="AR66" s="99"/>
    </row>
  </sheetData>
  <mergeCells count="48">
    <mergeCell ref="BG8:BI8"/>
    <mergeCell ref="BJ8:BL8"/>
    <mergeCell ref="B63:AJ63"/>
    <mergeCell ref="C5:I5"/>
    <mergeCell ref="C6:E6"/>
    <mergeCell ref="F6:I6"/>
    <mergeCell ref="C8:E8"/>
    <mergeCell ref="F8:H8"/>
    <mergeCell ref="AL8:AN8"/>
    <mergeCell ref="AO8:AR8"/>
    <mergeCell ref="AS8:AU8"/>
    <mergeCell ref="AV8:AY8"/>
    <mergeCell ref="AZ8:BB8"/>
    <mergeCell ref="BC8:BF8"/>
    <mergeCell ref="BG6:BI6"/>
    <mergeCell ref="BJ6:BM6"/>
    <mergeCell ref="AZ5:BF5"/>
    <mergeCell ref="AA8:AC8"/>
    <mergeCell ref="AE8:AG8"/>
    <mergeCell ref="AH8:AJ8"/>
    <mergeCell ref="AL6:AN6"/>
    <mergeCell ref="AO6:AR6"/>
    <mergeCell ref="BG5:BM5"/>
    <mergeCell ref="J6:L6"/>
    <mergeCell ref="M6:P6"/>
    <mergeCell ref="Q6:S6"/>
    <mergeCell ref="T6:W6"/>
    <mergeCell ref="X6:Z6"/>
    <mergeCell ref="AA6:AD6"/>
    <mergeCell ref="AE5:AK5"/>
    <mergeCell ref="AE6:AG6"/>
    <mergeCell ref="AH6:AK6"/>
    <mergeCell ref="AS6:AU6"/>
    <mergeCell ref="AV6:AY6"/>
    <mergeCell ref="AZ6:BB6"/>
    <mergeCell ref="BC6:BF6"/>
    <mergeCell ref="AL5:AR5"/>
    <mergeCell ref="AS5:AY5"/>
    <mergeCell ref="A5:A8"/>
    <mergeCell ref="B5:B8"/>
    <mergeCell ref="J5:P5"/>
    <mergeCell ref="Q5:W5"/>
    <mergeCell ref="X5:AD5"/>
    <mergeCell ref="J8:L8"/>
    <mergeCell ref="M8:O8"/>
    <mergeCell ref="Q8:S8"/>
    <mergeCell ref="T8:V8"/>
    <mergeCell ref="X8:Z8"/>
  </mergeCells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CAA7B-1FFD-4FEE-A2BE-FC27D2B75C48}">
  <sheetPr codeName="Tabelle11"/>
  <dimension ref="A1:O60"/>
  <sheetViews>
    <sheetView zoomScale="145" zoomScaleNormal="145" workbookViewId="0">
      <selection activeCell="E10" sqref="E10"/>
    </sheetView>
  </sheetViews>
  <sheetFormatPr baseColWidth="10" defaultColWidth="8" defaultRowHeight="11.25"/>
  <cols>
    <col min="1" max="2" width="8" style="132"/>
    <col min="3" max="3" width="21.875" style="132" bestFit="1" customWidth="1"/>
    <col min="4" max="4" width="25.75" style="132" customWidth="1"/>
    <col min="5" max="15" width="14.75" style="132" customWidth="1"/>
    <col min="16" max="16384" width="8" style="132"/>
  </cols>
  <sheetData>
    <row r="1" spans="1:15" ht="12.75">
      <c r="D1" s="130"/>
      <c r="E1" s="130"/>
      <c r="F1" s="130"/>
      <c r="G1" s="130"/>
      <c r="H1" s="130"/>
      <c r="I1" s="130"/>
      <c r="J1" s="130"/>
      <c r="K1" s="131"/>
      <c r="L1" s="130"/>
      <c r="M1" s="130"/>
      <c r="N1" s="130"/>
      <c r="O1" s="131" t="s">
        <v>227</v>
      </c>
    </row>
    <row r="3" spans="1:15" ht="15">
      <c r="D3" s="328" t="s">
        <v>228</v>
      </c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</row>
    <row r="4" spans="1:15">
      <c r="D4" s="133" t="s">
        <v>229</v>
      </c>
    </row>
    <row r="5" spans="1:15">
      <c r="D5" s="134" t="s">
        <v>230</v>
      </c>
    </row>
    <row r="7" spans="1:15">
      <c r="D7" s="330" t="s">
        <v>231</v>
      </c>
      <c r="E7" s="330" t="s">
        <v>28</v>
      </c>
      <c r="F7" s="333" t="s">
        <v>232</v>
      </c>
      <c r="G7" s="333"/>
      <c r="H7" s="334" t="s">
        <v>232</v>
      </c>
      <c r="I7" s="335"/>
      <c r="J7" s="335"/>
      <c r="K7" s="336"/>
      <c r="L7" s="335" t="s">
        <v>233</v>
      </c>
      <c r="M7" s="335"/>
      <c r="N7" s="335"/>
      <c r="O7" s="336"/>
    </row>
    <row r="8" spans="1:15" ht="22.5">
      <c r="D8" s="331"/>
      <c r="E8" s="331"/>
      <c r="F8" s="135" t="s">
        <v>89</v>
      </c>
      <c r="G8" s="136" t="s">
        <v>90</v>
      </c>
      <c r="H8" s="137" t="s">
        <v>234</v>
      </c>
      <c r="I8" s="137" t="s">
        <v>235</v>
      </c>
      <c r="J8" s="137" t="s">
        <v>236</v>
      </c>
      <c r="K8" s="138" t="s">
        <v>237</v>
      </c>
      <c r="L8" s="137" t="s">
        <v>236</v>
      </c>
      <c r="M8" s="137" t="s">
        <v>235</v>
      </c>
      <c r="N8" s="139" t="s">
        <v>234</v>
      </c>
      <c r="O8" s="138" t="s">
        <v>237</v>
      </c>
    </row>
    <row r="9" spans="1:15" s="143" customFormat="1">
      <c r="D9" s="332"/>
      <c r="E9" s="140">
        <v>1</v>
      </c>
      <c r="F9" s="141">
        <v>2</v>
      </c>
      <c r="G9" s="142">
        <v>3</v>
      </c>
      <c r="H9" s="142">
        <v>4</v>
      </c>
      <c r="I9" s="142">
        <v>5</v>
      </c>
      <c r="J9" s="142">
        <v>6</v>
      </c>
      <c r="K9" s="140">
        <v>7</v>
      </c>
      <c r="L9" s="142">
        <v>10</v>
      </c>
      <c r="N9" s="141">
        <v>8</v>
      </c>
      <c r="O9" s="140">
        <v>11</v>
      </c>
    </row>
    <row r="10" spans="1:15">
      <c r="A10" s="132">
        <v>0</v>
      </c>
      <c r="B10" s="169">
        <v>0</v>
      </c>
      <c r="C10" s="132" t="s">
        <v>130</v>
      </c>
      <c r="D10" s="144" t="s">
        <v>238</v>
      </c>
      <c r="E10" s="145">
        <v>280719</v>
      </c>
      <c r="F10" s="146">
        <v>186982</v>
      </c>
      <c r="G10" s="146">
        <v>93737</v>
      </c>
      <c r="H10" s="147">
        <v>70970</v>
      </c>
      <c r="I10" s="146">
        <v>84044</v>
      </c>
      <c r="J10" s="146">
        <v>31718</v>
      </c>
      <c r="K10" s="148">
        <v>93987</v>
      </c>
      <c r="L10" s="150">
        <v>11.298843327313078</v>
      </c>
      <c r="M10" s="150">
        <v>29.938835632785811</v>
      </c>
      <c r="N10" s="149">
        <v>25.281509267274391</v>
      </c>
      <c r="O10" s="151">
        <v>33.480811772626723</v>
      </c>
    </row>
    <row r="11" spans="1:15">
      <c r="A11" s="169">
        <v>1</v>
      </c>
      <c r="B11" s="169">
        <v>31</v>
      </c>
      <c r="C11" s="132" t="s">
        <v>298</v>
      </c>
      <c r="D11" s="168" t="s">
        <v>239</v>
      </c>
      <c r="E11" s="152">
        <v>51596</v>
      </c>
      <c r="F11" s="153">
        <v>34403</v>
      </c>
      <c r="G11" s="153">
        <v>17193</v>
      </c>
      <c r="H11" s="154">
        <v>11594</v>
      </c>
      <c r="I11" s="153">
        <v>16593</v>
      </c>
      <c r="J11" s="153">
        <v>10131</v>
      </c>
      <c r="K11" s="155">
        <v>13278</v>
      </c>
      <c r="L11" s="156">
        <v>19.635243042096288</v>
      </c>
      <c r="M11" s="156">
        <v>32.159469726335374</v>
      </c>
      <c r="N11" s="156">
        <v>22.470734165439183</v>
      </c>
      <c r="O11" s="157">
        <v>25.734553066129159</v>
      </c>
    </row>
    <row r="12" spans="1:15">
      <c r="A12" s="169">
        <v>101</v>
      </c>
      <c r="B12" s="169">
        <v>3101</v>
      </c>
      <c r="C12" s="132" t="s">
        <v>215</v>
      </c>
      <c r="D12" s="158" t="s">
        <v>240</v>
      </c>
      <c r="E12" s="152">
        <v>11157</v>
      </c>
      <c r="F12" s="153">
        <v>6758</v>
      </c>
      <c r="G12" s="153">
        <v>4399</v>
      </c>
      <c r="H12" s="154">
        <v>2664</v>
      </c>
      <c r="I12" s="153">
        <v>3089</v>
      </c>
      <c r="J12" s="153">
        <v>2615</v>
      </c>
      <c r="K12" s="155">
        <v>2789</v>
      </c>
      <c r="L12" s="156">
        <v>23.438200233037556</v>
      </c>
      <c r="M12" s="156">
        <v>27.686654118490633</v>
      </c>
      <c r="N12" s="156">
        <v>23.877386394191987</v>
      </c>
      <c r="O12" s="157">
        <v>24.997759254279824</v>
      </c>
    </row>
    <row r="13" spans="1:15">
      <c r="A13" s="169">
        <v>102</v>
      </c>
      <c r="B13" s="169">
        <v>3102</v>
      </c>
      <c r="C13" s="132" t="s">
        <v>216</v>
      </c>
      <c r="D13" s="158" t="s">
        <v>241</v>
      </c>
      <c r="E13" s="152">
        <v>4747</v>
      </c>
      <c r="F13" s="153">
        <v>3672</v>
      </c>
      <c r="G13" s="153">
        <v>1075</v>
      </c>
      <c r="H13" s="154">
        <v>1082</v>
      </c>
      <c r="I13" s="153">
        <v>1948</v>
      </c>
      <c r="J13" s="153">
        <v>405</v>
      </c>
      <c r="K13" s="155">
        <v>1312</v>
      </c>
      <c r="L13" s="156">
        <v>8.5317042342532119</v>
      </c>
      <c r="M13" s="156">
        <v>41.036444069938909</v>
      </c>
      <c r="N13" s="156">
        <v>22.793343164103643</v>
      </c>
      <c r="O13" s="157">
        <v>27.638508531704232</v>
      </c>
    </row>
    <row r="14" spans="1:15">
      <c r="A14" s="169">
        <v>103</v>
      </c>
      <c r="B14" s="169">
        <v>3103</v>
      </c>
      <c r="C14" s="132" t="s">
        <v>217</v>
      </c>
      <c r="D14" s="158" t="s">
        <v>242</v>
      </c>
      <c r="E14" s="152">
        <v>10288</v>
      </c>
      <c r="F14" s="153">
        <v>7063</v>
      </c>
      <c r="G14" s="153">
        <v>3225</v>
      </c>
      <c r="H14" s="154">
        <v>1515</v>
      </c>
      <c r="I14" s="153">
        <v>3396</v>
      </c>
      <c r="J14" s="153">
        <v>2462</v>
      </c>
      <c r="K14" s="155">
        <v>2915</v>
      </c>
      <c r="L14" s="156">
        <v>23.930793157076206</v>
      </c>
      <c r="M14" s="156">
        <v>33.009331259720064</v>
      </c>
      <c r="N14" s="156">
        <v>14.725894245723172</v>
      </c>
      <c r="O14" s="157">
        <v>28.333981337480559</v>
      </c>
    </row>
    <row r="15" spans="1:15">
      <c r="A15" s="169">
        <v>151</v>
      </c>
      <c r="B15" s="169">
        <v>3151</v>
      </c>
      <c r="C15" s="132" t="s">
        <v>94</v>
      </c>
      <c r="D15" s="158" t="s">
        <v>243</v>
      </c>
      <c r="E15" s="152">
        <v>3040</v>
      </c>
      <c r="F15" s="153">
        <v>2038</v>
      </c>
      <c r="G15" s="153">
        <v>1002</v>
      </c>
      <c r="H15" s="154">
        <v>749</v>
      </c>
      <c r="I15" s="153">
        <v>790</v>
      </c>
      <c r="J15" s="153">
        <v>508</v>
      </c>
      <c r="K15" s="155">
        <v>993</v>
      </c>
      <c r="L15" s="156">
        <v>16.710526315789473</v>
      </c>
      <c r="M15" s="156">
        <v>25.986842105263158</v>
      </c>
      <c r="N15" s="156">
        <v>24.638157894736842</v>
      </c>
      <c r="O15" s="157">
        <v>32.664473684210527</v>
      </c>
    </row>
    <row r="16" spans="1:15">
      <c r="A16" s="169">
        <v>153</v>
      </c>
      <c r="B16" s="169">
        <v>3153</v>
      </c>
      <c r="C16" s="132" t="s">
        <v>96</v>
      </c>
      <c r="D16" s="158" t="s">
        <v>244</v>
      </c>
      <c r="E16" s="152">
        <v>3119</v>
      </c>
      <c r="F16" s="153">
        <v>1991</v>
      </c>
      <c r="G16" s="153">
        <v>1128</v>
      </c>
      <c r="H16" s="154">
        <v>797</v>
      </c>
      <c r="I16" s="153">
        <v>952</v>
      </c>
      <c r="J16" s="153">
        <v>520</v>
      </c>
      <c r="K16" s="155">
        <v>850</v>
      </c>
      <c r="L16" s="156">
        <v>16.67201025969862</v>
      </c>
      <c r="M16" s="156">
        <v>30.522603398525167</v>
      </c>
      <c r="N16" s="156">
        <v>25.553061878807309</v>
      </c>
      <c r="O16" s="157">
        <v>27.2523244629689</v>
      </c>
    </row>
    <row r="17" spans="1:15">
      <c r="A17" s="169">
        <v>154</v>
      </c>
      <c r="B17" s="169">
        <v>3154</v>
      </c>
      <c r="C17" s="132" t="s">
        <v>97</v>
      </c>
      <c r="D17" s="158" t="s">
        <v>245</v>
      </c>
      <c r="E17" s="152">
        <v>1557</v>
      </c>
      <c r="F17" s="153">
        <v>1083</v>
      </c>
      <c r="G17" s="153">
        <v>474</v>
      </c>
      <c r="H17" s="154">
        <v>349</v>
      </c>
      <c r="I17" s="153">
        <v>658</v>
      </c>
      <c r="J17" s="153">
        <v>199</v>
      </c>
      <c r="K17" s="155">
        <v>351</v>
      </c>
      <c r="L17" s="156">
        <v>12.780989081567116</v>
      </c>
      <c r="M17" s="156">
        <v>42.260757867694281</v>
      </c>
      <c r="N17" s="156">
        <v>22.414900449582529</v>
      </c>
      <c r="O17" s="157">
        <v>22.543352601156069</v>
      </c>
    </row>
    <row r="18" spans="1:15">
      <c r="A18" s="169">
        <v>155</v>
      </c>
      <c r="B18" s="169">
        <v>3155</v>
      </c>
      <c r="C18" s="132" t="s">
        <v>98</v>
      </c>
      <c r="D18" s="158" t="s">
        <v>246</v>
      </c>
      <c r="E18" s="152">
        <v>3377</v>
      </c>
      <c r="F18" s="153">
        <v>2552</v>
      </c>
      <c r="G18" s="153">
        <v>825</v>
      </c>
      <c r="H18" s="154">
        <v>780</v>
      </c>
      <c r="I18" s="153">
        <v>1491</v>
      </c>
      <c r="J18" s="153">
        <v>325</v>
      </c>
      <c r="K18" s="155">
        <v>781</v>
      </c>
      <c r="L18" s="156">
        <v>9.6239265620373118</v>
      </c>
      <c r="M18" s="156">
        <v>44.151613858454247</v>
      </c>
      <c r="N18" s="156">
        <v>23.097423748889547</v>
      </c>
      <c r="O18" s="157">
        <v>23.127035830618894</v>
      </c>
    </row>
    <row r="19" spans="1:15">
      <c r="A19" s="169">
        <v>157</v>
      </c>
      <c r="B19" s="169">
        <v>3157</v>
      </c>
      <c r="C19" s="132" t="s">
        <v>99</v>
      </c>
      <c r="D19" s="158" t="s">
        <v>247</v>
      </c>
      <c r="E19" s="152">
        <v>3351</v>
      </c>
      <c r="F19" s="153">
        <v>2439</v>
      </c>
      <c r="G19" s="153">
        <v>912</v>
      </c>
      <c r="H19" s="154">
        <v>969</v>
      </c>
      <c r="I19" s="153">
        <v>984</v>
      </c>
      <c r="J19" s="153">
        <v>203</v>
      </c>
      <c r="K19" s="155">
        <v>1195</v>
      </c>
      <c r="L19" s="156">
        <v>6.0578931662190394</v>
      </c>
      <c r="M19" s="156">
        <v>29.364368845120861</v>
      </c>
      <c r="N19" s="156">
        <v>28.91674127126231</v>
      </c>
      <c r="O19" s="157">
        <v>35.660996717397794</v>
      </c>
    </row>
    <row r="20" spans="1:15">
      <c r="A20" s="169">
        <v>158</v>
      </c>
      <c r="B20" s="169">
        <v>3158</v>
      </c>
      <c r="C20" s="132" t="s">
        <v>100</v>
      </c>
      <c r="D20" s="158" t="s">
        <v>248</v>
      </c>
      <c r="E20" s="152">
        <v>1510</v>
      </c>
      <c r="F20" s="153">
        <v>969</v>
      </c>
      <c r="G20" s="153">
        <v>541</v>
      </c>
      <c r="H20" s="154">
        <v>343</v>
      </c>
      <c r="I20" s="153">
        <v>614</v>
      </c>
      <c r="J20" s="153">
        <v>193</v>
      </c>
      <c r="K20" s="155">
        <v>360</v>
      </c>
      <c r="L20" s="156">
        <v>12.781456953642385</v>
      </c>
      <c r="M20" s="156">
        <v>40.662251655629142</v>
      </c>
      <c r="N20" s="156">
        <v>22.715231788079471</v>
      </c>
      <c r="O20" s="157">
        <v>23.841059602649008</v>
      </c>
    </row>
    <row r="21" spans="1:15">
      <c r="A21" s="169">
        <v>159</v>
      </c>
      <c r="B21" s="169">
        <v>3159</v>
      </c>
      <c r="C21" s="132" t="s">
        <v>95</v>
      </c>
      <c r="D21" s="158" t="s">
        <v>249</v>
      </c>
      <c r="E21" s="152">
        <v>9450</v>
      </c>
      <c r="F21" s="153">
        <v>5838</v>
      </c>
      <c r="G21" s="153">
        <v>3612</v>
      </c>
      <c r="H21" s="154">
        <v>2346</v>
      </c>
      <c r="I21" s="153">
        <v>2671</v>
      </c>
      <c r="J21" s="153">
        <v>2701</v>
      </c>
      <c r="K21" s="155">
        <v>1732</v>
      </c>
      <c r="L21" s="156">
        <v>28.582010582010582</v>
      </c>
      <c r="M21" s="156">
        <v>28.264550264550266</v>
      </c>
      <c r="N21" s="156">
        <v>24.825396825396826</v>
      </c>
      <c r="O21" s="157">
        <v>18.328042328042329</v>
      </c>
    </row>
    <row r="22" spans="1:15">
      <c r="A22" s="169">
        <v>2</v>
      </c>
      <c r="B22" s="132">
        <v>32</v>
      </c>
      <c r="C22" s="132" t="s">
        <v>299</v>
      </c>
      <c r="D22" s="168" t="s">
        <v>250</v>
      </c>
      <c r="E22" s="152">
        <v>86601</v>
      </c>
      <c r="F22" s="153">
        <v>55379</v>
      </c>
      <c r="G22" s="153">
        <v>31222</v>
      </c>
      <c r="H22" s="154">
        <v>23441</v>
      </c>
      <c r="I22" s="153">
        <v>28487</v>
      </c>
      <c r="J22" s="153">
        <v>10716</v>
      </c>
      <c r="K22" s="155">
        <v>23957</v>
      </c>
      <c r="L22" s="156">
        <v>12.373991062458863</v>
      </c>
      <c r="M22" s="156">
        <v>32.894539324026283</v>
      </c>
      <c r="N22" s="156">
        <v>27.067816768859483</v>
      </c>
      <c r="O22" s="157">
        <v>27.663652844655374</v>
      </c>
    </row>
    <row r="23" spans="1:15">
      <c r="A23" s="169">
        <v>241</v>
      </c>
      <c r="B23" s="169">
        <v>3241</v>
      </c>
      <c r="C23" s="132" t="s">
        <v>300</v>
      </c>
      <c r="D23" s="158" t="s">
        <v>251</v>
      </c>
      <c r="E23" s="152">
        <v>60737</v>
      </c>
      <c r="F23" s="153">
        <v>38040</v>
      </c>
      <c r="G23" s="153">
        <v>22697</v>
      </c>
      <c r="H23" s="154">
        <v>16753</v>
      </c>
      <c r="I23" s="153">
        <v>19743</v>
      </c>
      <c r="J23" s="153">
        <v>8054</v>
      </c>
      <c r="K23" s="155">
        <v>16187</v>
      </c>
      <c r="L23" s="156">
        <v>13.260450796055123</v>
      </c>
      <c r="M23" s="156">
        <v>32.5057213889392</v>
      </c>
      <c r="N23" s="156">
        <v>27.582857236939592</v>
      </c>
      <c r="O23" s="157">
        <v>26.650970578066087</v>
      </c>
    </row>
    <row r="24" spans="1:15">
      <c r="A24" s="169">
        <v>251</v>
      </c>
      <c r="B24" s="169">
        <v>3251</v>
      </c>
      <c r="C24" s="132" t="s">
        <v>101</v>
      </c>
      <c r="D24" s="158" t="s">
        <v>252</v>
      </c>
      <c r="E24" s="152">
        <v>6222</v>
      </c>
      <c r="F24" s="153">
        <v>4331</v>
      </c>
      <c r="G24" s="153">
        <v>1891</v>
      </c>
      <c r="H24" s="154">
        <v>1573</v>
      </c>
      <c r="I24" s="153">
        <v>1983</v>
      </c>
      <c r="J24" s="153">
        <v>438</v>
      </c>
      <c r="K24" s="155">
        <v>2228</v>
      </c>
      <c r="L24" s="156">
        <v>7.0395371263259401</v>
      </c>
      <c r="M24" s="156">
        <v>31.870781099324976</v>
      </c>
      <c r="N24" s="156">
        <v>25.281260045001606</v>
      </c>
      <c r="O24" s="157">
        <v>35.808421729347479</v>
      </c>
    </row>
    <row r="25" spans="1:15">
      <c r="A25" s="169">
        <v>252</v>
      </c>
      <c r="B25" s="169">
        <v>3252</v>
      </c>
      <c r="C25" s="132" t="s">
        <v>102</v>
      </c>
      <c r="D25" s="158" t="s">
        <v>253</v>
      </c>
      <c r="E25" s="152">
        <v>4052</v>
      </c>
      <c r="F25" s="153">
        <v>2542</v>
      </c>
      <c r="G25" s="153">
        <v>1510</v>
      </c>
      <c r="H25" s="154">
        <v>1121</v>
      </c>
      <c r="I25" s="153">
        <v>1499</v>
      </c>
      <c r="J25" s="153">
        <v>437</v>
      </c>
      <c r="K25" s="155">
        <v>995</v>
      </c>
      <c r="L25" s="156">
        <v>10.784797630799606</v>
      </c>
      <c r="M25" s="156">
        <v>36.994076999012833</v>
      </c>
      <c r="N25" s="156">
        <v>27.665350444225073</v>
      </c>
      <c r="O25" s="157">
        <v>24.555774925962488</v>
      </c>
    </row>
    <row r="26" spans="1:15">
      <c r="A26" s="169">
        <v>254</v>
      </c>
      <c r="B26" s="169">
        <v>3254</v>
      </c>
      <c r="C26" s="132" t="s">
        <v>103</v>
      </c>
      <c r="D26" s="158" t="s">
        <v>254</v>
      </c>
      <c r="E26" s="152">
        <v>6219</v>
      </c>
      <c r="F26" s="153">
        <v>4059</v>
      </c>
      <c r="G26" s="153">
        <v>2160</v>
      </c>
      <c r="H26" s="154">
        <v>1578</v>
      </c>
      <c r="I26" s="153">
        <v>2155</v>
      </c>
      <c r="J26" s="153">
        <v>1041</v>
      </c>
      <c r="K26" s="155">
        <v>1445</v>
      </c>
      <c r="L26" s="156">
        <v>16.739025566811385</v>
      </c>
      <c r="M26" s="156">
        <v>34.651873291525966</v>
      </c>
      <c r="N26" s="156">
        <v>25.373854317414374</v>
      </c>
      <c r="O26" s="157">
        <v>23.235246824248271</v>
      </c>
    </row>
    <row r="27" spans="1:15">
      <c r="A27" s="169">
        <v>255</v>
      </c>
      <c r="B27" s="169">
        <v>3255</v>
      </c>
      <c r="C27" s="132" t="s">
        <v>104</v>
      </c>
      <c r="D27" s="158" t="s">
        <v>255</v>
      </c>
      <c r="E27" s="152">
        <v>1421</v>
      </c>
      <c r="F27" s="153">
        <v>945</v>
      </c>
      <c r="G27" s="153">
        <v>476</v>
      </c>
      <c r="H27" s="154">
        <v>396</v>
      </c>
      <c r="I27" s="153">
        <v>463</v>
      </c>
      <c r="J27" s="153">
        <v>181</v>
      </c>
      <c r="K27" s="155">
        <v>381</v>
      </c>
      <c r="L27" s="156">
        <v>12.737508796622096</v>
      </c>
      <c r="M27" s="156">
        <v>32.582688247712881</v>
      </c>
      <c r="N27" s="156">
        <v>27.867698803659394</v>
      </c>
      <c r="O27" s="157">
        <v>26.812104152005631</v>
      </c>
    </row>
    <row r="28" spans="1:15">
      <c r="A28" s="169">
        <v>256</v>
      </c>
      <c r="B28" s="169">
        <v>3256</v>
      </c>
      <c r="C28" s="132" t="s">
        <v>105</v>
      </c>
      <c r="D28" s="158" t="s">
        <v>256</v>
      </c>
      <c r="E28" s="152">
        <v>4261</v>
      </c>
      <c r="F28" s="153">
        <v>3042</v>
      </c>
      <c r="G28" s="153">
        <v>1219</v>
      </c>
      <c r="H28" s="154">
        <v>1052</v>
      </c>
      <c r="I28" s="153">
        <v>1045</v>
      </c>
      <c r="J28" s="153">
        <v>246</v>
      </c>
      <c r="K28" s="155">
        <v>1918</v>
      </c>
      <c r="L28" s="156">
        <v>5.7732926543065011</v>
      </c>
      <c r="M28" s="156">
        <v>24.524759446139402</v>
      </c>
      <c r="N28" s="156">
        <v>24.689040131424548</v>
      </c>
      <c r="O28" s="157">
        <v>45.012907768129544</v>
      </c>
    </row>
    <row r="29" spans="1:15">
      <c r="A29" s="169">
        <v>257</v>
      </c>
      <c r="B29" s="169">
        <v>3257</v>
      </c>
      <c r="C29" s="132" t="s">
        <v>106</v>
      </c>
      <c r="D29" s="158" t="s">
        <v>257</v>
      </c>
      <c r="E29" s="152">
        <v>3689</v>
      </c>
      <c r="F29" s="153">
        <v>2420</v>
      </c>
      <c r="G29" s="153">
        <v>1269</v>
      </c>
      <c r="H29" s="154">
        <v>968</v>
      </c>
      <c r="I29" s="153">
        <v>1599</v>
      </c>
      <c r="J29" s="153">
        <v>319</v>
      </c>
      <c r="K29" s="155">
        <v>803</v>
      </c>
      <c r="L29" s="156">
        <v>8.6473298997018162</v>
      </c>
      <c r="M29" s="156">
        <v>43.345079967470859</v>
      </c>
      <c r="N29" s="156">
        <v>26.24017348875034</v>
      </c>
      <c r="O29" s="157">
        <v>21.767416644076985</v>
      </c>
    </row>
    <row r="30" spans="1:15">
      <c r="A30" s="169">
        <v>3</v>
      </c>
      <c r="B30" s="132">
        <v>33</v>
      </c>
      <c r="C30" s="132" t="s">
        <v>301</v>
      </c>
      <c r="D30" s="168" t="s">
        <v>258</v>
      </c>
      <c r="E30" s="152">
        <v>44252</v>
      </c>
      <c r="F30" s="153">
        <v>30425</v>
      </c>
      <c r="G30" s="153">
        <v>13827</v>
      </c>
      <c r="H30" s="154">
        <v>11329</v>
      </c>
      <c r="I30" s="153">
        <v>13251</v>
      </c>
      <c r="J30" s="153">
        <v>4017</v>
      </c>
      <c r="K30" s="155">
        <v>15655</v>
      </c>
      <c r="L30" s="156">
        <v>9.0775558166862513</v>
      </c>
      <c r="M30" s="156">
        <v>29.944409292235378</v>
      </c>
      <c r="N30" s="156">
        <v>25.601102775015818</v>
      </c>
      <c r="O30" s="157">
        <v>35.376932116062548</v>
      </c>
    </row>
    <row r="31" spans="1:15">
      <c r="A31" s="169">
        <v>351</v>
      </c>
      <c r="B31" s="169">
        <v>3351</v>
      </c>
      <c r="C31" s="132" t="s">
        <v>107</v>
      </c>
      <c r="D31" s="158" t="s">
        <v>259</v>
      </c>
      <c r="E31" s="152">
        <v>3847</v>
      </c>
      <c r="F31" s="153">
        <v>2498</v>
      </c>
      <c r="G31" s="153">
        <v>1349</v>
      </c>
      <c r="H31" s="154">
        <v>1169</v>
      </c>
      <c r="I31" s="153">
        <v>1196</v>
      </c>
      <c r="J31" s="153">
        <v>542</v>
      </c>
      <c r="K31" s="155">
        <v>940</v>
      </c>
      <c r="L31" s="156">
        <v>14.088900441902782</v>
      </c>
      <c r="M31" s="156">
        <v>31.089160384715363</v>
      </c>
      <c r="N31" s="156">
        <v>30.387314790746036</v>
      </c>
      <c r="O31" s="157">
        <v>24.434624382635821</v>
      </c>
    </row>
    <row r="32" spans="1:15">
      <c r="A32" s="169">
        <v>352</v>
      </c>
      <c r="B32" s="169">
        <v>3352</v>
      </c>
      <c r="C32" s="132" t="s">
        <v>108</v>
      </c>
      <c r="D32" s="158" t="s">
        <v>260</v>
      </c>
      <c r="E32" s="152">
        <v>4262</v>
      </c>
      <c r="F32" s="153">
        <v>2846</v>
      </c>
      <c r="G32" s="153">
        <v>1416</v>
      </c>
      <c r="H32" s="154">
        <v>1094</v>
      </c>
      <c r="I32" s="153">
        <v>1274</v>
      </c>
      <c r="J32" s="153">
        <v>274</v>
      </c>
      <c r="K32" s="155">
        <v>1620</v>
      </c>
      <c r="L32" s="156">
        <v>6.4289066166119193</v>
      </c>
      <c r="M32" s="156">
        <v>29.892069450961991</v>
      </c>
      <c r="N32" s="156">
        <v>25.668700140778977</v>
      </c>
      <c r="O32" s="157">
        <v>38.010323791647117</v>
      </c>
    </row>
    <row r="33" spans="1:15">
      <c r="A33" s="169">
        <v>353</v>
      </c>
      <c r="B33" s="169">
        <v>3353</v>
      </c>
      <c r="C33" s="132" t="s">
        <v>109</v>
      </c>
      <c r="D33" s="158" t="s">
        <v>261</v>
      </c>
      <c r="E33" s="152">
        <v>9048</v>
      </c>
      <c r="F33" s="153">
        <v>6600</v>
      </c>
      <c r="G33" s="153">
        <v>2448</v>
      </c>
      <c r="H33" s="154">
        <v>2583</v>
      </c>
      <c r="I33" s="153">
        <v>2424</v>
      </c>
      <c r="J33" s="153">
        <v>637</v>
      </c>
      <c r="K33" s="155">
        <v>3404</v>
      </c>
      <c r="L33" s="156">
        <v>7.0402298850574709</v>
      </c>
      <c r="M33" s="156">
        <v>26.790450928381961</v>
      </c>
      <c r="N33" s="156">
        <v>28.547745358090186</v>
      </c>
      <c r="O33" s="157">
        <v>37.621573828470382</v>
      </c>
    </row>
    <row r="34" spans="1:15">
      <c r="A34" s="169">
        <v>354</v>
      </c>
      <c r="B34" s="169">
        <v>3354</v>
      </c>
      <c r="C34" s="132" t="s">
        <v>110</v>
      </c>
      <c r="D34" s="158" t="s">
        <v>262</v>
      </c>
      <c r="E34" s="152">
        <v>713</v>
      </c>
      <c r="F34" s="153">
        <v>457</v>
      </c>
      <c r="G34" s="153">
        <v>256</v>
      </c>
      <c r="H34" s="154">
        <v>124</v>
      </c>
      <c r="I34" s="153">
        <v>230</v>
      </c>
      <c r="J34" s="153">
        <v>68</v>
      </c>
      <c r="K34" s="155">
        <v>291</v>
      </c>
      <c r="L34" s="156">
        <v>9.5371669004207575</v>
      </c>
      <c r="M34" s="156">
        <v>32.258064516129032</v>
      </c>
      <c r="N34" s="156">
        <v>17.391304347826086</v>
      </c>
      <c r="O34" s="157">
        <v>40.813464235624124</v>
      </c>
    </row>
    <row r="35" spans="1:15">
      <c r="A35" s="169">
        <v>355</v>
      </c>
      <c r="B35" s="169">
        <v>3355</v>
      </c>
      <c r="C35" s="132" t="s">
        <v>111</v>
      </c>
      <c r="D35" s="158" t="s">
        <v>263</v>
      </c>
      <c r="E35" s="152">
        <v>3903</v>
      </c>
      <c r="F35" s="153">
        <v>2552</v>
      </c>
      <c r="G35" s="153">
        <v>1351</v>
      </c>
      <c r="H35" s="154">
        <v>1068</v>
      </c>
      <c r="I35" s="153">
        <v>1218</v>
      </c>
      <c r="J35" s="153">
        <v>529</v>
      </c>
      <c r="K35" s="155">
        <v>1088</v>
      </c>
      <c r="L35" s="156">
        <v>13.553676658980272</v>
      </c>
      <c r="M35" s="156">
        <v>31.206764027671021</v>
      </c>
      <c r="N35" s="156">
        <v>27.363566487317449</v>
      </c>
      <c r="O35" s="157">
        <v>27.875992826031258</v>
      </c>
    </row>
    <row r="36" spans="1:15">
      <c r="A36" s="169">
        <v>356</v>
      </c>
      <c r="B36" s="169">
        <v>3356</v>
      </c>
      <c r="C36" s="132" t="s">
        <v>112</v>
      </c>
      <c r="D36" s="158" t="s">
        <v>264</v>
      </c>
      <c r="E36" s="152">
        <v>1985</v>
      </c>
      <c r="F36" s="153">
        <v>1395</v>
      </c>
      <c r="G36" s="153">
        <v>590</v>
      </c>
      <c r="H36" s="154">
        <v>523</v>
      </c>
      <c r="I36" s="153">
        <v>649</v>
      </c>
      <c r="J36" s="153">
        <v>187</v>
      </c>
      <c r="K36" s="155">
        <v>626</v>
      </c>
      <c r="L36" s="156">
        <v>9.4206549118387901</v>
      </c>
      <c r="M36" s="156">
        <v>32.695214105793454</v>
      </c>
      <c r="N36" s="156">
        <v>26.347607052896727</v>
      </c>
      <c r="O36" s="157">
        <v>31.536523929471034</v>
      </c>
    </row>
    <row r="37" spans="1:15">
      <c r="A37" s="169">
        <v>357</v>
      </c>
      <c r="B37" s="169">
        <v>3357</v>
      </c>
      <c r="C37" s="132" t="s">
        <v>113</v>
      </c>
      <c r="D37" s="158" t="s">
        <v>265</v>
      </c>
      <c r="E37" s="152">
        <v>4111</v>
      </c>
      <c r="F37" s="153">
        <v>2823</v>
      </c>
      <c r="G37" s="153">
        <v>1288</v>
      </c>
      <c r="H37" s="154">
        <v>985</v>
      </c>
      <c r="I37" s="153">
        <v>1475</v>
      </c>
      <c r="J37" s="153">
        <v>365</v>
      </c>
      <c r="K37" s="155">
        <v>1286</v>
      </c>
      <c r="L37" s="156">
        <v>8.878618341036244</v>
      </c>
      <c r="M37" s="156">
        <v>35.879348090488932</v>
      </c>
      <c r="N37" s="156">
        <v>23.960107029919726</v>
      </c>
      <c r="O37" s="157">
        <v>31.281926538555098</v>
      </c>
    </row>
    <row r="38" spans="1:15">
      <c r="A38" s="169">
        <v>358</v>
      </c>
      <c r="B38" s="169">
        <v>3358</v>
      </c>
      <c r="C38" s="132" t="s">
        <v>114</v>
      </c>
      <c r="D38" s="158" t="s">
        <v>266</v>
      </c>
      <c r="E38" s="152">
        <v>4245</v>
      </c>
      <c r="F38" s="153">
        <v>2765</v>
      </c>
      <c r="G38" s="153">
        <v>1480</v>
      </c>
      <c r="H38" s="154">
        <v>910</v>
      </c>
      <c r="I38" s="153">
        <v>1526</v>
      </c>
      <c r="J38" s="153">
        <v>317</v>
      </c>
      <c r="K38" s="155">
        <v>1492</v>
      </c>
      <c r="L38" s="156">
        <v>7.4676089517078914</v>
      </c>
      <c r="M38" s="156">
        <v>35.948174322732626</v>
      </c>
      <c r="N38" s="156">
        <v>21.43698468786808</v>
      </c>
      <c r="O38" s="157">
        <v>35.147232037691403</v>
      </c>
    </row>
    <row r="39" spans="1:15">
      <c r="A39" s="169">
        <v>359</v>
      </c>
      <c r="B39" s="169">
        <v>3359</v>
      </c>
      <c r="C39" s="132" t="s">
        <v>115</v>
      </c>
      <c r="D39" s="158" t="s">
        <v>267</v>
      </c>
      <c r="E39" s="152">
        <v>5633</v>
      </c>
      <c r="F39" s="153">
        <v>4017</v>
      </c>
      <c r="G39" s="153">
        <v>1616</v>
      </c>
      <c r="H39" s="154">
        <v>1242</v>
      </c>
      <c r="I39" s="153">
        <v>1393</v>
      </c>
      <c r="J39" s="153">
        <v>467</v>
      </c>
      <c r="K39" s="155">
        <v>2531</v>
      </c>
      <c r="L39" s="156">
        <v>8.2904313864725729</v>
      </c>
      <c r="M39" s="156">
        <v>24.729273921533817</v>
      </c>
      <c r="N39" s="156">
        <v>22.048641931475235</v>
      </c>
      <c r="O39" s="157">
        <v>44.931652760518375</v>
      </c>
    </row>
    <row r="40" spans="1:15">
      <c r="A40" s="169">
        <v>360</v>
      </c>
      <c r="B40" s="169">
        <v>3360</v>
      </c>
      <c r="C40" s="132" t="s">
        <v>116</v>
      </c>
      <c r="D40" s="158" t="s">
        <v>268</v>
      </c>
      <c r="E40" s="152">
        <v>1615</v>
      </c>
      <c r="F40" s="153">
        <v>1016</v>
      </c>
      <c r="G40" s="153">
        <v>599</v>
      </c>
      <c r="H40" s="154">
        <v>359</v>
      </c>
      <c r="I40" s="153">
        <v>575</v>
      </c>
      <c r="J40" s="153">
        <v>234</v>
      </c>
      <c r="K40" s="155">
        <v>447</v>
      </c>
      <c r="L40" s="156">
        <v>14.489164086687307</v>
      </c>
      <c r="M40" s="156">
        <v>35.60371517027864</v>
      </c>
      <c r="N40" s="156">
        <v>22.229102167182663</v>
      </c>
      <c r="O40" s="157">
        <v>27.678018575851393</v>
      </c>
    </row>
    <row r="41" spans="1:15">
      <c r="A41" s="169">
        <v>361</v>
      </c>
      <c r="B41" s="169">
        <v>3361</v>
      </c>
      <c r="C41" s="132" t="s">
        <v>117</v>
      </c>
      <c r="D41" s="158" t="s">
        <v>269</v>
      </c>
      <c r="E41" s="152">
        <v>4890</v>
      </c>
      <c r="F41" s="153">
        <v>3456</v>
      </c>
      <c r="G41" s="153">
        <v>1434</v>
      </c>
      <c r="H41" s="154">
        <v>1272</v>
      </c>
      <c r="I41" s="153">
        <v>1291</v>
      </c>
      <c r="J41" s="153">
        <v>397</v>
      </c>
      <c r="K41" s="155">
        <v>1930</v>
      </c>
      <c r="L41" s="156">
        <v>8.1186094069529648</v>
      </c>
      <c r="M41" s="156">
        <v>26.400817995910021</v>
      </c>
      <c r="N41" s="156">
        <v>26.012269938650306</v>
      </c>
      <c r="O41" s="157">
        <v>39.468302658486706</v>
      </c>
    </row>
    <row r="42" spans="1:15">
      <c r="A42" s="169">
        <v>4</v>
      </c>
      <c r="B42" s="132">
        <v>34</v>
      </c>
      <c r="C42" s="132" t="s">
        <v>302</v>
      </c>
      <c r="D42" s="168" t="s">
        <v>270</v>
      </c>
      <c r="E42" s="152">
        <v>98270</v>
      </c>
      <c r="F42" s="153">
        <v>66775</v>
      </c>
      <c r="G42" s="153">
        <v>31495</v>
      </c>
      <c r="H42" s="154">
        <v>24606</v>
      </c>
      <c r="I42" s="153">
        <v>25713</v>
      </c>
      <c r="J42" s="153">
        <v>6854</v>
      </c>
      <c r="K42" s="155">
        <v>41097</v>
      </c>
      <c r="L42" s="156">
        <v>6.9746616464841766</v>
      </c>
      <c r="M42" s="156">
        <v>26.165666022183778</v>
      </c>
      <c r="N42" s="156">
        <v>25.039177775516436</v>
      </c>
      <c r="O42" s="157">
        <v>41.820494555815607</v>
      </c>
    </row>
    <row r="43" spans="1:15">
      <c r="A43" s="169">
        <v>401</v>
      </c>
      <c r="B43" s="169">
        <v>3401</v>
      </c>
      <c r="C43" s="132" t="s">
        <v>303</v>
      </c>
      <c r="D43" s="158" t="s">
        <v>271</v>
      </c>
      <c r="E43" s="152">
        <v>1802</v>
      </c>
      <c r="F43" s="153">
        <v>1145</v>
      </c>
      <c r="G43" s="153">
        <v>657</v>
      </c>
      <c r="H43" s="154">
        <v>520</v>
      </c>
      <c r="I43" s="153">
        <v>558</v>
      </c>
      <c r="J43" s="153">
        <v>168</v>
      </c>
      <c r="K43" s="155">
        <v>556</v>
      </c>
      <c r="L43" s="156">
        <v>9.3229744728079904</v>
      </c>
      <c r="M43" s="156">
        <v>30.965593784683684</v>
      </c>
      <c r="N43" s="156">
        <v>28.856825749167591</v>
      </c>
      <c r="O43" s="157">
        <v>30.854605993340734</v>
      </c>
    </row>
    <row r="44" spans="1:15">
      <c r="A44" s="169">
        <v>402</v>
      </c>
      <c r="B44" s="169">
        <v>3402</v>
      </c>
      <c r="C44" s="132" t="s">
        <v>304</v>
      </c>
      <c r="D44" s="158" t="s">
        <v>272</v>
      </c>
      <c r="E44" s="152">
        <v>1927</v>
      </c>
      <c r="F44" s="153">
        <v>1437</v>
      </c>
      <c r="G44" s="153">
        <v>490</v>
      </c>
      <c r="H44" s="154">
        <v>510</v>
      </c>
      <c r="I44" s="153">
        <v>652</v>
      </c>
      <c r="J44" s="153">
        <v>178</v>
      </c>
      <c r="K44" s="155">
        <v>587</v>
      </c>
      <c r="L44" s="156">
        <v>9.2371562013492472</v>
      </c>
      <c r="M44" s="156">
        <v>33.834976647638818</v>
      </c>
      <c r="N44" s="156">
        <v>26.466009340944474</v>
      </c>
      <c r="O44" s="157">
        <v>30.461857810067464</v>
      </c>
    </row>
    <row r="45" spans="1:15">
      <c r="A45" s="169">
        <v>403</v>
      </c>
      <c r="B45" s="169">
        <v>3403</v>
      </c>
      <c r="C45" s="132" t="s">
        <v>305</v>
      </c>
      <c r="D45" s="158" t="s">
        <v>273</v>
      </c>
      <c r="E45" s="152">
        <v>5889</v>
      </c>
      <c r="F45" s="153">
        <v>3809</v>
      </c>
      <c r="G45" s="153">
        <v>2080</v>
      </c>
      <c r="H45" s="154">
        <v>1624</v>
      </c>
      <c r="I45" s="153">
        <v>1470</v>
      </c>
      <c r="J45" s="153">
        <v>1043</v>
      </c>
      <c r="K45" s="155">
        <v>1752</v>
      </c>
      <c r="L45" s="156">
        <v>17.710986585158771</v>
      </c>
      <c r="M45" s="156">
        <v>24.961793173713705</v>
      </c>
      <c r="N45" s="156">
        <v>27.576838172864662</v>
      </c>
      <c r="O45" s="157">
        <v>29.750382068262862</v>
      </c>
    </row>
    <row r="46" spans="1:15">
      <c r="A46" s="169">
        <v>404</v>
      </c>
      <c r="B46" s="169">
        <v>3404</v>
      </c>
      <c r="C46" s="132" t="s">
        <v>306</v>
      </c>
      <c r="D46" s="158" t="s">
        <v>274</v>
      </c>
      <c r="E46" s="152">
        <v>8627</v>
      </c>
      <c r="F46" s="153">
        <v>4905</v>
      </c>
      <c r="G46" s="153">
        <v>3722</v>
      </c>
      <c r="H46" s="154">
        <v>2765</v>
      </c>
      <c r="I46" s="153">
        <v>2545</v>
      </c>
      <c r="J46" s="153">
        <v>931</v>
      </c>
      <c r="K46" s="155">
        <v>2386</v>
      </c>
      <c r="L46" s="156">
        <v>10.791700475252116</v>
      </c>
      <c r="M46" s="156">
        <v>29.500405703025386</v>
      </c>
      <c r="N46" s="156">
        <v>32.050539005448009</v>
      </c>
      <c r="O46" s="157">
        <v>27.657354816274488</v>
      </c>
    </row>
    <row r="47" spans="1:15">
      <c r="A47" s="169">
        <v>405</v>
      </c>
      <c r="B47" s="169">
        <v>3405</v>
      </c>
      <c r="C47" s="132" t="s">
        <v>307</v>
      </c>
      <c r="D47" s="158" t="s">
        <v>275</v>
      </c>
      <c r="E47" s="152">
        <v>1637</v>
      </c>
      <c r="F47" s="153">
        <v>1146</v>
      </c>
      <c r="G47" s="153">
        <v>491</v>
      </c>
      <c r="H47" s="154">
        <v>503</v>
      </c>
      <c r="I47" s="153">
        <v>477</v>
      </c>
      <c r="J47" s="153">
        <v>249</v>
      </c>
      <c r="K47" s="155">
        <v>408</v>
      </c>
      <c r="L47" s="156">
        <v>15.210751374465486</v>
      </c>
      <c r="M47" s="156">
        <v>29.138668295662796</v>
      </c>
      <c r="N47" s="156">
        <v>30.726939523518631</v>
      </c>
      <c r="O47" s="157">
        <v>24.923640806353085</v>
      </c>
    </row>
    <row r="48" spans="1:15">
      <c r="A48" s="169">
        <v>451</v>
      </c>
      <c r="B48" s="169">
        <v>3451</v>
      </c>
      <c r="C48" s="132" t="s">
        <v>118</v>
      </c>
      <c r="D48" s="158" t="s">
        <v>276</v>
      </c>
      <c r="E48" s="152">
        <v>3785</v>
      </c>
      <c r="F48" s="153">
        <v>2613</v>
      </c>
      <c r="G48" s="153">
        <v>1172</v>
      </c>
      <c r="H48" s="154">
        <v>941</v>
      </c>
      <c r="I48" s="153">
        <v>991</v>
      </c>
      <c r="J48" s="153">
        <v>260</v>
      </c>
      <c r="K48" s="155">
        <v>1593</v>
      </c>
      <c r="L48" s="156">
        <v>6.8692206076618234</v>
      </c>
      <c r="M48" s="156">
        <v>26.182298546895641</v>
      </c>
      <c r="N48" s="156">
        <v>24.861294583883751</v>
      </c>
      <c r="O48" s="157">
        <v>42.087186261558784</v>
      </c>
    </row>
    <row r="49" spans="1:15">
      <c r="A49" s="169">
        <v>452</v>
      </c>
      <c r="B49" s="169">
        <v>3452</v>
      </c>
      <c r="C49" s="132" t="s">
        <v>119</v>
      </c>
      <c r="D49" s="158" t="s">
        <v>277</v>
      </c>
      <c r="E49" s="152">
        <v>4363</v>
      </c>
      <c r="F49" s="153">
        <v>2791</v>
      </c>
      <c r="G49" s="153">
        <v>1572</v>
      </c>
      <c r="H49" s="154">
        <v>1149</v>
      </c>
      <c r="I49" s="153">
        <v>1170</v>
      </c>
      <c r="J49" s="153">
        <v>357</v>
      </c>
      <c r="K49" s="155">
        <v>1687</v>
      </c>
      <c r="L49" s="156">
        <v>8.1824432729773093</v>
      </c>
      <c r="M49" s="156">
        <v>26.816410726564289</v>
      </c>
      <c r="N49" s="156">
        <v>26.335090534036215</v>
      </c>
      <c r="O49" s="157">
        <v>38.666055466422186</v>
      </c>
    </row>
    <row r="50" spans="1:15">
      <c r="A50" s="169">
        <v>453</v>
      </c>
      <c r="B50" s="169">
        <v>3453</v>
      </c>
      <c r="C50" s="132" t="s">
        <v>120</v>
      </c>
      <c r="D50" s="158" t="s">
        <v>278</v>
      </c>
      <c r="E50" s="152">
        <v>10030</v>
      </c>
      <c r="F50" s="153">
        <v>6972</v>
      </c>
      <c r="G50" s="153">
        <v>3058</v>
      </c>
      <c r="H50" s="154">
        <v>2809</v>
      </c>
      <c r="I50" s="153">
        <v>2057</v>
      </c>
      <c r="J50" s="153">
        <v>314</v>
      </c>
      <c r="K50" s="155">
        <v>4850</v>
      </c>
      <c r="L50" s="156">
        <v>3.1306081754735793</v>
      </c>
      <c r="M50" s="156">
        <v>20.508474576271187</v>
      </c>
      <c r="N50" s="156">
        <v>28.005982053838483</v>
      </c>
      <c r="O50" s="157">
        <v>48.354935194416747</v>
      </c>
    </row>
    <row r="51" spans="1:15">
      <c r="A51" s="169">
        <v>454</v>
      </c>
      <c r="B51" s="169">
        <v>3454</v>
      </c>
      <c r="C51" s="132" t="s">
        <v>121</v>
      </c>
      <c r="D51" s="158" t="s">
        <v>279</v>
      </c>
      <c r="E51" s="152">
        <v>13916</v>
      </c>
      <c r="F51" s="153">
        <v>10248</v>
      </c>
      <c r="G51" s="153">
        <v>3668</v>
      </c>
      <c r="H51" s="154">
        <v>2670</v>
      </c>
      <c r="I51" s="153">
        <v>3949</v>
      </c>
      <c r="J51" s="153">
        <v>921</v>
      </c>
      <c r="K51" s="155">
        <v>6376</v>
      </c>
      <c r="L51" s="156">
        <v>6.6182811152630068</v>
      </c>
      <c r="M51" s="156">
        <v>28.377407300948548</v>
      </c>
      <c r="N51" s="156">
        <v>19.186547858580052</v>
      </c>
      <c r="O51" s="157">
        <v>45.817763725208394</v>
      </c>
    </row>
    <row r="52" spans="1:15">
      <c r="A52" s="169">
        <v>455</v>
      </c>
      <c r="B52" s="169">
        <v>3455</v>
      </c>
      <c r="C52" s="132" t="s">
        <v>122</v>
      </c>
      <c r="D52" s="158" t="s">
        <v>280</v>
      </c>
      <c r="E52" s="152">
        <v>1407</v>
      </c>
      <c r="F52" s="153">
        <v>905</v>
      </c>
      <c r="G52" s="153">
        <v>502</v>
      </c>
      <c r="H52" s="154">
        <v>314</v>
      </c>
      <c r="I52" s="153">
        <v>423</v>
      </c>
      <c r="J52" s="153">
        <v>152</v>
      </c>
      <c r="K52" s="155">
        <v>518</v>
      </c>
      <c r="L52" s="156">
        <v>10.803127221037668</v>
      </c>
      <c r="M52" s="156">
        <v>30.063965884861407</v>
      </c>
      <c r="N52" s="156">
        <v>22.316986496090973</v>
      </c>
      <c r="O52" s="157">
        <v>36.815920398009951</v>
      </c>
    </row>
    <row r="53" spans="1:15">
      <c r="A53" s="169">
        <v>456</v>
      </c>
      <c r="B53" s="169">
        <v>3456</v>
      </c>
      <c r="C53" s="132" t="s">
        <v>123</v>
      </c>
      <c r="D53" s="158" t="s">
        <v>281</v>
      </c>
      <c r="E53" s="152">
        <v>5658</v>
      </c>
      <c r="F53" s="153">
        <v>3875</v>
      </c>
      <c r="G53" s="153">
        <v>1783</v>
      </c>
      <c r="H53" s="154">
        <v>1217</v>
      </c>
      <c r="I53" s="153">
        <v>2113</v>
      </c>
      <c r="J53" s="153">
        <v>390</v>
      </c>
      <c r="K53" s="155">
        <v>1938</v>
      </c>
      <c r="L53" s="156">
        <v>6.8928950159066806</v>
      </c>
      <c r="M53" s="156">
        <v>37.345351714386709</v>
      </c>
      <c r="N53" s="156">
        <v>21.50936726758572</v>
      </c>
      <c r="O53" s="157">
        <v>34.252386002120893</v>
      </c>
    </row>
    <row r="54" spans="1:15">
      <c r="A54" s="169">
        <v>457</v>
      </c>
      <c r="B54" s="169">
        <v>3457</v>
      </c>
      <c r="C54" s="132" t="s">
        <v>124</v>
      </c>
      <c r="D54" s="158" t="s">
        <v>282</v>
      </c>
      <c r="E54" s="152">
        <v>3734</v>
      </c>
      <c r="F54" s="153">
        <v>2680</v>
      </c>
      <c r="G54" s="153">
        <v>1054</v>
      </c>
      <c r="H54" s="154">
        <v>633</v>
      </c>
      <c r="I54" s="153">
        <v>1103</v>
      </c>
      <c r="J54" s="153">
        <v>303</v>
      </c>
      <c r="K54" s="155">
        <v>1695</v>
      </c>
      <c r="L54" s="156">
        <v>8.1146223888591322</v>
      </c>
      <c r="M54" s="156">
        <v>29.539367970005355</v>
      </c>
      <c r="N54" s="156">
        <v>16.952329941081949</v>
      </c>
      <c r="O54" s="157">
        <v>45.393679700053561</v>
      </c>
    </row>
    <row r="55" spans="1:15">
      <c r="A55" s="169">
        <v>458</v>
      </c>
      <c r="B55" s="169">
        <v>3458</v>
      </c>
      <c r="C55" s="132" t="s">
        <v>125</v>
      </c>
      <c r="D55" s="158" t="s">
        <v>283</v>
      </c>
      <c r="E55" s="152">
        <v>3710</v>
      </c>
      <c r="F55" s="153">
        <v>2646</v>
      </c>
      <c r="G55" s="153">
        <v>1064</v>
      </c>
      <c r="H55" s="154">
        <v>1003</v>
      </c>
      <c r="I55" s="153">
        <v>947</v>
      </c>
      <c r="J55" s="153">
        <v>164</v>
      </c>
      <c r="K55" s="155">
        <v>1596</v>
      </c>
      <c r="L55" s="156">
        <v>4.4204851752021561</v>
      </c>
      <c r="M55" s="156">
        <v>25.525606469002696</v>
      </c>
      <c r="N55" s="156">
        <v>27.035040431266847</v>
      </c>
      <c r="O55" s="157">
        <v>43.018867924528301</v>
      </c>
    </row>
    <row r="56" spans="1:15">
      <c r="A56" s="169">
        <v>459</v>
      </c>
      <c r="B56" s="169">
        <v>3459</v>
      </c>
      <c r="C56" s="132" t="s">
        <v>126</v>
      </c>
      <c r="D56" s="158" t="s">
        <v>284</v>
      </c>
      <c r="E56" s="152">
        <v>17588</v>
      </c>
      <c r="F56" s="153">
        <v>11759</v>
      </c>
      <c r="G56" s="153">
        <v>5829</v>
      </c>
      <c r="H56" s="154">
        <v>4319</v>
      </c>
      <c r="I56" s="153">
        <v>3900</v>
      </c>
      <c r="J56" s="153">
        <v>738</v>
      </c>
      <c r="K56" s="155">
        <v>8631</v>
      </c>
      <c r="L56" s="156">
        <v>4.196042756424835</v>
      </c>
      <c r="M56" s="156">
        <v>22.174209688423925</v>
      </c>
      <c r="N56" s="156">
        <v>24.55651580623152</v>
      </c>
      <c r="O56" s="157">
        <v>49.073231748919717</v>
      </c>
    </row>
    <row r="57" spans="1:15">
      <c r="A57" s="169">
        <v>460</v>
      </c>
      <c r="B57" s="169">
        <v>3460</v>
      </c>
      <c r="C57" s="132" t="s">
        <v>127</v>
      </c>
      <c r="D57" s="158" t="s">
        <v>285</v>
      </c>
      <c r="E57" s="152">
        <v>10720</v>
      </c>
      <c r="F57" s="153">
        <v>7249</v>
      </c>
      <c r="G57" s="153">
        <v>3471</v>
      </c>
      <c r="H57" s="154">
        <v>2938</v>
      </c>
      <c r="I57" s="153">
        <v>2265</v>
      </c>
      <c r="J57" s="153">
        <v>473</v>
      </c>
      <c r="K57" s="155">
        <v>5044</v>
      </c>
      <c r="L57" s="156">
        <v>4.4123134328358207</v>
      </c>
      <c r="M57" s="156">
        <v>21.128731343283583</v>
      </c>
      <c r="N57" s="156">
        <v>27.406716417910449</v>
      </c>
      <c r="O57" s="157">
        <v>47.052238805970148</v>
      </c>
    </row>
    <row r="58" spans="1:15">
      <c r="A58" s="169">
        <v>461</v>
      </c>
      <c r="B58" s="169">
        <v>3461</v>
      </c>
      <c r="C58" s="132" t="s">
        <v>128</v>
      </c>
      <c r="D58" s="158" t="s">
        <v>286</v>
      </c>
      <c r="E58" s="152">
        <v>2489</v>
      </c>
      <c r="F58" s="153">
        <v>2018</v>
      </c>
      <c r="G58" s="153">
        <v>471</v>
      </c>
      <c r="H58" s="154">
        <v>507</v>
      </c>
      <c r="I58" s="153">
        <v>873</v>
      </c>
      <c r="J58" s="153">
        <v>155</v>
      </c>
      <c r="K58" s="155">
        <v>954</v>
      </c>
      <c r="L58" s="156">
        <v>6.2274005624748892</v>
      </c>
      <c r="M58" s="156">
        <v>35.074327038971475</v>
      </c>
      <c r="N58" s="156">
        <v>20.36962635596625</v>
      </c>
      <c r="O58" s="157">
        <v>38.328646042587387</v>
      </c>
    </row>
    <row r="59" spans="1:15">
      <c r="A59" s="169">
        <v>462</v>
      </c>
      <c r="B59" s="169">
        <v>3462</v>
      </c>
      <c r="C59" s="132" t="s">
        <v>129</v>
      </c>
      <c r="D59" s="158" t="s">
        <v>287</v>
      </c>
      <c r="E59" s="159">
        <v>988</v>
      </c>
      <c r="F59" s="160">
        <v>577</v>
      </c>
      <c r="G59" s="160">
        <v>411</v>
      </c>
      <c r="H59" s="161">
        <v>184</v>
      </c>
      <c r="I59" s="160">
        <v>220</v>
      </c>
      <c r="J59" s="160">
        <v>58</v>
      </c>
      <c r="K59" s="162">
        <v>526</v>
      </c>
      <c r="L59" s="163">
        <v>5.8704453441295543</v>
      </c>
      <c r="M59" s="163">
        <v>22.267206477732792</v>
      </c>
      <c r="N59" s="163">
        <v>18.623481781376519</v>
      </c>
      <c r="O59" s="164">
        <v>53.238866396761132</v>
      </c>
    </row>
    <row r="60" spans="1:15">
      <c r="D60" s="165" t="s">
        <v>288</v>
      </c>
      <c r="E60" s="166"/>
      <c r="F60" s="166"/>
      <c r="G60" s="166"/>
      <c r="H60" s="166"/>
      <c r="I60" s="166"/>
      <c r="J60" s="166"/>
      <c r="K60" s="167"/>
      <c r="L60" s="166"/>
      <c r="M60" s="166"/>
      <c r="N60" s="166"/>
      <c r="O60" s="167" t="s">
        <v>289</v>
      </c>
    </row>
  </sheetData>
  <mergeCells count="6">
    <mergeCell ref="D3:O3"/>
    <mergeCell ref="D7:D9"/>
    <mergeCell ref="E7:E8"/>
    <mergeCell ref="F7:G7"/>
    <mergeCell ref="H7:K7"/>
    <mergeCell ref="L7:O7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74E8E-6044-4FDB-A3DE-6702F39E2D85}">
  <sheetPr codeName="Tabelle12"/>
  <dimension ref="A2:BG214"/>
  <sheetViews>
    <sheetView zoomScale="130" zoomScaleNormal="130" workbookViewId="0">
      <selection activeCell="J8" sqref="J8"/>
    </sheetView>
  </sheetViews>
  <sheetFormatPr baseColWidth="10" defaultRowHeight="13.5"/>
  <cols>
    <col min="13" max="13" width="21.125" bestFit="1" customWidth="1"/>
  </cols>
  <sheetData>
    <row r="2" spans="1:10">
      <c r="A2" s="171" t="s">
        <v>308</v>
      </c>
    </row>
    <row r="3" spans="1:10">
      <c r="A3" s="171" t="s">
        <v>309</v>
      </c>
    </row>
    <row r="5" spans="1:10">
      <c r="A5" s="172" t="s">
        <v>4</v>
      </c>
    </row>
    <row r="7" spans="1:10">
      <c r="A7" t="s">
        <v>310</v>
      </c>
    </row>
    <row r="8" spans="1:10">
      <c r="A8" t="s">
        <v>311</v>
      </c>
    </row>
    <row r="10" spans="1:10">
      <c r="A10" t="s">
        <v>312</v>
      </c>
    </row>
    <row r="11" spans="1:10">
      <c r="A11" t="s">
        <v>313</v>
      </c>
    </row>
    <row r="13" spans="1:10">
      <c r="A13" t="s">
        <v>314</v>
      </c>
    </row>
    <row r="15" spans="1:10" ht="27">
      <c r="A15" s="173" t="s">
        <v>130</v>
      </c>
      <c r="B15" s="342" t="s">
        <v>11</v>
      </c>
      <c r="C15" s="343"/>
      <c r="D15" s="343"/>
      <c r="E15" s="343"/>
      <c r="F15" s="343"/>
      <c r="G15" s="343"/>
      <c r="H15" s="343"/>
      <c r="I15" s="343"/>
      <c r="J15" s="344"/>
    </row>
    <row r="16" spans="1:10" ht="27">
      <c r="A16" s="174" t="s">
        <v>315</v>
      </c>
      <c r="B16" s="345"/>
      <c r="C16" s="346"/>
      <c r="D16" s="346"/>
      <c r="E16" s="346"/>
      <c r="F16" s="346"/>
      <c r="G16" s="346"/>
      <c r="H16" s="346"/>
      <c r="I16" s="346"/>
      <c r="J16" s="347"/>
    </row>
    <row r="17" spans="1:20" ht="27">
      <c r="A17" s="174" t="s">
        <v>316</v>
      </c>
      <c r="B17" s="348"/>
      <c r="C17" s="349"/>
      <c r="D17" s="349"/>
      <c r="E17" s="349"/>
      <c r="F17" s="349"/>
      <c r="G17" s="349"/>
      <c r="H17" s="349"/>
      <c r="I17" s="349"/>
      <c r="J17" s="350"/>
    </row>
    <row r="18" spans="1:20" ht="27">
      <c r="A18" s="174" t="s">
        <v>317</v>
      </c>
      <c r="B18" s="351" t="s">
        <v>12</v>
      </c>
      <c r="C18" s="352"/>
      <c r="D18" s="353"/>
      <c r="E18" s="351" t="s">
        <v>13</v>
      </c>
      <c r="F18" s="352"/>
      <c r="G18" s="353"/>
      <c r="H18" s="351" t="s">
        <v>14</v>
      </c>
      <c r="I18" s="352"/>
      <c r="J18" s="353"/>
    </row>
    <row r="19" spans="1:20">
      <c r="A19" s="174" t="s">
        <v>318</v>
      </c>
      <c r="B19" s="178" t="s">
        <v>15</v>
      </c>
      <c r="C19" s="178" t="s">
        <v>16</v>
      </c>
      <c r="D19" s="178" t="s">
        <v>17</v>
      </c>
      <c r="E19" s="178" t="s">
        <v>15</v>
      </c>
      <c r="F19" s="178" t="s">
        <v>16</v>
      </c>
      <c r="G19" s="178" t="s">
        <v>17</v>
      </c>
      <c r="H19" s="178" t="s">
        <v>15</v>
      </c>
      <c r="I19" s="178" t="s">
        <v>16</v>
      </c>
      <c r="J19" s="178" t="s">
        <v>17</v>
      </c>
    </row>
    <row r="20" spans="1:20" ht="27">
      <c r="A20" s="175" t="s">
        <v>319</v>
      </c>
      <c r="B20" s="178">
        <v>1</v>
      </c>
      <c r="C20" s="178">
        <v>2</v>
      </c>
      <c r="D20" s="178">
        <v>3</v>
      </c>
      <c r="E20" s="178">
        <v>4</v>
      </c>
      <c r="F20" s="178">
        <v>5</v>
      </c>
      <c r="G20" s="178">
        <v>6</v>
      </c>
      <c r="H20" s="178">
        <v>7</v>
      </c>
      <c r="I20" s="178">
        <v>8</v>
      </c>
      <c r="J20" s="178">
        <v>9</v>
      </c>
    </row>
    <row r="21" spans="1:20">
      <c r="A21" s="176"/>
      <c r="J21" s="177"/>
    </row>
    <row r="22" spans="1:20" ht="13.5" customHeight="1">
      <c r="A22" s="339" t="s">
        <v>320</v>
      </c>
      <c r="B22" s="340"/>
      <c r="C22" s="340"/>
      <c r="D22" s="340"/>
      <c r="E22" s="340"/>
      <c r="F22" s="340"/>
      <c r="G22" s="340"/>
      <c r="H22" s="340"/>
      <c r="I22" s="340"/>
      <c r="J22" s="341"/>
    </row>
    <row r="23" spans="1:20">
      <c r="A23" s="179" t="s">
        <v>28</v>
      </c>
      <c r="B23" s="179">
        <v>517160</v>
      </c>
      <c r="C23" s="179">
        <v>277160</v>
      </c>
      <c r="D23" s="179">
        <v>240000</v>
      </c>
      <c r="E23" s="179">
        <v>456114</v>
      </c>
      <c r="F23" s="179">
        <v>238908</v>
      </c>
      <c r="G23" s="179">
        <v>217206</v>
      </c>
      <c r="H23" s="179">
        <v>60737</v>
      </c>
      <c r="I23" s="179">
        <v>38040</v>
      </c>
      <c r="J23" s="179">
        <v>22697</v>
      </c>
      <c r="N23" t="s">
        <v>328</v>
      </c>
      <c r="O23" t="s">
        <v>329</v>
      </c>
      <c r="P23" t="s">
        <v>330</v>
      </c>
      <c r="Q23" t="s">
        <v>91</v>
      </c>
      <c r="R23" t="s">
        <v>92</v>
      </c>
      <c r="S23" t="s">
        <v>93</v>
      </c>
      <c r="T23" t="s">
        <v>331</v>
      </c>
    </row>
    <row r="24" spans="1:20" ht="54">
      <c r="A24" s="179" t="s">
        <v>321</v>
      </c>
      <c r="B24" s="179">
        <v>63876</v>
      </c>
      <c r="C24" s="179">
        <v>37389</v>
      </c>
      <c r="D24" s="179">
        <v>26487</v>
      </c>
      <c r="E24" s="179">
        <v>47045</v>
      </c>
      <c r="F24" s="179">
        <v>26223</v>
      </c>
      <c r="G24" s="179">
        <v>20822</v>
      </c>
      <c r="H24" s="179">
        <v>16753</v>
      </c>
      <c r="I24" s="179">
        <v>11105</v>
      </c>
      <c r="J24" s="179">
        <v>5648</v>
      </c>
      <c r="M24" t="s">
        <v>300</v>
      </c>
      <c r="N24">
        <f>H23</f>
        <v>60737</v>
      </c>
      <c r="O24">
        <f>I23</f>
        <v>38040</v>
      </c>
      <c r="P24">
        <f>J23</f>
        <v>22697</v>
      </c>
      <c r="Q24" s="179">
        <f>H26</f>
        <v>8054</v>
      </c>
      <c r="R24" s="179">
        <f>H25</f>
        <v>19743</v>
      </c>
      <c r="S24" s="179">
        <f>H24</f>
        <v>16753</v>
      </c>
      <c r="T24" s="179">
        <f>H27</f>
        <v>16187</v>
      </c>
    </row>
    <row r="25" spans="1:20" ht="54">
      <c r="A25" s="179" t="s">
        <v>322</v>
      </c>
      <c r="B25" s="179">
        <v>311611</v>
      </c>
      <c r="C25" s="179">
        <v>160207</v>
      </c>
      <c r="D25" s="179">
        <v>151404</v>
      </c>
      <c r="E25" s="179">
        <v>291737</v>
      </c>
      <c r="F25" s="179">
        <v>148284</v>
      </c>
      <c r="G25" s="179">
        <v>143453</v>
      </c>
      <c r="H25" s="179">
        <v>19743</v>
      </c>
      <c r="I25" s="179">
        <v>11844</v>
      </c>
      <c r="J25" s="179">
        <v>7899</v>
      </c>
      <c r="M25" t="s">
        <v>327</v>
      </c>
      <c r="N25">
        <f>H29</f>
        <v>38360</v>
      </c>
      <c r="O25">
        <f>I29</f>
        <v>23217</v>
      </c>
      <c r="P25">
        <f>J29</f>
        <v>15143</v>
      </c>
      <c r="Q25" s="179">
        <f>H32</f>
        <v>6307</v>
      </c>
      <c r="R25" s="179">
        <f>H31</f>
        <v>12218</v>
      </c>
      <c r="S25" s="179">
        <f>H30</f>
        <v>10256</v>
      </c>
      <c r="T25" s="179">
        <f>H33</f>
        <v>9579</v>
      </c>
    </row>
    <row r="26" spans="1:20" ht="67.5">
      <c r="A26" s="179" t="s">
        <v>323</v>
      </c>
      <c r="B26" s="179">
        <v>94064</v>
      </c>
      <c r="C26" s="179">
        <v>51127</v>
      </c>
      <c r="D26" s="179">
        <v>42937</v>
      </c>
      <c r="E26" s="179">
        <v>85979</v>
      </c>
      <c r="F26" s="179">
        <v>46887</v>
      </c>
      <c r="G26" s="179">
        <v>39092</v>
      </c>
      <c r="H26" s="179">
        <v>8054</v>
      </c>
      <c r="I26" s="179">
        <v>4222</v>
      </c>
      <c r="J26" s="179">
        <v>3832</v>
      </c>
      <c r="M26" t="s">
        <v>145</v>
      </c>
      <c r="N26">
        <f t="shared" ref="N26:T26" si="0">N24-N25</f>
        <v>22377</v>
      </c>
      <c r="O26">
        <f t="shared" si="0"/>
        <v>14823</v>
      </c>
      <c r="P26">
        <f t="shared" si="0"/>
        <v>7554</v>
      </c>
      <c r="Q26">
        <f t="shared" si="0"/>
        <v>1747</v>
      </c>
      <c r="R26">
        <f t="shared" si="0"/>
        <v>7525</v>
      </c>
      <c r="S26">
        <f t="shared" si="0"/>
        <v>6497</v>
      </c>
      <c r="T26">
        <f t="shared" si="0"/>
        <v>6608</v>
      </c>
    </row>
    <row r="27" spans="1:20" ht="27">
      <c r="A27" s="179" t="s">
        <v>324</v>
      </c>
      <c r="B27" s="179">
        <v>47609</v>
      </c>
      <c r="C27" s="179">
        <v>28437</v>
      </c>
      <c r="D27" s="179">
        <v>19172</v>
      </c>
      <c r="E27" s="179">
        <v>31353</v>
      </c>
      <c r="F27" s="179">
        <v>17514</v>
      </c>
      <c r="G27" s="179">
        <v>13839</v>
      </c>
      <c r="H27" s="179">
        <v>16187</v>
      </c>
      <c r="I27" s="179">
        <v>10869</v>
      </c>
      <c r="J27" s="179">
        <v>5318</v>
      </c>
    </row>
    <row r="28" spans="1:20" ht="13.5" customHeight="1">
      <c r="A28" s="339" t="s">
        <v>325</v>
      </c>
      <c r="B28" s="340"/>
      <c r="C28" s="340"/>
      <c r="D28" s="340"/>
      <c r="E28" s="340"/>
      <c r="F28" s="340"/>
      <c r="G28" s="340"/>
      <c r="H28" s="340"/>
      <c r="I28" s="340"/>
      <c r="J28" s="341"/>
      <c r="Q28" s="354" t="s">
        <v>85</v>
      </c>
      <c r="R28" s="354"/>
      <c r="S28" s="354"/>
      <c r="T28" s="354"/>
    </row>
    <row r="29" spans="1:20">
      <c r="A29" s="179" t="s">
        <v>28</v>
      </c>
      <c r="B29" s="179">
        <v>329083</v>
      </c>
      <c r="C29" s="179">
        <v>174437</v>
      </c>
      <c r="D29" s="179">
        <v>154646</v>
      </c>
      <c r="E29" s="179">
        <v>290534</v>
      </c>
      <c r="F29" s="179">
        <v>151090</v>
      </c>
      <c r="G29" s="179">
        <v>139444</v>
      </c>
      <c r="H29" s="179">
        <v>38360</v>
      </c>
      <c r="I29" s="179">
        <v>23217</v>
      </c>
      <c r="J29" s="179">
        <v>15143</v>
      </c>
      <c r="N29" t="s">
        <v>328</v>
      </c>
      <c r="O29" t="s">
        <v>329</v>
      </c>
      <c r="P29" t="s">
        <v>330</v>
      </c>
      <c r="Q29" t="s">
        <v>91</v>
      </c>
      <c r="R29" t="s">
        <v>92</v>
      </c>
      <c r="S29" t="s">
        <v>93</v>
      </c>
      <c r="T29" t="s">
        <v>331</v>
      </c>
    </row>
    <row r="30" spans="1:20" ht="54">
      <c r="A30" s="179" t="s">
        <v>321</v>
      </c>
      <c r="B30" s="179">
        <v>38592</v>
      </c>
      <c r="C30" s="179">
        <v>21851</v>
      </c>
      <c r="D30" s="179">
        <v>16741</v>
      </c>
      <c r="E30" s="179">
        <v>28289</v>
      </c>
      <c r="F30" s="179">
        <v>15243</v>
      </c>
      <c r="G30" s="179">
        <v>13046</v>
      </c>
      <c r="H30" s="179">
        <v>10256</v>
      </c>
      <c r="I30" s="179">
        <v>6573</v>
      </c>
      <c r="J30" s="179">
        <v>3683</v>
      </c>
      <c r="L30" s="190">
        <v>2</v>
      </c>
      <c r="M30" t="s">
        <v>300</v>
      </c>
      <c r="N30">
        <f t="shared" ref="N30:P32" si="1">N24</f>
        <v>60737</v>
      </c>
      <c r="O30">
        <f t="shared" si="1"/>
        <v>38040</v>
      </c>
      <c r="P30">
        <f t="shared" si="1"/>
        <v>22697</v>
      </c>
      <c r="Q30" s="2">
        <f>Q24/$N$24*100</f>
        <v>13.260450796055123</v>
      </c>
      <c r="R30" s="2">
        <f>R24/$N$24*100</f>
        <v>32.505721388939193</v>
      </c>
      <c r="S30" s="2">
        <f>S24/$N$24*100</f>
        <v>27.582857236939589</v>
      </c>
      <c r="T30" s="2">
        <f>T24/$N$24*100</f>
        <v>26.650970578066087</v>
      </c>
    </row>
    <row r="31" spans="1:20" ht="54">
      <c r="A31" s="179" t="s">
        <v>322</v>
      </c>
      <c r="B31" s="179">
        <v>188452</v>
      </c>
      <c r="C31" s="179">
        <v>95459</v>
      </c>
      <c r="D31" s="179">
        <v>92993</v>
      </c>
      <c r="E31" s="179">
        <v>176157</v>
      </c>
      <c r="F31" s="179">
        <v>88304</v>
      </c>
      <c r="G31" s="179">
        <v>87853</v>
      </c>
      <c r="H31" s="179">
        <v>12218</v>
      </c>
      <c r="I31" s="179">
        <v>7105</v>
      </c>
      <c r="J31" s="179">
        <v>5113</v>
      </c>
      <c r="M31" t="s">
        <v>327</v>
      </c>
      <c r="N31">
        <f t="shared" si="1"/>
        <v>38360</v>
      </c>
      <c r="O31">
        <f t="shared" si="1"/>
        <v>23217</v>
      </c>
      <c r="P31">
        <f t="shared" si="1"/>
        <v>15143</v>
      </c>
      <c r="Q31" s="2">
        <f>Q25/$N$25*100</f>
        <v>16.441605839416059</v>
      </c>
      <c r="R31" s="2">
        <f>R25/$N$25*100</f>
        <v>31.850886339937436</v>
      </c>
      <c r="S31" s="2">
        <f>S25/$N$25*100</f>
        <v>26.736183524504693</v>
      </c>
      <c r="T31" s="2">
        <f>T25/$N$25*100</f>
        <v>24.971324296141812</v>
      </c>
    </row>
    <row r="32" spans="1:20" ht="67.5">
      <c r="A32" s="179" t="s">
        <v>323</v>
      </c>
      <c r="B32" s="179">
        <v>73540</v>
      </c>
      <c r="C32" s="179">
        <v>40123</v>
      </c>
      <c r="D32" s="179">
        <v>33417</v>
      </c>
      <c r="E32" s="179">
        <v>67210</v>
      </c>
      <c r="F32" s="179">
        <v>36830</v>
      </c>
      <c r="G32" s="179">
        <v>30380</v>
      </c>
      <c r="H32" s="179">
        <v>6307</v>
      </c>
      <c r="I32" s="179">
        <v>3282</v>
      </c>
      <c r="J32" s="179">
        <v>3025</v>
      </c>
      <c r="M32" t="s">
        <v>145</v>
      </c>
      <c r="N32">
        <f t="shared" si="1"/>
        <v>22377</v>
      </c>
      <c r="O32">
        <f t="shared" si="1"/>
        <v>14823</v>
      </c>
      <c r="P32">
        <f t="shared" si="1"/>
        <v>7554</v>
      </c>
      <c r="Q32" s="2">
        <f>Q26/$N$26*100</f>
        <v>7.8071233856191622</v>
      </c>
      <c r="R32" s="2">
        <f>R26/$N$26*100</f>
        <v>33.628279036510705</v>
      </c>
      <c r="S32" s="2">
        <f>S26/$N$26*100</f>
        <v>29.034276265808646</v>
      </c>
      <c r="T32" s="2">
        <f>T26/$N$26*100</f>
        <v>29.530321312061492</v>
      </c>
    </row>
    <row r="33" spans="1:10" ht="27">
      <c r="A33" s="179" t="s">
        <v>324</v>
      </c>
      <c r="B33" s="179">
        <v>28499</v>
      </c>
      <c r="C33" s="179">
        <v>17004</v>
      </c>
      <c r="D33" s="179">
        <v>11495</v>
      </c>
      <c r="E33" s="179">
        <v>18878</v>
      </c>
      <c r="F33" s="179">
        <v>10713</v>
      </c>
      <c r="G33" s="179">
        <v>8165</v>
      </c>
      <c r="H33" s="179">
        <v>9579</v>
      </c>
      <c r="I33" s="179">
        <v>6257</v>
      </c>
      <c r="J33" s="179">
        <v>3322</v>
      </c>
    </row>
    <row r="35" spans="1:10">
      <c r="A35" t="s">
        <v>326</v>
      </c>
    </row>
    <row r="41" spans="1:10">
      <c r="A41" s="187">
        <v>2015</v>
      </c>
    </row>
    <row r="42" spans="1:10">
      <c r="A42" s="171" t="s">
        <v>308</v>
      </c>
    </row>
    <row r="43" spans="1:10">
      <c r="A43" s="171" t="s">
        <v>309</v>
      </c>
    </row>
    <row r="45" spans="1:10">
      <c r="A45" s="172" t="s">
        <v>4</v>
      </c>
    </row>
    <row r="47" spans="1:10">
      <c r="A47" t="s">
        <v>310</v>
      </c>
    </row>
    <row r="48" spans="1:10">
      <c r="A48" t="s">
        <v>311</v>
      </c>
    </row>
    <row r="50" spans="1:10">
      <c r="A50" t="s">
        <v>312</v>
      </c>
    </row>
    <row r="51" spans="1:10">
      <c r="A51" t="s">
        <v>333</v>
      </c>
    </row>
    <row r="53" spans="1:10">
      <c r="A53" t="s">
        <v>314</v>
      </c>
    </row>
    <row r="55" spans="1:10" ht="27">
      <c r="A55" s="173" t="s">
        <v>130</v>
      </c>
      <c r="B55" s="342" t="s">
        <v>11</v>
      </c>
      <c r="C55" s="343"/>
      <c r="D55" s="343"/>
      <c r="E55" s="343"/>
      <c r="F55" s="343"/>
      <c r="G55" s="343"/>
      <c r="H55" s="343"/>
      <c r="I55" s="343"/>
      <c r="J55" s="344"/>
    </row>
    <row r="56" spans="1:10" ht="27">
      <c r="A56" s="174" t="s">
        <v>315</v>
      </c>
      <c r="B56" s="345"/>
      <c r="C56" s="346"/>
      <c r="D56" s="346"/>
      <c r="E56" s="346"/>
      <c r="F56" s="346"/>
      <c r="G56" s="346"/>
      <c r="H56" s="346"/>
      <c r="I56" s="346"/>
      <c r="J56" s="347"/>
    </row>
    <row r="57" spans="1:10" ht="27">
      <c r="A57" s="174" t="s">
        <v>316</v>
      </c>
      <c r="B57" s="348"/>
      <c r="C57" s="349"/>
      <c r="D57" s="349"/>
      <c r="E57" s="349"/>
      <c r="F57" s="349"/>
      <c r="G57" s="349"/>
      <c r="H57" s="349"/>
      <c r="I57" s="349"/>
      <c r="J57" s="350"/>
    </row>
    <row r="58" spans="1:10" ht="27">
      <c r="A58" s="174" t="s">
        <v>317</v>
      </c>
      <c r="B58" s="351" t="s">
        <v>12</v>
      </c>
      <c r="C58" s="352"/>
      <c r="D58" s="353"/>
      <c r="E58" s="351" t="s">
        <v>13</v>
      </c>
      <c r="F58" s="352"/>
      <c r="G58" s="353"/>
      <c r="H58" s="351" t="s">
        <v>14</v>
      </c>
      <c r="I58" s="352"/>
      <c r="J58" s="353"/>
    </row>
    <row r="59" spans="1:10">
      <c r="A59" s="174" t="s">
        <v>318</v>
      </c>
      <c r="B59" s="178" t="s">
        <v>15</v>
      </c>
      <c r="C59" s="178" t="s">
        <v>16</v>
      </c>
      <c r="D59" s="178" t="s">
        <v>17</v>
      </c>
      <c r="E59" s="178" t="s">
        <v>15</v>
      </c>
      <c r="F59" s="178" t="s">
        <v>16</v>
      </c>
      <c r="G59" s="178" t="s">
        <v>17</v>
      </c>
      <c r="H59" s="178" t="s">
        <v>15</v>
      </c>
      <c r="I59" s="178" t="s">
        <v>16</v>
      </c>
      <c r="J59" s="178" t="s">
        <v>17</v>
      </c>
    </row>
    <row r="60" spans="1:10" ht="27">
      <c r="A60" s="175" t="s">
        <v>319</v>
      </c>
      <c r="B60" s="178">
        <v>1</v>
      </c>
      <c r="C60" s="178">
        <v>2</v>
      </c>
      <c r="D60" s="178">
        <v>3</v>
      </c>
      <c r="E60" s="178">
        <v>4</v>
      </c>
      <c r="F60" s="178">
        <v>5</v>
      </c>
      <c r="G60" s="178">
        <v>6</v>
      </c>
      <c r="H60" s="178">
        <v>7</v>
      </c>
      <c r="I60" s="178">
        <v>8</v>
      </c>
      <c r="J60" s="178">
        <v>9</v>
      </c>
    </row>
    <row r="61" spans="1:10">
      <c r="A61" s="176"/>
      <c r="J61" s="177"/>
    </row>
    <row r="62" spans="1:10" ht="13.5" customHeight="1">
      <c r="A62" s="339" t="s">
        <v>334</v>
      </c>
      <c r="B62" s="340"/>
      <c r="C62" s="340"/>
      <c r="D62" s="340"/>
      <c r="E62" s="340"/>
      <c r="F62" s="340"/>
      <c r="G62" s="340"/>
      <c r="H62" s="340"/>
      <c r="I62" s="340"/>
      <c r="J62" s="341"/>
    </row>
    <row r="63" spans="1:10">
      <c r="A63" s="179" t="s">
        <v>28</v>
      </c>
      <c r="B63" s="179">
        <v>124444</v>
      </c>
      <c r="C63" s="179">
        <v>63662</v>
      </c>
      <c r="D63" s="179">
        <v>60782</v>
      </c>
      <c r="E63" s="179">
        <v>118123</v>
      </c>
      <c r="F63" s="179">
        <v>59901</v>
      </c>
      <c r="G63" s="179">
        <v>58222</v>
      </c>
      <c r="H63" s="179">
        <v>6297</v>
      </c>
      <c r="I63" s="179">
        <v>3748</v>
      </c>
      <c r="J63" s="179">
        <v>2549</v>
      </c>
    </row>
    <row r="64" spans="1:10" ht="54">
      <c r="A64" s="179" t="s">
        <v>321</v>
      </c>
      <c r="B64" s="179">
        <v>15114</v>
      </c>
      <c r="C64" s="179">
        <v>8295</v>
      </c>
      <c r="D64" s="179">
        <v>6819</v>
      </c>
      <c r="E64" s="179">
        <v>13609</v>
      </c>
      <c r="F64" s="179">
        <v>7382</v>
      </c>
      <c r="G64" s="179">
        <v>6227</v>
      </c>
      <c r="H64" s="179">
        <v>1497</v>
      </c>
      <c r="I64" s="179">
        <v>908</v>
      </c>
      <c r="J64" s="179">
        <v>589</v>
      </c>
    </row>
    <row r="65" spans="1:10" ht="54">
      <c r="A65" s="179" t="s">
        <v>322</v>
      </c>
      <c r="B65" s="179">
        <v>81513</v>
      </c>
      <c r="C65" s="179">
        <v>40260</v>
      </c>
      <c r="D65" s="179">
        <v>41253</v>
      </c>
      <c r="E65" s="179">
        <v>79609</v>
      </c>
      <c r="F65" s="179">
        <v>39121</v>
      </c>
      <c r="G65" s="179">
        <v>40488</v>
      </c>
      <c r="H65" s="179">
        <v>1898</v>
      </c>
      <c r="I65" s="179">
        <v>1136</v>
      </c>
      <c r="J65" s="179">
        <v>762</v>
      </c>
    </row>
    <row r="66" spans="1:10" ht="67.5">
      <c r="A66" s="179" t="s">
        <v>323</v>
      </c>
      <c r="B66" s="179">
        <v>18838</v>
      </c>
      <c r="C66" s="179">
        <v>10180</v>
      </c>
      <c r="D66" s="179">
        <v>8658</v>
      </c>
      <c r="E66" s="179">
        <v>17096</v>
      </c>
      <c r="F66" s="179">
        <v>9235</v>
      </c>
      <c r="G66" s="179">
        <v>7861</v>
      </c>
      <c r="H66" s="179">
        <v>1737</v>
      </c>
      <c r="I66" s="179">
        <v>942</v>
      </c>
      <c r="J66" s="179">
        <v>795</v>
      </c>
    </row>
    <row r="67" spans="1:10" ht="27">
      <c r="A67" s="179" t="s">
        <v>324</v>
      </c>
      <c r="B67" s="179">
        <v>8979</v>
      </c>
      <c r="C67" s="179">
        <v>4927</v>
      </c>
      <c r="D67" s="179">
        <v>4052</v>
      </c>
      <c r="E67" s="179">
        <v>7809</v>
      </c>
      <c r="F67" s="179">
        <v>4163</v>
      </c>
      <c r="G67" s="179">
        <v>3646</v>
      </c>
      <c r="H67" s="179">
        <v>1165</v>
      </c>
      <c r="I67" s="179">
        <v>762</v>
      </c>
      <c r="J67" s="179">
        <v>403</v>
      </c>
    </row>
    <row r="69" spans="1:10">
      <c r="A69" t="s">
        <v>326</v>
      </c>
    </row>
    <row r="72" spans="1:10">
      <c r="A72" s="187">
        <v>2014</v>
      </c>
    </row>
    <row r="74" spans="1:10">
      <c r="A74" s="171" t="s">
        <v>308</v>
      </c>
    </row>
    <row r="75" spans="1:10">
      <c r="A75" s="171" t="s">
        <v>309</v>
      </c>
    </row>
    <row r="77" spans="1:10">
      <c r="A77" s="172" t="s">
        <v>4</v>
      </c>
    </row>
    <row r="79" spans="1:10">
      <c r="A79" t="s">
        <v>310</v>
      </c>
    </row>
    <row r="80" spans="1:10">
      <c r="A80" t="s">
        <v>311</v>
      </c>
    </row>
    <row r="82" spans="1:21">
      <c r="A82" t="s">
        <v>312</v>
      </c>
    </row>
    <row r="83" spans="1:21">
      <c r="A83" t="s">
        <v>335</v>
      </c>
    </row>
    <row r="85" spans="1:21">
      <c r="A85" t="s">
        <v>314</v>
      </c>
    </row>
    <row r="87" spans="1:21" ht="27">
      <c r="A87" s="173" t="s">
        <v>130</v>
      </c>
      <c r="B87" s="342" t="s">
        <v>11</v>
      </c>
      <c r="C87" s="343"/>
      <c r="D87" s="343"/>
      <c r="E87" s="343"/>
      <c r="F87" s="343"/>
      <c r="G87" s="343"/>
      <c r="H87" s="343"/>
      <c r="I87" s="343"/>
      <c r="J87" s="344"/>
    </row>
    <row r="88" spans="1:21" ht="27">
      <c r="A88" s="174" t="s">
        <v>315</v>
      </c>
      <c r="B88" s="345"/>
      <c r="C88" s="346"/>
      <c r="D88" s="346"/>
      <c r="E88" s="346"/>
      <c r="F88" s="346"/>
      <c r="G88" s="346"/>
      <c r="H88" s="346"/>
      <c r="I88" s="346"/>
      <c r="J88" s="347"/>
    </row>
    <row r="89" spans="1:21" ht="27">
      <c r="A89" s="174" t="s">
        <v>316</v>
      </c>
      <c r="B89" s="348"/>
      <c r="C89" s="349"/>
      <c r="D89" s="349"/>
      <c r="E89" s="349"/>
      <c r="F89" s="349"/>
      <c r="G89" s="349"/>
      <c r="H89" s="349"/>
      <c r="I89" s="349"/>
      <c r="J89" s="350"/>
    </row>
    <row r="90" spans="1:21" ht="27">
      <c r="A90" s="174" t="s">
        <v>317</v>
      </c>
      <c r="B90" s="351" t="s">
        <v>12</v>
      </c>
      <c r="C90" s="352"/>
      <c r="D90" s="353"/>
      <c r="E90" s="351" t="s">
        <v>13</v>
      </c>
      <c r="F90" s="352"/>
      <c r="G90" s="353"/>
      <c r="H90" s="351" t="s">
        <v>14</v>
      </c>
      <c r="I90" s="352"/>
      <c r="J90" s="353"/>
      <c r="O90" s="178" t="s">
        <v>15</v>
      </c>
      <c r="P90" s="178" t="s">
        <v>16</v>
      </c>
      <c r="Q90" s="178" t="s">
        <v>17</v>
      </c>
      <c r="R90" s="188" t="s">
        <v>91</v>
      </c>
      <c r="S90" s="188" t="s">
        <v>92</v>
      </c>
      <c r="T90" s="188" t="s">
        <v>93</v>
      </c>
      <c r="U90" s="188" t="s">
        <v>340</v>
      </c>
    </row>
    <row r="91" spans="1:21">
      <c r="A91" s="174" t="s">
        <v>318</v>
      </c>
      <c r="B91" s="178" t="s">
        <v>15</v>
      </c>
      <c r="C91" s="178" t="s">
        <v>16</v>
      </c>
      <c r="D91" s="178" t="s">
        <v>17</v>
      </c>
      <c r="E91" s="178" t="s">
        <v>15</v>
      </c>
      <c r="F91" s="178" t="s">
        <v>16</v>
      </c>
      <c r="G91" s="178" t="s">
        <v>17</v>
      </c>
      <c r="H91" s="178" t="s">
        <v>15</v>
      </c>
      <c r="I91" s="178" t="s">
        <v>16</v>
      </c>
      <c r="J91" s="178" t="s">
        <v>17</v>
      </c>
      <c r="L91">
        <v>2015</v>
      </c>
      <c r="M91" s="188">
        <v>159</v>
      </c>
      <c r="N91" t="s">
        <v>95</v>
      </c>
      <c r="O91">
        <f>H63</f>
        <v>6297</v>
      </c>
      <c r="P91">
        <f>I63</f>
        <v>3748</v>
      </c>
      <c r="Q91">
        <f>J63</f>
        <v>2549</v>
      </c>
      <c r="R91">
        <f>H66</f>
        <v>1737</v>
      </c>
      <c r="S91">
        <f>I65</f>
        <v>1136</v>
      </c>
      <c r="T91">
        <f>I64</f>
        <v>908</v>
      </c>
      <c r="U91">
        <f>I67</f>
        <v>762</v>
      </c>
    </row>
    <row r="92" spans="1:21" ht="27">
      <c r="A92" s="175" t="s">
        <v>319</v>
      </c>
      <c r="B92" s="178">
        <v>1</v>
      </c>
      <c r="C92" s="178">
        <v>2</v>
      </c>
      <c r="D92" s="178">
        <v>3</v>
      </c>
      <c r="E92" s="178">
        <v>4</v>
      </c>
      <c r="F92" s="178">
        <v>5</v>
      </c>
      <c r="G92" s="178">
        <v>6</v>
      </c>
      <c r="H92" s="178">
        <v>7</v>
      </c>
      <c r="I92" s="178">
        <v>8</v>
      </c>
      <c r="J92" s="178">
        <v>9</v>
      </c>
      <c r="L92" s="189">
        <v>2014</v>
      </c>
      <c r="M92" s="188">
        <v>159</v>
      </c>
      <c r="N92" t="s">
        <v>95</v>
      </c>
      <c r="O92">
        <f>H95</f>
        <v>5660</v>
      </c>
      <c r="P92">
        <f>I95</f>
        <v>3317</v>
      </c>
      <c r="Q92">
        <f>J95</f>
        <v>2343</v>
      </c>
      <c r="R92">
        <f>H98</f>
        <v>1615</v>
      </c>
      <c r="S92">
        <f>H97</f>
        <v>1671</v>
      </c>
      <c r="T92">
        <f>H96</f>
        <v>1268</v>
      </c>
      <c r="U92">
        <f>H99</f>
        <v>1106</v>
      </c>
    </row>
    <row r="93" spans="1:21">
      <c r="A93" s="176"/>
      <c r="J93" s="177"/>
      <c r="L93">
        <v>2013</v>
      </c>
      <c r="M93" s="188">
        <v>159</v>
      </c>
      <c r="N93" t="s">
        <v>95</v>
      </c>
      <c r="O93">
        <f>H126</f>
        <v>5218</v>
      </c>
      <c r="P93">
        <f>I126</f>
        <v>3075</v>
      </c>
      <c r="Q93">
        <f>J126</f>
        <v>2143</v>
      </c>
      <c r="R93">
        <f>H129</f>
        <v>1414</v>
      </c>
      <c r="S93">
        <f>H128</f>
        <v>1554</v>
      </c>
      <c r="T93">
        <f>H127</f>
        <v>1178</v>
      </c>
      <c r="U93">
        <f>H130</f>
        <v>1072</v>
      </c>
    </row>
    <row r="94" spans="1:21" ht="13.5" customHeight="1">
      <c r="A94" s="339" t="s">
        <v>334</v>
      </c>
      <c r="B94" s="340"/>
      <c r="C94" s="340"/>
      <c r="D94" s="340"/>
      <c r="E94" s="340"/>
      <c r="F94" s="340"/>
      <c r="G94" s="340"/>
      <c r="H94" s="340"/>
      <c r="I94" s="340"/>
      <c r="J94" s="341"/>
      <c r="L94">
        <v>2012</v>
      </c>
      <c r="M94" s="188">
        <v>159</v>
      </c>
      <c r="N94" t="s">
        <v>95</v>
      </c>
      <c r="O94">
        <f>H156</f>
        <v>4893</v>
      </c>
      <c r="P94">
        <f>I156</f>
        <v>2843</v>
      </c>
      <c r="Q94">
        <f>J156</f>
        <v>2050</v>
      </c>
      <c r="R94">
        <f>H159</f>
        <v>1265</v>
      </c>
      <c r="S94">
        <f>H158</f>
        <v>1477</v>
      </c>
      <c r="T94">
        <f>H157</f>
        <v>1089</v>
      </c>
      <c r="U94">
        <f>H160</f>
        <v>1062</v>
      </c>
    </row>
    <row r="95" spans="1:21">
      <c r="A95" s="179" t="s">
        <v>28</v>
      </c>
      <c r="B95" s="179">
        <v>122279</v>
      </c>
      <c r="C95" s="179">
        <v>62812</v>
      </c>
      <c r="D95" s="179">
        <v>59467</v>
      </c>
      <c r="E95" s="179">
        <v>116596</v>
      </c>
      <c r="F95" s="179">
        <v>59478</v>
      </c>
      <c r="G95" s="179">
        <v>57118</v>
      </c>
      <c r="H95" s="179">
        <v>5660</v>
      </c>
      <c r="I95" s="179">
        <v>3317</v>
      </c>
      <c r="J95" s="179">
        <v>2343</v>
      </c>
      <c r="L95" s="190">
        <v>2011</v>
      </c>
      <c r="M95" s="188">
        <v>159</v>
      </c>
      <c r="N95" t="s">
        <v>95</v>
      </c>
      <c r="O95">
        <f>H187</f>
        <v>4656</v>
      </c>
      <c r="P95">
        <f>I187</f>
        <v>2780</v>
      </c>
      <c r="Q95">
        <f>J187</f>
        <v>1876</v>
      </c>
      <c r="R95">
        <f>H190</f>
        <v>948</v>
      </c>
      <c r="S95">
        <f>H189</f>
        <v>1229</v>
      </c>
      <c r="T95">
        <f>I188</f>
        <v>482</v>
      </c>
      <c r="U95">
        <f>H191</f>
        <v>1695</v>
      </c>
    </row>
    <row r="96" spans="1:21" ht="54">
      <c r="A96" s="179" t="s">
        <v>321</v>
      </c>
      <c r="B96" s="179">
        <v>12974</v>
      </c>
      <c r="C96" s="179">
        <v>6897</v>
      </c>
      <c r="D96" s="179">
        <v>6077</v>
      </c>
      <c r="E96" s="179">
        <v>11702</v>
      </c>
      <c r="F96" s="179">
        <v>6154</v>
      </c>
      <c r="G96" s="179">
        <v>5548</v>
      </c>
      <c r="H96" s="179">
        <v>1268</v>
      </c>
      <c r="I96" s="179">
        <v>740</v>
      </c>
      <c r="J96" s="179">
        <v>528</v>
      </c>
      <c r="L96" s="190"/>
      <c r="R96" s="354" t="s">
        <v>85</v>
      </c>
      <c r="S96" s="354"/>
      <c r="T96" s="354"/>
      <c r="U96" s="354"/>
    </row>
    <row r="97" spans="1:21" ht="54">
      <c r="A97" s="179" t="s">
        <v>322</v>
      </c>
      <c r="B97" s="179">
        <v>80061</v>
      </c>
      <c r="C97" s="179">
        <v>39829</v>
      </c>
      <c r="D97" s="179">
        <v>40232</v>
      </c>
      <c r="E97" s="179">
        <v>78383</v>
      </c>
      <c r="F97" s="179">
        <v>38844</v>
      </c>
      <c r="G97" s="179">
        <v>39539</v>
      </c>
      <c r="H97" s="179">
        <v>1671</v>
      </c>
      <c r="I97" s="179">
        <v>980</v>
      </c>
      <c r="J97" s="179">
        <v>691</v>
      </c>
      <c r="L97">
        <v>2015</v>
      </c>
      <c r="M97" s="188">
        <v>159</v>
      </c>
      <c r="N97" t="s">
        <v>95</v>
      </c>
      <c r="O97">
        <f t="shared" ref="O97:Q101" si="2">O91</f>
        <v>6297</v>
      </c>
      <c r="P97">
        <f t="shared" si="2"/>
        <v>3748</v>
      </c>
      <c r="Q97">
        <f t="shared" si="2"/>
        <v>2549</v>
      </c>
      <c r="R97" s="192">
        <f>R91/$O$91*100</f>
        <v>27.584564078132445</v>
      </c>
      <c r="S97" s="192">
        <f>S91/$O$91*100</f>
        <v>18.040336668254724</v>
      </c>
      <c r="T97" s="192">
        <f>T91/$O$91*100</f>
        <v>14.419564872161347</v>
      </c>
      <c r="U97" s="192">
        <f>U91/$O$91*100</f>
        <v>12.10100047641734</v>
      </c>
    </row>
    <row r="98" spans="1:21" ht="67.5">
      <c r="A98" s="179" t="s">
        <v>323</v>
      </c>
      <c r="B98" s="179">
        <v>17989</v>
      </c>
      <c r="C98" s="179">
        <v>9839</v>
      </c>
      <c r="D98" s="179">
        <v>8150</v>
      </c>
      <c r="E98" s="179">
        <v>16365</v>
      </c>
      <c r="F98" s="179">
        <v>8939</v>
      </c>
      <c r="G98" s="179">
        <v>7426</v>
      </c>
      <c r="H98" s="179">
        <v>1615</v>
      </c>
      <c r="I98" s="179">
        <v>894</v>
      </c>
      <c r="J98" s="179">
        <v>721</v>
      </c>
      <c r="L98" s="189">
        <v>2014</v>
      </c>
      <c r="M98" s="188">
        <v>159</v>
      </c>
      <c r="N98" t="s">
        <v>95</v>
      </c>
      <c r="O98">
        <f t="shared" si="2"/>
        <v>5660</v>
      </c>
      <c r="P98">
        <f t="shared" si="2"/>
        <v>3317</v>
      </c>
      <c r="Q98">
        <f t="shared" si="2"/>
        <v>2343</v>
      </c>
      <c r="R98" s="2">
        <f>R92/$O$92*100</f>
        <v>28.533568904593636</v>
      </c>
      <c r="S98" s="2">
        <f>S92/$O$92*100</f>
        <v>29.522968197879855</v>
      </c>
      <c r="T98" s="2">
        <f>T92/$O$92*100</f>
        <v>22.402826855123674</v>
      </c>
      <c r="U98" s="2">
        <f>U92/$O$92*100</f>
        <v>19.540636042402827</v>
      </c>
    </row>
    <row r="99" spans="1:21" ht="27">
      <c r="A99" s="179" t="s">
        <v>324</v>
      </c>
      <c r="B99" s="179">
        <v>11255</v>
      </c>
      <c r="C99" s="179">
        <v>6247</v>
      </c>
      <c r="D99" s="179">
        <v>5008</v>
      </c>
      <c r="E99" s="179">
        <v>10146</v>
      </c>
      <c r="F99" s="179">
        <v>5541</v>
      </c>
      <c r="G99" s="179">
        <v>4605</v>
      </c>
      <c r="H99" s="179">
        <v>1106</v>
      </c>
      <c r="I99" s="179">
        <v>703</v>
      </c>
      <c r="J99" s="179">
        <v>403</v>
      </c>
      <c r="L99">
        <v>2013</v>
      </c>
      <c r="M99" s="188">
        <v>159</v>
      </c>
      <c r="N99" t="s">
        <v>95</v>
      </c>
      <c r="O99">
        <f t="shared" si="2"/>
        <v>5218</v>
      </c>
      <c r="P99">
        <f t="shared" si="2"/>
        <v>3075</v>
      </c>
      <c r="Q99">
        <f t="shared" si="2"/>
        <v>2143</v>
      </c>
      <c r="R99" s="2">
        <f>R93/$O$93*100</f>
        <v>27.098505174396319</v>
      </c>
      <c r="S99" s="2">
        <f>S93/$O$93*100</f>
        <v>29.781525488692985</v>
      </c>
      <c r="T99" s="2">
        <f>T93/$O$93*100</f>
        <v>22.575699501724799</v>
      </c>
      <c r="U99" s="2">
        <f>U93/$O$93*100</f>
        <v>20.544269835185894</v>
      </c>
    </row>
    <row r="100" spans="1:21">
      <c r="L100">
        <v>2012</v>
      </c>
      <c r="M100" s="188">
        <v>159</v>
      </c>
      <c r="N100" t="s">
        <v>95</v>
      </c>
      <c r="O100">
        <f t="shared" si="2"/>
        <v>4893</v>
      </c>
      <c r="P100">
        <f t="shared" si="2"/>
        <v>2843</v>
      </c>
      <c r="Q100">
        <f t="shared" si="2"/>
        <v>2050</v>
      </c>
      <c r="R100" s="2">
        <f>R94/$O$94*100</f>
        <v>25.853259758839158</v>
      </c>
      <c r="S100" s="2">
        <f>S94/$O$94*100</f>
        <v>30.185979971387695</v>
      </c>
      <c r="T100" s="2">
        <f>T94/$O$94*100</f>
        <v>22.256284488044145</v>
      </c>
      <c r="U100" s="2">
        <f>U94/$O$94*100</f>
        <v>21.704475781729002</v>
      </c>
    </row>
    <row r="101" spans="1:21">
      <c r="A101" t="s">
        <v>326</v>
      </c>
      <c r="L101" s="190">
        <v>2011</v>
      </c>
      <c r="M101" s="188">
        <v>159</v>
      </c>
      <c r="N101" t="s">
        <v>95</v>
      </c>
      <c r="O101">
        <f t="shared" si="2"/>
        <v>4656</v>
      </c>
      <c r="P101">
        <f t="shared" si="2"/>
        <v>2780</v>
      </c>
      <c r="Q101">
        <f t="shared" si="2"/>
        <v>1876</v>
      </c>
      <c r="R101" s="2">
        <f>R95/$O$95*100</f>
        <v>20.36082474226804</v>
      </c>
      <c r="S101" s="2">
        <f>S95/$O$95*100</f>
        <v>26.396048109965637</v>
      </c>
      <c r="T101" s="2">
        <f>T95/$O$95*100</f>
        <v>10.352233676975946</v>
      </c>
      <c r="U101" s="2">
        <f>U95/$O$95*100</f>
        <v>36.404639175257728</v>
      </c>
    </row>
    <row r="104" spans="1:21">
      <c r="A104" s="187">
        <v>2013</v>
      </c>
    </row>
    <row r="105" spans="1:21">
      <c r="A105" s="171" t="s">
        <v>308</v>
      </c>
    </row>
    <row r="106" spans="1:21">
      <c r="A106" s="171" t="s">
        <v>309</v>
      </c>
    </row>
    <row r="108" spans="1:21">
      <c r="A108" s="172" t="s">
        <v>4</v>
      </c>
    </row>
    <row r="110" spans="1:21">
      <c r="A110" t="s">
        <v>310</v>
      </c>
    </row>
    <row r="111" spans="1:21">
      <c r="A111" t="s">
        <v>311</v>
      </c>
    </row>
    <row r="113" spans="1:10">
      <c r="A113" t="s">
        <v>312</v>
      </c>
    </row>
    <row r="114" spans="1:10">
      <c r="A114" t="s">
        <v>336</v>
      </c>
    </row>
    <row r="116" spans="1:10">
      <c r="A116" t="s">
        <v>314</v>
      </c>
    </row>
    <row r="118" spans="1:10" ht="27">
      <c r="A118" s="173" t="s">
        <v>130</v>
      </c>
      <c r="B118" s="342" t="s">
        <v>11</v>
      </c>
      <c r="C118" s="343"/>
      <c r="D118" s="343"/>
      <c r="E118" s="343"/>
      <c r="F118" s="343"/>
      <c r="G118" s="343"/>
      <c r="H118" s="343"/>
      <c r="I118" s="343"/>
      <c r="J118" s="344"/>
    </row>
    <row r="119" spans="1:10" ht="27">
      <c r="A119" s="174" t="s">
        <v>315</v>
      </c>
      <c r="B119" s="345"/>
      <c r="C119" s="346"/>
      <c r="D119" s="346"/>
      <c r="E119" s="346"/>
      <c r="F119" s="346"/>
      <c r="G119" s="346"/>
      <c r="H119" s="346"/>
      <c r="I119" s="346"/>
      <c r="J119" s="347"/>
    </row>
    <row r="120" spans="1:10" ht="27">
      <c r="A120" s="174" t="s">
        <v>316</v>
      </c>
      <c r="B120" s="348"/>
      <c r="C120" s="349"/>
      <c r="D120" s="349"/>
      <c r="E120" s="349"/>
      <c r="F120" s="349"/>
      <c r="G120" s="349"/>
      <c r="H120" s="349"/>
      <c r="I120" s="349"/>
      <c r="J120" s="350"/>
    </row>
    <row r="121" spans="1:10" ht="27">
      <c r="A121" s="174" t="s">
        <v>317</v>
      </c>
      <c r="B121" s="351" t="s">
        <v>12</v>
      </c>
      <c r="C121" s="352"/>
      <c r="D121" s="353"/>
      <c r="E121" s="351" t="s">
        <v>13</v>
      </c>
      <c r="F121" s="352"/>
      <c r="G121" s="353"/>
      <c r="H121" s="351" t="s">
        <v>14</v>
      </c>
      <c r="I121" s="352"/>
      <c r="J121" s="353"/>
    </row>
    <row r="122" spans="1:10">
      <c r="A122" s="174" t="s">
        <v>318</v>
      </c>
      <c r="B122" s="178" t="s">
        <v>15</v>
      </c>
      <c r="C122" s="178" t="s">
        <v>16</v>
      </c>
      <c r="D122" s="178" t="s">
        <v>17</v>
      </c>
      <c r="E122" s="178" t="s">
        <v>15</v>
      </c>
      <c r="F122" s="178" t="s">
        <v>16</v>
      </c>
      <c r="G122" s="178" t="s">
        <v>17</v>
      </c>
      <c r="H122" s="178" t="s">
        <v>15</v>
      </c>
      <c r="I122" s="178" t="s">
        <v>16</v>
      </c>
      <c r="J122" s="178" t="s">
        <v>17</v>
      </c>
    </row>
    <row r="123" spans="1:10" ht="27">
      <c r="A123" s="175" t="s">
        <v>319</v>
      </c>
      <c r="B123" s="178">
        <v>1</v>
      </c>
      <c r="C123" s="178">
        <v>2</v>
      </c>
      <c r="D123" s="178">
        <v>3</v>
      </c>
      <c r="E123" s="178">
        <v>4</v>
      </c>
      <c r="F123" s="178">
        <v>5</v>
      </c>
      <c r="G123" s="178">
        <v>6</v>
      </c>
      <c r="H123" s="178">
        <v>7</v>
      </c>
      <c r="I123" s="178">
        <v>8</v>
      </c>
      <c r="J123" s="178">
        <v>9</v>
      </c>
    </row>
    <row r="124" spans="1:10">
      <c r="A124" s="176"/>
      <c r="J124" s="177"/>
    </row>
    <row r="125" spans="1:10" ht="13.5" customHeight="1">
      <c r="A125" s="339" t="s">
        <v>334</v>
      </c>
      <c r="B125" s="340"/>
      <c r="C125" s="340"/>
      <c r="D125" s="340"/>
      <c r="E125" s="340"/>
      <c r="F125" s="340"/>
      <c r="G125" s="340"/>
      <c r="H125" s="340"/>
      <c r="I125" s="340"/>
      <c r="J125" s="341"/>
    </row>
    <row r="126" spans="1:10">
      <c r="A126" s="179" t="s">
        <v>28</v>
      </c>
      <c r="B126" s="179">
        <v>120756</v>
      </c>
      <c r="C126" s="179">
        <v>62382</v>
      </c>
      <c r="D126" s="179">
        <v>58374</v>
      </c>
      <c r="E126" s="179">
        <v>115496</v>
      </c>
      <c r="F126" s="179">
        <v>59281</v>
      </c>
      <c r="G126" s="179">
        <v>56215</v>
      </c>
      <c r="H126" s="179">
        <v>5218</v>
      </c>
      <c r="I126" s="179">
        <v>3075</v>
      </c>
      <c r="J126" s="179">
        <v>2143</v>
      </c>
    </row>
    <row r="127" spans="1:10" ht="54">
      <c r="A127" s="179" t="s">
        <v>321</v>
      </c>
      <c r="B127" s="179">
        <v>12943</v>
      </c>
      <c r="C127" s="179">
        <v>6857</v>
      </c>
      <c r="D127" s="179">
        <v>6086</v>
      </c>
      <c r="E127" s="179">
        <v>11759</v>
      </c>
      <c r="F127" s="179">
        <v>6150</v>
      </c>
      <c r="G127" s="179">
        <v>5609</v>
      </c>
      <c r="H127" s="179">
        <v>1178</v>
      </c>
      <c r="I127" s="179">
        <v>702</v>
      </c>
      <c r="J127" s="179">
        <v>476</v>
      </c>
    </row>
    <row r="128" spans="1:10" ht="54">
      <c r="A128" s="179" t="s">
        <v>322</v>
      </c>
      <c r="B128" s="179">
        <v>78734</v>
      </c>
      <c r="C128" s="179">
        <v>39502</v>
      </c>
      <c r="D128" s="179">
        <v>39232</v>
      </c>
      <c r="E128" s="179">
        <v>77168</v>
      </c>
      <c r="F128" s="179">
        <v>38591</v>
      </c>
      <c r="G128" s="179">
        <v>38577</v>
      </c>
      <c r="H128" s="179">
        <v>1554</v>
      </c>
      <c r="I128" s="179">
        <v>904</v>
      </c>
      <c r="J128" s="179">
        <v>650</v>
      </c>
    </row>
    <row r="129" spans="1:10" ht="67.5">
      <c r="A129" s="179" t="s">
        <v>323</v>
      </c>
      <c r="B129" s="179">
        <v>16863</v>
      </c>
      <c r="C129" s="179">
        <v>9297</v>
      </c>
      <c r="D129" s="179">
        <v>7566</v>
      </c>
      <c r="E129" s="179">
        <v>15430</v>
      </c>
      <c r="F129" s="179">
        <v>8497</v>
      </c>
      <c r="G129" s="179">
        <v>6933</v>
      </c>
      <c r="H129" s="179">
        <v>1414</v>
      </c>
      <c r="I129" s="179">
        <v>791</v>
      </c>
      <c r="J129" s="179">
        <v>623</v>
      </c>
    </row>
    <row r="130" spans="1:10" ht="27">
      <c r="A130" s="179" t="s">
        <v>324</v>
      </c>
      <c r="B130" s="179">
        <v>12216</v>
      </c>
      <c r="C130" s="179">
        <v>6726</v>
      </c>
      <c r="D130" s="179">
        <v>5490</v>
      </c>
      <c r="E130" s="179">
        <v>11139</v>
      </c>
      <c r="F130" s="179">
        <v>6043</v>
      </c>
      <c r="G130" s="179">
        <v>5096</v>
      </c>
      <c r="H130" s="179">
        <v>1072</v>
      </c>
      <c r="I130" s="179">
        <v>678</v>
      </c>
      <c r="J130" s="179">
        <v>394</v>
      </c>
    </row>
    <row r="132" spans="1:10">
      <c r="A132" t="s">
        <v>326</v>
      </c>
    </row>
    <row r="134" spans="1:10">
      <c r="A134" s="187">
        <v>2012</v>
      </c>
    </row>
    <row r="135" spans="1:10">
      <c r="A135" s="171" t="s">
        <v>337</v>
      </c>
    </row>
    <row r="136" spans="1:10">
      <c r="A136" s="171" t="s">
        <v>309</v>
      </c>
    </row>
    <row r="138" spans="1:10">
      <c r="A138" s="172" t="s">
        <v>4</v>
      </c>
    </row>
    <row r="140" spans="1:10">
      <c r="A140" t="s">
        <v>310</v>
      </c>
    </row>
    <row r="141" spans="1:10">
      <c r="A141" t="s">
        <v>311</v>
      </c>
    </row>
    <row r="143" spans="1:10">
      <c r="A143" t="s">
        <v>312</v>
      </c>
    </row>
    <row r="144" spans="1:10">
      <c r="A144" t="s">
        <v>338</v>
      </c>
    </row>
    <row r="146" spans="1:10">
      <c r="A146" t="s">
        <v>314</v>
      </c>
    </row>
    <row r="148" spans="1:10" ht="27">
      <c r="A148" s="173" t="s">
        <v>130</v>
      </c>
      <c r="B148" s="342" t="s">
        <v>11</v>
      </c>
      <c r="C148" s="343"/>
      <c r="D148" s="343"/>
      <c r="E148" s="343"/>
      <c r="F148" s="343"/>
      <c r="G148" s="343"/>
      <c r="H148" s="343"/>
      <c r="I148" s="343"/>
      <c r="J148" s="344"/>
    </row>
    <row r="149" spans="1:10" ht="27">
      <c r="A149" s="174" t="s">
        <v>315</v>
      </c>
      <c r="B149" s="345"/>
      <c r="C149" s="346"/>
      <c r="D149" s="346"/>
      <c r="E149" s="346"/>
      <c r="F149" s="346"/>
      <c r="G149" s="346"/>
      <c r="H149" s="346"/>
      <c r="I149" s="346"/>
      <c r="J149" s="347"/>
    </row>
    <row r="150" spans="1:10" ht="27">
      <c r="A150" s="174" t="s">
        <v>316</v>
      </c>
      <c r="B150" s="348"/>
      <c r="C150" s="349"/>
      <c r="D150" s="349"/>
      <c r="E150" s="349"/>
      <c r="F150" s="349"/>
      <c r="G150" s="349"/>
      <c r="H150" s="349"/>
      <c r="I150" s="349"/>
      <c r="J150" s="350"/>
    </row>
    <row r="151" spans="1:10" ht="27">
      <c r="A151" s="174" t="s">
        <v>317</v>
      </c>
      <c r="B151" s="351" t="s">
        <v>12</v>
      </c>
      <c r="C151" s="352"/>
      <c r="D151" s="353"/>
      <c r="E151" s="351" t="s">
        <v>13</v>
      </c>
      <c r="F151" s="352"/>
      <c r="G151" s="353"/>
      <c r="H151" s="351" t="s">
        <v>14</v>
      </c>
      <c r="I151" s="352"/>
      <c r="J151" s="353"/>
    </row>
    <row r="152" spans="1:10">
      <c r="A152" s="174" t="s">
        <v>318</v>
      </c>
      <c r="B152" s="178" t="s">
        <v>15</v>
      </c>
      <c r="C152" s="178" t="s">
        <v>16</v>
      </c>
      <c r="D152" s="178" t="s">
        <v>17</v>
      </c>
      <c r="E152" s="178" t="s">
        <v>15</v>
      </c>
      <c r="F152" s="178" t="s">
        <v>16</v>
      </c>
      <c r="G152" s="178" t="s">
        <v>17</v>
      </c>
      <c r="H152" s="178" t="s">
        <v>15</v>
      </c>
      <c r="I152" s="178" t="s">
        <v>16</v>
      </c>
      <c r="J152" s="178" t="s">
        <v>17</v>
      </c>
    </row>
    <row r="153" spans="1:10" ht="27">
      <c r="A153" s="175" t="s">
        <v>319</v>
      </c>
      <c r="B153" s="178">
        <v>1</v>
      </c>
      <c r="C153" s="178">
        <v>2</v>
      </c>
      <c r="D153" s="178">
        <v>3</v>
      </c>
      <c r="E153" s="178">
        <v>4</v>
      </c>
      <c r="F153" s="178">
        <v>5</v>
      </c>
      <c r="G153" s="178">
        <v>6</v>
      </c>
      <c r="H153" s="178">
        <v>7</v>
      </c>
      <c r="I153" s="178">
        <v>8</v>
      </c>
      <c r="J153" s="178">
        <v>9</v>
      </c>
    </row>
    <row r="154" spans="1:10">
      <c r="A154" s="176"/>
      <c r="J154" s="177"/>
    </row>
    <row r="155" spans="1:10" ht="13.5" customHeight="1">
      <c r="A155" s="339" t="s">
        <v>334</v>
      </c>
      <c r="B155" s="340"/>
      <c r="C155" s="340"/>
      <c r="D155" s="340"/>
      <c r="E155" s="340"/>
      <c r="F155" s="340"/>
      <c r="G155" s="340"/>
      <c r="H155" s="340"/>
      <c r="I155" s="340"/>
      <c r="J155" s="341"/>
    </row>
    <row r="156" spans="1:10">
      <c r="A156" s="179" t="s">
        <v>28</v>
      </c>
      <c r="B156" s="179">
        <v>120261</v>
      </c>
      <c r="C156" s="179">
        <v>62381</v>
      </c>
      <c r="D156" s="179">
        <v>57880</v>
      </c>
      <c r="E156" s="179">
        <v>115341</v>
      </c>
      <c r="F156" s="179">
        <v>59522</v>
      </c>
      <c r="G156" s="179">
        <v>55819</v>
      </c>
      <c r="H156" s="179">
        <v>4893</v>
      </c>
      <c r="I156" s="179">
        <v>2843</v>
      </c>
      <c r="J156" s="179">
        <v>2050</v>
      </c>
    </row>
    <row r="157" spans="1:10" ht="54">
      <c r="A157" s="179" t="s">
        <v>321</v>
      </c>
      <c r="B157" s="179">
        <v>13187</v>
      </c>
      <c r="C157" s="179">
        <v>7006</v>
      </c>
      <c r="D157" s="179">
        <v>6181</v>
      </c>
      <c r="E157" s="179">
        <v>12092</v>
      </c>
      <c r="F157" s="179">
        <v>6347</v>
      </c>
      <c r="G157" s="179">
        <v>5745</v>
      </c>
      <c r="H157" s="179">
        <v>1089</v>
      </c>
      <c r="I157" s="179">
        <v>654</v>
      </c>
      <c r="J157" s="179">
        <v>435</v>
      </c>
    </row>
    <row r="158" spans="1:10" ht="54">
      <c r="A158" s="179" t="s">
        <v>322</v>
      </c>
      <c r="B158" s="179">
        <v>77060</v>
      </c>
      <c r="C158" s="179">
        <v>38996</v>
      </c>
      <c r="D158" s="179">
        <v>38064</v>
      </c>
      <c r="E158" s="179">
        <v>75573</v>
      </c>
      <c r="F158" s="179">
        <v>38127</v>
      </c>
      <c r="G158" s="179">
        <v>37446</v>
      </c>
      <c r="H158" s="179">
        <v>1477</v>
      </c>
      <c r="I158" s="179">
        <v>863</v>
      </c>
      <c r="J158" s="179">
        <v>614</v>
      </c>
    </row>
    <row r="159" spans="1:10" ht="67.5">
      <c r="A159" s="179" t="s">
        <v>323</v>
      </c>
      <c r="B159" s="179">
        <v>15977</v>
      </c>
      <c r="C159" s="179">
        <v>8937</v>
      </c>
      <c r="D159" s="179">
        <v>7040</v>
      </c>
      <c r="E159" s="179">
        <v>14709</v>
      </c>
      <c r="F159" s="179">
        <v>8250</v>
      </c>
      <c r="G159" s="179">
        <v>6459</v>
      </c>
      <c r="H159" s="179">
        <v>1265</v>
      </c>
      <c r="I159" s="179">
        <v>687</v>
      </c>
      <c r="J159" s="179">
        <v>578</v>
      </c>
    </row>
    <row r="160" spans="1:10" ht="27">
      <c r="A160" s="179" t="s">
        <v>324</v>
      </c>
      <c r="B160" s="179">
        <v>14037</v>
      </c>
      <c r="C160" s="179">
        <v>7442</v>
      </c>
      <c r="D160" s="179">
        <v>6595</v>
      </c>
      <c r="E160" s="179">
        <v>12967</v>
      </c>
      <c r="F160" s="179">
        <v>6798</v>
      </c>
      <c r="G160" s="179">
        <v>6169</v>
      </c>
      <c r="H160" s="179">
        <v>1062</v>
      </c>
      <c r="I160" s="179">
        <v>639</v>
      </c>
      <c r="J160" s="179">
        <v>423</v>
      </c>
    </row>
    <row r="162" spans="1:1">
      <c r="A162" t="s">
        <v>326</v>
      </c>
    </row>
    <row r="164" spans="1:1">
      <c r="A164" s="187">
        <v>2011</v>
      </c>
    </row>
    <row r="166" spans="1:1">
      <c r="A166" s="171" t="s">
        <v>337</v>
      </c>
    </row>
    <row r="167" spans="1:1">
      <c r="A167" s="171" t="s">
        <v>309</v>
      </c>
    </row>
    <row r="169" spans="1:1">
      <c r="A169" s="172" t="s">
        <v>4</v>
      </c>
    </row>
    <row r="171" spans="1:1">
      <c r="A171" t="s">
        <v>310</v>
      </c>
    </row>
    <row r="172" spans="1:1">
      <c r="A172" t="s">
        <v>311</v>
      </c>
    </row>
    <row r="174" spans="1:1">
      <c r="A174" t="s">
        <v>312</v>
      </c>
    </row>
    <row r="175" spans="1:1">
      <c r="A175" t="s">
        <v>339</v>
      </c>
    </row>
    <row r="177" spans="1:10">
      <c r="A177" t="s">
        <v>314</v>
      </c>
    </row>
    <row r="179" spans="1:10" ht="27">
      <c r="A179" s="173" t="s">
        <v>130</v>
      </c>
      <c r="B179" s="342" t="s">
        <v>11</v>
      </c>
      <c r="C179" s="343"/>
      <c r="D179" s="343"/>
      <c r="E179" s="343"/>
      <c r="F179" s="343"/>
      <c r="G179" s="343"/>
      <c r="H179" s="343"/>
      <c r="I179" s="343"/>
      <c r="J179" s="344"/>
    </row>
    <row r="180" spans="1:10" ht="27">
      <c r="A180" s="174" t="s">
        <v>315</v>
      </c>
      <c r="B180" s="345"/>
      <c r="C180" s="346"/>
      <c r="D180" s="346"/>
      <c r="E180" s="346"/>
      <c r="F180" s="346"/>
      <c r="G180" s="346"/>
      <c r="H180" s="346"/>
      <c r="I180" s="346"/>
      <c r="J180" s="347"/>
    </row>
    <row r="181" spans="1:10" ht="27">
      <c r="A181" s="174" t="s">
        <v>316</v>
      </c>
      <c r="B181" s="348"/>
      <c r="C181" s="349"/>
      <c r="D181" s="349"/>
      <c r="E181" s="349"/>
      <c r="F181" s="349"/>
      <c r="G181" s="349"/>
      <c r="H181" s="349"/>
      <c r="I181" s="349"/>
      <c r="J181" s="350"/>
    </row>
    <row r="182" spans="1:10" ht="27">
      <c r="A182" s="174" t="s">
        <v>317</v>
      </c>
      <c r="B182" s="351" t="s">
        <v>12</v>
      </c>
      <c r="C182" s="352"/>
      <c r="D182" s="353"/>
      <c r="E182" s="351" t="s">
        <v>13</v>
      </c>
      <c r="F182" s="352"/>
      <c r="G182" s="353"/>
      <c r="H182" s="351" t="s">
        <v>14</v>
      </c>
      <c r="I182" s="352"/>
      <c r="J182" s="353"/>
    </row>
    <row r="183" spans="1:10">
      <c r="A183" s="174" t="s">
        <v>318</v>
      </c>
      <c r="B183" s="178" t="s">
        <v>15</v>
      </c>
      <c r="C183" s="178" t="s">
        <v>16</v>
      </c>
      <c r="D183" s="178" t="s">
        <v>17</v>
      </c>
      <c r="E183" s="178" t="s">
        <v>15</v>
      </c>
      <c r="F183" s="178" t="s">
        <v>16</v>
      </c>
      <c r="G183" s="178" t="s">
        <v>17</v>
      </c>
      <c r="H183" s="178" t="s">
        <v>15</v>
      </c>
      <c r="I183" s="178" t="s">
        <v>16</v>
      </c>
      <c r="J183" s="178" t="s">
        <v>17</v>
      </c>
    </row>
    <row r="184" spans="1:10" ht="27">
      <c r="A184" s="175" t="s">
        <v>319</v>
      </c>
      <c r="B184" s="178">
        <v>1</v>
      </c>
      <c r="C184" s="178">
        <v>2</v>
      </c>
      <c r="D184" s="178">
        <v>3</v>
      </c>
      <c r="E184" s="178">
        <v>4</v>
      </c>
      <c r="F184" s="178">
        <v>5</v>
      </c>
      <c r="G184" s="178">
        <v>6</v>
      </c>
      <c r="H184" s="178">
        <v>7</v>
      </c>
      <c r="I184" s="178">
        <v>8</v>
      </c>
      <c r="J184" s="178">
        <v>9</v>
      </c>
    </row>
    <row r="185" spans="1:10">
      <c r="A185" s="176"/>
      <c r="J185" s="177"/>
    </row>
    <row r="186" spans="1:10" ht="13.5" customHeight="1">
      <c r="A186" s="339" t="s">
        <v>334</v>
      </c>
      <c r="B186" s="340"/>
      <c r="C186" s="340"/>
      <c r="D186" s="340"/>
      <c r="E186" s="340"/>
      <c r="F186" s="340"/>
      <c r="G186" s="340"/>
      <c r="H186" s="340"/>
      <c r="I186" s="340"/>
      <c r="J186" s="341"/>
    </row>
    <row r="187" spans="1:10">
      <c r="A187" s="179" t="s">
        <v>28</v>
      </c>
      <c r="B187" s="179">
        <v>118574</v>
      </c>
      <c r="C187" s="179">
        <v>61940</v>
      </c>
      <c r="D187" s="179">
        <v>56634</v>
      </c>
      <c r="E187" s="179">
        <v>113889</v>
      </c>
      <c r="F187" s="179">
        <v>59137</v>
      </c>
      <c r="G187" s="179">
        <v>54752</v>
      </c>
      <c r="H187" s="179">
        <v>4656</v>
      </c>
      <c r="I187" s="179">
        <v>2780</v>
      </c>
      <c r="J187" s="179">
        <v>1876</v>
      </c>
    </row>
    <row r="188" spans="1:10" ht="54">
      <c r="A188" s="179" t="s">
        <v>321</v>
      </c>
      <c r="B188" s="179">
        <v>8210</v>
      </c>
      <c r="C188" s="179">
        <v>4201</v>
      </c>
      <c r="D188" s="179">
        <v>4009</v>
      </c>
      <c r="E188" s="179">
        <v>7422</v>
      </c>
      <c r="F188" s="179">
        <v>3715</v>
      </c>
      <c r="G188" s="179">
        <v>3707</v>
      </c>
      <c r="H188" s="179">
        <v>784</v>
      </c>
      <c r="I188" s="179">
        <v>482</v>
      </c>
      <c r="J188" s="179">
        <v>302</v>
      </c>
    </row>
    <row r="189" spans="1:10" ht="54">
      <c r="A189" s="179" t="s">
        <v>322</v>
      </c>
      <c r="B189" s="179">
        <v>70718</v>
      </c>
      <c r="C189" s="179">
        <v>36139</v>
      </c>
      <c r="D189" s="179">
        <v>34579</v>
      </c>
      <c r="E189" s="179">
        <v>69480</v>
      </c>
      <c r="F189" s="179">
        <v>35425</v>
      </c>
      <c r="G189" s="179">
        <v>34055</v>
      </c>
      <c r="H189" s="179">
        <v>1229</v>
      </c>
      <c r="I189" s="179">
        <v>707</v>
      </c>
      <c r="J189" s="179">
        <v>522</v>
      </c>
    </row>
    <row r="190" spans="1:10" ht="67.5">
      <c r="A190" s="179" t="s">
        <v>323</v>
      </c>
      <c r="B190" s="179">
        <v>13568</v>
      </c>
      <c r="C190" s="179">
        <v>7785</v>
      </c>
      <c r="D190" s="179">
        <v>5783</v>
      </c>
      <c r="E190" s="179">
        <v>12619</v>
      </c>
      <c r="F190" s="179">
        <v>7246</v>
      </c>
      <c r="G190" s="179">
        <v>5373</v>
      </c>
      <c r="H190" s="179">
        <v>948</v>
      </c>
      <c r="I190" s="179">
        <v>538</v>
      </c>
      <c r="J190" s="179">
        <v>410</v>
      </c>
    </row>
    <row r="191" spans="1:10" ht="27">
      <c r="A191" s="179" t="s">
        <v>324</v>
      </c>
      <c r="B191" s="179">
        <v>26078</v>
      </c>
      <c r="C191" s="179">
        <v>13815</v>
      </c>
      <c r="D191" s="179">
        <v>12263</v>
      </c>
      <c r="E191" s="179">
        <v>24368</v>
      </c>
      <c r="F191" s="179">
        <v>12751</v>
      </c>
      <c r="G191" s="179">
        <v>11617</v>
      </c>
      <c r="H191" s="179">
        <v>1695</v>
      </c>
      <c r="I191" s="179">
        <v>1053</v>
      </c>
      <c r="J191" s="179">
        <v>642</v>
      </c>
    </row>
    <row r="193" spans="1:59">
      <c r="A193" t="s">
        <v>326</v>
      </c>
    </row>
    <row r="197" spans="1:59" ht="8.25" customHeight="1">
      <c r="A197" s="298" t="s">
        <v>220</v>
      </c>
      <c r="B197" s="285" t="s">
        <v>86</v>
      </c>
      <c r="C197" s="278">
        <v>2018</v>
      </c>
      <c r="D197" s="279"/>
      <c r="E197" s="279"/>
      <c r="F197" s="279"/>
      <c r="G197" s="279"/>
      <c r="H197" s="279"/>
      <c r="I197" s="280"/>
      <c r="J197" s="278">
        <v>2017</v>
      </c>
      <c r="K197" s="279"/>
      <c r="L197" s="279"/>
      <c r="M197" s="279"/>
      <c r="N197" s="279"/>
      <c r="O197" s="279"/>
      <c r="P197" s="280"/>
      <c r="Q197" s="278">
        <v>2016</v>
      </c>
      <c r="R197" s="279"/>
      <c r="S197" s="279"/>
      <c r="T197" s="279"/>
      <c r="U197" s="279"/>
      <c r="V197" s="279"/>
      <c r="W197" s="280"/>
      <c r="X197" s="278">
        <v>2015</v>
      </c>
      <c r="Y197" s="279"/>
      <c r="Z197" s="279"/>
      <c r="AA197" s="279"/>
      <c r="AB197" s="279"/>
      <c r="AC197" s="279"/>
      <c r="AD197" s="280"/>
      <c r="AE197" s="278">
        <v>2014</v>
      </c>
      <c r="AF197" s="279"/>
      <c r="AG197" s="279"/>
      <c r="AH197" s="279"/>
      <c r="AI197" s="279"/>
      <c r="AJ197" s="279"/>
      <c r="AK197" s="280"/>
      <c r="AL197" s="278">
        <v>2013</v>
      </c>
      <c r="AM197" s="279"/>
      <c r="AN197" s="279"/>
      <c r="AO197" s="279"/>
      <c r="AP197" s="279"/>
      <c r="AQ197" s="279"/>
      <c r="AR197" s="280"/>
      <c r="AS197" s="278">
        <v>2011</v>
      </c>
      <c r="AT197" s="279"/>
      <c r="AU197" s="279"/>
      <c r="AV197" s="279"/>
      <c r="AW197" s="279"/>
      <c r="AX197" s="279"/>
      <c r="AY197" s="280"/>
      <c r="AZ197" s="296">
        <v>2010</v>
      </c>
      <c r="BA197" s="296"/>
      <c r="BB197" s="296"/>
      <c r="BC197" s="296"/>
      <c r="BD197" s="296"/>
      <c r="BE197" s="296"/>
      <c r="BF197" s="278"/>
      <c r="BG197" s="63"/>
    </row>
    <row r="198" spans="1:59" ht="8.25" customHeight="1">
      <c r="A198" s="299"/>
      <c r="B198" s="286"/>
      <c r="C198" s="284" t="s">
        <v>160</v>
      </c>
      <c r="D198" s="284"/>
      <c r="E198" s="284"/>
      <c r="F198" s="281" t="s">
        <v>223</v>
      </c>
      <c r="G198" s="282"/>
      <c r="H198" s="282"/>
      <c r="I198" s="283"/>
      <c r="J198" s="284" t="s">
        <v>160</v>
      </c>
      <c r="K198" s="284"/>
      <c r="L198" s="284"/>
      <c r="M198" s="281" t="s">
        <v>223</v>
      </c>
      <c r="N198" s="282"/>
      <c r="O198" s="282"/>
      <c r="P198" s="283"/>
      <c r="Q198" s="284" t="s">
        <v>160</v>
      </c>
      <c r="R198" s="284"/>
      <c r="S198" s="284"/>
      <c r="T198" s="281" t="s">
        <v>223</v>
      </c>
      <c r="U198" s="282"/>
      <c r="V198" s="282"/>
      <c r="W198" s="283"/>
      <c r="X198" s="284" t="s">
        <v>160</v>
      </c>
      <c r="Y198" s="284"/>
      <c r="Z198" s="284"/>
      <c r="AA198" s="281" t="s">
        <v>223</v>
      </c>
      <c r="AB198" s="282"/>
      <c r="AC198" s="282"/>
      <c r="AD198" s="283"/>
      <c r="AE198" s="284" t="s">
        <v>160</v>
      </c>
      <c r="AF198" s="284"/>
      <c r="AG198" s="284"/>
      <c r="AH198" s="281" t="s">
        <v>223</v>
      </c>
      <c r="AI198" s="282"/>
      <c r="AJ198" s="282"/>
      <c r="AK198" s="283"/>
      <c r="AL198" s="284" t="s">
        <v>160</v>
      </c>
      <c r="AM198" s="284"/>
      <c r="AN198" s="284"/>
      <c r="AO198" s="281" t="s">
        <v>223</v>
      </c>
      <c r="AP198" s="282"/>
      <c r="AQ198" s="282"/>
      <c r="AR198" s="283"/>
      <c r="AS198" s="284" t="s">
        <v>160</v>
      </c>
      <c r="AT198" s="284"/>
      <c r="AU198" s="284"/>
      <c r="AV198" s="281" t="s">
        <v>223</v>
      </c>
      <c r="AW198" s="282"/>
      <c r="AX198" s="282"/>
      <c r="AY198" s="283"/>
      <c r="AZ198" s="295" t="s">
        <v>160</v>
      </c>
      <c r="BA198" s="295"/>
      <c r="BB198" s="295"/>
      <c r="BC198" s="281" t="s">
        <v>223</v>
      </c>
      <c r="BD198" s="282"/>
      <c r="BE198" s="282"/>
      <c r="BF198" s="283"/>
      <c r="BG198" s="62"/>
    </row>
    <row r="199" spans="1:59" ht="8.25" customHeight="1">
      <c r="A199" s="299"/>
      <c r="B199" s="286"/>
      <c r="C199" s="128" t="s">
        <v>28</v>
      </c>
      <c r="D199" s="128" t="s">
        <v>89</v>
      </c>
      <c r="E199" s="128" t="s">
        <v>90</v>
      </c>
      <c r="F199" s="128" t="s">
        <v>91</v>
      </c>
      <c r="G199" s="128" t="s">
        <v>92</v>
      </c>
      <c r="H199" s="128" t="s">
        <v>93</v>
      </c>
      <c r="I199" s="128" t="s">
        <v>131</v>
      </c>
      <c r="J199" s="128" t="s">
        <v>28</v>
      </c>
      <c r="K199" s="128" t="s">
        <v>89</v>
      </c>
      <c r="L199" s="128" t="s">
        <v>90</v>
      </c>
      <c r="M199" s="128" t="s">
        <v>91</v>
      </c>
      <c r="N199" s="128" t="s">
        <v>92</v>
      </c>
      <c r="O199" s="128" t="s">
        <v>93</v>
      </c>
      <c r="P199" s="128" t="s">
        <v>131</v>
      </c>
      <c r="Q199" s="128" t="s">
        <v>28</v>
      </c>
      <c r="R199" s="128" t="s">
        <v>89</v>
      </c>
      <c r="S199" s="128" t="s">
        <v>90</v>
      </c>
      <c r="T199" s="128" t="s">
        <v>91</v>
      </c>
      <c r="U199" s="128" t="s">
        <v>92</v>
      </c>
      <c r="V199" s="128" t="s">
        <v>93</v>
      </c>
      <c r="W199" s="128" t="s">
        <v>131</v>
      </c>
      <c r="X199" s="128" t="s">
        <v>28</v>
      </c>
      <c r="Y199" s="128" t="s">
        <v>89</v>
      </c>
      <c r="Z199" s="128" t="s">
        <v>90</v>
      </c>
      <c r="AA199" s="128" t="s">
        <v>91</v>
      </c>
      <c r="AB199" s="128" t="s">
        <v>92</v>
      </c>
      <c r="AC199" s="128" t="s">
        <v>93</v>
      </c>
      <c r="AD199" s="128" t="s">
        <v>131</v>
      </c>
      <c r="AE199" s="128" t="s">
        <v>28</v>
      </c>
      <c r="AF199" s="128" t="s">
        <v>89</v>
      </c>
      <c r="AG199" s="128" t="s">
        <v>90</v>
      </c>
      <c r="AH199" s="128" t="s">
        <v>91</v>
      </c>
      <c r="AI199" s="128" t="s">
        <v>92</v>
      </c>
      <c r="AJ199" s="128" t="s">
        <v>93</v>
      </c>
      <c r="AK199" s="128" t="s">
        <v>131</v>
      </c>
      <c r="AL199" s="128" t="s">
        <v>28</v>
      </c>
      <c r="AM199" s="128" t="s">
        <v>89</v>
      </c>
      <c r="AN199" s="128" t="s">
        <v>90</v>
      </c>
      <c r="AO199" s="128" t="s">
        <v>91</v>
      </c>
      <c r="AP199" s="128" t="s">
        <v>92</v>
      </c>
      <c r="AQ199" s="128" t="s">
        <v>93</v>
      </c>
      <c r="AR199" s="128" t="s">
        <v>131</v>
      </c>
      <c r="AS199" s="128" t="s">
        <v>28</v>
      </c>
      <c r="AT199" s="128" t="s">
        <v>89</v>
      </c>
      <c r="AU199" s="128" t="s">
        <v>90</v>
      </c>
      <c r="AV199" s="128" t="s">
        <v>91</v>
      </c>
      <c r="AW199" s="128" t="s">
        <v>92</v>
      </c>
      <c r="AX199" s="128" t="s">
        <v>93</v>
      </c>
      <c r="AY199" s="128" t="s">
        <v>131</v>
      </c>
      <c r="AZ199" s="128" t="s">
        <v>28</v>
      </c>
      <c r="BA199" s="128" t="s">
        <v>89</v>
      </c>
      <c r="BB199" s="128" t="s">
        <v>90</v>
      </c>
      <c r="BC199" s="128" t="s">
        <v>91</v>
      </c>
      <c r="BD199" s="128" t="s">
        <v>92</v>
      </c>
      <c r="BE199" s="126" t="s">
        <v>93</v>
      </c>
      <c r="BF199" s="126" t="s">
        <v>131</v>
      </c>
      <c r="BG199" s="62"/>
    </row>
    <row r="200" spans="1:59" ht="8.25" customHeight="1">
      <c r="A200" s="300"/>
      <c r="B200" s="287"/>
      <c r="C200" s="284" t="s">
        <v>84</v>
      </c>
      <c r="D200" s="284"/>
      <c r="E200" s="284"/>
      <c r="F200" s="284" t="s">
        <v>85</v>
      </c>
      <c r="G200" s="284"/>
      <c r="H200" s="281"/>
      <c r="I200" s="129"/>
      <c r="J200" s="284" t="s">
        <v>84</v>
      </c>
      <c r="K200" s="284"/>
      <c r="L200" s="284"/>
      <c r="M200" s="284" t="s">
        <v>85</v>
      </c>
      <c r="N200" s="284"/>
      <c r="O200" s="281"/>
      <c r="P200" s="129"/>
      <c r="Q200" s="284" t="s">
        <v>84</v>
      </c>
      <c r="R200" s="284"/>
      <c r="S200" s="284"/>
      <c r="T200" s="284" t="s">
        <v>85</v>
      </c>
      <c r="U200" s="284"/>
      <c r="V200" s="281"/>
      <c r="W200" s="129"/>
      <c r="X200" s="284" t="s">
        <v>84</v>
      </c>
      <c r="Y200" s="284"/>
      <c r="Z200" s="284"/>
      <c r="AA200" s="284" t="s">
        <v>85</v>
      </c>
      <c r="AB200" s="284"/>
      <c r="AC200" s="281"/>
      <c r="AD200" s="127"/>
      <c r="AE200" s="283" t="s">
        <v>84</v>
      </c>
      <c r="AF200" s="284"/>
      <c r="AG200" s="284"/>
      <c r="AH200" s="281" t="s">
        <v>85</v>
      </c>
      <c r="AI200" s="282"/>
      <c r="AJ200" s="282"/>
      <c r="AK200" s="282"/>
      <c r="AL200" s="283" t="s">
        <v>84</v>
      </c>
      <c r="AM200" s="284"/>
      <c r="AN200" s="284"/>
      <c r="AO200" s="281" t="s">
        <v>85</v>
      </c>
      <c r="AP200" s="282"/>
      <c r="AQ200" s="282"/>
      <c r="AR200" s="282"/>
      <c r="AS200" s="283" t="s">
        <v>84</v>
      </c>
      <c r="AT200" s="284"/>
      <c r="AU200" s="284"/>
      <c r="AV200" s="281" t="s">
        <v>85</v>
      </c>
      <c r="AW200" s="282"/>
      <c r="AX200" s="282"/>
      <c r="AY200" s="282"/>
      <c r="AZ200" s="283" t="s">
        <v>84</v>
      </c>
      <c r="BA200" s="284"/>
      <c r="BB200" s="284"/>
      <c r="BC200" s="284" t="s">
        <v>85</v>
      </c>
      <c r="BD200" s="284"/>
      <c r="BE200" s="281"/>
      <c r="BF200" s="62"/>
      <c r="BG200" s="62"/>
    </row>
    <row r="201" spans="1:59" ht="8.25" customHeight="1">
      <c r="A201" s="67" t="s">
        <v>18</v>
      </c>
      <c r="B201" s="67" t="s">
        <v>19</v>
      </c>
      <c r="C201" s="67" t="s">
        <v>20</v>
      </c>
      <c r="D201" s="67" t="s">
        <v>21</v>
      </c>
      <c r="E201" s="67" t="s">
        <v>22</v>
      </c>
      <c r="F201" s="67" t="s">
        <v>23</v>
      </c>
      <c r="G201" s="67" t="s">
        <v>24</v>
      </c>
      <c r="H201" s="67" t="s">
        <v>25</v>
      </c>
      <c r="I201" s="67" t="s">
        <v>26</v>
      </c>
      <c r="J201" s="67" t="s">
        <v>165</v>
      </c>
      <c r="K201" s="67" t="s">
        <v>166</v>
      </c>
      <c r="L201" s="67" t="s">
        <v>167</v>
      </c>
      <c r="M201" s="67" t="s">
        <v>168</v>
      </c>
      <c r="N201" s="67" t="s">
        <v>169</v>
      </c>
      <c r="O201" s="67" t="s">
        <v>170</v>
      </c>
      <c r="P201" s="67" t="s">
        <v>171</v>
      </c>
      <c r="Q201" s="114" t="s">
        <v>172</v>
      </c>
      <c r="R201" s="114" t="s">
        <v>173</v>
      </c>
      <c r="S201" s="114" t="s">
        <v>174</v>
      </c>
      <c r="T201" s="67" t="s">
        <v>175</v>
      </c>
      <c r="U201" s="67" t="s">
        <v>176</v>
      </c>
      <c r="V201" s="67" t="s">
        <v>177</v>
      </c>
      <c r="W201" s="67" t="s">
        <v>178</v>
      </c>
      <c r="X201" s="67" t="s">
        <v>179</v>
      </c>
      <c r="Y201" s="67" t="s">
        <v>180</v>
      </c>
      <c r="Z201" s="67" t="s">
        <v>181</v>
      </c>
      <c r="AA201" s="67" t="s">
        <v>182</v>
      </c>
      <c r="AB201" s="67" t="s">
        <v>183</v>
      </c>
      <c r="AC201" s="67" t="s">
        <v>184</v>
      </c>
      <c r="AD201" s="67" t="s">
        <v>185</v>
      </c>
      <c r="AE201" s="67" t="s">
        <v>186</v>
      </c>
      <c r="AF201" s="67" t="s">
        <v>187</v>
      </c>
      <c r="AG201" s="67" t="s">
        <v>188</v>
      </c>
      <c r="AH201" s="67" t="s">
        <v>189</v>
      </c>
      <c r="AI201" s="67" t="s">
        <v>190</v>
      </c>
      <c r="AJ201" s="67" t="s">
        <v>191</v>
      </c>
      <c r="AK201" s="67" t="s">
        <v>192</v>
      </c>
      <c r="AL201" s="67" t="s">
        <v>193</v>
      </c>
      <c r="AM201" s="67" t="s">
        <v>194</v>
      </c>
      <c r="AN201" s="67" t="s">
        <v>195</v>
      </c>
      <c r="AO201" s="67" t="s">
        <v>196</v>
      </c>
      <c r="AP201" s="67" t="s">
        <v>197</v>
      </c>
      <c r="AQ201" s="67" t="s">
        <v>198</v>
      </c>
      <c r="AR201" s="67" t="s">
        <v>199</v>
      </c>
      <c r="AS201" s="67" t="s">
        <v>200</v>
      </c>
      <c r="AT201" s="67" t="s">
        <v>201</v>
      </c>
      <c r="AU201" s="67" t="s">
        <v>202</v>
      </c>
      <c r="AV201" s="67" t="s">
        <v>203</v>
      </c>
      <c r="AW201" s="67" t="s">
        <v>204</v>
      </c>
      <c r="AX201" s="67" t="s">
        <v>205</v>
      </c>
      <c r="AY201" s="67" t="s">
        <v>206</v>
      </c>
      <c r="AZ201" s="67" t="s">
        <v>207</v>
      </c>
      <c r="BA201" s="67" t="s">
        <v>208</v>
      </c>
      <c r="BB201" s="67" t="s">
        <v>209</v>
      </c>
      <c r="BC201" s="67" t="s">
        <v>210</v>
      </c>
      <c r="BD201" s="67" t="s">
        <v>211</v>
      </c>
      <c r="BE201" s="67" t="s">
        <v>212</v>
      </c>
      <c r="BF201" s="104">
        <v>58</v>
      </c>
      <c r="BG201" s="62"/>
    </row>
    <row r="202" spans="1:59" ht="8.25" customHeight="1">
      <c r="A202" s="107">
        <v>152</v>
      </c>
      <c r="B202" s="74" t="s">
        <v>341</v>
      </c>
      <c r="C202" s="194" t="s">
        <v>213</v>
      </c>
      <c r="D202" s="194" t="s">
        <v>213</v>
      </c>
      <c r="E202" s="194" t="s">
        <v>213</v>
      </c>
      <c r="F202" s="195" t="s">
        <v>213</v>
      </c>
      <c r="G202" s="195" t="s">
        <v>213</v>
      </c>
      <c r="H202" s="195" t="s">
        <v>213</v>
      </c>
      <c r="I202" s="195" t="s">
        <v>213</v>
      </c>
      <c r="J202" s="196" t="s">
        <v>213</v>
      </c>
      <c r="K202" s="196" t="s">
        <v>213</v>
      </c>
      <c r="L202" s="196" t="s">
        <v>213</v>
      </c>
      <c r="M202" s="79" t="s">
        <v>213</v>
      </c>
      <c r="N202" s="79" t="s">
        <v>213</v>
      </c>
      <c r="O202" s="79" t="s">
        <v>213</v>
      </c>
      <c r="P202" s="79" t="s">
        <v>213</v>
      </c>
      <c r="Q202" s="196" t="s">
        <v>213</v>
      </c>
      <c r="R202" s="196" t="s">
        <v>213</v>
      </c>
      <c r="S202" s="196" t="s">
        <v>213</v>
      </c>
      <c r="T202" s="79" t="s">
        <v>213</v>
      </c>
      <c r="U202" s="79" t="s">
        <v>213</v>
      </c>
      <c r="V202" s="79" t="s">
        <v>213</v>
      </c>
      <c r="W202" s="79" t="s">
        <v>213</v>
      </c>
      <c r="X202" s="76">
        <v>5432</v>
      </c>
      <c r="Y202" s="76">
        <v>3129</v>
      </c>
      <c r="Z202" s="76">
        <v>2303</v>
      </c>
      <c r="AA202" s="29">
        <v>30.81737849779087</v>
      </c>
      <c r="AB202" s="29">
        <v>27.779823269513994</v>
      </c>
      <c r="AC202" s="29">
        <v>23.287923416789397</v>
      </c>
      <c r="AD202" s="77">
        <v>18.114874815905736</v>
      </c>
      <c r="AE202" s="76">
        <v>4895</v>
      </c>
      <c r="AF202" s="76">
        <v>2761</v>
      </c>
      <c r="AG202" s="76">
        <v>2134</v>
      </c>
      <c r="AH202" s="29">
        <v>31.746680286006129</v>
      </c>
      <c r="AI202" s="29">
        <v>27.191011235955052</v>
      </c>
      <c r="AJ202" s="29">
        <v>22.328907048008169</v>
      </c>
      <c r="AK202" s="29">
        <v>18.733401430030643</v>
      </c>
      <c r="AL202" s="76">
        <v>4603</v>
      </c>
      <c r="AM202" s="76">
        <v>2589</v>
      </c>
      <c r="AN202" s="76">
        <v>2014</v>
      </c>
      <c r="AO202" s="29">
        <v>28.459700195524658</v>
      </c>
      <c r="AP202" s="29">
        <v>25.00543124049533</v>
      </c>
      <c r="AQ202" s="29">
        <v>21.073213121877039</v>
      </c>
      <c r="AR202" s="29">
        <v>25.46165544210297</v>
      </c>
      <c r="AS202" s="76">
        <v>4107</v>
      </c>
      <c r="AT202" s="76">
        <v>2311</v>
      </c>
      <c r="AU202" s="76">
        <v>1796</v>
      </c>
      <c r="AV202" s="29">
        <v>24.421719016313613</v>
      </c>
      <c r="AW202" s="29">
        <v>24.884343803262723</v>
      </c>
      <c r="AX202" s="29">
        <v>22.498173849525202</v>
      </c>
      <c r="AY202" s="29">
        <v>28.195763330898462</v>
      </c>
      <c r="AZ202" s="76">
        <v>3850</v>
      </c>
      <c r="BA202" s="76">
        <v>2185</v>
      </c>
      <c r="BB202" s="76">
        <v>1665</v>
      </c>
      <c r="BC202" s="29">
        <v>22.727272727272727</v>
      </c>
      <c r="BD202" s="29">
        <v>25.688311688311689</v>
      </c>
      <c r="BE202" s="29">
        <v>23.81818181818182</v>
      </c>
      <c r="BF202" s="78">
        <v>27.766233766233775</v>
      </c>
      <c r="BG202" s="62"/>
    </row>
    <row r="203" spans="1:59" ht="8.25" customHeight="1">
      <c r="A203" s="107">
        <v>156</v>
      </c>
      <c r="B203" s="74" t="s">
        <v>342</v>
      </c>
      <c r="C203" s="194" t="s">
        <v>213</v>
      </c>
      <c r="D203" s="194" t="s">
        <v>213</v>
      </c>
      <c r="E203" s="194" t="s">
        <v>213</v>
      </c>
      <c r="F203" s="195" t="s">
        <v>213</v>
      </c>
      <c r="G203" s="195" t="s">
        <v>213</v>
      </c>
      <c r="H203" s="195" t="s">
        <v>213</v>
      </c>
      <c r="I203" s="195" t="s">
        <v>213</v>
      </c>
      <c r="J203" s="196" t="s">
        <v>213</v>
      </c>
      <c r="K203" s="196" t="s">
        <v>213</v>
      </c>
      <c r="L203" s="196" t="s">
        <v>213</v>
      </c>
      <c r="M203" s="79" t="s">
        <v>213</v>
      </c>
      <c r="N203" s="79" t="s">
        <v>213</v>
      </c>
      <c r="O203" s="79" t="s">
        <v>213</v>
      </c>
      <c r="P203" s="79" t="s">
        <v>213</v>
      </c>
      <c r="Q203" s="196" t="s">
        <v>213</v>
      </c>
      <c r="R203" s="196" t="s">
        <v>213</v>
      </c>
      <c r="S203" s="196" t="s">
        <v>213</v>
      </c>
      <c r="T203" s="79" t="s">
        <v>213</v>
      </c>
      <c r="U203" s="79" t="s">
        <v>213</v>
      </c>
      <c r="V203" s="79" t="s">
        <v>213</v>
      </c>
      <c r="W203" s="79" t="s">
        <v>213</v>
      </c>
      <c r="X203" s="80">
        <v>865</v>
      </c>
      <c r="Y203" s="80">
        <v>619</v>
      </c>
      <c r="Z203" s="80">
        <v>246</v>
      </c>
      <c r="AA203" s="29">
        <v>7.2832369942196538</v>
      </c>
      <c r="AB203" s="29">
        <v>44.971098265895954</v>
      </c>
      <c r="AC203" s="29">
        <v>26.820809248554912</v>
      </c>
      <c r="AD203" s="77">
        <v>20.924855491329485</v>
      </c>
      <c r="AE203" s="76">
        <v>762</v>
      </c>
      <c r="AF203" s="76">
        <v>555</v>
      </c>
      <c r="AG203" s="76">
        <v>207</v>
      </c>
      <c r="AH203" s="29">
        <v>7.8740157480314963</v>
      </c>
      <c r="AI203" s="29">
        <v>44.750656167979002</v>
      </c>
      <c r="AJ203" s="29">
        <v>22.965879265091864</v>
      </c>
      <c r="AK203" s="29">
        <v>24.40944881889763</v>
      </c>
      <c r="AL203" s="76">
        <v>695</v>
      </c>
      <c r="AM203" s="76">
        <v>515</v>
      </c>
      <c r="AN203" s="76">
        <v>180</v>
      </c>
      <c r="AO203" s="29">
        <v>6.1870503597122299</v>
      </c>
      <c r="AP203" s="29">
        <v>41.294964028776974</v>
      </c>
      <c r="AQ203" s="29">
        <v>23.884892086330936</v>
      </c>
      <c r="AR203" s="29">
        <v>28.633093525179859</v>
      </c>
      <c r="AS203" s="76">
        <v>659</v>
      </c>
      <c r="AT203" s="76">
        <v>492</v>
      </c>
      <c r="AU203" s="76">
        <v>167</v>
      </c>
      <c r="AV203" s="29">
        <v>5.1593323216995444</v>
      </c>
      <c r="AW203" s="29">
        <v>34.294385432473447</v>
      </c>
      <c r="AX203" s="29">
        <v>28.072837632776938</v>
      </c>
      <c r="AY203" s="29">
        <v>32.47344461305007</v>
      </c>
      <c r="AZ203" s="76">
        <v>584</v>
      </c>
      <c r="BA203" s="76">
        <v>426</v>
      </c>
      <c r="BB203" s="76">
        <v>158</v>
      </c>
      <c r="BC203" s="29">
        <v>4.7945205479452051</v>
      </c>
      <c r="BD203" s="29">
        <v>36.130136986301373</v>
      </c>
      <c r="BE203" s="29">
        <v>33.904109589041099</v>
      </c>
      <c r="BF203" s="78">
        <v>25.171232876712324</v>
      </c>
      <c r="BG203" s="62"/>
    </row>
    <row r="204" spans="1:59" ht="8.25" customHeight="1">
      <c r="A204" s="107">
        <v>159</v>
      </c>
      <c r="B204" s="74" t="s">
        <v>95</v>
      </c>
      <c r="C204" s="193">
        <v>120386</v>
      </c>
      <c r="D204" s="193">
        <v>61270</v>
      </c>
      <c r="E204" s="193">
        <v>59116</v>
      </c>
      <c r="F204" s="115">
        <v>29.114216422219659</v>
      </c>
      <c r="G204" s="115">
        <v>29.322092620394962</v>
      </c>
      <c r="H204" s="115">
        <v>23.33987758401663</v>
      </c>
      <c r="I204" s="115">
        <v>18.223813373368749</v>
      </c>
      <c r="J204" s="112">
        <v>7778</v>
      </c>
      <c r="K204" s="112">
        <v>4661</v>
      </c>
      <c r="L204" s="112">
        <v>3117</v>
      </c>
      <c r="M204" s="75">
        <v>23.592183080483416</v>
      </c>
      <c r="N204" s="75">
        <v>29.622010799691438</v>
      </c>
      <c r="O204" s="75">
        <v>28.992028799177167</v>
      </c>
      <c r="P204" s="75">
        <v>17.793777320647983</v>
      </c>
      <c r="Q204" s="112">
        <v>7135</v>
      </c>
      <c r="R204" s="112">
        <v>4274</v>
      </c>
      <c r="S204" s="112">
        <v>2861</v>
      </c>
      <c r="T204" s="75">
        <v>23.37771548703574</v>
      </c>
      <c r="U204" s="75">
        <v>29.964961457603362</v>
      </c>
      <c r="V204" s="75">
        <v>27.498248072880166</v>
      </c>
      <c r="W204" s="75">
        <v>19.159074982480728</v>
      </c>
      <c r="X204" s="79" t="s">
        <v>213</v>
      </c>
      <c r="Y204" s="79" t="s">
        <v>213</v>
      </c>
      <c r="Z204" s="79" t="s">
        <v>213</v>
      </c>
      <c r="AA204" s="79" t="s">
        <v>213</v>
      </c>
      <c r="AB204" s="79" t="s">
        <v>213</v>
      </c>
      <c r="AC204" s="79" t="s">
        <v>213</v>
      </c>
      <c r="AD204" s="79" t="s">
        <v>213</v>
      </c>
      <c r="AE204" s="79" t="s">
        <v>213</v>
      </c>
      <c r="AF204" s="79" t="s">
        <v>213</v>
      </c>
      <c r="AG204" s="79" t="s">
        <v>213</v>
      </c>
      <c r="AH204" s="79" t="s">
        <v>213</v>
      </c>
      <c r="AI204" s="79" t="s">
        <v>213</v>
      </c>
      <c r="AJ204" s="79" t="s">
        <v>213</v>
      </c>
      <c r="AK204" s="79" t="s">
        <v>213</v>
      </c>
      <c r="AL204" s="79" t="s">
        <v>213</v>
      </c>
      <c r="AM204" s="79" t="s">
        <v>213</v>
      </c>
      <c r="AN204" s="79" t="s">
        <v>213</v>
      </c>
      <c r="AO204" s="79" t="s">
        <v>213</v>
      </c>
      <c r="AP204" s="79" t="s">
        <v>213</v>
      </c>
      <c r="AQ204" s="79" t="s">
        <v>213</v>
      </c>
      <c r="AR204" s="79" t="s">
        <v>213</v>
      </c>
      <c r="AS204" s="79" t="s">
        <v>213</v>
      </c>
      <c r="AT204" s="79" t="s">
        <v>213</v>
      </c>
      <c r="AU204" s="79" t="s">
        <v>213</v>
      </c>
      <c r="AV204" s="79" t="s">
        <v>213</v>
      </c>
      <c r="AW204" s="79" t="s">
        <v>213</v>
      </c>
      <c r="AX204" s="79" t="s">
        <v>213</v>
      </c>
      <c r="AY204" s="79" t="s">
        <v>213</v>
      </c>
      <c r="AZ204" s="79" t="s">
        <v>213</v>
      </c>
      <c r="BA204" s="79" t="s">
        <v>213</v>
      </c>
      <c r="BB204" s="79" t="s">
        <v>213</v>
      </c>
      <c r="BC204" s="79" t="s">
        <v>213</v>
      </c>
      <c r="BD204" s="79" t="s">
        <v>213</v>
      </c>
      <c r="BE204" s="79" t="s">
        <v>213</v>
      </c>
      <c r="BF204" s="79" t="s">
        <v>213</v>
      </c>
      <c r="BG204" s="62"/>
    </row>
    <row r="207" spans="1:59">
      <c r="A207" s="298" t="s">
        <v>220</v>
      </c>
      <c r="B207" s="285" t="s">
        <v>86</v>
      </c>
      <c r="C207" s="296">
        <v>2010</v>
      </c>
      <c r="D207" s="296"/>
      <c r="E207" s="296"/>
      <c r="F207" s="296"/>
      <c r="G207" s="296"/>
      <c r="H207" s="296"/>
      <c r="I207" s="278"/>
    </row>
    <row r="208" spans="1:59">
      <c r="A208" s="299"/>
      <c r="B208" s="286"/>
      <c r="C208" s="295" t="s">
        <v>160</v>
      </c>
      <c r="D208" s="295"/>
      <c r="E208" s="295"/>
      <c r="F208" s="281" t="s">
        <v>223</v>
      </c>
      <c r="G208" s="282"/>
      <c r="H208" s="282"/>
      <c r="I208" s="283"/>
      <c r="J208" s="281" t="s">
        <v>223</v>
      </c>
      <c r="K208" s="282"/>
      <c r="L208" s="282"/>
      <c r="M208" s="283"/>
    </row>
    <row r="209" spans="1:13">
      <c r="A209" s="299"/>
      <c r="B209" s="286"/>
      <c r="C209" s="128" t="s">
        <v>28</v>
      </c>
      <c r="D209" s="128" t="s">
        <v>89</v>
      </c>
      <c r="E209" s="128" t="s">
        <v>90</v>
      </c>
      <c r="F209" s="128" t="s">
        <v>91</v>
      </c>
      <c r="G209" s="128" t="s">
        <v>92</v>
      </c>
      <c r="H209" s="126" t="s">
        <v>93</v>
      </c>
      <c r="I209" s="126" t="s">
        <v>131</v>
      </c>
      <c r="J209" s="128" t="s">
        <v>91</v>
      </c>
      <c r="K209" s="128" t="s">
        <v>92</v>
      </c>
      <c r="L209" s="126" t="s">
        <v>93</v>
      </c>
      <c r="M209" s="126" t="s">
        <v>131</v>
      </c>
    </row>
    <row r="210" spans="1:13">
      <c r="A210" s="300"/>
      <c r="B210" s="287"/>
      <c r="C210" s="283" t="s">
        <v>84</v>
      </c>
      <c r="D210" s="284"/>
      <c r="E210" s="284"/>
      <c r="F210" s="337" t="s">
        <v>85</v>
      </c>
      <c r="G210" s="285"/>
      <c r="H210" s="285"/>
      <c r="I210" s="338"/>
      <c r="J210" s="337" t="s">
        <v>84</v>
      </c>
      <c r="K210" s="285"/>
      <c r="L210" s="285"/>
      <c r="M210" s="285"/>
    </row>
    <row r="211" spans="1:13">
      <c r="A211" s="67" t="s">
        <v>18</v>
      </c>
      <c r="B211" s="67" t="s">
        <v>19</v>
      </c>
      <c r="C211" s="67" t="s">
        <v>207</v>
      </c>
      <c r="D211" s="67" t="s">
        <v>208</v>
      </c>
      <c r="E211" s="67" t="s">
        <v>209</v>
      </c>
      <c r="F211" s="67" t="s">
        <v>210</v>
      </c>
      <c r="G211" s="67" t="s">
        <v>211</v>
      </c>
      <c r="H211" s="67" t="s">
        <v>212</v>
      </c>
      <c r="I211" s="104">
        <v>58</v>
      </c>
    </row>
    <row r="212" spans="1:13">
      <c r="A212" s="107">
        <v>152</v>
      </c>
      <c r="B212" s="74" t="s">
        <v>341</v>
      </c>
      <c r="C212" s="76">
        <v>3850</v>
      </c>
      <c r="D212" s="76">
        <v>2185</v>
      </c>
      <c r="E212" s="76">
        <v>1665</v>
      </c>
      <c r="F212" s="29">
        <v>22.727272727272727</v>
      </c>
      <c r="G212" s="29">
        <v>25.688311688311689</v>
      </c>
      <c r="H212" s="29">
        <v>23.81818181818182</v>
      </c>
      <c r="I212" s="78">
        <v>27.766233766233775</v>
      </c>
      <c r="J212">
        <f>$C$212/100*F212</f>
        <v>875</v>
      </c>
      <c r="K212">
        <f>$C$212/100*G212</f>
        <v>989</v>
      </c>
      <c r="L212">
        <f>$C$212/100*H212</f>
        <v>917.00000000000011</v>
      </c>
      <c r="M212">
        <f>$C$212/100*I212</f>
        <v>1069.0000000000002</v>
      </c>
    </row>
    <row r="213" spans="1:13">
      <c r="A213" s="107">
        <v>156</v>
      </c>
      <c r="B213" s="74" t="s">
        <v>342</v>
      </c>
      <c r="C213" s="76">
        <v>584</v>
      </c>
      <c r="D213" s="76">
        <v>426</v>
      </c>
      <c r="E213" s="76">
        <v>158</v>
      </c>
      <c r="F213" s="29">
        <v>4.7945205479452051</v>
      </c>
      <c r="G213" s="29">
        <v>36.130136986301373</v>
      </c>
      <c r="H213" s="29">
        <v>33.904109589041099</v>
      </c>
      <c r="I213" s="78">
        <v>25.171232876712324</v>
      </c>
      <c r="J213">
        <f>$C$213/100*F213</f>
        <v>27.999999999999996</v>
      </c>
      <c r="K213">
        <f>$C$213/100*G213</f>
        <v>211.00000000000003</v>
      </c>
      <c r="L213">
        <f>$C$213/100*H213</f>
        <v>198</v>
      </c>
      <c r="M213">
        <f>$C$213/100*I213</f>
        <v>146.99999999999997</v>
      </c>
    </row>
    <row r="214" spans="1:13">
      <c r="A214" s="107">
        <v>159</v>
      </c>
      <c r="B214" s="74" t="s">
        <v>95</v>
      </c>
      <c r="C214" s="191">
        <f>SUM(C212:C213)</f>
        <v>4434</v>
      </c>
      <c r="D214" s="191">
        <f>SUM(D212:D213)</f>
        <v>2611</v>
      </c>
      <c r="E214" s="191">
        <f>SUM(E212:E213)</f>
        <v>1823</v>
      </c>
      <c r="F214" s="79">
        <f>J214/$C$214*100</f>
        <v>20.365358592692829</v>
      </c>
      <c r="G214" s="79">
        <f>K214/$C$214*100</f>
        <v>27.06359945872801</v>
      </c>
      <c r="H214" s="79">
        <f>L214/$C$214*100</f>
        <v>25.146594497068108</v>
      </c>
      <c r="I214" s="79">
        <f>M214/$C$214*100</f>
        <v>27.424447451511057</v>
      </c>
      <c r="J214">
        <f>SUM(J212:J213)</f>
        <v>903</v>
      </c>
      <c r="K214">
        <f>SUM(K212:K213)</f>
        <v>1200</v>
      </c>
      <c r="L214">
        <f>SUM(L212:L213)</f>
        <v>1115</v>
      </c>
      <c r="M214">
        <f>SUM(M212:M213)</f>
        <v>1216.0000000000002</v>
      </c>
    </row>
  </sheetData>
  <mergeCells count="84">
    <mergeCell ref="R96:U96"/>
    <mergeCell ref="A155:J155"/>
    <mergeCell ref="B179:J181"/>
    <mergeCell ref="B182:D182"/>
    <mergeCell ref="E182:G182"/>
    <mergeCell ref="H182:J182"/>
    <mergeCell ref="B118:J120"/>
    <mergeCell ref="A186:J186"/>
    <mergeCell ref="B121:D121"/>
    <mergeCell ref="E121:G121"/>
    <mergeCell ref="H121:J121"/>
    <mergeCell ref="A125:J125"/>
    <mergeCell ref="B148:J150"/>
    <mergeCell ref="B151:D151"/>
    <mergeCell ref="E151:G151"/>
    <mergeCell ref="H151:J151"/>
    <mergeCell ref="B87:J89"/>
    <mergeCell ref="B90:D90"/>
    <mergeCell ref="E90:G90"/>
    <mergeCell ref="H90:J90"/>
    <mergeCell ref="A94:J94"/>
    <mergeCell ref="Q28:T28"/>
    <mergeCell ref="B55:J57"/>
    <mergeCell ref="B58:D58"/>
    <mergeCell ref="E58:G58"/>
    <mergeCell ref="H58:J58"/>
    <mergeCell ref="A62:J62"/>
    <mergeCell ref="B15:J17"/>
    <mergeCell ref="B18:D18"/>
    <mergeCell ref="E18:G18"/>
    <mergeCell ref="H18:J18"/>
    <mergeCell ref="A22:J22"/>
    <mergeCell ref="A28:J28"/>
    <mergeCell ref="A197:A200"/>
    <mergeCell ref="B197:B200"/>
    <mergeCell ref="C197:I197"/>
    <mergeCell ref="J197:P197"/>
    <mergeCell ref="Q197:W197"/>
    <mergeCell ref="C198:E198"/>
    <mergeCell ref="F198:I198"/>
    <mergeCell ref="J198:L198"/>
    <mergeCell ref="M198:P198"/>
    <mergeCell ref="Q198:S198"/>
    <mergeCell ref="T198:W198"/>
    <mergeCell ref="C200:E200"/>
    <mergeCell ref="F200:H200"/>
    <mergeCell ref="J200:L200"/>
    <mergeCell ref="M200:O200"/>
    <mergeCell ref="Q200:S200"/>
    <mergeCell ref="X197:AD197"/>
    <mergeCell ref="AE197:AK197"/>
    <mergeCell ref="AL197:AR197"/>
    <mergeCell ref="AS197:AY197"/>
    <mergeCell ref="AZ197:BF197"/>
    <mergeCell ref="AS198:AU198"/>
    <mergeCell ref="AV198:AY198"/>
    <mergeCell ref="AZ198:BB198"/>
    <mergeCell ref="BC198:BF198"/>
    <mergeCell ref="X198:Z198"/>
    <mergeCell ref="AA198:AD198"/>
    <mergeCell ref="AE198:AG198"/>
    <mergeCell ref="AH198:AK198"/>
    <mergeCell ref="AL198:AN198"/>
    <mergeCell ref="X200:Z200"/>
    <mergeCell ref="AA200:AC200"/>
    <mergeCell ref="AE200:AG200"/>
    <mergeCell ref="AH200:AK200"/>
    <mergeCell ref="AO198:AR198"/>
    <mergeCell ref="BC200:BE200"/>
    <mergeCell ref="A207:A210"/>
    <mergeCell ref="B207:B210"/>
    <mergeCell ref="C207:I207"/>
    <mergeCell ref="C208:E208"/>
    <mergeCell ref="F208:I208"/>
    <mergeCell ref="C210:E210"/>
    <mergeCell ref="J208:M208"/>
    <mergeCell ref="F210:I210"/>
    <mergeCell ref="J210:M210"/>
    <mergeCell ref="AL200:AN200"/>
    <mergeCell ref="AO200:AR200"/>
    <mergeCell ref="AS200:AU200"/>
    <mergeCell ref="AV200:AY200"/>
    <mergeCell ref="AZ200:BB200"/>
    <mergeCell ref="T200:V200"/>
  </mergeCell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/>
  <dimension ref="A1:I47"/>
  <sheetViews>
    <sheetView workbookViewId="0">
      <selection sqref="A1:XFD1048576"/>
    </sheetView>
  </sheetViews>
  <sheetFormatPr baseColWidth="10" defaultRowHeight="13.5"/>
  <cols>
    <col min="2" max="2" width="16.25" customWidth="1"/>
    <col min="3" max="3" width="29.375" bestFit="1" customWidth="1"/>
  </cols>
  <sheetData>
    <row r="1" spans="1:9" ht="15">
      <c r="A1" t="s">
        <v>220</v>
      </c>
      <c r="B1" s="109" t="s">
        <v>224</v>
      </c>
      <c r="C1" s="109" t="s">
        <v>221</v>
      </c>
      <c r="D1" s="109" t="s">
        <v>222</v>
      </c>
    </row>
    <row r="2" spans="1:9" ht="15">
      <c r="A2" s="120">
        <v>101</v>
      </c>
      <c r="B2" s="109">
        <v>3101</v>
      </c>
      <c r="C2" s="109" t="s">
        <v>132</v>
      </c>
      <c r="D2" s="110">
        <f>VLOOKUP(A2,'2018_C4_Beasrbeitet_2'!$A$2:$I$55,6,FALSE)</f>
        <v>22.897890462513619</v>
      </c>
      <c r="G2" s="109">
        <v>0</v>
      </c>
      <c r="H2" s="109" t="s">
        <v>130</v>
      </c>
      <c r="I2" s="110">
        <f>VLOOKUP(G2,'2018_C4_Beasrbeitet_2'!$A$2:$I$55,6,FALSE)</f>
        <v>11.010922866792685</v>
      </c>
    </row>
    <row r="3" spans="1:9" ht="15">
      <c r="A3" s="120">
        <v>102</v>
      </c>
      <c r="B3" s="109">
        <v>3102</v>
      </c>
      <c r="C3" s="109" t="s">
        <v>133</v>
      </c>
      <c r="D3" s="110">
        <f>VLOOKUP(A3,'2018_C4_Beasrbeitet_2'!$A$2:$I$55,6,FALSE)</f>
        <v>7.8196872125115</v>
      </c>
      <c r="G3" s="109">
        <v>241</v>
      </c>
      <c r="H3" s="109" t="s">
        <v>137</v>
      </c>
      <c r="I3" s="110">
        <f>VLOOKUP(G3,'2018_C4_Beasrbeitet_2'!$A$2:$I$55,6,FALSE)</f>
        <v>12.773112234004696</v>
      </c>
    </row>
    <row r="4" spans="1:9" ht="15">
      <c r="A4" s="120">
        <v>103</v>
      </c>
      <c r="B4" s="109">
        <v>3103</v>
      </c>
      <c r="C4" s="109" t="s">
        <v>134</v>
      </c>
      <c r="D4" s="110">
        <f>VLOOKUP(A4,'2018_C4_Beasrbeitet_2'!$A$2:$I$55,6,FALSE)</f>
        <v>21.965666097781348</v>
      </c>
    </row>
    <row r="5" spans="1:9" ht="15">
      <c r="A5" s="120">
        <v>151</v>
      </c>
      <c r="B5" s="109">
        <v>3151</v>
      </c>
      <c r="C5" s="109" t="s">
        <v>94</v>
      </c>
      <c r="D5" s="110">
        <f>VLOOKUP(A5,'2018_C4_Beasrbeitet_2'!$A$2:$I$55,6,FALSE)</f>
        <v>15.396058014131647</v>
      </c>
    </row>
    <row r="6" spans="1:9" ht="15">
      <c r="A6" s="120">
        <v>153</v>
      </c>
      <c r="B6" s="109">
        <v>3153</v>
      </c>
      <c r="C6" s="109" t="s">
        <v>96</v>
      </c>
      <c r="D6" s="110">
        <f>VLOOKUP(A6,'2018_C4_Beasrbeitet_2'!$A$2:$I$55,6,FALSE)</f>
        <v>16.618392469225199</v>
      </c>
    </row>
    <row r="7" spans="1:9" ht="15">
      <c r="A7" s="120">
        <v>154</v>
      </c>
      <c r="B7" s="109">
        <v>3154</v>
      </c>
      <c r="C7" s="109" t="s">
        <v>97</v>
      </c>
      <c r="D7" s="110">
        <f>VLOOKUP(A7,'2018_C4_Beasrbeitet_2'!$A$2:$I$55,6,FALSE)</f>
        <v>12.718378756114603</v>
      </c>
      <c r="F7" t="s">
        <v>225</v>
      </c>
      <c r="G7" t="s">
        <v>120</v>
      </c>
      <c r="H7">
        <f>SMALL(D2:D47,1)</f>
        <v>2.9102844638949672</v>
      </c>
    </row>
    <row r="8" spans="1:9" ht="15">
      <c r="A8" s="120">
        <v>155</v>
      </c>
      <c r="B8" s="109">
        <v>3155</v>
      </c>
      <c r="C8" s="109" t="s">
        <v>98</v>
      </c>
      <c r="D8" s="110">
        <f>VLOOKUP(A8,'2018_C4_Beasrbeitet_2'!$A$2:$I$55,6,FALSE)</f>
        <v>8.1809432146294512</v>
      </c>
      <c r="F8" t="s">
        <v>226</v>
      </c>
      <c r="G8" t="s">
        <v>95</v>
      </c>
      <c r="H8">
        <f>LARGE(D2:D47,1)</f>
        <v>29.114216422219659</v>
      </c>
    </row>
    <row r="9" spans="1:9" ht="15">
      <c r="A9" s="120">
        <v>157</v>
      </c>
      <c r="B9" s="109">
        <v>3157</v>
      </c>
      <c r="C9" s="109" t="s">
        <v>99</v>
      </c>
      <c r="D9" s="110">
        <f>VLOOKUP(A9,'2018_C4_Beasrbeitet_2'!$A$2:$I$55,6,FALSE)</f>
        <v>6.8725868725868722</v>
      </c>
    </row>
    <row r="10" spans="1:9" ht="15">
      <c r="A10" s="120">
        <v>158</v>
      </c>
      <c r="B10" s="109">
        <v>3158</v>
      </c>
      <c r="C10" s="109" t="s">
        <v>100</v>
      </c>
      <c r="D10" s="110">
        <f>VLOOKUP(A10,'2018_C4_Beasrbeitet_2'!$A$2:$I$55,6,FALSE)</f>
        <v>12.110481586402265</v>
      </c>
    </row>
    <row r="11" spans="1:9" ht="15">
      <c r="A11" s="120">
        <v>159</v>
      </c>
      <c r="B11" s="109">
        <v>3159</v>
      </c>
      <c r="C11" s="109" t="s">
        <v>95</v>
      </c>
      <c r="D11" s="110">
        <f>VLOOKUP(A11,'2018_C4_Beasrbeitet_2'!$A$2:$I$55,6,FALSE)</f>
        <v>29.114216422219659</v>
      </c>
    </row>
    <row r="12" spans="1:9" ht="15">
      <c r="A12" s="120">
        <v>241001</v>
      </c>
      <c r="B12" s="109">
        <v>3241001</v>
      </c>
      <c r="C12" s="109" t="s">
        <v>162</v>
      </c>
      <c r="D12" s="110">
        <f>VLOOKUP(A12,'2018_C4_Beasrbeitet_2'!$A$2:$I$55,6,FALSE)</f>
        <v>15.644649713427189</v>
      </c>
    </row>
    <row r="13" spans="1:9" ht="15">
      <c r="A13" s="120">
        <v>241999</v>
      </c>
      <c r="B13" s="109">
        <v>3241999</v>
      </c>
      <c r="C13" s="109" t="s">
        <v>163</v>
      </c>
      <c r="D13" s="110">
        <f>VLOOKUP(A13,'2018_C4_Beasrbeitet_2'!$A$2:$I$55,6,FALSE)</f>
        <v>7.6793998618102846</v>
      </c>
    </row>
    <row r="14" spans="1:9" ht="15">
      <c r="A14" s="120">
        <v>251</v>
      </c>
      <c r="B14" s="109">
        <v>3251</v>
      </c>
      <c r="C14" s="109" t="s">
        <v>101</v>
      </c>
      <c r="D14" s="110">
        <f>VLOOKUP(A14,'2018_C4_Beasrbeitet_2'!$A$2:$I$55,6,FALSE)</f>
        <v>6.785967399007796</v>
      </c>
    </row>
    <row r="15" spans="1:9" ht="15">
      <c r="A15" s="120">
        <v>252</v>
      </c>
      <c r="B15" s="109">
        <v>3252</v>
      </c>
      <c r="C15" s="109" t="s">
        <v>102</v>
      </c>
      <c r="D15" s="110">
        <f>VLOOKUP(A15,'2018_C4_Beasrbeitet_2'!$A$2:$I$55,6,FALSE)</f>
        <v>10.60358890701468</v>
      </c>
    </row>
    <row r="16" spans="1:9" ht="15">
      <c r="A16" s="120">
        <v>254</v>
      </c>
      <c r="B16" s="109">
        <v>3254</v>
      </c>
      <c r="C16" s="109" t="s">
        <v>103</v>
      </c>
      <c r="D16" s="110">
        <f>VLOOKUP(A16,'2018_C4_Beasrbeitet_2'!$A$2:$I$55,6,FALSE)</f>
        <v>15.638575152041703</v>
      </c>
    </row>
    <row r="17" spans="1:4" ht="15">
      <c r="A17" s="120">
        <v>255</v>
      </c>
      <c r="B17" s="109">
        <v>3255</v>
      </c>
      <c r="C17" s="109" t="s">
        <v>104</v>
      </c>
      <c r="D17" s="110">
        <f>VLOOKUP(A17,'2018_C4_Beasrbeitet_2'!$A$2:$I$55,6,FALSE)</f>
        <v>11.190476190476192</v>
      </c>
    </row>
    <row r="18" spans="1:4" ht="15">
      <c r="A18" s="120">
        <v>256</v>
      </c>
      <c r="B18" s="109">
        <v>3256</v>
      </c>
      <c r="C18" s="109" t="s">
        <v>105</v>
      </c>
      <c r="D18" s="110">
        <f>VLOOKUP(A18,'2018_C4_Beasrbeitet_2'!$A$2:$I$55,6,FALSE)</f>
        <v>6.2463683904706562</v>
      </c>
    </row>
    <row r="19" spans="1:4" ht="15">
      <c r="A19" s="120">
        <v>257</v>
      </c>
      <c r="B19" s="109">
        <v>3257</v>
      </c>
      <c r="C19" s="109" t="s">
        <v>106</v>
      </c>
      <c r="D19" s="110">
        <f>VLOOKUP(A19,'2018_C4_Beasrbeitet_2'!$A$2:$I$55,6,FALSE)</f>
        <v>8.0931586608442512</v>
      </c>
    </row>
    <row r="20" spans="1:4" ht="15">
      <c r="A20" s="120">
        <v>351</v>
      </c>
      <c r="B20" s="109">
        <v>3351</v>
      </c>
      <c r="C20" s="109" t="s">
        <v>107</v>
      </c>
      <c r="D20" s="110">
        <f>VLOOKUP(A20,'2018_C4_Beasrbeitet_2'!$A$2:$I$55,6,FALSE)</f>
        <v>13.554392088423503</v>
      </c>
    </row>
    <row r="21" spans="1:4" ht="15">
      <c r="A21" s="120">
        <v>352</v>
      </c>
      <c r="B21" s="109">
        <v>3352</v>
      </c>
      <c r="C21" s="109" t="s">
        <v>108</v>
      </c>
      <c r="D21" s="110">
        <f>VLOOKUP(A21,'2018_C4_Beasrbeitet_2'!$A$2:$I$55,6,FALSE)</f>
        <v>6.3041385948026951</v>
      </c>
    </row>
    <row r="22" spans="1:4" ht="15">
      <c r="A22" s="120">
        <v>353</v>
      </c>
      <c r="B22" s="109">
        <v>3353</v>
      </c>
      <c r="C22" s="109" t="s">
        <v>109</v>
      </c>
      <c r="D22" s="110">
        <f>VLOOKUP(A22,'2018_C4_Beasrbeitet_2'!$A$2:$I$55,6,FALSE)</f>
        <v>6.7604581673306772</v>
      </c>
    </row>
    <row r="23" spans="1:4" ht="15">
      <c r="A23" s="120">
        <v>354</v>
      </c>
      <c r="B23" s="109">
        <v>3354</v>
      </c>
      <c r="C23" s="109" t="s">
        <v>110</v>
      </c>
      <c r="D23" s="110">
        <f>VLOOKUP(A23,'2018_C4_Beasrbeitet_2'!$A$2:$I$55,6,FALSE)</f>
        <v>8.862629246676514</v>
      </c>
    </row>
    <row r="24" spans="1:4" ht="15">
      <c r="A24" s="120">
        <v>355</v>
      </c>
      <c r="B24" s="109">
        <v>3355</v>
      </c>
      <c r="C24" s="109" t="s">
        <v>111</v>
      </c>
      <c r="D24" s="110">
        <f>VLOOKUP(A24,'2018_C4_Beasrbeitet_2'!$A$2:$I$55,6,FALSE)</f>
        <v>13.85921665297179</v>
      </c>
    </row>
    <row r="25" spans="1:4" ht="15">
      <c r="A25" s="120">
        <v>356</v>
      </c>
      <c r="B25" s="109">
        <v>3356</v>
      </c>
      <c r="C25" s="109" t="s">
        <v>112</v>
      </c>
      <c r="D25" s="110">
        <f>VLOOKUP(A25,'2018_C4_Beasrbeitet_2'!$A$2:$I$55,6,FALSE)</f>
        <v>9.9823840281855549</v>
      </c>
    </row>
    <row r="26" spans="1:4" ht="15">
      <c r="A26" s="120">
        <v>357</v>
      </c>
      <c r="B26" s="109">
        <v>3357</v>
      </c>
      <c r="C26" s="109" t="s">
        <v>113</v>
      </c>
      <c r="D26" s="110">
        <f>VLOOKUP(A26,'2018_C4_Beasrbeitet_2'!$A$2:$I$55,6,FALSE)</f>
        <v>8.7077093732667787</v>
      </c>
    </row>
    <row r="27" spans="1:4" ht="15">
      <c r="A27" s="120">
        <v>358</v>
      </c>
      <c r="B27" s="109">
        <v>3358</v>
      </c>
      <c r="C27" s="109" t="s">
        <v>114</v>
      </c>
      <c r="D27" s="110">
        <f>VLOOKUP(A27,'2018_C4_Beasrbeitet_2'!$A$2:$I$55,6,FALSE)</f>
        <v>7.3742428232815378</v>
      </c>
    </row>
    <row r="28" spans="1:4" ht="15">
      <c r="A28" s="120">
        <v>359</v>
      </c>
      <c r="B28" s="109">
        <v>3359</v>
      </c>
      <c r="C28" s="109" t="s">
        <v>115</v>
      </c>
      <c r="D28" s="110">
        <f>VLOOKUP(A28,'2018_C4_Beasrbeitet_2'!$A$2:$I$55,6,FALSE)</f>
        <v>7.7137176938369789</v>
      </c>
    </row>
    <row r="29" spans="1:4" ht="15">
      <c r="A29" s="120">
        <v>360</v>
      </c>
      <c r="B29" s="109">
        <v>3360</v>
      </c>
      <c r="C29" s="109" t="s">
        <v>116</v>
      </c>
      <c r="D29" s="110">
        <f>VLOOKUP(A29,'2018_C4_Beasrbeitet_2'!$A$2:$I$55,6,FALSE)</f>
        <v>14.578910120311395</v>
      </c>
    </row>
    <row r="30" spans="1:4" ht="15">
      <c r="A30" s="120">
        <v>361</v>
      </c>
      <c r="B30" s="109">
        <v>3361</v>
      </c>
      <c r="C30" s="109" t="s">
        <v>117</v>
      </c>
      <c r="D30" s="110">
        <f>VLOOKUP(A30,'2018_C4_Beasrbeitet_2'!$A$2:$I$55,6,FALSE)</f>
        <v>8.2403824265877521</v>
      </c>
    </row>
    <row r="31" spans="1:4" ht="15">
      <c r="A31" s="120">
        <v>401</v>
      </c>
      <c r="B31" s="109">
        <v>3401</v>
      </c>
      <c r="C31" s="109" t="s">
        <v>139</v>
      </c>
      <c r="D31" s="110">
        <f>VLOOKUP(A31,'2018_C4_Beasrbeitet_2'!$A$2:$I$55,6,FALSE)</f>
        <v>8.9630931458699479</v>
      </c>
    </row>
    <row r="32" spans="1:4" ht="15">
      <c r="A32" s="120">
        <v>402</v>
      </c>
      <c r="B32" s="109">
        <v>3402</v>
      </c>
      <c r="C32" s="109" t="s">
        <v>140</v>
      </c>
      <c r="D32" s="110">
        <f>VLOOKUP(A32,'2018_C4_Beasrbeitet_2'!$A$2:$I$55,6,FALSE)</f>
        <v>8.9716684155299049</v>
      </c>
    </row>
    <row r="33" spans="1:4" ht="15">
      <c r="A33" s="120">
        <v>403</v>
      </c>
      <c r="B33" s="109">
        <v>3403</v>
      </c>
      <c r="C33" s="109" t="s">
        <v>141</v>
      </c>
      <c r="D33" s="110">
        <f>VLOOKUP(A33,'2018_C4_Beasrbeitet_2'!$A$2:$I$55,6,FALSE)</f>
        <v>18.664488462323874</v>
      </c>
    </row>
    <row r="34" spans="1:4" ht="15">
      <c r="A34" s="120">
        <v>404</v>
      </c>
      <c r="B34" s="109">
        <v>3404</v>
      </c>
      <c r="C34" s="109" t="s">
        <v>142</v>
      </c>
      <c r="D34" s="110">
        <f>VLOOKUP(A34,'2018_C4_Beasrbeitet_2'!$A$2:$I$55,6,FALSE)</f>
        <v>10.994833752814943</v>
      </c>
    </row>
    <row r="35" spans="1:4" ht="15">
      <c r="A35" s="120">
        <v>405</v>
      </c>
      <c r="B35" s="109">
        <v>3405</v>
      </c>
      <c r="C35" s="109" t="s">
        <v>143</v>
      </c>
      <c r="D35" s="110">
        <f>VLOOKUP(A35,'2018_C4_Beasrbeitet_2'!$A$2:$I$55,6,FALSE)</f>
        <v>13.782252989301448</v>
      </c>
    </row>
    <row r="36" spans="1:4" ht="15">
      <c r="A36" s="120">
        <v>451</v>
      </c>
      <c r="B36" s="109">
        <v>3451</v>
      </c>
      <c r="C36" s="109" t="s">
        <v>118</v>
      </c>
      <c r="D36" s="110">
        <f>VLOOKUP(A36,'2018_C4_Beasrbeitet_2'!$A$2:$I$55,6,FALSE)</f>
        <v>5.8051341890315049</v>
      </c>
    </row>
    <row r="37" spans="1:4" ht="15">
      <c r="A37" s="120">
        <v>452</v>
      </c>
      <c r="B37" s="109">
        <v>3452</v>
      </c>
      <c r="C37" s="109" t="s">
        <v>119</v>
      </c>
      <c r="D37" s="110">
        <f>VLOOKUP(A37,'2018_C4_Beasrbeitet_2'!$A$2:$I$55,6,FALSE)</f>
        <v>8.2466918714555764</v>
      </c>
    </row>
    <row r="38" spans="1:4" ht="15">
      <c r="A38" s="120">
        <v>453</v>
      </c>
      <c r="B38" s="109">
        <v>3453</v>
      </c>
      <c r="C38" s="109" t="s">
        <v>120</v>
      </c>
      <c r="D38" s="110">
        <f>VLOOKUP(A38,'2018_C4_Beasrbeitet_2'!$A$2:$I$55,6,FALSE)</f>
        <v>2.9102844638949672</v>
      </c>
    </row>
    <row r="39" spans="1:4" ht="15">
      <c r="A39" s="120">
        <v>454</v>
      </c>
      <c r="B39" s="109">
        <v>3454</v>
      </c>
      <c r="C39" s="109" t="s">
        <v>121</v>
      </c>
      <c r="D39" s="110">
        <f>VLOOKUP(A39,'2018_C4_Beasrbeitet_2'!$A$2:$I$55,6,FALSE)</f>
        <v>6.5376864167674329</v>
      </c>
    </row>
    <row r="40" spans="1:4" ht="15">
      <c r="A40" s="120">
        <v>455</v>
      </c>
      <c r="B40" s="109">
        <v>3455</v>
      </c>
      <c r="C40" s="109" t="s">
        <v>122</v>
      </c>
      <c r="D40" s="110">
        <f>VLOOKUP(A40,'2018_C4_Beasrbeitet_2'!$A$2:$I$55,6,FALSE)</f>
        <v>11.837048424289009</v>
      </c>
    </row>
    <row r="41" spans="1:4" ht="15">
      <c r="A41" s="120">
        <v>456</v>
      </c>
      <c r="B41" s="109">
        <v>3456</v>
      </c>
      <c r="C41" s="109" t="s">
        <v>123</v>
      </c>
      <c r="D41" s="110">
        <f>VLOOKUP(A41,'2018_C4_Beasrbeitet_2'!$A$2:$I$55,6,FALSE)</f>
        <v>6.5814943863724356</v>
      </c>
    </row>
    <row r="42" spans="1:4" ht="15">
      <c r="A42" s="120">
        <v>457</v>
      </c>
      <c r="B42" s="109">
        <v>3457</v>
      </c>
      <c r="C42" s="109" t="s">
        <v>124</v>
      </c>
      <c r="D42" s="110">
        <f>VLOOKUP(A42,'2018_C4_Beasrbeitet_2'!$A$2:$I$55,6,FALSE)</f>
        <v>8.6263901412684092</v>
      </c>
    </row>
    <row r="43" spans="1:4" ht="15">
      <c r="A43" s="120">
        <v>458</v>
      </c>
      <c r="B43" s="109">
        <v>3458</v>
      </c>
      <c r="C43" s="109" t="s">
        <v>125</v>
      </c>
      <c r="D43" s="110">
        <f>VLOOKUP(A43,'2018_C4_Beasrbeitet_2'!$A$2:$I$55,6,FALSE)</f>
        <v>4.20954162768943</v>
      </c>
    </row>
    <row r="44" spans="1:4" ht="15">
      <c r="A44" s="120">
        <v>459</v>
      </c>
      <c r="B44" s="109">
        <v>3459</v>
      </c>
      <c r="C44" s="109" t="s">
        <v>126</v>
      </c>
      <c r="D44" s="110">
        <f>VLOOKUP(A44,'2018_C4_Beasrbeitet_2'!$A$2:$I$55,6,FALSE)</f>
        <v>3.9975247524752477</v>
      </c>
    </row>
    <row r="45" spans="1:4" ht="15">
      <c r="A45" s="120">
        <v>460</v>
      </c>
      <c r="B45" s="109">
        <v>3460</v>
      </c>
      <c r="C45" s="109" t="s">
        <v>127</v>
      </c>
      <c r="D45" s="110">
        <f>VLOOKUP(A45,'2018_C4_Beasrbeitet_2'!$A$2:$I$55,6,FALSE)</f>
        <v>4.1569026999490575</v>
      </c>
    </row>
    <row r="46" spans="1:4" ht="15">
      <c r="A46" s="120">
        <v>461</v>
      </c>
      <c r="B46" s="109">
        <v>3461</v>
      </c>
      <c r="C46" s="109" t="s">
        <v>128</v>
      </c>
      <c r="D46" s="110">
        <f>VLOOKUP(A46,'2018_C4_Beasrbeitet_2'!$A$2:$I$55,6,FALSE)</f>
        <v>5.6619144602851321</v>
      </c>
    </row>
    <row r="47" spans="1:4" ht="15">
      <c r="A47" s="120">
        <v>462</v>
      </c>
      <c r="B47" s="109">
        <v>3462</v>
      </c>
      <c r="C47" s="109" t="s">
        <v>129</v>
      </c>
      <c r="D47" s="110">
        <f>VLOOKUP(A47,'2018_C4_Beasrbeitet_2'!$A$2:$I$55,6,FALSE)</f>
        <v>5.9649122807017543</v>
      </c>
    </row>
  </sheetData>
  <conditionalFormatting sqref="C2:D47">
    <cfRule type="expression" dxfId="0" priority="1">
      <formula>"$C$2:$C47=kkleinste($D$2:$D$47)"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8" filterMode="1"/>
  <dimension ref="B1:Z390"/>
  <sheetViews>
    <sheetView topLeftCell="G1" workbookViewId="0">
      <selection activeCell="S23" sqref="S23"/>
    </sheetView>
  </sheetViews>
  <sheetFormatPr baseColWidth="10" defaultRowHeight="13.5"/>
  <cols>
    <col min="2" max="2" width="17" customWidth="1"/>
    <col min="4" max="4" width="27.875" customWidth="1"/>
    <col min="6" max="10" width="11" customWidth="1"/>
    <col min="14" max="14" width="32.25" bestFit="1" customWidth="1"/>
    <col min="15" max="15" width="28.375" bestFit="1" customWidth="1"/>
    <col min="16" max="16" width="30" bestFit="1" customWidth="1"/>
    <col min="17" max="17" width="19.75" customWidth="1"/>
    <col min="21" max="21" width="25.5" customWidth="1"/>
    <col min="22" max="22" width="32.25" bestFit="1" customWidth="1"/>
    <col min="23" max="23" width="26.375" bestFit="1" customWidth="1"/>
    <col min="24" max="24" width="28" bestFit="1" customWidth="1"/>
    <col min="25" max="25" width="17.5" bestFit="1" customWidth="1"/>
  </cols>
  <sheetData>
    <row r="1" spans="4:17" ht="15">
      <c r="D1" s="36" t="s">
        <v>146</v>
      </c>
      <c r="E1" s="36"/>
      <c r="F1" s="36"/>
      <c r="G1" s="36"/>
      <c r="H1" s="36"/>
      <c r="I1" s="36"/>
      <c r="J1" s="36"/>
      <c r="K1" s="36"/>
      <c r="L1" s="36"/>
      <c r="M1" s="36"/>
    </row>
    <row r="2" spans="4:17" ht="15">
      <c r="D2" s="36" t="s">
        <v>2</v>
      </c>
      <c r="E2" s="36"/>
      <c r="F2" s="36"/>
      <c r="G2" s="36"/>
      <c r="H2" s="36"/>
      <c r="I2" s="36"/>
      <c r="J2" s="36"/>
      <c r="K2" s="36"/>
      <c r="L2" s="36"/>
      <c r="M2" s="36"/>
    </row>
    <row r="3" spans="4:17" ht="15">
      <c r="D3" s="36" t="s">
        <v>3</v>
      </c>
      <c r="E3" s="36"/>
      <c r="F3" s="36"/>
      <c r="G3" s="36"/>
      <c r="H3" s="36"/>
      <c r="I3" s="36"/>
      <c r="J3" s="36"/>
      <c r="K3" s="36"/>
      <c r="L3" s="36"/>
      <c r="M3" s="36"/>
    </row>
    <row r="4" spans="4:17" ht="15">
      <c r="D4" s="170" t="s">
        <v>4</v>
      </c>
      <c r="E4" s="36"/>
      <c r="F4" s="36"/>
      <c r="G4" s="36"/>
      <c r="H4" s="36"/>
      <c r="I4" s="36"/>
      <c r="J4" s="36"/>
      <c r="K4" s="36"/>
      <c r="L4" s="36"/>
      <c r="M4" s="36"/>
    </row>
    <row r="5" spans="4:17" ht="15">
      <c r="D5" s="36" t="s">
        <v>3</v>
      </c>
      <c r="E5" s="36"/>
      <c r="F5" s="36"/>
      <c r="G5" s="36"/>
      <c r="H5" s="36"/>
      <c r="I5" s="36"/>
      <c r="J5" s="36"/>
      <c r="K5" s="36"/>
      <c r="L5" s="36"/>
      <c r="M5" s="36"/>
    </row>
    <row r="6" spans="4:17" ht="15">
      <c r="D6" s="36" t="s">
        <v>147</v>
      </c>
      <c r="E6" s="36"/>
      <c r="F6" s="36"/>
      <c r="G6" s="36"/>
      <c r="H6" s="36"/>
      <c r="I6" s="36"/>
      <c r="J6" s="36"/>
      <c r="K6" s="36"/>
      <c r="L6" s="36"/>
      <c r="M6" s="36"/>
    </row>
    <row r="7" spans="4:17" ht="15">
      <c r="D7" s="36" t="s">
        <v>6</v>
      </c>
      <c r="E7" s="36"/>
      <c r="F7" s="36"/>
      <c r="G7" s="36"/>
      <c r="H7" s="36"/>
      <c r="I7" s="36"/>
      <c r="J7" s="36"/>
      <c r="K7" s="36"/>
      <c r="L7" s="36"/>
      <c r="M7" s="36"/>
    </row>
    <row r="8" spans="4:17" ht="15">
      <c r="D8" s="36" t="s">
        <v>7</v>
      </c>
      <c r="E8" s="36"/>
      <c r="F8" s="36"/>
      <c r="G8" s="36"/>
      <c r="H8" s="36"/>
      <c r="I8" s="36"/>
      <c r="J8" s="36"/>
      <c r="K8" s="36"/>
      <c r="L8" s="36"/>
      <c r="M8" s="36"/>
    </row>
    <row r="9" spans="4:17" ht="15">
      <c r="D9" s="36" t="s">
        <v>148</v>
      </c>
      <c r="E9" s="36"/>
      <c r="F9" s="36"/>
      <c r="G9" s="36"/>
      <c r="H9" s="36"/>
      <c r="I9" s="36"/>
      <c r="J9" s="36"/>
      <c r="K9" s="36"/>
      <c r="L9" s="36"/>
      <c r="M9" s="36"/>
    </row>
    <row r="10" spans="4:17" ht="15">
      <c r="D10" s="36" t="s">
        <v>3</v>
      </c>
      <c r="E10" s="36"/>
      <c r="F10" s="36"/>
      <c r="G10" s="36"/>
      <c r="H10" s="36"/>
      <c r="I10" s="36"/>
      <c r="J10" s="36"/>
      <c r="K10" s="36"/>
      <c r="L10" s="36"/>
      <c r="M10" s="36"/>
    </row>
    <row r="11" spans="4:17" ht="15">
      <c r="D11" s="36" t="s">
        <v>149</v>
      </c>
      <c r="E11" s="36"/>
      <c r="F11" s="36"/>
      <c r="G11" s="36"/>
      <c r="H11" s="36"/>
      <c r="I11" s="36"/>
      <c r="J11" s="36"/>
      <c r="K11" s="36"/>
      <c r="L11" s="36"/>
      <c r="M11" s="36"/>
    </row>
    <row r="12" spans="4:17" ht="15">
      <c r="D12" s="36" t="s">
        <v>3</v>
      </c>
      <c r="E12" s="36"/>
      <c r="F12" s="36"/>
      <c r="G12" s="36"/>
      <c r="H12" s="36"/>
      <c r="I12" s="36"/>
      <c r="J12" s="36"/>
      <c r="K12" s="36"/>
      <c r="L12" s="36"/>
      <c r="M12" s="36"/>
    </row>
    <row r="13" spans="4:17">
      <c r="D13" s="355" t="s">
        <v>10</v>
      </c>
      <c r="E13" s="358" t="s">
        <v>11</v>
      </c>
      <c r="F13" s="359"/>
      <c r="G13" s="359"/>
      <c r="H13" s="359"/>
      <c r="I13" s="359"/>
      <c r="J13" s="359"/>
      <c r="K13" s="359"/>
      <c r="L13" s="359"/>
      <c r="M13" s="360"/>
    </row>
    <row r="14" spans="4:17">
      <c r="D14" s="356"/>
      <c r="E14" s="358" t="s">
        <v>12</v>
      </c>
      <c r="F14" s="359"/>
      <c r="G14" s="360"/>
      <c r="H14" s="358" t="s">
        <v>13</v>
      </c>
      <c r="I14" s="359"/>
      <c r="J14" s="360"/>
      <c r="K14" s="358" t="s">
        <v>14</v>
      </c>
      <c r="L14" s="359"/>
      <c r="M14" s="360"/>
    </row>
    <row r="15" spans="4:17">
      <c r="D15" s="356"/>
      <c r="E15" s="37" t="s">
        <v>15</v>
      </c>
      <c r="F15" s="37" t="s">
        <v>16</v>
      </c>
      <c r="G15" s="37" t="s">
        <v>17</v>
      </c>
      <c r="H15" s="37" t="s">
        <v>15</v>
      </c>
      <c r="I15" s="37" t="s">
        <v>16</v>
      </c>
      <c r="J15" s="37" t="s">
        <v>17</v>
      </c>
      <c r="K15" s="37" t="s">
        <v>15</v>
      </c>
      <c r="L15" s="37" t="s">
        <v>16</v>
      </c>
      <c r="M15" s="37" t="s">
        <v>17</v>
      </c>
      <c r="N15" s="35"/>
      <c r="O15" s="35"/>
      <c r="P15" s="35"/>
      <c r="Q15" s="32"/>
    </row>
    <row r="16" spans="4:17">
      <c r="D16" s="357"/>
      <c r="E16" s="37" t="s">
        <v>18</v>
      </c>
      <c r="F16" s="37" t="s">
        <v>19</v>
      </c>
      <c r="G16" s="37" t="s">
        <v>20</v>
      </c>
      <c r="H16" s="37" t="s">
        <v>21</v>
      </c>
      <c r="I16" s="37" t="s">
        <v>22</v>
      </c>
      <c r="J16" s="37" t="s">
        <v>23</v>
      </c>
      <c r="K16" s="37" t="s">
        <v>24</v>
      </c>
      <c r="L16" s="37" t="s">
        <v>25</v>
      </c>
      <c r="M16" s="37" t="s">
        <v>26</v>
      </c>
    </row>
    <row r="17" spans="3:26">
      <c r="C17">
        <v>1</v>
      </c>
      <c r="D17" s="39" t="s">
        <v>27</v>
      </c>
      <c r="E17" s="41"/>
      <c r="F17" s="41"/>
      <c r="G17" s="41"/>
      <c r="H17" s="41"/>
      <c r="I17" s="41"/>
      <c r="J17" s="41"/>
      <c r="K17" s="41"/>
      <c r="L17" s="41"/>
      <c r="M17" s="40"/>
      <c r="N17" s="38" t="s">
        <v>29</v>
      </c>
      <c r="O17" s="42" t="s">
        <v>30</v>
      </c>
      <c r="P17" s="38" t="s">
        <v>31</v>
      </c>
      <c r="Q17" s="42" t="s">
        <v>32</v>
      </c>
      <c r="R17" s="48" t="s">
        <v>150</v>
      </c>
      <c r="S17" s="49" t="s">
        <v>151</v>
      </c>
      <c r="T17" s="49"/>
      <c r="U17" s="49"/>
      <c r="V17" s="38" t="s">
        <v>29</v>
      </c>
      <c r="W17" s="42" t="s">
        <v>30</v>
      </c>
      <c r="X17" s="38" t="s">
        <v>31</v>
      </c>
      <c r="Y17" s="42" t="s">
        <v>32</v>
      </c>
      <c r="Z17" t="s">
        <v>150</v>
      </c>
    </row>
    <row r="18" spans="3:26">
      <c r="D18" s="42" t="s">
        <v>28</v>
      </c>
      <c r="E18" s="43">
        <v>2956773</v>
      </c>
      <c r="F18" s="43">
        <v>1604003</v>
      </c>
      <c r="G18" s="43">
        <v>1352770</v>
      </c>
      <c r="H18" s="43">
        <v>2700138</v>
      </c>
      <c r="I18" s="43">
        <v>1433181</v>
      </c>
      <c r="J18" s="43">
        <v>1266957</v>
      </c>
      <c r="K18" s="46">
        <v>255519</v>
      </c>
      <c r="L18" s="43">
        <v>170046</v>
      </c>
      <c r="M18" s="43">
        <v>85473</v>
      </c>
      <c r="N18" s="44">
        <v>62255</v>
      </c>
      <c r="O18" s="43">
        <v>77878</v>
      </c>
      <c r="P18" s="44">
        <v>28135</v>
      </c>
      <c r="Q18" s="43">
        <v>87251</v>
      </c>
      <c r="R18" s="45">
        <f>SUM(N18:Q18)</f>
        <v>255519</v>
      </c>
      <c r="S18" t="str">
        <f>IF(R18=K18,"RICHTIG","FALSCH")</f>
        <v>RICHTIG</v>
      </c>
      <c r="V18" s="2">
        <f>N18/R18*100</f>
        <v>24.364137304857955</v>
      </c>
      <c r="W18" s="2">
        <f>O18/R18*100</f>
        <v>30.478359730587552</v>
      </c>
      <c r="X18" s="2">
        <f>P18/R18*100</f>
        <v>11.010922866792685</v>
      </c>
      <c r="Y18" s="2">
        <f>Q18/R18*100</f>
        <v>34.146580097761806</v>
      </c>
      <c r="Z18" s="2">
        <f>SUM(V18:Y18)</f>
        <v>100</v>
      </c>
    </row>
    <row r="19" spans="3:26" hidden="1">
      <c r="D19" s="38" t="s">
        <v>29</v>
      </c>
      <c r="E19" s="44">
        <v>358054</v>
      </c>
      <c r="F19" s="44">
        <v>205911</v>
      </c>
      <c r="G19" s="44">
        <v>152143</v>
      </c>
      <c r="H19" s="44">
        <v>295522</v>
      </c>
      <c r="I19" s="44">
        <v>163507</v>
      </c>
      <c r="J19" s="44">
        <v>132015</v>
      </c>
      <c r="K19" s="46">
        <v>62255</v>
      </c>
      <c r="L19" s="44">
        <v>42187</v>
      </c>
      <c r="M19" s="44">
        <v>20068</v>
      </c>
      <c r="R19" s="45"/>
      <c r="V19" s="2"/>
      <c r="W19" s="2"/>
      <c r="X19" s="2"/>
      <c r="Y19" s="2"/>
      <c r="Z19" s="2"/>
    </row>
    <row r="20" spans="3:26" hidden="1">
      <c r="D20" s="42" t="s">
        <v>30</v>
      </c>
      <c r="E20" s="43">
        <v>1928124</v>
      </c>
      <c r="F20" s="43">
        <v>1016237</v>
      </c>
      <c r="G20" s="43">
        <v>911887</v>
      </c>
      <c r="H20" s="43">
        <v>1849817</v>
      </c>
      <c r="I20" s="43">
        <v>965180</v>
      </c>
      <c r="J20" s="43">
        <v>884637</v>
      </c>
      <c r="K20" s="46">
        <v>77878</v>
      </c>
      <c r="L20" s="43">
        <v>50792</v>
      </c>
      <c r="M20" s="43">
        <v>27086</v>
      </c>
      <c r="R20" s="45"/>
      <c r="V20" s="2"/>
      <c r="W20" s="2"/>
      <c r="X20" s="2"/>
      <c r="Y20" s="2"/>
      <c r="Z20" s="2"/>
    </row>
    <row r="21" spans="3:26" hidden="1">
      <c r="D21" s="38" t="s">
        <v>31</v>
      </c>
      <c r="E21" s="44">
        <v>373190</v>
      </c>
      <c r="F21" s="44">
        <v>207261</v>
      </c>
      <c r="G21" s="44">
        <v>165929</v>
      </c>
      <c r="H21" s="44">
        <v>344965</v>
      </c>
      <c r="I21" s="44">
        <v>191938</v>
      </c>
      <c r="J21" s="44">
        <v>153027</v>
      </c>
      <c r="K21" s="46">
        <v>28135</v>
      </c>
      <c r="L21" s="44">
        <v>15264</v>
      </c>
      <c r="M21" s="44">
        <v>12871</v>
      </c>
      <c r="R21" s="45"/>
      <c r="V21" s="2"/>
      <c r="W21" s="2"/>
      <c r="X21" s="2"/>
      <c r="Y21" s="2"/>
      <c r="Z21" s="2"/>
    </row>
    <row r="22" spans="3:26" hidden="1">
      <c r="D22" s="42" t="s">
        <v>32</v>
      </c>
      <c r="E22" s="43">
        <v>297405</v>
      </c>
      <c r="F22" s="43">
        <v>174594</v>
      </c>
      <c r="G22" s="43">
        <v>122811</v>
      </c>
      <c r="H22" s="43">
        <v>209834</v>
      </c>
      <c r="I22" s="43">
        <v>112556</v>
      </c>
      <c r="J22" s="43">
        <v>97278</v>
      </c>
      <c r="K22" s="46">
        <v>87251</v>
      </c>
      <c r="L22" s="43">
        <v>61803</v>
      </c>
      <c r="M22" s="43">
        <v>25448</v>
      </c>
      <c r="R22" s="45"/>
      <c r="V22" s="2"/>
      <c r="W22" s="2"/>
      <c r="X22" s="2"/>
      <c r="Y22" s="2"/>
      <c r="Z22" s="2"/>
    </row>
    <row r="23" spans="3:26">
      <c r="C23">
        <v>2</v>
      </c>
      <c r="D23" s="39" t="s">
        <v>33</v>
      </c>
      <c r="E23" s="41"/>
      <c r="F23" s="41"/>
      <c r="G23" s="41"/>
      <c r="H23" s="41"/>
      <c r="I23" s="41"/>
      <c r="J23" s="41"/>
      <c r="K23" s="47"/>
      <c r="L23" s="41"/>
      <c r="M23" s="40"/>
      <c r="R23" s="45"/>
      <c r="V23" s="2"/>
      <c r="W23" s="2"/>
      <c r="X23" s="2"/>
      <c r="Y23" s="2"/>
      <c r="Z23" s="2"/>
    </row>
    <row r="24" spans="3:26">
      <c r="D24" s="42" t="s">
        <v>28</v>
      </c>
      <c r="E24" s="43">
        <v>640237</v>
      </c>
      <c r="F24" s="43">
        <v>356306</v>
      </c>
      <c r="G24" s="43">
        <v>283931</v>
      </c>
      <c r="H24" s="43">
        <v>592988</v>
      </c>
      <c r="I24" s="43">
        <v>324752</v>
      </c>
      <c r="J24" s="43">
        <v>268236</v>
      </c>
      <c r="K24" s="46">
        <v>47066</v>
      </c>
      <c r="L24" s="43">
        <v>31429</v>
      </c>
      <c r="M24" s="43">
        <v>15637</v>
      </c>
      <c r="N24" s="44">
        <v>10274</v>
      </c>
      <c r="O24" s="43">
        <v>15630</v>
      </c>
      <c r="P24" s="44">
        <v>9020</v>
      </c>
      <c r="Q24" s="43">
        <v>12142</v>
      </c>
      <c r="R24" s="45">
        <f>SUM(N24:Q24)</f>
        <v>47066</v>
      </c>
      <c r="S24" t="str">
        <f>IF(R24=K24,"RICHTIG","FALSCH")</f>
        <v>RICHTIG</v>
      </c>
      <c r="V24" s="2">
        <f>N24/R24*100</f>
        <v>21.828921089533846</v>
      </c>
      <c r="W24" s="2">
        <f>O24/R24*100</f>
        <v>33.208685675434495</v>
      </c>
      <c r="X24" s="2">
        <f>P24/R24*100</f>
        <v>19.164577401946204</v>
      </c>
      <c r="Y24" s="2">
        <f>Q24/R24*100</f>
        <v>25.797815833085451</v>
      </c>
      <c r="Z24" s="2">
        <f>SUM(V24:Y24)</f>
        <v>100</v>
      </c>
    </row>
    <row r="25" spans="3:26" hidden="1">
      <c r="D25" s="38" t="s">
        <v>29</v>
      </c>
      <c r="E25" s="44">
        <v>68410</v>
      </c>
      <c r="F25" s="44">
        <v>39131</v>
      </c>
      <c r="G25" s="44">
        <v>29279</v>
      </c>
      <c r="H25" s="44">
        <v>58084</v>
      </c>
      <c r="I25" s="44">
        <v>32131</v>
      </c>
      <c r="J25" s="44">
        <v>25953</v>
      </c>
      <c r="K25" s="46">
        <v>10274</v>
      </c>
      <c r="L25" s="44">
        <v>6959</v>
      </c>
      <c r="M25" s="44">
        <v>3315</v>
      </c>
      <c r="V25" s="2"/>
      <c r="W25" s="2"/>
      <c r="X25" s="2"/>
      <c r="Y25" s="2"/>
      <c r="Z25" s="2"/>
    </row>
    <row r="26" spans="3:26" hidden="1">
      <c r="D26" s="42" t="s">
        <v>30</v>
      </c>
      <c r="E26" s="43">
        <v>410467</v>
      </c>
      <c r="F26" s="43">
        <v>219918</v>
      </c>
      <c r="G26" s="43">
        <v>190549</v>
      </c>
      <c r="H26" s="43">
        <v>394775</v>
      </c>
      <c r="I26" s="43">
        <v>209417</v>
      </c>
      <c r="J26" s="43">
        <v>185358</v>
      </c>
      <c r="K26" s="46">
        <v>15630</v>
      </c>
      <c r="L26" s="43">
        <v>10464</v>
      </c>
      <c r="M26" s="43">
        <v>5166</v>
      </c>
      <c r="R26" s="45"/>
      <c r="V26" s="2"/>
      <c r="W26" s="2"/>
      <c r="X26" s="2"/>
      <c r="Y26" s="2"/>
      <c r="Z26" s="2"/>
    </row>
    <row r="27" spans="3:26" hidden="1">
      <c r="D27" s="38" t="s">
        <v>31</v>
      </c>
      <c r="E27" s="44">
        <v>106397</v>
      </c>
      <c r="F27" s="44">
        <v>64663</v>
      </c>
      <c r="G27" s="44">
        <v>41734</v>
      </c>
      <c r="H27" s="44">
        <v>97355</v>
      </c>
      <c r="I27" s="44">
        <v>59413</v>
      </c>
      <c r="J27" s="44">
        <v>37942</v>
      </c>
      <c r="K27" s="46">
        <v>9020</v>
      </c>
      <c r="L27" s="44">
        <v>5234</v>
      </c>
      <c r="M27" s="44">
        <v>3786</v>
      </c>
      <c r="R27" s="45"/>
      <c r="V27" s="2"/>
      <c r="W27" s="2"/>
      <c r="X27" s="2"/>
      <c r="Y27" s="2"/>
      <c r="Z27" s="2"/>
    </row>
    <row r="28" spans="3:26" hidden="1">
      <c r="D28" s="42" t="s">
        <v>32</v>
      </c>
      <c r="E28" s="43">
        <v>54963</v>
      </c>
      <c r="F28" s="43">
        <v>32594</v>
      </c>
      <c r="G28" s="43">
        <v>22369</v>
      </c>
      <c r="H28" s="43">
        <v>42774</v>
      </c>
      <c r="I28" s="43">
        <v>23791</v>
      </c>
      <c r="J28" s="43">
        <v>18983</v>
      </c>
      <c r="K28" s="46">
        <v>12142</v>
      </c>
      <c r="L28" s="43">
        <v>8772</v>
      </c>
      <c r="M28" s="43">
        <v>3370</v>
      </c>
      <c r="R28" s="45"/>
      <c r="V28" s="2"/>
      <c r="W28" s="2"/>
      <c r="X28" s="2"/>
      <c r="Y28" s="2"/>
      <c r="Z28" s="2"/>
    </row>
    <row r="29" spans="3:26">
      <c r="C29">
        <v>3</v>
      </c>
      <c r="D29" s="39" t="s">
        <v>34</v>
      </c>
      <c r="E29" s="41"/>
      <c r="F29" s="41"/>
      <c r="G29" s="41"/>
      <c r="H29" s="41"/>
      <c r="I29" s="41"/>
      <c r="J29" s="41"/>
      <c r="K29" s="47"/>
      <c r="L29" s="41"/>
      <c r="M29" s="40"/>
      <c r="R29" s="45"/>
      <c r="V29" s="2"/>
      <c r="W29" s="2"/>
      <c r="X29" s="2"/>
      <c r="Y29" s="2"/>
      <c r="Z29" s="2"/>
    </row>
    <row r="30" spans="3:26">
      <c r="D30" s="42" t="s">
        <v>28</v>
      </c>
      <c r="E30" s="43">
        <v>130103</v>
      </c>
      <c r="F30" s="43">
        <v>68553</v>
      </c>
      <c r="G30" s="43">
        <v>61550</v>
      </c>
      <c r="H30" s="43">
        <v>119978</v>
      </c>
      <c r="I30" s="43">
        <v>62411</v>
      </c>
      <c r="J30" s="43">
        <v>57567</v>
      </c>
      <c r="K30" s="46">
        <v>10097</v>
      </c>
      <c r="L30" s="43">
        <v>6123</v>
      </c>
      <c r="M30" s="43">
        <v>3974</v>
      </c>
      <c r="N30" s="44">
        <v>2360</v>
      </c>
      <c r="O30" s="43">
        <v>2861</v>
      </c>
      <c r="P30" s="44">
        <v>2312</v>
      </c>
      <c r="Q30" s="43">
        <v>2564</v>
      </c>
      <c r="R30" s="45">
        <f>SUM(N30:Q30)</f>
        <v>10097</v>
      </c>
      <c r="S30" t="str">
        <f>IF(R30=K30,"RICHTIG","FALSCH")</f>
        <v>RICHTIG</v>
      </c>
      <c r="V30" s="2">
        <f>N30/R30*100</f>
        <v>23.37327919183916</v>
      </c>
      <c r="W30" s="2">
        <f>O30/R30*100</f>
        <v>28.335149054174508</v>
      </c>
      <c r="X30" s="2">
        <f>P30/R30*100</f>
        <v>22.897890462513619</v>
      </c>
      <c r="Y30" s="2">
        <f>Q30/R30*100</f>
        <v>25.393681291472713</v>
      </c>
      <c r="Z30" s="2">
        <f>SUM(V30:Y30)</f>
        <v>100</v>
      </c>
    </row>
    <row r="31" spans="3:26" hidden="1">
      <c r="D31" s="38" t="s">
        <v>29</v>
      </c>
      <c r="E31" s="44">
        <v>14931</v>
      </c>
      <c r="F31" s="44">
        <v>8418</v>
      </c>
      <c r="G31" s="44">
        <v>6513</v>
      </c>
      <c r="H31" s="44">
        <v>12564</v>
      </c>
      <c r="I31" s="44">
        <v>6898</v>
      </c>
      <c r="J31" s="44">
        <v>5666</v>
      </c>
      <c r="K31" s="46">
        <v>2360</v>
      </c>
      <c r="L31" s="44">
        <v>1514</v>
      </c>
      <c r="M31" s="44">
        <v>846</v>
      </c>
      <c r="R31" s="45"/>
      <c r="V31" s="2"/>
      <c r="W31" s="2"/>
      <c r="X31" s="2"/>
      <c r="Y31" s="2"/>
      <c r="Z31" s="2"/>
    </row>
    <row r="32" spans="3:26" hidden="1">
      <c r="D32" s="42" t="s">
        <v>30</v>
      </c>
      <c r="E32" s="43">
        <v>77771</v>
      </c>
      <c r="F32" s="43">
        <v>38883</v>
      </c>
      <c r="G32" s="43">
        <v>38888</v>
      </c>
      <c r="H32" s="43">
        <v>74902</v>
      </c>
      <c r="I32" s="43">
        <v>37194</v>
      </c>
      <c r="J32" s="43">
        <v>37708</v>
      </c>
      <c r="K32" s="46">
        <v>2861</v>
      </c>
      <c r="L32" s="43">
        <v>1686</v>
      </c>
      <c r="M32" s="43">
        <v>1175</v>
      </c>
      <c r="R32" s="45"/>
      <c r="V32" s="2"/>
      <c r="W32" s="2"/>
      <c r="X32" s="2"/>
      <c r="Y32" s="2"/>
      <c r="Z32" s="2"/>
    </row>
    <row r="33" spans="3:26" hidden="1">
      <c r="D33" s="38" t="s">
        <v>31</v>
      </c>
      <c r="E33" s="44">
        <v>26862</v>
      </c>
      <c r="F33" s="44">
        <v>15625</v>
      </c>
      <c r="G33" s="44">
        <v>11237</v>
      </c>
      <c r="H33" s="44">
        <v>24546</v>
      </c>
      <c r="I33" s="44">
        <v>14321</v>
      </c>
      <c r="J33" s="44">
        <v>10225</v>
      </c>
      <c r="K33" s="46">
        <v>2312</v>
      </c>
      <c r="L33" s="44">
        <v>1301</v>
      </c>
      <c r="M33" s="44">
        <v>1011</v>
      </c>
      <c r="R33" s="45"/>
      <c r="V33" s="2"/>
      <c r="W33" s="2"/>
      <c r="X33" s="2"/>
      <c r="Y33" s="2"/>
      <c r="Z33" s="2"/>
    </row>
    <row r="34" spans="3:26" hidden="1">
      <c r="D34" s="42" t="s">
        <v>32</v>
      </c>
      <c r="E34" s="43">
        <v>10539</v>
      </c>
      <c r="F34" s="43">
        <v>5627</v>
      </c>
      <c r="G34" s="43">
        <v>4912</v>
      </c>
      <c r="H34" s="43">
        <v>7966</v>
      </c>
      <c r="I34" s="43">
        <v>3998</v>
      </c>
      <c r="J34" s="43">
        <v>3968</v>
      </c>
      <c r="K34" s="46">
        <v>2564</v>
      </c>
      <c r="L34" s="43">
        <v>1622</v>
      </c>
      <c r="M34" s="43">
        <v>942</v>
      </c>
      <c r="R34" s="45"/>
      <c r="V34" s="2"/>
      <c r="W34" s="2"/>
      <c r="X34" s="2"/>
      <c r="Y34" s="2"/>
      <c r="Z34" s="2"/>
    </row>
    <row r="35" spans="3:26">
      <c r="C35">
        <v>4</v>
      </c>
      <c r="D35" s="39" t="s">
        <v>35</v>
      </c>
      <c r="E35" s="41"/>
      <c r="F35" s="41"/>
      <c r="G35" s="41"/>
      <c r="H35" s="41"/>
      <c r="I35" s="41"/>
      <c r="J35" s="41"/>
      <c r="K35" s="47"/>
      <c r="L35" s="41"/>
      <c r="M35" s="40"/>
      <c r="R35" s="45"/>
      <c r="V35" s="2"/>
      <c r="W35" s="2"/>
      <c r="X35" s="2"/>
      <c r="Y35" s="2"/>
      <c r="Z35" s="2"/>
    </row>
    <row r="36" spans="3:26">
      <c r="D36" s="42" t="s">
        <v>28</v>
      </c>
      <c r="E36" s="43">
        <v>47975</v>
      </c>
      <c r="F36" s="43">
        <v>32138</v>
      </c>
      <c r="G36" s="43">
        <v>15837</v>
      </c>
      <c r="H36" s="43">
        <v>43612</v>
      </c>
      <c r="I36" s="43">
        <v>28751</v>
      </c>
      <c r="J36" s="43">
        <v>14861</v>
      </c>
      <c r="K36" s="46">
        <v>4348</v>
      </c>
      <c r="L36" s="43">
        <v>3378</v>
      </c>
      <c r="M36" s="43">
        <v>970</v>
      </c>
      <c r="N36" s="46">
        <v>1015</v>
      </c>
      <c r="O36" s="46">
        <v>1795</v>
      </c>
      <c r="P36" s="46">
        <v>340</v>
      </c>
      <c r="Q36" s="46">
        <v>1198</v>
      </c>
      <c r="R36" s="45">
        <f>SUM(N36:Q36)</f>
        <v>4348</v>
      </c>
      <c r="S36" t="str">
        <f>IF(R36=K36,"RICHTIG","FALSCH")</f>
        <v>RICHTIG</v>
      </c>
      <c r="V36" s="2">
        <f>N36/R36*100</f>
        <v>23.344066237350507</v>
      </c>
      <c r="W36" s="2">
        <f>O36/R36*100</f>
        <v>41.283348666053357</v>
      </c>
      <c r="X36" s="2">
        <f>P36/R36*100</f>
        <v>7.8196872125115</v>
      </c>
      <c r="Y36" s="2">
        <f>Q36/R36*100</f>
        <v>27.552897884084636</v>
      </c>
      <c r="Z36" s="2">
        <f>SUM(V36:Y36)</f>
        <v>100</v>
      </c>
    </row>
    <row r="37" spans="3:26" hidden="1">
      <c r="D37" s="38" t="s">
        <v>29</v>
      </c>
      <c r="E37" s="44">
        <v>5088</v>
      </c>
      <c r="F37" s="44">
        <v>3196</v>
      </c>
      <c r="G37" s="44">
        <v>1892</v>
      </c>
      <c r="H37" s="44">
        <v>4071</v>
      </c>
      <c r="I37" s="44">
        <v>2409</v>
      </c>
      <c r="J37" s="44">
        <v>1662</v>
      </c>
      <c r="K37" s="46">
        <v>1015</v>
      </c>
      <c r="L37" s="44">
        <v>785</v>
      </c>
      <c r="M37" s="44">
        <v>230</v>
      </c>
      <c r="R37" s="45"/>
      <c r="V37" s="2"/>
      <c r="W37" s="2"/>
      <c r="X37" s="2"/>
      <c r="Y37" s="2"/>
      <c r="Z37" s="2"/>
    </row>
    <row r="38" spans="3:26" hidden="1">
      <c r="D38" s="42" t="s">
        <v>30</v>
      </c>
      <c r="E38" s="43">
        <v>32393</v>
      </c>
      <c r="F38" s="43">
        <v>21686</v>
      </c>
      <c r="G38" s="43">
        <v>10707</v>
      </c>
      <c r="H38" s="43">
        <v>30592</v>
      </c>
      <c r="I38" s="43">
        <v>20251</v>
      </c>
      <c r="J38" s="43">
        <v>10341</v>
      </c>
      <c r="K38" s="46">
        <v>1795</v>
      </c>
      <c r="L38" s="43">
        <v>1432</v>
      </c>
      <c r="M38" s="43">
        <v>363</v>
      </c>
      <c r="R38" s="45"/>
      <c r="V38" s="2"/>
      <c r="W38" s="2"/>
      <c r="X38" s="2"/>
      <c r="Y38" s="2"/>
      <c r="Z38" s="2"/>
    </row>
    <row r="39" spans="3:26" hidden="1">
      <c r="D39" s="38" t="s">
        <v>31</v>
      </c>
      <c r="E39" s="44">
        <v>4996</v>
      </c>
      <c r="F39" s="44">
        <v>3269</v>
      </c>
      <c r="G39" s="44">
        <v>1727</v>
      </c>
      <c r="H39" s="44">
        <v>4654</v>
      </c>
      <c r="I39" s="44">
        <v>3054</v>
      </c>
      <c r="J39" s="44">
        <v>1600</v>
      </c>
      <c r="K39" s="46">
        <v>340</v>
      </c>
      <c r="L39" s="44">
        <v>213</v>
      </c>
      <c r="M39" s="44">
        <v>127</v>
      </c>
      <c r="R39" s="45"/>
      <c r="V39" s="2"/>
      <c r="W39" s="2"/>
      <c r="X39" s="2"/>
      <c r="Y39" s="2"/>
      <c r="Z39" s="2"/>
    </row>
    <row r="40" spans="3:26" hidden="1">
      <c r="D40" s="42" t="s">
        <v>32</v>
      </c>
      <c r="E40" s="43">
        <v>5498</v>
      </c>
      <c r="F40" s="43">
        <v>3987</v>
      </c>
      <c r="G40" s="43">
        <v>1511</v>
      </c>
      <c r="H40" s="43">
        <v>4295</v>
      </c>
      <c r="I40" s="43">
        <v>3037</v>
      </c>
      <c r="J40" s="43">
        <v>1258</v>
      </c>
      <c r="K40" s="46">
        <v>1198</v>
      </c>
      <c r="L40" s="43">
        <v>948</v>
      </c>
      <c r="M40" s="43">
        <v>250</v>
      </c>
      <c r="R40" s="45"/>
      <c r="V40" s="2"/>
      <c r="W40" s="2"/>
      <c r="X40" s="2"/>
      <c r="Y40" s="2"/>
      <c r="Z40" s="2"/>
    </row>
    <row r="41" spans="3:26">
      <c r="C41">
        <v>5</v>
      </c>
      <c r="D41" s="39" t="s">
        <v>36</v>
      </c>
      <c r="E41" s="41"/>
      <c r="F41" s="41"/>
      <c r="G41" s="41"/>
      <c r="H41" s="41"/>
      <c r="I41" s="41"/>
      <c r="J41" s="41"/>
      <c r="K41" s="47"/>
      <c r="L41" s="41"/>
      <c r="M41" s="40"/>
      <c r="R41" s="45"/>
      <c r="V41" s="2"/>
      <c r="W41" s="2"/>
      <c r="X41" s="2"/>
      <c r="Y41" s="2"/>
      <c r="Z41" s="2"/>
    </row>
    <row r="42" spans="3:26">
      <c r="D42" s="42" t="s">
        <v>28</v>
      </c>
      <c r="E42" s="43">
        <v>120757</v>
      </c>
      <c r="F42" s="43">
        <v>81301</v>
      </c>
      <c r="G42" s="43">
        <v>39456</v>
      </c>
      <c r="H42" s="43">
        <v>110769</v>
      </c>
      <c r="I42" s="43">
        <v>74321</v>
      </c>
      <c r="J42" s="43">
        <v>36448</v>
      </c>
      <c r="K42" s="46">
        <v>9961</v>
      </c>
      <c r="L42" s="43">
        <v>6958</v>
      </c>
      <c r="M42" s="43">
        <v>3003</v>
      </c>
      <c r="N42" s="46">
        <v>1411</v>
      </c>
      <c r="O42" s="46">
        <v>3385</v>
      </c>
      <c r="P42" s="46">
        <v>2188</v>
      </c>
      <c r="Q42" s="46">
        <v>2977</v>
      </c>
      <c r="R42" s="45">
        <f>SUM(N42:Q42)</f>
        <v>9961</v>
      </c>
      <c r="S42" t="str">
        <f>IF(R42=K42,"RICHTIG","FALSCH")</f>
        <v>RICHTIG</v>
      </c>
      <c r="V42" s="2">
        <f>N42/R42*100</f>
        <v>14.165244453368137</v>
      </c>
      <c r="W42" s="2">
        <f>O42/R42*100</f>
        <v>33.982531874309807</v>
      </c>
      <c r="X42" s="2">
        <f>P42/R42*100</f>
        <v>21.965666097781348</v>
      </c>
      <c r="Y42" s="2">
        <f>Q42/R42*100</f>
        <v>29.886557574540706</v>
      </c>
      <c r="Z42" s="2">
        <f>SUM(V42:Y42)</f>
        <v>100</v>
      </c>
    </row>
    <row r="43" spans="3:26" hidden="1">
      <c r="D43" s="38" t="s">
        <v>29</v>
      </c>
      <c r="E43" s="44">
        <v>7460</v>
      </c>
      <c r="F43" s="44">
        <v>4424</v>
      </c>
      <c r="G43" s="44">
        <v>3036</v>
      </c>
      <c r="H43" s="44">
        <v>6042</v>
      </c>
      <c r="I43" s="44">
        <v>3461</v>
      </c>
      <c r="J43" s="44">
        <v>2581</v>
      </c>
      <c r="K43" s="46">
        <v>1411</v>
      </c>
      <c r="L43" s="44">
        <v>958</v>
      </c>
      <c r="M43" s="44">
        <v>453</v>
      </c>
      <c r="R43" s="45"/>
      <c r="V43" s="2"/>
      <c r="W43" s="2"/>
      <c r="X43" s="2"/>
      <c r="Y43" s="2"/>
      <c r="Z43" s="2"/>
    </row>
    <row r="44" spans="3:26" hidden="1">
      <c r="D44" s="42" t="s">
        <v>30</v>
      </c>
      <c r="E44" s="43">
        <v>70915</v>
      </c>
      <c r="F44" s="43">
        <v>46686</v>
      </c>
      <c r="G44" s="43">
        <v>24229</v>
      </c>
      <c r="H44" s="43">
        <v>67521</v>
      </c>
      <c r="I44" s="43">
        <v>44372</v>
      </c>
      <c r="J44" s="43">
        <v>23149</v>
      </c>
      <c r="K44" s="46">
        <v>3385</v>
      </c>
      <c r="L44" s="43">
        <v>2307</v>
      </c>
      <c r="M44" s="43">
        <v>1078</v>
      </c>
      <c r="R44" s="45"/>
      <c r="V44" s="2"/>
      <c r="W44" s="2"/>
      <c r="X44" s="2"/>
      <c r="Y44" s="2"/>
      <c r="Z44" s="2"/>
    </row>
    <row r="45" spans="3:26" hidden="1">
      <c r="D45" s="38" t="s">
        <v>31</v>
      </c>
      <c r="E45" s="44">
        <v>28825</v>
      </c>
      <c r="F45" s="44">
        <v>21125</v>
      </c>
      <c r="G45" s="44">
        <v>7700</v>
      </c>
      <c r="H45" s="44">
        <v>26632</v>
      </c>
      <c r="I45" s="44">
        <v>19689</v>
      </c>
      <c r="J45" s="44">
        <v>6943</v>
      </c>
      <c r="K45" s="46">
        <v>2188</v>
      </c>
      <c r="L45" s="44">
        <v>1431</v>
      </c>
      <c r="M45" s="44">
        <v>757</v>
      </c>
      <c r="R45" s="45"/>
      <c r="V45" s="2"/>
      <c r="W45" s="2"/>
      <c r="X45" s="2"/>
      <c r="Y45" s="2"/>
      <c r="Z45" s="2"/>
    </row>
    <row r="46" spans="3:26" hidden="1">
      <c r="D46" s="42" t="s">
        <v>32</v>
      </c>
      <c r="E46" s="43">
        <v>13557</v>
      </c>
      <c r="F46" s="43">
        <v>9066</v>
      </c>
      <c r="G46" s="43">
        <v>4491</v>
      </c>
      <c r="H46" s="43">
        <v>10574</v>
      </c>
      <c r="I46" s="43">
        <v>6799</v>
      </c>
      <c r="J46" s="43">
        <v>3775</v>
      </c>
      <c r="K46" s="46">
        <v>2977</v>
      </c>
      <c r="L46" s="43">
        <v>2262</v>
      </c>
      <c r="M46" s="43">
        <v>715</v>
      </c>
      <c r="R46" s="45"/>
      <c r="V46" s="2"/>
      <c r="W46" s="2"/>
      <c r="X46" s="2"/>
      <c r="Y46" s="2"/>
      <c r="Z46" s="2"/>
    </row>
    <row r="47" spans="3:26">
      <c r="C47">
        <v>6</v>
      </c>
      <c r="D47" s="39" t="s">
        <v>37</v>
      </c>
      <c r="E47" s="41"/>
      <c r="F47" s="41"/>
      <c r="G47" s="41"/>
      <c r="H47" s="41"/>
      <c r="I47" s="41"/>
      <c r="J47" s="41"/>
      <c r="K47" s="47"/>
      <c r="L47" s="41"/>
      <c r="M47" s="40"/>
      <c r="R47" s="45"/>
      <c r="V47" s="2"/>
      <c r="W47" s="2"/>
      <c r="X47" s="2"/>
      <c r="Y47" s="2"/>
      <c r="Z47" s="2"/>
    </row>
    <row r="48" spans="3:26">
      <c r="D48" s="42" t="s">
        <v>28</v>
      </c>
      <c r="E48" s="43">
        <v>41976</v>
      </c>
      <c r="F48" s="43">
        <v>21895</v>
      </c>
      <c r="G48" s="43">
        <v>20081</v>
      </c>
      <c r="H48" s="43">
        <v>39280</v>
      </c>
      <c r="I48" s="43">
        <v>20120</v>
      </c>
      <c r="J48" s="43">
        <v>19160</v>
      </c>
      <c r="K48" s="46">
        <v>2689</v>
      </c>
      <c r="L48" s="43">
        <v>1771</v>
      </c>
      <c r="M48" s="43">
        <v>918</v>
      </c>
      <c r="N48" s="46">
        <v>696</v>
      </c>
      <c r="O48" s="46">
        <v>723</v>
      </c>
      <c r="P48" s="46">
        <v>414</v>
      </c>
      <c r="Q48" s="46">
        <v>856</v>
      </c>
      <c r="R48" s="45">
        <f>SUM(N48:Q48)</f>
        <v>2689</v>
      </c>
      <c r="S48" t="str">
        <f>IF(R48=K48,"RICHTIG","FALSCH")</f>
        <v>RICHTIG</v>
      </c>
      <c r="V48" s="2">
        <f>N48/R48*100</f>
        <v>25.883227965786539</v>
      </c>
      <c r="W48" s="2">
        <f>O48/R48*100</f>
        <v>26.887318705838602</v>
      </c>
      <c r="X48" s="2">
        <f>P48/R48*100</f>
        <v>15.396058014131647</v>
      </c>
      <c r="Y48" s="2">
        <f>Q48/R48*100</f>
        <v>31.833395314243212</v>
      </c>
      <c r="Z48" s="2">
        <f>SUM(V48:Y48)</f>
        <v>100</v>
      </c>
    </row>
    <row r="49" spans="3:26" hidden="1">
      <c r="D49" s="38" t="s">
        <v>29</v>
      </c>
      <c r="E49" s="44">
        <v>5381</v>
      </c>
      <c r="F49" s="44">
        <v>2977</v>
      </c>
      <c r="G49" s="44">
        <v>2404</v>
      </c>
      <c r="H49" s="44">
        <v>4685</v>
      </c>
      <c r="I49" s="44">
        <v>2522</v>
      </c>
      <c r="J49" s="44">
        <v>2163</v>
      </c>
      <c r="K49" s="46">
        <v>696</v>
      </c>
      <c r="L49" s="44">
        <v>455</v>
      </c>
      <c r="M49" s="44">
        <v>241</v>
      </c>
      <c r="R49" s="45"/>
      <c r="V49" s="2"/>
      <c r="W49" s="2"/>
      <c r="X49" s="2"/>
      <c r="Y49" s="2"/>
      <c r="Z49" s="2"/>
    </row>
    <row r="50" spans="3:26" hidden="1">
      <c r="D50" s="42" t="s">
        <v>30</v>
      </c>
      <c r="E50" s="43">
        <v>26936</v>
      </c>
      <c r="F50" s="43">
        <v>12840</v>
      </c>
      <c r="G50" s="43">
        <v>14096</v>
      </c>
      <c r="H50" s="43">
        <v>26209</v>
      </c>
      <c r="I50" s="43">
        <v>12440</v>
      </c>
      <c r="J50" s="43">
        <v>13769</v>
      </c>
      <c r="K50" s="46">
        <v>723</v>
      </c>
      <c r="L50" s="43">
        <v>398</v>
      </c>
      <c r="M50" s="43">
        <v>325</v>
      </c>
      <c r="R50" s="45"/>
      <c r="V50" s="2"/>
      <c r="W50" s="2"/>
      <c r="X50" s="2"/>
      <c r="Y50" s="2"/>
      <c r="Z50" s="2"/>
    </row>
    <row r="51" spans="3:26" hidden="1">
      <c r="D51" s="38" t="s">
        <v>31</v>
      </c>
      <c r="E51" s="44">
        <v>6152</v>
      </c>
      <c r="F51" s="44">
        <v>4046</v>
      </c>
      <c r="G51" s="44">
        <v>2106</v>
      </c>
      <c r="H51" s="44">
        <v>5737</v>
      </c>
      <c r="I51" s="44">
        <v>3803</v>
      </c>
      <c r="J51" s="44">
        <v>1934</v>
      </c>
      <c r="K51" s="46">
        <v>414</v>
      </c>
      <c r="L51" s="44">
        <v>242</v>
      </c>
      <c r="M51" s="44">
        <v>172</v>
      </c>
      <c r="R51" s="45"/>
      <c r="V51" s="2"/>
      <c r="W51" s="2"/>
      <c r="X51" s="2"/>
      <c r="Y51" s="2"/>
      <c r="Z51" s="2"/>
    </row>
    <row r="52" spans="3:26" hidden="1">
      <c r="D52" s="42" t="s">
        <v>32</v>
      </c>
      <c r="E52" s="43">
        <v>3507</v>
      </c>
      <c r="F52" s="43">
        <v>2032</v>
      </c>
      <c r="G52" s="43">
        <v>1475</v>
      </c>
      <c r="H52" s="43">
        <v>2649</v>
      </c>
      <c r="I52" s="43">
        <v>1355</v>
      </c>
      <c r="J52" s="43">
        <v>1294</v>
      </c>
      <c r="K52" s="46">
        <v>856</v>
      </c>
      <c r="L52" s="43">
        <v>676</v>
      </c>
      <c r="M52" s="43">
        <v>180</v>
      </c>
      <c r="R52" s="45"/>
      <c r="V52" s="2"/>
      <c r="W52" s="2"/>
      <c r="X52" s="2"/>
      <c r="Y52" s="2"/>
      <c r="Z52" s="2"/>
    </row>
    <row r="53" spans="3:26">
      <c r="C53">
        <v>7</v>
      </c>
      <c r="D53" s="39" t="s">
        <v>38</v>
      </c>
      <c r="E53" s="41"/>
      <c r="F53" s="41"/>
      <c r="G53" s="41"/>
      <c r="H53" s="41"/>
      <c r="I53" s="41"/>
      <c r="J53" s="41"/>
      <c r="K53" s="47"/>
      <c r="L53" s="41"/>
      <c r="M53" s="40"/>
      <c r="R53" s="45"/>
      <c r="V53" s="2"/>
      <c r="W53" s="2"/>
      <c r="X53" s="2"/>
      <c r="Y53" s="2"/>
      <c r="Z53" s="2"/>
    </row>
    <row r="54" spans="3:26">
      <c r="D54" s="42" t="s">
        <v>28</v>
      </c>
      <c r="E54" s="43">
        <v>45334</v>
      </c>
      <c r="F54" s="43">
        <v>22750</v>
      </c>
      <c r="G54" s="43">
        <v>22584</v>
      </c>
      <c r="H54" s="43">
        <v>42548</v>
      </c>
      <c r="I54" s="43">
        <v>20938</v>
      </c>
      <c r="J54" s="43">
        <v>21610</v>
      </c>
      <c r="K54" s="46">
        <v>2762</v>
      </c>
      <c r="L54" s="43">
        <v>1800</v>
      </c>
      <c r="M54" s="43">
        <v>962</v>
      </c>
      <c r="N54" s="46">
        <v>659</v>
      </c>
      <c r="O54" s="46">
        <v>878</v>
      </c>
      <c r="P54" s="46">
        <v>459</v>
      </c>
      <c r="Q54" s="46">
        <v>766</v>
      </c>
      <c r="R54" s="45">
        <f>SUM(N54:Q54)</f>
        <v>2762</v>
      </c>
      <c r="S54" t="str">
        <f>IF(R54=K54,"RICHTIG","FALSCH")</f>
        <v>RICHTIG</v>
      </c>
      <c r="V54" s="2">
        <f>N54/R54*100</f>
        <v>23.859522085445327</v>
      </c>
      <c r="W54" s="2">
        <f>O54/R54*100</f>
        <v>31.788559015206374</v>
      </c>
      <c r="X54" s="2">
        <f>P54/R54*100</f>
        <v>16.618392469225199</v>
      </c>
      <c r="Y54" s="2">
        <f>Q54/R54*100</f>
        <v>27.733526430123099</v>
      </c>
      <c r="Z54" s="2">
        <f>SUM(V54:Y54)</f>
        <v>100</v>
      </c>
    </row>
    <row r="55" spans="3:26" hidden="1">
      <c r="D55" s="38" t="s">
        <v>29</v>
      </c>
      <c r="E55" s="44">
        <v>4955</v>
      </c>
      <c r="F55" s="44">
        <v>2717</v>
      </c>
      <c r="G55" s="44">
        <v>2238</v>
      </c>
      <c r="H55" s="44">
        <v>4291</v>
      </c>
      <c r="I55" s="44">
        <v>2278</v>
      </c>
      <c r="J55" s="44">
        <v>2013</v>
      </c>
      <c r="K55" s="46">
        <v>659</v>
      </c>
      <c r="L55" s="44">
        <v>437</v>
      </c>
      <c r="M55" s="44">
        <v>222</v>
      </c>
      <c r="R55" s="45"/>
      <c r="V55" s="2"/>
      <c r="W55" s="2"/>
      <c r="X55" s="2"/>
      <c r="Y55" s="2"/>
      <c r="Z55" s="2"/>
    </row>
    <row r="56" spans="3:26" hidden="1">
      <c r="D56" s="42" t="s">
        <v>30</v>
      </c>
      <c r="E56" s="43">
        <v>32098</v>
      </c>
      <c r="F56" s="43">
        <v>15635</v>
      </c>
      <c r="G56" s="43">
        <v>16463</v>
      </c>
      <c r="H56" s="43">
        <v>31212</v>
      </c>
      <c r="I56" s="43">
        <v>15087</v>
      </c>
      <c r="J56" s="43">
        <v>16125</v>
      </c>
      <c r="K56" s="46">
        <v>878</v>
      </c>
      <c r="L56" s="43">
        <v>544</v>
      </c>
      <c r="M56" s="43">
        <v>334</v>
      </c>
      <c r="R56" s="45"/>
      <c r="V56" s="2"/>
      <c r="W56" s="2"/>
      <c r="X56" s="2"/>
      <c r="Y56" s="2"/>
      <c r="Z56" s="2"/>
    </row>
    <row r="57" spans="3:26" hidden="1">
      <c r="D57" s="38" t="s">
        <v>31</v>
      </c>
      <c r="E57" s="44">
        <v>4756</v>
      </c>
      <c r="F57" s="44">
        <v>2599</v>
      </c>
      <c r="G57" s="44">
        <v>2157</v>
      </c>
      <c r="H57" s="44">
        <v>4296</v>
      </c>
      <c r="I57" s="44">
        <v>2325</v>
      </c>
      <c r="J57" s="44">
        <v>1971</v>
      </c>
      <c r="K57" s="46">
        <v>459</v>
      </c>
      <c r="L57" s="44">
        <v>274</v>
      </c>
      <c r="M57" s="44">
        <v>185</v>
      </c>
      <c r="R57" s="45"/>
      <c r="V57" s="2"/>
      <c r="W57" s="2"/>
      <c r="X57" s="2"/>
      <c r="Y57" s="2"/>
      <c r="Z57" s="2"/>
    </row>
    <row r="58" spans="3:26" hidden="1">
      <c r="D58" s="42" t="s">
        <v>32</v>
      </c>
      <c r="E58" s="43">
        <v>3525</v>
      </c>
      <c r="F58" s="43">
        <v>1799</v>
      </c>
      <c r="G58" s="43">
        <v>1726</v>
      </c>
      <c r="H58" s="43">
        <v>2749</v>
      </c>
      <c r="I58" s="43">
        <v>1248</v>
      </c>
      <c r="J58" s="43">
        <v>1501</v>
      </c>
      <c r="K58" s="46">
        <v>766</v>
      </c>
      <c r="L58" s="43">
        <v>545</v>
      </c>
      <c r="M58" s="43">
        <v>221</v>
      </c>
      <c r="R58" s="45"/>
      <c r="V58" s="2"/>
      <c r="W58" s="2"/>
      <c r="X58" s="2"/>
      <c r="Y58" s="2"/>
      <c r="Z58" s="2"/>
    </row>
    <row r="59" spans="3:26">
      <c r="C59">
        <v>8</v>
      </c>
      <c r="D59" s="39" t="s">
        <v>39</v>
      </c>
      <c r="E59" s="41"/>
      <c r="F59" s="41"/>
      <c r="G59" s="41"/>
      <c r="H59" s="41"/>
      <c r="I59" s="41"/>
      <c r="J59" s="41"/>
      <c r="K59" s="47"/>
      <c r="L59" s="41"/>
      <c r="M59" s="40"/>
      <c r="R59" s="45"/>
      <c r="V59" s="2"/>
      <c r="W59" s="2"/>
      <c r="X59" s="2"/>
      <c r="Y59" s="2"/>
      <c r="Z59" s="2"/>
    </row>
    <row r="60" spans="3:26">
      <c r="D60" s="42" t="s">
        <v>28</v>
      </c>
      <c r="E60" s="43">
        <v>22488</v>
      </c>
      <c r="F60" s="43">
        <v>9679</v>
      </c>
      <c r="G60" s="43">
        <v>12809</v>
      </c>
      <c r="H60" s="43">
        <v>21049</v>
      </c>
      <c r="I60" s="43">
        <v>8680</v>
      </c>
      <c r="J60" s="43">
        <v>12369</v>
      </c>
      <c r="K60" s="46">
        <v>1431</v>
      </c>
      <c r="L60" s="43">
        <v>994</v>
      </c>
      <c r="M60" s="43">
        <v>437</v>
      </c>
      <c r="N60" s="46">
        <v>305</v>
      </c>
      <c r="O60" s="46">
        <v>606</v>
      </c>
      <c r="P60" s="46">
        <v>182</v>
      </c>
      <c r="Q60" s="46">
        <v>338</v>
      </c>
      <c r="R60" s="45">
        <f>SUM(N60:Q60)</f>
        <v>1431</v>
      </c>
      <c r="S60" t="str">
        <f>IF(R60=K60,"RICHTIG","FALSCH")</f>
        <v>RICHTIG</v>
      </c>
      <c r="V60" s="2">
        <f>N60/R60*100</f>
        <v>21.313766596785463</v>
      </c>
      <c r="W60" s="2">
        <f>O60/R60*100</f>
        <v>42.348008385744237</v>
      </c>
      <c r="X60" s="2">
        <f>P60/R60*100</f>
        <v>12.718378756114603</v>
      </c>
      <c r="Y60" s="2">
        <f>Q60/R60*100</f>
        <v>23.619846261355697</v>
      </c>
      <c r="Z60" s="2">
        <f>SUM(V60:Y60)</f>
        <v>100</v>
      </c>
    </row>
    <row r="61" spans="3:26" hidden="1">
      <c r="D61" s="38" t="s">
        <v>29</v>
      </c>
      <c r="E61" s="44">
        <v>2496</v>
      </c>
      <c r="F61" s="44">
        <v>1260</v>
      </c>
      <c r="G61" s="44">
        <v>1236</v>
      </c>
      <c r="H61" s="44">
        <v>2190</v>
      </c>
      <c r="I61" s="44">
        <v>1068</v>
      </c>
      <c r="J61" s="44">
        <v>1122</v>
      </c>
      <c r="K61" s="46">
        <v>305</v>
      </c>
      <c r="L61" s="44">
        <v>192</v>
      </c>
      <c r="M61" s="44">
        <v>113</v>
      </c>
      <c r="R61" s="45"/>
      <c r="V61" s="2"/>
      <c r="W61" s="2"/>
      <c r="X61" s="2"/>
      <c r="Y61" s="2"/>
      <c r="Z61" s="2"/>
    </row>
    <row r="62" spans="3:26" hidden="1">
      <c r="D62" s="42" t="s">
        <v>30</v>
      </c>
      <c r="E62" s="43">
        <v>15661</v>
      </c>
      <c r="F62" s="43">
        <v>6248</v>
      </c>
      <c r="G62" s="43">
        <v>9413</v>
      </c>
      <c r="H62" s="43">
        <v>15049</v>
      </c>
      <c r="I62" s="43">
        <v>5803</v>
      </c>
      <c r="J62" s="43">
        <v>9246</v>
      </c>
      <c r="K62" s="46">
        <v>606</v>
      </c>
      <c r="L62" s="43">
        <v>441</v>
      </c>
      <c r="M62" s="43">
        <v>165</v>
      </c>
      <c r="R62" s="45"/>
      <c r="V62" s="2"/>
      <c r="W62" s="2"/>
      <c r="X62" s="2"/>
      <c r="Y62" s="2"/>
      <c r="Z62" s="2"/>
    </row>
    <row r="63" spans="3:26" hidden="1">
      <c r="D63" s="38" t="s">
        <v>31</v>
      </c>
      <c r="E63" s="44">
        <v>2223</v>
      </c>
      <c r="F63" s="44">
        <v>1053</v>
      </c>
      <c r="G63" s="44">
        <v>1170</v>
      </c>
      <c r="H63" s="44">
        <v>2041</v>
      </c>
      <c r="I63" s="44">
        <v>943</v>
      </c>
      <c r="J63" s="44">
        <v>1098</v>
      </c>
      <c r="K63" s="46">
        <v>182</v>
      </c>
      <c r="L63" s="44">
        <v>110</v>
      </c>
      <c r="M63" s="44">
        <v>72</v>
      </c>
      <c r="R63" s="45"/>
      <c r="V63" s="2"/>
      <c r="W63" s="2"/>
      <c r="X63" s="2"/>
      <c r="Y63" s="2"/>
      <c r="Z63" s="2"/>
    </row>
    <row r="64" spans="3:26" hidden="1">
      <c r="D64" s="42" t="s">
        <v>32</v>
      </c>
      <c r="E64" s="43">
        <v>2108</v>
      </c>
      <c r="F64" s="43">
        <v>1118</v>
      </c>
      <c r="G64" s="43">
        <v>990</v>
      </c>
      <c r="H64" s="43">
        <v>1769</v>
      </c>
      <c r="I64" s="43">
        <v>866</v>
      </c>
      <c r="J64" s="43">
        <v>903</v>
      </c>
      <c r="K64" s="46">
        <v>338</v>
      </c>
      <c r="L64" s="43">
        <v>251</v>
      </c>
      <c r="M64" s="43">
        <v>87</v>
      </c>
      <c r="R64" s="45"/>
      <c r="V64" s="2"/>
      <c r="W64" s="2"/>
      <c r="X64" s="2"/>
      <c r="Y64" s="2"/>
      <c r="Z64" s="2"/>
    </row>
    <row r="65" spans="3:26">
      <c r="C65">
        <v>9</v>
      </c>
      <c r="D65" s="39" t="s">
        <v>40</v>
      </c>
      <c r="E65" s="41"/>
      <c r="F65" s="41"/>
      <c r="G65" s="41"/>
      <c r="H65" s="41"/>
      <c r="I65" s="41"/>
      <c r="J65" s="41"/>
      <c r="K65" s="47"/>
      <c r="L65" s="41"/>
      <c r="M65" s="40"/>
      <c r="R65" s="45"/>
      <c r="V65" s="2"/>
      <c r="W65" s="2"/>
      <c r="X65" s="2"/>
      <c r="Y65" s="2"/>
      <c r="Z65" s="2"/>
    </row>
    <row r="66" spans="3:26">
      <c r="D66" s="42" t="s">
        <v>28</v>
      </c>
      <c r="E66" s="43">
        <v>45481</v>
      </c>
      <c r="F66" s="43">
        <v>24951</v>
      </c>
      <c r="G66" s="43">
        <v>20530</v>
      </c>
      <c r="H66" s="43">
        <v>42353</v>
      </c>
      <c r="I66" s="43">
        <v>22551</v>
      </c>
      <c r="J66" s="43">
        <v>19802</v>
      </c>
      <c r="K66" s="46">
        <v>3117</v>
      </c>
      <c r="L66" s="43">
        <v>2391</v>
      </c>
      <c r="M66" s="43">
        <v>726</v>
      </c>
      <c r="N66" s="46">
        <v>701</v>
      </c>
      <c r="O66" s="46">
        <v>1412</v>
      </c>
      <c r="P66" s="46">
        <v>255</v>
      </c>
      <c r="Q66" s="46">
        <v>749</v>
      </c>
      <c r="R66" s="45">
        <f>SUM(N66:Q66)</f>
        <v>3117</v>
      </c>
      <c r="S66" t="str">
        <f>IF(R66=K66,"RICHTIG","FALSCH")</f>
        <v>RICHTIG</v>
      </c>
      <c r="V66" s="2">
        <f>N66/R66*100</f>
        <v>22.48957330766763</v>
      </c>
      <c r="W66" s="2">
        <f>O66/R66*100</f>
        <v>45.299967917869751</v>
      </c>
      <c r="X66" s="2">
        <f>P66/R66*100</f>
        <v>8.1809432146294512</v>
      </c>
      <c r="Y66" s="2">
        <f>Q66/R66*100</f>
        <v>24.029515559833172</v>
      </c>
      <c r="Z66" s="2">
        <f>SUM(V66:Y66)</f>
        <v>100</v>
      </c>
    </row>
    <row r="67" spans="3:26" hidden="1">
      <c r="D67" s="38" t="s">
        <v>29</v>
      </c>
      <c r="E67" s="44">
        <v>5060</v>
      </c>
      <c r="F67" s="44">
        <v>3066</v>
      </c>
      <c r="G67" s="44">
        <v>1994</v>
      </c>
      <c r="H67" s="44">
        <v>4355</v>
      </c>
      <c r="I67" s="44">
        <v>2534</v>
      </c>
      <c r="J67" s="44">
        <v>1821</v>
      </c>
      <c r="K67" s="46">
        <v>701</v>
      </c>
      <c r="L67" s="44">
        <v>528</v>
      </c>
      <c r="M67" s="44">
        <v>173</v>
      </c>
      <c r="R67" s="45"/>
      <c r="V67" s="2"/>
      <c r="W67" s="2"/>
      <c r="X67" s="2"/>
      <c r="Y67" s="2"/>
      <c r="Z67" s="2"/>
    </row>
    <row r="68" spans="3:26" hidden="1">
      <c r="D68" s="42" t="s">
        <v>30</v>
      </c>
      <c r="E68" s="43">
        <v>32847</v>
      </c>
      <c r="F68" s="43">
        <v>17909</v>
      </c>
      <c r="G68" s="43">
        <v>14938</v>
      </c>
      <c r="H68" s="43">
        <v>31433</v>
      </c>
      <c r="I68" s="43">
        <v>16760</v>
      </c>
      <c r="J68" s="43">
        <v>14673</v>
      </c>
      <c r="K68" s="46">
        <v>1412</v>
      </c>
      <c r="L68" s="43">
        <v>1148</v>
      </c>
      <c r="M68" s="43">
        <v>264</v>
      </c>
      <c r="R68" s="45"/>
      <c r="V68" s="2"/>
      <c r="W68" s="2"/>
      <c r="X68" s="2"/>
      <c r="Y68" s="2"/>
      <c r="Z68" s="2"/>
    </row>
    <row r="69" spans="3:26" hidden="1">
      <c r="D69" s="38" t="s">
        <v>31</v>
      </c>
      <c r="E69" s="44">
        <v>4294</v>
      </c>
      <c r="F69" s="44">
        <v>2220</v>
      </c>
      <c r="G69" s="44">
        <v>2074</v>
      </c>
      <c r="H69" s="44">
        <v>4038</v>
      </c>
      <c r="I69" s="44">
        <v>2068</v>
      </c>
      <c r="J69" s="44">
        <v>1970</v>
      </c>
      <c r="K69" s="46">
        <v>255</v>
      </c>
      <c r="L69" s="44">
        <v>151</v>
      </c>
      <c r="M69" s="44">
        <v>104</v>
      </c>
      <c r="R69" s="45"/>
      <c r="V69" s="2"/>
      <c r="W69" s="2"/>
      <c r="X69" s="2"/>
      <c r="Y69" s="2"/>
      <c r="Z69" s="2"/>
    </row>
    <row r="70" spans="3:26" hidden="1">
      <c r="D70" s="42" t="s">
        <v>32</v>
      </c>
      <c r="E70" s="43">
        <v>3280</v>
      </c>
      <c r="F70" s="43">
        <v>1756</v>
      </c>
      <c r="G70" s="43">
        <v>1524</v>
      </c>
      <c r="H70" s="43">
        <v>2527</v>
      </c>
      <c r="I70" s="43">
        <v>1189</v>
      </c>
      <c r="J70" s="43">
        <v>1338</v>
      </c>
      <c r="K70" s="46">
        <v>749</v>
      </c>
      <c r="L70" s="43">
        <v>564</v>
      </c>
      <c r="M70" s="43">
        <v>185</v>
      </c>
      <c r="R70" s="45"/>
      <c r="V70" s="2"/>
      <c r="W70" s="2"/>
      <c r="X70" s="2"/>
      <c r="Y70" s="2"/>
      <c r="Z70" s="2"/>
    </row>
    <row r="71" spans="3:26">
      <c r="C71">
        <v>10</v>
      </c>
      <c r="D71" s="39" t="s">
        <v>41</v>
      </c>
      <c r="E71" s="41"/>
      <c r="F71" s="41"/>
      <c r="G71" s="41"/>
      <c r="H71" s="41"/>
      <c r="I71" s="41"/>
      <c r="J71" s="41"/>
      <c r="K71" s="47"/>
      <c r="L71" s="41"/>
      <c r="M71" s="40"/>
      <c r="R71" s="45"/>
      <c r="V71" s="2"/>
      <c r="W71" s="2"/>
      <c r="X71" s="2"/>
      <c r="Y71" s="2"/>
      <c r="Z71" s="2"/>
    </row>
    <row r="72" spans="3:26">
      <c r="D72" s="42" t="s">
        <v>28</v>
      </c>
      <c r="E72" s="43">
        <v>32164</v>
      </c>
      <c r="F72" s="43">
        <v>17073</v>
      </c>
      <c r="G72" s="43">
        <v>15091</v>
      </c>
      <c r="H72" s="43">
        <v>29551</v>
      </c>
      <c r="I72" s="43">
        <v>15182</v>
      </c>
      <c r="J72" s="43">
        <v>14369</v>
      </c>
      <c r="K72" s="46">
        <v>2590</v>
      </c>
      <c r="L72" s="43">
        <v>1871</v>
      </c>
      <c r="M72" s="43">
        <v>719</v>
      </c>
      <c r="N72" s="46">
        <v>787</v>
      </c>
      <c r="O72" s="46">
        <v>863</v>
      </c>
      <c r="P72" s="46">
        <v>178</v>
      </c>
      <c r="Q72" s="46">
        <v>762</v>
      </c>
      <c r="R72" s="45">
        <f>SUM(N72:Q72)</f>
        <v>2590</v>
      </c>
      <c r="S72" t="str">
        <f>IF(R72=K72,"RICHTIG","FALSCH")</f>
        <v>RICHTIG</v>
      </c>
      <c r="V72" s="2">
        <f>N72/R72*100</f>
        <v>30.386100386100384</v>
      </c>
      <c r="W72" s="2">
        <f>O72/R72*100</f>
        <v>33.320463320463325</v>
      </c>
      <c r="X72" s="2">
        <f>P72/R72*100</f>
        <v>6.8725868725868722</v>
      </c>
      <c r="Y72" s="2">
        <f>Q72/R72*100</f>
        <v>29.420849420849422</v>
      </c>
      <c r="Z72" s="2">
        <f>SUM(V72:Y72)</f>
        <v>100.00000000000001</v>
      </c>
    </row>
    <row r="73" spans="3:26" hidden="1">
      <c r="D73" s="38" t="s">
        <v>29</v>
      </c>
      <c r="E73" s="44">
        <v>4990</v>
      </c>
      <c r="F73" s="44">
        <v>3024</v>
      </c>
      <c r="G73" s="44">
        <v>1966</v>
      </c>
      <c r="H73" s="44">
        <v>4192</v>
      </c>
      <c r="I73" s="44">
        <v>2436</v>
      </c>
      <c r="J73" s="44">
        <v>1756</v>
      </c>
      <c r="K73" s="46">
        <v>787</v>
      </c>
      <c r="L73" s="44">
        <v>578</v>
      </c>
      <c r="M73" s="44">
        <v>209</v>
      </c>
      <c r="R73" s="45"/>
      <c r="V73" s="2"/>
      <c r="W73" s="2"/>
      <c r="X73" s="2"/>
      <c r="Y73" s="2"/>
      <c r="Z73" s="2"/>
    </row>
    <row r="74" spans="3:26" hidden="1">
      <c r="D74" s="42" t="s">
        <v>30</v>
      </c>
      <c r="E74" s="43">
        <v>21626</v>
      </c>
      <c r="F74" s="43">
        <v>10933</v>
      </c>
      <c r="G74" s="43">
        <v>10693</v>
      </c>
      <c r="H74" s="43">
        <v>20753</v>
      </c>
      <c r="I74" s="43">
        <v>10325</v>
      </c>
      <c r="J74" s="43">
        <v>10428</v>
      </c>
      <c r="K74" s="46">
        <v>863</v>
      </c>
      <c r="L74" s="43">
        <v>600</v>
      </c>
      <c r="M74" s="43">
        <v>263</v>
      </c>
      <c r="R74" s="45"/>
      <c r="V74" s="2"/>
      <c r="W74" s="2"/>
      <c r="X74" s="2"/>
      <c r="Y74" s="2"/>
      <c r="Z74" s="2"/>
    </row>
    <row r="75" spans="3:26" hidden="1">
      <c r="D75" s="38" t="s">
        <v>31</v>
      </c>
      <c r="E75" s="44">
        <v>2777</v>
      </c>
      <c r="F75" s="44">
        <v>1407</v>
      </c>
      <c r="G75" s="44">
        <v>1370</v>
      </c>
      <c r="H75" s="44">
        <v>2599</v>
      </c>
      <c r="I75" s="44">
        <v>1316</v>
      </c>
      <c r="J75" s="44">
        <v>1283</v>
      </c>
      <c r="K75" s="46">
        <v>178</v>
      </c>
      <c r="L75" s="44">
        <v>91</v>
      </c>
      <c r="M75" s="44">
        <v>87</v>
      </c>
      <c r="R75" s="45"/>
      <c r="V75" s="2"/>
      <c r="W75" s="2"/>
      <c r="X75" s="2"/>
      <c r="Y75" s="2"/>
      <c r="Z75" s="2"/>
    </row>
    <row r="76" spans="3:26" hidden="1">
      <c r="D76" s="42" t="s">
        <v>32</v>
      </c>
      <c r="E76" s="43">
        <v>2771</v>
      </c>
      <c r="F76" s="43">
        <v>1709</v>
      </c>
      <c r="G76" s="43">
        <v>1062</v>
      </c>
      <c r="H76" s="43">
        <v>2007</v>
      </c>
      <c r="I76" s="43">
        <v>1105</v>
      </c>
      <c r="J76" s="43">
        <v>902</v>
      </c>
      <c r="K76" s="46">
        <v>762</v>
      </c>
      <c r="L76" s="43">
        <v>602</v>
      </c>
      <c r="M76" s="43">
        <v>160</v>
      </c>
      <c r="R76" s="45"/>
      <c r="V76" s="2"/>
      <c r="W76" s="2"/>
      <c r="X76" s="2"/>
      <c r="Y76" s="2"/>
      <c r="Z76" s="2"/>
    </row>
    <row r="77" spans="3:26">
      <c r="C77">
        <v>11</v>
      </c>
      <c r="D77" s="39" t="s">
        <v>42</v>
      </c>
      <c r="E77" s="41"/>
      <c r="F77" s="41"/>
      <c r="G77" s="41"/>
      <c r="H77" s="41"/>
      <c r="I77" s="41"/>
      <c r="J77" s="41"/>
      <c r="K77" s="47"/>
      <c r="L77" s="41"/>
      <c r="M77" s="40"/>
      <c r="R77" s="45"/>
      <c r="V77" s="2"/>
      <c r="W77" s="2"/>
      <c r="X77" s="2"/>
      <c r="Y77" s="2"/>
      <c r="Z77" s="2"/>
    </row>
    <row r="78" spans="3:26">
      <c r="D78" s="42" t="s">
        <v>28</v>
      </c>
      <c r="E78" s="43">
        <v>24876</v>
      </c>
      <c r="F78" s="43">
        <v>11402</v>
      </c>
      <c r="G78" s="43">
        <v>13474</v>
      </c>
      <c r="H78" s="43">
        <v>23462</v>
      </c>
      <c r="I78" s="43">
        <v>10528</v>
      </c>
      <c r="J78" s="43">
        <v>12934</v>
      </c>
      <c r="K78" s="46">
        <v>1412</v>
      </c>
      <c r="L78" s="43">
        <v>873</v>
      </c>
      <c r="M78" s="43">
        <v>539</v>
      </c>
      <c r="N78" s="46">
        <v>319</v>
      </c>
      <c r="O78" s="46">
        <v>568</v>
      </c>
      <c r="P78" s="46">
        <v>171</v>
      </c>
      <c r="Q78" s="46">
        <v>354</v>
      </c>
      <c r="R78" s="45">
        <f>SUM(N78:Q78)</f>
        <v>1412</v>
      </c>
      <c r="S78" t="str">
        <f>IF(R78=K78,"RICHTIG","FALSCH")</f>
        <v>RICHTIG</v>
      </c>
      <c r="V78" s="2">
        <f>N78/R78*100</f>
        <v>22.592067988668553</v>
      </c>
      <c r="W78" s="2">
        <f>O78/R78*100</f>
        <v>40.226628895184135</v>
      </c>
      <c r="X78" s="2">
        <f>P78/R78*100</f>
        <v>12.110481586402265</v>
      </c>
      <c r="Y78" s="2">
        <f>Q78/R78*100</f>
        <v>25.070821529745039</v>
      </c>
      <c r="Z78" s="2">
        <f>SUM(V78:Y78)</f>
        <v>100</v>
      </c>
    </row>
    <row r="79" spans="3:26" hidden="1">
      <c r="D79" s="38" t="s">
        <v>29</v>
      </c>
      <c r="E79" s="44">
        <v>2595</v>
      </c>
      <c r="F79" s="44">
        <v>1320</v>
      </c>
      <c r="G79" s="44">
        <v>1275</v>
      </c>
      <c r="H79" s="44">
        <v>2276</v>
      </c>
      <c r="I79" s="44">
        <v>1141</v>
      </c>
      <c r="J79" s="44">
        <v>1135</v>
      </c>
      <c r="K79" s="46">
        <v>319</v>
      </c>
      <c r="L79" s="44">
        <v>179</v>
      </c>
      <c r="M79" s="44">
        <v>140</v>
      </c>
      <c r="R79" s="45"/>
      <c r="V79" s="2"/>
      <c r="W79" s="2"/>
      <c r="X79" s="2"/>
      <c r="Y79" s="2"/>
      <c r="Z79" s="2"/>
    </row>
    <row r="80" spans="3:26" hidden="1">
      <c r="D80" s="42" t="s">
        <v>30</v>
      </c>
      <c r="E80" s="43">
        <v>16927</v>
      </c>
      <c r="F80" s="43">
        <v>7635</v>
      </c>
      <c r="G80" s="43">
        <v>9292</v>
      </c>
      <c r="H80" s="43">
        <v>16357</v>
      </c>
      <c r="I80" s="43">
        <v>7252</v>
      </c>
      <c r="J80" s="43">
        <v>9105</v>
      </c>
      <c r="K80" s="46">
        <v>568</v>
      </c>
      <c r="L80" s="43">
        <v>382</v>
      </c>
      <c r="M80" s="43">
        <v>186</v>
      </c>
      <c r="R80" s="45"/>
      <c r="V80" s="2"/>
      <c r="W80" s="2"/>
      <c r="X80" s="2"/>
      <c r="Y80" s="2"/>
      <c r="Z80" s="2"/>
    </row>
    <row r="81" spans="3:26" hidden="1">
      <c r="D81" s="38" t="s">
        <v>31</v>
      </c>
      <c r="E81" s="44">
        <v>3197</v>
      </c>
      <c r="F81" s="44">
        <v>1485</v>
      </c>
      <c r="G81" s="44">
        <v>1712</v>
      </c>
      <c r="H81" s="44">
        <v>3026</v>
      </c>
      <c r="I81" s="44">
        <v>1408</v>
      </c>
      <c r="J81" s="44">
        <v>1618</v>
      </c>
      <c r="K81" s="46">
        <v>171</v>
      </c>
      <c r="L81" s="44">
        <v>77</v>
      </c>
      <c r="M81" s="44">
        <v>94</v>
      </c>
      <c r="R81" s="45"/>
      <c r="V81" s="2"/>
      <c r="W81" s="2"/>
      <c r="X81" s="2"/>
      <c r="Y81" s="2"/>
      <c r="Z81" s="2"/>
    </row>
    <row r="82" spans="3:26" hidden="1">
      <c r="D82" s="42" t="s">
        <v>32</v>
      </c>
      <c r="E82" s="43">
        <v>2157</v>
      </c>
      <c r="F82" s="43">
        <v>962</v>
      </c>
      <c r="G82" s="43">
        <v>1195</v>
      </c>
      <c r="H82" s="43">
        <v>1803</v>
      </c>
      <c r="I82" s="43">
        <v>727</v>
      </c>
      <c r="J82" s="43">
        <v>1076</v>
      </c>
      <c r="K82" s="46">
        <v>354</v>
      </c>
      <c r="L82" s="43">
        <v>235</v>
      </c>
      <c r="M82" s="43">
        <v>119</v>
      </c>
      <c r="R82" s="45"/>
      <c r="V82" s="2"/>
      <c r="W82" s="2"/>
      <c r="X82" s="2"/>
      <c r="Y82" s="2"/>
      <c r="Z82" s="2"/>
    </row>
    <row r="83" spans="3:26">
      <c r="C83">
        <v>12</v>
      </c>
      <c r="D83" s="39" t="s">
        <v>43</v>
      </c>
      <c r="E83" s="41"/>
      <c r="F83" s="41"/>
      <c r="G83" s="41"/>
      <c r="H83" s="41"/>
      <c r="I83" s="41"/>
      <c r="J83" s="41"/>
      <c r="K83" s="47"/>
      <c r="L83" s="41"/>
      <c r="M83" s="40"/>
      <c r="R83" s="45"/>
      <c r="V83" s="2"/>
      <c r="W83" s="2"/>
      <c r="X83" s="2"/>
      <c r="Y83" s="2"/>
      <c r="Z83" s="2"/>
    </row>
    <row r="84" spans="3:26">
      <c r="D84" s="42" t="s">
        <v>28</v>
      </c>
      <c r="E84" s="43">
        <v>129083</v>
      </c>
      <c r="F84" s="43">
        <v>66564</v>
      </c>
      <c r="G84" s="43">
        <v>62519</v>
      </c>
      <c r="H84" s="43">
        <v>120386</v>
      </c>
      <c r="I84" s="43">
        <v>61270</v>
      </c>
      <c r="J84" s="43">
        <v>59116</v>
      </c>
      <c r="K84" s="46">
        <v>8659</v>
      </c>
      <c r="L84" s="43">
        <v>5270</v>
      </c>
      <c r="M84" s="43">
        <v>3389</v>
      </c>
      <c r="N84" s="46">
        <v>2021</v>
      </c>
      <c r="O84" s="46">
        <v>2539</v>
      </c>
      <c r="P84" s="46">
        <v>2521</v>
      </c>
      <c r="Q84" s="46">
        <v>1578</v>
      </c>
      <c r="R84" s="45">
        <f>SUM(N84:Q84)</f>
        <v>8659</v>
      </c>
      <c r="S84" t="str">
        <f>IF(R84=K84,"RICHTIG","FALSCH")</f>
        <v>RICHTIG</v>
      </c>
      <c r="V84" s="2">
        <f>N84/R84*100</f>
        <v>23.33987758401663</v>
      </c>
      <c r="W84" s="2">
        <f>O84/R84*100</f>
        <v>29.322092620394962</v>
      </c>
      <c r="X84" s="2">
        <f>P84/R84*100</f>
        <v>29.114216422219659</v>
      </c>
      <c r="Y84" s="2">
        <f>Q84/R84*100</f>
        <v>18.223813373368749</v>
      </c>
      <c r="Z84" s="2">
        <f>SUM(V84:Y84)</f>
        <v>100</v>
      </c>
    </row>
    <row r="85" spans="3:26" hidden="1">
      <c r="D85" s="38" t="s">
        <v>29</v>
      </c>
      <c r="E85" s="44">
        <v>15454</v>
      </c>
      <c r="F85" s="44">
        <v>8729</v>
      </c>
      <c r="G85" s="44">
        <v>6725</v>
      </c>
      <c r="H85" s="44">
        <v>13418</v>
      </c>
      <c r="I85" s="44">
        <v>7384</v>
      </c>
      <c r="J85" s="44">
        <v>6034</v>
      </c>
      <c r="K85" s="46">
        <v>2021</v>
      </c>
      <c r="L85" s="44">
        <v>1333</v>
      </c>
      <c r="M85" s="44">
        <v>688</v>
      </c>
      <c r="R85" s="45"/>
      <c r="V85" s="2"/>
      <c r="W85" s="2"/>
      <c r="X85" s="2"/>
      <c r="Y85" s="2"/>
      <c r="Z85" s="2"/>
    </row>
    <row r="86" spans="3:26" hidden="1">
      <c r="D86" s="42" t="s">
        <v>30</v>
      </c>
      <c r="E86" s="43">
        <v>83293</v>
      </c>
      <c r="F86" s="43">
        <v>41463</v>
      </c>
      <c r="G86" s="43">
        <v>41830</v>
      </c>
      <c r="H86" s="43">
        <v>80747</v>
      </c>
      <c r="I86" s="43">
        <v>39933</v>
      </c>
      <c r="J86" s="43">
        <v>40814</v>
      </c>
      <c r="K86" s="46">
        <v>2539</v>
      </c>
      <c r="L86" s="43">
        <v>1526</v>
      </c>
      <c r="M86" s="43">
        <v>1013</v>
      </c>
      <c r="R86" s="45"/>
      <c r="V86" s="2"/>
      <c r="W86" s="2"/>
      <c r="X86" s="2"/>
      <c r="Y86" s="2"/>
      <c r="Z86" s="2"/>
    </row>
    <row r="87" spans="3:26" hidden="1">
      <c r="D87" s="38" t="s">
        <v>31</v>
      </c>
      <c r="E87" s="44">
        <v>22315</v>
      </c>
      <c r="F87" s="44">
        <v>11834</v>
      </c>
      <c r="G87" s="44">
        <v>10481</v>
      </c>
      <c r="H87" s="44">
        <v>19786</v>
      </c>
      <c r="I87" s="44">
        <v>10486</v>
      </c>
      <c r="J87" s="44">
        <v>9300</v>
      </c>
      <c r="K87" s="46">
        <v>2521</v>
      </c>
      <c r="L87" s="44">
        <v>1344</v>
      </c>
      <c r="M87" s="44">
        <v>1177</v>
      </c>
      <c r="R87" s="45"/>
      <c r="V87" s="2"/>
      <c r="W87" s="2"/>
      <c r="X87" s="2"/>
      <c r="Y87" s="2"/>
      <c r="Z87" s="2"/>
    </row>
    <row r="88" spans="3:26" hidden="1">
      <c r="D88" s="42" t="s">
        <v>32</v>
      </c>
      <c r="E88" s="43">
        <v>8021</v>
      </c>
      <c r="F88" s="43">
        <v>4538</v>
      </c>
      <c r="G88" s="43">
        <v>3483</v>
      </c>
      <c r="H88" s="43">
        <v>6435</v>
      </c>
      <c r="I88" s="43">
        <v>3467</v>
      </c>
      <c r="J88" s="43">
        <v>2968</v>
      </c>
      <c r="K88" s="46">
        <v>1578</v>
      </c>
      <c r="L88" s="43">
        <v>1067</v>
      </c>
      <c r="M88" s="43">
        <v>511</v>
      </c>
      <c r="R88" s="45"/>
      <c r="V88" s="2"/>
      <c r="W88" s="2"/>
      <c r="X88" s="2"/>
      <c r="Y88" s="2"/>
      <c r="Z88" s="2"/>
    </row>
    <row r="89" spans="3:26">
      <c r="C89">
        <v>13</v>
      </c>
      <c r="D89" s="39" t="s">
        <v>44</v>
      </c>
      <c r="E89" s="41"/>
      <c r="F89" s="41"/>
      <c r="G89" s="41"/>
      <c r="H89" s="41"/>
      <c r="I89" s="41"/>
      <c r="J89" s="41"/>
      <c r="K89" s="47"/>
      <c r="L89" s="41"/>
      <c r="M89" s="40"/>
      <c r="R89" s="45"/>
      <c r="V89" s="2"/>
      <c r="W89" s="2"/>
      <c r="X89" s="2"/>
      <c r="Y89" s="2"/>
      <c r="Z89" s="2"/>
    </row>
    <row r="90" spans="3:26">
      <c r="D90" s="42" t="s">
        <v>28</v>
      </c>
      <c r="E90" s="43">
        <v>831428</v>
      </c>
      <c r="F90" s="43">
        <v>442454</v>
      </c>
      <c r="G90" s="43">
        <v>388974</v>
      </c>
      <c r="H90" s="43">
        <v>751603</v>
      </c>
      <c r="I90" s="43">
        <v>391704</v>
      </c>
      <c r="J90" s="43">
        <v>359899</v>
      </c>
      <c r="K90" s="46">
        <v>79418</v>
      </c>
      <c r="L90" s="43">
        <v>50474</v>
      </c>
      <c r="M90" s="43">
        <v>28944</v>
      </c>
      <c r="N90" s="46">
        <v>20904</v>
      </c>
      <c r="O90" s="46">
        <v>26346</v>
      </c>
      <c r="P90" s="46">
        <v>9486</v>
      </c>
      <c r="Q90" s="46">
        <v>22682</v>
      </c>
      <c r="R90" s="45">
        <f>SUM(N90:Q90)</f>
        <v>79418</v>
      </c>
      <c r="S90" t="str">
        <f>IF(R90=K90,"RICHTIG","FALSCH")</f>
        <v>RICHTIG</v>
      </c>
      <c r="V90" s="2">
        <f>N90/R90*100</f>
        <v>26.321488831247326</v>
      </c>
      <c r="W90" s="2">
        <f>O90/R90*100</f>
        <v>33.173839683698908</v>
      </c>
      <c r="X90" s="2">
        <f>P90/R90*100</f>
        <v>11.944395477095872</v>
      </c>
      <c r="Y90" s="2">
        <f>Q90/R90*100</f>
        <v>28.560276007957892</v>
      </c>
      <c r="Z90" s="2">
        <f>SUM(V90:Y90)</f>
        <v>100</v>
      </c>
    </row>
    <row r="91" spans="3:26" hidden="1">
      <c r="D91" s="38" t="s">
        <v>29</v>
      </c>
      <c r="E91" s="44">
        <v>101556</v>
      </c>
      <c r="F91" s="44">
        <v>58269</v>
      </c>
      <c r="G91" s="44">
        <v>43287</v>
      </c>
      <c r="H91" s="44">
        <v>80538</v>
      </c>
      <c r="I91" s="44">
        <v>44464</v>
      </c>
      <c r="J91" s="44">
        <v>36074</v>
      </c>
      <c r="K91" s="46">
        <v>20904</v>
      </c>
      <c r="L91" s="44">
        <v>13717</v>
      </c>
      <c r="M91" s="44">
        <v>7187</v>
      </c>
      <c r="R91" s="45"/>
      <c r="V91" s="2"/>
      <c r="W91" s="2"/>
      <c r="X91" s="2"/>
      <c r="Y91" s="2"/>
      <c r="Z91" s="2"/>
    </row>
    <row r="92" spans="3:26" hidden="1">
      <c r="D92" s="42" t="s">
        <v>30</v>
      </c>
      <c r="E92" s="43">
        <v>529990</v>
      </c>
      <c r="F92" s="43">
        <v>272429</v>
      </c>
      <c r="G92" s="43">
        <v>257561</v>
      </c>
      <c r="H92" s="43">
        <v>503494</v>
      </c>
      <c r="I92" s="43">
        <v>256066</v>
      </c>
      <c r="J92" s="43">
        <v>247428</v>
      </c>
      <c r="K92" s="46">
        <v>26346</v>
      </c>
      <c r="L92" s="43">
        <v>16274</v>
      </c>
      <c r="M92" s="43">
        <v>10072</v>
      </c>
      <c r="R92" s="45"/>
      <c r="V92" s="2"/>
      <c r="W92" s="2"/>
      <c r="X92" s="2"/>
      <c r="Y92" s="2"/>
      <c r="Z92" s="2"/>
    </row>
    <row r="93" spans="3:26" hidden="1">
      <c r="D93" s="38" t="s">
        <v>31</v>
      </c>
      <c r="E93" s="44">
        <v>121609</v>
      </c>
      <c r="F93" s="44">
        <v>65902</v>
      </c>
      <c r="G93" s="44">
        <v>55707</v>
      </c>
      <c r="H93" s="44">
        <v>112094</v>
      </c>
      <c r="I93" s="44">
        <v>61005</v>
      </c>
      <c r="J93" s="44">
        <v>51089</v>
      </c>
      <c r="K93" s="46">
        <v>9486</v>
      </c>
      <c r="L93" s="44">
        <v>4882</v>
      </c>
      <c r="M93" s="44">
        <v>4604</v>
      </c>
      <c r="R93" s="45"/>
      <c r="V93" s="2"/>
      <c r="W93" s="2"/>
      <c r="X93" s="2"/>
      <c r="Y93" s="2"/>
      <c r="Z93" s="2"/>
    </row>
    <row r="94" spans="3:26" hidden="1">
      <c r="D94" s="42" t="s">
        <v>32</v>
      </c>
      <c r="E94" s="43">
        <v>78273</v>
      </c>
      <c r="F94" s="43">
        <v>45854</v>
      </c>
      <c r="G94" s="43">
        <v>32419</v>
      </c>
      <c r="H94" s="43">
        <v>55477</v>
      </c>
      <c r="I94" s="43">
        <v>30169</v>
      </c>
      <c r="J94" s="43">
        <v>25308</v>
      </c>
      <c r="K94" s="46">
        <v>22682</v>
      </c>
      <c r="L94" s="43">
        <v>15601</v>
      </c>
      <c r="M94" s="43">
        <v>7081</v>
      </c>
      <c r="R94" s="45"/>
      <c r="V94" s="2"/>
      <c r="W94" s="2"/>
      <c r="X94" s="2"/>
      <c r="Y94" s="2"/>
      <c r="Z94" s="2"/>
    </row>
    <row r="95" spans="3:26">
      <c r="C95">
        <v>14</v>
      </c>
      <c r="D95" s="39" t="s">
        <v>45</v>
      </c>
      <c r="E95" s="41"/>
      <c r="F95" s="41"/>
      <c r="G95" s="41"/>
      <c r="H95" s="41"/>
      <c r="I95" s="41"/>
      <c r="J95" s="41"/>
      <c r="K95" s="47"/>
      <c r="L95" s="41"/>
      <c r="M95" s="40"/>
      <c r="R95" s="45"/>
      <c r="V95" s="2"/>
      <c r="W95" s="2"/>
      <c r="X95" s="2"/>
      <c r="Y95" s="2"/>
      <c r="Z95" s="2"/>
    </row>
    <row r="96" spans="3:26">
      <c r="D96" s="42" t="s">
        <v>28</v>
      </c>
      <c r="E96" s="43">
        <v>509668</v>
      </c>
      <c r="F96" s="43">
        <v>272704</v>
      </c>
      <c r="G96" s="43">
        <v>236964</v>
      </c>
      <c r="H96" s="43">
        <v>453174</v>
      </c>
      <c r="I96" s="43">
        <v>237484</v>
      </c>
      <c r="J96" s="43">
        <v>215690</v>
      </c>
      <c r="K96" s="46">
        <v>56204</v>
      </c>
      <c r="L96" s="43">
        <v>35024</v>
      </c>
      <c r="M96" s="43">
        <v>21180</v>
      </c>
      <c r="N96" s="46">
        <v>14972</v>
      </c>
      <c r="O96" s="46">
        <v>18258</v>
      </c>
      <c r="P96" s="46">
        <v>7179</v>
      </c>
      <c r="Q96" s="46">
        <v>15795</v>
      </c>
      <c r="R96" s="45">
        <f>SUM(N96:Q96)</f>
        <v>56204</v>
      </c>
      <c r="S96" t="str">
        <f>IF(R96=K96,"RICHTIG","FALSCH")</f>
        <v>RICHTIG</v>
      </c>
      <c r="V96" s="2">
        <f>N96/R96*100</f>
        <v>26.638673404028186</v>
      </c>
      <c r="W96" s="2">
        <f>O96/R96*100</f>
        <v>32.485232367803</v>
      </c>
      <c r="X96" s="2">
        <f>P96/R96*100</f>
        <v>12.773112234004696</v>
      </c>
      <c r="Y96" s="2">
        <f>Q96/R96*100</f>
        <v>28.102981994164118</v>
      </c>
      <c r="Z96" s="2">
        <f>SUM(V96:Y96)</f>
        <v>100</v>
      </c>
    </row>
    <row r="97" spans="3:26" hidden="1">
      <c r="D97" s="38" t="s">
        <v>29</v>
      </c>
      <c r="E97" s="44">
        <v>61546</v>
      </c>
      <c r="F97" s="44">
        <v>35435</v>
      </c>
      <c r="G97" s="44">
        <v>26111</v>
      </c>
      <c r="H97" s="44">
        <v>46491</v>
      </c>
      <c r="I97" s="44">
        <v>25668</v>
      </c>
      <c r="J97" s="44">
        <v>20823</v>
      </c>
      <c r="K97" s="46">
        <v>14972</v>
      </c>
      <c r="L97" s="44">
        <v>9701</v>
      </c>
      <c r="M97" s="44">
        <v>5271</v>
      </c>
      <c r="R97" s="45"/>
      <c r="V97" s="2"/>
      <c r="W97" s="2"/>
      <c r="X97" s="2"/>
      <c r="Y97" s="2"/>
      <c r="Z97" s="2"/>
    </row>
    <row r="98" spans="3:26" hidden="1">
      <c r="D98" s="42" t="s">
        <v>30</v>
      </c>
      <c r="E98" s="43">
        <v>309771</v>
      </c>
      <c r="F98" s="43">
        <v>159248</v>
      </c>
      <c r="G98" s="43">
        <v>150523</v>
      </c>
      <c r="H98" s="43">
        <v>291404</v>
      </c>
      <c r="I98" s="43">
        <v>148205</v>
      </c>
      <c r="J98" s="43">
        <v>143199</v>
      </c>
      <c r="K98" s="46">
        <v>18258</v>
      </c>
      <c r="L98" s="43">
        <v>10983</v>
      </c>
      <c r="M98" s="43">
        <v>7275</v>
      </c>
      <c r="R98" s="45"/>
      <c r="V98" s="2"/>
      <c r="W98" s="2"/>
      <c r="X98" s="2"/>
      <c r="Y98" s="2"/>
      <c r="Z98" s="2"/>
    </row>
    <row r="99" spans="3:26" hidden="1">
      <c r="D99" s="38" t="s">
        <v>31</v>
      </c>
      <c r="E99" s="44">
        <v>89183</v>
      </c>
      <c r="F99" s="44">
        <v>48831</v>
      </c>
      <c r="G99" s="44">
        <v>40352</v>
      </c>
      <c r="H99" s="44">
        <v>81980</v>
      </c>
      <c r="I99" s="44">
        <v>45150</v>
      </c>
      <c r="J99" s="44">
        <v>36830</v>
      </c>
      <c r="K99" s="46">
        <v>7179</v>
      </c>
      <c r="L99" s="44">
        <v>3668</v>
      </c>
      <c r="M99" s="44">
        <v>3511</v>
      </c>
      <c r="R99" s="45"/>
      <c r="V99" s="2"/>
      <c r="W99" s="2"/>
      <c r="X99" s="2"/>
      <c r="Y99" s="2"/>
      <c r="Z99" s="2"/>
    </row>
    <row r="100" spans="3:26" hidden="1">
      <c r="D100" s="42" t="s">
        <v>32</v>
      </c>
      <c r="E100" s="43">
        <v>49168</v>
      </c>
      <c r="F100" s="43">
        <v>29190</v>
      </c>
      <c r="G100" s="43">
        <v>19978</v>
      </c>
      <c r="H100" s="43">
        <v>33299</v>
      </c>
      <c r="I100" s="43">
        <v>18461</v>
      </c>
      <c r="J100" s="43">
        <v>14838</v>
      </c>
      <c r="K100" s="46">
        <v>15795</v>
      </c>
      <c r="L100" s="43">
        <v>10672</v>
      </c>
      <c r="M100" s="43">
        <v>5123</v>
      </c>
      <c r="R100" s="45"/>
      <c r="V100" s="2"/>
      <c r="W100" s="2"/>
      <c r="X100" s="2"/>
      <c r="Y100" s="2"/>
      <c r="Z100" s="2"/>
    </row>
    <row r="101" spans="3:26">
      <c r="C101">
        <v>15</v>
      </c>
      <c r="D101" s="39" t="s">
        <v>46</v>
      </c>
      <c r="E101" s="41"/>
      <c r="F101" s="41"/>
      <c r="G101" s="41"/>
      <c r="H101" s="41"/>
      <c r="I101" s="41"/>
      <c r="J101" s="41"/>
      <c r="K101" s="47"/>
      <c r="L101" s="41"/>
      <c r="M101" s="40"/>
      <c r="R101" s="45"/>
      <c r="V101" s="2"/>
      <c r="W101" s="2"/>
      <c r="X101" s="2"/>
      <c r="Y101" s="2"/>
      <c r="Z101" s="2"/>
    </row>
    <row r="102" spans="3:26">
      <c r="D102" s="42" t="s">
        <v>28</v>
      </c>
      <c r="E102" s="43">
        <v>324727</v>
      </c>
      <c r="F102" s="43">
        <v>171976</v>
      </c>
      <c r="G102" s="43">
        <v>152751</v>
      </c>
      <c r="H102" s="43">
        <v>288598</v>
      </c>
      <c r="I102" s="43">
        <v>150232</v>
      </c>
      <c r="J102" s="43">
        <v>138366</v>
      </c>
      <c r="K102" s="46">
        <v>35942</v>
      </c>
      <c r="L102" s="43">
        <v>21620</v>
      </c>
      <c r="M102" s="43">
        <v>14322</v>
      </c>
      <c r="N102" s="46">
        <v>9237</v>
      </c>
      <c r="O102" s="46">
        <v>11528</v>
      </c>
      <c r="P102" s="46">
        <v>5623</v>
      </c>
      <c r="Q102" s="46">
        <v>9554</v>
      </c>
      <c r="R102" s="45">
        <f>SUM(N102:Q102)</f>
        <v>35942</v>
      </c>
      <c r="S102" t="str">
        <f>IF(R102=K102,"RICHTIG","FALSCH")</f>
        <v>RICHTIG</v>
      </c>
      <c r="V102" s="2">
        <f>N102/R102*100</f>
        <v>25.699738467531024</v>
      </c>
      <c r="W102" s="2">
        <f>O102/R102*100</f>
        <v>32.073896833787771</v>
      </c>
      <c r="X102" s="2">
        <f>P102/R102*100</f>
        <v>15.644649713427189</v>
      </c>
      <c r="Y102" s="2">
        <f>Q102/R102*100</f>
        <v>26.581714985254017</v>
      </c>
      <c r="Z102" s="2">
        <f>SUM(V102:Y102)</f>
        <v>100</v>
      </c>
    </row>
    <row r="103" spans="3:26" hidden="1">
      <c r="D103" s="38" t="s">
        <v>29</v>
      </c>
      <c r="E103" s="44">
        <v>37292</v>
      </c>
      <c r="F103" s="44">
        <v>20860</v>
      </c>
      <c r="G103" s="44">
        <v>16432</v>
      </c>
      <c r="H103" s="44">
        <v>28003</v>
      </c>
      <c r="I103" s="44">
        <v>15059</v>
      </c>
      <c r="J103" s="44">
        <v>12944</v>
      </c>
      <c r="K103" s="46">
        <v>9237</v>
      </c>
      <c r="L103" s="44">
        <v>5760</v>
      </c>
      <c r="M103" s="44">
        <v>3477</v>
      </c>
      <c r="R103" s="45"/>
      <c r="V103" s="2"/>
      <c r="W103" s="2"/>
      <c r="X103" s="2"/>
      <c r="Y103" s="2"/>
      <c r="Z103" s="2"/>
    </row>
    <row r="104" spans="3:26" hidden="1">
      <c r="D104" s="42" t="s">
        <v>30</v>
      </c>
      <c r="E104" s="43">
        <v>187991</v>
      </c>
      <c r="F104" s="43">
        <v>95085</v>
      </c>
      <c r="G104" s="43">
        <v>92906</v>
      </c>
      <c r="H104" s="43">
        <v>176392</v>
      </c>
      <c r="I104" s="43">
        <v>88321</v>
      </c>
      <c r="J104" s="43">
        <v>88071</v>
      </c>
      <c r="K104" s="46">
        <v>11528</v>
      </c>
      <c r="L104" s="43">
        <v>6727</v>
      </c>
      <c r="M104" s="43">
        <v>4801</v>
      </c>
      <c r="R104" s="45"/>
      <c r="V104" s="2"/>
      <c r="W104" s="2"/>
      <c r="X104" s="2"/>
      <c r="Y104" s="2"/>
      <c r="Z104" s="2"/>
    </row>
    <row r="105" spans="3:26" hidden="1">
      <c r="D105" s="38" t="s">
        <v>31</v>
      </c>
      <c r="E105" s="44">
        <v>69883</v>
      </c>
      <c r="F105" s="44">
        <v>38475</v>
      </c>
      <c r="G105" s="44">
        <v>31408</v>
      </c>
      <c r="H105" s="44">
        <v>64241</v>
      </c>
      <c r="I105" s="44">
        <v>35599</v>
      </c>
      <c r="J105" s="44">
        <v>28642</v>
      </c>
      <c r="K105" s="46">
        <v>5623</v>
      </c>
      <c r="L105" s="44">
        <v>2867</v>
      </c>
      <c r="M105" s="44">
        <v>2756</v>
      </c>
      <c r="R105" s="45"/>
      <c r="V105" s="2"/>
      <c r="W105" s="2"/>
      <c r="X105" s="2"/>
      <c r="Y105" s="2"/>
      <c r="Z105" s="2"/>
    </row>
    <row r="106" spans="3:26" hidden="1">
      <c r="D106" s="42" t="s">
        <v>32</v>
      </c>
      <c r="E106" s="43">
        <v>29561</v>
      </c>
      <c r="F106" s="43">
        <v>17556</v>
      </c>
      <c r="G106" s="43">
        <v>12005</v>
      </c>
      <c r="H106" s="43">
        <v>19962</v>
      </c>
      <c r="I106" s="43">
        <v>11253</v>
      </c>
      <c r="J106" s="43">
        <v>8709</v>
      </c>
      <c r="K106" s="46">
        <v>9554</v>
      </c>
      <c r="L106" s="43">
        <v>6266</v>
      </c>
      <c r="M106" s="43">
        <v>3288</v>
      </c>
      <c r="R106" s="45"/>
      <c r="V106" s="2"/>
      <c r="W106" s="2"/>
      <c r="X106" s="2"/>
      <c r="Y106" s="2"/>
      <c r="Z106" s="2"/>
    </row>
    <row r="107" spans="3:26">
      <c r="C107">
        <v>16</v>
      </c>
      <c r="D107" s="39" t="s">
        <v>47</v>
      </c>
      <c r="E107" s="41"/>
      <c r="F107" s="41"/>
      <c r="G107" s="41"/>
      <c r="H107" s="41"/>
      <c r="I107" s="41"/>
      <c r="J107" s="41"/>
      <c r="K107" s="47"/>
      <c r="L107" s="41"/>
      <c r="M107" s="40"/>
      <c r="R107" s="45"/>
      <c r="V107" s="2"/>
      <c r="W107" s="2"/>
      <c r="X107" s="2"/>
      <c r="Y107" s="2"/>
      <c r="Z107" s="2"/>
    </row>
    <row r="108" spans="3:26">
      <c r="D108" s="42" t="s">
        <v>28</v>
      </c>
      <c r="E108" s="43">
        <v>70423</v>
      </c>
      <c r="F108" s="43">
        <v>38285</v>
      </c>
      <c r="G108" s="43">
        <v>32138</v>
      </c>
      <c r="H108" s="43">
        <v>64741</v>
      </c>
      <c r="I108" s="43">
        <v>34323</v>
      </c>
      <c r="J108" s="43">
        <v>30418</v>
      </c>
      <c r="K108" s="46">
        <v>5644</v>
      </c>
      <c r="L108" s="43">
        <v>3930</v>
      </c>
      <c r="M108" s="43">
        <v>1714</v>
      </c>
      <c r="N108" s="46">
        <v>1326</v>
      </c>
      <c r="O108" s="46">
        <v>1820</v>
      </c>
      <c r="P108" s="46">
        <v>383</v>
      </c>
      <c r="Q108" s="46">
        <v>2115</v>
      </c>
      <c r="R108" s="45">
        <f>SUM(N108:Q108)</f>
        <v>5644</v>
      </c>
      <c r="S108" t="str">
        <f>IF(R108=K108,"RICHTIG","FALSCH")</f>
        <v>RICHTIG</v>
      </c>
      <c r="V108" s="2">
        <f>N108/R108*100</f>
        <v>23.493975903614459</v>
      </c>
      <c r="W108" s="2">
        <f>O108/R108*100</f>
        <v>32.246633593196314</v>
      </c>
      <c r="X108" s="2">
        <f>P108/R108*100</f>
        <v>6.785967399007796</v>
      </c>
      <c r="Y108" s="2">
        <f>Q108/R108*100</f>
        <v>37.473423104181428</v>
      </c>
      <c r="Z108" s="2">
        <f>SUM(V108:Y108)</f>
        <v>100</v>
      </c>
    </row>
    <row r="109" spans="3:26" hidden="1">
      <c r="D109" s="38" t="s">
        <v>29</v>
      </c>
      <c r="E109" s="44">
        <v>8504</v>
      </c>
      <c r="F109" s="44">
        <v>4791</v>
      </c>
      <c r="G109" s="44">
        <v>3713</v>
      </c>
      <c r="H109" s="44">
        <v>7165</v>
      </c>
      <c r="I109" s="44">
        <v>3915</v>
      </c>
      <c r="J109" s="44">
        <v>3250</v>
      </c>
      <c r="K109" s="46">
        <v>1326</v>
      </c>
      <c r="L109" s="44">
        <v>864</v>
      </c>
      <c r="M109" s="44">
        <v>462</v>
      </c>
      <c r="R109" s="45"/>
      <c r="V109" s="2"/>
      <c r="W109" s="2"/>
      <c r="X109" s="2"/>
      <c r="Y109" s="2"/>
      <c r="Z109" s="2"/>
    </row>
    <row r="110" spans="3:26" hidden="1">
      <c r="D110" s="42" t="s">
        <v>30</v>
      </c>
      <c r="E110" s="43">
        <v>47650</v>
      </c>
      <c r="F110" s="43">
        <v>25453</v>
      </c>
      <c r="G110" s="43">
        <v>22197</v>
      </c>
      <c r="H110" s="43">
        <v>45818</v>
      </c>
      <c r="I110" s="43">
        <v>24162</v>
      </c>
      <c r="J110" s="43">
        <v>21656</v>
      </c>
      <c r="K110" s="46">
        <v>1820</v>
      </c>
      <c r="L110" s="43">
        <v>1281</v>
      </c>
      <c r="M110" s="43">
        <v>539</v>
      </c>
      <c r="R110" s="45"/>
      <c r="V110" s="2"/>
      <c r="W110" s="2"/>
      <c r="X110" s="2"/>
      <c r="Y110" s="2"/>
      <c r="Z110" s="2"/>
    </row>
    <row r="111" spans="3:26" hidden="1">
      <c r="D111" s="38" t="s">
        <v>31</v>
      </c>
      <c r="E111" s="44">
        <v>5612</v>
      </c>
      <c r="F111" s="44">
        <v>2919</v>
      </c>
      <c r="G111" s="44">
        <v>2693</v>
      </c>
      <c r="H111" s="44">
        <v>5229</v>
      </c>
      <c r="I111" s="44">
        <v>2716</v>
      </c>
      <c r="J111" s="44">
        <v>2513</v>
      </c>
      <c r="K111" s="46">
        <v>383</v>
      </c>
      <c r="L111" s="44">
        <v>203</v>
      </c>
      <c r="M111" s="44">
        <v>180</v>
      </c>
      <c r="R111" s="45"/>
      <c r="V111" s="2"/>
      <c r="W111" s="2"/>
      <c r="X111" s="2"/>
      <c r="Y111" s="2"/>
      <c r="Z111" s="2"/>
    </row>
    <row r="112" spans="3:26" hidden="1">
      <c r="D112" s="42" t="s">
        <v>32</v>
      </c>
      <c r="E112" s="43">
        <v>8657</v>
      </c>
      <c r="F112" s="43">
        <v>5122</v>
      </c>
      <c r="G112" s="43">
        <v>3535</v>
      </c>
      <c r="H112" s="43">
        <v>6529</v>
      </c>
      <c r="I112" s="43">
        <v>3530</v>
      </c>
      <c r="J112" s="43">
        <v>2999</v>
      </c>
      <c r="K112" s="46">
        <v>2115</v>
      </c>
      <c r="L112" s="43">
        <v>1582</v>
      </c>
      <c r="M112" s="43">
        <v>533</v>
      </c>
      <c r="R112" s="45"/>
      <c r="V112" s="2"/>
      <c r="W112" s="2"/>
      <c r="X112" s="2"/>
      <c r="Y112" s="2"/>
      <c r="Z112" s="2"/>
    </row>
    <row r="113" spans="3:26">
      <c r="C113">
        <v>17</v>
      </c>
      <c r="D113" s="39" t="s">
        <v>48</v>
      </c>
      <c r="E113" s="41"/>
      <c r="F113" s="41"/>
      <c r="G113" s="41"/>
      <c r="H113" s="41"/>
      <c r="I113" s="41"/>
      <c r="J113" s="41"/>
      <c r="K113" s="47"/>
      <c r="L113" s="41"/>
      <c r="M113" s="40"/>
      <c r="R113" s="45"/>
      <c r="V113" s="2"/>
      <c r="W113" s="2"/>
      <c r="X113" s="2"/>
      <c r="Y113" s="2"/>
      <c r="Z113" s="2"/>
    </row>
    <row r="114" spans="3:26">
      <c r="D114" s="42" t="s">
        <v>28</v>
      </c>
      <c r="E114" s="43">
        <v>52027</v>
      </c>
      <c r="F114" s="43">
        <v>25913</v>
      </c>
      <c r="G114" s="43">
        <v>26114</v>
      </c>
      <c r="H114" s="43">
        <v>48329</v>
      </c>
      <c r="I114" s="43">
        <v>23638</v>
      </c>
      <c r="J114" s="43">
        <v>24691</v>
      </c>
      <c r="K114" s="46">
        <v>3678</v>
      </c>
      <c r="L114" s="43">
        <v>2263</v>
      </c>
      <c r="M114" s="43">
        <v>1415</v>
      </c>
      <c r="N114" s="46">
        <v>968</v>
      </c>
      <c r="O114" s="46">
        <v>1384</v>
      </c>
      <c r="P114" s="46">
        <v>390</v>
      </c>
      <c r="Q114" s="46">
        <v>936</v>
      </c>
      <c r="R114" s="45">
        <f>SUM(N114:Q114)</f>
        <v>3678</v>
      </c>
      <c r="S114" t="str">
        <f>IF(R114=K114,"RICHTIG","FALSCH")</f>
        <v>RICHTIG</v>
      </c>
      <c r="V114" s="2">
        <f>N114/R114*100</f>
        <v>26.318651441000547</v>
      </c>
      <c r="W114" s="2">
        <f>O114/R114*100</f>
        <v>37.629146275149537</v>
      </c>
      <c r="X114" s="2">
        <f>P114/R114*100</f>
        <v>10.60358890701468</v>
      </c>
      <c r="Y114" s="2">
        <f>Q114/R114*100</f>
        <v>25.44861337683524</v>
      </c>
      <c r="Z114" s="2">
        <f>SUM(V114:Y114)</f>
        <v>100</v>
      </c>
    </row>
    <row r="115" spans="3:26" hidden="1">
      <c r="D115" s="38" t="s">
        <v>29</v>
      </c>
      <c r="E115" s="44">
        <v>6027</v>
      </c>
      <c r="F115" s="44">
        <v>3290</v>
      </c>
      <c r="G115" s="44">
        <v>2737</v>
      </c>
      <c r="H115" s="44">
        <v>5053</v>
      </c>
      <c r="I115" s="44">
        <v>2664</v>
      </c>
      <c r="J115" s="44">
        <v>2389</v>
      </c>
      <c r="K115" s="46">
        <v>968</v>
      </c>
      <c r="L115" s="44">
        <v>622</v>
      </c>
      <c r="M115" s="44">
        <v>346</v>
      </c>
      <c r="R115" s="45"/>
      <c r="V115" s="2"/>
      <c r="W115" s="2"/>
      <c r="X115" s="2"/>
      <c r="Y115" s="2"/>
      <c r="Z115" s="2"/>
    </row>
    <row r="116" spans="3:26" hidden="1">
      <c r="D116" s="42" t="s">
        <v>30</v>
      </c>
      <c r="E116" s="43">
        <v>35647</v>
      </c>
      <c r="F116" s="43">
        <v>16970</v>
      </c>
      <c r="G116" s="43">
        <v>18677</v>
      </c>
      <c r="H116" s="43">
        <v>34256</v>
      </c>
      <c r="I116" s="43">
        <v>16152</v>
      </c>
      <c r="J116" s="43">
        <v>18104</v>
      </c>
      <c r="K116" s="46">
        <v>1384</v>
      </c>
      <c r="L116" s="43">
        <v>814</v>
      </c>
      <c r="M116" s="43">
        <v>570</v>
      </c>
      <c r="R116" s="45"/>
      <c r="V116" s="2"/>
      <c r="W116" s="2"/>
      <c r="X116" s="2"/>
      <c r="Y116" s="2"/>
      <c r="Z116" s="2"/>
    </row>
    <row r="117" spans="3:26" hidden="1">
      <c r="D117" s="38" t="s">
        <v>31</v>
      </c>
      <c r="E117" s="44">
        <v>5684</v>
      </c>
      <c r="F117" s="44">
        <v>3208</v>
      </c>
      <c r="G117" s="44">
        <v>2476</v>
      </c>
      <c r="H117" s="44">
        <v>5293</v>
      </c>
      <c r="I117" s="44">
        <v>3001</v>
      </c>
      <c r="J117" s="44">
        <v>2292</v>
      </c>
      <c r="K117" s="46">
        <v>390</v>
      </c>
      <c r="L117" s="44">
        <v>206</v>
      </c>
      <c r="M117" s="44">
        <v>184</v>
      </c>
      <c r="R117" s="45"/>
      <c r="V117" s="2"/>
      <c r="W117" s="2"/>
      <c r="X117" s="2"/>
      <c r="Y117" s="2"/>
      <c r="Z117" s="2"/>
    </row>
    <row r="118" spans="3:26" hidden="1">
      <c r="D118" s="42" t="s">
        <v>32</v>
      </c>
      <c r="E118" s="43">
        <v>4669</v>
      </c>
      <c r="F118" s="43">
        <v>2445</v>
      </c>
      <c r="G118" s="43">
        <v>2224</v>
      </c>
      <c r="H118" s="43">
        <v>3727</v>
      </c>
      <c r="I118" s="43">
        <v>1821</v>
      </c>
      <c r="J118" s="43">
        <v>1906</v>
      </c>
      <c r="K118" s="46">
        <v>936</v>
      </c>
      <c r="L118" s="43">
        <v>621</v>
      </c>
      <c r="M118" s="43">
        <v>315</v>
      </c>
      <c r="R118" s="45"/>
      <c r="V118" s="2"/>
      <c r="W118" s="2"/>
      <c r="X118" s="2"/>
      <c r="Y118" s="2"/>
      <c r="Z118" s="2"/>
    </row>
    <row r="119" spans="3:26">
      <c r="C119">
        <v>18</v>
      </c>
      <c r="D119" s="39" t="s">
        <v>49</v>
      </c>
      <c r="E119" s="41"/>
      <c r="F119" s="41"/>
      <c r="G119" s="41"/>
      <c r="H119" s="41"/>
      <c r="I119" s="41"/>
      <c r="J119" s="41"/>
      <c r="K119" s="47"/>
      <c r="L119" s="41"/>
      <c r="M119" s="40"/>
      <c r="R119" s="45"/>
      <c r="V119" s="2"/>
      <c r="W119" s="2"/>
      <c r="X119" s="2"/>
      <c r="Y119" s="2"/>
      <c r="Z119" s="2"/>
    </row>
    <row r="120" spans="3:26">
      <c r="D120" s="42" t="s">
        <v>28</v>
      </c>
      <c r="E120" s="43">
        <v>91936</v>
      </c>
      <c r="F120" s="43">
        <v>47541</v>
      </c>
      <c r="G120" s="43">
        <v>44395</v>
      </c>
      <c r="H120" s="43">
        <v>86145</v>
      </c>
      <c r="I120" s="43">
        <v>43829</v>
      </c>
      <c r="J120" s="43">
        <v>42316</v>
      </c>
      <c r="K120" s="46">
        <v>5755</v>
      </c>
      <c r="L120" s="43">
        <v>3694</v>
      </c>
      <c r="M120" s="43">
        <v>2061</v>
      </c>
      <c r="N120" s="46">
        <v>1437</v>
      </c>
      <c r="O120" s="46">
        <v>2043</v>
      </c>
      <c r="P120" s="46">
        <v>900</v>
      </c>
      <c r="Q120" s="46">
        <v>1375</v>
      </c>
      <c r="R120" s="45">
        <f>SUM(N120:Q120)</f>
        <v>5755</v>
      </c>
      <c r="S120" t="str">
        <f>IF(R120=K120,"RICHTIG","FALSCH")</f>
        <v>RICHTIG</v>
      </c>
      <c r="V120" s="2">
        <f>N120/R120*100</f>
        <v>24.969591659426584</v>
      </c>
      <c r="W120" s="2">
        <f>O120/R120*100</f>
        <v>35.499565595134662</v>
      </c>
      <c r="X120" s="2">
        <f>P120/R120*100</f>
        <v>15.638575152041703</v>
      </c>
      <c r="Y120" s="2">
        <f>Q120/R120*100</f>
        <v>23.892267593397047</v>
      </c>
      <c r="Z120" s="2">
        <f>SUM(V120:Y120)</f>
        <v>100</v>
      </c>
    </row>
    <row r="121" spans="3:26" hidden="1">
      <c r="D121" s="38" t="s">
        <v>29</v>
      </c>
      <c r="E121" s="44">
        <v>11148</v>
      </c>
      <c r="F121" s="44">
        <v>6193</v>
      </c>
      <c r="G121" s="44">
        <v>4955</v>
      </c>
      <c r="H121" s="44">
        <v>9704</v>
      </c>
      <c r="I121" s="44">
        <v>5255</v>
      </c>
      <c r="J121" s="44">
        <v>4449</v>
      </c>
      <c r="K121" s="46">
        <v>1437</v>
      </c>
      <c r="L121" s="44">
        <v>935</v>
      </c>
      <c r="M121" s="44">
        <v>502</v>
      </c>
      <c r="R121" s="45"/>
      <c r="V121" s="2"/>
      <c r="W121" s="2"/>
      <c r="X121" s="2"/>
      <c r="Y121" s="2"/>
      <c r="Z121" s="2"/>
    </row>
    <row r="122" spans="3:26" hidden="1">
      <c r="D122" s="42" t="s">
        <v>30</v>
      </c>
      <c r="E122" s="43">
        <v>62216</v>
      </c>
      <c r="F122" s="43">
        <v>31368</v>
      </c>
      <c r="G122" s="43">
        <v>30848</v>
      </c>
      <c r="H122" s="43">
        <v>60161</v>
      </c>
      <c r="I122" s="43">
        <v>30063</v>
      </c>
      <c r="J122" s="43">
        <v>30098</v>
      </c>
      <c r="K122" s="46">
        <v>2043</v>
      </c>
      <c r="L122" s="43">
        <v>1298</v>
      </c>
      <c r="M122" s="43">
        <v>745</v>
      </c>
      <c r="R122" s="45"/>
      <c r="V122" s="2"/>
      <c r="W122" s="2"/>
      <c r="X122" s="2"/>
      <c r="Y122" s="2"/>
      <c r="Z122" s="2"/>
    </row>
    <row r="123" spans="3:26" hidden="1">
      <c r="D123" s="38" t="s">
        <v>31</v>
      </c>
      <c r="E123" s="44">
        <v>12293</v>
      </c>
      <c r="F123" s="44">
        <v>6476</v>
      </c>
      <c r="G123" s="44">
        <v>5817</v>
      </c>
      <c r="H123" s="44">
        <v>11389</v>
      </c>
      <c r="I123" s="44">
        <v>5984</v>
      </c>
      <c r="J123" s="44">
        <v>5405</v>
      </c>
      <c r="K123" s="46">
        <v>900</v>
      </c>
      <c r="L123" s="44">
        <v>491</v>
      </c>
      <c r="M123" s="44">
        <v>409</v>
      </c>
      <c r="R123" s="45"/>
      <c r="V123" s="2"/>
      <c r="W123" s="2"/>
      <c r="X123" s="2"/>
      <c r="Y123" s="2"/>
      <c r="Z123" s="2"/>
    </row>
    <row r="124" spans="3:26" hidden="1">
      <c r="D124" s="42" t="s">
        <v>32</v>
      </c>
      <c r="E124" s="43">
        <v>6279</v>
      </c>
      <c r="F124" s="43">
        <v>3504</v>
      </c>
      <c r="G124" s="43">
        <v>2775</v>
      </c>
      <c r="H124" s="43">
        <v>4891</v>
      </c>
      <c r="I124" s="43">
        <v>2527</v>
      </c>
      <c r="J124" s="43">
        <v>2364</v>
      </c>
      <c r="K124" s="46">
        <v>1375</v>
      </c>
      <c r="L124" s="43">
        <v>970</v>
      </c>
      <c r="M124" s="43">
        <v>405</v>
      </c>
      <c r="R124" s="45"/>
      <c r="V124" s="2"/>
      <c r="W124" s="2"/>
      <c r="X124" s="2"/>
      <c r="Y124" s="2"/>
      <c r="Z124" s="2"/>
    </row>
    <row r="125" spans="3:26">
      <c r="C125">
        <v>19</v>
      </c>
      <c r="D125" s="39" t="s">
        <v>50</v>
      </c>
      <c r="E125" s="41"/>
      <c r="F125" s="41"/>
      <c r="G125" s="41"/>
      <c r="H125" s="41"/>
      <c r="I125" s="41"/>
      <c r="J125" s="41"/>
      <c r="K125" s="47"/>
      <c r="L125" s="41"/>
      <c r="M125" s="40"/>
      <c r="R125" s="45"/>
      <c r="V125" s="2"/>
      <c r="W125" s="2"/>
      <c r="X125" s="2"/>
      <c r="Y125" s="2"/>
      <c r="Z125" s="2"/>
    </row>
    <row r="126" spans="3:26">
      <c r="D126" s="42" t="s">
        <v>28</v>
      </c>
      <c r="E126" s="43">
        <v>22487</v>
      </c>
      <c r="F126" s="43">
        <v>12483</v>
      </c>
      <c r="G126" s="43">
        <v>10004</v>
      </c>
      <c r="H126" s="43">
        <v>21221</v>
      </c>
      <c r="I126" s="43">
        <v>11638</v>
      </c>
      <c r="J126" s="43">
        <v>9583</v>
      </c>
      <c r="K126" s="46">
        <v>1260</v>
      </c>
      <c r="L126" s="43">
        <v>840</v>
      </c>
      <c r="M126" s="43">
        <v>420</v>
      </c>
      <c r="N126" s="46">
        <v>360</v>
      </c>
      <c r="O126" s="46">
        <v>442</v>
      </c>
      <c r="P126" s="46">
        <v>141</v>
      </c>
      <c r="Q126" s="46">
        <v>317</v>
      </c>
      <c r="R126" s="45">
        <f>SUM(N126:Q126)</f>
        <v>1260</v>
      </c>
      <c r="S126" t="str">
        <f>IF(R126=K126,"RICHTIG","FALSCH")</f>
        <v>RICHTIG</v>
      </c>
      <c r="V126" s="2">
        <f>N126/R126*100</f>
        <v>28.571428571428569</v>
      </c>
      <c r="W126" s="2">
        <f>O126/R126*100</f>
        <v>35.079365079365076</v>
      </c>
      <c r="X126" s="2">
        <f>P126/R126*100</f>
        <v>11.190476190476192</v>
      </c>
      <c r="Y126" s="2">
        <f>Q126/R126*100</f>
        <v>25.158730158730158</v>
      </c>
      <c r="Z126" s="2">
        <f>SUM(V126:Y126)</f>
        <v>100</v>
      </c>
    </row>
    <row r="127" spans="3:26" hidden="1">
      <c r="D127" s="38" t="s">
        <v>29</v>
      </c>
      <c r="E127" s="44">
        <v>2811</v>
      </c>
      <c r="F127" s="44">
        <v>1665</v>
      </c>
      <c r="G127" s="44">
        <v>1146</v>
      </c>
      <c r="H127" s="44">
        <v>2449</v>
      </c>
      <c r="I127" s="44">
        <v>1406</v>
      </c>
      <c r="J127" s="44">
        <v>1043</v>
      </c>
      <c r="K127" s="46">
        <v>360</v>
      </c>
      <c r="L127" s="44">
        <v>258</v>
      </c>
      <c r="M127" s="44">
        <v>102</v>
      </c>
      <c r="R127" s="45"/>
      <c r="V127" s="2"/>
      <c r="W127" s="2"/>
      <c r="X127" s="2"/>
      <c r="Y127" s="2"/>
      <c r="Z127" s="2"/>
    </row>
    <row r="128" spans="3:26" hidden="1">
      <c r="D128" s="42" t="s">
        <v>30</v>
      </c>
      <c r="E128" s="43">
        <v>16144</v>
      </c>
      <c r="F128" s="43">
        <v>8972</v>
      </c>
      <c r="G128" s="43">
        <v>7172</v>
      </c>
      <c r="H128" s="43">
        <v>15700</v>
      </c>
      <c r="I128" s="43">
        <v>8674</v>
      </c>
      <c r="J128" s="43">
        <v>7026</v>
      </c>
      <c r="K128" s="46">
        <v>442</v>
      </c>
      <c r="L128" s="43">
        <v>296</v>
      </c>
      <c r="M128" s="43">
        <v>146</v>
      </c>
      <c r="R128" s="45"/>
      <c r="V128" s="2"/>
      <c r="W128" s="2"/>
      <c r="X128" s="2"/>
      <c r="Y128" s="2"/>
      <c r="Z128" s="2"/>
    </row>
    <row r="129" spans="3:26" hidden="1">
      <c r="D129" s="38" t="s">
        <v>31</v>
      </c>
      <c r="E129" s="44">
        <v>2175</v>
      </c>
      <c r="F129" s="44">
        <v>1113</v>
      </c>
      <c r="G129" s="44">
        <v>1062</v>
      </c>
      <c r="H129" s="44">
        <v>2034</v>
      </c>
      <c r="I129" s="44">
        <v>1047</v>
      </c>
      <c r="J129" s="44">
        <v>987</v>
      </c>
      <c r="K129" s="46">
        <v>141</v>
      </c>
      <c r="L129" s="44">
        <v>66</v>
      </c>
      <c r="M129" s="44">
        <v>75</v>
      </c>
      <c r="R129" s="45"/>
      <c r="V129" s="2"/>
      <c r="W129" s="2"/>
      <c r="X129" s="2"/>
      <c r="Y129" s="2"/>
      <c r="Z129" s="2"/>
    </row>
    <row r="130" spans="3:26" hidden="1">
      <c r="D130" s="42" t="s">
        <v>32</v>
      </c>
      <c r="E130" s="43">
        <v>1357</v>
      </c>
      <c r="F130" s="43">
        <v>733</v>
      </c>
      <c r="G130" s="43">
        <v>624</v>
      </c>
      <c r="H130" s="43">
        <v>1038</v>
      </c>
      <c r="I130" s="43">
        <v>511</v>
      </c>
      <c r="J130" s="43">
        <v>527</v>
      </c>
      <c r="K130" s="46">
        <v>317</v>
      </c>
      <c r="L130" s="43">
        <v>220</v>
      </c>
      <c r="M130" s="43">
        <v>97</v>
      </c>
      <c r="R130" s="45"/>
      <c r="V130" s="2"/>
      <c r="W130" s="2"/>
      <c r="X130" s="2"/>
      <c r="Y130" s="2"/>
      <c r="Z130" s="2"/>
    </row>
    <row r="131" spans="3:26">
      <c r="C131">
        <v>20</v>
      </c>
      <c r="D131" s="39" t="s">
        <v>51</v>
      </c>
      <c r="E131" s="41"/>
      <c r="F131" s="41"/>
      <c r="G131" s="41"/>
      <c r="H131" s="41"/>
      <c r="I131" s="41"/>
      <c r="J131" s="41"/>
      <c r="K131" s="47"/>
      <c r="L131" s="41"/>
      <c r="M131" s="40"/>
      <c r="R131" s="45"/>
      <c r="V131" s="2"/>
      <c r="W131" s="2"/>
      <c r="X131" s="2"/>
      <c r="Y131" s="2"/>
      <c r="Z131" s="2"/>
    </row>
    <row r="132" spans="3:26">
      <c r="D132" s="42" t="s">
        <v>28</v>
      </c>
      <c r="E132" s="43">
        <v>39714</v>
      </c>
      <c r="F132" s="43">
        <v>22071</v>
      </c>
      <c r="G132" s="43">
        <v>17643</v>
      </c>
      <c r="H132" s="43">
        <v>36261</v>
      </c>
      <c r="I132" s="43">
        <v>19591</v>
      </c>
      <c r="J132" s="43">
        <v>16670</v>
      </c>
      <c r="K132" s="46">
        <v>3442</v>
      </c>
      <c r="L132" s="43">
        <v>2472</v>
      </c>
      <c r="M132" s="43">
        <v>970</v>
      </c>
      <c r="N132" s="46">
        <v>940</v>
      </c>
      <c r="O132" s="46">
        <v>904</v>
      </c>
      <c r="P132" s="46">
        <v>215</v>
      </c>
      <c r="Q132" s="46">
        <v>1383</v>
      </c>
      <c r="R132" s="45">
        <f>SUM(N132:Q132)</f>
        <v>3442</v>
      </c>
      <c r="S132" t="str">
        <f>IF(R132=K132,"RICHTIG","FALSCH")</f>
        <v>RICHTIG</v>
      </c>
      <c r="V132" s="2">
        <f>N132/R132*100</f>
        <v>27.309703660662404</v>
      </c>
      <c r="W132" s="2">
        <f>O132/R132*100</f>
        <v>26.263800116211506</v>
      </c>
      <c r="X132" s="2">
        <f>P132/R132*100</f>
        <v>6.2463683904706562</v>
      </c>
      <c r="Y132" s="2">
        <f>Q132/R132*100</f>
        <v>40.18012783265543</v>
      </c>
      <c r="Z132" s="2">
        <f>SUM(V132:Y132)</f>
        <v>100</v>
      </c>
    </row>
    <row r="133" spans="3:26" hidden="1">
      <c r="D133" s="38" t="s">
        <v>29</v>
      </c>
      <c r="E133" s="44">
        <v>5790</v>
      </c>
      <c r="F133" s="44">
        <v>3493</v>
      </c>
      <c r="G133" s="44">
        <v>2297</v>
      </c>
      <c r="H133" s="44">
        <v>4849</v>
      </c>
      <c r="I133" s="44">
        <v>2794</v>
      </c>
      <c r="J133" s="44">
        <v>2055</v>
      </c>
      <c r="K133" s="46">
        <v>940</v>
      </c>
      <c r="L133" s="44">
        <v>698</v>
      </c>
      <c r="M133" s="44">
        <v>242</v>
      </c>
      <c r="R133" s="45"/>
      <c r="V133" s="2"/>
      <c r="W133" s="2"/>
      <c r="X133" s="2"/>
      <c r="Y133" s="2"/>
      <c r="Z133" s="2"/>
    </row>
    <row r="134" spans="3:26" hidden="1">
      <c r="D134" s="42" t="s">
        <v>30</v>
      </c>
      <c r="E134" s="43">
        <v>27052</v>
      </c>
      <c r="F134" s="43">
        <v>14627</v>
      </c>
      <c r="G134" s="43">
        <v>12425</v>
      </c>
      <c r="H134" s="43">
        <v>26143</v>
      </c>
      <c r="I134" s="43">
        <v>13975</v>
      </c>
      <c r="J134" s="43">
        <v>12168</v>
      </c>
      <c r="K134" s="46">
        <v>904</v>
      </c>
      <c r="L134" s="43">
        <v>649</v>
      </c>
      <c r="M134" s="43">
        <v>255</v>
      </c>
      <c r="R134" s="45"/>
      <c r="V134" s="2"/>
      <c r="W134" s="2"/>
      <c r="X134" s="2"/>
      <c r="Y134" s="2"/>
      <c r="Z134" s="2"/>
    </row>
    <row r="135" spans="3:26" hidden="1">
      <c r="D135" s="38" t="s">
        <v>31</v>
      </c>
      <c r="E135" s="44">
        <v>2853</v>
      </c>
      <c r="F135" s="44">
        <v>1405</v>
      </c>
      <c r="G135" s="44">
        <v>1448</v>
      </c>
      <c r="H135" s="44">
        <v>2638</v>
      </c>
      <c r="I135" s="44">
        <v>1300</v>
      </c>
      <c r="J135" s="44">
        <v>1338</v>
      </c>
      <c r="K135" s="46">
        <v>215</v>
      </c>
      <c r="L135" s="44">
        <v>105</v>
      </c>
      <c r="M135" s="44">
        <v>110</v>
      </c>
      <c r="R135" s="45"/>
      <c r="V135" s="2"/>
      <c r="W135" s="2"/>
      <c r="X135" s="2"/>
      <c r="Y135" s="2"/>
      <c r="Z135" s="2"/>
    </row>
    <row r="136" spans="3:26" hidden="1">
      <c r="D136" s="42" t="s">
        <v>32</v>
      </c>
      <c r="E136" s="43">
        <v>4019</v>
      </c>
      <c r="F136" s="43">
        <v>2546</v>
      </c>
      <c r="G136" s="43">
        <v>1473</v>
      </c>
      <c r="H136" s="43">
        <v>2631</v>
      </c>
      <c r="I136" s="43">
        <v>1522</v>
      </c>
      <c r="J136" s="43">
        <v>1109</v>
      </c>
      <c r="K136" s="46">
        <v>1383</v>
      </c>
      <c r="L136" s="43">
        <v>1020</v>
      </c>
      <c r="M136" s="43">
        <v>363</v>
      </c>
      <c r="R136" s="45"/>
      <c r="V136" s="2"/>
      <c r="W136" s="2"/>
      <c r="X136" s="2"/>
      <c r="Y136" s="2"/>
      <c r="Z136" s="2"/>
    </row>
    <row r="137" spans="3:26">
      <c r="C137">
        <v>21</v>
      </c>
      <c r="D137" s="39" t="s">
        <v>52</v>
      </c>
      <c r="E137" s="41"/>
      <c r="F137" s="41"/>
      <c r="G137" s="41"/>
      <c r="H137" s="41"/>
      <c r="I137" s="41"/>
      <c r="J137" s="41"/>
      <c r="K137" s="47"/>
      <c r="L137" s="41"/>
      <c r="M137" s="40"/>
      <c r="R137" s="45"/>
      <c r="V137" s="2"/>
      <c r="W137" s="2"/>
      <c r="X137" s="2"/>
      <c r="Y137" s="2"/>
      <c r="Z137" s="2"/>
    </row>
    <row r="138" spans="3:26">
      <c r="D138" s="42" t="s">
        <v>28</v>
      </c>
      <c r="E138" s="43">
        <v>45173</v>
      </c>
      <c r="F138" s="43">
        <v>23457</v>
      </c>
      <c r="G138" s="43">
        <v>21716</v>
      </c>
      <c r="H138" s="43">
        <v>41732</v>
      </c>
      <c r="I138" s="43">
        <v>21201</v>
      </c>
      <c r="J138" s="43">
        <v>20531</v>
      </c>
      <c r="K138" s="46">
        <v>3435</v>
      </c>
      <c r="L138" s="43">
        <v>2251</v>
      </c>
      <c r="M138" s="43">
        <v>1184</v>
      </c>
      <c r="N138" s="46">
        <v>901</v>
      </c>
      <c r="O138" s="46">
        <v>1495</v>
      </c>
      <c r="P138" s="46">
        <v>278</v>
      </c>
      <c r="Q138" s="46">
        <v>761</v>
      </c>
      <c r="R138" s="45">
        <f>SUM(N138:Q138)</f>
        <v>3435</v>
      </c>
      <c r="S138" t="str">
        <f>IF(R138=K138,"RICHTIG","FALSCH")</f>
        <v>RICHTIG</v>
      </c>
      <c r="V138" s="2">
        <f>N138/R138*100</f>
        <v>26.22998544395924</v>
      </c>
      <c r="W138" s="2">
        <f>O138/R138*100</f>
        <v>43.522561863173216</v>
      </c>
      <c r="X138" s="2">
        <f>P138/R138*100</f>
        <v>8.0931586608442512</v>
      </c>
      <c r="Y138" s="2">
        <f>Q138/R138*100</f>
        <v>22.154294032023287</v>
      </c>
      <c r="Z138" s="2">
        <f>SUM(V138:Y138)</f>
        <v>100</v>
      </c>
    </row>
    <row r="139" spans="3:26" hidden="1">
      <c r="D139" s="38" t="s">
        <v>29</v>
      </c>
      <c r="E139" s="44">
        <v>5730</v>
      </c>
      <c r="F139" s="44">
        <v>3402</v>
      </c>
      <c r="G139" s="44">
        <v>2328</v>
      </c>
      <c r="H139" s="44">
        <v>4827</v>
      </c>
      <c r="I139" s="44">
        <v>2762</v>
      </c>
      <c r="J139" s="44">
        <v>2065</v>
      </c>
      <c r="K139" s="46">
        <v>901</v>
      </c>
      <c r="L139" s="44">
        <v>639</v>
      </c>
      <c r="M139" s="44">
        <v>262</v>
      </c>
      <c r="V139" s="2"/>
      <c r="W139" s="2"/>
      <c r="X139" s="2"/>
      <c r="Y139" s="2"/>
      <c r="Z139" s="2"/>
    </row>
    <row r="140" spans="3:26" hidden="1">
      <c r="D140" s="42" t="s">
        <v>30</v>
      </c>
      <c r="E140" s="43">
        <v>31510</v>
      </c>
      <c r="F140" s="43">
        <v>15791</v>
      </c>
      <c r="G140" s="43">
        <v>15719</v>
      </c>
      <c r="H140" s="43">
        <v>30012</v>
      </c>
      <c r="I140" s="43">
        <v>14835</v>
      </c>
      <c r="J140" s="43">
        <v>15177</v>
      </c>
      <c r="K140" s="46">
        <v>1495</v>
      </c>
      <c r="L140" s="43">
        <v>953</v>
      </c>
      <c r="M140" s="43">
        <v>542</v>
      </c>
      <c r="R140" s="45"/>
      <c r="V140" s="2"/>
      <c r="W140" s="2"/>
      <c r="X140" s="2"/>
      <c r="Y140" s="2"/>
      <c r="Z140" s="2"/>
    </row>
    <row r="141" spans="3:26" hidden="1">
      <c r="D141" s="38" t="s">
        <v>31</v>
      </c>
      <c r="E141" s="44">
        <v>3809</v>
      </c>
      <c r="F141" s="44">
        <v>1950</v>
      </c>
      <c r="G141" s="44">
        <v>1859</v>
      </c>
      <c r="H141" s="44">
        <v>3531</v>
      </c>
      <c r="I141" s="44">
        <v>1807</v>
      </c>
      <c r="J141" s="44">
        <v>1724</v>
      </c>
      <c r="K141" s="46">
        <v>278</v>
      </c>
      <c r="L141" s="44">
        <v>143</v>
      </c>
      <c r="M141" s="44">
        <v>135</v>
      </c>
      <c r="R141" s="45"/>
      <c r="V141" s="2"/>
      <c r="W141" s="2"/>
      <c r="X141" s="2"/>
      <c r="Y141" s="2"/>
      <c r="Z141" s="2"/>
    </row>
    <row r="142" spans="3:26" hidden="1">
      <c r="D142" s="42" t="s">
        <v>32</v>
      </c>
      <c r="E142" s="43">
        <v>4124</v>
      </c>
      <c r="F142" s="43">
        <v>2314</v>
      </c>
      <c r="G142" s="43">
        <v>1810</v>
      </c>
      <c r="H142" s="43">
        <v>3362</v>
      </c>
      <c r="I142" s="43">
        <v>1797</v>
      </c>
      <c r="J142" s="43">
        <v>1565</v>
      </c>
      <c r="K142" s="46">
        <v>761</v>
      </c>
      <c r="L142" s="43">
        <v>516</v>
      </c>
      <c r="M142" s="43">
        <v>245</v>
      </c>
      <c r="R142" s="45"/>
      <c r="V142" s="2"/>
      <c r="W142" s="2"/>
      <c r="X142" s="2"/>
      <c r="Y142" s="2"/>
      <c r="Z142" s="2"/>
    </row>
    <row r="143" spans="3:26">
      <c r="C143">
        <v>22</v>
      </c>
      <c r="D143" s="39" t="s">
        <v>53</v>
      </c>
      <c r="E143" s="41"/>
      <c r="F143" s="41"/>
      <c r="G143" s="41"/>
      <c r="H143" s="41"/>
      <c r="I143" s="41"/>
      <c r="J143" s="41"/>
      <c r="K143" s="47"/>
      <c r="L143" s="41"/>
      <c r="M143" s="40"/>
      <c r="R143" s="45"/>
      <c r="V143" s="2"/>
      <c r="W143" s="2"/>
      <c r="X143" s="2"/>
      <c r="Y143" s="2"/>
      <c r="Z143" s="2"/>
    </row>
    <row r="144" spans="3:26">
      <c r="D144" s="42" t="s">
        <v>28</v>
      </c>
      <c r="E144" s="43">
        <v>510811</v>
      </c>
      <c r="F144" s="43">
        <v>262870</v>
      </c>
      <c r="G144" s="43">
        <v>247941</v>
      </c>
      <c r="H144" s="43">
        <v>470697</v>
      </c>
      <c r="I144" s="43">
        <v>235251</v>
      </c>
      <c r="J144" s="43">
        <v>235446</v>
      </c>
      <c r="K144" s="46">
        <v>39896</v>
      </c>
      <c r="L144" s="43">
        <v>27474</v>
      </c>
      <c r="M144" s="43">
        <v>12422</v>
      </c>
      <c r="N144" s="46">
        <v>9602</v>
      </c>
      <c r="O144" s="46">
        <v>12094</v>
      </c>
      <c r="P144" s="46">
        <v>3557</v>
      </c>
      <c r="Q144" s="46">
        <v>14643</v>
      </c>
      <c r="R144" s="45">
        <f>SUM(N144:Q144)</f>
        <v>39896</v>
      </c>
      <c r="S144" t="str">
        <f>IF(R144=K144,"RICHTIG","FALSCH")</f>
        <v>RICHTIG</v>
      </c>
      <c r="V144" s="2">
        <f>N144/R144*100</f>
        <v>24.067575696811712</v>
      </c>
      <c r="W144" s="2">
        <f>O144/R144*100</f>
        <v>30.313815921395626</v>
      </c>
      <c r="X144" s="2">
        <f>P144/R144*100</f>
        <v>8.9156807700020053</v>
      </c>
      <c r="Y144" s="2">
        <f>Q144/R144*100</f>
        <v>36.702927611790656</v>
      </c>
      <c r="Z144" s="2">
        <f>SUM(V144:Y144)</f>
        <v>100</v>
      </c>
    </row>
    <row r="145" spans="3:26" hidden="1">
      <c r="D145" s="38" t="s">
        <v>29</v>
      </c>
      <c r="E145" s="44">
        <v>64232</v>
      </c>
      <c r="F145" s="44">
        <v>36572</v>
      </c>
      <c r="G145" s="44">
        <v>27660</v>
      </c>
      <c r="H145" s="44">
        <v>54586</v>
      </c>
      <c r="I145" s="44">
        <v>29680</v>
      </c>
      <c r="J145" s="44">
        <v>24906</v>
      </c>
      <c r="K145" s="46">
        <v>9602</v>
      </c>
      <c r="L145" s="44">
        <v>6855</v>
      </c>
      <c r="M145" s="44">
        <v>2747</v>
      </c>
      <c r="R145" s="45"/>
      <c r="V145" s="2"/>
      <c r="W145" s="2"/>
      <c r="X145" s="2"/>
      <c r="Y145" s="2"/>
      <c r="Z145" s="2"/>
    </row>
    <row r="146" spans="3:26" hidden="1">
      <c r="D146" s="42" t="s">
        <v>30</v>
      </c>
      <c r="E146" s="43">
        <v>345992</v>
      </c>
      <c r="F146" s="43">
        <v>171965</v>
      </c>
      <c r="G146" s="43">
        <v>174027</v>
      </c>
      <c r="H146" s="43">
        <v>333805</v>
      </c>
      <c r="I146" s="43">
        <v>164080</v>
      </c>
      <c r="J146" s="43">
        <v>169725</v>
      </c>
      <c r="K146" s="46">
        <v>12094</v>
      </c>
      <c r="L146" s="43">
        <v>7832</v>
      </c>
      <c r="M146" s="43">
        <v>4262</v>
      </c>
      <c r="R146" s="45"/>
      <c r="V146" s="2"/>
      <c r="W146" s="2"/>
      <c r="X146" s="2"/>
      <c r="Y146" s="2"/>
      <c r="Z146" s="2"/>
    </row>
    <row r="147" spans="3:26" hidden="1">
      <c r="D147" s="38" t="s">
        <v>31</v>
      </c>
      <c r="E147" s="44">
        <v>48824</v>
      </c>
      <c r="F147" s="44">
        <v>24141</v>
      </c>
      <c r="G147" s="44">
        <v>24683</v>
      </c>
      <c r="H147" s="44">
        <v>45247</v>
      </c>
      <c r="I147" s="44">
        <v>22290</v>
      </c>
      <c r="J147" s="44">
        <v>22957</v>
      </c>
      <c r="K147" s="46">
        <v>3557</v>
      </c>
      <c r="L147" s="44">
        <v>1839</v>
      </c>
      <c r="M147" s="44">
        <v>1718</v>
      </c>
      <c r="R147" s="45"/>
      <c r="V147" s="2"/>
      <c r="W147" s="2"/>
      <c r="X147" s="2"/>
      <c r="Y147" s="2"/>
      <c r="Z147" s="2"/>
    </row>
    <row r="148" spans="3:26" hidden="1">
      <c r="D148" s="42" t="s">
        <v>32</v>
      </c>
      <c r="E148" s="43">
        <v>51763</v>
      </c>
      <c r="F148" s="43">
        <v>30192</v>
      </c>
      <c r="G148" s="43">
        <v>21571</v>
      </c>
      <c r="H148" s="43">
        <v>37059</v>
      </c>
      <c r="I148" s="43">
        <v>19201</v>
      </c>
      <c r="J148" s="43">
        <v>17858</v>
      </c>
      <c r="K148" s="46">
        <v>14643</v>
      </c>
      <c r="L148" s="43">
        <v>10948</v>
      </c>
      <c r="M148" s="43">
        <v>3695</v>
      </c>
      <c r="R148" s="45"/>
      <c r="V148" s="2"/>
      <c r="W148" s="2"/>
      <c r="X148" s="2"/>
      <c r="Y148" s="2"/>
      <c r="Z148" s="2"/>
    </row>
    <row r="149" spans="3:26">
      <c r="C149">
        <v>24</v>
      </c>
      <c r="D149" s="39" t="s">
        <v>54</v>
      </c>
      <c r="E149" s="41"/>
      <c r="F149" s="41"/>
      <c r="G149" s="41"/>
      <c r="H149" s="41"/>
      <c r="I149" s="41"/>
      <c r="J149" s="41"/>
      <c r="K149" s="47"/>
      <c r="L149" s="41"/>
      <c r="M149" s="40"/>
      <c r="R149" s="45"/>
      <c r="V149" s="2"/>
      <c r="W149" s="2"/>
      <c r="X149" s="2"/>
      <c r="Y149" s="2"/>
      <c r="Z149" s="2"/>
    </row>
    <row r="150" spans="3:26">
      <c r="D150" s="42" t="s">
        <v>28</v>
      </c>
      <c r="E150" s="43">
        <v>57180</v>
      </c>
      <c r="F150" s="43">
        <v>29117</v>
      </c>
      <c r="G150" s="43">
        <v>28063</v>
      </c>
      <c r="H150" s="43">
        <v>53710</v>
      </c>
      <c r="I150" s="43">
        <v>26858</v>
      </c>
      <c r="J150" s="43">
        <v>26852</v>
      </c>
      <c r="K150" s="46">
        <v>3438</v>
      </c>
      <c r="L150" s="43">
        <v>2240</v>
      </c>
      <c r="M150" s="43">
        <v>1198</v>
      </c>
      <c r="N150" s="46">
        <v>1000</v>
      </c>
      <c r="O150" s="46">
        <v>1142</v>
      </c>
      <c r="P150" s="46">
        <v>466</v>
      </c>
      <c r="Q150" s="46">
        <v>830</v>
      </c>
      <c r="R150" s="45">
        <f>SUM(N150:Q150)</f>
        <v>3438</v>
      </c>
      <c r="S150" t="str">
        <f>IF(R150=K150,"RICHTIG","FALSCH")</f>
        <v>RICHTIG</v>
      </c>
      <c r="V150" s="2">
        <f>N150/R150*100</f>
        <v>29.086678301337987</v>
      </c>
      <c r="W150" s="2">
        <f>O150/R150*100</f>
        <v>33.216986620127983</v>
      </c>
      <c r="X150" s="2">
        <f>P150/R150*100</f>
        <v>13.554392088423503</v>
      </c>
      <c r="Y150" s="2">
        <f>Q150/R150*100</f>
        <v>24.141942990110529</v>
      </c>
      <c r="Z150" s="2">
        <f>SUM(V150:Y150)</f>
        <v>100</v>
      </c>
    </row>
    <row r="151" spans="3:26" hidden="1">
      <c r="D151" s="38" t="s">
        <v>29</v>
      </c>
      <c r="E151" s="44">
        <v>6539</v>
      </c>
      <c r="F151" s="44">
        <v>3659</v>
      </c>
      <c r="G151" s="44">
        <v>2880</v>
      </c>
      <c r="H151" s="44">
        <v>5535</v>
      </c>
      <c r="I151" s="44">
        <v>2956</v>
      </c>
      <c r="J151" s="44">
        <v>2579</v>
      </c>
      <c r="K151" s="46">
        <v>1000</v>
      </c>
      <c r="L151" s="44">
        <v>699</v>
      </c>
      <c r="M151" s="44">
        <v>301</v>
      </c>
      <c r="R151" s="45"/>
      <c r="V151" s="2"/>
      <c r="W151" s="2"/>
      <c r="X151" s="2"/>
      <c r="Y151" s="2"/>
      <c r="Z151" s="2"/>
    </row>
    <row r="152" spans="3:26" hidden="1">
      <c r="D152" s="42" t="s">
        <v>30</v>
      </c>
      <c r="E152" s="43">
        <v>39751</v>
      </c>
      <c r="F152" s="43">
        <v>19542</v>
      </c>
      <c r="G152" s="43">
        <v>20209</v>
      </c>
      <c r="H152" s="43">
        <v>38594</v>
      </c>
      <c r="I152" s="43">
        <v>18828</v>
      </c>
      <c r="J152" s="43">
        <v>19766</v>
      </c>
      <c r="K152" s="46">
        <v>1142</v>
      </c>
      <c r="L152" s="43">
        <v>706</v>
      </c>
      <c r="M152" s="43">
        <v>436</v>
      </c>
      <c r="R152" s="45"/>
      <c r="V152" s="2"/>
      <c r="W152" s="2"/>
      <c r="X152" s="2"/>
      <c r="Y152" s="2"/>
      <c r="Z152" s="2"/>
    </row>
    <row r="153" spans="3:26" hidden="1">
      <c r="D153" s="38" t="s">
        <v>31</v>
      </c>
      <c r="E153" s="44">
        <v>6464</v>
      </c>
      <c r="F153" s="44">
        <v>3558</v>
      </c>
      <c r="G153" s="44">
        <v>2906</v>
      </c>
      <c r="H153" s="44">
        <v>5995</v>
      </c>
      <c r="I153" s="44">
        <v>3285</v>
      </c>
      <c r="J153" s="44">
        <v>2710</v>
      </c>
      <c r="K153" s="46">
        <v>466</v>
      </c>
      <c r="L153" s="44">
        <v>272</v>
      </c>
      <c r="M153" s="44">
        <v>194</v>
      </c>
      <c r="R153" s="45"/>
      <c r="V153" s="2"/>
      <c r="W153" s="2"/>
      <c r="X153" s="2"/>
      <c r="Y153" s="2"/>
      <c r="Z153" s="2"/>
    </row>
    <row r="154" spans="3:26" hidden="1">
      <c r="D154" s="42" t="s">
        <v>32</v>
      </c>
      <c r="E154" s="43">
        <v>4426</v>
      </c>
      <c r="F154" s="43">
        <v>2358</v>
      </c>
      <c r="G154" s="43">
        <v>2068</v>
      </c>
      <c r="H154" s="43">
        <v>3586</v>
      </c>
      <c r="I154" s="43">
        <v>1789</v>
      </c>
      <c r="J154" s="43">
        <v>1797</v>
      </c>
      <c r="K154" s="46">
        <v>830</v>
      </c>
      <c r="L154" s="43">
        <v>563</v>
      </c>
      <c r="M154" s="43">
        <v>267</v>
      </c>
      <c r="R154" s="45"/>
      <c r="V154" s="2"/>
      <c r="W154" s="2"/>
      <c r="X154" s="2"/>
      <c r="Y154" s="2"/>
      <c r="Z154" s="2"/>
    </row>
    <row r="155" spans="3:26">
      <c r="C155">
        <v>25</v>
      </c>
      <c r="D155" s="39" t="s">
        <v>55</v>
      </c>
      <c r="E155" s="41"/>
      <c r="F155" s="41"/>
      <c r="G155" s="41"/>
      <c r="H155" s="41"/>
      <c r="I155" s="41"/>
      <c r="J155" s="41"/>
      <c r="K155" s="47"/>
      <c r="L155" s="41"/>
      <c r="M155" s="40"/>
      <c r="R155" s="45"/>
      <c r="V155" s="2"/>
      <c r="W155" s="2"/>
      <c r="X155" s="2"/>
      <c r="Y155" s="2"/>
      <c r="Z155" s="2"/>
    </row>
    <row r="156" spans="3:26">
      <c r="D156" s="42" t="s">
        <v>28</v>
      </c>
      <c r="E156" s="43">
        <v>47659</v>
      </c>
      <c r="F156" s="43">
        <v>23362</v>
      </c>
      <c r="G156" s="43">
        <v>24297</v>
      </c>
      <c r="H156" s="43">
        <v>43492</v>
      </c>
      <c r="I156" s="43">
        <v>20527</v>
      </c>
      <c r="J156" s="43">
        <v>22965</v>
      </c>
      <c r="K156" s="46">
        <v>4156</v>
      </c>
      <c r="L156" s="43">
        <v>2828</v>
      </c>
      <c r="M156" s="43">
        <v>1328</v>
      </c>
      <c r="N156" s="46">
        <v>989</v>
      </c>
      <c r="O156" s="46">
        <v>1203</v>
      </c>
      <c r="P156" s="46">
        <v>262</v>
      </c>
      <c r="Q156" s="46">
        <v>1702</v>
      </c>
      <c r="R156" s="45">
        <f>SUM(N156:Q156)</f>
        <v>4156</v>
      </c>
      <c r="S156" t="str">
        <f>IF(R156=K156,"RICHTIG","FALSCH")</f>
        <v>RICHTIG</v>
      </c>
      <c r="V156" s="2">
        <f>N156/R156*100</f>
        <v>23.796920115495666</v>
      </c>
      <c r="W156" s="2">
        <f>O156/R156*100</f>
        <v>28.946102021174209</v>
      </c>
      <c r="X156" s="2">
        <f>P156/R156*100</f>
        <v>6.3041385948026951</v>
      </c>
      <c r="Y156" s="2">
        <f>Q156/R156*100</f>
        <v>40.952839268527427</v>
      </c>
      <c r="Z156" s="2">
        <f>SUM(V156:Y156)</f>
        <v>100</v>
      </c>
    </row>
    <row r="157" spans="3:26" hidden="1">
      <c r="D157" s="38" t="s">
        <v>29</v>
      </c>
      <c r="E157" s="44">
        <v>6378</v>
      </c>
      <c r="F157" s="44">
        <v>3422</v>
      </c>
      <c r="G157" s="44">
        <v>2956</v>
      </c>
      <c r="H157" s="44">
        <v>5386</v>
      </c>
      <c r="I157" s="44">
        <v>2804</v>
      </c>
      <c r="J157" s="44">
        <v>2582</v>
      </c>
      <c r="K157" s="46">
        <v>989</v>
      </c>
      <c r="L157" s="44">
        <v>617</v>
      </c>
      <c r="M157" s="44">
        <v>372</v>
      </c>
      <c r="R157" s="45"/>
      <c r="V157" s="2"/>
      <c r="W157" s="2"/>
      <c r="X157" s="2"/>
      <c r="Y157" s="2"/>
      <c r="Z157" s="2"/>
    </row>
    <row r="158" spans="3:26" hidden="1">
      <c r="D158" s="42" t="s">
        <v>30</v>
      </c>
      <c r="E158" s="43">
        <v>32078</v>
      </c>
      <c r="F158" s="43">
        <v>15058</v>
      </c>
      <c r="G158" s="43">
        <v>17020</v>
      </c>
      <c r="H158" s="43">
        <v>30869</v>
      </c>
      <c r="I158" s="43">
        <v>14281</v>
      </c>
      <c r="J158" s="43">
        <v>16588</v>
      </c>
      <c r="K158" s="46">
        <v>1203</v>
      </c>
      <c r="L158" s="43">
        <v>772</v>
      </c>
      <c r="M158" s="43">
        <v>431</v>
      </c>
      <c r="R158" s="45"/>
      <c r="V158" s="2"/>
      <c r="W158" s="2"/>
      <c r="X158" s="2"/>
      <c r="Y158" s="2"/>
      <c r="Z158" s="2"/>
    </row>
    <row r="159" spans="3:26" hidden="1">
      <c r="D159" s="38" t="s">
        <v>31</v>
      </c>
      <c r="E159" s="44">
        <v>3451</v>
      </c>
      <c r="F159" s="44">
        <v>1699</v>
      </c>
      <c r="G159" s="44">
        <v>1752</v>
      </c>
      <c r="H159" s="44">
        <v>3189</v>
      </c>
      <c r="I159" s="44">
        <v>1556</v>
      </c>
      <c r="J159" s="44">
        <v>1633</v>
      </c>
      <c r="K159" s="46">
        <v>262</v>
      </c>
      <c r="L159" s="44">
        <v>143</v>
      </c>
      <c r="M159" s="44">
        <v>119</v>
      </c>
      <c r="R159" s="45"/>
      <c r="V159" s="2"/>
      <c r="W159" s="2"/>
      <c r="X159" s="2"/>
      <c r="Y159" s="2"/>
      <c r="Z159" s="2"/>
    </row>
    <row r="160" spans="3:26" hidden="1">
      <c r="D160" s="42" t="s">
        <v>32</v>
      </c>
      <c r="E160" s="43">
        <v>5752</v>
      </c>
      <c r="F160" s="43">
        <v>3183</v>
      </c>
      <c r="G160" s="43">
        <v>2569</v>
      </c>
      <c r="H160" s="43">
        <v>4048</v>
      </c>
      <c r="I160" s="43">
        <v>1886</v>
      </c>
      <c r="J160" s="43">
        <v>2162</v>
      </c>
      <c r="K160" s="46">
        <v>1702</v>
      </c>
      <c r="L160" s="43">
        <v>1296</v>
      </c>
      <c r="M160" s="43">
        <v>406</v>
      </c>
      <c r="R160" s="45"/>
      <c r="V160" s="2"/>
      <c r="W160" s="2"/>
      <c r="X160" s="2"/>
      <c r="Y160" s="2"/>
      <c r="Z160" s="2"/>
    </row>
    <row r="161" spans="3:26">
      <c r="C161">
        <v>26</v>
      </c>
      <c r="D161" s="39" t="s">
        <v>56</v>
      </c>
      <c r="E161" s="41"/>
      <c r="F161" s="41"/>
      <c r="G161" s="41"/>
      <c r="H161" s="41"/>
      <c r="I161" s="41"/>
      <c r="J161" s="41"/>
      <c r="K161" s="47"/>
      <c r="L161" s="41"/>
      <c r="M161" s="40"/>
      <c r="R161" s="45"/>
      <c r="V161" s="2"/>
      <c r="W161" s="2"/>
      <c r="X161" s="2"/>
      <c r="Y161" s="2"/>
      <c r="Z161" s="2"/>
    </row>
    <row r="162" spans="3:26">
      <c r="D162" s="42" t="s">
        <v>28</v>
      </c>
      <c r="E162" s="43">
        <v>64693</v>
      </c>
      <c r="F162" s="43">
        <v>34220</v>
      </c>
      <c r="G162" s="43">
        <v>30473</v>
      </c>
      <c r="H162" s="43">
        <v>56625</v>
      </c>
      <c r="I162" s="43">
        <v>28343</v>
      </c>
      <c r="J162" s="43">
        <v>28282</v>
      </c>
      <c r="K162" s="46">
        <v>8032</v>
      </c>
      <c r="L162" s="43">
        <v>5853</v>
      </c>
      <c r="M162" s="43">
        <v>2179</v>
      </c>
      <c r="N162" s="46">
        <v>2026</v>
      </c>
      <c r="O162" s="46">
        <v>2266</v>
      </c>
      <c r="P162" s="46">
        <v>543</v>
      </c>
      <c r="Q162" s="46">
        <v>3197</v>
      </c>
      <c r="R162" s="45">
        <f>SUM(N162:Q162)</f>
        <v>8032</v>
      </c>
      <c r="S162" t="str">
        <f>IF(R162=K162,"RICHTIG","FALSCH")</f>
        <v>RICHTIG</v>
      </c>
      <c r="V162" s="2">
        <f>N162/R162*100</f>
        <v>25.224103585657371</v>
      </c>
      <c r="W162" s="2">
        <f>O162/R162*100</f>
        <v>28.212151394422314</v>
      </c>
      <c r="X162" s="2">
        <f>P162/R162*100</f>
        <v>6.7604581673306772</v>
      </c>
      <c r="Y162" s="2">
        <f>Q162/R162*100</f>
        <v>39.803286852589643</v>
      </c>
      <c r="Z162" s="2">
        <f>SUM(V162:Y162)</f>
        <v>100</v>
      </c>
    </row>
    <row r="163" spans="3:26" hidden="1">
      <c r="D163" s="38" t="s">
        <v>29</v>
      </c>
      <c r="E163" s="44">
        <v>7807</v>
      </c>
      <c r="F163" s="44">
        <v>4943</v>
      </c>
      <c r="G163" s="44">
        <v>2864</v>
      </c>
      <c r="H163" s="44">
        <v>5769</v>
      </c>
      <c r="I163" s="44">
        <v>3363</v>
      </c>
      <c r="J163" s="44">
        <v>2406</v>
      </c>
      <c r="K163" s="46">
        <v>2026</v>
      </c>
      <c r="L163" s="44">
        <v>1570</v>
      </c>
      <c r="M163" s="44">
        <v>456</v>
      </c>
      <c r="R163" s="45"/>
      <c r="V163" s="2"/>
      <c r="W163" s="2"/>
      <c r="X163" s="2"/>
      <c r="Y163" s="2"/>
      <c r="Z163" s="2"/>
    </row>
    <row r="164" spans="3:26" hidden="1">
      <c r="D164" s="42" t="s">
        <v>30</v>
      </c>
      <c r="E164" s="43">
        <v>42193</v>
      </c>
      <c r="F164" s="43">
        <v>20826</v>
      </c>
      <c r="G164" s="43">
        <v>21367</v>
      </c>
      <c r="H164" s="43">
        <v>39910</v>
      </c>
      <c r="I164" s="43">
        <v>19342</v>
      </c>
      <c r="J164" s="43">
        <v>20568</v>
      </c>
      <c r="K164" s="46">
        <v>2266</v>
      </c>
      <c r="L164" s="43">
        <v>1474</v>
      </c>
      <c r="M164" s="43">
        <v>792</v>
      </c>
      <c r="R164" s="45"/>
      <c r="V164" s="2"/>
      <c r="W164" s="2"/>
      <c r="X164" s="2"/>
      <c r="Y164" s="2"/>
      <c r="Z164" s="2"/>
    </row>
    <row r="165" spans="3:26" hidden="1">
      <c r="D165" s="38" t="s">
        <v>31</v>
      </c>
      <c r="E165" s="44">
        <v>5993</v>
      </c>
      <c r="F165" s="44">
        <v>2809</v>
      </c>
      <c r="G165" s="44">
        <v>3184</v>
      </c>
      <c r="H165" s="44">
        <v>5449</v>
      </c>
      <c r="I165" s="44">
        <v>2525</v>
      </c>
      <c r="J165" s="44">
        <v>2924</v>
      </c>
      <c r="K165" s="46">
        <v>543</v>
      </c>
      <c r="L165" s="44">
        <v>283</v>
      </c>
      <c r="M165" s="44">
        <v>260</v>
      </c>
      <c r="R165" s="45"/>
      <c r="V165" s="2"/>
      <c r="W165" s="2"/>
      <c r="X165" s="2"/>
      <c r="Y165" s="2"/>
      <c r="Z165" s="2"/>
    </row>
    <row r="166" spans="3:26" hidden="1">
      <c r="D166" s="42" t="s">
        <v>32</v>
      </c>
      <c r="E166" s="43">
        <v>8700</v>
      </c>
      <c r="F166" s="43">
        <v>5642</v>
      </c>
      <c r="G166" s="43">
        <v>3058</v>
      </c>
      <c r="H166" s="43">
        <v>5497</v>
      </c>
      <c r="I166" s="43">
        <v>3113</v>
      </c>
      <c r="J166" s="43">
        <v>2384</v>
      </c>
      <c r="K166" s="46">
        <v>3197</v>
      </c>
      <c r="L166" s="43">
        <v>2526</v>
      </c>
      <c r="M166" s="43">
        <v>671</v>
      </c>
      <c r="R166" s="45"/>
      <c r="V166" s="2"/>
      <c r="W166" s="2"/>
      <c r="X166" s="2"/>
      <c r="Y166" s="2"/>
      <c r="Z166" s="2"/>
    </row>
    <row r="167" spans="3:26">
      <c r="C167">
        <v>27</v>
      </c>
      <c r="D167" s="39" t="s">
        <v>57</v>
      </c>
      <c r="E167" s="41"/>
      <c r="F167" s="41"/>
      <c r="G167" s="41"/>
      <c r="H167" s="41"/>
      <c r="I167" s="41"/>
      <c r="J167" s="41"/>
      <c r="K167" s="47"/>
      <c r="L167" s="41"/>
      <c r="M167" s="40"/>
      <c r="R167" s="45"/>
      <c r="V167" s="2"/>
      <c r="W167" s="2"/>
      <c r="X167" s="2"/>
      <c r="Y167" s="2"/>
      <c r="Z167" s="2"/>
    </row>
    <row r="168" spans="3:26">
      <c r="D168" s="42" t="s">
        <v>28</v>
      </c>
      <c r="E168" s="43">
        <v>14265</v>
      </c>
      <c r="F168" s="43">
        <v>6900</v>
      </c>
      <c r="G168" s="43">
        <v>7365</v>
      </c>
      <c r="H168" s="43">
        <v>13587</v>
      </c>
      <c r="I168" s="43">
        <v>6502</v>
      </c>
      <c r="J168" s="43">
        <v>7085</v>
      </c>
      <c r="K168" s="46">
        <v>677</v>
      </c>
      <c r="L168" s="43">
        <v>397</v>
      </c>
      <c r="M168" s="43">
        <v>280</v>
      </c>
      <c r="N168" s="46">
        <v>134</v>
      </c>
      <c r="O168" s="46">
        <v>195</v>
      </c>
      <c r="P168" s="46">
        <v>60</v>
      </c>
      <c r="Q168" s="46">
        <v>288</v>
      </c>
      <c r="R168" s="45">
        <f>SUM(N168:Q168)</f>
        <v>677</v>
      </c>
      <c r="S168" t="str">
        <f>IF(R168=K168,"RICHTIG","FALSCH")</f>
        <v>RICHTIG</v>
      </c>
      <c r="V168" s="2">
        <f>N168/R168*100</f>
        <v>19.793205317577549</v>
      </c>
      <c r="W168" s="2">
        <f>O168/R168*100</f>
        <v>28.80354505169867</v>
      </c>
      <c r="X168" s="2">
        <f>P168/R168*100</f>
        <v>8.862629246676514</v>
      </c>
      <c r="Y168" s="2">
        <f>Q168/R168*100</f>
        <v>42.540620384047266</v>
      </c>
      <c r="Z168" s="2">
        <f>SUM(V168:Y168)</f>
        <v>100</v>
      </c>
    </row>
    <row r="169" spans="3:26" hidden="1">
      <c r="D169" s="38" t="s">
        <v>29</v>
      </c>
      <c r="E169" s="44">
        <v>1278</v>
      </c>
      <c r="F169" s="44">
        <v>675</v>
      </c>
      <c r="G169" s="44">
        <v>603</v>
      </c>
      <c r="H169" s="44">
        <v>1144</v>
      </c>
      <c r="I169" s="44">
        <v>588</v>
      </c>
      <c r="J169" s="44">
        <v>556</v>
      </c>
      <c r="K169" s="46">
        <v>134</v>
      </c>
      <c r="L169" s="44">
        <v>87</v>
      </c>
      <c r="M169" s="44">
        <v>47</v>
      </c>
      <c r="R169" s="45"/>
      <c r="V169" s="2"/>
      <c r="W169" s="2"/>
      <c r="X169" s="2"/>
      <c r="Y169" s="2"/>
      <c r="Z169" s="2"/>
    </row>
    <row r="170" spans="3:26" hidden="1">
      <c r="D170" s="42" t="s">
        <v>30</v>
      </c>
      <c r="E170" s="43">
        <v>10273</v>
      </c>
      <c r="F170" s="43">
        <v>4921</v>
      </c>
      <c r="G170" s="43">
        <v>5352</v>
      </c>
      <c r="H170" s="43">
        <v>10077</v>
      </c>
      <c r="I170" s="43">
        <v>4804</v>
      </c>
      <c r="J170" s="43">
        <v>5273</v>
      </c>
      <c r="K170" s="46">
        <v>195</v>
      </c>
      <c r="L170" s="43">
        <v>116</v>
      </c>
      <c r="M170" s="43">
        <v>79</v>
      </c>
      <c r="R170" s="45"/>
      <c r="V170" s="2"/>
      <c r="W170" s="2"/>
      <c r="X170" s="2"/>
      <c r="Y170" s="2"/>
      <c r="Z170" s="2"/>
    </row>
    <row r="171" spans="3:26" hidden="1">
      <c r="D171" s="38" t="s">
        <v>31</v>
      </c>
      <c r="E171" s="44">
        <v>1173</v>
      </c>
      <c r="F171" s="44">
        <v>492</v>
      </c>
      <c r="G171" s="44">
        <v>681</v>
      </c>
      <c r="H171" s="44">
        <v>1113</v>
      </c>
      <c r="I171" s="44">
        <v>464</v>
      </c>
      <c r="J171" s="44">
        <v>649</v>
      </c>
      <c r="K171" s="46">
        <v>60</v>
      </c>
      <c r="L171" s="44">
        <v>28</v>
      </c>
      <c r="M171" s="44">
        <v>32</v>
      </c>
      <c r="R171" s="45"/>
      <c r="V171" s="2"/>
      <c r="W171" s="2"/>
      <c r="X171" s="2"/>
      <c r="Y171" s="2"/>
      <c r="Z171" s="2"/>
    </row>
    <row r="172" spans="3:26" hidden="1">
      <c r="D172" s="42" t="s">
        <v>32</v>
      </c>
      <c r="E172" s="43">
        <v>1541</v>
      </c>
      <c r="F172" s="43">
        <v>812</v>
      </c>
      <c r="G172" s="43">
        <v>729</v>
      </c>
      <c r="H172" s="43">
        <v>1253</v>
      </c>
      <c r="I172" s="43">
        <v>646</v>
      </c>
      <c r="J172" s="43">
        <v>607</v>
      </c>
      <c r="K172" s="46">
        <v>288</v>
      </c>
      <c r="L172" s="43">
        <v>166</v>
      </c>
      <c r="M172" s="43">
        <v>122</v>
      </c>
      <c r="R172" s="45"/>
      <c r="V172" s="2"/>
      <c r="W172" s="2"/>
      <c r="X172" s="2"/>
      <c r="Y172" s="2"/>
      <c r="Z172" s="2"/>
    </row>
    <row r="173" spans="3:26">
      <c r="C173">
        <v>28</v>
      </c>
      <c r="D173" s="39" t="s">
        <v>58</v>
      </c>
      <c r="E173" s="41"/>
      <c r="F173" s="41"/>
      <c r="G173" s="41"/>
      <c r="H173" s="41"/>
      <c r="I173" s="41"/>
      <c r="J173" s="41"/>
      <c r="K173" s="47"/>
      <c r="L173" s="41"/>
      <c r="M173" s="40"/>
      <c r="R173" s="45"/>
      <c r="V173" s="2"/>
      <c r="W173" s="2"/>
      <c r="X173" s="2"/>
      <c r="Y173" s="2"/>
      <c r="Z173" s="2"/>
    </row>
    <row r="174" spans="3:26">
      <c r="D174" s="42" t="s">
        <v>28</v>
      </c>
      <c r="E174" s="43">
        <v>58362</v>
      </c>
      <c r="F174" s="43">
        <v>29229</v>
      </c>
      <c r="G174" s="43">
        <v>29133</v>
      </c>
      <c r="H174" s="43">
        <v>54677</v>
      </c>
      <c r="I174" s="43">
        <v>26789</v>
      </c>
      <c r="J174" s="43">
        <v>27888</v>
      </c>
      <c r="K174" s="46">
        <v>3651</v>
      </c>
      <c r="L174" s="43">
        <v>2418</v>
      </c>
      <c r="M174" s="43">
        <v>1233</v>
      </c>
      <c r="N174" s="46">
        <v>963</v>
      </c>
      <c r="O174" s="46">
        <v>1152</v>
      </c>
      <c r="P174" s="46">
        <v>506</v>
      </c>
      <c r="Q174" s="46">
        <v>1030</v>
      </c>
      <c r="R174" s="45">
        <f>SUM(N174:Q174)</f>
        <v>3651</v>
      </c>
      <c r="S174" t="str">
        <f>IF(R174=K174,"RICHTIG","FALSCH")</f>
        <v>RICHTIG</v>
      </c>
      <c r="V174" s="2">
        <f>N174/R174*100</f>
        <v>26.376335250616268</v>
      </c>
      <c r="W174" s="2">
        <f>O174/R174*100</f>
        <v>31.55299917830731</v>
      </c>
      <c r="X174" s="2">
        <f>P174/R174*100</f>
        <v>13.85921665297179</v>
      </c>
      <c r="Y174" s="2">
        <f>Q174/R174*100</f>
        <v>28.21144891810463</v>
      </c>
      <c r="Z174" s="2">
        <f>SUM(V174:Y174)</f>
        <v>100</v>
      </c>
    </row>
    <row r="175" spans="3:26" hidden="1">
      <c r="D175" s="38" t="s">
        <v>29</v>
      </c>
      <c r="E175" s="44">
        <v>7734</v>
      </c>
      <c r="F175" s="44">
        <v>4537</v>
      </c>
      <c r="G175" s="44">
        <v>3197</v>
      </c>
      <c r="H175" s="44">
        <v>6764</v>
      </c>
      <c r="I175" s="44">
        <v>3792</v>
      </c>
      <c r="J175" s="44">
        <v>2972</v>
      </c>
      <c r="K175" s="46">
        <v>963</v>
      </c>
      <c r="L175" s="44">
        <v>738</v>
      </c>
      <c r="M175" s="44">
        <v>225</v>
      </c>
      <c r="R175" s="45"/>
      <c r="V175" s="2"/>
      <c r="W175" s="2"/>
      <c r="X175" s="2"/>
      <c r="Y175" s="2"/>
      <c r="Z175" s="2"/>
    </row>
    <row r="176" spans="3:26" hidden="1">
      <c r="D176" s="42" t="s">
        <v>30</v>
      </c>
      <c r="E176" s="43">
        <v>37766</v>
      </c>
      <c r="F176" s="43">
        <v>18319</v>
      </c>
      <c r="G176" s="43">
        <v>19447</v>
      </c>
      <c r="H176" s="43">
        <v>36600</v>
      </c>
      <c r="I176" s="43">
        <v>17579</v>
      </c>
      <c r="J176" s="43">
        <v>19021</v>
      </c>
      <c r="K176" s="46">
        <v>1152</v>
      </c>
      <c r="L176" s="43">
        <v>733</v>
      </c>
      <c r="M176" s="43">
        <v>419</v>
      </c>
      <c r="R176" s="45"/>
      <c r="V176" s="2"/>
      <c r="W176" s="2"/>
      <c r="X176" s="2"/>
      <c r="Y176" s="2"/>
      <c r="Z176" s="2"/>
    </row>
    <row r="177" spans="3:26" hidden="1">
      <c r="D177" s="38" t="s">
        <v>31</v>
      </c>
      <c r="E177" s="44">
        <v>7964</v>
      </c>
      <c r="F177" s="44">
        <v>3683</v>
      </c>
      <c r="G177" s="44">
        <v>4281</v>
      </c>
      <c r="H177" s="44">
        <v>7453</v>
      </c>
      <c r="I177" s="44">
        <v>3449</v>
      </c>
      <c r="J177" s="44">
        <v>4004</v>
      </c>
      <c r="K177" s="46">
        <v>506</v>
      </c>
      <c r="L177" s="44">
        <v>231</v>
      </c>
      <c r="M177" s="44">
        <v>275</v>
      </c>
      <c r="R177" s="45"/>
      <c r="V177" s="2"/>
      <c r="W177" s="2"/>
      <c r="X177" s="2"/>
      <c r="Y177" s="2"/>
      <c r="Z177" s="2"/>
    </row>
    <row r="178" spans="3:26" hidden="1">
      <c r="D178" s="42" t="s">
        <v>32</v>
      </c>
      <c r="E178" s="43">
        <v>4898</v>
      </c>
      <c r="F178" s="43">
        <v>2690</v>
      </c>
      <c r="G178" s="43">
        <v>2208</v>
      </c>
      <c r="H178" s="43">
        <v>3860</v>
      </c>
      <c r="I178" s="43">
        <v>1969</v>
      </c>
      <c r="J178" s="43">
        <v>1891</v>
      </c>
      <c r="K178" s="46">
        <v>1030</v>
      </c>
      <c r="L178" s="43">
        <v>716</v>
      </c>
      <c r="M178" s="43">
        <v>314</v>
      </c>
      <c r="R178" s="45"/>
      <c r="V178" s="2"/>
      <c r="W178" s="2"/>
      <c r="X178" s="2"/>
      <c r="Y178" s="2"/>
      <c r="Z178" s="2"/>
    </row>
    <row r="179" spans="3:26">
      <c r="C179">
        <v>29</v>
      </c>
      <c r="D179" s="39" t="s">
        <v>59</v>
      </c>
      <c r="E179" s="41"/>
      <c r="F179" s="41"/>
      <c r="G179" s="41"/>
      <c r="H179" s="41"/>
      <c r="I179" s="41"/>
      <c r="J179" s="41"/>
      <c r="K179" s="47"/>
      <c r="L179" s="41"/>
      <c r="M179" s="40"/>
      <c r="R179" s="45"/>
      <c r="V179" s="2"/>
      <c r="W179" s="2"/>
      <c r="X179" s="2"/>
      <c r="Y179" s="2"/>
      <c r="Z179" s="2"/>
    </row>
    <row r="180" spans="3:26">
      <c r="D180" s="42" t="s">
        <v>28</v>
      </c>
      <c r="E180" s="43">
        <v>26394</v>
      </c>
      <c r="F180" s="43">
        <v>13205</v>
      </c>
      <c r="G180" s="43">
        <v>13189</v>
      </c>
      <c r="H180" s="43">
        <v>24683</v>
      </c>
      <c r="I180" s="43">
        <v>12035</v>
      </c>
      <c r="J180" s="43">
        <v>12648</v>
      </c>
      <c r="K180" s="46">
        <v>1703</v>
      </c>
      <c r="L180" s="43">
        <v>1163</v>
      </c>
      <c r="M180" s="43">
        <v>540</v>
      </c>
      <c r="N180" s="46">
        <v>433</v>
      </c>
      <c r="O180" s="46">
        <v>568</v>
      </c>
      <c r="P180" s="46">
        <v>170</v>
      </c>
      <c r="Q180" s="46">
        <v>532</v>
      </c>
      <c r="R180" s="45">
        <f>SUM(N180:Q180)</f>
        <v>1703</v>
      </c>
      <c r="S180" t="str">
        <f>IF(R180=K180,"RICHTIG","FALSCH")</f>
        <v>RICHTIG</v>
      </c>
      <c r="V180" s="2">
        <f>N180/R180*100</f>
        <v>25.425719318849087</v>
      </c>
      <c r="W180" s="2">
        <f>O180/R180*100</f>
        <v>33.352906635349385</v>
      </c>
      <c r="X180" s="2">
        <f>P180/R180*100</f>
        <v>9.9823840281855549</v>
      </c>
      <c r="Y180" s="2">
        <f>Q180/R180*100</f>
        <v>31.238990017615968</v>
      </c>
      <c r="Z180" s="2">
        <f>SUM(V180:Y180)</f>
        <v>100</v>
      </c>
    </row>
    <row r="181" spans="3:26" hidden="1">
      <c r="D181" s="38" t="s">
        <v>29</v>
      </c>
      <c r="E181" s="44">
        <v>3345</v>
      </c>
      <c r="F181" s="44">
        <v>1824</v>
      </c>
      <c r="G181" s="44">
        <v>1521</v>
      </c>
      <c r="H181" s="44">
        <v>2912</v>
      </c>
      <c r="I181" s="44">
        <v>1505</v>
      </c>
      <c r="J181" s="44">
        <v>1407</v>
      </c>
      <c r="K181" s="46">
        <v>433</v>
      </c>
      <c r="L181" s="44">
        <v>319</v>
      </c>
      <c r="M181" s="44">
        <v>114</v>
      </c>
      <c r="R181" s="45"/>
      <c r="V181" s="2"/>
      <c r="W181" s="2"/>
      <c r="X181" s="2"/>
      <c r="Y181" s="2"/>
      <c r="Z181" s="2"/>
    </row>
    <row r="182" spans="3:26" hidden="1">
      <c r="D182" s="42" t="s">
        <v>30</v>
      </c>
      <c r="E182" s="43">
        <v>17944</v>
      </c>
      <c r="F182" s="43">
        <v>8794</v>
      </c>
      <c r="G182" s="43">
        <v>9150</v>
      </c>
      <c r="H182" s="43">
        <v>17370</v>
      </c>
      <c r="I182" s="43">
        <v>8403</v>
      </c>
      <c r="J182" s="43">
        <v>8967</v>
      </c>
      <c r="K182" s="46">
        <v>568</v>
      </c>
      <c r="L182" s="43">
        <v>386</v>
      </c>
      <c r="M182" s="43">
        <v>182</v>
      </c>
      <c r="R182" s="45"/>
      <c r="V182" s="2"/>
      <c r="W182" s="2"/>
      <c r="X182" s="2"/>
      <c r="Y182" s="2"/>
      <c r="Z182" s="2"/>
    </row>
    <row r="183" spans="3:26" hidden="1">
      <c r="D183" s="38" t="s">
        <v>31</v>
      </c>
      <c r="E183" s="44">
        <v>2189</v>
      </c>
      <c r="F183" s="44">
        <v>1039</v>
      </c>
      <c r="G183" s="44">
        <v>1150</v>
      </c>
      <c r="H183" s="44">
        <v>2019</v>
      </c>
      <c r="I183" s="44">
        <v>947</v>
      </c>
      <c r="J183" s="44">
        <v>1072</v>
      </c>
      <c r="K183" s="46">
        <v>170</v>
      </c>
      <c r="L183" s="44">
        <v>92</v>
      </c>
      <c r="M183" s="44">
        <v>78</v>
      </c>
      <c r="R183" s="45"/>
      <c r="V183" s="2"/>
      <c r="W183" s="2"/>
      <c r="X183" s="2"/>
      <c r="Y183" s="2"/>
      <c r="Z183" s="2"/>
    </row>
    <row r="184" spans="3:26" hidden="1">
      <c r="D184" s="42" t="s">
        <v>32</v>
      </c>
      <c r="E184" s="43">
        <v>2916</v>
      </c>
      <c r="F184" s="43">
        <v>1548</v>
      </c>
      <c r="G184" s="43">
        <v>1368</v>
      </c>
      <c r="H184" s="43">
        <v>2382</v>
      </c>
      <c r="I184" s="43">
        <v>1180</v>
      </c>
      <c r="J184" s="43">
        <v>1202</v>
      </c>
      <c r="K184" s="46">
        <v>532</v>
      </c>
      <c r="L184" s="43">
        <v>366</v>
      </c>
      <c r="M184" s="43">
        <v>166</v>
      </c>
      <c r="R184" s="45"/>
      <c r="V184" s="2"/>
      <c r="W184" s="2"/>
      <c r="X184" s="2"/>
      <c r="Y184" s="2"/>
      <c r="Z184" s="2"/>
    </row>
    <row r="185" spans="3:26">
      <c r="C185">
        <v>30</v>
      </c>
      <c r="D185" s="39" t="s">
        <v>60</v>
      </c>
      <c r="E185" s="41"/>
      <c r="F185" s="41"/>
      <c r="G185" s="41"/>
      <c r="H185" s="41"/>
      <c r="I185" s="41"/>
      <c r="J185" s="41"/>
      <c r="K185" s="47"/>
      <c r="L185" s="41"/>
      <c r="M185" s="40"/>
      <c r="R185" s="45"/>
      <c r="V185" s="2"/>
      <c r="W185" s="2"/>
      <c r="X185" s="2"/>
      <c r="Y185" s="2"/>
      <c r="Z185" s="2"/>
    </row>
    <row r="186" spans="3:26">
      <c r="D186" s="42" t="s">
        <v>28</v>
      </c>
      <c r="E186" s="43">
        <v>55730</v>
      </c>
      <c r="F186" s="43">
        <v>29391</v>
      </c>
      <c r="G186" s="43">
        <v>26339</v>
      </c>
      <c r="H186" s="43">
        <v>52095</v>
      </c>
      <c r="I186" s="43">
        <v>26906</v>
      </c>
      <c r="J186" s="43">
        <v>25189</v>
      </c>
      <c r="K186" s="46">
        <v>3606</v>
      </c>
      <c r="L186" s="43">
        <v>2464</v>
      </c>
      <c r="M186" s="43">
        <v>1142</v>
      </c>
      <c r="N186" s="46">
        <v>810</v>
      </c>
      <c r="O186" s="46">
        <v>1255</v>
      </c>
      <c r="P186" s="46">
        <v>314</v>
      </c>
      <c r="Q186" s="46">
        <v>1227</v>
      </c>
      <c r="R186" s="45">
        <f>SUM(N186:Q186)</f>
        <v>3606</v>
      </c>
      <c r="S186" t="str">
        <f>IF(R186=K186,"RICHTIG","FALSCH")</f>
        <v>RICHTIG</v>
      </c>
      <c r="V186" s="2">
        <f>N186/R186*100</f>
        <v>22.462562396006653</v>
      </c>
      <c r="W186" s="2">
        <f>O186/R186*100</f>
        <v>34.803105934553521</v>
      </c>
      <c r="X186" s="2">
        <f>P186/R186*100</f>
        <v>8.7077093732667787</v>
      </c>
      <c r="Y186" s="2">
        <f>Q186/R186*100</f>
        <v>34.026622296173045</v>
      </c>
      <c r="Z186" s="2">
        <f>SUM(V186:Y186)</f>
        <v>100</v>
      </c>
    </row>
    <row r="187" spans="3:26" hidden="1">
      <c r="D187" s="38" t="s">
        <v>29</v>
      </c>
      <c r="E187" s="44">
        <v>7429</v>
      </c>
      <c r="F187" s="44">
        <v>4266</v>
      </c>
      <c r="G187" s="44">
        <v>3163</v>
      </c>
      <c r="H187" s="44">
        <v>6612</v>
      </c>
      <c r="I187" s="44">
        <v>3675</v>
      </c>
      <c r="J187" s="44">
        <v>2937</v>
      </c>
      <c r="K187" s="46">
        <v>810</v>
      </c>
      <c r="L187" s="44">
        <v>585</v>
      </c>
      <c r="M187" s="44">
        <v>225</v>
      </c>
      <c r="R187" s="45"/>
      <c r="V187" s="2"/>
      <c r="W187" s="2"/>
      <c r="X187" s="2"/>
      <c r="Y187" s="2"/>
      <c r="Z187" s="2"/>
    </row>
    <row r="188" spans="3:26" hidden="1">
      <c r="D188" s="42" t="s">
        <v>30</v>
      </c>
      <c r="E188" s="43">
        <v>38901</v>
      </c>
      <c r="F188" s="43">
        <v>20083</v>
      </c>
      <c r="G188" s="43">
        <v>18818</v>
      </c>
      <c r="H188" s="43">
        <v>37636</v>
      </c>
      <c r="I188" s="43">
        <v>19257</v>
      </c>
      <c r="J188" s="43">
        <v>18379</v>
      </c>
      <c r="K188" s="46">
        <v>1255</v>
      </c>
      <c r="L188" s="43">
        <v>819</v>
      </c>
      <c r="M188" s="43">
        <v>436</v>
      </c>
      <c r="R188" s="45"/>
      <c r="V188" s="2"/>
      <c r="W188" s="2"/>
      <c r="X188" s="2"/>
      <c r="Y188" s="2"/>
      <c r="Z188" s="2"/>
    </row>
    <row r="189" spans="3:26" hidden="1">
      <c r="D189" s="38" t="s">
        <v>31</v>
      </c>
      <c r="E189" s="44">
        <v>4367</v>
      </c>
      <c r="F189" s="44">
        <v>2132</v>
      </c>
      <c r="G189" s="44">
        <v>2235</v>
      </c>
      <c r="H189" s="44">
        <v>4047</v>
      </c>
      <c r="I189" s="44">
        <v>1971</v>
      </c>
      <c r="J189" s="44">
        <v>2076</v>
      </c>
      <c r="K189" s="46">
        <v>314</v>
      </c>
      <c r="L189" s="44">
        <v>157</v>
      </c>
      <c r="M189" s="44">
        <v>157</v>
      </c>
      <c r="R189" s="45"/>
      <c r="V189" s="2"/>
      <c r="W189" s="2"/>
      <c r="X189" s="2"/>
      <c r="Y189" s="2"/>
      <c r="Z189" s="2"/>
    </row>
    <row r="190" spans="3:26" hidden="1">
      <c r="D190" s="42" t="s">
        <v>32</v>
      </c>
      <c r="E190" s="43">
        <v>5033</v>
      </c>
      <c r="F190" s="43">
        <v>2910</v>
      </c>
      <c r="G190" s="43">
        <v>2123</v>
      </c>
      <c r="H190" s="43">
        <v>3800</v>
      </c>
      <c r="I190" s="43">
        <v>2003</v>
      </c>
      <c r="J190" s="43">
        <v>1797</v>
      </c>
      <c r="K190" s="46">
        <v>1227</v>
      </c>
      <c r="L190" s="43">
        <v>903</v>
      </c>
      <c r="M190" s="43">
        <v>324</v>
      </c>
      <c r="R190" s="45"/>
      <c r="V190" s="2"/>
      <c r="W190" s="2"/>
      <c r="X190" s="2"/>
      <c r="Y190" s="2"/>
      <c r="Z190" s="2"/>
    </row>
    <row r="191" spans="3:26">
      <c r="C191">
        <v>31</v>
      </c>
      <c r="D191" s="39" t="s">
        <v>61</v>
      </c>
      <c r="E191" s="41"/>
      <c r="F191" s="41"/>
      <c r="G191" s="41"/>
      <c r="H191" s="41"/>
      <c r="I191" s="41"/>
      <c r="J191" s="41"/>
      <c r="K191" s="47"/>
      <c r="L191" s="41"/>
      <c r="M191" s="40"/>
      <c r="R191" s="45"/>
      <c r="V191" s="2"/>
      <c r="W191" s="2"/>
      <c r="X191" s="2"/>
      <c r="Y191" s="2"/>
      <c r="Z191" s="2"/>
    </row>
    <row r="192" spans="3:26">
      <c r="D192" s="42" t="s">
        <v>28</v>
      </c>
      <c r="E192" s="43">
        <v>47482</v>
      </c>
      <c r="F192" s="43">
        <v>24781</v>
      </c>
      <c r="G192" s="43">
        <v>22701</v>
      </c>
      <c r="H192" s="43">
        <v>43669</v>
      </c>
      <c r="I192" s="43">
        <v>22261</v>
      </c>
      <c r="J192" s="43">
        <v>21408</v>
      </c>
      <c r="K192" s="46">
        <v>3797</v>
      </c>
      <c r="L192" s="43">
        <v>2508</v>
      </c>
      <c r="M192" s="43">
        <v>1289</v>
      </c>
      <c r="N192" s="46">
        <v>792</v>
      </c>
      <c r="O192" s="46">
        <v>1397</v>
      </c>
      <c r="P192" s="46">
        <v>280</v>
      </c>
      <c r="Q192" s="46">
        <v>1328</v>
      </c>
      <c r="R192" s="45">
        <f>SUM(N192:Q192)</f>
        <v>3797</v>
      </c>
      <c r="S192" t="str">
        <f>IF(R192=K192,"RICHTIG","FALSCH")</f>
        <v>RICHTIG</v>
      </c>
      <c r="V192" s="2">
        <f>N192/R192*100</f>
        <v>20.858572557282066</v>
      </c>
      <c r="W192" s="2">
        <f>O192/R192*100</f>
        <v>36.792204371872536</v>
      </c>
      <c r="X192" s="2">
        <f>P192/R192*100</f>
        <v>7.3742428232815378</v>
      </c>
      <c r="Y192" s="2">
        <f>Q192/R192*100</f>
        <v>34.974980247563863</v>
      </c>
      <c r="Z192" s="2">
        <f>SUM(V192:Y192)</f>
        <v>100</v>
      </c>
    </row>
    <row r="193" spans="3:26" hidden="1">
      <c r="D193" s="38" t="s">
        <v>29</v>
      </c>
      <c r="E193" s="44">
        <v>6359</v>
      </c>
      <c r="F193" s="44">
        <v>3470</v>
      </c>
      <c r="G193" s="44">
        <v>2889</v>
      </c>
      <c r="H193" s="44">
        <v>5564</v>
      </c>
      <c r="I193" s="44">
        <v>2947</v>
      </c>
      <c r="J193" s="44">
        <v>2617</v>
      </c>
      <c r="K193" s="46">
        <v>792</v>
      </c>
      <c r="L193" s="44">
        <v>520</v>
      </c>
      <c r="M193" s="44">
        <v>272</v>
      </c>
      <c r="V193" s="2"/>
      <c r="W193" s="2"/>
      <c r="X193" s="2"/>
      <c r="Y193" s="2"/>
      <c r="Z193" s="2"/>
    </row>
    <row r="194" spans="3:26" hidden="1">
      <c r="D194" s="42" t="s">
        <v>30</v>
      </c>
      <c r="E194" s="43">
        <v>33700</v>
      </c>
      <c r="F194" s="43">
        <v>17217</v>
      </c>
      <c r="G194" s="43">
        <v>16483</v>
      </c>
      <c r="H194" s="43">
        <v>32296</v>
      </c>
      <c r="I194" s="43">
        <v>16315</v>
      </c>
      <c r="J194" s="43">
        <v>15981</v>
      </c>
      <c r="K194" s="46">
        <v>1397</v>
      </c>
      <c r="L194" s="43">
        <v>898</v>
      </c>
      <c r="M194" s="43">
        <v>499</v>
      </c>
      <c r="R194" s="45"/>
      <c r="V194" s="2"/>
      <c r="W194" s="2"/>
      <c r="X194" s="2"/>
      <c r="Y194" s="2"/>
      <c r="Z194" s="2"/>
    </row>
    <row r="195" spans="3:26" hidden="1">
      <c r="D195" s="38" t="s">
        <v>31</v>
      </c>
      <c r="E195" s="44">
        <v>3338</v>
      </c>
      <c r="F195" s="44">
        <v>1718</v>
      </c>
      <c r="G195" s="44">
        <v>1620</v>
      </c>
      <c r="H195" s="44">
        <v>3056</v>
      </c>
      <c r="I195" s="44">
        <v>1570</v>
      </c>
      <c r="J195" s="44">
        <v>1486</v>
      </c>
      <c r="K195" s="46">
        <v>280</v>
      </c>
      <c r="L195" s="44">
        <v>147</v>
      </c>
      <c r="M195" s="44">
        <v>133</v>
      </c>
      <c r="R195" s="45"/>
      <c r="V195" s="2"/>
      <c r="W195" s="2"/>
      <c r="X195" s="2"/>
      <c r="Y195" s="2"/>
      <c r="Z195" s="2"/>
    </row>
    <row r="196" spans="3:26" hidden="1">
      <c r="D196" s="42" t="s">
        <v>32</v>
      </c>
      <c r="E196" s="43">
        <v>4085</v>
      </c>
      <c r="F196" s="43">
        <v>2376</v>
      </c>
      <c r="G196" s="43">
        <v>1709</v>
      </c>
      <c r="H196" s="43">
        <v>2753</v>
      </c>
      <c r="I196" s="43">
        <v>1429</v>
      </c>
      <c r="J196" s="43">
        <v>1324</v>
      </c>
      <c r="K196" s="46">
        <v>1328</v>
      </c>
      <c r="L196" s="43">
        <v>943</v>
      </c>
      <c r="M196" s="43">
        <v>385</v>
      </c>
      <c r="R196" s="45"/>
      <c r="V196" s="2"/>
      <c r="W196" s="2"/>
      <c r="X196" s="2"/>
      <c r="Y196" s="2"/>
      <c r="Z196" s="2"/>
    </row>
    <row r="197" spans="3:26">
      <c r="C197">
        <v>32</v>
      </c>
      <c r="D197" s="39" t="s">
        <v>62</v>
      </c>
      <c r="E197" s="41"/>
      <c r="F197" s="41"/>
      <c r="G197" s="41"/>
      <c r="H197" s="41"/>
      <c r="I197" s="41"/>
      <c r="J197" s="41"/>
      <c r="K197" s="47"/>
      <c r="L197" s="41"/>
      <c r="M197" s="40"/>
      <c r="R197" s="45"/>
      <c r="V197" s="2"/>
      <c r="W197" s="2"/>
      <c r="X197" s="2"/>
      <c r="Y197" s="2"/>
      <c r="Z197" s="2"/>
    </row>
    <row r="198" spans="3:26">
      <c r="D198" s="42" t="s">
        <v>28</v>
      </c>
      <c r="E198" s="43">
        <v>62085</v>
      </c>
      <c r="F198" s="43">
        <v>32779</v>
      </c>
      <c r="G198" s="43">
        <v>29306</v>
      </c>
      <c r="H198" s="43">
        <v>57029</v>
      </c>
      <c r="I198" s="43">
        <v>29121</v>
      </c>
      <c r="J198" s="43">
        <v>27908</v>
      </c>
      <c r="K198" s="46">
        <v>5030</v>
      </c>
      <c r="L198" s="43">
        <v>3638</v>
      </c>
      <c r="M198" s="43">
        <v>1392</v>
      </c>
      <c r="N198" s="46">
        <v>1039</v>
      </c>
      <c r="O198" s="46">
        <v>1275</v>
      </c>
      <c r="P198" s="46">
        <v>388</v>
      </c>
      <c r="Q198" s="46">
        <v>2328</v>
      </c>
      <c r="R198" s="45">
        <f>SUM(N198:Q198)</f>
        <v>5030</v>
      </c>
      <c r="S198" t="str">
        <f>IF(R198=K198,"RICHTIG","FALSCH")</f>
        <v>RICHTIG</v>
      </c>
      <c r="V198" s="2">
        <f>N198/R198*100</f>
        <v>20.656063618290258</v>
      </c>
      <c r="W198" s="2">
        <f>O198/R198*100</f>
        <v>25.347912524850898</v>
      </c>
      <c r="X198" s="2">
        <f>P198/R198*100</f>
        <v>7.7137176938369789</v>
      </c>
      <c r="Y198" s="2">
        <f>Q198/R198*100</f>
        <v>46.282306163021872</v>
      </c>
      <c r="Z198" s="2">
        <f>SUM(V198:Y198)</f>
        <v>100</v>
      </c>
    </row>
    <row r="199" spans="3:26" hidden="1">
      <c r="D199" s="38" t="s">
        <v>29</v>
      </c>
      <c r="E199" s="44">
        <v>7928</v>
      </c>
      <c r="F199" s="44">
        <v>4446</v>
      </c>
      <c r="G199" s="44">
        <v>3482</v>
      </c>
      <c r="H199" s="44">
        <v>6887</v>
      </c>
      <c r="I199" s="44">
        <v>3743</v>
      </c>
      <c r="J199" s="44">
        <v>3144</v>
      </c>
      <c r="K199" s="46">
        <v>1039</v>
      </c>
      <c r="L199" s="44">
        <v>701</v>
      </c>
      <c r="M199" s="44">
        <v>338</v>
      </c>
      <c r="R199" s="45"/>
      <c r="V199" s="2"/>
      <c r="W199" s="2"/>
      <c r="X199" s="2"/>
      <c r="Y199" s="2"/>
      <c r="Z199" s="2"/>
    </row>
    <row r="200" spans="3:26" hidden="1">
      <c r="D200" s="42" t="s">
        <v>30</v>
      </c>
      <c r="E200" s="43">
        <v>41550</v>
      </c>
      <c r="F200" s="43">
        <v>20926</v>
      </c>
      <c r="G200" s="43">
        <v>20624</v>
      </c>
      <c r="H200" s="43">
        <v>40268</v>
      </c>
      <c r="I200" s="43">
        <v>20097</v>
      </c>
      <c r="J200" s="43">
        <v>20171</v>
      </c>
      <c r="K200" s="46">
        <v>1275</v>
      </c>
      <c r="L200" s="43">
        <v>827</v>
      </c>
      <c r="M200" s="43">
        <v>448</v>
      </c>
      <c r="R200" s="45"/>
      <c r="V200" s="2"/>
      <c r="W200" s="2"/>
      <c r="X200" s="2"/>
      <c r="Y200" s="2"/>
      <c r="Z200" s="2"/>
    </row>
    <row r="201" spans="3:26" hidden="1">
      <c r="D201" s="38" t="s">
        <v>31</v>
      </c>
      <c r="E201" s="44">
        <v>6160</v>
      </c>
      <c r="F201" s="44">
        <v>3272</v>
      </c>
      <c r="G201" s="44">
        <v>2888</v>
      </c>
      <c r="H201" s="44">
        <v>5770</v>
      </c>
      <c r="I201" s="44">
        <v>3055</v>
      </c>
      <c r="J201" s="44">
        <v>2715</v>
      </c>
      <c r="K201" s="46">
        <v>388</v>
      </c>
      <c r="L201" s="44">
        <v>215</v>
      </c>
      <c r="M201" s="44">
        <v>173</v>
      </c>
      <c r="R201" s="45"/>
      <c r="V201" s="2"/>
      <c r="W201" s="2"/>
      <c r="X201" s="2"/>
      <c r="Y201" s="2"/>
      <c r="Z201" s="2"/>
    </row>
    <row r="202" spans="3:26" hidden="1">
      <c r="D202" s="42" t="s">
        <v>32</v>
      </c>
      <c r="E202" s="43">
        <v>6447</v>
      </c>
      <c r="F202" s="43">
        <v>4135</v>
      </c>
      <c r="G202" s="43">
        <v>2312</v>
      </c>
      <c r="H202" s="43">
        <v>4104</v>
      </c>
      <c r="I202" s="43">
        <v>2226</v>
      </c>
      <c r="J202" s="43">
        <v>1878</v>
      </c>
      <c r="K202" s="46">
        <v>2328</v>
      </c>
      <c r="L202" s="43">
        <v>1895</v>
      </c>
      <c r="M202" s="43">
        <v>433</v>
      </c>
      <c r="R202" s="45"/>
      <c r="V202" s="2"/>
      <c r="W202" s="2"/>
      <c r="X202" s="2"/>
      <c r="Y202" s="2"/>
      <c r="Z202" s="2"/>
    </row>
    <row r="203" spans="3:26">
      <c r="C203">
        <v>33</v>
      </c>
      <c r="D203" s="39" t="s">
        <v>63</v>
      </c>
      <c r="E203" s="41"/>
      <c r="F203" s="41"/>
      <c r="G203" s="41"/>
      <c r="H203" s="41"/>
      <c r="I203" s="41"/>
      <c r="J203" s="41"/>
      <c r="K203" s="47"/>
      <c r="L203" s="41"/>
      <c r="M203" s="40"/>
      <c r="R203" s="45"/>
      <c r="V203" s="2"/>
      <c r="W203" s="2"/>
      <c r="X203" s="2"/>
      <c r="Y203" s="2"/>
      <c r="Z203" s="2"/>
    </row>
    <row r="204" spans="3:26">
      <c r="D204" s="42" t="s">
        <v>28</v>
      </c>
      <c r="E204" s="43">
        <v>29609</v>
      </c>
      <c r="F204" s="43">
        <v>14120</v>
      </c>
      <c r="G204" s="43">
        <v>15489</v>
      </c>
      <c r="H204" s="43">
        <v>28188</v>
      </c>
      <c r="I204" s="43">
        <v>13232</v>
      </c>
      <c r="J204" s="43">
        <v>14956</v>
      </c>
      <c r="K204" s="46">
        <v>1413</v>
      </c>
      <c r="L204" s="43">
        <v>883</v>
      </c>
      <c r="M204" s="43">
        <v>530</v>
      </c>
      <c r="N204" s="46">
        <v>276</v>
      </c>
      <c r="O204" s="46">
        <v>491</v>
      </c>
      <c r="P204" s="46">
        <v>206</v>
      </c>
      <c r="Q204" s="46">
        <v>440</v>
      </c>
      <c r="R204" s="45">
        <f>SUM(N204:Q204)</f>
        <v>1413</v>
      </c>
      <c r="S204" t="str">
        <f>IF(R204=K204,"RICHTIG","FALSCH")</f>
        <v>RICHTIG</v>
      </c>
      <c r="V204" s="2">
        <f>N204/R204*100</f>
        <v>19.53290870488323</v>
      </c>
      <c r="W204" s="2">
        <f>O204/R204*100</f>
        <v>34.748761500353858</v>
      </c>
      <c r="X204" s="2">
        <f>P204/R204*100</f>
        <v>14.578910120311395</v>
      </c>
      <c r="Y204" s="2">
        <f>Q204/R204*100</f>
        <v>31.139419674451524</v>
      </c>
      <c r="Z204" s="2">
        <f>SUM(V204:Y204)</f>
        <v>100</v>
      </c>
    </row>
    <row r="205" spans="3:26" hidden="1">
      <c r="D205" s="38" t="s">
        <v>29</v>
      </c>
      <c r="E205" s="44">
        <v>3289</v>
      </c>
      <c r="F205" s="44">
        <v>1747</v>
      </c>
      <c r="G205" s="44">
        <v>1542</v>
      </c>
      <c r="H205" s="44">
        <v>3012</v>
      </c>
      <c r="I205" s="44">
        <v>1571</v>
      </c>
      <c r="J205" s="44">
        <v>1441</v>
      </c>
      <c r="K205" s="46">
        <v>276</v>
      </c>
      <c r="L205" s="44">
        <v>176</v>
      </c>
      <c r="M205" s="44">
        <v>100</v>
      </c>
      <c r="R205" s="45"/>
      <c r="V205" s="2"/>
      <c r="W205" s="2"/>
      <c r="X205" s="2"/>
      <c r="Y205" s="2"/>
      <c r="Z205" s="2"/>
    </row>
    <row r="206" spans="3:26" hidden="1">
      <c r="D206" s="42" t="s">
        <v>30</v>
      </c>
      <c r="E206" s="43">
        <v>20802</v>
      </c>
      <c r="F206" s="43">
        <v>9718</v>
      </c>
      <c r="G206" s="43">
        <v>11084</v>
      </c>
      <c r="H206" s="43">
        <v>20307</v>
      </c>
      <c r="I206" s="43">
        <v>9423</v>
      </c>
      <c r="J206" s="43">
        <v>10884</v>
      </c>
      <c r="K206" s="46">
        <v>491</v>
      </c>
      <c r="L206" s="43">
        <v>293</v>
      </c>
      <c r="M206" s="43">
        <v>198</v>
      </c>
      <c r="R206" s="45"/>
      <c r="V206" s="2"/>
      <c r="W206" s="2"/>
      <c r="X206" s="2"/>
      <c r="Y206" s="2"/>
      <c r="Z206" s="2"/>
    </row>
    <row r="207" spans="3:26" hidden="1">
      <c r="D207" s="38" t="s">
        <v>31</v>
      </c>
      <c r="E207" s="44">
        <v>2758</v>
      </c>
      <c r="F207" s="44">
        <v>1188</v>
      </c>
      <c r="G207" s="44">
        <v>1570</v>
      </c>
      <c r="H207" s="44">
        <v>2552</v>
      </c>
      <c r="I207" s="44">
        <v>1086</v>
      </c>
      <c r="J207" s="44">
        <v>1466</v>
      </c>
      <c r="K207" s="46">
        <v>206</v>
      </c>
      <c r="L207" s="44">
        <v>102</v>
      </c>
      <c r="M207" s="44">
        <v>104</v>
      </c>
      <c r="R207" s="45"/>
      <c r="V207" s="2"/>
      <c r="W207" s="2"/>
      <c r="X207" s="2"/>
      <c r="Y207" s="2"/>
      <c r="Z207" s="2"/>
    </row>
    <row r="208" spans="3:26" hidden="1">
      <c r="D208" s="42" t="s">
        <v>32</v>
      </c>
      <c r="E208" s="43">
        <v>2760</v>
      </c>
      <c r="F208" s="43">
        <v>1467</v>
      </c>
      <c r="G208" s="43">
        <v>1293</v>
      </c>
      <c r="H208" s="43">
        <v>2317</v>
      </c>
      <c r="I208" s="43">
        <v>1152</v>
      </c>
      <c r="J208" s="43">
        <v>1165</v>
      </c>
      <c r="K208" s="46">
        <v>440</v>
      </c>
      <c r="L208" s="43">
        <v>312</v>
      </c>
      <c r="M208" s="43">
        <v>128</v>
      </c>
      <c r="R208" s="45"/>
      <c r="V208" s="2"/>
      <c r="W208" s="2"/>
      <c r="X208" s="2"/>
      <c r="Y208" s="2"/>
      <c r="Z208" s="2"/>
    </row>
    <row r="209" spans="3:26">
      <c r="C209">
        <v>34</v>
      </c>
      <c r="D209" s="39" t="s">
        <v>64</v>
      </c>
      <c r="E209" s="41"/>
      <c r="F209" s="41"/>
      <c r="G209" s="41"/>
      <c r="H209" s="41"/>
      <c r="I209" s="41"/>
      <c r="J209" s="41"/>
      <c r="K209" s="47"/>
      <c r="L209" s="41"/>
      <c r="M209" s="40"/>
      <c r="R209" s="45"/>
      <c r="V209" s="2"/>
      <c r="W209" s="2"/>
      <c r="X209" s="2"/>
      <c r="Y209" s="2"/>
      <c r="Z209" s="2"/>
    </row>
    <row r="210" spans="3:26">
      <c r="D210" s="42" t="s">
        <v>28</v>
      </c>
      <c r="E210" s="43">
        <v>47352</v>
      </c>
      <c r="F210" s="43">
        <v>25766</v>
      </c>
      <c r="G210" s="43">
        <v>21586</v>
      </c>
      <c r="H210" s="43">
        <v>42942</v>
      </c>
      <c r="I210" s="43">
        <v>22677</v>
      </c>
      <c r="J210" s="43">
        <v>20265</v>
      </c>
      <c r="K210" s="46">
        <v>4393</v>
      </c>
      <c r="L210" s="43">
        <v>3082</v>
      </c>
      <c r="M210" s="43">
        <v>1311</v>
      </c>
      <c r="N210" s="46">
        <v>1140</v>
      </c>
      <c r="O210" s="46">
        <v>1150</v>
      </c>
      <c r="P210" s="46">
        <v>362</v>
      </c>
      <c r="Q210" s="46">
        <v>1741</v>
      </c>
      <c r="R210" s="45">
        <f>SUM(N210:Q210)</f>
        <v>4393</v>
      </c>
      <c r="S210" t="str">
        <f>IF(R210=K210,"RICHTIG","FALSCH")</f>
        <v>RICHTIG</v>
      </c>
      <c r="V210" s="2">
        <f>N210/R210*100</f>
        <v>25.950375597541541</v>
      </c>
      <c r="W210" s="2">
        <f>O210/R210*100</f>
        <v>26.178010471204189</v>
      </c>
      <c r="X210" s="2">
        <f>P210/R210*100</f>
        <v>8.2403824265877521</v>
      </c>
      <c r="Y210" s="2">
        <f>Q210/R210*100</f>
        <v>39.631231504666516</v>
      </c>
      <c r="Z210" s="2">
        <f>SUM(V210:Y210)</f>
        <v>100</v>
      </c>
    </row>
    <row r="211" spans="3:26" hidden="1">
      <c r="D211" s="38" t="s">
        <v>29</v>
      </c>
      <c r="E211" s="44">
        <v>6146</v>
      </c>
      <c r="F211" s="44">
        <v>3583</v>
      </c>
      <c r="G211" s="44">
        <v>2563</v>
      </c>
      <c r="H211" s="44">
        <v>5001</v>
      </c>
      <c r="I211" s="44">
        <v>2736</v>
      </c>
      <c r="J211" s="44">
        <v>2265</v>
      </c>
      <c r="K211" s="46">
        <v>1140</v>
      </c>
      <c r="L211" s="44">
        <v>843</v>
      </c>
      <c r="M211" s="44">
        <v>297</v>
      </c>
      <c r="R211" s="45"/>
      <c r="V211" s="2"/>
      <c r="W211" s="2"/>
      <c r="X211" s="2"/>
      <c r="Y211" s="2"/>
      <c r="Z211" s="2"/>
    </row>
    <row r="212" spans="3:26" hidden="1">
      <c r="D212" s="42" t="s">
        <v>30</v>
      </c>
      <c r="E212" s="43">
        <v>31034</v>
      </c>
      <c r="F212" s="43">
        <v>16561</v>
      </c>
      <c r="G212" s="43">
        <v>14473</v>
      </c>
      <c r="H212" s="43">
        <v>29878</v>
      </c>
      <c r="I212" s="43">
        <v>15751</v>
      </c>
      <c r="J212" s="43">
        <v>14127</v>
      </c>
      <c r="K212" s="46">
        <v>1150</v>
      </c>
      <c r="L212" s="43">
        <v>808</v>
      </c>
      <c r="M212" s="43">
        <v>342</v>
      </c>
      <c r="R212" s="45"/>
      <c r="V212" s="2"/>
      <c r="W212" s="2"/>
      <c r="X212" s="2"/>
      <c r="Y212" s="2"/>
      <c r="Z212" s="2"/>
    </row>
    <row r="213" spans="3:26" hidden="1">
      <c r="D213" s="38" t="s">
        <v>31</v>
      </c>
      <c r="E213" s="44">
        <v>4967</v>
      </c>
      <c r="F213" s="44">
        <v>2551</v>
      </c>
      <c r="G213" s="44">
        <v>2416</v>
      </c>
      <c r="H213" s="44">
        <v>4604</v>
      </c>
      <c r="I213" s="44">
        <v>2382</v>
      </c>
      <c r="J213" s="44">
        <v>2222</v>
      </c>
      <c r="K213" s="46">
        <v>362</v>
      </c>
      <c r="L213" s="44">
        <v>169</v>
      </c>
      <c r="M213" s="44">
        <v>193</v>
      </c>
      <c r="R213" s="45"/>
      <c r="V213" s="2"/>
      <c r="W213" s="2"/>
      <c r="X213" s="2"/>
      <c r="Y213" s="2"/>
      <c r="Z213" s="2"/>
    </row>
    <row r="214" spans="3:26" hidden="1">
      <c r="D214" s="42" t="s">
        <v>32</v>
      </c>
      <c r="E214" s="43">
        <v>5205</v>
      </c>
      <c r="F214" s="43">
        <v>3071</v>
      </c>
      <c r="G214" s="43">
        <v>2134</v>
      </c>
      <c r="H214" s="43">
        <v>3459</v>
      </c>
      <c r="I214" s="43">
        <v>1808</v>
      </c>
      <c r="J214" s="43">
        <v>1651</v>
      </c>
      <c r="K214" s="46">
        <v>1741</v>
      </c>
      <c r="L214" s="43">
        <v>1262</v>
      </c>
      <c r="M214" s="43">
        <v>479</v>
      </c>
      <c r="R214" s="45"/>
      <c r="V214" s="2"/>
      <c r="W214" s="2"/>
      <c r="X214" s="2"/>
      <c r="Y214" s="2"/>
      <c r="Z214" s="2"/>
    </row>
    <row r="215" spans="3:26">
      <c r="C215">
        <v>35</v>
      </c>
      <c r="D215" s="39" t="s">
        <v>65</v>
      </c>
      <c r="E215" s="41"/>
      <c r="F215" s="41"/>
      <c r="G215" s="41"/>
      <c r="H215" s="41"/>
      <c r="I215" s="41"/>
      <c r="J215" s="41"/>
      <c r="K215" s="47"/>
      <c r="L215" s="41"/>
      <c r="M215" s="40"/>
      <c r="R215" s="45"/>
      <c r="V215" s="2"/>
      <c r="W215" s="2"/>
      <c r="X215" s="2"/>
      <c r="Y215" s="2"/>
      <c r="Z215" s="2"/>
    </row>
    <row r="216" spans="3:26">
      <c r="D216" s="42" t="s">
        <v>28</v>
      </c>
      <c r="E216" s="43">
        <v>974297</v>
      </c>
      <c r="F216" s="43">
        <v>542373</v>
      </c>
      <c r="G216" s="43">
        <v>431924</v>
      </c>
      <c r="H216" s="43">
        <v>884850</v>
      </c>
      <c r="I216" s="43">
        <v>481474</v>
      </c>
      <c r="J216" s="43">
        <v>403376</v>
      </c>
      <c r="K216" s="46">
        <v>89139</v>
      </c>
      <c r="L216" s="43">
        <v>60669</v>
      </c>
      <c r="M216" s="43">
        <v>28470</v>
      </c>
      <c r="N216" s="46">
        <v>21475</v>
      </c>
      <c r="O216" s="46">
        <v>23808</v>
      </c>
      <c r="P216" s="46">
        <v>6072</v>
      </c>
      <c r="Q216" s="46">
        <v>37784</v>
      </c>
      <c r="R216" s="45">
        <f>SUM(N216:Q216)</f>
        <v>89139</v>
      </c>
      <c r="S216" t="str">
        <f>IF(R216=K216,"RICHTIG","FALSCH")</f>
        <v>RICHTIG</v>
      </c>
      <c r="V216" s="2">
        <f>N216/R216*100</f>
        <v>24.091587296245191</v>
      </c>
      <c r="W216" s="2">
        <f>O216/R216*100</f>
        <v>26.708847978999088</v>
      </c>
      <c r="X216" s="2">
        <f>P216/R216*100</f>
        <v>6.8118332043213412</v>
      </c>
      <c r="Y216" s="2">
        <f>Q216/R216*100</f>
        <v>42.387731520434379</v>
      </c>
      <c r="Z216" s="2">
        <f>SUM(V216:Y216)</f>
        <v>100</v>
      </c>
    </row>
    <row r="217" spans="3:26" hidden="1">
      <c r="D217" s="38" t="s">
        <v>29</v>
      </c>
      <c r="E217" s="44">
        <v>123856</v>
      </c>
      <c r="F217" s="44">
        <v>71939</v>
      </c>
      <c r="G217" s="44">
        <v>51917</v>
      </c>
      <c r="H217" s="44">
        <v>102314</v>
      </c>
      <c r="I217" s="44">
        <v>57232</v>
      </c>
      <c r="J217" s="44">
        <v>45082</v>
      </c>
      <c r="K217" s="46">
        <v>21475</v>
      </c>
      <c r="L217" s="44">
        <v>14656</v>
      </c>
      <c r="M217" s="44">
        <v>6819</v>
      </c>
      <c r="R217" s="45"/>
      <c r="V217" s="2"/>
      <c r="W217" s="2"/>
      <c r="X217" s="2"/>
      <c r="Y217" s="2"/>
      <c r="Z217" s="2"/>
    </row>
    <row r="218" spans="3:26" hidden="1">
      <c r="D218" s="42" t="s">
        <v>30</v>
      </c>
      <c r="E218" s="43">
        <v>641675</v>
      </c>
      <c r="F218" s="43">
        <v>351925</v>
      </c>
      <c r="G218" s="43">
        <v>289750</v>
      </c>
      <c r="H218" s="43">
        <v>617743</v>
      </c>
      <c r="I218" s="43">
        <v>335617</v>
      </c>
      <c r="J218" s="43">
        <v>282126</v>
      </c>
      <c r="K218" s="46">
        <v>23808</v>
      </c>
      <c r="L218" s="43">
        <v>16222</v>
      </c>
      <c r="M218" s="43">
        <v>7586</v>
      </c>
      <c r="R218" s="45"/>
      <c r="V218" s="2"/>
      <c r="W218" s="2"/>
      <c r="X218" s="2"/>
      <c r="Y218" s="2"/>
      <c r="Z218" s="2"/>
    </row>
    <row r="219" spans="3:26" hidden="1">
      <c r="D219" s="38" t="s">
        <v>31</v>
      </c>
      <c r="E219" s="44">
        <v>96360</v>
      </c>
      <c r="F219" s="44">
        <v>52555</v>
      </c>
      <c r="G219" s="44">
        <v>43805</v>
      </c>
      <c r="H219" s="44">
        <v>90269</v>
      </c>
      <c r="I219" s="44">
        <v>49230</v>
      </c>
      <c r="J219" s="44">
        <v>41039</v>
      </c>
      <c r="K219" s="46">
        <v>6072</v>
      </c>
      <c r="L219" s="44">
        <v>3309</v>
      </c>
      <c r="M219" s="44">
        <v>2763</v>
      </c>
      <c r="R219" s="45"/>
      <c r="V219" s="2"/>
      <c r="W219" s="2"/>
      <c r="X219" s="2"/>
      <c r="Y219" s="2"/>
      <c r="Z219" s="2"/>
    </row>
    <row r="220" spans="3:26" hidden="1">
      <c r="D220" s="42" t="s">
        <v>32</v>
      </c>
      <c r="E220" s="43">
        <v>112406</v>
      </c>
      <c r="F220" s="43">
        <v>65954</v>
      </c>
      <c r="G220" s="43">
        <v>46452</v>
      </c>
      <c r="H220" s="43">
        <v>74524</v>
      </c>
      <c r="I220" s="43">
        <v>39395</v>
      </c>
      <c r="J220" s="43">
        <v>35129</v>
      </c>
      <c r="K220" s="46">
        <v>37784</v>
      </c>
      <c r="L220" s="43">
        <v>26482</v>
      </c>
      <c r="M220" s="43">
        <v>11302</v>
      </c>
      <c r="R220" s="45"/>
      <c r="V220" s="2"/>
      <c r="W220" s="2"/>
      <c r="X220" s="2"/>
      <c r="Y220" s="2"/>
      <c r="Z220" s="2"/>
    </row>
    <row r="221" spans="3:26">
      <c r="C221">
        <v>36</v>
      </c>
      <c r="D221" s="39" t="s">
        <v>66</v>
      </c>
      <c r="E221" s="41"/>
      <c r="F221" s="41"/>
      <c r="G221" s="41"/>
      <c r="H221" s="41"/>
      <c r="I221" s="41"/>
      <c r="J221" s="41"/>
      <c r="K221" s="47"/>
      <c r="L221" s="41"/>
      <c r="M221" s="40"/>
      <c r="R221" s="45"/>
      <c r="V221" s="2"/>
      <c r="W221" s="2"/>
      <c r="X221" s="2"/>
      <c r="Y221" s="2"/>
      <c r="Z221" s="2"/>
    </row>
    <row r="222" spans="3:26">
      <c r="D222" s="42" t="s">
        <v>28</v>
      </c>
      <c r="E222" s="43">
        <v>20525</v>
      </c>
      <c r="F222" s="43">
        <v>9606</v>
      </c>
      <c r="G222" s="43">
        <v>10919</v>
      </c>
      <c r="H222" s="43">
        <v>18808</v>
      </c>
      <c r="I222" s="43">
        <v>8571</v>
      </c>
      <c r="J222" s="43">
        <v>10237</v>
      </c>
      <c r="K222" s="46">
        <v>1707</v>
      </c>
      <c r="L222" s="43">
        <v>1028</v>
      </c>
      <c r="M222" s="43">
        <v>679</v>
      </c>
      <c r="N222" s="46">
        <v>463</v>
      </c>
      <c r="O222" s="46">
        <v>516</v>
      </c>
      <c r="P222" s="46">
        <v>153</v>
      </c>
      <c r="Q222" s="46">
        <v>575</v>
      </c>
      <c r="R222" s="45">
        <f>SUM(N222:Q222)</f>
        <v>1707</v>
      </c>
      <c r="S222" t="str">
        <f>IF(R222=K222,"RICHTIG","FALSCH")</f>
        <v>RICHTIG</v>
      </c>
      <c r="V222" s="2">
        <f>N222/R222*100</f>
        <v>27.123608670181603</v>
      </c>
      <c r="W222" s="2">
        <f>O222/R222*100</f>
        <v>30.228471001757466</v>
      </c>
      <c r="X222" s="2">
        <f>P222/R222*100</f>
        <v>8.9630931458699479</v>
      </c>
      <c r="Y222" s="2">
        <f>Q222/R222*100</f>
        <v>33.684827182190979</v>
      </c>
      <c r="Z222" s="2">
        <f>SUM(V222:Y222)</f>
        <v>100</v>
      </c>
    </row>
    <row r="223" spans="3:26" hidden="1">
      <c r="D223" s="38" t="s">
        <v>29</v>
      </c>
      <c r="E223" s="44">
        <v>2731</v>
      </c>
      <c r="F223" s="44">
        <v>1385</v>
      </c>
      <c r="G223" s="44">
        <v>1346</v>
      </c>
      <c r="H223" s="44">
        <v>2265</v>
      </c>
      <c r="I223" s="44">
        <v>1097</v>
      </c>
      <c r="J223" s="44">
        <v>1168</v>
      </c>
      <c r="K223" s="46">
        <v>463</v>
      </c>
      <c r="L223" s="44">
        <v>285</v>
      </c>
      <c r="M223" s="44">
        <v>178</v>
      </c>
      <c r="R223" s="45"/>
      <c r="V223" s="2"/>
      <c r="W223" s="2"/>
      <c r="X223" s="2"/>
      <c r="Y223" s="2"/>
      <c r="Z223" s="2"/>
    </row>
    <row r="224" spans="3:26" hidden="1">
      <c r="D224" s="42" t="s">
        <v>30</v>
      </c>
      <c r="E224" s="43">
        <v>13220</v>
      </c>
      <c r="F224" s="43">
        <v>6037</v>
      </c>
      <c r="G224" s="43">
        <v>7183</v>
      </c>
      <c r="H224" s="43">
        <v>12701</v>
      </c>
      <c r="I224" s="43">
        <v>5732</v>
      </c>
      <c r="J224" s="43">
        <v>6969</v>
      </c>
      <c r="K224" s="46">
        <v>516</v>
      </c>
      <c r="L224" s="43">
        <v>304</v>
      </c>
      <c r="M224" s="43">
        <v>212</v>
      </c>
      <c r="R224" s="45"/>
      <c r="V224" s="2"/>
      <c r="W224" s="2"/>
      <c r="X224" s="2"/>
      <c r="Y224" s="2"/>
      <c r="Z224" s="2"/>
    </row>
    <row r="225" spans="3:26" hidden="1">
      <c r="D225" s="38" t="s">
        <v>31</v>
      </c>
      <c r="E225" s="44">
        <v>1851</v>
      </c>
      <c r="F225" s="44">
        <v>833</v>
      </c>
      <c r="G225" s="44">
        <v>1018</v>
      </c>
      <c r="H225" s="44">
        <v>1696</v>
      </c>
      <c r="I225" s="44">
        <v>748</v>
      </c>
      <c r="J225" s="44">
        <v>948</v>
      </c>
      <c r="K225" s="46">
        <v>153</v>
      </c>
      <c r="L225" s="44">
        <v>83</v>
      </c>
      <c r="M225" s="44">
        <v>70</v>
      </c>
      <c r="R225" s="45"/>
      <c r="V225" s="2"/>
      <c r="W225" s="2"/>
      <c r="X225" s="2"/>
      <c r="Y225" s="2"/>
      <c r="Z225" s="2"/>
    </row>
    <row r="226" spans="3:26" hidden="1">
      <c r="D226" s="42" t="s">
        <v>32</v>
      </c>
      <c r="E226" s="43">
        <v>2723</v>
      </c>
      <c r="F226" s="43">
        <v>1351</v>
      </c>
      <c r="G226" s="43">
        <v>1372</v>
      </c>
      <c r="H226" s="43">
        <v>2146</v>
      </c>
      <c r="I226" s="43">
        <v>994</v>
      </c>
      <c r="J226" s="43">
        <v>1152</v>
      </c>
      <c r="K226" s="46">
        <v>575</v>
      </c>
      <c r="L226" s="43">
        <v>356</v>
      </c>
      <c r="M226" s="43">
        <v>219</v>
      </c>
      <c r="R226" s="45"/>
      <c r="V226" s="2"/>
      <c r="W226" s="2"/>
      <c r="X226" s="2"/>
      <c r="Y226" s="2"/>
      <c r="Z226" s="2"/>
    </row>
    <row r="227" spans="3:26">
      <c r="C227">
        <v>37</v>
      </c>
      <c r="D227" s="39" t="s">
        <v>67</v>
      </c>
      <c r="E227" s="41"/>
      <c r="F227" s="41"/>
      <c r="G227" s="41"/>
      <c r="H227" s="41"/>
      <c r="I227" s="41"/>
      <c r="J227" s="41"/>
      <c r="K227" s="47"/>
      <c r="L227" s="41"/>
      <c r="M227" s="40"/>
      <c r="R227" s="45"/>
      <c r="V227" s="2"/>
      <c r="W227" s="2"/>
      <c r="X227" s="2"/>
      <c r="Y227" s="2"/>
      <c r="Z227" s="2"/>
    </row>
    <row r="228" spans="3:26">
      <c r="D228" s="42" t="s">
        <v>28</v>
      </c>
      <c r="E228" s="43">
        <v>34655</v>
      </c>
      <c r="F228" s="43">
        <v>23414</v>
      </c>
      <c r="G228" s="43">
        <v>11241</v>
      </c>
      <c r="H228" s="43">
        <v>32746</v>
      </c>
      <c r="I228" s="43">
        <v>21967</v>
      </c>
      <c r="J228" s="43">
        <v>10779</v>
      </c>
      <c r="K228" s="46">
        <v>1906</v>
      </c>
      <c r="L228" s="43">
        <v>1444</v>
      </c>
      <c r="M228" s="43">
        <v>462</v>
      </c>
      <c r="N228" s="46">
        <v>505</v>
      </c>
      <c r="O228" s="46">
        <v>684</v>
      </c>
      <c r="P228" s="46">
        <v>171</v>
      </c>
      <c r="Q228" s="46">
        <v>546</v>
      </c>
      <c r="R228" s="45">
        <f>SUM(N228:Q228)</f>
        <v>1906</v>
      </c>
      <c r="S228" t="str">
        <f>IF(R228=K228,"RICHTIG","FALSCH")</f>
        <v>RICHTIG</v>
      </c>
      <c r="V228" s="2">
        <f>N228/R228*100</f>
        <v>26.495278069254987</v>
      </c>
      <c r="W228" s="2">
        <f>O228/R228*100</f>
        <v>35.88667366211962</v>
      </c>
      <c r="X228" s="2">
        <f>P228/R228*100</f>
        <v>8.9716684155299049</v>
      </c>
      <c r="Y228" s="2">
        <f>Q228/R228*100</f>
        <v>28.646379853095489</v>
      </c>
      <c r="Z228" s="2">
        <f>SUM(V228:Y228)</f>
        <v>100</v>
      </c>
    </row>
    <row r="229" spans="3:26" hidden="1">
      <c r="D229" s="38" t="s">
        <v>29</v>
      </c>
      <c r="E229" s="44">
        <v>3520</v>
      </c>
      <c r="F229" s="44">
        <v>2114</v>
      </c>
      <c r="G229" s="44">
        <v>1406</v>
      </c>
      <c r="H229" s="44">
        <v>3015</v>
      </c>
      <c r="I229" s="44">
        <v>1727</v>
      </c>
      <c r="J229" s="44">
        <v>1288</v>
      </c>
      <c r="K229" s="46">
        <v>505</v>
      </c>
      <c r="L229" s="44">
        <v>387</v>
      </c>
      <c r="M229" s="44">
        <v>118</v>
      </c>
      <c r="R229" s="45"/>
      <c r="V229" s="2"/>
      <c r="W229" s="2"/>
      <c r="X229" s="2"/>
      <c r="Y229" s="2"/>
      <c r="Z229" s="2"/>
    </row>
    <row r="230" spans="3:26" hidden="1">
      <c r="D230" s="42" t="s">
        <v>30</v>
      </c>
      <c r="E230" s="43">
        <v>24292</v>
      </c>
      <c r="F230" s="43">
        <v>16837</v>
      </c>
      <c r="G230" s="43">
        <v>7455</v>
      </c>
      <c r="H230" s="43">
        <v>23607</v>
      </c>
      <c r="I230" s="43">
        <v>16305</v>
      </c>
      <c r="J230" s="43">
        <v>7302</v>
      </c>
      <c r="K230" s="46">
        <v>684</v>
      </c>
      <c r="L230" s="43">
        <v>531</v>
      </c>
      <c r="M230" s="43">
        <v>153</v>
      </c>
      <c r="R230" s="45"/>
      <c r="V230" s="2"/>
      <c r="W230" s="2"/>
      <c r="X230" s="2"/>
      <c r="Y230" s="2"/>
      <c r="Z230" s="2"/>
    </row>
    <row r="231" spans="3:26" hidden="1">
      <c r="D231" s="38" t="s">
        <v>31</v>
      </c>
      <c r="E231" s="44">
        <v>2913</v>
      </c>
      <c r="F231" s="44">
        <v>1816</v>
      </c>
      <c r="G231" s="44">
        <v>1097</v>
      </c>
      <c r="H231" s="44">
        <v>2742</v>
      </c>
      <c r="I231" s="44">
        <v>1715</v>
      </c>
      <c r="J231" s="44">
        <v>1027</v>
      </c>
      <c r="K231" s="46">
        <v>171</v>
      </c>
      <c r="L231" s="44">
        <v>101</v>
      </c>
      <c r="M231" s="44">
        <v>70</v>
      </c>
      <c r="R231" s="45"/>
      <c r="V231" s="2"/>
      <c r="W231" s="2"/>
      <c r="X231" s="2"/>
      <c r="Y231" s="2"/>
      <c r="Z231" s="2"/>
    </row>
    <row r="232" spans="3:26" hidden="1">
      <c r="D232" s="42" t="s">
        <v>32</v>
      </c>
      <c r="E232" s="43">
        <v>3930</v>
      </c>
      <c r="F232" s="43">
        <v>2647</v>
      </c>
      <c r="G232" s="43">
        <v>1283</v>
      </c>
      <c r="H232" s="43">
        <v>3382</v>
      </c>
      <c r="I232" s="43">
        <v>2220</v>
      </c>
      <c r="J232" s="43">
        <v>1162</v>
      </c>
      <c r="K232" s="46">
        <v>546</v>
      </c>
      <c r="L232" s="43">
        <v>425</v>
      </c>
      <c r="M232" s="43">
        <v>121</v>
      </c>
      <c r="R232" s="45"/>
      <c r="V232" s="2"/>
      <c r="W232" s="2"/>
      <c r="X232" s="2"/>
      <c r="Y232" s="2"/>
      <c r="Z232" s="2"/>
    </row>
    <row r="233" spans="3:26">
      <c r="C233">
        <v>38</v>
      </c>
      <c r="D233" s="39" t="s">
        <v>68</v>
      </c>
      <c r="E233" s="41"/>
      <c r="F233" s="41"/>
      <c r="G233" s="41"/>
      <c r="H233" s="41"/>
      <c r="I233" s="41"/>
      <c r="J233" s="41"/>
      <c r="K233" s="47"/>
      <c r="L233" s="41"/>
      <c r="M233" s="40"/>
      <c r="R233" s="45"/>
      <c r="V233" s="2"/>
      <c r="W233" s="2"/>
      <c r="X233" s="2"/>
      <c r="Y233" s="2"/>
      <c r="Z233" s="2"/>
    </row>
    <row r="234" spans="3:26">
      <c r="D234" s="42" t="s">
        <v>28</v>
      </c>
      <c r="E234" s="43">
        <v>82696</v>
      </c>
      <c r="F234" s="43">
        <v>39444</v>
      </c>
      <c r="G234" s="43">
        <v>43252</v>
      </c>
      <c r="H234" s="43">
        <v>77768</v>
      </c>
      <c r="I234" s="43">
        <v>36297</v>
      </c>
      <c r="J234" s="43">
        <v>41471</v>
      </c>
      <c r="K234" s="46">
        <v>4897</v>
      </c>
      <c r="L234" s="43">
        <v>3124</v>
      </c>
      <c r="M234" s="43">
        <v>1773</v>
      </c>
      <c r="N234" s="46">
        <v>1331</v>
      </c>
      <c r="O234" s="46">
        <v>1303</v>
      </c>
      <c r="P234" s="46">
        <v>914</v>
      </c>
      <c r="Q234" s="46">
        <v>1349</v>
      </c>
      <c r="R234" s="45">
        <f>SUM(N234:Q234)</f>
        <v>4897</v>
      </c>
      <c r="S234" t="str">
        <f>IF(R234=K234,"RICHTIG","FALSCH")</f>
        <v>RICHTIG</v>
      </c>
      <c r="V234" s="2">
        <f>N234/R234*100</f>
        <v>27.179906064937715</v>
      </c>
      <c r="W234" s="2">
        <f>O234/R234*100</f>
        <v>26.608127424954052</v>
      </c>
      <c r="X234" s="2">
        <f>P234/R234*100</f>
        <v>18.664488462323874</v>
      </c>
      <c r="Y234" s="2">
        <f>Q234/R234*100</f>
        <v>27.547478047784356</v>
      </c>
      <c r="Z234" s="2">
        <f>SUM(V234:Y234)</f>
        <v>100</v>
      </c>
    </row>
    <row r="235" spans="3:26" hidden="1">
      <c r="D235" s="38" t="s">
        <v>29</v>
      </c>
      <c r="E235" s="44">
        <v>9979</v>
      </c>
      <c r="F235" s="44">
        <v>5390</v>
      </c>
      <c r="G235" s="44">
        <v>4589</v>
      </c>
      <c r="H235" s="44">
        <v>8640</v>
      </c>
      <c r="I235" s="44">
        <v>4462</v>
      </c>
      <c r="J235" s="44">
        <v>4178</v>
      </c>
      <c r="K235" s="46">
        <v>1331</v>
      </c>
      <c r="L235" s="44">
        <v>921</v>
      </c>
      <c r="M235" s="44">
        <v>410</v>
      </c>
      <c r="R235" s="45"/>
      <c r="V235" s="2"/>
      <c r="W235" s="2"/>
      <c r="X235" s="2"/>
      <c r="Y235" s="2"/>
      <c r="Z235" s="2"/>
    </row>
    <row r="236" spans="3:26" hidden="1">
      <c r="D236" s="42" t="s">
        <v>30</v>
      </c>
      <c r="E236" s="43">
        <v>50255</v>
      </c>
      <c r="F236" s="43">
        <v>22198</v>
      </c>
      <c r="G236" s="43">
        <v>28057</v>
      </c>
      <c r="H236" s="43">
        <v>48941</v>
      </c>
      <c r="I236" s="43">
        <v>21450</v>
      </c>
      <c r="J236" s="43">
        <v>27491</v>
      </c>
      <c r="K236" s="46">
        <v>1303</v>
      </c>
      <c r="L236" s="43">
        <v>741</v>
      </c>
      <c r="M236" s="43">
        <v>562</v>
      </c>
      <c r="R236" s="45"/>
      <c r="V236" s="2"/>
      <c r="W236" s="2"/>
      <c r="X236" s="2"/>
      <c r="Y236" s="2"/>
      <c r="Z236" s="2"/>
    </row>
    <row r="237" spans="3:26" hidden="1">
      <c r="D237" s="38" t="s">
        <v>31</v>
      </c>
      <c r="E237" s="44">
        <v>15376</v>
      </c>
      <c r="F237" s="44">
        <v>8147</v>
      </c>
      <c r="G237" s="44">
        <v>7229</v>
      </c>
      <c r="H237" s="44">
        <v>14459</v>
      </c>
      <c r="I237" s="44">
        <v>7660</v>
      </c>
      <c r="J237" s="44">
        <v>6799</v>
      </c>
      <c r="K237" s="46">
        <v>914</v>
      </c>
      <c r="L237" s="44">
        <v>485</v>
      </c>
      <c r="M237" s="44">
        <v>429</v>
      </c>
      <c r="R237" s="45"/>
      <c r="V237" s="2"/>
      <c r="W237" s="2"/>
      <c r="X237" s="2"/>
      <c r="Y237" s="2"/>
      <c r="Z237" s="2"/>
    </row>
    <row r="238" spans="3:26" hidden="1">
      <c r="D238" s="42" t="s">
        <v>32</v>
      </c>
      <c r="E238" s="43">
        <v>7086</v>
      </c>
      <c r="F238" s="43">
        <v>3709</v>
      </c>
      <c r="G238" s="43">
        <v>3377</v>
      </c>
      <c r="H238" s="43">
        <v>5728</v>
      </c>
      <c r="I238" s="43">
        <v>2725</v>
      </c>
      <c r="J238" s="43">
        <v>3003</v>
      </c>
      <c r="K238" s="46">
        <v>1349</v>
      </c>
      <c r="L238" s="43">
        <v>977</v>
      </c>
      <c r="M238" s="43">
        <v>372</v>
      </c>
      <c r="R238" s="45"/>
      <c r="V238" s="2"/>
      <c r="W238" s="2"/>
      <c r="X238" s="2"/>
      <c r="Y238" s="2"/>
      <c r="Z238" s="2"/>
    </row>
    <row r="239" spans="3:26">
      <c r="C239">
        <v>39</v>
      </c>
      <c r="D239" s="39" t="s">
        <v>69</v>
      </c>
      <c r="E239" s="41"/>
      <c r="F239" s="41"/>
      <c r="G239" s="41"/>
      <c r="H239" s="41"/>
      <c r="I239" s="41"/>
      <c r="J239" s="41"/>
      <c r="K239" s="47"/>
      <c r="L239" s="41"/>
      <c r="M239" s="40"/>
      <c r="R239" s="45"/>
      <c r="V239" s="2"/>
      <c r="W239" s="2"/>
      <c r="X239" s="2"/>
      <c r="Y239" s="2"/>
      <c r="Z239" s="2"/>
    </row>
    <row r="240" spans="3:26">
      <c r="D240" s="42" t="s">
        <v>28</v>
      </c>
      <c r="E240" s="43">
        <v>93733</v>
      </c>
      <c r="F240" s="43">
        <v>47128</v>
      </c>
      <c r="G240" s="43">
        <v>46605</v>
      </c>
      <c r="H240" s="43">
        <v>86145</v>
      </c>
      <c r="I240" s="43">
        <v>42817</v>
      </c>
      <c r="J240" s="43">
        <v>43328</v>
      </c>
      <c r="K240" s="46">
        <v>7549</v>
      </c>
      <c r="L240" s="43">
        <v>4282</v>
      </c>
      <c r="M240" s="43">
        <v>3267</v>
      </c>
      <c r="N240" s="46">
        <v>2326</v>
      </c>
      <c r="O240" s="46">
        <v>2310</v>
      </c>
      <c r="P240" s="46">
        <v>830</v>
      </c>
      <c r="Q240" s="46">
        <v>2083</v>
      </c>
      <c r="R240" s="45">
        <f>SUM(N240:Q240)</f>
        <v>7549</v>
      </c>
      <c r="S240" t="str">
        <f>IF(R240=K240,"RICHTIG","FALSCH")</f>
        <v>RICHTIG</v>
      </c>
      <c r="V240" s="2">
        <f>N240/R240*100</f>
        <v>30.812028083189823</v>
      </c>
      <c r="W240" s="2">
        <f>O240/R240*100</f>
        <v>30.600079480725924</v>
      </c>
      <c r="X240" s="2">
        <f>P240/R240*100</f>
        <v>10.994833752814943</v>
      </c>
      <c r="Y240" s="2">
        <f>Q240/R240*100</f>
        <v>27.593058683269305</v>
      </c>
      <c r="Z240" s="2">
        <f>SUM(V240:Y240)</f>
        <v>100</v>
      </c>
    </row>
    <row r="241" spans="3:26" hidden="1">
      <c r="D241" s="38" t="s">
        <v>29</v>
      </c>
      <c r="E241" s="44">
        <v>12279</v>
      </c>
      <c r="F241" s="44">
        <v>6399</v>
      </c>
      <c r="G241" s="44">
        <v>5880</v>
      </c>
      <c r="H241" s="44">
        <v>9938</v>
      </c>
      <c r="I241" s="44">
        <v>5007</v>
      </c>
      <c r="J241" s="44">
        <v>4931</v>
      </c>
      <c r="K241" s="46">
        <v>2326</v>
      </c>
      <c r="L241" s="44">
        <v>1383</v>
      </c>
      <c r="M241" s="44">
        <v>943</v>
      </c>
      <c r="R241" s="45"/>
      <c r="V241" s="2"/>
      <c r="W241" s="2"/>
      <c r="X241" s="2"/>
      <c r="Y241" s="2"/>
      <c r="Z241" s="2"/>
    </row>
    <row r="242" spans="3:26" hidden="1">
      <c r="D242" s="42" t="s">
        <v>30</v>
      </c>
      <c r="E242" s="43">
        <v>56809</v>
      </c>
      <c r="F242" s="43">
        <v>28097</v>
      </c>
      <c r="G242" s="43">
        <v>28712</v>
      </c>
      <c r="H242" s="43">
        <v>54490</v>
      </c>
      <c r="I242" s="43">
        <v>26811</v>
      </c>
      <c r="J242" s="43">
        <v>27679</v>
      </c>
      <c r="K242" s="46">
        <v>2310</v>
      </c>
      <c r="L242" s="43">
        <v>1279</v>
      </c>
      <c r="M242" s="43">
        <v>1031</v>
      </c>
      <c r="R242" s="45"/>
      <c r="V242" s="2"/>
      <c r="W242" s="2"/>
      <c r="X242" s="2"/>
      <c r="Y242" s="2"/>
      <c r="Z242" s="2"/>
    </row>
    <row r="243" spans="3:26" hidden="1">
      <c r="D243" s="38" t="s">
        <v>31</v>
      </c>
      <c r="E243" s="44">
        <v>15665</v>
      </c>
      <c r="F243" s="44">
        <v>8145</v>
      </c>
      <c r="G243" s="44">
        <v>7520</v>
      </c>
      <c r="H243" s="44">
        <v>14832</v>
      </c>
      <c r="I243" s="44">
        <v>7684</v>
      </c>
      <c r="J243" s="44">
        <v>7148</v>
      </c>
      <c r="K243" s="46">
        <v>830</v>
      </c>
      <c r="L243" s="44">
        <v>458</v>
      </c>
      <c r="M243" s="44">
        <v>372</v>
      </c>
      <c r="R243" s="45"/>
      <c r="V243" s="2"/>
      <c r="W243" s="2"/>
      <c r="X243" s="2"/>
      <c r="Y243" s="2"/>
      <c r="Z243" s="2"/>
    </row>
    <row r="244" spans="3:26" hidden="1">
      <c r="D244" s="42" t="s">
        <v>32</v>
      </c>
      <c r="E244" s="43">
        <v>8980</v>
      </c>
      <c r="F244" s="43">
        <v>4487</v>
      </c>
      <c r="G244" s="43">
        <v>4493</v>
      </c>
      <c r="H244" s="43">
        <v>6885</v>
      </c>
      <c r="I244" s="43">
        <v>3315</v>
      </c>
      <c r="J244" s="43">
        <v>3570</v>
      </c>
      <c r="K244" s="46">
        <v>2083</v>
      </c>
      <c r="L244" s="43">
        <v>1162</v>
      </c>
      <c r="M244" s="43">
        <v>921</v>
      </c>
      <c r="R244" s="45"/>
      <c r="V244" s="2"/>
      <c r="W244" s="2"/>
      <c r="X244" s="2"/>
      <c r="Y244" s="2"/>
      <c r="Z244" s="2"/>
    </row>
    <row r="245" spans="3:26">
      <c r="C245">
        <v>40</v>
      </c>
      <c r="D245" s="39" t="s">
        <v>70</v>
      </c>
      <c r="E245" s="41"/>
      <c r="F245" s="41"/>
      <c r="G245" s="41"/>
      <c r="H245" s="41"/>
      <c r="I245" s="41"/>
      <c r="J245" s="41"/>
      <c r="K245" s="47"/>
      <c r="L245" s="41"/>
      <c r="M245" s="40"/>
      <c r="R245" s="45"/>
      <c r="V245" s="2"/>
      <c r="W245" s="2"/>
      <c r="X245" s="2"/>
      <c r="Y245" s="2"/>
      <c r="Z245" s="2"/>
    </row>
    <row r="246" spans="3:26">
      <c r="D246" s="42" t="s">
        <v>28</v>
      </c>
      <c r="E246" s="43">
        <v>30112</v>
      </c>
      <c r="F246" s="43">
        <v>16295</v>
      </c>
      <c r="G246" s="43">
        <v>13817</v>
      </c>
      <c r="H246" s="43">
        <v>28514</v>
      </c>
      <c r="I246" s="43">
        <v>15123</v>
      </c>
      <c r="J246" s="43">
        <v>13391</v>
      </c>
      <c r="K246" s="46">
        <v>1589</v>
      </c>
      <c r="L246" s="43">
        <v>1167</v>
      </c>
      <c r="M246" s="43">
        <v>422</v>
      </c>
      <c r="N246" s="46">
        <v>435</v>
      </c>
      <c r="O246" s="46">
        <v>451</v>
      </c>
      <c r="P246" s="46">
        <v>219</v>
      </c>
      <c r="Q246" s="46">
        <v>484</v>
      </c>
      <c r="R246" s="45">
        <f>SUM(N246:Q246)</f>
        <v>1589</v>
      </c>
      <c r="S246" t="str">
        <f>IF(R246=K246,"RICHTIG","FALSCH")</f>
        <v>RICHTIG</v>
      </c>
      <c r="V246" s="2">
        <f>N246/R246*100</f>
        <v>27.375707992448078</v>
      </c>
      <c r="W246" s="2">
        <f>O246/R246*100</f>
        <v>28.382630585273755</v>
      </c>
      <c r="X246" s="2">
        <f>P246/R246*100</f>
        <v>13.782252989301448</v>
      </c>
      <c r="Y246" s="2">
        <f>Q246/R246*100</f>
        <v>30.459408432976716</v>
      </c>
      <c r="Z246" s="2">
        <f>SUM(V246:Y246)</f>
        <v>100</v>
      </c>
    </row>
    <row r="247" spans="3:26" hidden="1">
      <c r="D247" s="38" t="s">
        <v>29</v>
      </c>
      <c r="E247" s="44">
        <v>3658</v>
      </c>
      <c r="F247" s="44">
        <v>2101</v>
      </c>
      <c r="G247" s="44">
        <v>1557</v>
      </c>
      <c r="H247" s="44">
        <v>3223</v>
      </c>
      <c r="I247" s="44">
        <v>1764</v>
      </c>
      <c r="J247" s="44">
        <v>1459</v>
      </c>
      <c r="K247" s="46">
        <v>435</v>
      </c>
      <c r="L247" s="44">
        <v>337</v>
      </c>
      <c r="M247" s="44">
        <v>98</v>
      </c>
      <c r="R247" s="45"/>
      <c r="V247" s="2"/>
      <c r="W247" s="2"/>
      <c r="X247" s="2"/>
      <c r="Y247" s="2"/>
      <c r="Z247" s="2"/>
    </row>
    <row r="248" spans="3:26" hidden="1">
      <c r="D248" s="42" t="s">
        <v>30</v>
      </c>
      <c r="E248" s="43">
        <v>20168</v>
      </c>
      <c r="F248" s="43">
        <v>10620</v>
      </c>
      <c r="G248" s="43">
        <v>9548</v>
      </c>
      <c r="H248" s="43">
        <v>19711</v>
      </c>
      <c r="I248" s="43">
        <v>10302</v>
      </c>
      <c r="J248" s="43">
        <v>9409</v>
      </c>
      <c r="K248" s="46">
        <v>451</v>
      </c>
      <c r="L248" s="43">
        <v>315</v>
      </c>
      <c r="M248" s="43">
        <v>136</v>
      </c>
      <c r="R248" s="45"/>
      <c r="V248" s="2"/>
      <c r="W248" s="2"/>
      <c r="X248" s="2"/>
      <c r="Y248" s="2"/>
      <c r="Z248" s="2"/>
    </row>
    <row r="249" spans="3:26" hidden="1">
      <c r="D249" s="38" t="s">
        <v>31</v>
      </c>
      <c r="E249" s="44">
        <v>3050</v>
      </c>
      <c r="F249" s="44">
        <v>1694</v>
      </c>
      <c r="G249" s="44">
        <v>1356</v>
      </c>
      <c r="H249" s="44">
        <v>2830</v>
      </c>
      <c r="I249" s="44">
        <v>1566</v>
      </c>
      <c r="J249" s="44">
        <v>1264</v>
      </c>
      <c r="K249" s="46">
        <v>219</v>
      </c>
      <c r="L249" s="44">
        <v>127</v>
      </c>
      <c r="M249" s="44">
        <v>92</v>
      </c>
      <c r="R249" s="45"/>
      <c r="V249" s="2"/>
      <c r="W249" s="2"/>
      <c r="X249" s="2"/>
      <c r="Y249" s="2"/>
      <c r="Z249" s="2"/>
    </row>
    <row r="250" spans="3:26" hidden="1">
      <c r="D250" s="42" t="s">
        <v>32</v>
      </c>
      <c r="E250" s="43">
        <v>3236</v>
      </c>
      <c r="F250" s="43">
        <v>1880</v>
      </c>
      <c r="G250" s="43">
        <v>1356</v>
      </c>
      <c r="H250" s="43">
        <v>2750</v>
      </c>
      <c r="I250" s="43">
        <v>1491</v>
      </c>
      <c r="J250" s="43">
        <v>1259</v>
      </c>
      <c r="K250" s="46">
        <v>484</v>
      </c>
      <c r="L250" s="43">
        <v>388</v>
      </c>
      <c r="M250" s="43">
        <v>96</v>
      </c>
      <c r="R250" s="45"/>
      <c r="V250" s="2"/>
      <c r="W250" s="2"/>
      <c r="X250" s="2"/>
      <c r="Y250" s="2"/>
      <c r="Z250" s="2"/>
    </row>
    <row r="251" spans="3:26">
      <c r="C251">
        <v>41</v>
      </c>
      <c r="D251" s="39" t="s">
        <v>71</v>
      </c>
      <c r="E251" s="41"/>
      <c r="F251" s="41"/>
      <c r="G251" s="41"/>
      <c r="H251" s="41"/>
      <c r="I251" s="41"/>
      <c r="J251" s="41"/>
      <c r="K251" s="47"/>
      <c r="L251" s="41"/>
      <c r="M251" s="40"/>
      <c r="R251" s="45"/>
      <c r="V251" s="2"/>
      <c r="W251" s="2"/>
      <c r="X251" s="2"/>
      <c r="Y251" s="2"/>
      <c r="Z251" s="2"/>
    </row>
    <row r="252" spans="3:26">
      <c r="D252" s="42" t="s">
        <v>28</v>
      </c>
      <c r="E252" s="43">
        <v>43248</v>
      </c>
      <c r="F252" s="43">
        <v>23954</v>
      </c>
      <c r="G252" s="43">
        <v>19294</v>
      </c>
      <c r="H252" s="43">
        <v>39811</v>
      </c>
      <c r="I252" s="43">
        <v>21616</v>
      </c>
      <c r="J252" s="43">
        <v>18195</v>
      </c>
      <c r="K252" s="46">
        <v>3428</v>
      </c>
      <c r="L252" s="43">
        <v>2332</v>
      </c>
      <c r="M252" s="43">
        <v>1096</v>
      </c>
      <c r="N252" s="46">
        <v>790</v>
      </c>
      <c r="O252" s="46">
        <v>925</v>
      </c>
      <c r="P252" s="46">
        <v>199</v>
      </c>
      <c r="Q252" s="46">
        <v>1514</v>
      </c>
      <c r="R252" s="45">
        <f>SUM(N252:Q252)</f>
        <v>3428</v>
      </c>
      <c r="S252" t="str">
        <f>IF(R252=K252,"RICHTIG","FALSCH")</f>
        <v>RICHTIG</v>
      </c>
      <c r="V252" s="2">
        <f>N252/R252*100</f>
        <v>23.045507584597434</v>
      </c>
      <c r="W252" s="2">
        <f>O252/R252*100</f>
        <v>26.983663943990667</v>
      </c>
      <c r="X252" s="2">
        <f>P252/R252*100</f>
        <v>5.8051341890315049</v>
      </c>
      <c r="Y252" s="2">
        <f>Q252/R252*100</f>
        <v>44.1656942823804</v>
      </c>
      <c r="Z252" s="2">
        <f>SUM(V252:Y252)</f>
        <v>100</v>
      </c>
    </row>
    <row r="253" spans="3:26" hidden="1">
      <c r="D253" s="38" t="s">
        <v>29</v>
      </c>
      <c r="E253" s="44">
        <v>5157</v>
      </c>
      <c r="F253" s="44">
        <v>3012</v>
      </c>
      <c r="G253" s="44">
        <v>2145</v>
      </c>
      <c r="H253" s="44">
        <v>4364</v>
      </c>
      <c r="I253" s="44">
        <v>2453</v>
      </c>
      <c r="J253" s="44">
        <v>1911</v>
      </c>
      <c r="K253" s="46">
        <v>790</v>
      </c>
      <c r="L253" s="44">
        <v>556</v>
      </c>
      <c r="M253" s="44">
        <v>234</v>
      </c>
      <c r="R253" s="45"/>
      <c r="V253" s="2"/>
      <c r="W253" s="2"/>
      <c r="X253" s="2"/>
      <c r="Y253" s="2"/>
      <c r="Z253" s="2"/>
    </row>
    <row r="254" spans="3:26" hidden="1">
      <c r="D254" s="42" t="s">
        <v>30</v>
      </c>
      <c r="E254" s="43">
        <v>29494</v>
      </c>
      <c r="F254" s="43">
        <v>16135</v>
      </c>
      <c r="G254" s="43">
        <v>13359</v>
      </c>
      <c r="H254" s="43">
        <v>28564</v>
      </c>
      <c r="I254" s="43">
        <v>15532</v>
      </c>
      <c r="J254" s="43">
        <v>13032</v>
      </c>
      <c r="K254" s="46">
        <v>925</v>
      </c>
      <c r="L254" s="43">
        <v>601</v>
      </c>
      <c r="M254" s="43">
        <v>324</v>
      </c>
      <c r="R254" s="45"/>
      <c r="V254" s="2"/>
      <c r="W254" s="2"/>
      <c r="X254" s="2"/>
      <c r="Y254" s="2"/>
      <c r="Z254" s="2"/>
    </row>
    <row r="255" spans="3:26" hidden="1">
      <c r="D255" s="38" t="s">
        <v>31</v>
      </c>
      <c r="E255" s="44">
        <v>3448</v>
      </c>
      <c r="F255" s="44">
        <v>1730</v>
      </c>
      <c r="G255" s="44">
        <v>1718</v>
      </c>
      <c r="H255" s="44">
        <v>3249</v>
      </c>
      <c r="I255" s="44">
        <v>1632</v>
      </c>
      <c r="J255" s="44">
        <v>1617</v>
      </c>
      <c r="K255" s="46">
        <v>199</v>
      </c>
      <c r="L255" s="44">
        <v>98</v>
      </c>
      <c r="M255" s="44">
        <v>101</v>
      </c>
      <c r="R255" s="45"/>
      <c r="V255" s="2"/>
      <c r="W255" s="2"/>
      <c r="X255" s="2"/>
      <c r="Y255" s="2"/>
      <c r="Z255" s="2"/>
    </row>
    <row r="256" spans="3:26" hidden="1">
      <c r="D256" s="42" t="s">
        <v>32</v>
      </c>
      <c r="E256" s="43">
        <v>5149</v>
      </c>
      <c r="F256" s="43">
        <v>3077</v>
      </c>
      <c r="G256" s="43">
        <v>2072</v>
      </c>
      <c r="H256" s="43">
        <v>3634</v>
      </c>
      <c r="I256" s="43">
        <v>1999</v>
      </c>
      <c r="J256" s="43">
        <v>1635</v>
      </c>
      <c r="K256" s="46">
        <v>1514</v>
      </c>
      <c r="L256" s="43">
        <v>1077</v>
      </c>
      <c r="M256" s="43">
        <v>437</v>
      </c>
      <c r="R256" s="45"/>
      <c r="V256" s="2"/>
      <c r="W256" s="2"/>
      <c r="X256" s="2"/>
      <c r="Y256" s="2"/>
      <c r="Z256" s="2"/>
    </row>
    <row r="257" spans="3:26">
      <c r="C257">
        <v>42</v>
      </c>
      <c r="D257" s="39" t="s">
        <v>72</v>
      </c>
      <c r="E257" s="41"/>
      <c r="F257" s="41"/>
      <c r="G257" s="41"/>
      <c r="H257" s="41"/>
      <c r="I257" s="41"/>
      <c r="J257" s="41"/>
      <c r="K257" s="47"/>
      <c r="L257" s="41"/>
      <c r="M257" s="40"/>
      <c r="R257" s="45"/>
      <c r="V257" s="2"/>
      <c r="W257" s="2"/>
      <c r="X257" s="2"/>
      <c r="Y257" s="2"/>
      <c r="Z257" s="2"/>
    </row>
    <row r="258" spans="3:26">
      <c r="D258" s="42" t="s">
        <v>28</v>
      </c>
      <c r="E258" s="43">
        <v>60954</v>
      </c>
      <c r="F258" s="43">
        <v>32084</v>
      </c>
      <c r="G258" s="43">
        <v>28870</v>
      </c>
      <c r="H258" s="43">
        <v>56716</v>
      </c>
      <c r="I258" s="43">
        <v>29363</v>
      </c>
      <c r="J258" s="43">
        <v>27353</v>
      </c>
      <c r="K258" s="46">
        <v>4232</v>
      </c>
      <c r="L258" s="43">
        <v>2716</v>
      </c>
      <c r="M258" s="43">
        <v>1516</v>
      </c>
      <c r="N258" s="46">
        <v>986</v>
      </c>
      <c r="O258" s="46">
        <v>1180</v>
      </c>
      <c r="P258" s="46">
        <v>349</v>
      </c>
      <c r="Q258" s="46">
        <v>1717</v>
      </c>
      <c r="R258" s="45">
        <f>SUM(N258:Q258)</f>
        <v>4232</v>
      </c>
      <c r="S258" t="str">
        <f>IF(R258=K258,"RICHTIG","FALSCH")</f>
        <v>RICHTIG</v>
      </c>
      <c r="V258" s="2">
        <f>N258/R258*100</f>
        <v>23.298676748582231</v>
      </c>
      <c r="W258" s="2">
        <f>O258/R258*100</f>
        <v>27.882797731568999</v>
      </c>
      <c r="X258" s="2">
        <f>P258/R258*100</f>
        <v>8.2466918714555764</v>
      </c>
      <c r="Y258" s="2">
        <f>Q258/R258*100</f>
        <v>40.571833648393195</v>
      </c>
      <c r="Z258" s="2">
        <f>SUM(V258:Y258)</f>
        <v>100</v>
      </c>
    </row>
    <row r="259" spans="3:26" hidden="1">
      <c r="D259" s="38" t="s">
        <v>29</v>
      </c>
      <c r="E259" s="44">
        <v>7924</v>
      </c>
      <c r="F259" s="44">
        <v>4359</v>
      </c>
      <c r="G259" s="44">
        <v>3565</v>
      </c>
      <c r="H259" s="44">
        <v>6937</v>
      </c>
      <c r="I259" s="44">
        <v>3673</v>
      </c>
      <c r="J259" s="44">
        <v>3264</v>
      </c>
      <c r="K259" s="46">
        <v>986</v>
      </c>
      <c r="L259" s="44">
        <v>685</v>
      </c>
      <c r="M259" s="44">
        <v>301</v>
      </c>
      <c r="R259" s="45"/>
      <c r="V259" s="2"/>
      <c r="W259" s="2"/>
      <c r="X259" s="2"/>
      <c r="Y259" s="2"/>
      <c r="Z259" s="2"/>
    </row>
    <row r="260" spans="3:26" hidden="1">
      <c r="D260" s="42" t="s">
        <v>30</v>
      </c>
      <c r="E260" s="43">
        <v>40860</v>
      </c>
      <c r="F260" s="43">
        <v>21256</v>
      </c>
      <c r="G260" s="43">
        <v>19604</v>
      </c>
      <c r="H260" s="43">
        <v>39678</v>
      </c>
      <c r="I260" s="43">
        <v>20488</v>
      </c>
      <c r="J260" s="43">
        <v>19190</v>
      </c>
      <c r="K260" s="46">
        <v>1180</v>
      </c>
      <c r="L260" s="43">
        <v>767</v>
      </c>
      <c r="M260" s="43">
        <v>413</v>
      </c>
      <c r="R260" s="45"/>
      <c r="V260" s="2"/>
      <c r="W260" s="2"/>
      <c r="X260" s="2"/>
      <c r="Y260" s="2"/>
      <c r="Z260" s="2"/>
    </row>
    <row r="261" spans="3:26" hidden="1">
      <c r="D261" s="38" t="s">
        <v>31</v>
      </c>
      <c r="E261" s="44">
        <v>5555</v>
      </c>
      <c r="F261" s="44">
        <v>3061</v>
      </c>
      <c r="G261" s="44">
        <v>2494</v>
      </c>
      <c r="H261" s="44">
        <v>5206</v>
      </c>
      <c r="I261" s="44">
        <v>2855</v>
      </c>
      <c r="J261" s="44">
        <v>2351</v>
      </c>
      <c r="K261" s="46">
        <v>349</v>
      </c>
      <c r="L261" s="44">
        <v>206</v>
      </c>
      <c r="M261" s="44">
        <v>143</v>
      </c>
      <c r="R261" s="45"/>
      <c r="V261" s="2"/>
      <c r="W261" s="2"/>
      <c r="X261" s="2"/>
      <c r="Y261" s="2"/>
      <c r="Z261" s="2"/>
    </row>
    <row r="262" spans="3:26" hidden="1">
      <c r="D262" s="42" t="s">
        <v>32</v>
      </c>
      <c r="E262" s="43">
        <v>6615</v>
      </c>
      <c r="F262" s="43">
        <v>3408</v>
      </c>
      <c r="G262" s="43">
        <v>3207</v>
      </c>
      <c r="H262" s="43">
        <v>4895</v>
      </c>
      <c r="I262" s="43">
        <v>2347</v>
      </c>
      <c r="J262" s="43">
        <v>2548</v>
      </c>
      <c r="K262" s="46">
        <v>1717</v>
      </c>
      <c r="L262" s="43">
        <v>1058</v>
      </c>
      <c r="M262" s="43">
        <v>659</v>
      </c>
      <c r="R262" s="45"/>
      <c r="V262" s="2"/>
      <c r="W262" s="2"/>
      <c r="X262" s="2"/>
      <c r="Y262" s="2"/>
      <c r="Z262" s="2"/>
    </row>
    <row r="263" spans="3:26">
      <c r="C263">
        <v>43</v>
      </c>
      <c r="D263" s="39" t="s">
        <v>73</v>
      </c>
      <c r="E263" s="41"/>
      <c r="F263" s="41"/>
      <c r="G263" s="41"/>
      <c r="H263" s="41"/>
      <c r="I263" s="41"/>
      <c r="J263" s="41"/>
      <c r="K263" s="47"/>
      <c r="L263" s="41"/>
      <c r="M263" s="40"/>
      <c r="R263" s="45"/>
      <c r="V263" s="2"/>
      <c r="W263" s="2"/>
      <c r="X263" s="2"/>
      <c r="Y263" s="2"/>
      <c r="Z263" s="2"/>
    </row>
    <row r="264" spans="3:26">
      <c r="D264" s="42" t="s">
        <v>28</v>
      </c>
      <c r="E264" s="43">
        <v>65915</v>
      </c>
      <c r="F264" s="43">
        <v>39358</v>
      </c>
      <c r="G264" s="43">
        <v>26557</v>
      </c>
      <c r="H264" s="43">
        <v>56744</v>
      </c>
      <c r="I264" s="43">
        <v>32936</v>
      </c>
      <c r="J264" s="43">
        <v>23808</v>
      </c>
      <c r="K264" s="46">
        <v>9140</v>
      </c>
      <c r="L264" s="43">
        <v>6398</v>
      </c>
      <c r="M264" s="43">
        <v>2742</v>
      </c>
      <c r="N264" s="46">
        <v>2452</v>
      </c>
      <c r="O264" s="46">
        <v>1762</v>
      </c>
      <c r="P264" s="46">
        <v>266</v>
      </c>
      <c r="Q264" s="46">
        <v>4660</v>
      </c>
      <c r="R264" s="45">
        <f>SUM(N264:Q264)</f>
        <v>9140</v>
      </c>
      <c r="S264" t="str">
        <f>IF(R264=K264,"RICHTIG","FALSCH")</f>
        <v>RICHTIG</v>
      </c>
      <c r="V264" s="2">
        <f>N264/R264*100</f>
        <v>26.827133479212257</v>
      </c>
      <c r="W264" s="2">
        <f>O264/R264*100</f>
        <v>19.277899343544856</v>
      </c>
      <c r="X264" s="2">
        <f>P264/R264*100</f>
        <v>2.9102844638949672</v>
      </c>
      <c r="Y264" s="2">
        <f>Q264/R264*100</f>
        <v>50.984682713347915</v>
      </c>
      <c r="Z264" s="2">
        <f>SUM(V264:Y264)</f>
        <v>100</v>
      </c>
    </row>
    <row r="265" spans="3:26" hidden="1">
      <c r="D265" s="38" t="s">
        <v>29</v>
      </c>
      <c r="E265" s="44">
        <v>10592</v>
      </c>
      <c r="F265" s="44">
        <v>6309</v>
      </c>
      <c r="G265" s="44">
        <v>4283</v>
      </c>
      <c r="H265" s="44">
        <v>8133</v>
      </c>
      <c r="I265" s="44">
        <v>4674</v>
      </c>
      <c r="J265" s="44">
        <v>3459</v>
      </c>
      <c r="K265" s="46">
        <v>2452</v>
      </c>
      <c r="L265" s="44">
        <v>1630</v>
      </c>
      <c r="M265" s="44">
        <v>822</v>
      </c>
      <c r="R265" s="45"/>
      <c r="V265" s="2"/>
      <c r="W265" s="2"/>
      <c r="X265" s="2"/>
      <c r="Y265" s="2"/>
      <c r="Z265" s="2"/>
    </row>
    <row r="266" spans="3:26" hidden="1">
      <c r="D266" s="42" t="s">
        <v>30</v>
      </c>
      <c r="E266" s="43">
        <v>41330</v>
      </c>
      <c r="F266" s="43">
        <v>24472</v>
      </c>
      <c r="G266" s="43">
        <v>16858</v>
      </c>
      <c r="H266" s="43">
        <v>39556</v>
      </c>
      <c r="I266" s="43">
        <v>23168</v>
      </c>
      <c r="J266" s="43">
        <v>16388</v>
      </c>
      <c r="K266" s="46">
        <v>1762</v>
      </c>
      <c r="L266" s="43">
        <v>1295</v>
      </c>
      <c r="M266" s="43">
        <v>467</v>
      </c>
      <c r="R266" s="45"/>
      <c r="V266" s="2"/>
      <c r="W266" s="2"/>
      <c r="X266" s="2"/>
      <c r="Y266" s="2"/>
      <c r="Z266" s="2"/>
    </row>
    <row r="267" spans="3:26" hidden="1">
      <c r="D267" s="38" t="s">
        <v>31</v>
      </c>
      <c r="E267" s="44">
        <v>3994</v>
      </c>
      <c r="F267" s="44">
        <v>2155</v>
      </c>
      <c r="G267" s="44">
        <v>1839</v>
      </c>
      <c r="H267" s="44">
        <v>3728</v>
      </c>
      <c r="I267" s="44">
        <v>2035</v>
      </c>
      <c r="J267" s="44">
        <v>1693</v>
      </c>
      <c r="K267" s="46">
        <v>266</v>
      </c>
      <c r="L267" s="44">
        <v>120</v>
      </c>
      <c r="M267" s="44">
        <v>146</v>
      </c>
      <c r="R267" s="45"/>
      <c r="V267" s="2"/>
      <c r="W267" s="2"/>
      <c r="X267" s="2"/>
      <c r="Y267" s="2"/>
      <c r="Z267" s="2"/>
    </row>
    <row r="268" spans="3:26" hidden="1">
      <c r="D268" s="42" t="s">
        <v>32</v>
      </c>
      <c r="E268" s="43">
        <v>9999</v>
      </c>
      <c r="F268" s="43">
        <v>6422</v>
      </c>
      <c r="G268" s="43">
        <v>3577</v>
      </c>
      <c r="H268" s="43">
        <v>5327</v>
      </c>
      <c r="I268" s="43">
        <v>3059</v>
      </c>
      <c r="J268" s="43">
        <v>2268</v>
      </c>
      <c r="K268" s="46">
        <v>4660</v>
      </c>
      <c r="L268" s="43">
        <v>3353</v>
      </c>
      <c r="M268" s="43">
        <v>1307</v>
      </c>
      <c r="R268" s="45"/>
      <c r="V268" s="2"/>
      <c r="W268" s="2"/>
      <c r="X268" s="2"/>
      <c r="Y268" s="2"/>
      <c r="Z268" s="2"/>
    </row>
    <row r="269" spans="3:26">
      <c r="C269">
        <v>44</v>
      </c>
      <c r="D269" s="39" t="s">
        <v>74</v>
      </c>
      <c r="E269" s="41"/>
      <c r="F269" s="41"/>
      <c r="G269" s="41"/>
      <c r="H269" s="41"/>
      <c r="I269" s="41"/>
      <c r="J269" s="41"/>
      <c r="K269" s="47"/>
      <c r="L269" s="41"/>
      <c r="M269" s="40"/>
      <c r="R269" s="45"/>
      <c r="V269" s="2"/>
      <c r="W269" s="2"/>
      <c r="X269" s="2"/>
      <c r="Y269" s="2"/>
      <c r="Z269" s="2"/>
    </row>
    <row r="270" spans="3:26">
      <c r="D270" s="42" t="s">
        <v>28</v>
      </c>
      <c r="E270" s="43">
        <v>136564</v>
      </c>
      <c r="F270" s="43">
        <v>82409</v>
      </c>
      <c r="G270" s="43">
        <v>54155</v>
      </c>
      <c r="H270" s="43">
        <v>124120</v>
      </c>
      <c r="I270" s="43">
        <v>73304</v>
      </c>
      <c r="J270" s="43">
        <v>50816</v>
      </c>
      <c r="K270" s="46">
        <v>12405</v>
      </c>
      <c r="L270" s="43">
        <v>9075</v>
      </c>
      <c r="M270" s="43">
        <v>3330</v>
      </c>
      <c r="N270" s="46">
        <v>2510</v>
      </c>
      <c r="O270" s="46">
        <v>3734</v>
      </c>
      <c r="P270" s="46">
        <v>811</v>
      </c>
      <c r="Q270" s="46">
        <v>5350</v>
      </c>
      <c r="R270" s="45">
        <f>SUM(N270:Q270)</f>
        <v>12405</v>
      </c>
      <c r="S270" t="str">
        <f>IF(R270=K270,"RICHTIG","FALSCH")</f>
        <v>RICHTIG</v>
      </c>
      <c r="V270" s="2">
        <f>N270/R270*100</f>
        <v>20.233776702942365</v>
      </c>
      <c r="W270" s="2">
        <f>O270/R270*100</f>
        <v>30.100765820233775</v>
      </c>
      <c r="X270" s="2">
        <f>P270/R270*100</f>
        <v>6.5376864167674329</v>
      </c>
      <c r="Y270" s="2">
        <f>Q270/R270*100</f>
        <v>43.127771060056432</v>
      </c>
      <c r="Z270" s="2">
        <f>SUM(V270:Y270)</f>
        <v>100</v>
      </c>
    </row>
    <row r="271" spans="3:26" hidden="1">
      <c r="D271" s="38" t="s">
        <v>29</v>
      </c>
      <c r="E271" s="44">
        <v>15778</v>
      </c>
      <c r="F271" s="44">
        <v>9317</v>
      </c>
      <c r="G271" s="44">
        <v>6461</v>
      </c>
      <c r="H271" s="44">
        <v>13262</v>
      </c>
      <c r="I271" s="44">
        <v>7595</v>
      </c>
      <c r="J271" s="44">
        <v>5667</v>
      </c>
      <c r="K271" s="46">
        <v>2510</v>
      </c>
      <c r="L271" s="44">
        <v>1716</v>
      </c>
      <c r="M271" s="44">
        <v>794</v>
      </c>
      <c r="R271" s="45"/>
      <c r="V271" s="2"/>
      <c r="W271" s="2"/>
      <c r="X271" s="2"/>
      <c r="Y271" s="2"/>
      <c r="Z271" s="2"/>
    </row>
    <row r="272" spans="3:26" hidden="1">
      <c r="D272" s="42" t="s">
        <v>30</v>
      </c>
      <c r="E272" s="43">
        <v>95273</v>
      </c>
      <c r="F272" s="43">
        <v>57115</v>
      </c>
      <c r="G272" s="43">
        <v>38158</v>
      </c>
      <c r="H272" s="43">
        <v>91516</v>
      </c>
      <c r="I272" s="43">
        <v>54300</v>
      </c>
      <c r="J272" s="43">
        <v>37216</v>
      </c>
      <c r="K272" s="46">
        <v>3734</v>
      </c>
      <c r="L272" s="43">
        <v>2798</v>
      </c>
      <c r="M272" s="43">
        <v>936</v>
      </c>
      <c r="R272" s="45"/>
      <c r="V272" s="2"/>
      <c r="W272" s="2"/>
      <c r="X272" s="2"/>
      <c r="Y272" s="2"/>
      <c r="Z272" s="2"/>
    </row>
    <row r="273" spans="3:26" hidden="1">
      <c r="D273" s="38" t="s">
        <v>31</v>
      </c>
      <c r="E273" s="44">
        <v>12092</v>
      </c>
      <c r="F273" s="44">
        <v>7388</v>
      </c>
      <c r="G273" s="44">
        <v>4704</v>
      </c>
      <c r="H273" s="44">
        <v>11277</v>
      </c>
      <c r="I273" s="44">
        <v>6894</v>
      </c>
      <c r="J273" s="44">
        <v>4383</v>
      </c>
      <c r="K273" s="46">
        <v>811</v>
      </c>
      <c r="L273" s="44">
        <v>491</v>
      </c>
      <c r="M273" s="44">
        <v>320</v>
      </c>
      <c r="R273" s="45"/>
      <c r="V273" s="2"/>
      <c r="W273" s="2"/>
      <c r="X273" s="2"/>
      <c r="Y273" s="2"/>
      <c r="Z273" s="2"/>
    </row>
    <row r="274" spans="3:26" hidden="1">
      <c r="D274" s="42" t="s">
        <v>32</v>
      </c>
      <c r="E274" s="43">
        <v>13421</v>
      </c>
      <c r="F274" s="43">
        <v>8589</v>
      </c>
      <c r="G274" s="43">
        <v>4832</v>
      </c>
      <c r="H274" s="43">
        <v>8065</v>
      </c>
      <c r="I274" s="43">
        <v>4515</v>
      </c>
      <c r="J274" s="43">
        <v>3550</v>
      </c>
      <c r="K274" s="46">
        <v>5350</v>
      </c>
      <c r="L274" s="43">
        <v>4070</v>
      </c>
      <c r="M274" s="43">
        <v>1280</v>
      </c>
      <c r="R274" s="45"/>
      <c r="V274" s="2"/>
      <c r="W274" s="2"/>
      <c r="X274" s="2"/>
      <c r="Y274" s="2"/>
      <c r="Z274" s="2"/>
    </row>
    <row r="275" spans="3:26">
      <c r="C275">
        <v>45</v>
      </c>
      <c r="D275" s="39" t="s">
        <v>75</v>
      </c>
      <c r="E275" s="41"/>
      <c r="F275" s="41"/>
      <c r="G275" s="41"/>
      <c r="H275" s="41"/>
      <c r="I275" s="41"/>
      <c r="J275" s="41"/>
      <c r="K275" s="47"/>
      <c r="L275" s="41"/>
      <c r="M275" s="40"/>
      <c r="R275" s="45"/>
      <c r="V275" s="2"/>
      <c r="W275" s="2"/>
      <c r="X275" s="2"/>
      <c r="Y275" s="2"/>
      <c r="Z275" s="2"/>
    </row>
    <row r="276" spans="3:26">
      <c r="D276" s="42" t="s">
        <v>28</v>
      </c>
      <c r="E276" s="43">
        <v>29347</v>
      </c>
      <c r="F276" s="43">
        <v>14696</v>
      </c>
      <c r="G276" s="43">
        <v>14651</v>
      </c>
      <c r="H276" s="43">
        <v>28029</v>
      </c>
      <c r="I276" s="43">
        <v>13841</v>
      </c>
      <c r="J276" s="43">
        <v>14188</v>
      </c>
      <c r="K276" s="46">
        <v>1301</v>
      </c>
      <c r="L276" s="43">
        <v>846</v>
      </c>
      <c r="M276" s="43">
        <v>455</v>
      </c>
      <c r="N276" s="46">
        <v>262</v>
      </c>
      <c r="O276" s="46">
        <v>401</v>
      </c>
      <c r="P276" s="46">
        <v>154</v>
      </c>
      <c r="Q276" s="46">
        <v>484</v>
      </c>
      <c r="R276" s="45">
        <f>SUM(N276:Q276)</f>
        <v>1301</v>
      </c>
      <c r="S276" t="str">
        <f>IF(R276=K276,"RICHTIG","FALSCH")</f>
        <v>RICHTIG</v>
      </c>
      <c r="V276" s="2">
        <f>N276/R276*100</f>
        <v>20.138355111452729</v>
      </c>
      <c r="W276" s="2">
        <f>O276/R276*100</f>
        <v>30.822444273635664</v>
      </c>
      <c r="X276" s="2">
        <f>P276/R276*100</f>
        <v>11.837048424289009</v>
      </c>
      <c r="Y276" s="2">
        <f>Q276/R276*100</f>
        <v>37.202152190622598</v>
      </c>
      <c r="Z276" s="2">
        <f>SUM(V276:Y276)</f>
        <v>100</v>
      </c>
    </row>
    <row r="277" spans="3:26" hidden="1">
      <c r="D277" s="38" t="s">
        <v>29</v>
      </c>
      <c r="E277" s="44">
        <v>3094</v>
      </c>
      <c r="F277" s="44">
        <v>1685</v>
      </c>
      <c r="G277" s="44">
        <v>1409</v>
      </c>
      <c r="H277" s="44">
        <v>2826</v>
      </c>
      <c r="I277" s="44">
        <v>1499</v>
      </c>
      <c r="J277" s="44">
        <v>1327</v>
      </c>
      <c r="K277" s="46">
        <v>262</v>
      </c>
      <c r="L277" s="44">
        <v>183</v>
      </c>
      <c r="M277" s="44">
        <v>79</v>
      </c>
      <c r="R277" s="45"/>
      <c r="V277" s="2"/>
      <c r="W277" s="2"/>
      <c r="X277" s="2"/>
      <c r="Y277" s="2"/>
      <c r="Z277" s="2"/>
    </row>
    <row r="278" spans="3:26" hidden="1">
      <c r="D278" s="42" t="s">
        <v>30</v>
      </c>
      <c r="E278" s="43">
        <v>20349</v>
      </c>
      <c r="F278" s="43">
        <v>9937</v>
      </c>
      <c r="G278" s="43">
        <v>10412</v>
      </c>
      <c r="H278" s="43">
        <v>19941</v>
      </c>
      <c r="I278" s="43">
        <v>9689</v>
      </c>
      <c r="J278" s="43">
        <v>10252</v>
      </c>
      <c r="K278" s="46">
        <v>401</v>
      </c>
      <c r="L278" s="43">
        <v>244</v>
      </c>
      <c r="M278" s="43">
        <v>157</v>
      </c>
      <c r="R278" s="45"/>
      <c r="V278" s="2"/>
      <c r="W278" s="2"/>
      <c r="X278" s="2"/>
      <c r="Y278" s="2"/>
      <c r="Z278" s="2"/>
    </row>
    <row r="279" spans="3:26" hidden="1">
      <c r="D279" s="38" t="s">
        <v>31</v>
      </c>
      <c r="E279" s="44">
        <v>2595</v>
      </c>
      <c r="F279" s="44">
        <v>1330</v>
      </c>
      <c r="G279" s="44">
        <v>1265</v>
      </c>
      <c r="H279" s="44">
        <v>2441</v>
      </c>
      <c r="I279" s="44">
        <v>1259</v>
      </c>
      <c r="J279" s="44">
        <v>1182</v>
      </c>
      <c r="K279" s="46">
        <v>154</v>
      </c>
      <c r="L279" s="44">
        <v>71</v>
      </c>
      <c r="M279" s="44">
        <v>83</v>
      </c>
      <c r="R279" s="45"/>
      <c r="V279" s="2"/>
      <c r="W279" s="2"/>
      <c r="X279" s="2"/>
      <c r="Y279" s="2"/>
      <c r="Z279" s="2"/>
    </row>
    <row r="280" spans="3:26" hidden="1">
      <c r="D280" s="42" t="s">
        <v>32</v>
      </c>
      <c r="E280" s="43">
        <v>3309</v>
      </c>
      <c r="F280" s="43">
        <v>1744</v>
      </c>
      <c r="G280" s="43">
        <v>1565</v>
      </c>
      <c r="H280" s="43">
        <v>2821</v>
      </c>
      <c r="I280" s="43">
        <v>1394</v>
      </c>
      <c r="J280" s="43">
        <v>1427</v>
      </c>
      <c r="K280" s="46">
        <v>484</v>
      </c>
      <c r="L280" s="43">
        <v>348</v>
      </c>
      <c r="M280" s="43">
        <v>136</v>
      </c>
      <c r="R280" s="45"/>
      <c r="V280" s="2"/>
      <c r="W280" s="2"/>
      <c r="X280" s="2"/>
      <c r="Y280" s="2"/>
      <c r="Z280" s="2"/>
    </row>
    <row r="281" spans="3:26">
      <c r="C281">
        <v>56</v>
      </c>
      <c r="D281" s="39" t="s">
        <v>76</v>
      </c>
      <c r="E281" s="41"/>
      <c r="F281" s="41"/>
      <c r="G281" s="41"/>
      <c r="H281" s="41"/>
      <c r="I281" s="41"/>
      <c r="J281" s="41"/>
      <c r="K281" s="47"/>
      <c r="L281" s="41"/>
      <c r="M281" s="40"/>
      <c r="R281" s="45"/>
      <c r="V281" s="2"/>
      <c r="W281" s="2"/>
      <c r="X281" s="2"/>
      <c r="Y281" s="2"/>
      <c r="Z281" s="2"/>
    </row>
    <row r="282" spans="3:26">
      <c r="D282" s="42" t="s">
        <v>28</v>
      </c>
      <c r="E282" s="43">
        <v>49421</v>
      </c>
      <c r="F282" s="43">
        <v>27600</v>
      </c>
      <c r="G282" s="43">
        <v>21821</v>
      </c>
      <c r="H282" s="43">
        <v>44233</v>
      </c>
      <c r="I282" s="43">
        <v>24071</v>
      </c>
      <c r="J282" s="43">
        <v>20162</v>
      </c>
      <c r="K282" s="46">
        <v>5166</v>
      </c>
      <c r="L282" s="43">
        <v>3511</v>
      </c>
      <c r="M282" s="43">
        <v>1655</v>
      </c>
      <c r="N282" s="46">
        <v>1064</v>
      </c>
      <c r="O282" s="46">
        <v>1992</v>
      </c>
      <c r="P282" s="46">
        <v>340</v>
      </c>
      <c r="Q282" s="46">
        <v>1770</v>
      </c>
      <c r="R282" s="45">
        <f>SUM(N282:Q282)</f>
        <v>5166</v>
      </c>
      <c r="S282" t="str">
        <f>IF(R282=K282,"RICHTIG","FALSCH")</f>
        <v>RICHTIG</v>
      </c>
      <c r="V282" s="2">
        <f>N282/R282*100</f>
        <v>20.596205962059621</v>
      </c>
      <c r="W282" s="2">
        <f>O282/R282*100</f>
        <v>38.559814169570267</v>
      </c>
      <c r="X282" s="2">
        <f>P282/R282*100</f>
        <v>6.5814943863724356</v>
      </c>
      <c r="Y282" s="2">
        <f>Q282/R282*100</f>
        <v>34.262485481997679</v>
      </c>
      <c r="Z282" s="2">
        <f>SUM(V282:Y282)</f>
        <v>100</v>
      </c>
    </row>
    <row r="283" spans="3:26" hidden="1">
      <c r="D283" s="38" t="s">
        <v>29</v>
      </c>
      <c r="E283" s="44">
        <v>5967</v>
      </c>
      <c r="F283" s="44">
        <v>3429</v>
      </c>
      <c r="G283" s="44">
        <v>2538</v>
      </c>
      <c r="H283" s="44">
        <v>4899</v>
      </c>
      <c r="I283" s="44">
        <v>2733</v>
      </c>
      <c r="J283" s="44">
        <v>2166</v>
      </c>
      <c r="K283" s="46">
        <v>1064</v>
      </c>
      <c r="L283" s="44">
        <v>693</v>
      </c>
      <c r="M283" s="44">
        <v>371</v>
      </c>
      <c r="R283" s="45"/>
      <c r="V283" s="2"/>
      <c r="W283" s="2"/>
      <c r="X283" s="2"/>
      <c r="Y283" s="2"/>
      <c r="Z283" s="2"/>
    </row>
    <row r="284" spans="3:26" hidden="1">
      <c r="D284" s="42" t="s">
        <v>30</v>
      </c>
      <c r="E284" s="43">
        <v>35190</v>
      </c>
      <c r="F284" s="43">
        <v>19446</v>
      </c>
      <c r="G284" s="43">
        <v>15744</v>
      </c>
      <c r="H284" s="43">
        <v>33189</v>
      </c>
      <c r="I284" s="43">
        <v>18094</v>
      </c>
      <c r="J284" s="43">
        <v>15095</v>
      </c>
      <c r="K284" s="46">
        <v>1992</v>
      </c>
      <c r="L284" s="43">
        <v>1343</v>
      </c>
      <c r="M284" s="43">
        <v>649</v>
      </c>
      <c r="R284" s="45"/>
      <c r="V284" s="2"/>
      <c r="W284" s="2"/>
      <c r="X284" s="2"/>
      <c r="Y284" s="2"/>
      <c r="Z284" s="2"/>
    </row>
    <row r="285" spans="3:26" hidden="1">
      <c r="D285" s="38" t="s">
        <v>31</v>
      </c>
      <c r="E285" s="44">
        <v>3569</v>
      </c>
      <c r="F285" s="44">
        <v>1924</v>
      </c>
      <c r="G285" s="44">
        <v>1645</v>
      </c>
      <c r="H285" s="44">
        <v>3228</v>
      </c>
      <c r="I285" s="44">
        <v>1750</v>
      </c>
      <c r="J285" s="44">
        <v>1478</v>
      </c>
      <c r="K285" s="46">
        <v>340</v>
      </c>
      <c r="L285" s="44">
        <v>173</v>
      </c>
      <c r="M285" s="44">
        <v>167</v>
      </c>
      <c r="R285" s="45"/>
      <c r="V285" s="2"/>
      <c r="W285" s="2"/>
      <c r="X285" s="2"/>
      <c r="Y285" s="2"/>
      <c r="Z285" s="2"/>
    </row>
    <row r="286" spans="3:26" hidden="1">
      <c r="D286" s="42" t="s">
        <v>32</v>
      </c>
      <c r="E286" s="43">
        <v>4695</v>
      </c>
      <c r="F286" s="43">
        <v>2801</v>
      </c>
      <c r="G286" s="43">
        <v>1894</v>
      </c>
      <c r="H286" s="43">
        <v>2917</v>
      </c>
      <c r="I286" s="43">
        <v>1494</v>
      </c>
      <c r="J286" s="43">
        <v>1423</v>
      </c>
      <c r="K286" s="46">
        <v>1770</v>
      </c>
      <c r="L286" s="43">
        <v>1302</v>
      </c>
      <c r="M286" s="43">
        <v>468</v>
      </c>
      <c r="R286" s="45"/>
      <c r="V286" s="2"/>
      <c r="W286" s="2"/>
      <c r="X286" s="2"/>
      <c r="Y286" s="2"/>
      <c r="Z286" s="2"/>
    </row>
    <row r="287" spans="3:26">
      <c r="C287">
        <v>47</v>
      </c>
      <c r="D287" s="39" t="s">
        <v>77</v>
      </c>
      <c r="E287" s="41"/>
      <c r="F287" s="41"/>
      <c r="G287" s="41"/>
      <c r="H287" s="41"/>
      <c r="I287" s="41"/>
      <c r="J287" s="41"/>
      <c r="K287" s="47"/>
      <c r="L287" s="41"/>
      <c r="M287" s="40"/>
      <c r="R287" s="45"/>
      <c r="V287" s="2"/>
      <c r="W287" s="2"/>
      <c r="X287" s="2"/>
      <c r="Y287" s="2"/>
      <c r="Z287" s="2"/>
    </row>
    <row r="288" spans="3:26">
      <c r="D288" s="42" t="s">
        <v>28</v>
      </c>
      <c r="E288" s="43">
        <v>47026</v>
      </c>
      <c r="F288" s="43">
        <v>24755</v>
      </c>
      <c r="G288" s="43">
        <v>22271</v>
      </c>
      <c r="H288" s="43">
        <v>43692</v>
      </c>
      <c r="I288" s="43">
        <v>22411</v>
      </c>
      <c r="J288" s="43">
        <v>21281</v>
      </c>
      <c r="K288" s="46">
        <v>3327</v>
      </c>
      <c r="L288" s="43">
        <v>2340</v>
      </c>
      <c r="M288" s="43">
        <v>987</v>
      </c>
      <c r="N288" s="46">
        <v>513</v>
      </c>
      <c r="O288" s="46">
        <v>986</v>
      </c>
      <c r="P288" s="46">
        <v>287</v>
      </c>
      <c r="Q288" s="46">
        <v>1541</v>
      </c>
      <c r="R288" s="45">
        <f>SUM(N288:Q288)</f>
        <v>3327</v>
      </c>
      <c r="S288" t="str">
        <f>IF(R288=K288,"RICHTIG","FALSCH")</f>
        <v>RICHTIG</v>
      </c>
      <c r="V288" s="2">
        <f>N288/R288*100</f>
        <v>15.419296663660957</v>
      </c>
      <c r="W288" s="2">
        <f>O288/R288*100</f>
        <v>29.636308987075445</v>
      </c>
      <c r="X288" s="2">
        <f>P288/R288*100</f>
        <v>8.6263901412684092</v>
      </c>
      <c r="Y288" s="2">
        <f>Q288/R288*100</f>
        <v>46.318004207995187</v>
      </c>
      <c r="Z288" s="2">
        <f>SUM(V288:Y288)</f>
        <v>100</v>
      </c>
    </row>
    <row r="289" spans="3:26" hidden="1">
      <c r="D289" s="38" t="s">
        <v>29</v>
      </c>
      <c r="E289" s="44">
        <v>5790</v>
      </c>
      <c r="F289" s="44">
        <v>3241</v>
      </c>
      <c r="G289" s="44">
        <v>2549</v>
      </c>
      <c r="H289" s="44">
        <v>5277</v>
      </c>
      <c r="I289" s="44">
        <v>2875</v>
      </c>
      <c r="J289" s="44">
        <v>2402</v>
      </c>
      <c r="K289" s="46">
        <v>513</v>
      </c>
      <c r="L289" s="44">
        <v>366</v>
      </c>
      <c r="M289" s="44">
        <v>147</v>
      </c>
      <c r="R289" s="45"/>
      <c r="V289" s="2"/>
      <c r="W289" s="2"/>
      <c r="X289" s="2"/>
      <c r="Y289" s="2"/>
      <c r="Z289" s="2"/>
    </row>
    <row r="290" spans="3:26" hidden="1">
      <c r="D290" s="42" t="s">
        <v>30</v>
      </c>
      <c r="E290" s="43">
        <v>32468</v>
      </c>
      <c r="F290" s="43">
        <v>16653</v>
      </c>
      <c r="G290" s="43">
        <v>15815</v>
      </c>
      <c r="H290" s="43">
        <v>31480</v>
      </c>
      <c r="I290" s="43">
        <v>16011</v>
      </c>
      <c r="J290" s="43">
        <v>15469</v>
      </c>
      <c r="K290" s="46">
        <v>986</v>
      </c>
      <c r="L290" s="43">
        <v>642</v>
      </c>
      <c r="M290" s="43">
        <v>344</v>
      </c>
      <c r="R290" s="45"/>
      <c r="V290" s="2"/>
      <c r="W290" s="2"/>
      <c r="X290" s="2"/>
      <c r="Y290" s="2"/>
      <c r="Z290" s="2"/>
    </row>
    <row r="291" spans="3:26" hidden="1">
      <c r="D291" s="38" t="s">
        <v>31</v>
      </c>
      <c r="E291" s="44">
        <v>3717</v>
      </c>
      <c r="F291" s="44">
        <v>2001</v>
      </c>
      <c r="G291" s="44">
        <v>1716</v>
      </c>
      <c r="H291" s="44">
        <v>3429</v>
      </c>
      <c r="I291" s="44">
        <v>1853</v>
      </c>
      <c r="J291" s="44">
        <v>1576</v>
      </c>
      <c r="K291" s="46">
        <v>287</v>
      </c>
      <c r="L291" s="44">
        <v>148</v>
      </c>
      <c r="M291" s="44">
        <v>139</v>
      </c>
      <c r="R291" s="45"/>
      <c r="V291" s="2"/>
      <c r="W291" s="2"/>
      <c r="X291" s="2"/>
      <c r="Y291" s="2"/>
      <c r="Z291" s="2"/>
    </row>
    <row r="292" spans="3:26" hidden="1">
      <c r="D292" s="42" t="s">
        <v>32</v>
      </c>
      <c r="E292" s="43">
        <v>5051</v>
      </c>
      <c r="F292" s="43">
        <v>2860</v>
      </c>
      <c r="G292" s="43">
        <v>2191</v>
      </c>
      <c r="H292" s="43">
        <v>3506</v>
      </c>
      <c r="I292" s="43">
        <v>1672</v>
      </c>
      <c r="J292" s="43">
        <v>1834</v>
      </c>
      <c r="K292" s="46">
        <v>1541</v>
      </c>
      <c r="L292" s="43">
        <v>1184</v>
      </c>
      <c r="M292" s="43">
        <v>357</v>
      </c>
      <c r="R292" s="45"/>
      <c r="V292" s="2"/>
      <c r="W292" s="2"/>
      <c r="X292" s="2"/>
      <c r="Y292" s="2"/>
      <c r="Z292" s="2"/>
    </row>
    <row r="293" spans="3:26">
      <c r="C293">
        <v>48</v>
      </c>
      <c r="D293" s="39" t="s">
        <v>78</v>
      </c>
      <c r="E293" s="41"/>
      <c r="F293" s="41"/>
      <c r="G293" s="41"/>
      <c r="H293" s="41"/>
      <c r="I293" s="41"/>
      <c r="J293" s="41"/>
      <c r="K293" s="47"/>
      <c r="L293" s="41"/>
      <c r="M293" s="40"/>
      <c r="R293" s="45"/>
      <c r="V293" s="2"/>
      <c r="W293" s="2"/>
      <c r="X293" s="2"/>
      <c r="Y293" s="2"/>
      <c r="Z293" s="2"/>
    </row>
    <row r="294" spans="3:26">
      <c r="D294" s="42" t="s">
        <v>28</v>
      </c>
      <c r="E294" s="43">
        <v>35419</v>
      </c>
      <c r="F294" s="43">
        <v>19573</v>
      </c>
      <c r="G294" s="43">
        <v>15846</v>
      </c>
      <c r="H294" s="43">
        <v>32203</v>
      </c>
      <c r="I294" s="43">
        <v>17259</v>
      </c>
      <c r="J294" s="43">
        <v>14944</v>
      </c>
      <c r="K294" s="46">
        <v>3207</v>
      </c>
      <c r="L294" s="43">
        <v>2308</v>
      </c>
      <c r="M294" s="43">
        <v>899</v>
      </c>
      <c r="N294" s="46">
        <v>808</v>
      </c>
      <c r="O294" s="46">
        <v>805</v>
      </c>
      <c r="P294" s="46">
        <v>135</v>
      </c>
      <c r="Q294" s="46">
        <v>1459</v>
      </c>
      <c r="R294" s="45">
        <f>SUM(N294:Q294)</f>
        <v>3207</v>
      </c>
      <c r="S294" t="str">
        <f>IF(R294=K294,"RICHTIG","FALSCH")</f>
        <v>RICHTIG</v>
      </c>
      <c r="V294" s="2">
        <f>N294/R294*100</f>
        <v>25.194886186467102</v>
      </c>
      <c r="W294" s="2">
        <f>O294/R294*100</f>
        <v>25.101340816962892</v>
      </c>
      <c r="X294" s="2">
        <f>P294/R294*100</f>
        <v>4.20954162768943</v>
      </c>
      <c r="Y294" s="2">
        <f>Q294/R294*100</f>
        <v>45.49423136888057</v>
      </c>
      <c r="Z294" s="2">
        <f>SUM(V294:Y294)</f>
        <v>100</v>
      </c>
    </row>
    <row r="295" spans="3:26" hidden="1">
      <c r="D295" s="38" t="s">
        <v>29</v>
      </c>
      <c r="E295" s="44">
        <v>4247</v>
      </c>
      <c r="F295" s="44">
        <v>2652</v>
      </c>
      <c r="G295" s="44">
        <v>1595</v>
      </c>
      <c r="H295" s="44">
        <v>3439</v>
      </c>
      <c r="I295" s="44">
        <v>2070</v>
      </c>
      <c r="J295" s="44">
        <v>1369</v>
      </c>
      <c r="K295" s="46">
        <v>808</v>
      </c>
      <c r="L295" s="44">
        <v>582</v>
      </c>
      <c r="M295" s="44">
        <v>226</v>
      </c>
      <c r="R295" s="45"/>
      <c r="V295" s="2"/>
      <c r="W295" s="2"/>
      <c r="X295" s="2"/>
      <c r="Y295" s="2"/>
      <c r="Z295" s="2"/>
    </row>
    <row r="296" spans="3:26" hidden="1">
      <c r="D296" s="42" t="s">
        <v>30</v>
      </c>
      <c r="E296" s="43">
        <v>23482</v>
      </c>
      <c r="F296" s="43">
        <v>12559</v>
      </c>
      <c r="G296" s="43">
        <v>10923</v>
      </c>
      <c r="H296" s="43">
        <v>22674</v>
      </c>
      <c r="I296" s="43">
        <v>12003</v>
      </c>
      <c r="J296" s="43">
        <v>10671</v>
      </c>
      <c r="K296" s="46">
        <v>805</v>
      </c>
      <c r="L296" s="43">
        <v>554</v>
      </c>
      <c r="M296" s="43">
        <v>251</v>
      </c>
      <c r="R296" s="45"/>
      <c r="V296" s="2"/>
      <c r="W296" s="2"/>
      <c r="X296" s="2"/>
      <c r="Y296" s="2"/>
      <c r="Z296" s="2"/>
    </row>
    <row r="297" spans="3:26" hidden="1">
      <c r="D297" s="38" t="s">
        <v>31</v>
      </c>
      <c r="E297" s="44">
        <v>2668</v>
      </c>
      <c r="F297" s="44">
        <v>1335</v>
      </c>
      <c r="G297" s="44">
        <v>1333</v>
      </c>
      <c r="H297" s="44">
        <v>2533</v>
      </c>
      <c r="I297" s="44">
        <v>1262</v>
      </c>
      <c r="J297" s="44">
        <v>1271</v>
      </c>
      <c r="K297" s="46">
        <v>135</v>
      </c>
      <c r="L297" s="44">
        <v>73</v>
      </c>
      <c r="M297" s="44">
        <v>62</v>
      </c>
      <c r="R297" s="45"/>
      <c r="V297" s="2"/>
      <c r="W297" s="2"/>
      <c r="X297" s="2"/>
      <c r="Y297" s="2"/>
      <c r="Z297" s="2"/>
    </row>
    <row r="298" spans="3:26" hidden="1">
      <c r="D298" s="42" t="s">
        <v>32</v>
      </c>
      <c r="E298" s="43">
        <v>5022</v>
      </c>
      <c r="F298" s="43">
        <v>3027</v>
      </c>
      <c r="G298" s="43">
        <v>1995</v>
      </c>
      <c r="H298" s="43">
        <v>3557</v>
      </c>
      <c r="I298" s="43">
        <v>1924</v>
      </c>
      <c r="J298" s="43">
        <v>1633</v>
      </c>
      <c r="K298" s="46">
        <v>1459</v>
      </c>
      <c r="L298" s="43">
        <v>1099</v>
      </c>
      <c r="M298" s="43">
        <v>360</v>
      </c>
      <c r="R298" s="45"/>
      <c r="V298" s="2"/>
      <c r="W298" s="2"/>
      <c r="X298" s="2"/>
      <c r="Y298" s="2"/>
      <c r="Z298" s="2"/>
    </row>
    <row r="299" spans="3:26">
      <c r="C299">
        <v>49</v>
      </c>
      <c r="D299" s="39" t="s">
        <v>79</v>
      </c>
      <c r="E299" s="41"/>
      <c r="F299" s="41"/>
      <c r="G299" s="41"/>
      <c r="H299" s="41"/>
      <c r="I299" s="41"/>
      <c r="J299" s="41"/>
      <c r="K299" s="47"/>
      <c r="L299" s="41"/>
      <c r="M299" s="40"/>
      <c r="R299" s="45"/>
      <c r="V299" s="2"/>
      <c r="W299" s="2"/>
      <c r="X299" s="2"/>
      <c r="Y299" s="2"/>
      <c r="Z299" s="2"/>
    </row>
    <row r="300" spans="3:26">
      <c r="D300" s="42" t="s">
        <v>28</v>
      </c>
      <c r="E300" s="43">
        <v>127816</v>
      </c>
      <c r="F300" s="43">
        <v>73073</v>
      </c>
      <c r="G300" s="43">
        <v>54743</v>
      </c>
      <c r="H300" s="43">
        <v>111624</v>
      </c>
      <c r="I300" s="43">
        <v>62110</v>
      </c>
      <c r="J300" s="43">
        <v>49514</v>
      </c>
      <c r="K300" s="46">
        <v>16160</v>
      </c>
      <c r="L300" s="43">
        <v>10937</v>
      </c>
      <c r="M300" s="43">
        <v>5223</v>
      </c>
      <c r="N300" s="46">
        <v>3891</v>
      </c>
      <c r="O300" s="46">
        <v>3555</v>
      </c>
      <c r="P300" s="46">
        <v>646</v>
      </c>
      <c r="Q300" s="46">
        <v>8068</v>
      </c>
      <c r="R300" s="45">
        <f>SUM(N300:Q300)</f>
        <v>16160</v>
      </c>
      <c r="S300" t="str">
        <f>IF(R300=K300,"RICHTIG","FALSCH")</f>
        <v>RICHTIG</v>
      </c>
      <c r="V300" s="2">
        <f>N300/R300*100</f>
        <v>24.077970297029701</v>
      </c>
      <c r="W300" s="2">
        <f>O300/R300*100</f>
        <v>21.998762376237625</v>
      </c>
      <c r="X300" s="2">
        <f>P300/R300*100</f>
        <v>3.9975247524752477</v>
      </c>
      <c r="Y300" s="2">
        <f>Q300/R300*100</f>
        <v>49.925742574257427</v>
      </c>
      <c r="Z300" s="2">
        <f>SUM(V300:Y300)</f>
        <v>100</v>
      </c>
    </row>
    <row r="301" spans="3:26" hidden="1">
      <c r="D301" s="38" t="s">
        <v>29</v>
      </c>
      <c r="E301" s="44">
        <v>17102</v>
      </c>
      <c r="F301" s="44">
        <v>10789</v>
      </c>
      <c r="G301" s="44">
        <v>6313</v>
      </c>
      <c r="H301" s="44">
        <v>13205</v>
      </c>
      <c r="I301" s="44">
        <v>8045</v>
      </c>
      <c r="J301" s="44">
        <v>5160</v>
      </c>
      <c r="K301" s="46">
        <v>3891</v>
      </c>
      <c r="L301" s="44">
        <v>2739</v>
      </c>
      <c r="M301" s="44">
        <v>1152</v>
      </c>
      <c r="R301" s="45"/>
      <c r="V301" s="2"/>
      <c r="W301" s="2"/>
      <c r="X301" s="2"/>
      <c r="Y301" s="2"/>
      <c r="Z301" s="2"/>
    </row>
    <row r="302" spans="3:26" hidden="1">
      <c r="D302" s="42" t="s">
        <v>30</v>
      </c>
      <c r="E302" s="43">
        <v>82591</v>
      </c>
      <c r="F302" s="43">
        <v>46003</v>
      </c>
      <c r="G302" s="43">
        <v>36588</v>
      </c>
      <c r="H302" s="43">
        <v>79023</v>
      </c>
      <c r="I302" s="43">
        <v>43540</v>
      </c>
      <c r="J302" s="43">
        <v>35483</v>
      </c>
      <c r="K302" s="46">
        <v>3555</v>
      </c>
      <c r="L302" s="43">
        <v>2455</v>
      </c>
      <c r="M302" s="43">
        <v>1100</v>
      </c>
      <c r="R302" s="45"/>
      <c r="V302" s="2"/>
      <c r="W302" s="2"/>
      <c r="X302" s="2"/>
      <c r="Y302" s="2"/>
      <c r="Z302" s="2"/>
    </row>
    <row r="303" spans="3:26" hidden="1">
      <c r="D303" s="38" t="s">
        <v>31</v>
      </c>
      <c r="E303" s="44">
        <v>10285</v>
      </c>
      <c r="F303" s="44">
        <v>5550</v>
      </c>
      <c r="G303" s="44">
        <v>4735</v>
      </c>
      <c r="H303" s="44">
        <v>9636</v>
      </c>
      <c r="I303" s="44">
        <v>5214</v>
      </c>
      <c r="J303" s="44">
        <v>4422</v>
      </c>
      <c r="K303" s="46">
        <v>646</v>
      </c>
      <c r="L303" s="44">
        <v>333</v>
      </c>
      <c r="M303" s="44">
        <v>313</v>
      </c>
      <c r="R303" s="45"/>
      <c r="V303" s="2"/>
      <c r="W303" s="2"/>
      <c r="X303" s="2"/>
      <c r="Y303" s="2"/>
      <c r="Z303" s="2"/>
    </row>
    <row r="304" spans="3:26" hidden="1">
      <c r="D304" s="42" t="s">
        <v>32</v>
      </c>
      <c r="E304" s="43">
        <v>17838</v>
      </c>
      <c r="F304" s="43">
        <v>10731</v>
      </c>
      <c r="G304" s="43">
        <v>7107</v>
      </c>
      <c r="H304" s="43">
        <v>9760</v>
      </c>
      <c r="I304" s="43">
        <v>5311</v>
      </c>
      <c r="J304" s="43">
        <v>4449</v>
      </c>
      <c r="K304" s="46">
        <v>8068</v>
      </c>
      <c r="L304" s="43">
        <v>5410</v>
      </c>
      <c r="M304" s="43">
        <v>2658</v>
      </c>
      <c r="R304" s="45"/>
      <c r="V304" s="2"/>
      <c r="W304" s="2"/>
      <c r="X304" s="2"/>
      <c r="Y304" s="2"/>
      <c r="Z304" s="2"/>
    </row>
    <row r="305" spans="3:26">
      <c r="C305">
        <v>50</v>
      </c>
      <c r="D305" s="39" t="s">
        <v>80</v>
      </c>
      <c r="E305" s="41"/>
      <c r="F305" s="41"/>
      <c r="G305" s="41"/>
      <c r="H305" s="41"/>
      <c r="I305" s="41"/>
      <c r="J305" s="41"/>
      <c r="K305" s="47"/>
      <c r="L305" s="41"/>
      <c r="M305" s="40"/>
      <c r="R305" s="45"/>
      <c r="V305" s="2"/>
      <c r="W305" s="2"/>
      <c r="X305" s="2"/>
      <c r="Y305" s="2"/>
      <c r="Z305" s="2"/>
    </row>
    <row r="306" spans="3:26">
      <c r="D306" s="42" t="s">
        <v>28</v>
      </c>
      <c r="E306" s="43">
        <v>71087</v>
      </c>
      <c r="F306" s="43">
        <v>42301</v>
      </c>
      <c r="G306" s="43">
        <v>28786</v>
      </c>
      <c r="H306" s="43">
        <v>61232</v>
      </c>
      <c r="I306" s="43">
        <v>35622</v>
      </c>
      <c r="J306" s="43">
        <v>25610</v>
      </c>
      <c r="K306" s="46">
        <v>9815</v>
      </c>
      <c r="L306" s="43">
        <v>6648</v>
      </c>
      <c r="M306" s="43">
        <v>3167</v>
      </c>
      <c r="N306" s="46">
        <v>2520</v>
      </c>
      <c r="O306" s="46">
        <v>2162</v>
      </c>
      <c r="P306" s="46">
        <v>408</v>
      </c>
      <c r="Q306" s="46">
        <v>4725</v>
      </c>
      <c r="R306" s="45">
        <f>SUM(N306:Q306)</f>
        <v>9815</v>
      </c>
      <c r="S306" t="str">
        <f>IF(R306=K306,"RICHTIG","FALSCH")</f>
        <v>RICHTIG</v>
      </c>
      <c r="V306" s="2">
        <f>N306/R306*100</f>
        <v>25.674987264391234</v>
      </c>
      <c r="W306" s="2">
        <f>O306/R306*100</f>
        <v>22.027508914926134</v>
      </c>
      <c r="X306" s="2">
        <f>P306/R306*100</f>
        <v>4.1569026999490575</v>
      </c>
      <c r="Y306" s="2">
        <f>Q306/R306*100</f>
        <v>48.140601120733571</v>
      </c>
      <c r="Z306" s="2">
        <f>SUM(V306:Y306)</f>
        <v>100</v>
      </c>
    </row>
    <row r="307" spans="3:26" hidden="1">
      <c r="D307" s="38" t="s">
        <v>29</v>
      </c>
      <c r="E307" s="44">
        <v>10682</v>
      </c>
      <c r="F307" s="44">
        <v>6508</v>
      </c>
      <c r="G307" s="44">
        <v>4174</v>
      </c>
      <c r="H307" s="44">
        <v>8154</v>
      </c>
      <c r="I307" s="44">
        <v>4776</v>
      </c>
      <c r="J307" s="44">
        <v>3378</v>
      </c>
      <c r="K307" s="46">
        <v>2520</v>
      </c>
      <c r="L307" s="44">
        <v>1726</v>
      </c>
      <c r="M307" s="44">
        <v>794</v>
      </c>
      <c r="R307" s="45"/>
      <c r="V307" s="2"/>
      <c r="W307" s="2"/>
      <c r="X307" s="2"/>
      <c r="Y307" s="2"/>
      <c r="Z307" s="2"/>
    </row>
    <row r="308" spans="3:26" hidden="1">
      <c r="D308" s="42" t="s">
        <v>30</v>
      </c>
      <c r="E308" s="43">
        <v>44225</v>
      </c>
      <c r="F308" s="43">
        <v>26193</v>
      </c>
      <c r="G308" s="43">
        <v>18032</v>
      </c>
      <c r="H308" s="43">
        <v>42046</v>
      </c>
      <c r="I308" s="43">
        <v>24611</v>
      </c>
      <c r="J308" s="43">
        <v>17435</v>
      </c>
      <c r="K308" s="46">
        <v>2162</v>
      </c>
      <c r="L308" s="43">
        <v>1568</v>
      </c>
      <c r="M308" s="43">
        <v>594</v>
      </c>
      <c r="R308" s="45"/>
      <c r="V308" s="2"/>
      <c r="W308" s="2"/>
      <c r="X308" s="2"/>
      <c r="Y308" s="2"/>
      <c r="Z308" s="2"/>
    </row>
    <row r="309" spans="3:26" hidden="1">
      <c r="D309" s="38" t="s">
        <v>31</v>
      </c>
      <c r="E309" s="44">
        <v>6014</v>
      </c>
      <c r="F309" s="44">
        <v>3304</v>
      </c>
      <c r="G309" s="44">
        <v>2710</v>
      </c>
      <c r="H309" s="44">
        <v>5606</v>
      </c>
      <c r="I309" s="44">
        <v>3068</v>
      </c>
      <c r="J309" s="44">
        <v>2538</v>
      </c>
      <c r="K309" s="46">
        <v>408</v>
      </c>
      <c r="L309" s="44">
        <v>236</v>
      </c>
      <c r="M309" s="44">
        <v>172</v>
      </c>
      <c r="R309" s="45"/>
      <c r="V309" s="2"/>
      <c r="W309" s="2"/>
      <c r="X309" s="2"/>
      <c r="Y309" s="2"/>
      <c r="Z309" s="2"/>
    </row>
    <row r="310" spans="3:26" hidden="1">
      <c r="D310" s="42" t="s">
        <v>32</v>
      </c>
      <c r="E310" s="43">
        <v>10166</v>
      </c>
      <c r="F310" s="43">
        <v>6296</v>
      </c>
      <c r="G310" s="43">
        <v>3870</v>
      </c>
      <c r="H310" s="43">
        <v>5426</v>
      </c>
      <c r="I310" s="43">
        <v>3167</v>
      </c>
      <c r="J310" s="43">
        <v>2259</v>
      </c>
      <c r="K310" s="46">
        <v>4725</v>
      </c>
      <c r="L310" s="43">
        <v>3118</v>
      </c>
      <c r="M310" s="43">
        <v>1607</v>
      </c>
      <c r="R310" s="45"/>
      <c r="V310" s="2"/>
      <c r="W310" s="2"/>
      <c r="X310" s="2"/>
      <c r="Y310" s="2"/>
      <c r="Z310" s="2"/>
    </row>
    <row r="311" spans="3:26">
      <c r="C311">
        <v>51</v>
      </c>
      <c r="D311" s="39" t="s">
        <v>81</v>
      </c>
      <c r="E311" s="41"/>
      <c r="F311" s="41"/>
      <c r="G311" s="41"/>
      <c r="H311" s="41"/>
      <c r="I311" s="41"/>
      <c r="J311" s="41"/>
      <c r="K311" s="47"/>
      <c r="L311" s="41"/>
      <c r="M311" s="40"/>
      <c r="R311" s="45"/>
      <c r="V311" s="2"/>
      <c r="W311" s="2"/>
      <c r="X311" s="2"/>
      <c r="Y311" s="2"/>
      <c r="Z311" s="2"/>
    </row>
    <row r="312" spans="3:26">
      <c r="D312" s="42" t="s">
        <v>28</v>
      </c>
      <c r="E312" s="43">
        <v>29859</v>
      </c>
      <c r="F312" s="43">
        <v>18712</v>
      </c>
      <c r="G312" s="43">
        <v>11147</v>
      </c>
      <c r="H312" s="43">
        <v>27402</v>
      </c>
      <c r="I312" s="43">
        <v>16700</v>
      </c>
      <c r="J312" s="43">
        <v>10702</v>
      </c>
      <c r="K312" s="46">
        <v>2455</v>
      </c>
      <c r="L312" s="43">
        <v>2010</v>
      </c>
      <c r="M312" s="43">
        <v>445</v>
      </c>
      <c r="N312" s="46">
        <v>482</v>
      </c>
      <c r="O312" s="46">
        <v>847</v>
      </c>
      <c r="P312" s="46">
        <v>139</v>
      </c>
      <c r="Q312" s="46">
        <v>987</v>
      </c>
      <c r="R312" s="45">
        <f>SUM(N312:Q312)</f>
        <v>2455</v>
      </c>
      <c r="S312" t="str">
        <f>IF(R312=K312,"RICHTIG","FALSCH")</f>
        <v>RICHTIG</v>
      </c>
      <c r="V312" s="2">
        <f>N312/R312*100</f>
        <v>19.633401221995928</v>
      </c>
      <c r="W312" s="2">
        <f>O312/R312*100</f>
        <v>34.501018329938901</v>
      </c>
      <c r="X312" s="2">
        <f>P312/R312*100</f>
        <v>5.6619144602851321</v>
      </c>
      <c r="Y312" s="2">
        <f>Q312/R312*100</f>
        <v>40.203665987780042</v>
      </c>
      <c r="Z312" s="2">
        <f>SUM(V312:Y312)</f>
        <v>100</v>
      </c>
    </row>
    <row r="313" spans="3:26" hidden="1">
      <c r="D313" s="38" t="s">
        <v>29</v>
      </c>
      <c r="E313" s="44">
        <v>3625</v>
      </c>
      <c r="F313" s="44">
        <v>2340</v>
      </c>
      <c r="G313" s="44">
        <v>1285</v>
      </c>
      <c r="H313" s="44">
        <v>3143</v>
      </c>
      <c r="I313" s="44">
        <v>1956</v>
      </c>
      <c r="J313" s="44">
        <v>1187</v>
      </c>
      <c r="K313" s="46">
        <v>482</v>
      </c>
      <c r="L313" s="44">
        <v>384</v>
      </c>
      <c r="M313" s="44">
        <v>98</v>
      </c>
      <c r="R313" s="45"/>
      <c r="V313" s="2"/>
      <c r="W313" s="2"/>
      <c r="X313" s="2"/>
      <c r="Y313" s="2"/>
      <c r="Z313" s="2"/>
    </row>
    <row r="314" spans="3:26" hidden="1">
      <c r="D314" s="42" t="s">
        <v>30</v>
      </c>
      <c r="E314" s="43">
        <v>20759</v>
      </c>
      <c r="F314" s="43">
        <v>12889</v>
      </c>
      <c r="G314" s="43">
        <v>7870</v>
      </c>
      <c r="H314" s="43">
        <v>19912</v>
      </c>
      <c r="I314" s="43">
        <v>12218</v>
      </c>
      <c r="J314" s="43">
        <v>7694</v>
      </c>
      <c r="K314" s="46">
        <v>847</v>
      </c>
      <c r="L314" s="43">
        <v>671</v>
      </c>
      <c r="M314" s="43">
        <v>176</v>
      </c>
      <c r="R314" s="45"/>
      <c r="V314" s="2"/>
      <c r="W314" s="2"/>
      <c r="X314" s="2"/>
      <c r="Y314" s="2"/>
      <c r="Z314" s="2"/>
    </row>
    <row r="315" spans="3:26" hidden="1">
      <c r="D315" s="38" t="s">
        <v>31</v>
      </c>
      <c r="E315" s="44">
        <v>2604</v>
      </c>
      <c r="F315" s="44">
        <v>1693</v>
      </c>
      <c r="G315" s="44">
        <v>911</v>
      </c>
      <c r="H315" s="44">
        <v>2465</v>
      </c>
      <c r="I315" s="44">
        <v>1613</v>
      </c>
      <c r="J315" s="44">
        <v>852</v>
      </c>
      <c r="K315" s="46">
        <v>139</v>
      </c>
      <c r="L315" s="44">
        <v>80</v>
      </c>
      <c r="M315" s="44">
        <v>59</v>
      </c>
      <c r="R315" s="45"/>
      <c r="V315" s="2"/>
      <c r="W315" s="2"/>
      <c r="X315" s="2"/>
      <c r="Y315" s="2"/>
      <c r="Z315" s="2"/>
    </row>
    <row r="316" spans="3:26" hidden="1">
      <c r="D316" s="42" t="s">
        <v>32</v>
      </c>
      <c r="E316" s="43">
        <v>2871</v>
      </c>
      <c r="F316" s="43">
        <v>1790</v>
      </c>
      <c r="G316" s="43">
        <v>1081</v>
      </c>
      <c r="H316" s="43">
        <v>1882</v>
      </c>
      <c r="I316" s="43">
        <v>913</v>
      </c>
      <c r="J316" s="43">
        <v>969</v>
      </c>
      <c r="K316" s="46">
        <v>987</v>
      </c>
      <c r="L316" s="43">
        <v>875</v>
      </c>
      <c r="M316" s="43">
        <v>112</v>
      </c>
      <c r="R316" s="45"/>
      <c r="V316" s="2"/>
      <c r="W316" s="2"/>
      <c r="X316" s="2"/>
      <c r="Y316" s="2"/>
      <c r="Z316" s="2"/>
    </row>
    <row r="317" spans="3:26">
      <c r="C317">
        <v>52</v>
      </c>
      <c r="D317" s="39" t="s">
        <v>82</v>
      </c>
      <c r="E317" s="41"/>
      <c r="F317" s="41"/>
      <c r="G317" s="41"/>
      <c r="H317" s="41"/>
      <c r="I317" s="41"/>
      <c r="J317" s="41"/>
      <c r="K317" s="47"/>
      <c r="L317" s="41"/>
      <c r="M317" s="40"/>
      <c r="R317" s="45"/>
      <c r="V317" s="2"/>
      <c r="W317" s="2"/>
      <c r="X317" s="2"/>
      <c r="Y317" s="2"/>
      <c r="Z317" s="2"/>
    </row>
    <row r="318" spans="3:26">
      <c r="D318" s="42" t="s">
        <v>28</v>
      </c>
      <c r="E318" s="43">
        <v>15920</v>
      </c>
      <c r="F318" s="43">
        <v>7971</v>
      </c>
      <c r="G318" s="43">
        <v>7949</v>
      </c>
      <c r="H318" s="43">
        <v>15063</v>
      </c>
      <c r="I318" s="43">
        <v>7466</v>
      </c>
      <c r="J318" s="43">
        <v>7597</v>
      </c>
      <c r="K318" s="46">
        <v>855</v>
      </c>
      <c r="L318" s="43">
        <v>503</v>
      </c>
      <c r="M318" s="43">
        <v>352</v>
      </c>
      <c r="N318" s="46">
        <v>137</v>
      </c>
      <c r="O318" s="46">
        <v>195</v>
      </c>
      <c r="P318" s="46">
        <v>51</v>
      </c>
      <c r="Q318" s="46">
        <v>472</v>
      </c>
      <c r="R318" s="45">
        <f>SUM(N318:Q318)</f>
        <v>855</v>
      </c>
      <c r="S318" t="str">
        <f>IF(R318=K318,"RICHTIG","FALSCH")</f>
        <v>RICHTIG</v>
      </c>
      <c r="V318" s="2">
        <f>N318/R318*100</f>
        <v>16.023391812865498</v>
      </c>
      <c r="W318" s="2">
        <f>O318/R318*100</f>
        <v>22.807017543859647</v>
      </c>
      <c r="X318" s="2">
        <f>P318/R318*100</f>
        <v>5.9649122807017543</v>
      </c>
      <c r="Y318" s="2">
        <f>Q318/R318*100</f>
        <v>55.204678362573098</v>
      </c>
      <c r="Z318" s="2">
        <f>SUM(V318:Y318)</f>
        <v>100</v>
      </c>
    </row>
    <row r="319" spans="3:26" hidden="1">
      <c r="D319" s="38" t="s">
        <v>29</v>
      </c>
      <c r="E319" s="44">
        <v>1731</v>
      </c>
      <c r="F319" s="44">
        <v>909</v>
      </c>
      <c r="G319" s="44">
        <v>822</v>
      </c>
      <c r="H319" s="44">
        <v>1594</v>
      </c>
      <c r="I319" s="44">
        <v>826</v>
      </c>
      <c r="J319" s="44">
        <v>768</v>
      </c>
      <c r="K319" s="46">
        <v>137</v>
      </c>
      <c r="L319" s="44">
        <v>83</v>
      </c>
      <c r="M319" s="44">
        <v>54</v>
      </c>
      <c r="R319" s="45"/>
    </row>
    <row r="320" spans="3:26" hidden="1">
      <c r="D320" s="42" t="s">
        <v>30</v>
      </c>
      <c r="E320" s="43">
        <v>10910</v>
      </c>
      <c r="F320" s="43">
        <v>5478</v>
      </c>
      <c r="G320" s="43">
        <v>5432</v>
      </c>
      <c r="H320" s="43">
        <v>10714</v>
      </c>
      <c r="I320" s="43">
        <v>5363</v>
      </c>
      <c r="J320" s="43">
        <v>5351</v>
      </c>
      <c r="K320" s="46">
        <v>195</v>
      </c>
      <c r="L320" s="43">
        <v>114</v>
      </c>
      <c r="M320" s="43">
        <v>81</v>
      </c>
      <c r="R320" s="45"/>
    </row>
    <row r="321" spans="2:26" hidden="1">
      <c r="D321" s="38" t="s">
        <v>31</v>
      </c>
      <c r="E321" s="44">
        <v>964</v>
      </c>
      <c r="F321" s="44">
        <v>449</v>
      </c>
      <c r="G321" s="44">
        <v>515</v>
      </c>
      <c r="H321" s="44">
        <v>912</v>
      </c>
      <c r="I321" s="44">
        <v>422</v>
      </c>
      <c r="J321" s="44">
        <v>490</v>
      </c>
      <c r="K321" s="46">
        <v>51</v>
      </c>
      <c r="L321" s="44">
        <v>26</v>
      </c>
      <c r="M321" s="44">
        <v>25</v>
      </c>
      <c r="R321" s="45"/>
    </row>
    <row r="322" spans="2:26" hidden="1">
      <c r="D322" s="42" t="s">
        <v>32</v>
      </c>
      <c r="E322" s="43">
        <v>2315</v>
      </c>
      <c r="F322" s="43">
        <v>1135</v>
      </c>
      <c r="G322" s="43">
        <v>1180</v>
      </c>
      <c r="H322" s="43">
        <v>1843</v>
      </c>
      <c r="I322" s="43">
        <v>855</v>
      </c>
      <c r="J322" s="43">
        <v>988</v>
      </c>
      <c r="K322" s="46">
        <v>472</v>
      </c>
      <c r="L322" s="43">
        <v>280</v>
      </c>
      <c r="M322" s="43">
        <v>192</v>
      </c>
      <c r="R322" s="45"/>
    </row>
    <row r="323" spans="2:26" ht="15" hidden="1">
      <c r="D323" s="36" t="s">
        <v>3</v>
      </c>
      <c r="E323" s="36"/>
      <c r="F323" s="36"/>
      <c r="G323" s="36"/>
      <c r="H323" s="36"/>
      <c r="I323" s="36"/>
      <c r="J323" s="36"/>
      <c r="K323" s="36"/>
      <c r="L323" s="36"/>
      <c r="M323" s="36"/>
    </row>
    <row r="324" spans="2:26" ht="15" hidden="1">
      <c r="D324" s="36" t="s">
        <v>83</v>
      </c>
      <c r="E324" s="36"/>
      <c r="F324" s="36"/>
      <c r="G324" s="36"/>
      <c r="H324" s="36"/>
      <c r="I324" s="36"/>
      <c r="J324" s="36"/>
      <c r="K324" s="36"/>
      <c r="L324" s="36"/>
      <c r="M324" s="36"/>
    </row>
    <row r="327" spans="2:26" ht="23.25">
      <c r="D327" s="50" t="s">
        <v>153</v>
      </c>
    </row>
    <row r="329" spans="2:26">
      <c r="D329" s="355" t="s">
        <v>10</v>
      </c>
      <c r="E329" s="358" t="s">
        <v>11</v>
      </c>
      <c r="F329" s="359"/>
      <c r="G329" s="359"/>
      <c r="H329" s="359"/>
      <c r="I329" s="359"/>
      <c r="J329" s="359"/>
      <c r="K329" s="359"/>
      <c r="L329" s="359"/>
      <c r="M329" s="360"/>
    </row>
    <row r="330" spans="2:26">
      <c r="D330" s="356"/>
      <c r="E330" s="358" t="s">
        <v>12</v>
      </c>
      <c r="F330" s="359"/>
      <c r="G330" s="360"/>
      <c r="H330" s="358" t="s">
        <v>13</v>
      </c>
      <c r="I330" s="359"/>
      <c r="J330" s="360"/>
      <c r="K330" s="358" t="s">
        <v>14</v>
      </c>
      <c r="L330" s="359"/>
      <c r="M330" s="360"/>
    </row>
    <row r="331" spans="2:26">
      <c r="D331" s="356"/>
      <c r="E331" s="37" t="s">
        <v>15</v>
      </c>
      <c r="F331" s="37" t="s">
        <v>16</v>
      </c>
      <c r="G331" s="37" t="s">
        <v>17</v>
      </c>
      <c r="H331" s="37" t="s">
        <v>15</v>
      </c>
      <c r="I331" s="37" t="s">
        <v>16</v>
      </c>
      <c r="J331" s="37" t="s">
        <v>17</v>
      </c>
      <c r="K331" s="37" t="s">
        <v>15</v>
      </c>
      <c r="L331" s="37" t="s">
        <v>16</v>
      </c>
      <c r="M331" s="37" t="s">
        <v>17</v>
      </c>
      <c r="N331" s="35"/>
      <c r="O331" s="35"/>
      <c r="P331" s="35"/>
      <c r="Q331" s="32"/>
      <c r="T331">
        <v>1</v>
      </c>
      <c r="U331">
        <v>2</v>
      </c>
      <c r="V331">
        <v>3</v>
      </c>
      <c r="W331">
        <v>4</v>
      </c>
      <c r="X331">
        <v>5</v>
      </c>
      <c r="Y331">
        <v>6</v>
      </c>
    </row>
    <row r="332" spans="2:26">
      <c r="D332" s="357"/>
      <c r="E332" s="37" t="s">
        <v>18</v>
      </c>
      <c r="F332" s="37" t="s">
        <v>19</v>
      </c>
      <c r="G332" s="37" t="s">
        <v>20</v>
      </c>
      <c r="H332" s="37" t="s">
        <v>21</v>
      </c>
      <c r="I332" s="37" t="s">
        <v>22</v>
      </c>
      <c r="J332" s="37" t="s">
        <v>23</v>
      </c>
      <c r="K332" s="37" t="s">
        <v>24</v>
      </c>
      <c r="L332" s="37" t="s">
        <v>25</v>
      </c>
      <c r="M332" s="37" t="s">
        <v>26</v>
      </c>
    </row>
    <row r="333" spans="2:26">
      <c r="E333" s="41"/>
      <c r="F333" s="41"/>
      <c r="G333" s="41"/>
      <c r="H333" s="41"/>
      <c r="I333" s="41"/>
      <c r="J333" s="41"/>
      <c r="K333" s="41"/>
      <c r="L333" s="41"/>
      <c r="M333" s="40"/>
      <c r="N333" s="38" t="s">
        <v>29</v>
      </c>
      <c r="O333" s="42" t="s">
        <v>30</v>
      </c>
      <c r="P333" s="38" t="s">
        <v>31</v>
      </c>
      <c r="Q333" s="42" t="s">
        <v>32</v>
      </c>
      <c r="R333" s="48" t="s">
        <v>150</v>
      </c>
      <c r="S333" s="49" t="s">
        <v>151</v>
      </c>
      <c r="T333" s="49"/>
      <c r="U333" s="49"/>
      <c r="V333" s="38" t="s">
        <v>29</v>
      </c>
      <c r="W333" s="42" t="s">
        <v>30</v>
      </c>
      <c r="X333" s="38" t="s">
        <v>31</v>
      </c>
      <c r="Y333" s="42" t="s">
        <v>32</v>
      </c>
      <c r="Z333" t="s">
        <v>150</v>
      </c>
    </row>
    <row r="334" spans="2:26">
      <c r="B334">
        <v>0</v>
      </c>
      <c r="C334" t="s">
        <v>130</v>
      </c>
      <c r="D334" s="39" t="s">
        <v>27</v>
      </c>
      <c r="E334" s="43">
        <v>2956773</v>
      </c>
      <c r="F334" s="43">
        <v>1604003</v>
      </c>
      <c r="G334" s="43">
        <v>1352770</v>
      </c>
      <c r="H334" s="43">
        <v>2700138</v>
      </c>
      <c r="I334" s="43">
        <v>1433181</v>
      </c>
      <c r="J334" s="43">
        <v>1266957</v>
      </c>
      <c r="K334" s="46">
        <v>255519</v>
      </c>
      <c r="L334" s="43">
        <v>170046</v>
      </c>
      <c r="M334" s="43">
        <v>85473</v>
      </c>
      <c r="N334" s="44">
        <v>62255</v>
      </c>
      <c r="O334" s="43">
        <v>77878</v>
      </c>
      <c r="P334" s="44">
        <v>28135</v>
      </c>
      <c r="Q334" s="43">
        <v>87251</v>
      </c>
      <c r="R334" s="45">
        <v>255519</v>
      </c>
      <c r="S334" t="s">
        <v>152</v>
      </c>
      <c r="T334">
        <f>B334</f>
        <v>0</v>
      </c>
      <c r="U334" t="str">
        <f>C334</f>
        <v>Niedersachsen</v>
      </c>
      <c r="V334" s="2">
        <v>24.364137304858001</v>
      </c>
      <c r="W334" s="2">
        <v>30.478359730587552</v>
      </c>
      <c r="X334" s="2">
        <v>11.010922866792685</v>
      </c>
      <c r="Y334" s="2">
        <v>34.146580097761806</v>
      </c>
      <c r="Z334" s="2">
        <v>100</v>
      </c>
    </row>
    <row r="335" spans="2:26">
      <c r="B335">
        <v>1</v>
      </c>
      <c r="C335" t="s">
        <v>135</v>
      </c>
      <c r="D335" s="39" t="s">
        <v>33</v>
      </c>
      <c r="E335" s="43">
        <v>640237</v>
      </c>
      <c r="F335" s="43">
        <v>356306</v>
      </c>
      <c r="G335" s="43">
        <v>283931</v>
      </c>
      <c r="H335" s="43">
        <v>592988</v>
      </c>
      <c r="I335" s="43">
        <v>324752</v>
      </c>
      <c r="J335" s="43">
        <v>268236</v>
      </c>
      <c r="K335" s="46">
        <v>47066</v>
      </c>
      <c r="L335" s="43">
        <v>31429</v>
      </c>
      <c r="M335" s="43">
        <v>15637</v>
      </c>
      <c r="N335" s="44">
        <v>10274</v>
      </c>
      <c r="O335" s="43">
        <v>15630</v>
      </c>
      <c r="P335" s="44">
        <v>9020</v>
      </c>
      <c r="Q335" s="43">
        <v>12142</v>
      </c>
      <c r="R335" s="45">
        <v>47066</v>
      </c>
      <c r="S335" t="s">
        <v>152</v>
      </c>
      <c r="T335">
        <f t="shared" ref="T335:T385" si="0">B335</f>
        <v>1</v>
      </c>
      <c r="U335" t="str">
        <f t="shared" ref="U335:U385" si="1">C335</f>
        <v>Braunschweig</v>
      </c>
      <c r="V335" s="2">
        <v>21.828921089533846</v>
      </c>
      <c r="W335" s="2">
        <v>33.208685675434495</v>
      </c>
      <c r="X335" s="2">
        <v>19.164577401946204</v>
      </c>
      <c r="Y335" s="2">
        <v>25.797815833085451</v>
      </c>
      <c r="Z335" s="2">
        <v>100</v>
      </c>
    </row>
    <row r="336" spans="2:26">
      <c r="B336">
        <v>101</v>
      </c>
      <c r="C336" t="s">
        <v>132</v>
      </c>
      <c r="D336" s="39" t="s">
        <v>34</v>
      </c>
      <c r="E336" s="43">
        <v>130103</v>
      </c>
      <c r="F336" s="43">
        <v>68553</v>
      </c>
      <c r="G336" s="43">
        <v>61550</v>
      </c>
      <c r="H336" s="43">
        <v>119978</v>
      </c>
      <c r="I336" s="43">
        <v>62411</v>
      </c>
      <c r="J336" s="43">
        <v>57567</v>
      </c>
      <c r="K336" s="46">
        <v>10097</v>
      </c>
      <c r="L336" s="43">
        <v>6123</v>
      </c>
      <c r="M336" s="43">
        <v>3974</v>
      </c>
      <c r="N336" s="44">
        <v>2360</v>
      </c>
      <c r="O336" s="43">
        <v>2861</v>
      </c>
      <c r="P336" s="44">
        <v>2312</v>
      </c>
      <c r="Q336" s="43">
        <v>2564</v>
      </c>
      <c r="R336" s="45">
        <v>10097</v>
      </c>
      <c r="S336" t="s">
        <v>152</v>
      </c>
      <c r="T336">
        <f t="shared" si="0"/>
        <v>101</v>
      </c>
      <c r="U336" t="str">
        <f t="shared" si="1"/>
        <v>Braunschweig,Stadt</v>
      </c>
      <c r="V336" s="2">
        <v>23.37327919183916</v>
      </c>
      <c r="W336" s="2">
        <v>28.335149054174508</v>
      </c>
      <c r="X336" s="2">
        <v>22.897890462513619</v>
      </c>
      <c r="Y336" s="2">
        <v>25.393681291472713</v>
      </c>
      <c r="Z336" s="2">
        <v>100</v>
      </c>
    </row>
    <row r="337" spans="2:26">
      <c r="B337">
        <v>102</v>
      </c>
      <c r="C337" t="s">
        <v>133</v>
      </c>
      <c r="D337" s="39" t="s">
        <v>35</v>
      </c>
      <c r="E337" s="43">
        <v>47975</v>
      </c>
      <c r="F337" s="43">
        <v>32138</v>
      </c>
      <c r="G337" s="43">
        <v>15837</v>
      </c>
      <c r="H337" s="43">
        <v>43612</v>
      </c>
      <c r="I337" s="43">
        <v>28751</v>
      </c>
      <c r="J337" s="43">
        <v>14861</v>
      </c>
      <c r="K337" s="46">
        <v>4348</v>
      </c>
      <c r="L337" s="43">
        <v>3378</v>
      </c>
      <c r="M337" s="43">
        <v>970</v>
      </c>
      <c r="N337" s="46">
        <v>1015</v>
      </c>
      <c r="O337" s="46">
        <v>1795</v>
      </c>
      <c r="P337" s="46">
        <v>340</v>
      </c>
      <c r="Q337" s="46">
        <v>1198</v>
      </c>
      <c r="R337" s="45">
        <v>4348</v>
      </c>
      <c r="S337" t="s">
        <v>152</v>
      </c>
      <c r="T337">
        <f t="shared" si="0"/>
        <v>102</v>
      </c>
      <c r="U337" t="str">
        <f t="shared" si="1"/>
        <v>Salzgitter,Stadt</v>
      </c>
      <c r="V337" s="2">
        <v>23.344066237350507</v>
      </c>
      <c r="W337" s="2">
        <v>41.283348666053357</v>
      </c>
      <c r="X337" s="2">
        <v>7.8196872125115</v>
      </c>
      <c r="Y337" s="2">
        <v>27.552897884084636</v>
      </c>
      <c r="Z337" s="2">
        <v>100</v>
      </c>
    </row>
    <row r="338" spans="2:26">
      <c r="B338">
        <v>103</v>
      </c>
      <c r="C338" t="s">
        <v>134</v>
      </c>
      <c r="D338" s="39" t="s">
        <v>36</v>
      </c>
      <c r="E338" s="43">
        <v>120757</v>
      </c>
      <c r="F338" s="43">
        <v>81301</v>
      </c>
      <c r="G338" s="43">
        <v>39456</v>
      </c>
      <c r="H338" s="43">
        <v>110769</v>
      </c>
      <c r="I338" s="43">
        <v>74321</v>
      </c>
      <c r="J338" s="43">
        <v>36448</v>
      </c>
      <c r="K338" s="46">
        <v>9961</v>
      </c>
      <c r="L338" s="43">
        <v>6958</v>
      </c>
      <c r="M338" s="43">
        <v>3003</v>
      </c>
      <c r="N338" s="46">
        <v>1411</v>
      </c>
      <c r="O338" s="46">
        <v>3385</v>
      </c>
      <c r="P338" s="46">
        <v>2188</v>
      </c>
      <c r="Q338" s="46">
        <v>2977</v>
      </c>
      <c r="R338" s="45">
        <v>9961</v>
      </c>
      <c r="S338" t="s">
        <v>152</v>
      </c>
      <c r="T338">
        <f t="shared" si="0"/>
        <v>103</v>
      </c>
      <c r="U338" t="str">
        <f t="shared" si="1"/>
        <v>Wolfsburg,Stadt</v>
      </c>
      <c r="V338" s="2">
        <v>14.165244453368137</v>
      </c>
      <c r="W338" s="2">
        <v>33.982531874309807</v>
      </c>
      <c r="X338" s="2">
        <v>21.965666097781348</v>
      </c>
      <c r="Y338" s="2">
        <v>29.886557574540706</v>
      </c>
      <c r="Z338" s="2">
        <v>100</v>
      </c>
    </row>
    <row r="339" spans="2:26">
      <c r="B339">
        <v>151</v>
      </c>
      <c r="C339" t="s">
        <v>94</v>
      </c>
      <c r="D339" s="39" t="s">
        <v>37</v>
      </c>
      <c r="E339" s="43">
        <v>41976</v>
      </c>
      <c r="F339" s="43">
        <v>21895</v>
      </c>
      <c r="G339" s="43">
        <v>20081</v>
      </c>
      <c r="H339" s="43">
        <v>39280</v>
      </c>
      <c r="I339" s="43">
        <v>20120</v>
      </c>
      <c r="J339" s="43">
        <v>19160</v>
      </c>
      <c r="K339" s="46">
        <v>2689</v>
      </c>
      <c r="L339" s="43">
        <v>1771</v>
      </c>
      <c r="M339" s="43">
        <v>918</v>
      </c>
      <c r="N339" s="46">
        <v>696</v>
      </c>
      <c r="O339" s="46">
        <v>723</v>
      </c>
      <c r="P339" s="46">
        <v>414</v>
      </c>
      <c r="Q339" s="46">
        <v>856</v>
      </c>
      <c r="R339" s="45">
        <v>2689</v>
      </c>
      <c r="S339" t="s">
        <v>152</v>
      </c>
      <c r="T339">
        <f t="shared" si="0"/>
        <v>151</v>
      </c>
      <c r="U339" t="str">
        <f t="shared" si="1"/>
        <v>Gifhorn</v>
      </c>
      <c r="V339" s="2">
        <v>25.883227965786539</v>
      </c>
      <c r="W339" s="2">
        <v>26.887318705838602</v>
      </c>
      <c r="X339" s="2">
        <v>15.396058014131647</v>
      </c>
      <c r="Y339" s="2">
        <v>31.833395314243212</v>
      </c>
      <c r="Z339" s="2">
        <v>100</v>
      </c>
    </row>
    <row r="340" spans="2:26">
      <c r="B340">
        <v>153</v>
      </c>
      <c r="C340" t="s">
        <v>96</v>
      </c>
      <c r="D340" s="39" t="s">
        <v>38</v>
      </c>
      <c r="E340" s="43">
        <v>45334</v>
      </c>
      <c r="F340" s="43">
        <v>22750</v>
      </c>
      <c r="G340" s="43">
        <v>22584</v>
      </c>
      <c r="H340" s="43">
        <v>42548</v>
      </c>
      <c r="I340" s="43">
        <v>20938</v>
      </c>
      <c r="J340" s="43">
        <v>21610</v>
      </c>
      <c r="K340" s="46">
        <v>2762</v>
      </c>
      <c r="L340" s="43">
        <v>1800</v>
      </c>
      <c r="M340" s="43">
        <v>962</v>
      </c>
      <c r="N340" s="46">
        <v>659</v>
      </c>
      <c r="O340" s="46">
        <v>878</v>
      </c>
      <c r="P340" s="46">
        <v>459</v>
      </c>
      <c r="Q340" s="46">
        <v>766</v>
      </c>
      <c r="R340" s="45">
        <v>2762</v>
      </c>
      <c r="S340" t="s">
        <v>152</v>
      </c>
      <c r="T340">
        <f t="shared" si="0"/>
        <v>153</v>
      </c>
      <c r="U340" t="str">
        <f t="shared" si="1"/>
        <v>Goslar</v>
      </c>
      <c r="V340" s="2">
        <v>23.859522085445327</v>
      </c>
      <c r="W340" s="2">
        <v>31.788559015206374</v>
      </c>
      <c r="X340" s="2">
        <v>16.618392469225199</v>
      </c>
      <c r="Y340" s="2">
        <v>27.733526430123099</v>
      </c>
      <c r="Z340" s="2">
        <v>100</v>
      </c>
    </row>
    <row r="341" spans="2:26">
      <c r="B341">
        <v>154</v>
      </c>
      <c r="C341" t="s">
        <v>97</v>
      </c>
      <c r="D341" s="39" t="s">
        <v>39</v>
      </c>
      <c r="E341" s="43">
        <v>22488</v>
      </c>
      <c r="F341" s="43">
        <v>9679</v>
      </c>
      <c r="G341" s="43">
        <v>12809</v>
      </c>
      <c r="H341" s="43">
        <v>21049</v>
      </c>
      <c r="I341" s="43">
        <v>8680</v>
      </c>
      <c r="J341" s="43">
        <v>12369</v>
      </c>
      <c r="K341" s="46">
        <v>1431</v>
      </c>
      <c r="L341" s="43">
        <v>994</v>
      </c>
      <c r="M341" s="43">
        <v>437</v>
      </c>
      <c r="N341" s="46">
        <v>305</v>
      </c>
      <c r="O341" s="46">
        <v>606</v>
      </c>
      <c r="P341" s="46">
        <v>182</v>
      </c>
      <c r="Q341" s="46">
        <v>338</v>
      </c>
      <c r="R341" s="45">
        <v>1431</v>
      </c>
      <c r="S341" t="s">
        <v>152</v>
      </c>
      <c r="T341">
        <f t="shared" si="0"/>
        <v>154</v>
      </c>
      <c r="U341" t="str">
        <f t="shared" si="1"/>
        <v>Helmstedt</v>
      </c>
      <c r="V341" s="2">
        <v>21.313766596785463</v>
      </c>
      <c r="W341" s="2">
        <v>42.348008385744237</v>
      </c>
      <c r="X341" s="2">
        <v>12.718378756114603</v>
      </c>
      <c r="Y341" s="2">
        <v>23.619846261355697</v>
      </c>
      <c r="Z341" s="2">
        <v>100</v>
      </c>
    </row>
    <row r="342" spans="2:26">
      <c r="B342">
        <v>155</v>
      </c>
      <c r="C342" t="s">
        <v>98</v>
      </c>
      <c r="D342" s="39" t="s">
        <v>40</v>
      </c>
      <c r="E342" s="43">
        <v>45481</v>
      </c>
      <c r="F342" s="43">
        <v>24951</v>
      </c>
      <c r="G342" s="43">
        <v>20530</v>
      </c>
      <c r="H342" s="43">
        <v>42353</v>
      </c>
      <c r="I342" s="43">
        <v>22551</v>
      </c>
      <c r="J342" s="43">
        <v>19802</v>
      </c>
      <c r="K342" s="46">
        <v>3117</v>
      </c>
      <c r="L342" s="43">
        <v>2391</v>
      </c>
      <c r="M342" s="43">
        <v>726</v>
      </c>
      <c r="N342" s="46">
        <v>701</v>
      </c>
      <c r="O342" s="46">
        <v>1412</v>
      </c>
      <c r="P342" s="46">
        <v>255</v>
      </c>
      <c r="Q342" s="46">
        <v>749</v>
      </c>
      <c r="R342" s="45">
        <v>3117</v>
      </c>
      <c r="S342" t="s">
        <v>152</v>
      </c>
      <c r="T342">
        <f t="shared" si="0"/>
        <v>155</v>
      </c>
      <c r="U342" t="str">
        <f t="shared" si="1"/>
        <v>Northeim</v>
      </c>
      <c r="V342" s="2">
        <v>22.48957330766763</v>
      </c>
      <c r="W342" s="2">
        <v>45.299967917869751</v>
      </c>
      <c r="X342" s="2">
        <v>8.1809432146294512</v>
      </c>
      <c r="Y342" s="2">
        <v>24.029515559833172</v>
      </c>
      <c r="Z342" s="2">
        <v>100</v>
      </c>
    </row>
    <row r="343" spans="2:26">
      <c r="B343">
        <v>157</v>
      </c>
      <c r="C343" t="s">
        <v>99</v>
      </c>
      <c r="D343" s="39" t="s">
        <v>41</v>
      </c>
      <c r="E343" s="43">
        <v>32164</v>
      </c>
      <c r="F343" s="43">
        <v>17073</v>
      </c>
      <c r="G343" s="43">
        <v>15091</v>
      </c>
      <c r="H343" s="43">
        <v>29551</v>
      </c>
      <c r="I343" s="43">
        <v>15182</v>
      </c>
      <c r="J343" s="43">
        <v>14369</v>
      </c>
      <c r="K343" s="46">
        <v>2590</v>
      </c>
      <c r="L343" s="43">
        <v>1871</v>
      </c>
      <c r="M343" s="43">
        <v>719</v>
      </c>
      <c r="N343" s="46">
        <v>787</v>
      </c>
      <c r="O343" s="46">
        <v>863</v>
      </c>
      <c r="P343" s="46">
        <v>178</v>
      </c>
      <c r="Q343" s="46">
        <v>762</v>
      </c>
      <c r="R343" s="45">
        <v>2590</v>
      </c>
      <c r="S343" t="s">
        <v>152</v>
      </c>
      <c r="T343">
        <f t="shared" si="0"/>
        <v>157</v>
      </c>
      <c r="U343" t="str">
        <f t="shared" si="1"/>
        <v>Peine</v>
      </c>
      <c r="V343" s="2">
        <v>30.386100386100384</v>
      </c>
      <c r="W343" s="2">
        <v>33.320463320463325</v>
      </c>
      <c r="X343" s="2">
        <v>6.8725868725868722</v>
      </c>
      <c r="Y343" s="2">
        <v>29.420849420849422</v>
      </c>
      <c r="Z343" s="2">
        <v>100.00000000000001</v>
      </c>
    </row>
    <row r="344" spans="2:26">
      <c r="B344">
        <v>158</v>
      </c>
      <c r="C344" t="s">
        <v>100</v>
      </c>
      <c r="D344" s="39" t="s">
        <v>42</v>
      </c>
      <c r="E344" s="43">
        <v>24876</v>
      </c>
      <c r="F344" s="43">
        <v>11402</v>
      </c>
      <c r="G344" s="43">
        <v>13474</v>
      </c>
      <c r="H344" s="43">
        <v>23462</v>
      </c>
      <c r="I344" s="43">
        <v>10528</v>
      </c>
      <c r="J344" s="43">
        <v>12934</v>
      </c>
      <c r="K344" s="46">
        <v>1412</v>
      </c>
      <c r="L344" s="43">
        <v>873</v>
      </c>
      <c r="M344" s="43">
        <v>539</v>
      </c>
      <c r="N344" s="46">
        <v>319</v>
      </c>
      <c r="O344" s="46">
        <v>568</v>
      </c>
      <c r="P344" s="46">
        <v>171</v>
      </c>
      <c r="Q344" s="46">
        <v>354</v>
      </c>
      <c r="R344" s="45">
        <v>1412</v>
      </c>
      <c r="S344" t="s">
        <v>152</v>
      </c>
      <c r="T344">
        <f t="shared" si="0"/>
        <v>158</v>
      </c>
      <c r="U344" t="str">
        <f t="shared" si="1"/>
        <v>Wolfenbüttel</v>
      </c>
      <c r="V344" s="2">
        <v>22.592067988668553</v>
      </c>
      <c r="W344" s="2">
        <v>40.226628895184135</v>
      </c>
      <c r="X344" s="2">
        <v>12.110481586402265</v>
      </c>
      <c r="Y344" s="2">
        <v>25.070821529745039</v>
      </c>
      <c r="Z344" s="2">
        <v>100</v>
      </c>
    </row>
    <row r="345" spans="2:26">
      <c r="B345">
        <v>159</v>
      </c>
      <c r="C345" t="s">
        <v>95</v>
      </c>
      <c r="D345" s="39" t="s">
        <v>43</v>
      </c>
      <c r="E345" s="43">
        <v>129083</v>
      </c>
      <c r="F345" s="43">
        <v>66564</v>
      </c>
      <c r="G345" s="43">
        <v>62519</v>
      </c>
      <c r="H345" s="43">
        <v>120386</v>
      </c>
      <c r="I345" s="43">
        <v>61270</v>
      </c>
      <c r="J345" s="43">
        <v>59116</v>
      </c>
      <c r="K345" s="46">
        <v>8659</v>
      </c>
      <c r="L345" s="43">
        <v>5270</v>
      </c>
      <c r="M345" s="43">
        <v>3389</v>
      </c>
      <c r="N345" s="46">
        <v>2021</v>
      </c>
      <c r="O345" s="46">
        <v>2539</v>
      </c>
      <c r="P345" s="46">
        <v>2521</v>
      </c>
      <c r="Q345" s="46">
        <v>1578</v>
      </c>
      <c r="R345" s="45">
        <v>8659</v>
      </c>
      <c r="S345" t="s">
        <v>152</v>
      </c>
      <c r="T345">
        <f t="shared" si="0"/>
        <v>159</v>
      </c>
      <c r="U345" t="str">
        <f t="shared" si="1"/>
        <v>Göttingen</v>
      </c>
      <c r="V345" s="2">
        <v>23.33987758401663</v>
      </c>
      <c r="W345" s="2">
        <v>29.322092620394962</v>
      </c>
      <c r="X345" s="2">
        <v>29.114216422219659</v>
      </c>
      <c r="Y345" s="2">
        <v>18.223813373368749</v>
      </c>
      <c r="Z345" s="2">
        <v>100</v>
      </c>
    </row>
    <row r="346" spans="2:26">
      <c r="B346">
        <v>2</v>
      </c>
      <c r="C346" t="s">
        <v>138</v>
      </c>
      <c r="D346" s="39" t="s">
        <v>44</v>
      </c>
      <c r="E346" s="43">
        <v>831428</v>
      </c>
      <c r="F346" s="43">
        <v>442454</v>
      </c>
      <c r="G346" s="43">
        <v>388974</v>
      </c>
      <c r="H346" s="43">
        <v>751603</v>
      </c>
      <c r="I346" s="43">
        <v>391704</v>
      </c>
      <c r="J346" s="43">
        <v>359899</v>
      </c>
      <c r="K346" s="46">
        <v>79418</v>
      </c>
      <c r="L346" s="43">
        <v>50474</v>
      </c>
      <c r="M346" s="43">
        <v>28944</v>
      </c>
      <c r="N346" s="46">
        <v>20904</v>
      </c>
      <c r="O346" s="46">
        <v>26346</v>
      </c>
      <c r="P346" s="46">
        <v>9486</v>
      </c>
      <c r="Q346" s="46">
        <v>22682</v>
      </c>
      <c r="R346" s="45">
        <v>79418</v>
      </c>
      <c r="S346" t="s">
        <v>152</v>
      </c>
      <c r="T346">
        <f t="shared" si="0"/>
        <v>2</v>
      </c>
      <c r="U346" t="str">
        <f t="shared" si="1"/>
        <v>Hannover</v>
      </c>
      <c r="V346" s="2">
        <v>26.321488831247326</v>
      </c>
      <c r="W346" s="2">
        <v>33.173839683698908</v>
      </c>
      <c r="X346" s="2">
        <v>11.944395477095872</v>
      </c>
      <c r="Y346" s="2">
        <v>28.560276007957892</v>
      </c>
      <c r="Z346" s="2">
        <v>100</v>
      </c>
    </row>
    <row r="347" spans="2:26">
      <c r="B347">
        <v>241</v>
      </c>
      <c r="C347" t="s">
        <v>137</v>
      </c>
      <c r="D347" s="39" t="s">
        <v>45</v>
      </c>
      <c r="E347" s="43">
        <v>509668</v>
      </c>
      <c r="F347" s="43">
        <v>272704</v>
      </c>
      <c r="G347" s="43">
        <v>236964</v>
      </c>
      <c r="H347" s="43">
        <v>453174</v>
      </c>
      <c r="I347" s="43">
        <v>237484</v>
      </c>
      <c r="J347" s="43">
        <v>215690</v>
      </c>
      <c r="K347" s="46">
        <v>56204</v>
      </c>
      <c r="L347" s="43">
        <v>35024</v>
      </c>
      <c r="M347" s="43">
        <v>21180</v>
      </c>
      <c r="N347" s="46">
        <v>14972</v>
      </c>
      <c r="O347" s="46">
        <v>18258</v>
      </c>
      <c r="P347" s="46">
        <v>7179</v>
      </c>
      <c r="Q347" s="46">
        <v>15795</v>
      </c>
      <c r="R347" s="45">
        <v>56204</v>
      </c>
      <c r="S347" t="s">
        <v>152</v>
      </c>
      <c r="T347">
        <f t="shared" si="0"/>
        <v>241</v>
      </c>
      <c r="U347" t="str">
        <f t="shared" si="1"/>
        <v>Hannover,Region</v>
      </c>
      <c r="V347" s="2">
        <v>26.638673404028186</v>
      </c>
      <c r="W347" s="2">
        <v>32.485232367803</v>
      </c>
      <c r="X347" s="2">
        <v>12.773112234004696</v>
      </c>
      <c r="Y347" s="2">
        <v>28.102981994164118</v>
      </c>
      <c r="Z347" s="2">
        <v>100</v>
      </c>
    </row>
    <row r="348" spans="2:26">
      <c r="B348">
        <v>241001</v>
      </c>
      <c r="C348" t="s">
        <v>136</v>
      </c>
      <c r="D348" s="39" t="s">
        <v>46</v>
      </c>
      <c r="E348" s="43">
        <v>324727</v>
      </c>
      <c r="F348" s="43">
        <v>171976</v>
      </c>
      <c r="G348" s="43">
        <v>152751</v>
      </c>
      <c r="H348" s="43">
        <v>288598</v>
      </c>
      <c r="I348" s="43">
        <v>150232</v>
      </c>
      <c r="J348" s="43">
        <v>138366</v>
      </c>
      <c r="K348" s="46">
        <v>35942</v>
      </c>
      <c r="L348" s="43">
        <v>21620</v>
      </c>
      <c r="M348" s="43">
        <v>14322</v>
      </c>
      <c r="N348" s="46">
        <v>9237</v>
      </c>
      <c r="O348" s="46">
        <v>11528</v>
      </c>
      <c r="P348" s="46">
        <v>5623</v>
      </c>
      <c r="Q348" s="46">
        <v>9554</v>
      </c>
      <c r="R348" s="45">
        <v>35942</v>
      </c>
      <c r="S348" t="s">
        <v>152</v>
      </c>
      <c r="T348">
        <f t="shared" si="0"/>
        <v>241001</v>
      </c>
      <c r="U348" t="str">
        <f t="shared" si="1"/>
        <v>Hannover,Landeshauptstadt</v>
      </c>
      <c r="V348" s="2">
        <v>25.699738467531024</v>
      </c>
      <c r="W348" s="2">
        <v>32.073896833787771</v>
      </c>
      <c r="X348" s="2">
        <v>15.644649713427189</v>
      </c>
      <c r="Y348" s="2">
        <v>26.581714985254017</v>
      </c>
      <c r="Z348" s="2">
        <v>100</v>
      </c>
    </row>
    <row r="349" spans="2:26">
      <c r="B349">
        <v>241999</v>
      </c>
      <c r="C349" t="s">
        <v>145</v>
      </c>
      <c r="D349" s="39"/>
      <c r="E349" s="43">
        <f>E347-E348</f>
        <v>184941</v>
      </c>
      <c r="F349" s="43">
        <f t="shared" ref="F349:Q349" si="2">F347-F348</f>
        <v>100728</v>
      </c>
      <c r="G349" s="43">
        <f t="shared" si="2"/>
        <v>84213</v>
      </c>
      <c r="H349" s="43">
        <f t="shared" si="2"/>
        <v>164576</v>
      </c>
      <c r="I349" s="43">
        <f t="shared" si="2"/>
        <v>87252</v>
      </c>
      <c r="J349" s="43">
        <f t="shared" si="2"/>
        <v>77324</v>
      </c>
      <c r="K349" s="46">
        <f t="shared" si="2"/>
        <v>20262</v>
      </c>
      <c r="L349" s="43">
        <f t="shared" si="2"/>
        <v>13404</v>
      </c>
      <c r="M349" s="43">
        <f t="shared" si="2"/>
        <v>6858</v>
      </c>
      <c r="N349" s="46">
        <f t="shared" si="2"/>
        <v>5735</v>
      </c>
      <c r="O349" s="46">
        <f t="shared" si="2"/>
        <v>6730</v>
      </c>
      <c r="P349" s="46">
        <f t="shared" si="2"/>
        <v>1556</v>
      </c>
      <c r="Q349" s="46">
        <f t="shared" si="2"/>
        <v>6241</v>
      </c>
      <c r="R349" s="45">
        <v>35942</v>
      </c>
      <c r="S349" t="s">
        <v>152</v>
      </c>
      <c r="T349">
        <f t="shared" si="0"/>
        <v>241999</v>
      </c>
      <c r="U349" t="str">
        <f t="shared" si="1"/>
        <v>Hannover, Umland</v>
      </c>
      <c r="V349" s="2">
        <f>N349/$K$349*100</f>
        <v>28.304214786299475</v>
      </c>
      <c r="W349" s="2">
        <f>O349/$K$349*100</f>
        <v>33.214885006415948</v>
      </c>
      <c r="X349" s="2">
        <f>P349/$K$349*100</f>
        <v>7.6793998618102846</v>
      </c>
      <c r="Y349" s="2">
        <f>Q349/$K$349*100</f>
        <v>30.801500345474288</v>
      </c>
      <c r="Z349" s="2">
        <f>SUM(V349:Y349)</f>
        <v>100</v>
      </c>
    </row>
    <row r="350" spans="2:26">
      <c r="B350">
        <v>251</v>
      </c>
      <c r="C350" t="s">
        <v>101</v>
      </c>
      <c r="D350" s="39" t="s">
        <v>47</v>
      </c>
      <c r="E350" s="43">
        <v>70423</v>
      </c>
      <c r="F350" s="43">
        <v>38285</v>
      </c>
      <c r="G350" s="43">
        <v>32138</v>
      </c>
      <c r="H350" s="43">
        <v>64741</v>
      </c>
      <c r="I350" s="43">
        <v>34323</v>
      </c>
      <c r="J350" s="43">
        <v>30418</v>
      </c>
      <c r="K350" s="46">
        <v>5644</v>
      </c>
      <c r="L350" s="43">
        <v>3930</v>
      </c>
      <c r="M350" s="43">
        <v>1714</v>
      </c>
      <c r="N350" s="46">
        <v>1326</v>
      </c>
      <c r="O350" s="46">
        <v>1820</v>
      </c>
      <c r="P350" s="46">
        <v>383</v>
      </c>
      <c r="Q350" s="46">
        <v>2115</v>
      </c>
      <c r="R350" s="45">
        <v>5644</v>
      </c>
      <c r="S350" t="s">
        <v>152</v>
      </c>
      <c r="T350">
        <f t="shared" si="0"/>
        <v>251</v>
      </c>
      <c r="U350" t="str">
        <f t="shared" si="1"/>
        <v>Diepholz</v>
      </c>
      <c r="V350" s="2">
        <v>23.493975903614459</v>
      </c>
      <c r="W350" s="2">
        <v>32.246633593196314</v>
      </c>
      <c r="X350" s="2">
        <v>6.785967399007796</v>
      </c>
      <c r="Y350" s="2">
        <v>37.473423104181428</v>
      </c>
      <c r="Z350" s="2">
        <v>100</v>
      </c>
    </row>
    <row r="351" spans="2:26">
      <c r="B351">
        <v>252</v>
      </c>
      <c r="C351" t="s">
        <v>102</v>
      </c>
      <c r="D351" s="39" t="s">
        <v>48</v>
      </c>
      <c r="E351" s="43">
        <v>52027</v>
      </c>
      <c r="F351" s="43">
        <v>25913</v>
      </c>
      <c r="G351" s="43">
        <v>26114</v>
      </c>
      <c r="H351" s="43">
        <v>48329</v>
      </c>
      <c r="I351" s="43">
        <v>23638</v>
      </c>
      <c r="J351" s="43">
        <v>24691</v>
      </c>
      <c r="K351" s="46">
        <v>3678</v>
      </c>
      <c r="L351" s="43">
        <v>2263</v>
      </c>
      <c r="M351" s="43">
        <v>1415</v>
      </c>
      <c r="N351" s="46">
        <v>968</v>
      </c>
      <c r="O351" s="46">
        <v>1384</v>
      </c>
      <c r="P351" s="46">
        <v>390</v>
      </c>
      <c r="Q351" s="46">
        <v>936</v>
      </c>
      <c r="R351" s="45">
        <v>3678</v>
      </c>
      <c r="S351" t="s">
        <v>152</v>
      </c>
      <c r="T351">
        <f t="shared" si="0"/>
        <v>252</v>
      </c>
      <c r="U351" t="str">
        <f t="shared" si="1"/>
        <v>Hameln-Pyrmont</v>
      </c>
      <c r="V351" s="2">
        <v>26.318651441000547</v>
      </c>
      <c r="W351" s="2">
        <v>37.629146275149537</v>
      </c>
      <c r="X351" s="2">
        <v>10.60358890701468</v>
      </c>
      <c r="Y351" s="2">
        <v>25.44861337683524</v>
      </c>
      <c r="Z351" s="2">
        <v>100</v>
      </c>
    </row>
    <row r="352" spans="2:26">
      <c r="B352">
        <v>254</v>
      </c>
      <c r="C352" t="s">
        <v>103</v>
      </c>
      <c r="D352" s="39" t="s">
        <v>49</v>
      </c>
      <c r="E352" s="43">
        <v>91936</v>
      </c>
      <c r="F352" s="43">
        <v>47541</v>
      </c>
      <c r="G352" s="43">
        <v>44395</v>
      </c>
      <c r="H352" s="43">
        <v>86145</v>
      </c>
      <c r="I352" s="43">
        <v>43829</v>
      </c>
      <c r="J352" s="43">
        <v>42316</v>
      </c>
      <c r="K352" s="46">
        <v>5755</v>
      </c>
      <c r="L352" s="43">
        <v>3694</v>
      </c>
      <c r="M352" s="43">
        <v>2061</v>
      </c>
      <c r="N352" s="46">
        <v>1437</v>
      </c>
      <c r="O352" s="46">
        <v>2043</v>
      </c>
      <c r="P352" s="46">
        <v>900</v>
      </c>
      <c r="Q352" s="46">
        <v>1375</v>
      </c>
      <c r="R352" s="45">
        <v>5755</v>
      </c>
      <c r="S352" t="s">
        <v>152</v>
      </c>
      <c r="T352">
        <f t="shared" si="0"/>
        <v>254</v>
      </c>
      <c r="U352" t="str">
        <f t="shared" si="1"/>
        <v>Hildesheim</v>
      </c>
      <c r="V352" s="2">
        <v>24.969591659426584</v>
      </c>
      <c r="W352" s="2">
        <v>35.499565595134662</v>
      </c>
      <c r="X352" s="2">
        <v>15.638575152041703</v>
      </c>
      <c r="Y352" s="2">
        <v>23.892267593397047</v>
      </c>
      <c r="Z352" s="2">
        <v>100</v>
      </c>
    </row>
    <row r="353" spans="2:26">
      <c r="B353">
        <v>255</v>
      </c>
      <c r="C353" t="s">
        <v>104</v>
      </c>
      <c r="D353" s="39" t="s">
        <v>50</v>
      </c>
      <c r="E353" s="43">
        <v>22487</v>
      </c>
      <c r="F353" s="43">
        <v>12483</v>
      </c>
      <c r="G353" s="43">
        <v>10004</v>
      </c>
      <c r="H353" s="43">
        <v>21221</v>
      </c>
      <c r="I353" s="43">
        <v>11638</v>
      </c>
      <c r="J353" s="43">
        <v>9583</v>
      </c>
      <c r="K353" s="46">
        <v>1260</v>
      </c>
      <c r="L353" s="43">
        <v>840</v>
      </c>
      <c r="M353" s="43">
        <v>420</v>
      </c>
      <c r="N353" s="46">
        <v>360</v>
      </c>
      <c r="O353" s="46">
        <v>442</v>
      </c>
      <c r="P353" s="46">
        <v>141</v>
      </c>
      <c r="Q353" s="46">
        <v>317</v>
      </c>
      <c r="R353" s="45">
        <v>1260</v>
      </c>
      <c r="S353" t="s">
        <v>152</v>
      </c>
      <c r="T353">
        <f t="shared" si="0"/>
        <v>255</v>
      </c>
      <c r="U353" t="str">
        <f t="shared" si="1"/>
        <v>Holzminden</v>
      </c>
      <c r="V353" s="2">
        <v>28.571428571428569</v>
      </c>
      <c r="W353" s="2">
        <v>35.079365079365076</v>
      </c>
      <c r="X353" s="2">
        <v>11.190476190476192</v>
      </c>
      <c r="Y353" s="2">
        <v>25.158730158730158</v>
      </c>
      <c r="Z353" s="2">
        <v>100</v>
      </c>
    </row>
    <row r="354" spans="2:26">
      <c r="B354">
        <v>256</v>
      </c>
      <c r="C354" t="s">
        <v>105</v>
      </c>
      <c r="D354" s="39" t="s">
        <v>51</v>
      </c>
      <c r="E354" s="43">
        <v>39714</v>
      </c>
      <c r="F354" s="43">
        <v>22071</v>
      </c>
      <c r="G354" s="43">
        <v>17643</v>
      </c>
      <c r="H354" s="43">
        <v>36261</v>
      </c>
      <c r="I354" s="43">
        <v>19591</v>
      </c>
      <c r="J354" s="43">
        <v>16670</v>
      </c>
      <c r="K354" s="46">
        <v>3442</v>
      </c>
      <c r="L354" s="43">
        <v>2472</v>
      </c>
      <c r="M354" s="43">
        <v>970</v>
      </c>
      <c r="N354" s="46">
        <v>940</v>
      </c>
      <c r="O354" s="46">
        <v>904</v>
      </c>
      <c r="P354" s="46">
        <v>215</v>
      </c>
      <c r="Q354" s="46">
        <v>1383</v>
      </c>
      <c r="R354" s="45">
        <v>3442</v>
      </c>
      <c r="S354" t="s">
        <v>152</v>
      </c>
      <c r="T354">
        <f t="shared" si="0"/>
        <v>256</v>
      </c>
      <c r="U354" t="str">
        <f t="shared" si="1"/>
        <v>Nienburg (Weser)</v>
      </c>
      <c r="V354" s="2">
        <v>27.309703660662404</v>
      </c>
      <c r="W354" s="2">
        <v>26.263800116211506</v>
      </c>
      <c r="X354" s="2">
        <v>6.2463683904706562</v>
      </c>
      <c r="Y354" s="2">
        <v>40.18012783265543</v>
      </c>
      <c r="Z354" s="2">
        <v>100</v>
      </c>
    </row>
    <row r="355" spans="2:26">
      <c r="B355">
        <v>257</v>
      </c>
      <c r="C355" t="s">
        <v>106</v>
      </c>
      <c r="D355" s="39" t="s">
        <v>52</v>
      </c>
      <c r="E355" s="43">
        <v>45173</v>
      </c>
      <c r="F355" s="43">
        <v>23457</v>
      </c>
      <c r="G355" s="43">
        <v>21716</v>
      </c>
      <c r="H355" s="43">
        <v>41732</v>
      </c>
      <c r="I355" s="43">
        <v>21201</v>
      </c>
      <c r="J355" s="43">
        <v>20531</v>
      </c>
      <c r="K355" s="46">
        <v>3435</v>
      </c>
      <c r="L355" s="43">
        <v>2251</v>
      </c>
      <c r="M355" s="43">
        <v>1184</v>
      </c>
      <c r="N355" s="46">
        <v>901</v>
      </c>
      <c r="O355" s="46">
        <v>1495</v>
      </c>
      <c r="P355" s="46">
        <v>278</v>
      </c>
      <c r="Q355" s="46">
        <v>761</v>
      </c>
      <c r="R355" s="45">
        <v>3435</v>
      </c>
      <c r="S355" t="s">
        <v>152</v>
      </c>
      <c r="T355">
        <f t="shared" si="0"/>
        <v>257</v>
      </c>
      <c r="U355" t="str">
        <f t="shared" si="1"/>
        <v>Schaumburg</v>
      </c>
      <c r="V355" s="2">
        <v>26.22998544395924</v>
      </c>
      <c r="W355" s="2">
        <v>43.522561863173216</v>
      </c>
      <c r="X355" s="2">
        <v>8.0931586608442512</v>
      </c>
      <c r="Y355" s="2">
        <v>22.154294032023287</v>
      </c>
      <c r="Z355" s="2">
        <v>100</v>
      </c>
    </row>
    <row r="356" spans="2:26">
      <c r="B356">
        <v>3</v>
      </c>
      <c r="C356" t="s">
        <v>111</v>
      </c>
      <c r="D356" s="39" t="s">
        <v>53</v>
      </c>
      <c r="E356" s="43">
        <v>510811</v>
      </c>
      <c r="F356" s="43">
        <v>262870</v>
      </c>
      <c r="G356" s="43">
        <v>247941</v>
      </c>
      <c r="H356" s="43">
        <v>470697</v>
      </c>
      <c r="I356" s="43">
        <v>235251</v>
      </c>
      <c r="J356" s="43">
        <v>235446</v>
      </c>
      <c r="K356" s="46">
        <v>39896</v>
      </c>
      <c r="L356" s="43">
        <v>27474</v>
      </c>
      <c r="M356" s="43">
        <v>12422</v>
      </c>
      <c r="N356" s="46">
        <v>9602</v>
      </c>
      <c r="O356" s="46">
        <v>12094</v>
      </c>
      <c r="P356" s="46">
        <v>3557</v>
      </c>
      <c r="Q356" s="46">
        <v>14643</v>
      </c>
      <c r="R356" s="45">
        <v>39896</v>
      </c>
      <c r="S356" t="s">
        <v>152</v>
      </c>
      <c r="T356">
        <f t="shared" si="0"/>
        <v>3</v>
      </c>
      <c r="U356" t="str">
        <f t="shared" si="1"/>
        <v>Lüneburg</v>
      </c>
      <c r="V356" s="2">
        <v>24.067575696811712</v>
      </c>
      <c r="W356" s="2">
        <v>30.313815921395626</v>
      </c>
      <c r="X356" s="2">
        <v>8.9156807700020053</v>
      </c>
      <c r="Y356" s="2">
        <v>36.702927611790656</v>
      </c>
      <c r="Z356" s="2">
        <v>100</v>
      </c>
    </row>
    <row r="357" spans="2:26">
      <c r="B357">
        <v>351</v>
      </c>
      <c r="C357" t="s">
        <v>107</v>
      </c>
      <c r="D357" s="39" t="s">
        <v>54</v>
      </c>
      <c r="E357" s="43">
        <v>57180</v>
      </c>
      <c r="F357" s="43">
        <v>29117</v>
      </c>
      <c r="G357" s="43">
        <v>28063</v>
      </c>
      <c r="H357" s="43">
        <v>53710</v>
      </c>
      <c r="I357" s="43">
        <v>26858</v>
      </c>
      <c r="J357" s="43">
        <v>26852</v>
      </c>
      <c r="K357" s="46">
        <v>3438</v>
      </c>
      <c r="L357" s="43">
        <v>2240</v>
      </c>
      <c r="M357" s="43">
        <v>1198</v>
      </c>
      <c r="N357" s="46">
        <v>1000</v>
      </c>
      <c r="O357" s="46">
        <v>1142</v>
      </c>
      <c r="P357" s="46">
        <v>466</v>
      </c>
      <c r="Q357" s="46">
        <v>830</v>
      </c>
      <c r="R357" s="45">
        <v>3438</v>
      </c>
      <c r="S357" t="s">
        <v>152</v>
      </c>
      <c r="T357">
        <f t="shared" si="0"/>
        <v>351</v>
      </c>
      <c r="U357" t="str">
        <f t="shared" si="1"/>
        <v>Celle</v>
      </c>
      <c r="V357" s="2">
        <v>29.086678301337987</v>
      </c>
      <c r="W357" s="2">
        <v>33.216986620127983</v>
      </c>
      <c r="X357" s="2">
        <v>13.554392088423503</v>
      </c>
      <c r="Y357" s="2">
        <v>24.141942990110529</v>
      </c>
      <c r="Z357" s="2">
        <v>100</v>
      </c>
    </row>
    <row r="358" spans="2:26">
      <c r="B358">
        <v>352</v>
      </c>
      <c r="C358" t="s">
        <v>108</v>
      </c>
      <c r="D358" s="39" t="s">
        <v>55</v>
      </c>
      <c r="E358" s="43">
        <v>47659</v>
      </c>
      <c r="F358" s="43">
        <v>23362</v>
      </c>
      <c r="G358" s="43">
        <v>24297</v>
      </c>
      <c r="H358" s="43">
        <v>43492</v>
      </c>
      <c r="I358" s="43">
        <v>20527</v>
      </c>
      <c r="J358" s="43">
        <v>22965</v>
      </c>
      <c r="K358" s="46">
        <v>4156</v>
      </c>
      <c r="L358" s="43">
        <v>2828</v>
      </c>
      <c r="M358" s="43">
        <v>1328</v>
      </c>
      <c r="N358" s="46">
        <v>989</v>
      </c>
      <c r="O358" s="46">
        <v>1203</v>
      </c>
      <c r="P358" s="46">
        <v>262</v>
      </c>
      <c r="Q358" s="46">
        <v>1702</v>
      </c>
      <c r="R358" s="45">
        <v>4156</v>
      </c>
      <c r="S358" t="s">
        <v>152</v>
      </c>
      <c r="T358">
        <f t="shared" si="0"/>
        <v>352</v>
      </c>
      <c r="U358" t="str">
        <f t="shared" si="1"/>
        <v>Cuxhaven</v>
      </c>
      <c r="V358" s="2">
        <v>23.796920115495666</v>
      </c>
      <c r="W358" s="2">
        <v>28.946102021174209</v>
      </c>
      <c r="X358" s="2">
        <v>6.3041385948026951</v>
      </c>
      <c r="Y358" s="2">
        <v>40.952839268527427</v>
      </c>
      <c r="Z358" s="2">
        <v>100</v>
      </c>
    </row>
    <row r="359" spans="2:26">
      <c r="B359">
        <v>353</v>
      </c>
      <c r="C359" t="s">
        <v>109</v>
      </c>
      <c r="D359" s="39" t="s">
        <v>56</v>
      </c>
      <c r="E359" s="43">
        <v>64693</v>
      </c>
      <c r="F359" s="43">
        <v>34220</v>
      </c>
      <c r="G359" s="43">
        <v>30473</v>
      </c>
      <c r="H359" s="43">
        <v>56625</v>
      </c>
      <c r="I359" s="43">
        <v>28343</v>
      </c>
      <c r="J359" s="43">
        <v>28282</v>
      </c>
      <c r="K359" s="46">
        <v>8032</v>
      </c>
      <c r="L359" s="43">
        <v>5853</v>
      </c>
      <c r="M359" s="43">
        <v>2179</v>
      </c>
      <c r="N359" s="46">
        <v>2026</v>
      </c>
      <c r="O359" s="46">
        <v>2266</v>
      </c>
      <c r="P359" s="46">
        <v>543</v>
      </c>
      <c r="Q359" s="46">
        <v>3197</v>
      </c>
      <c r="R359" s="45">
        <v>8032</v>
      </c>
      <c r="S359" t="s">
        <v>152</v>
      </c>
      <c r="T359">
        <f t="shared" si="0"/>
        <v>353</v>
      </c>
      <c r="U359" t="str">
        <f t="shared" si="1"/>
        <v>Harburg</v>
      </c>
      <c r="V359" s="2">
        <v>25.224103585657371</v>
      </c>
      <c r="W359" s="2">
        <v>28.212151394422314</v>
      </c>
      <c r="X359" s="2">
        <v>6.7604581673306772</v>
      </c>
      <c r="Y359" s="2">
        <v>39.803286852589643</v>
      </c>
      <c r="Z359" s="2">
        <v>100</v>
      </c>
    </row>
    <row r="360" spans="2:26">
      <c r="B360">
        <v>354</v>
      </c>
      <c r="C360" t="s">
        <v>110</v>
      </c>
      <c r="D360" s="39" t="s">
        <v>57</v>
      </c>
      <c r="E360" s="43">
        <v>14265</v>
      </c>
      <c r="F360" s="43">
        <v>6900</v>
      </c>
      <c r="G360" s="43">
        <v>7365</v>
      </c>
      <c r="H360" s="43">
        <v>13587</v>
      </c>
      <c r="I360" s="43">
        <v>6502</v>
      </c>
      <c r="J360" s="43">
        <v>7085</v>
      </c>
      <c r="K360" s="46">
        <v>677</v>
      </c>
      <c r="L360" s="43">
        <v>397</v>
      </c>
      <c r="M360" s="43">
        <v>280</v>
      </c>
      <c r="N360" s="46">
        <v>134</v>
      </c>
      <c r="O360" s="46">
        <v>195</v>
      </c>
      <c r="P360" s="46">
        <v>60</v>
      </c>
      <c r="Q360" s="46">
        <v>288</v>
      </c>
      <c r="R360" s="45">
        <v>677</v>
      </c>
      <c r="S360" t="s">
        <v>152</v>
      </c>
      <c r="T360">
        <f t="shared" si="0"/>
        <v>354</v>
      </c>
      <c r="U360" t="str">
        <f t="shared" si="1"/>
        <v>Lüchow-Dannenberg</v>
      </c>
      <c r="V360" s="2">
        <v>19.793205317577549</v>
      </c>
      <c r="W360" s="2">
        <v>28.80354505169867</v>
      </c>
      <c r="X360" s="2">
        <v>8.862629246676514</v>
      </c>
      <c r="Y360" s="2">
        <v>42.540620384047266</v>
      </c>
      <c r="Z360" s="2">
        <v>100</v>
      </c>
    </row>
    <row r="361" spans="2:26">
      <c r="B361">
        <v>355</v>
      </c>
      <c r="C361" t="s">
        <v>111</v>
      </c>
      <c r="D361" s="39" t="s">
        <v>58</v>
      </c>
      <c r="E361" s="43">
        <v>58362</v>
      </c>
      <c r="F361" s="43">
        <v>29229</v>
      </c>
      <c r="G361" s="43">
        <v>29133</v>
      </c>
      <c r="H361" s="43">
        <v>54677</v>
      </c>
      <c r="I361" s="43">
        <v>26789</v>
      </c>
      <c r="J361" s="43">
        <v>27888</v>
      </c>
      <c r="K361" s="46">
        <v>3651</v>
      </c>
      <c r="L361" s="43">
        <v>2418</v>
      </c>
      <c r="M361" s="43">
        <v>1233</v>
      </c>
      <c r="N361" s="46">
        <v>963</v>
      </c>
      <c r="O361" s="46">
        <v>1152</v>
      </c>
      <c r="P361" s="46">
        <v>506</v>
      </c>
      <c r="Q361" s="46">
        <v>1030</v>
      </c>
      <c r="R361" s="45">
        <v>3651</v>
      </c>
      <c r="S361" t="s">
        <v>152</v>
      </c>
      <c r="T361">
        <f t="shared" si="0"/>
        <v>355</v>
      </c>
      <c r="U361" t="str">
        <f t="shared" si="1"/>
        <v>Lüneburg</v>
      </c>
      <c r="V361" s="2">
        <v>26.376335250616268</v>
      </c>
      <c r="W361" s="2">
        <v>31.55299917830731</v>
      </c>
      <c r="X361" s="2">
        <v>13.85921665297179</v>
      </c>
      <c r="Y361" s="2">
        <v>28.21144891810463</v>
      </c>
      <c r="Z361" s="2">
        <v>100</v>
      </c>
    </row>
    <row r="362" spans="2:26">
      <c r="B362">
        <v>356</v>
      </c>
      <c r="C362" t="s">
        <v>112</v>
      </c>
      <c r="D362" s="39" t="s">
        <v>59</v>
      </c>
      <c r="E362" s="43">
        <v>26394</v>
      </c>
      <c r="F362" s="43">
        <v>13205</v>
      </c>
      <c r="G362" s="43">
        <v>13189</v>
      </c>
      <c r="H362" s="43">
        <v>24683</v>
      </c>
      <c r="I362" s="43">
        <v>12035</v>
      </c>
      <c r="J362" s="43">
        <v>12648</v>
      </c>
      <c r="K362" s="46">
        <v>1703</v>
      </c>
      <c r="L362" s="43">
        <v>1163</v>
      </c>
      <c r="M362" s="43">
        <v>540</v>
      </c>
      <c r="N362" s="46">
        <v>433</v>
      </c>
      <c r="O362" s="46">
        <v>568</v>
      </c>
      <c r="P362" s="46">
        <v>170</v>
      </c>
      <c r="Q362" s="46">
        <v>532</v>
      </c>
      <c r="R362" s="45">
        <v>1703</v>
      </c>
      <c r="S362" t="s">
        <v>152</v>
      </c>
      <c r="T362">
        <f t="shared" si="0"/>
        <v>356</v>
      </c>
      <c r="U362" t="str">
        <f t="shared" si="1"/>
        <v>Osterholz</v>
      </c>
      <c r="V362" s="2">
        <v>25.425719318849087</v>
      </c>
      <c r="W362" s="2">
        <v>33.352906635349385</v>
      </c>
      <c r="X362" s="2">
        <v>9.9823840281855549</v>
      </c>
      <c r="Y362" s="2">
        <v>31.238990017615968</v>
      </c>
      <c r="Z362" s="2">
        <v>100</v>
      </c>
    </row>
    <row r="363" spans="2:26">
      <c r="B363">
        <v>357</v>
      </c>
      <c r="C363" t="s">
        <v>113</v>
      </c>
      <c r="D363" s="39" t="s">
        <v>60</v>
      </c>
      <c r="E363" s="43">
        <v>55730</v>
      </c>
      <c r="F363" s="43">
        <v>29391</v>
      </c>
      <c r="G363" s="43">
        <v>26339</v>
      </c>
      <c r="H363" s="43">
        <v>52095</v>
      </c>
      <c r="I363" s="43">
        <v>26906</v>
      </c>
      <c r="J363" s="43">
        <v>25189</v>
      </c>
      <c r="K363" s="46">
        <v>3606</v>
      </c>
      <c r="L363" s="43">
        <v>2464</v>
      </c>
      <c r="M363" s="43">
        <v>1142</v>
      </c>
      <c r="N363" s="46">
        <v>810</v>
      </c>
      <c r="O363" s="46">
        <v>1255</v>
      </c>
      <c r="P363" s="46">
        <v>314</v>
      </c>
      <c r="Q363" s="46">
        <v>1227</v>
      </c>
      <c r="R363" s="45">
        <v>3606</v>
      </c>
      <c r="S363" t="s">
        <v>152</v>
      </c>
      <c r="T363">
        <f t="shared" si="0"/>
        <v>357</v>
      </c>
      <c r="U363" t="str">
        <f t="shared" si="1"/>
        <v>Rotenburg (Wümme)</v>
      </c>
      <c r="V363" s="2">
        <v>22.462562396006653</v>
      </c>
      <c r="W363" s="2">
        <v>34.803105934553521</v>
      </c>
      <c r="X363" s="2">
        <v>8.7077093732667787</v>
      </c>
      <c r="Y363" s="2">
        <v>34.026622296173045</v>
      </c>
      <c r="Z363" s="2">
        <v>100</v>
      </c>
    </row>
    <row r="364" spans="2:26">
      <c r="B364">
        <v>358</v>
      </c>
      <c r="C364" t="s">
        <v>114</v>
      </c>
      <c r="D364" s="39" t="s">
        <v>61</v>
      </c>
      <c r="E364" s="43">
        <v>47482</v>
      </c>
      <c r="F364" s="43">
        <v>24781</v>
      </c>
      <c r="G364" s="43">
        <v>22701</v>
      </c>
      <c r="H364" s="43">
        <v>43669</v>
      </c>
      <c r="I364" s="43">
        <v>22261</v>
      </c>
      <c r="J364" s="43">
        <v>21408</v>
      </c>
      <c r="K364" s="46">
        <v>3797</v>
      </c>
      <c r="L364" s="43">
        <v>2508</v>
      </c>
      <c r="M364" s="43">
        <v>1289</v>
      </c>
      <c r="N364" s="46">
        <v>792</v>
      </c>
      <c r="O364" s="46">
        <v>1397</v>
      </c>
      <c r="P364" s="46">
        <v>280</v>
      </c>
      <c r="Q364" s="46">
        <v>1328</v>
      </c>
      <c r="R364" s="45">
        <v>3797</v>
      </c>
      <c r="S364" t="s">
        <v>152</v>
      </c>
      <c r="T364">
        <f t="shared" si="0"/>
        <v>358</v>
      </c>
      <c r="U364" t="str">
        <f t="shared" si="1"/>
        <v>Heidekreis</v>
      </c>
      <c r="V364" s="2">
        <v>20.858572557282066</v>
      </c>
      <c r="W364" s="2">
        <v>36.792204371872536</v>
      </c>
      <c r="X364" s="2">
        <v>7.3742428232815378</v>
      </c>
      <c r="Y364" s="2">
        <v>34.974980247563863</v>
      </c>
      <c r="Z364" s="2">
        <v>100</v>
      </c>
    </row>
    <row r="365" spans="2:26">
      <c r="B365">
        <v>359</v>
      </c>
      <c r="C365" t="s">
        <v>115</v>
      </c>
      <c r="D365" s="39" t="s">
        <v>62</v>
      </c>
      <c r="E365" s="43">
        <v>62085</v>
      </c>
      <c r="F365" s="43">
        <v>32779</v>
      </c>
      <c r="G365" s="43">
        <v>29306</v>
      </c>
      <c r="H365" s="43">
        <v>57029</v>
      </c>
      <c r="I365" s="43">
        <v>29121</v>
      </c>
      <c r="J365" s="43">
        <v>27908</v>
      </c>
      <c r="K365" s="46">
        <v>5030</v>
      </c>
      <c r="L365" s="43">
        <v>3638</v>
      </c>
      <c r="M365" s="43">
        <v>1392</v>
      </c>
      <c r="N365" s="46">
        <v>1039</v>
      </c>
      <c r="O365" s="46">
        <v>1275</v>
      </c>
      <c r="P365" s="46">
        <v>388</v>
      </c>
      <c r="Q365" s="46">
        <v>2328</v>
      </c>
      <c r="R365" s="45">
        <v>5030</v>
      </c>
      <c r="S365" t="s">
        <v>152</v>
      </c>
      <c r="T365">
        <f t="shared" si="0"/>
        <v>359</v>
      </c>
      <c r="U365" t="str">
        <f t="shared" si="1"/>
        <v>Stade</v>
      </c>
      <c r="V365" s="2">
        <v>20.656063618290258</v>
      </c>
      <c r="W365" s="2">
        <v>25.347912524850898</v>
      </c>
      <c r="X365" s="2">
        <v>7.7137176938369789</v>
      </c>
      <c r="Y365" s="2">
        <v>46.282306163021872</v>
      </c>
      <c r="Z365" s="2">
        <v>100</v>
      </c>
    </row>
    <row r="366" spans="2:26">
      <c r="B366">
        <v>360</v>
      </c>
      <c r="C366" t="s">
        <v>116</v>
      </c>
      <c r="D366" s="39" t="s">
        <v>63</v>
      </c>
      <c r="E366" s="43">
        <v>29609</v>
      </c>
      <c r="F366" s="43">
        <v>14120</v>
      </c>
      <c r="G366" s="43">
        <v>15489</v>
      </c>
      <c r="H366" s="43">
        <v>28188</v>
      </c>
      <c r="I366" s="43">
        <v>13232</v>
      </c>
      <c r="J366" s="43">
        <v>14956</v>
      </c>
      <c r="K366" s="46">
        <v>1413</v>
      </c>
      <c r="L366" s="43">
        <v>883</v>
      </c>
      <c r="M366" s="43">
        <v>530</v>
      </c>
      <c r="N366" s="46">
        <v>276</v>
      </c>
      <c r="O366" s="46">
        <v>491</v>
      </c>
      <c r="P366" s="46">
        <v>206</v>
      </c>
      <c r="Q366" s="46">
        <v>440</v>
      </c>
      <c r="R366" s="45">
        <v>1413</v>
      </c>
      <c r="S366" t="s">
        <v>152</v>
      </c>
      <c r="T366">
        <f t="shared" si="0"/>
        <v>360</v>
      </c>
      <c r="U366" t="str">
        <f t="shared" si="1"/>
        <v>Uelzen</v>
      </c>
      <c r="V366" s="2">
        <v>19.53290870488323</v>
      </c>
      <c r="W366" s="2">
        <v>34.748761500353858</v>
      </c>
      <c r="X366" s="2">
        <v>14.578910120311395</v>
      </c>
      <c r="Y366" s="2">
        <v>31.139419674451524</v>
      </c>
      <c r="Z366" s="2">
        <v>100</v>
      </c>
    </row>
    <row r="367" spans="2:26">
      <c r="B367">
        <v>361</v>
      </c>
      <c r="C367" t="s">
        <v>117</v>
      </c>
      <c r="D367" s="39" t="s">
        <v>64</v>
      </c>
      <c r="E367" s="43">
        <v>47352</v>
      </c>
      <c r="F367" s="43">
        <v>25766</v>
      </c>
      <c r="G367" s="43">
        <v>21586</v>
      </c>
      <c r="H367" s="43">
        <v>42942</v>
      </c>
      <c r="I367" s="43">
        <v>22677</v>
      </c>
      <c r="J367" s="43">
        <v>20265</v>
      </c>
      <c r="K367" s="46">
        <v>4393</v>
      </c>
      <c r="L367" s="43">
        <v>3082</v>
      </c>
      <c r="M367" s="43">
        <v>1311</v>
      </c>
      <c r="N367" s="46">
        <v>1140</v>
      </c>
      <c r="O367" s="46">
        <v>1150</v>
      </c>
      <c r="P367" s="46">
        <v>362</v>
      </c>
      <c r="Q367" s="46">
        <v>1741</v>
      </c>
      <c r="R367" s="45">
        <v>4393</v>
      </c>
      <c r="S367" t="s">
        <v>152</v>
      </c>
      <c r="T367">
        <f t="shared" si="0"/>
        <v>361</v>
      </c>
      <c r="U367" t="str">
        <f t="shared" si="1"/>
        <v>Verden</v>
      </c>
      <c r="V367" s="2">
        <v>25.950375597541541</v>
      </c>
      <c r="W367" s="2">
        <v>26.178010471204189</v>
      </c>
      <c r="X367" s="2">
        <v>8.2403824265877521</v>
      </c>
      <c r="Y367" s="2">
        <v>39.631231504666516</v>
      </c>
      <c r="Z367" s="2">
        <v>100</v>
      </c>
    </row>
    <row r="368" spans="2:26">
      <c r="B368">
        <v>4</v>
      </c>
      <c r="C368" t="s">
        <v>144</v>
      </c>
      <c r="D368" s="39" t="s">
        <v>65</v>
      </c>
      <c r="E368" s="43">
        <v>974297</v>
      </c>
      <c r="F368" s="43">
        <v>542373</v>
      </c>
      <c r="G368" s="43">
        <v>431924</v>
      </c>
      <c r="H368" s="43">
        <v>884850</v>
      </c>
      <c r="I368" s="43">
        <v>481474</v>
      </c>
      <c r="J368" s="43">
        <v>403376</v>
      </c>
      <c r="K368" s="46">
        <v>89139</v>
      </c>
      <c r="L368" s="43">
        <v>60669</v>
      </c>
      <c r="M368" s="43">
        <v>28470</v>
      </c>
      <c r="N368" s="46">
        <v>21475</v>
      </c>
      <c r="O368" s="46">
        <v>23808</v>
      </c>
      <c r="P368" s="46">
        <v>6072</v>
      </c>
      <c r="Q368" s="46">
        <v>37784</v>
      </c>
      <c r="R368" s="45">
        <v>89139</v>
      </c>
      <c r="S368" t="s">
        <v>152</v>
      </c>
      <c r="T368">
        <f t="shared" si="0"/>
        <v>4</v>
      </c>
      <c r="U368" t="str">
        <f t="shared" si="1"/>
        <v>Weser-Ems</v>
      </c>
      <c r="V368" s="2">
        <v>24.091587296245191</v>
      </c>
      <c r="W368" s="2">
        <v>26.708847978999088</v>
      </c>
      <c r="X368" s="2">
        <v>6.8118332043213412</v>
      </c>
      <c r="Y368" s="2">
        <v>42.387731520434379</v>
      </c>
      <c r="Z368" s="2">
        <v>100</v>
      </c>
    </row>
    <row r="369" spans="2:26">
      <c r="B369">
        <v>401</v>
      </c>
      <c r="C369" t="s">
        <v>139</v>
      </c>
      <c r="D369" s="39" t="s">
        <v>66</v>
      </c>
      <c r="E369" s="43">
        <v>20525</v>
      </c>
      <c r="F369" s="43">
        <v>9606</v>
      </c>
      <c r="G369" s="43">
        <v>10919</v>
      </c>
      <c r="H369" s="43">
        <v>18808</v>
      </c>
      <c r="I369" s="43">
        <v>8571</v>
      </c>
      <c r="J369" s="43">
        <v>10237</v>
      </c>
      <c r="K369" s="46">
        <v>1707</v>
      </c>
      <c r="L369" s="43">
        <v>1028</v>
      </c>
      <c r="M369" s="43">
        <v>679</v>
      </c>
      <c r="N369" s="46">
        <v>463</v>
      </c>
      <c r="O369" s="46">
        <v>516</v>
      </c>
      <c r="P369" s="46">
        <v>153</v>
      </c>
      <c r="Q369" s="46">
        <v>575</v>
      </c>
      <c r="R369" s="45">
        <v>1707</v>
      </c>
      <c r="S369" t="s">
        <v>152</v>
      </c>
      <c r="T369">
        <f t="shared" si="0"/>
        <v>401</v>
      </c>
      <c r="U369" t="str">
        <f t="shared" si="1"/>
        <v>Delmenhorst,Stadt</v>
      </c>
      <c r="V369" s="2">
        <v>27.123608670181603</v>
      </c>
      <c r="W369" s="2">
        <v>30.228471001757466</v>
      </c>
      <c r="X369" s="2">
        <v>8.9630931458699479</v>
      </c>
      <c r="Y369" s="2">
        <v>33.684827182190979</v>
      </c>
      <c r="Z369" s="2">
        <v>100</v>
      </c>
    </row>
    <row r="370" spans="2:26">
      <c r="B370">
        <v>402</v>
      </c>
      <c r="C370" t="s">
        <v>140</v>
      </c>
      <c r="D370" s="39" t="s">
        <v>67</v>
      </c>
      <c r="E370" s="43">
        <v>34655</v>
      </c>
      <c r="F370" s="43">
        <v>23414</v>
      </c>
      <c r="G370" s="43">
        <v>11241</v>
      </c>
      <c r="H370" s="43">
        <v>32746</v>
      </c>
      <c r="I370" s="43">
        <v>21967</v>
      </c>
      <c r="J370" s="43">
        <v>10779</v>
      </c>
      <c r="K370" s="46">
        <v>1906</v>
      </c>
      <c r="L370" s="43">
        <v>1444</v>
      </c>
      <c r="M370" s="43">
        <v>462</v>
      </c>
      <c r="N370" s="46">
        <v>505</v>
      </c>
      <c r="O370" s="46">
        <v>684</v>
      </c>
      <c r="P370" s="46">
        <v>171</v>
      </c>
      <c r="Q370" s="46">
        <v>546</v>
      </c>
      <c r="R370" s="45">
        <v>1906</v>
      </c>
      <c r="S370" t="s">
        <v>152</v>
      </c>
      <c r="T370">
        <f t="shared" si="0"/>
        <v>402</v>
      </c>
      <c r="U370" t="str">
        <f t="shared" si="1"/>
        <v>Emden,Stadt</v>
      </c>
      <c r="V370" s="2">
        <v>26.495278069254987</v>
      </c>
      <c r="W370" s="2">
        <v>35.88667366211962</v>
      </c>
      <c r="X370" s="2">
        <v>8.9716684155299049</v>
      </c>
      <c r="Y370" s="2">
        <v>28.646379853095489</v>
      </c>
      <c r="Z370" s="2">
        <v>100</v>
      </c>
    </row>
    <row r="371" spans="2:26">
      <c r="B371">
        <v>403</v>
      </c>
      <c r="C371" t="s">
        <v>141</v>
      </c>
      <c r="D371" s="39" t="s">
        <v>68</v>
      </c>
      <c r="E371" s="43">
        <v>82696</v>
      </c>
      <c r="F371" s="43">
        <v>39444</v>
      </c>
      <c r="G371" s="43">
        <v>43252</v>
      </c>
      <c r="H371" s="43">
        <v>77768</v>
      </c>
      <c r="I371" s="43">
        <v>36297</v>
      </c>
      <c r="J371" s="43">
        <v>41471</v>
      </c>
      <c r="K371" s="46">
        <v>4897</v>
      </c>
      <c r="L371" s="43">
        <v>3124</v>
      </c>
      <c r="M371" s="43">
        <v>1773</v>
      </c>
      <c r="N371" s="46">
        <v>1331</v>
      </c>
      <c r="O371" s="46">
        <v>1303</v>
      </c>
      <c r="P371" s="46">
        <v>914</v>
      </c>
      <c r="Q371" s="46">
        <v>1349</v>
      </c>
      <c r="R371" s="45">
        <v>4897</v>
      </c>
      <c r="S371" t="s">
        <v>152</v>
      </c>
      <c r="T371">
        <f t="shared" si="0"/>
        <v>403</v>
      </c>
      <c r="U371" t="str">
        <f t="shared" si="1"/>
        <v>Oldenburg(Oldb),Stadt</v>
      </c>
      <c r="V371" s="2">
        <v>27.179906064937715</v>
      </c>
      <c r="W371" s="2">
        <v>26.608127424954052</v>
      </c>
      <c r="X371" s="2">
        <v>18.664488462323874</v>
      </c>
      <c r="Y371" s="2">
        <v>27.547478047784356</v>
      </c>
      <c r="Z371" s="2">
        <v>100</v>
      </c>
    </row>
    <row r="372" spans="2:26">
      <c r="B372">
        <v>404</v>
      </c>
      <c r="C372" t="s">
        <v>142</v>
      </c>
      <c r="D372" s="39" t="s">
        <v>69</v>
      </c>
      <c r="E372" s="43">
        <v>93733</v>
      </c>
      <c r="F372" s="43">
        <v>47128</v>
      </c>
      <c r="G372" s="43">
        <v>46605</v>
      </c>
      <c r="H372" s="43">
        <v>86145</v>
      </c>
      <c r="I372" s="43">
        <v>42817</v>
      </c>
      <c r="J372" s="43">
        <v>43328</v>
      </c>
      <c r="K372" s="46">
        <v>7549</v>
      </c>
      <c r="L372" s="43">
        <v>4282</v>
      </c>
      <c r="M372" s="43">
        <v>3267</v>
      </c>
      <c r="N372" s="46">
        <v>2326</v>
      </c>
      <c r="O372" s="46">
        <v>2310</v>
      </c>
      <c r="P372" s="46">
        <v>830</v>
      </c>
      <c r="Q372" s="46">
        <v>2083</v>
      </c>
      <c r="R372" s="45">
        <v>7549</v>
      </c>
      <c r="S372" t="s">
        <v>152</v>
      </c>
      <c r="T372">
        <f t="shared" si="0"/>
        <v>404</v>
      </c>
      <c r="U372" t="str">
        <f t="shared" si="1"/>
        <v>Osnabrück,Stadt</v>
      </c>
      <c r="V372" s="2">
        <v>30.812028083189823</v>
      </c>
      <c r="W372" s="2">
        <v>30.600079480725924</v>
      </c>
      <c r="X372" s="2">
        <v>10.994833752814943</v>
      </c>
      <c r="Y372" s="2">
        <v>27.593058683269305</v>
      </c>
      <c r="Z372" s="2">
        <v>100</v>
      </c>
    </row>
    <row r="373" spans="2:26">
      <c r="B373">
        <v>405</v>
      </c>
      <c r="C373" t="s">
        <v>143</v>
      </c>
      <c r="D373" s="39" t="s">
        <v>70</v>
      </c>
      <c r="E373" s="43">
        <v>30112</v>
      </c>
      <c r="F373" s="43">
        <v>16295</v>
      </c>
      <c r="G373" s="43">
        <v>13817</v>
      </c>
      <c r="H373" s="43">
        <v>28514</v>
      </c>
      <c r="I373" s="43">
        <v>15123</v>
      </c>
      <c r="J373" s="43">
        <v>13391</v>
      </c>
      <c r="K373" s="46">
        <v>1589</v>
      </c>
      <c r="L373" s="43">
        <v>1167</v>
      </c>
      <c r="M373" s="43">
        <v>422</v>
      </c>
      <c r="N373" s="46">
        <v>435</v>
      </c>
      <c r="O373" s="46">
        <v>451</v>
      </c>
      <c r="P373" s="46">
        <v>219</v>
      </c>
      <c r="Q373" s="46">
        <v>484</v>
      </c>
      <c r="R373" s="45">
        <v>1589</v>
      </c>
      <c r="S373" t="s">
        <v>152</v>
      </c>
      <c r="T373">
        <f t="shared" si="0"/>
        <v>405</v>
      </c>
      <c r="U373" t="str">
        <f t="shared" si="1"/>
        <v>Wilhelmshaven,Stadt</v>
      </c>
      <c r="V373" s="2">
        <v>27.375707992448078</v>
      </c>
      <c r="W373" s="2">
        <v>28.382630585273755</v>
      </c>
      <c r="X373" s="2">
        <v>13.782252989301448</v>
      </c>
      <c r="Y373" s="2">
        <v>30.459408432976716</v>
      </c>
      <c r="Z373" s="2">
        <v>100</v>
      </c>
    </row>
    <row r="374" spans="2:26">
      <c r="B374">
        <v>451</v>
      </c>
      <c r="C374" t="s">
        <v>118</v>
      </c>
      <c r="D374" s="39" t="s">
        <v>71</v>
      </c>
      <c r="E374" s="43">
        <v>43248</v>
      </c>
      <c r="F374" s="43">
        <v>23954</v>
      </c>
      <c r="G374" s="43">
        <v>19294</v>
      </c>
      <c r="H374" s="43">
        <v>39811</v>
      </c>
      <c r="I374" s="43">
        <v>21616</v>
      </c>
      <c r="J374" s="43">
        <v>18195</v>
      </c>
      <c r="K374" s="46">
        <v>3428</v>
      </c>
      <c r="L374" s="43">
        <v>2332</v>
      </c>
      <c r="M374" s="43">
        <v>1096</v>
      </c>
      <c r="N374" s="46">
        <v>790</v>
      </c>
      <c r="O374" s="46">
        <v>925</v>
      </c>
      <c r="P374" s="46">
        <v>199</v>
      </c>
      <c r="Q374" s="46">
        <v>1514</v>
      </c>
      <c r="R374" s="45">
        <v>3428</v>
      </c>
      <c r="S374" t="s">
        <v>152</v>
      </c>
      <c r="T374">
        <f t="shared" si="0"/>
        <v>451</v>
      </c>
      <c r="U374" t="str">
        <f t="shared" si="1"/>
        <v>Ammerland</v>
      </c>
      <c r="V374" s="2">
        <v>23.045507584597434</v>
      </c>
      <c r="W374" s="2">
        <v>26.983663943990667</v>
      </c>
      <c r="X374" s="2">
        <v>5.8051341890315049</v>
      </c>
      <c r="Y374" s="2">
        <v>44.1656942823804</v>
      </c>
      <c r="Z374" s="2">
        <v>100</v>
      </c>
    </row>
    <row r="375" spans="2:26">
      <c r="B375">
        <v>452</v>
      </c>
      <c r="C375" t="s">
        <v>119</v>
      </c>
      <c r="D375" s="39" t="s">
        <v>72</v>
      </c>
      <c r="E375" s="43">
        <v>60954</v>
      </c>
      <c r="F375" s="43">
        <v>32084</v>
      </c>
      <c r="G375" s="43">
        <v>28870</v>
      </c>
      <c r="H375" s="43">
        <v>56716</v>
      </c>
      <c r="I375" s="43">
        <v>29363</v>
      </c>
      <c r="J375" s="43">
        <v>27353</v>
      </c>
      <c r="K375" s="46">
        <v>4232</v>
      </c>
      <c r="L375" s="43">
        <v>2716</v>
      </c>
      <c r="M375" s="43">
        <v>1516</v>
      </c>
      <c r="N375" s="46">
        <v>986</v>
      </c>
      <c r="O375" s="46">
        <v>1180</v>
      </c>
      <c r="P375" s="46">
        <v>349</v>
      </c>
      <c r="Q375" s="46">
        <v>1717</v>
      </c>
      <c r="R375" s="45">
        <v>4232</v>
      </c>
      <c r="S375" t="s">
        <v>152</v>
      </c>
      <c r="T375">
        <f t="shared" si="0"/>
        <v>452</v>
      </c>
      <c r="U375" t="str">
        <f t="shared" si="1"/>
        <v>Aurich</v>
      </c>
      <c r="V375" s="2">
        <v>23.298676748582231</v>
      </c>
      <c r="W375" s="2">
        <v>27.882797731568999</v>
      </c>
      <c r="X375" s="2">
        <v>8.2466918714555764</v>
      </c>
      <c r="Y375" s="2">
        <v>40.571833648393195</v>
      </c>
      <c r="Z375" s="2">
        <v>100</v>
      </c>
    </row>
    <row r="376" spans="2:26">
      <c r="B376">
        <v>453</v>
      </c>
      <c r="C376" t="s">
        <v>120</v>
      </c>
      <c r="D376" s="39" t="s">
        <v>73</v>
      </c>
      <c r="E376" s="43">
        <v>65915</v>
      </c>
      <c r="F376" s="43">
        <v>39358</v>
      </c>
      <c r="G376" s="43">
        <v>26557</v>
      </c>
      <c r="H376" s="43">
        <v>56744</v>
      </c>
      <c r="I376" s="43">
        <v>32936</v>
      </c>
      <c r="J376" s="43">
        <v>23808</v>
      </c>
      <c r="K376" s="46">
        <v>9140</v>
      </c>
      <c r="L376" s="43">
        <v>6398</v>
      </c>
      <c r="M376" s="43">
        <v>2742</v>
      </c>
      <c r="N376" s="46">
        <v>2452</v>
      </c>
      <c r="O376" s="46">
        <v>1762</v>
      </c>
      <c r="P376" s="46">
        <v>266</v>
      </c>
      <c r="Q376" s="46">
        <v>4660</v>
      </c>
      <c r="R376" s="45">
        <v>9140</v>
      </c>
      <c r="S376" t="s">
        <v>152</v>
      </c>
      <c r="T376">
        <f t="shared" si="0"/>
        <v>453</v>
      </c>
      <c r="U376" t="str">
        <f t="shared" si="1"/>
        <v>Cloppenburg</v>
      </c>
      <c r="V376" s="2">
        <v>26.827133479212257</v>
      </c>
      <c r="W376" s="2">
        <v>19.277899343544856</v>
      </c>
      <c r="X376" s="2">
        <v>2.9102844638949672</v>
      </c>
      <c r="Y376" s="2">
        <v>50.984682713347915</v>
      </c>
      <c r="Z376" s="2">
        <v>100</v>
      </c>
    </row>
    <row r="377" spans="2:26">
      <c r="B377">
        <v>454</v>
      </c>
      <c r="C377" t="s">
        <v>121</v>
      </c>
      <c r="D377" s="39" t="s">
        <v>74</v>
      </c>
      <c r="E377" s="43">
        <v>136564</v>
      </c>
      <c r="F377" s="43">
        <v>82409</v>
      </c>
      <c r="G377" s="43">
        <v>54155</v>
      </c>
      <c r="H377" s="43">
        <v>124120</v>
      </c>
      <c r="I377" s="43">
        <v>73304</v>
      </c>
      <c r="J377" s="43">
        <v>50816</v>
      </c>
      <c r="K377" s="46">
        <v>12405</v>
      </c>
      <c r="L377" s="43">
        <v>9075</v>
      </c>
      <c r="M377" s="43">
        <v>3330</v>
      </c>
      <c r="N377" s="46">
        <v>2510</v>
      </c>
      <c r="O377" s="46">
        <v>3734</v>
      </c>
      <c r="P377" s="46">
        <v>811</v>
      </c>
      <c r="Q377" s="46">
        <v>5350</v>
      </c>
      <c r="R377" s="45">
        <v>12405</v>
      </c>
      <c r="S377" t="s">
        <v>152</v>
      </c>
      <c r="T377">
        <f t="shared" si="0"/>
        <v>454</v>
      </c>
      <c r="U377" t="str">
        <f t="shared" si="1"/>
        <v>Emsland</v>
      </c>
      <c r="V377" s="2">
        <v>20.233776702942365</v>
      </c>
      <c r="W377" s="2">
        <v>30.100765820233775</v>
      </c>
      <c r="X377" s="2">
        <v>6.5376864167674329</v>
      </c>
      <c r="Y377" s="2">
        <v>43.127771060056432</v>
      </c>
      <c r="Z377" s="2">
        <v>100</v>
      </c>
    </row>
    <row r="378" spans="2:26">
      <c r="B378">
        <v>455</v>
      </c>
      <c r="C378" t="s">
        <v>122</v>
      </c>
      <c r="D378" s="39" t="s">
        <v>75</v>
      </c>
      <c r="E378" s="43">
        <v>29347</v>
      </c>
      <c r="F378" s="43">
        <v>14696</v>
      </c>
      <c r="G378" s="43">
        <v>14651</v>
      </c>
      <c r="H378" s="43">
        <v>28029</v>
      </c>
      <c r="I378" s="43">
        <v>13841</v>
      </c>
      <c r="J378" s="43">
        <v>14188</v>
      </c>
      <c r="K378" s="46">
        <v>1301</v>
      </c>
      <c r="L378" s="43">
        <v>846</v>
      </c>
      <c r="M378" s="43">
        <v>455</v>
      </c>
      <c r="N378" s="46">
        <v>262</v>
      </c>
      <c r="O378" s="46">
        <v>401</v>
      </c>
      <c r="P378" s="46">
        <v>154</v>
      </c>
      <c r="Q378" s="46">
        <v>484</v>
      </c>
      <c r="R378" s="45">
        <v>1301</v>
      </c>
      <c r="S378" t="s">
        <v>152</v>
      </c>
      <c r="T378">
        <f t="shared" si="0"/>
        <v>455</v>
      </c>
      <c r="U378" t="str">
        <f t="shared" si="1"/>
        <v>Friesland</v>
      </c>
      <c r="V378" s="2">
        <v>20.138355111452729</v>
      </c>
      <c r="W378" s="2">
        <v>30.822444273635664</v>
      </c>
      <c r="X378" s="2">
        <v>11.837048424289009</v>
      </c>
      <c r="Y378" s="2">
        <v>37.202152190622598</v>
      </c>
      <c r="Z378" s="2">
        <v>100</v>
      </c>
    </row>
    <row r="379" spans="2:26">
      <c r="B379">
        <v>456</v>
      </c>
      <c r="C379" t="s">
        <v>123</v>
      </c>
      <c r="D379" s="39" t="s">
        <v>76</v>
      </c>
      <c r="E379" s="43">
        <v>49421</v>
      </c>
      <c r="F379" s="43">
        <v>27600</v>
      </c>
      <c r="G379" s="43">
        <v>21821</v>
      </c>
      <c r="H379" s="43">
        <v>44233</v>
      </c>
      <c r="I379" s="43">
        <v>24071</v>
      </c>
      <c r="J379" s="43">
        <v>20162</v>
      </c>
      <c r="K379" s="46">
        <v>5166</v>
      </c>
      <c r="L379" s="43">
        <v>3511</v>
      </c>
      <c r="M379" s="43">
        <v>1655</v>
      </c>
      <c r="N379" s="46">
        <v>1064</v>
      </c>
      <c r="O379" s="46">
        <v>1992</v>
      </c>
      <c r="P379" s="46">
        <v>340</v>
      </c>
      <c r="Q379" s="46">
        <v>1770</v>
      </c>
      <c r="R379" s="45">
        <v>5166</v>
      </c>
      <c r="S379" t="s">
        <v>152</v>
      </c>
      <c r="T379">
        <f t="shared" si="0"/>
        <v>456</v>
      </c>
      <c r="U379" t="str">
        <f t="shared" si="1"/>
        <v>Grafschaft Bentheim</v>
      </c>
      <c r="V379" s="2">
        <v>20.596205962059621</v>
      </c>
      <c r="W379" s="2">
        <v>38.559814169570267</v>
      </c>
      <c r="X379" s="2">
        <v>6.5814943863724356</v>
      </c>
      <c r="Y379" s="2">
        <v>34.262485481997679</v>
      </c>
      <c r="Z379" s="2">
        <v>100</v>
      </c>
    </row>
    <row r="380" spans="2:26">
      <c r="B380">
        <v>457</v>
      </c>
      <c r="C380" t="s">
        <v>124</v>
      </c>
      <c r="D380" s="39" t="s">
        <v>77</v>
      </c>
      <c r="E380" s="43">
        <v>47026</v>
      </c>
      <c r="F380" s="43">
        <v>24755</v>
      </c>
      <c r="G380" s="43">
        <v>22271</v>
      </c>
      <c r="H380" s="43">
        <v>43692</v>
      </c>
      <c r="I380" s="43">
        <v>22411</v>
      </c>
      <c r="J380" s="43">
        <v>21281</v>
      </c>
      <c r="K380" s="46">
        <v>3327</v>
      </c>
      <c r="L380" s="43">
        <v>2340</v>
      </c>
      <c r="M380" s="43">
        <v>987</v>
      </c>
      <c r="N380" s="46">
        <v>513</v>
      </c>
      <c r="O380" s="46">
        <v>986</v>
      </c>
      <c r="P380" s="46">
        <v>287</v>
      </c>
      <c r="Q380" s="46">
        <v>1541</v>
      </c>
      <c r="R380" s="45">
        <v>3327</v>
      </c>
      <c r="S380" t="s">
        <v>152</v>
      </c>
      <c r="T380">
        <f t="shared" si="0"/>
        <v>457</v>
      </c>
      <c r="U380" t="str">
        <f t="shared" si="1"/>
        <v>Leer</v>
      </c>
      <c r="V380" s="2">
        <v>15.419296663660957</v>
      </c>
      <c r="W380" s="2">
        <v>29.636308987075445</v>
      </c>
      <c r="X380" s="2">
        <v>8.6263901412684092</v>
      </c>
      <c r="Y380" s="2">
        <v>46.318004207995187</v>
      </c>
      <c r="Z380" s="2">
        <v>100</v>
      </c>
    </row>
    <row r="381" spans="2:26">
      <c r="B381">
        <v>458</v>
      </c>
      <c r="C381" t="s">
        <v>125</v>
      </c>
      <c r="D381" s="39" t="s">
        <v>78</v>
      </c>
      <c r="E381" s="43">
        <v>35419</v>
      </c>
      <c r="F381" s="43">
        <v>19573</v>
      </c>
      <c r="G381" s="43">
        <v>15846</v>
      </c>
      <c r="H381" s="43">
        <v>32203</v>
      </c>
      <c r="I381" s="43">
        <v>17259</v>
      </c>
      <c r="J381" s="43">
        <v>14944</v>
      </c>
      <c r="K381" s="46">
        <v>3207</v>
      </c>
      <c r="L381" s="43">
        <v>2308</v>
      </c>
      <c r="M381" s="43">
        <v>899</v>
      </c>
      <c r="N381" s="46">
        <v>808</v>
      </c>
      <c r="O381" s="46">
        <v>805</v>
      </c>
      <c r="P381" s="46">
        <v>135</v>
      </c>
      <c r="Q381" s="46">
        <v>1459</v>
      </c>
      <c r="R381" s="45">
        <v>3207</v>
      </c>
      <c r="S381" t="s">
        <v>152</v>
      </c>
      <c r="T381">
        <f t="shared" si="0"/>
        <v>458</v>
      </c>
      <c r="U381" t="str">
        <f t="shared" si="1"/>
        <v>Oldenburg</v>
      </c>
      <c r="V381" s="2">
        <v>25.194886186467102</v>
      </c>
      <c r="W381" s="2">
        <v>25.101340816962892</v>
      </c>
      <c r="X381" s="2">
        <v>4.20954162768943</v>
      </c>
      <c r="Y381" s="2">
        <v>45.49423136888057</v>
      </c>
      <c r="Z381" s="2">
        <v>100</v>
      </c>
    </row>
    <row r="382" spans="2:26">
      <c r="B382">
        <v>459</v>
      </c>
      <c r="C382" t="s">
        <v>126</v>
      </c>
      <c r="D382" s="39" t="s">
        <v>79</v>
      </c>
      <c r="E382" s="43">
        <v>127816</v>
      </c>
      <c r="F382" s="43">
        <v>73073</v>
      </c>
      <c r="G382" s="43">
        <v>54743</v>
      </c>
      <c r="H382" s="43">
        <v>111624</v>
      </c>
      <c r="I382" s="43">
        <v>62110</v>
      </c>
      <c r="J382" s="43">
        <v>49514</v>
      </c>
      <c r="K382" s="46">
        <v>16160</v>
      </c>
      <c r="L382" s="43">
        <v>10937</v>
      </c>
      <c r="M382" s="43">
        <v>5223</v>
      </c>
      <c r="N382" s="46">
        <v>3891</v>
      </c>
      <c r="O382" s="46">
        <v>3555</v>
      </c>
      <c r="P382" s="46">
        <v>646</v>
      </c>
      <c r="Q382" s="46">
        <v>8068</v>
      </c>
      <c r="R382" s="45">
        <v>16160</v>
      </c>
      <c r="S382" t="s">
        <v>152</v>
      </c>
      <c r="T382">
        <f t="shared" si="0"/>
        <v>459</v>
      </c>
      <c r="U382" t="str">
        <f t="shared" si="1"/>
        <v>Osnabrück</v>
      </c>
      <c r="V382" s="2">
        <v>24.077970297029701</v>
      </c>
      <c r="W382" s="2">
        <v>21.998762376237625</v>
      </c>
      <c r="X382" s="2">
        <v>3.9975247524752477</v>
      </c>
      <c r="Y382" s="2">
        <v>49.925742574257427</v>
      </c>
      <c r="Z382" s="2">
        <v>100</v>
      </c>
    </row>
    <row r="383" spans="2:26">
      <c r="B383">
        <v>460</v>
      </c>
      <c r="C383" t="s">
        <v>127</v>
      </c>
      <c r="D383" s="39" t="s">
        <v>80</v>
      </c>
      <c r="E383" s="43">
        <v>71087</v>
      </c>
      <c r="F383" s="43">
        <v>42301</v>
      </c>
      <c r="G383" s="43">
        <v>28786</v>
      </c>
      <c r="H383" s="43">
        <v>61232</v>
      </c>
      <c r="I383" s="43">
        <v>35622</v>
      </c>
      <c r="J383" s="43">
        <v>25610</v>
      </c>
      <c r="K383" s="46">
        <v>9815</v>
      </c>
      <c r="L383" s="43">
        <v>6648</v>
      </c>
      <c r="M383" s="43">
        <v>3167</v>
      </c>
      <c r="N383" s="46">
        <v>2520</v>
      </c>
      <c r="O383" s="46">
        <v>2162</v>
      </c>
      <c r="P383" s="46">
        <v>408</v>
      </c>
      <c r="Q383" s="46">
        <v>4725</v>
      </c>
      <c r="R383" s="45">
        <v>9815</v>
      </c>
      <c r="S383" t="s">
        <v>152</v>
      </c>
      <c r="T383">
        <f t="shared" si="0"/>
        <v>460</v>
      </c>
      <c r="U383" t="str">
        <f t="shared" si="1"/>
        <v>Vechta</v>
      </c>
      <c r="V383" s="2">
        <v>25.674987264391234</v>
      </c>
      <c r="W383" s="2">
        <v>22.027508914926134</v>
      </c>
      <c r="X383" s="2">
        <v>4.1569026999490575</v>
      </c>
      <c r="Y383" s="2">
        <v>48.140601120733571</v>
      </c>
      <c r="Z383" s="2">
        <v>100</v>
      </c>
    </row>
    <row r="384" spans="2:26">
      <c r="B384">
        <v>461</v>
      </c>
      <c r="C384" t="s">
        <v>128</v>
      </c>
      <c r="D384" s="39" t="s">
        <v>81</v>
      </c>
      <c r="E384" s="43">
        <v>29859</v>
      </c>
      <c r="F384" s="43">
        <v>18712</v>
      </c>
      <c r="G384" s="43">
        <v>11147</v>
      </c>
      <c r="H384" s="43">
        <v>27402</v>
      </c>
      <c r="I384" s="43">
        <v>16700</v>
      </c>
      <c r="J384" s="43">
        <v>10702</v>
      </c>
      <c r="K384" s="46">
        <v>2455</v>
      </c>
      <c r="L384" s="43">
        <v>2010</v>
      </c>
      <c r="M384" s="43">
        <v>445</v>
      </c>
      <c r="N384" s="46">
        <v>482</v>
      </c>
      <c r="O384" s="46">
        <v>847</v>
      </c>
      <c r="P384" s="46">
        <v>139</v>
      </c>
      <c r="Q384" s="46">
        <v>987</v>
      </c>
      <c r="R384" s="45">
        <v>2455</v>
      </c>
      <c r="S384" t="s">
        <v>152</v>
      </c>
      <c r="T384">
        <f t="shared" si="0"/>
        <v>461</v>
      </c>
      <c r="U384" t="str">
        <f t="shared" si="1"/>
        <v>Wesermarsch</v>
      </c>
      <c r="V384" s="2">
        <v>19.633401221995928</v>
      </c>
      <c r="W384" s="2">
        <v>34.501018329938901</v>
      </c>
      <c r="X384" s="2">
        <v>5.6619144602851321</v>
      </c>
      <c r="Y384" s="2">
        <v>40.203665987780042</v>
      </c>
      <c r="Z384" s="2">
        <v>100</v>
      </c>
    </row>
    <row r="385" spans="2:26">
      <c r="B385">
        <v>462</v>
      </c>
      <c r="C385" t="s">
        <v>129</v>
      </c>
      <c r="D385" s="39" t="s">
        <v>82</v>
      </c>
      <c r="E385" s="43">
        <v>15920</v>
      </c>
      <c r="F385" s="43">
        <v>7971</v>
      </c>
      <c r="G385" s="43">
        <v>7949</v>
      </c>
      <c r="H385" s="43">
        <v>15063</v>
      </c>
      <c r="I385" s="43">
        <v>7466</v>
      </c>
      <c r="J385" s="43">
        <v>7597</v>
      </c>
      <c r="K385" s="46">
        <v>855</v>
      </c>
      <c r="L385" s="43">
        <v>503</v>
      </c>
      <c r="M385" s="43">
        <v>352</v>
      </c>
      <c r="N385" s="46">
        <v>137</v>
      </c>
      <c r="O385" s="46">
        <v>195</v>
      </c>
      <c r="P385" s="46">
        <v>51</v>
      </c>
      <c r="Q385" s="46">
        <v>472</v>
      </c>
      <c r="R385" s="45">
        <v>855</v>
      </c>
      <c r="S385" t="s">
        <v>152</v>
      </c>
      <c r="T385">
        <f t="shared" si="0"/>
        <v>462</v>
      </c>
      <c r="U385" t="str">
        <f t="shared" si="1"/>
        <v>Wittmund</v>
      </c>
      <c r="V385" s="2">
        <v>16.023391812865498</v>
      </c>
      <c r="W385" s="2">
        <v>22.807017543859647</v>
      </c>
      <c r="X385" s="2">
        <v>5.9649122807017543</v>
      </c>
      <c r="Y385" s="2">
        <v>55.204678362573098</v>
      </c>
      <c r="Z385" s="2">
        <v>100</v>
      </c>
    </row>
    <row r="390" spans="2:26" ht="24.75" customHeight="1"/>
  </sheetData>
  <autoFilter ref="D17:V324" xr:uid="{00000000-0009-0000-0000-000004000000}">
    <filterColumn colId="0">
      <filters>
        <filter val="1       Braunschweig"/>
        <filter val="101     Braunschweig,Stadt"/>
        <filter val="102     Salzgitter,Stadt"/>
        <filter val="103     Wolfsburg,Stadt"/>
        <filter val="151     Gifhorn"/>
        <filter val="153     Goslar"/>
        <filter val="154     Helmstedt"/>
        <filter val="155     Northeim"/>
        <filter val="157     Peine"/>
        <filter val="158     Wolfenbüttel"/>
        <filter val="159     Göttingen"/>
        <filter val="2       Hannover"/>
        <filter val="241     Hannover,Region"/>
        <filter val="241001  Hannover,Landeshauptstadt"/>
        <filter val="251     Diepholz"/>
        <filter val="252     Hameln-Pyrmont"/>
        <filter val="254     Hildesheim"/>
        <filter val="255     Holzminden"/>
        <filter val="256     Nienburg (Weser)"/>
        <filter val="257     Schaumburg"/>
        <filter val="3       Lüneburg"/>
        <filter val="351     Celle"/>
        <filter val="352     Cuxhaven"/>
        <filter val="353     Harburg"/>
        <filter val="354     Lüchow-Dannenberg"/>
        <filter val="355     Lüneburg"/>
        <filter val="356     Osterholz"/>
        <filter val="357     Rotenburg (Wümme)"/>
        <filter val="358     Heidekreis"/>
        <filter val="359     Stade"/>
        <filter val="360     Uelzen"/>
        <filter val="361     Verden"/>
        <filter val="4       Weser-Ems"/>
        <filter val="401     Delmenhorst,Stadt"/>
        <filter val="402     Emden,Stadt"/>
        <filter val="403     Oldenburg(Oldb),Stadt"/>
        <filter val="404     Osnabrück,Stadt"/>
        <filter val="405     Wilhelmshaven,Stadt"/>
        <filter val="451     Ammerland"/>
        <filter val="452     Aurich"/>
        <filter val="453     Cloppenburg"/>
        <filter val="454     Emsland"/>
        <filter val="455     Friesland"/>
        <filter val="456     Grafschaft Bentheim"/>
        <filter val="457     Leer"/>
        <filter val="458     Oldenburg"/>
        <filter val="459     Osnabrück"/>
        <filter val="460     Vechta"/>
        <filter val="461     Wesermarsch"/>
        <filter val="462     Wittmund"/>
        <filter val="Insgesamt"/>
      </filters>
    </filterColumn>
  </autoFilter>
  <mergeCells count="10">
    <mergeCell ref="D13:D16"/>
    <mergeCell ref="E13:M13"/>
    <mergeCell ref="E14:G14"/>
    <mergeCell ref="H14:J14"/>
    <mergeCell ref="K14:M14"/>
    <mergeCell ref="D329:D332"/>
    <mergeCell ref="E329:M329"/>
    <mergeCell ref="E330:G330"/>
    <mergeCell ref="H330:J330"/>
    <mergeCell ref="K330:M330"/>
  </mergeCells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9"/>
  <dimension ref="A1:I55"/>
  <sheetViews>
    <sheetView topLeftCell="A5" workbookViewId="0">
      <selection activeCell="C4" sqref="C4:I55"/>
    </sheetView>
  </sheetViews>
  <sheetFormatPr baseColWidth="10" defaultRowHeight="13.5"/>
  <cols>
    <col min="1" max="1" width="11" style="45"/>
  </cols>
  <sheetData>
    <row r="1" spans="1:9">
      <c r="A1" s="116"/>
      <c r="B1" s="361" t="s">
        <v>86</v>
      </c>
      <c r="C1" s="364" t="s">
        <v>87</v>
      </c>
      <c r="D1" s="365"/>
      <c r="E1" s="366"/>
      <c r="F1" s="367" t="s">
        <v>88</v>
      </c>
      <c r="G1" s="367"/>
      <c r="H1" s="367"/>
      <c r="I1" s="364"/>
    </row>
    <row r="2" spans="1:9">
      <c r="A2" s="117"/>
      <c r="B2" s="362"/>
      <c r="C2" s="34" t="s">
        <v>28</v>
      </c>
      <c r="D2" s="35" t="s">
        <v>89</v>
      </c>
      <c r="E2" s="35" t="s">
        <v>90</v>
      </c>
      <c r="F2" s="35" t="s">
        <v>91</v>
      </c>
      <c r="G2" s="35" t="s">
        <v>92</v>
      </c>
      <c r="H2" s="35" t="s">
        <v>93</v>
      </c>
      <c r="I2" s="32" t="s">
        <v>131</v>
      </c>
    </row>
    <row r="3" spans="1:9">
      <c r="A3" s="118"/>
      <c r="B3" s="363"/>
      <c r="C3" s="364" t="s">
        <v>84</v>
      </c>
      <c r="D3" s="365"/>
      <c r="E3" s="366"/>
      <c r="F3" s="367" t="s">
        <v>85</v>
      </c>
      <c r="G3" s="367"/>
      <c r="H3" s="367"/>
      <c r="I3" s="364"/>
    </row>
    <row r="4" spans="1:9">
      <c r="A4" s="119">
        <v>101</v>
      </c>
      <c r="B4" s="51" t="s">
        <v>132</v>
      </c>
      <c r="C4">
        <f>VLOOKUP(A4,'2018_C4_bearbeitet'!$B$334:$M$385,10,FALSE)</f>
        <v>10097</v>
      </c>
      <c r="D4">
        <f>VLOOKUP(A4,'2018_C4_bearbeitet'!$B$334:$M$385,11,FALSE)</f>
        <v>6123</v>
      </c>
      <c r="E4">
        <f>VLOOKUP(A4,'2018_C4_bearbeitet'!$B$334:$N$385,12,FALSE)</f>
        <v>3974</v>
      </c>
      <c r="F4" s="52">
        <f>VLOOKUP(A4,'2018_C4_bearbeitet'!$T$334:$Y$385,5,FALSE)</f>
        <v>22.897890462513619</v>
      </c>
      <c r="G4" s="52">
        <f>VLOOKUP(A4,'2018_C4_bearbeitet'!$T$334:$Y$385,4,FALSE)</f>
        <v>28.335149054174508</v>
      </c>
      <c r="H4" s="52">
        <f>VLOOKUP(A4,'2018_C4_bearbeitet'!$T$334:$Y$385,3,FALSE)</f>
        <v>23.37327919183916</v>
      </c>
      <c r="I4" s="52">
        <f>VLOOKUP(A4,'2018_C4_bearbeitet'!$T$334:$Y$385,6,FALSE)</f>
        <v>25.393681291472713</v>
      </c>
    </row>
    <row r="5" spans="1:9">
      <c r="A5" s="119">
        <v>102</v>
      </c>
      <c r="B5" s="51" t="s">
        <v>133</v>
      </c>
      <c r="C5">
        <f>VLOOKUP(A5,'2018_C4_bearbeitet'!$B$334:$M$385,10,FALSE)</f>
        <v>4348</v>
      </c>
      <c r="D5">
        <f>VLOOKUP(A5,'2018_C4_bearbeitet'!$B$334:$M$385,11,FALSE)</f>
        <v>3378</v>
      </c>
      <c r="E5">
        <f>VLOOKUP(A5,'2018_C4_bearbeitet'!$B$334:$N$385,12,FALSE)</f>
        <v>970</v>
      </c>
      <c r="F5" s="52">
        <f>VLOOKUP(A5,'2018_C4_bearbeitet'!$T$334:$Y$385,5,FALSE)</f>
        <v>7.8196872125115</v>
      </c>
      <c r="G5" s="52">
        <f>VLOOKUP(A5,'2018_C4_bearbeitet'!$T$334:$Y$385,4,FALSE)</f>
        <v>41.283348666053357</v>
      </c>
      <c r="H5" s="52">
        <f>VLOOKUP(A5,'2018_C4_bearbeitet'!$T$334:$Y$385,3,FALSE)</f>
        <v>23.344066237350507</v>
      </c>
      <c r="I5" s="52">
        <f>VLOOKUP(A5,'2018_C4_bearbeitet'!$T$334:$Y$385,6,FALSE)</f>
        <v>27.552897884084636</v>
      </c>
    </row>
    <row r="6" spans="1:9">
      <c r="A6" s="119">
        <v>103</v>
      </c>
      <c r="B6" s="51" t="s">
        <v>134</v>
      </c>
      <c r="C6">
        <f>VLOOKUP(A6,'2018_C4_bearbeitet'!$B$334:$M$385,10,FALSE)</f>
        <v>9961</v>
      </c>
      <c r="D6">
        <f>VLOOKUP(A6,'2018_C4_bearbeitet'!$B$334:$M$385,11,FALSE)</f>
        <v>6958</v>
      </c>
      <c r="E6">
        <f>VLOOKUP(A6,'2018_C4_bearbeitet'!$B$334:$N$385,12,FALSE)</f>
        <v>3003</v>
      </c>
      <c r="F6" s="52">
        <f>VLOOKUP(A6,'2018_C4_bearbeitet'!$T$334:$Y$385,5,FALSE)</f>
        <v>21.965666097781348</v>
      </c>
      <c r="G6" s="52">
        <f>VLOOKUP(A6,'2018_C4_bearbeitet'!$T$334:$Y$385,4,FALSE)</f>
        <v>33.982531874309807</v>
      </c>
      <c r="H6" s="52">
        <f>VLOOKUP(A6,'2018_C4_bearbeitet'!$T$334:$Y$385,3,FALSE)</f>
        <v>14.165244453368137</v>
      </c>
      <c r="I6" s="52">
        <f>VLOOKUP(A6,'2018_C4_bearbeitet'!$T$334:$Y$385,6,FALSE)</f>
        <v>29.886557574540706</v>
      </c>
    </row>
    <row r="7" spans="1:9">
      <c r="A7" s="119">
        <v>151</v>
      </c>
      <c r="B7" s="51" t="s">
        <v>94</v>
      </c>
      <c r="C7">
        <f>VLOOKUP(A7,'2018_C4_bearbeitet'!$B$334:$M$385,10,FALSE)</f>
        <v>2689</v>
      </c>
      <c r="D7">
        <f>VLOOKUP(A7,'2018_C4_bearbeitet'!$B$334:$M$385,11,FALSE)</f>
        <v>1771</v>
      </c>
      <c r="E7">
        <f>VLOOKUP(A7,'2018_C4_bearbeitet'!$B$334:$N$385,12,FALSE)</f>
        <v>918</v>
      </c>
      <c r="F7" s="52">
        <f>VLOOKUP(A7,'2018_C4_bearbeitet'!$T$334:$Y$385,5,FALSE)</f>
        <v>15.396058014131647</v>
      </c>
      <c r="G7" s="52">
        <f>VLOOKUP(A7,'2018_C4_bearbeitet'!$T$334:$Y$385,4,FALSE)</f>
        <v>26.887318705838602</v>
      </c>
      <c r="H7" s="52">
        <f>VLOOKUP(A7,'2018_C4_bearbeitet'!$T$334:$Y$385,3,FALSE)</f>
        <v>25.883227965786539</v>
      </c>
      <c r="I7" s="52">
        <f>VLOOKUP(A7,'2018_C4_bearbeitet'!$T$334:$Y$385,6,FALSE)</f>
        <v>31.833395314243212</v>
      </c>
    </row>
    <row r="8" spans="1:9">
      <c r="A8" s="119">
        <v>153</v>
      </c>
      <c r="B8" s="51" t="s">
        <v>96</v>
      </c>
      <c r="C8">
        <f>VLOOKUP(A8,'2018_C4_bearbeitet'!$B$334:$M$385,10,FALSE)</f>
        <v>2762</v>
      </c>
      <c r="D8">
        <f>VLOOKUP(A8,'2018_C4_bearbeitet'!$B$334:$M$385,11,FALSE)</f>
        <v>1800</v>
      </c>
      <c r="E8">
        <f>VLOOKUP(A8,'2018_C4_bearbeitet'!$B$334:$N$385,12,FALSE)</f>
        <v>962</v>
      </c>
      <c r="F8" s="52">
        <f>VLOOKUP(A8,'2018_C4_bearbeitet'!$T$334:$Y$385,5,FALSE)</f>
        <v>16.618392469225199</v>
      </c>
      <c r="G8" s="52">
        <f>VLOOKUP(A8,'2018_C4_bearbeitet'!$T$334:$Y$385,4,FALSE)</f>
        <v>31.788559015206374</v>
      </c>
      <c r="H8" s="52">
        <f>VLOOKUP(A8,'2018_C4_bearbeitet'!$T$334:$Y$385,3,FALSE)</f>
        <v>23.859522085445327</v>
      </c>
      <c r="I8" s="52">
        <f>VLOOKUP(A8,'2018_C4_bearbeitet'!$T$334:$Y$385,6,FALSE)</f>
        <v>27.733526430123099</v>
      </c>
    </row>
    <row r="9" spans="1:9">
      <c r="A9" s="119">
        <v>154</v>
      </c>
      <c r="B9" s="51" t="s">
        <v>97</v>
      </c>
      <c r="C9">
        <f>VLOOKUP(A9,'2018_C4_bearbeitet'!$B$334:$M$385,10,FALSE)</f>
        <v>1431</v>
      </c>
      <c r="D9">
        <f>VLOOKUP(A9,'2018_C4_bearbeitet'!$B$334:$M$385,11,FALSE)</f>
        <v>994</v>
      </c>
      <c r="E9">
        <f>VLOOKUP(A9,'2018_C4_bearbeitet'!$B$334:$N$385,12,FALSE)</f>
        <v>437</v>
      </c>
      <c r="F9" s="52">
        <f>VLOOKUP(A9,'2018_C4_bearbeitet'!$T$334:$Y$385,5,FALSE)</f>
        <v>12.718378756114603</v>
      </c>
      <c r="G9" s="52">
        <f>VLOOKUP(A9,'2018_C4_bearbeitet'!$T$334:$Y$385,4,FALSE)</f>
        <v>42.348008385744237</v>
      </c>
      <c r="H9" s="52">
        <f>VLOOKUP(A9,'2018_C4_bearbeitet'!$T$334:$Y$385,3,FALSE)</f>
        <v>21.313766596785463</v>
      </c>
      <c r="I9" s="52">
        <f>VLOOKUP(A9,'2018_C4_bearbeitet'!$T$334:$Y$385,6,FALSE)</f>
        <v>23.619846261355697</v>
      </c>
    </row>
    <row r="10" spans="1:9">
      <c r="A10" s="119">
        <v>155</v>
      </c>
      <c r="B10" s="51" t="s">
        <v>98</v>
      </c>
      <c r="C10">
        <f>VLOOKUP(A10,'2018_C4_bearbeitet'!$B$334:$M$385,10,FALSE)</f>
        <v>3117</v>
      </c>
      <c r="D10">
        <f>VLOOKUP(A10,'2018_C4_bearbeitet'!$B$334:$M$385,11,FALSE)</f>
        <v>2391</v>
      </c>
      <c r="E10">
        <f>VLOOKUP(A10,'2018_C4_bearbeitet'!$B$334:$N$385,12,FALSE)</f>
        <v>726</v>
      </c>
      <c r="F10" s="52">
        <f>VLOOKUP(A10,'2018_C4_bearbeitet'!$T$334:$Y$385,5,FALSE)</f>
        <v>8.1809432146294512</v>
      </c>
      <c r="G10" s="52">
        <f>VLOOKUP(A10,'2018_C4_bearbeitet'!$T$334:$Y$385,4,FALSE)</f>
        <v>45.299967917869751</v>
      </c>
      <c r="H10" s="52">
        <f>VLOOKUP(A10,'2018_C4_bearbeitet'!$T$334:$Y$385,3,FALSE)</f>
        <v>22.48957330766763</v>
      </c>
      <c r="I10" s="52">
        <f>VLOOKUP(A10,'2018_C4_bearbeitet'!$T$334:$Y$385,6,FALSE)</f>
        <v>24.029515559833172</v>
      </c>
    </row>
    <row r="11" spans="1:9">
      <c r="A11" s="119">
        <v>157</v>
      </c>
      <c r="B11" s="51" t="s">
        <v>99</v>
      </c>
      <c r="C11">
        <f>VLOOKUP(A11,'2018_C4_bearbeitet'!$B$334:$M$385,10,FALSE)</f>
        <v>2590</v>
      </c>
      <c r="D11">
        <f>VLOOKUP(A11,'2018_C4_bearbeitet'!$B$334:$M$385,11,FALSE)</f>
        <v>1871</v>
      </c>
      <c r="E11">
        <f>VLOOKUP(A11,'2018_C4_bearbeitet'!$B$334:$N$385,12,FALSE)</f>
        <v>719</v>
      </c>
      <c r="F11" s="52">
        <f>VLOOKUP(A11,'2018_C4_bearbeitet'!$T$334:$Y$385,5,FALSE)</f>
        <v>6.8725868725868722</v>
      </c>
      <c r="G11" s="52">
        <f>VLOOKUP(A11,'2018_C4_bearbeitet'!$T$334:$Y$385,4,FALSE)</f>
        <v>33.320463320463325</v>
      </c>
      <c r="H11" s="52">
        <f>VLOOKUP(A11,'2018_C4_bearbeitet'!$T$334:$Y$385,3,FALSE)</f>
        <v>30.386100386100384</v>
      </c>
      <c r="I11" s="52">
        <f>VLOOKUP(A11,'2018_C4_bearbeitet'!$T$334:$Y$385,6,FALSE)</f>
        <v>29.420849420849422</v>
      </c>
    </row>
    <row r="12" spans="1:9">
      <c r="A12" s="119">
        <v>158</v>
      </c>
      <c r="B12" s="51" t="s">
        <v>100</v>
      </c>
      <c r="C12">
        <f>VLOOKUP(A12,'2018_C4_bearbeitet'!$B$334:$M$385,10,FALSE)</f>
        <v>1412</v>
      </c>
      <c r="D12">
        <f>VLOOKUP(A12,'2018_C4_bearbeitet'!$B$334:$M$385,11,FALSE)</f>
        <v>873</v>
      </c>
      <c r="E12">
        <f>VLOOKUP(A12,'2018_C4_bearbeitet'!$B$334:$N$385,12,FALSE)</f>
        <v>539</v>
      </c>
      <c r="F12" s="52">
        <f>VLOOKUP(A12,'2018_C4_bearbeitet'!$T$334:$Y$385,5,FALSE)</f>
        <v>12.110481586402265</v>
      </c>
      <c r="G12" s="52">
        <f>VLOOKUP(A12,'2018_C4_bearbeitet'!$T$334:$Y$385,4,FALSE)</f>
        <v>40.226628895184135</v>
      </c>
      <c r="H12" s="52">
        <f>VLOOKUP(A12,'2018_C4_bearbeitet'!$T$334:$Y$385,3,FALSE)</f>
        <v>22.592067988668553</v>
      </c>
      <c r="I12" s="52">
        <f>VLOOKUP(A12,'2018_C4_bearbeitet'!$T$334:$Y$385,6,FALSE)</f>
        <v>25.070821529745039</v>
      </c>
    </row>
    <row r="13" spans="1:9">
      <c r="A13" s="119">
        <v>159</v>
      </c>
      <c r="B13" s="51" t="s">
        <v>95</v>
      </c>
      <c r="C13">
        <f>VLOOKUP(A13,'2018_C4_bearbeitet'!$B$334:$M$385,10,FALSE)</f>
        <v>8659</v>
      </c>
      <c r="D13">
        <f>VLOOKUP(A13,'2018_C4_bearbeitet'!$B$334:$M$385,11,FALSE)</f>
        <v>5270</v>
      </c>
      <c r="E13">
        <f>VLOOKUP(A13,'2018_C4_bearbeitet'!$B$334:$N$385,12,FALSE)</f>
        <v>3389</v>
      </c>
      <c r="F13" s="52">
        <f>VLOOKUP(A13,'2018_C4_bearbeitet'!$T$334:$Y$385,5,FALSE)</f>
        <v>29.114216422219659</v>
      </c>
      <c r="G13" s="52">
        <f>VLOOKUP(A13,'2018_C4_bearbeitet'!$T$334:$Y$385,4,FALSE)</f>
        <v>29.322092620394962</v>
      </c>
      <c r="H13" s="52">
        <f>VLOOKUP(A13,'2018_C4_bearbeitet'!$T$334:$Y$385,3,FALSE)</f>
        <v>23.33987758401663</v>
      </c>
      <c r="I13" s="52">
        <f>VLOOKUP(A13,'2018_C4_bearbeitet'!$T$334:$Y$385,6,FALSE)</f>
        <v>18.223813373368749</v>
      </c>
    </row>
    <row r="14" spans="1:9">
      <c r="A14" s="119">
        <v>1</v>
      </c>
      <c r="B14" s="51" t="s">
        <v>154</v>
      </c>
      <c r="C14">
        <f>VLOOKUP(A14,'2018_C4_bearbeitet'!$B$334:$M$385,10,FALSE)</f>
        <v>47066</v>
      </c>
      <c r="D14">
        <f>VLOOKUP(A14,'2018_C4_bearbeitet'!$B$334:$M$385,11,FALSE)</f>
        <v>31429</v>
      </c>
      <c r="E14">
        <f>VLOOKUP(A14,'2018_C4_bearbeitet'!$B$334:$N$385,12,FALSE)</f>
        <v>15637</v>
      </c>
      <c r="F14" s="52">
        <f>VLOOKUP(A14,'2018_C4_bearbeitet'!$T$334:$Y$385,5,FALSE)</f>
        <v>19.164577401946204</v>
      </c>
      <c r="G14" s="52">
        <f>VLOOKUP(A14,'2018_C4_bearbeitet'!$T$334:$Y$385,4,FALSE)</f>
        <v>33.208685675434495</v>
      </c>
      <c r="H14" s="52">
        <f>VLOOKUP(A14,'2018_C4_bearbeitet'!$T$334:$Y$385,3,FALSE)</f>
        <v>21.828921089533846</v>
      </c>
      <c r="I14" s="52">
        <f>VLOOKUP(A14,'2018_C4_bearbeitet'!$T$334:$Y$385,6,FALSE)</f>
        <v>25.797815833085451</v>
      </c>
    </row>
    <row r="15" spans="1:9">
      <c r="A15" s="119">
        <v>241</v>
      </c>
      <c r="B15" s="51" t="s">
        <v>137</v>
      </c>
      <c r="C15">
        <f>VLOOKUP(A15,'2018_C4_bearbeitet'!$B$334:$M$385,10,FALSE)</f>
        <v>56204</v>
      </c>
      <c r="D15">
        <f>VLOOKUP(A15,'2018_C4_bearbeitet'!$B$334:$M$385,11,FALSE)</f>
        <v>35024</v>
      </c>
      <c r="E15">
        <f>VLOOKUP(A15,'2018_C4_bearbeitet'!$B$334:$N$385,12,FALSE)</f>
        <v>21180</v>
      </c>
      <c r="F15" s="52">
        <f>VLOOKUP(A15,'2018_C4_bearbeitet'!$T$334:$Y$385,5,FALSE)</f>
        <v>12.773112234004696</v>
      </c>
      <c r="G15" s="52">
        <f>VLOOKUP(A15,'2018_C4_bearbeitet'!$T$334:$Y$385,4,FALSE)</f>
        <v>32.485232367803</v>
      </c>
      <c r="H15" s="52">
        <f>VLOOKUP(A15,'2018_C4_bearbeitet'!$T$334:$Y$385,3,FALSE)</f>
        <v>26.638673404028186</v>
      </c>
      <c r="I15" s="52">
        <f>VLOOKUP(A15,'2018_C4_bearbeitet'!$T$334:$Y$385,6,FALSE)</f>
        <v>28.102981994164118</v>
      </c>
    </row>
    <row r="16" spans="1:9">
      <c r="A16" s="119">
        <v>241001</v>
      </c>
      <c r="B16" s="51" t="s">
        <v>136</v>
      </c>
      <c r="C16">
        <f>VLOOKUP(A16,'2018_C4_bearbeitet'!$B$334:$M$385,10,FALSE)</f>
        <v>35942</v>
      </c>
      <c r="D16">
        <f>VLOOKUP(A16,'2018_C4_bearbeitet'!$B$334:$M$385,11,FALSE)</f>
        <v>21620</v>
      </c>
      <c r="E16">
        <f>VLOOKUP(A16,'2018_C4_bearbeitet'!$B$334:$N$385,12,FALSE)</f>
        <v>14322</v>
      </c>
      <c r="F16" s="52">
        <f>VLOOKUP(A16,'2018_C4_bearbeitet'!$T$334:$Y$385,5,FALSE)</f>
        <v>15.644649713427189</v>
      </c>
      <c r="G16" s="52">
        <f>VLOOKUP(A16,'2018_C4_bearbeitet'!$T$334:$Y$385,4,FALSE)</f>
        <v>32.073896833787771</v>
      </c>
      <c r="H16" s="52">
        <f>VLOOKUP(A16,'2018_C4_bearbeitet'!$T$334:$Y$385,3,FALSE)</f>
        <v>25.699738467531024</v>
      </c>
      <c r="I16" s="52">
        <f>VLOOKUP(A16,'2018_C4_bearbeitet'!$T$334:$Y$385,6,FALSE)</f>
        <v>26.581714985254017</v>
      </c>
    </row>
    <row r="17" spans="1:9">
      <c r="A17" s="119">
        <v>241999</v>
      </c>
      <c r="B17" s="51" t="s">
        <v>145</v>
      </c>
      <c r="C17">
        <f>VLOOKUP(A17,'2018_C4_bearbeitet'!$B$334:$M$385,10,FALSE)</f>
        <v>20262</v>
      </c>
      <c r="D17">
        <f>VLOOKUP(A17,'2018_C4_bearbeitet'!$B$334:$M$385,11,FALSE)</f>
        <v>13404</v>
      </c>
      <c r="E17">
        <f>VLOOKUP(A17,'2018_C4_bearbeitet'!$B$334:$N$385,12,FALSE)</f>
        <v>6858</v>
      </c>
      <c r="F17" s="52">
        <f>VLOOKUP(A17,'2018_C4_bearbeitet'!$T$334:$Y$385,5,FALSE)</f>
        <v>7.6793998618102846</v>
      </c>
      <c r="G17" s="52">
        <f>VLOOKUP(A17,'2018_C4_bearbeitet'!$T$334:$Y$385,4,FALSE)</f>
        <v>33.214885006415948</v>
      </c>
      <c r="H17" s="52">
        <f>VLOOKUP(A17,'2018_C4_bearbeitet'!$T$334:$Y$385,3,FALSE)</f>
        <v>28.304214786299475</v>
      </c>
      <c r="I17" s="52">
        <f>VLOOKUP(A17,'2018_C4_bearbeitet'!$T$334:$Y$385,6,FALSE)</f>
        <v>30.801500345474288</v>
      </c>
    </row>
    <row r="18" spans="1:9">
      <c r="A18" s="119">
        <v>251</v>
      </c>
      <c r="B18" s="51" t="s">
        <v>101</v>
      </c>
      <c r="C18">
        <f>VLOOKUP(A18,'2018_C4_bearbeitet'!$B$334:$M$385,10,FALSE)</f>
        <v>5644</v>
      </c>
      <c r="D18">
        <f>VLOOKUP(A18,'2018_C4_bearbeitet'!$B$334:$M$385,11,FALSE)</f>
        <v>3930</v>
      </c>
      <c r="E18">
        <f>VLOOKUP(A18,'2018_C4_bearbeitet'!$B$334:$N$385,12,FALSE)</f>
        <v>1714</v>
      </c>
      <c r="F18" s="52">
        <f>VLOOKUP(A18,'2018_C4_bearbeitet'!$T$334:$Y$385,5,FALSE)</f>
        <v>6.785967399007796</v>
      </c>
      <c r="G18" s="52">
        <f>VLOOKUP(A18,'2018_C4_bearbeitet'!$T$334:$Y$385,4,FALSE)</f>
        <v>32.246633593196314</v>
      </c>
      <c r="H18" s="52">
        <f>VLOOKUP(A18,'2018_C4_bearbeitet'!$T$334:$Y$385,3,FALSE)</f>
        <v>23.493975903614459</v>
      </c>
      <c r="I18" s="52">
        <f>VLOOKUP(A18,'2018_C4_bearbeitet'!$T$334:$Y$385,6,FALSE)</f>
        <v>37.473423104181428</v>
      </c>
    </row>
    <row r="19" spans="1:9">
      <c r="A19" s="119">
        <v>252</v>
      </c>
      <c r="B19" s="51" t="s">
        <v>102</v>
      </c>
      <c r="C19">
        <f>VLOOKUP(A19,'2018_C4_bearbeitet'!$B$334:$M$385,10,FALSE)</f>
        <v>3678</v>
      </c>
      <c r="D19">
        <f>VLOOKUP(A19,'2018_C4_bearbeitet'!$B$334:$M$385,11,FALSE)</f>
        <v>2263</v>
      </c>
      <c r="E19">
        <f>VLOOKUP(A19,'2018_C4_bearbeitet'!$B$334:$N$385,12,FALSE)</f>
        <v>1415</v>
      </c>
      <c r="F19" s="52">
        <f>VLOOKUP(A19,'2018_C4_bearbeitet'!$T$334:$Y$385,5,FALSE)</f>
        <v>10.60358890701468</v>
      </c>
      <c r="G19" s="52">
        <f>VLOOKUP(A19,'2018_C4_bearbeitet'!$T$334:$Y$385,4,FALSE)</f>
        <v>37.629146275149537</v>
      </c>
      <c r="H19" s="52">
        <f>VLOOKUP(A19,'2018_C4_bearbeitet'!$T$334:$Y$385,3,FALSE)</f>
        <v>26.318651441000547</v>
      </c>
      <c r="I19" s="52">
        <f>VLOOKUP(A19,'2018_C4_bearbeitet'!$T$334:$Y$385,6,FALSE)</f>
        <v>25.44861337683524</v>
      </c>
    </row>
    <row r="20" spans="1:9">
      <c r="A20" s="119">
        <v>254</v>
      </c>
      <c r="B20" s="51" t="s">
        <v>103</v>
      </c>
      <c r="C20">
        <f>VLOOKUP(A20,'2018_C4_bearbeitet'!$B$334:$M$385,10,FALSE)</f>
        <v>5755</v>
      </c>
      <c r="D20">
        <f>VLOOKUP(A20,'2018_C4_bearbeitet'!$B$334:$M$385,11,FALSE)</f>
        <v>3694</v>
      </c>
      <c r="E20">
        <f>VLOOKUP(A20,'2018_C4_bearbeitet'!$B$334:$N$385,12,FALSE)</f>
        <v>2061</v>
      </c>
      <c r="F20" s="52">
        <f>VLOOKUP(A20,'2018_C4_bearbeitet'!$T$334:$Y$385,5,FALSE)</f>
        <v>15.638575152041703</v>
      </c>
      <c r="G20" s="52">
        <f>VLOOKUP(A20,'2018_C4_bearbeitet'!$T$334:$Y$385,4,FALSE)</f>
        <v>35.499565595134662</v>
      </c>
      <c r="H20" s="52">
        <f>VLOOKUP(A20,'2018_C4_bearbeitet'!$T$334:$Y$385,3,FALSE)</f>
        <v>24.969591659426584</v>
      </c>
      <c r="I20" s="52">
        <f>VLOOKUP(A20,'2018_C4_bearbeitet'!$T$334:$Y$385,6,FALSE)</f>
        <v>23.892267593397047</v>
      </c>
    </row>
    <row r="21" spans="1:9">
      <c r="A21" s="119">
        <v>255</v>
      </c>
      <c r="B21" s="51" t="s">
        <v>104</v>
      </c>
      <c r="C21">
        <f>VLOOKUP(A21,'2018_C4_bearbeitet'!$B$334:$M$385,10,FALSE)</f>
        <v>1260</v>
      </c>
      <c r="D21">
        <f>VLOOKUP(A21,'2018_C4_bearbeitet'!$B$334:$M$385,11,FALSE)</f>
        <v>840</v>
      </c>
      <c r="E21">
        <f>VLOOKUP(A21,'2018_C4_bearbeitet'!$B$334:$N$385,12,FALSE)</f>
        <v>420</v>
      </c>
      <c r="F21" s="52">
        <f>VLOOKUP(A21,'2018_C4_bearbeitet'!$T$334:$Y$385,5,FALSE)</f>
        <v>11.190476190476192</v>
      </c>
      <c r="G21" s="52">
        <f>VLOOKUP(A21,'2018_C4_bearbeitet'!$T$334:$Y$385,4,FALSE)</f>
        <v>35.079365079365076</v>
      </c>
      <c r="H21" s="52">
        <f>VLOOKUP(A21,'2018_C4_bearbeitet'!$T$334:$Y$385,3,FALSE)</f>
        <v>28.571428571428569</v>
      </c>
      <c r="I21" s="52">
        <f>VLOOKUP(A21,'2018_C4_bearbeitet'!$T$334:$Y$385,6,FALSE)</f>
        <v>25.158730158730158</v>
      </c>
    </row>
    <row r="22" spans="1:9">
      <c r="A22" s="119">
        <v>256</v>
      </c>
      <c r="B22" s="51" t="s">
        <v>105</v>
      </c>
      <c r="C22">
        <f>VLOOKUP(A22,'2018_C4_bearbeitet'!$B$334:$M$385,10,FALSE)</f>
        <v>3442</v>
      </c>
      <c r="D22">
        <f>VLOOKUP(A22,'2018_C4_bearbeitet'!$B$334:$M$385,11,FALSE)</f>
        <v>2472</v>
      </c>
      <c r="E22">
        <f>VLOOKUP(A22,'2018_C4_bearbeitet'!$B$334:$N$385,12,FALSE)</f>
        <v>970</v>
      </c>
      <c r="F22" s="52">
        <f>VLOOKUP(A22,'2018_C4_bearbeitet'!$T$334:$Y$385,5,FALSE)</f>
        <v>6.2463683904706562</v>
      </c>
      <c r="G22" s="52">
        <f>VLOOKUP(A22,'2018_C4_bearbeitet'!$T$334:$Y$385,4,FALSE)</f>
        <v>26.263800116211506</v>
      </c>
      <c r="H22" s="52">
        <f>VLOOKUP(A22,'2018_C4_bearbeitet'!$T$334:$Y$385,3,FALSE)</f>
        <v>27.309703660662404</v>
      </c>
      <c r="I22" s="52">
        <f>VLOOKUP(A22,'2018_C4_bearbeitet'!$T$334:$Y$385,6,FALSE)</f>
        <v>40.18012783265543</v>
      </c>
    </row>
    <row r="23" spans="1:9">
      <c r="A23" s="119">
        <v>257</v>
      </c>
      <c r="B23" s="51" t="s">
        <v>106</v>
      </c>
      <c r="C23">
        <f>VLOOKUP(A23,'2018_C4_bearbeitet'!$B$334:$M$385,10,FALSE)</f>
        <v>3435</v>
      </c>
      <c r="D23">
        <f>VLOOKUP(A23,'2018_C4_bearbeitet'!$B$334:$M$385,11,FALSE)</f>
        <v>2251</v>
      </c>
      <c r="E23">
        <f>VLOOKUP(A23,'2018_C4_bearbeitet'!$B$334:$N$385,12,FALSE)</f>
        <v>1184</v>
      </c>
      <c r="F23" s="52">
        <f>VLOOKUP(A23,'2018_C4_bearbeitet'!$T$334:$Y$385,5,FALSE)</f>
        <v>8.0931586608442512</v>
      </c>
      <c r="G23" s="52">
        <f>VLOOKUP(A23,'2018_C4_bearbeitet'!$T$334:$Y$385,4,FALSE)</f>
        <v>43.522561863173216</v>
      </c>
      <c r="H23" s="52">
        <f>VLOOKUP(A23,'2018_C4_bearbeitet'!$T$334:$Y$385,3,FALSE)</f>
        <v>26.22998544395924</v>
      </c>
      <c r="I23" s="52">
        <f>VLOOKUP(A23,'2018_C4_bearbeitet'!$T$334:$Y$385,6,FALSE)</f>
        <v>22.154294032023287</v>
      </c>
    </row>
    <row r="24" spans="1:9">
      <c r="A24" s="119">
        <v>2</v>
      </c>
      <c r="B24" s="51" t="s">
        <v>155</v>
      </c>
      <c r="C24">
        <f>VLOOKUP(A24,'2018_C4_bearbeitet'!$B$334:$M$385,10,FALSE)</f>
        <v>79418</v>
      </c>
      <c r="D24">
        <f>VLOOKUP(A24,'2018_C4_bearbeitet'!$B$334:$M$385,11,FALSE)</f>
        <v>50474</v>
      </c>
      <c r="E24">
        <f>VLOOKUP(A24,'2018_C4_bearbeitet'!$B$334:$N$385,12,FALSE)</f>
        <v>28944</v>
      </c>
      <c r="F24" s="52">
        <f>VLOOKUP(A24,'2018_C4_bearbeitet'!$T$334:$Y$385,5,FALSE)</f>
        <v>11.944395477095872</v>
      </c>
      <c r="G24" s="52">
        <f>VLOOKUP(A24,'2018_C4_bearbeitet'!$T$334:$Y$385,4,FALSE)</f>
        <v>33.173839683698908</v>
      </c>
      <c r="H24" s="52">
        <f>VLOOKUP(A24,'2018_C4_bearbeitet'!$T$334:$Y$385,3,FALSE)</f>
        <v>26.321488831247326</v>
      </c>
      <c r="I24" s="52">
        <f>VLOOKUP(A24,'2018_C4_bearbeitet'!$T$334:$Y$385,6,FALSE)</f>
        <v>28.560276007957892</v>
      </c>
    </row>
    <row r="25" spans="1:9">
      <c r="A25" s="119">
        <v>351</v>
      </c>
      <c r="B25" s="51" t="s">
        <v>107</v>
      </c>
      <c r="C25">
        <f>VLOOKUP(A25,'2018_C4_bearbeitet'!$B$334:$M$385,10,FALSE)</f>
        <v>3438</v>
      </c>
      <c r="D25">
        <f>VLOOKUP(A25,'2018_C4_bearbeitet'!$B$334:$M$385,11,FALSE)</f>
        <v>2240</v>
      </c>
      <c r="E25">
        <f>VLOOKUP(A25,'2018_C4_bearbeitet'!$B$334:$N$385,12,FALSE)</f>
        <v>1198</v>
      </c>
      <c r="F25" s="52">
        <f>VLOOKUP(A25,'2018_C4_bearbeitet'!$T$334:$Y$385,5,FALSE)</f>
        <v>13.554392088423503</v>
      </c>
      <c r="G25" s="52">
        <f>VLOOKUP(A25,'2018_C4_bearbeitet'!$T$334:$Y$385,4,FALSE)</f>
        <v>33.216986620127983</v>
      </c>
      <c r="H25" s="52">
        <f>VLOOKUP(A25,'2018_C4_bearbeitet'!$T$334:$Y$385,3,FALSE)</f>
        <v>29.086678301337987</v>
      </c>
      <c r="I25" s="52">
        <f>VLOOKUP(A25,'2018_C4_bearbeitet'!$T$334:$Y$385,6,FALSE)</f>
        <v>24.141942990110529</v>
      </c>
    </row>
    <row r="26" spans="1:9">
      <c r="A26" s="119">
        <v>352</v>
      </c>
      <c r="B26" s="51" t="s">
        <v>108</v>
      </c>
      <c r="C26">
        <f>VLOOKUP(A26,'2018_C4_bearbeitet'!$B$334:$M$385,10,FALSE)</f>
        <v>4156</v>
      </c>
      <c r="D26">
        <f>VLOOKUP(A26,'2018_C4_bearbeitet'!$B$334:$M$385,11,FALSE)</f>
        <v>2828</v>
      </c>
      <c r="E26">
        <f>VLOOKUP(A26,'2018_C4_bearbeitet'!$B$334:$N$385,12,FALSE)</f>
        <v>1328</v>
      </c>
      <c r="F26" s="52">
        <f>VLOOKUP(A26,'2018_C4_bearbeitet'!$T$334:$Y$385,5,FALSE)</f>
        <v>6.3041385948026951</v>
      </c>
      <c r="G26" s="52">
        <f>VLOOKUP(A26,'2018_C4_bearbeitet'!$T$334:$Y$385,4,FALSE)</f>
        <v>28.946102021174209</v>
      </c>
      <c r="H26" s="52">
        <f>VLOOKUP(A26,'2018_C4_bearbeitet'!$T$334:$Y$385,3,FALSE)</f>
        <v>23.796920115495666</v>
      </c>
      <c r="I26" s="52">
        <f>VLOOKUP(A26,'2018_C4_bearbeitet'!$T$334:$Y$385,6,FALSE)</f>
        <v>40.952839268527427</v>
      </c>
    </row>
    <row r="27" spans="1:9">
      <c r="A27" s="119">
        <v>353</v>
      </c>
      <c r="B27" s="51" t="s">
        <v>109</v>
      </c>
      <c r="C27">
        <f>VLOOKUP(A27,'2018_C4_bearbeitet'!$B$334:$M$385,10,FALSE)</f>
        <v>8032</v>
      </c>
      <c r="D27">
        <f>VLOOKUP(A27,'2018_C4_bearbeitet'!$B$334:$M$385,11,FALSE)</f>
        <v>5853</v>
      </c>
      <c r="E27">
        <f>VLOOKUP(A27,'2018_C4_bearbeitet'!$B$334:$N$385,12,FALSE)</f>
        <v>2179</v>
      </c>
      <c r="F27" s="52">
        <f>VLOOKUP(A27,'2018_C4_bearbeitet'!$T$334:$Y$385,5,FALSE)</f>
        <v>6.7604581673306772</v>
      </c>
      <c r="G27" s="52">
        <f>VLOOKUP(A27,'2018_C4_bearbeitet'!$T$334:$Y$385,4,FALSE)</f>
        <v>28.212151394422314</v>
      </c>
      <c r="H27" s="52">
        <f>VLOOKUP(A27,'2018_C4_bearbeitet'!$T$334:$Y$385,3,FALSE)</f>
        <v>25.224103585657371</v>
      </c>
      <c r="I27" s="52">
        <f>VLOOKUP(A27,'2018_C4_bearbeitet'!$T$334:$Y$385,6,FALSE)</f>
        <v>39.803286852589643</v>
      </c>
    </row>
    <row r="28" spans="1:9">
      <c r="A28" s="119">
        <v>354</v>
      </c>
      <c r="B28" s="51" t="s">
        <v>110</v>
      </c>
      <c r="C28">
        <f>VLOOKUP(A28,'2018_C4_bearbeitet'!$B$334:$M$385,10,FALSE)</f>
        <v>677</v>
      </c>
      <c r="D28">
        <f>VLOOKUP(A28,'2018_C4_bearbeitet'!$B$334:$M$385,11,FALSE)</f>
        <v>397</v>
      </c>
      <c r="E28">
        <f>VLOOKUP(A28,'2018_C4_bearbeitet'!$B$334:$N$385,12,FALSE)</f>
        <v>280</v>
      </c>
      <c r="F28" s="52">
        <f>VLOOKUP(A28,'2018_C4_bearbeitet'!$T$334:$Y$385,5,FALSE)</f>
        <v>8.862629246676514</v>
      </c>
      <c r="G28" s="52">
        <f>VLOOKUP(A28,'2018_C4_bearbeitet'!$T$334:$Y$385,4,FALSE)</f>
        <v>28.80354505169867</v>
      </c>
      <c r="H28" s="52">
        <f>VLOOKUP(A28,'2018_C4_bearbeitet'!$T$334:$Y$385,3,FALSE)</f>
        <v>19.793205317577549</v>
      </c>
      <c r="I28" s="52">
        <f>VLOOKUP(A28,'2018_C4_bearbeitet'!$T$334:$Y$385,6,FALSE)</f>
        <v>42.540620384047266</v>
      </c>
    </row>
    <row r="29" spans="1:9">
      <c r="A29" s="119">
        <v>355</v>
      </c>
      <c r="B29" s="51" t="s">
        <v>111</v>
      </c>
      <c r="C29">
        <f>VLOOKUP(A29,'2018_C4_bearbeitet'!$B$334:$M$385,10,FALSE)</f>
        <v>3651</v>
      </c>
      <c r="D29">
        <f>VLOOKUP(A29,'2018_C4_bearbeitet'!$B$334:$M$385,11,FALSE)</f>
        <v>2418</v>
      </c>
      <c r="E29">
        <f>VLOOKUP(A29,'2018_C4_bearbeitet'!$B$334:$N$385,12,FALSE)</f>
        <v>1233</v>
      </c>
      <c r="F29" s="52">
        <f>VLOOKUP(A29,'2018_C4_bearbeitet'!$T$334:$Y$385,5,FALSE)</f>
        <v>13.85921665297179</v>
      </c>
      <c r="G29" s="52">
        <f>VLOOKUP(A29,'2018_C4_bearbeitet'!$T$334:$Y$385,4,FALSE)</f>
        <v>31.55299917830731</v>
      </c>
      <c r="H29" s="52">
        <f>VLOOKUP(A29,'2018_C4_bearbeitet'!$T$334:$Y$385,3,FALSE)</f>
        <v>26.376335250616268</v>
      </c>
      <c r="I29" s="52">
        <f>VLOOKUP(A29,'2018_C4_bearbeitet'!$T$334:$Y$385,6,FALSE)</f>
        <v>28.21144891810463</v>
      </c>
    </row>
    <row r="30" spans="1:9">
      <c r="A30" s="119">
        <v>356</v>
      </c>
      <c r="B30" s="51" t="s">
        <v>112</v>
      </c>
      <c r="C30">
        <f>VLOOKUP(A30,'2018_C4_bearbeitet'!$B$334:$M$385,10,FALSE)</f>
        <v>1703</v>
      </c>
      <c r="D30">
        <f>VLOOKUP(A30,'2018_C4_bearbeitet'!$B$334:$M$385,11,FALSE)</f>
        <v>1163</v>
      </c>
      <c r="E30">
        <f>VLOOKUP(A30,'2018_C4_bearbeitet'!$B$334:$N$385,12,FALSE)</f>
        <v>540</v>
      </c>
      <c r="F30" s="52">
        <f>VLOOKUP(A30,'2018_C4_bearbeitet'!$T$334:$Y$385,5,FALSE)</f>
        <v>9.9823840281855549</v>
      </c>
      <c r="G30" s="52">
        <f>VLOOKUP(A30,'2018_C4_bearbeitet'!$T$334:$Y$385,4,FALSE)</f>
        <v>33.352906635349385</v>
      </c>
      <c r="H30" s="52">
        <f>VLOOKUP(A30,'2018_C4_bearbeitet'!$T$334:$Y$385,3,FALSE)</f>
        <v>25.425719318849087</v>
      </c>
      <c r="I30" s="52">
        <f>VLOOKUP(A30,'2018_C4_bearbeitet'!$T$334:$Y$385,6,FALSE)</f>
        <v>31.238990017615968</v>
      </c>
    </row>
    <row r="31" spans="1:9">
      <c r="A31" s="119">
        <v>357</v>
      </c>
      <c r="B31" s="51" t="s">
        <v>113</v>
      </c>
      <c r="C31">
        <f>VLOOKUP(A31,'2018_C4_bearbeitet'!$B$334:$M$385,10,FALSE)</f>
        <v>3606</v>
      </c>
      <c r="D31">
        <f>VLOOKUP(A31,'2018_C4_bearbeitet'!$B$334:$M$385,11,FALSE)</f>
        <v>2464</v>
      </c>
      <c r="E31">
        <f>VLOOKUP(A31,'2018_C4_bearbeitet'!$B$334:$N$385,12,FALSE)</f>
        <v>1142</v>
      </c>
      <c r="F31" s="52">
        <f>VLOOKUP(A31,'2018_C4_bearbeitet'!$T$334:$Y$385,5,FALSE)</f>
        <v>8.7077093732667787</v>
      </c>
      <c r="G31" s="52">
        <f>VLOOKUP(A31,'2018_C4_bearbeitet'!$T$334:$Y$385,4,FALSE)</f>
        <v>34.803105934553521</v>
      </c>
      <c r="H31" s="52">
        <f>VLOOKUP(A31,'2018_C4_bearbeitet'!$T$334:$Y$385,3,FALSE)</f>
        <v>22.462562396006653</v>
      </c>
      <c r="I31" s="52">
        <f>VLOOKUP(A31,'2018_C4_bearbeitet'!$T$334:$Y$385,6,FALSE)</f>
        <v>34.026622296173045</v>
      </c>
    </row>
    <row r="32" spans="1:9">
      <c r="A32" s="119">
        <v>358</v>
      </c>
      <c r="B32" s="51" t="s">
        <v>114</v>
      </c>
      <c r="C32">
        <f>VLOOKUP(A32,'2018_C4_bearbeitet'!$B$334:$M$385,10,FALSE)</f>
        <v>3797</v>
      </c>
      <c r="D32">
        <f>VLOOKUP(A32,'2018_C4_bearbeitet'!$B$334:$M$385,11,FALSE)</f>
        <v>2508</v>
      </c>
      <c r="E32">
        <f>VLOOKUP(A32,'2018_C4_bearbeitet'!$B$334:$N$385,12,FALSE)</f>
        <v>1289</v>
      </c>
      <c r="F32" s="52">
        <f>VLOOKUP(A32,'2018_C4_bearbeitet'!$T$334:$Y$385,5,FALSE)</f>
        <v>7.3742428232815378</v>
      </c>
      <c r="G32" s="52">
        <f>VLOOKUP(A32,'2018_C4_bearbeitet'!$T$334:$Y$385,4,FALSE)</f>
        <v>36.792204371872536</v>
      </c>
      <c r="H32" s="52">
        <f>VLOOKUP(A32,'2018_C4_bearbeitet'!$T$334:$Y$385,3,FALSE)</f>
        <v>20.858572557282066</v>
      </c>
      <c r="I32" s="52">
        <f>VLOOKUP(A32,'2018_C4_bearbeitet'!$T$334:$Y$385,6,FALSE)</f>
        <v>34.974980247563863</v>
      </c>
    </row>
    <row r="33" spans="1:9">
      <c r="A33" s="119">
        <v>359</v>
      </c>
      <c r="B33" s="51" t="s">
        <v>115</v>
      </c>
      <c r="C33">
        <f>VLOOKUP(A33,'2018_C4_bearbeitet'!$B$334:$M$385,10,FALSE)</f>
        <v>5030</v>
      </c>
      <c r="D33">
        <f>VLOOKUP(A33,'2018_C4_bearbeitet'!$B$334:$M$385,11,FALSE)</f>
        <v>3638</v>
      </c>
      <c r="E33">
        <f>VLOOKUP(A33,'2018_C4_bearbeitet'!$B$334:$N$385,12,FALSE)</f>
        <v>1392</v>
      </c>
      <c r="F33" s="52">
        <f>VLOOKUP(A33,'2018_C4_bearbeitet'!$T$334:$Y$385,5,FALSE)</f>
        <v>7.7137176938369789</v>
      </c>
      <c r="G33" s="52">
        <f>VLOOKUP(A33,'2018_C4_bearbeitet'!$T$334:$Y$385,4,FALSE)</f>
        <v>25.347912524850898</v>
      </c>
      <c r="H33" s="52">
        <f>VLOOKUP(A33,'2018_C4_bearbeitet'!$T$334:$Y$385,3,FALSE)</f>
        <v>20.656063618290258</v>
      </c>
      <c r="I33" s="52">
        <f>VLOOKUP(A33,'2018_C4_bearbeitet'!$T$334:$Y$385,6,FALSE)</f>
        <v>46.282306163021872</v>
      </c>
    </row>
    <row r="34" spans="1:9">
      <c r="A34" s="119">
        <v>360</v>
      </c>
      <c r="B34" s="51" t="s">
        <v>116</v>
      </c>
      <c r="C34">
        <f>VLOOKUP(A34,'2018_C4_bearbeitet'!$B$334:$M$385,10,FALSE)</f>
        <v>1413</v>
      </c>
      <c r="D34">
        <f>VLOOKUP(A34,'2018_C4_bearbeitet'!$B$334:$M$385,11,FALSE)</f>
        <v>883</v>
      </c>
      <c r="E34">
        <f>VLOOKUP(A34,'2018_C4_bearbeitet'!$B$334:$N$385,12,FALSE)</f>
        <v>530</v>
      </c>
      <c r="F34" s="52">
        <f>VLOOKUP(A34,'2018_C4_bearbeitet'!$T$334:$Y$385,5,FALSE)</f>
        <v>14.578910120311395</v>
      </c>
      <c r="G34" s="52">
        <f>VLOOKUP(A34,'2018_C4_bearbeitet'!$T$334:$Y$385,4,FALSE)</f>
        <v>34.748761500353858</v>
      </c>
      <c r="H34" s="52">
        <f>VLOOKUP(A34,'2018_C4_bearbeitet'!$T$334:$Y$385,3,FALSE)</f>
        <v>19.53290870488323</v>
      </c>
      <c r="I34" s="52">
        <f>VLOOKUP(A34,'2018_C4_bearbeitet'!$T$334:$Y$385,6,FALSE)</f>
        <v>31.139419674451524</v>
      </c>
    </row>
    <row r="35" spans="1:9">
      <c r="A35" s="119">
        <v>361</v>
      </c>
      <c r="B35" s="51" t="s">
        <v>117</v>
      </c>
      <c r="C35">
        <f>VLOOKUP(A35,'2018_C4_bearbeitet'!$B$334:$M$385,10,FALSE)</f>
        <v>4393</v>
      </c>
      <c r="D35">
        <f>VLOOKUP(A35,'2018_C4_bearbeitet'!$B$334:$M$385,11,FALSE)</f>
        <v>3082</v>
      </c>
      <c r="E35">
        <f>VLOOKUP(A35,'2018_C4_bearbeitet'!$B$334:$N$385,12,FALSE)</f>
        <v>1311</v>
      </c>
      <c r="F35" s="52">
        <f>VLOOKUP(A35,'2018_C4_bearbeitet'!$T$334:$Y$385,5,FALSE)</f>
        <v>8.2403824265877521</v>
      </c>
      <c r="G35" s="52">
        <f>VLOOKUP(A35,'2018_C4_bearbeitet'!$T$334:$Y$385,4,FALSE)</f>
        <v>26.178010471204189</v>
      </c>
      <c r="H35" s="52">
        <f>VLOOKUP(A35,'2018_C4_bearbeitet'!$T$334:$Y$385,3,FALSE)</f>
        <v>25.950375597541541</v>
      </c>
      <c r="I35" s="52">
        <f>VLOOKUP(A35,'2018_C4_bearbeitet'!$T$334:$Y$385,6,FALSE)</f>
        <v>39.631231504666516</v>
      </c>
    </row>
    <row r="36" spans="1:9">
      <c r="A36" s="119">
        <v>3</v>
      </c>
      <c r="B36" s="51" t="s">
        <v>156</v>
      </c>
      <c r="C36">
        <f>VLOOKUP(A36,'2018_C4_bearbeitet'!$B$334:$M$385,10,FALSE)</f>
        <v>39896</v>
      </c>
      <c r="D36">
        <f>VLOOKUP(A36,'2018_C4_bearbeitet'!$B$334:$M$385,11,FALSE)</f>
        <v>27474</v>
      </c>
      <c r="E36">
        <f>VLOOKUP(A36,'2018_C4_bearbeitet'!$B$334:$N$385,12,FALSE)</f>
        <v>12422</v>
      </c>
      <c r="F36" s="52">
        <f>VLOOKUP(A36,'2018_C4_bearbeitet'!$T$334:$Y$385,5,FALSE)</f>
        <v>8.9156807700020053</v>
      </c>
      <c r="G36" s="52">
        <f>VLOOKUP(A36,'2018_C4_bearbeitet'!$T$334:$Y$385,4,FALSE)</f>
        <v>30.313815921395626</v>
      </c>
      <c r="H36" s="52">
        <f>VLOOKUP(A36,'2018_C4_bearbeitet'!$T$334:$Y$385,3,FALSE)</f>
        <v>24.067575696811712</v>
      </c>
      <c r="I36" s="52">
        <f>VLOOKUP(A36,'2018_C4_bearbeitet'!$T$334:$Y$385,6,FALSE)</f>
        <v>36.702927611790656</v>
      </c>
    </row>
    <row r="37" spans="1:9">
      <c r="A37" s="119">
        <v>401</v>
      </c>
      <c r="B37" s="51" t="s">
        <v>139</v>
      </c>
      <c r="C37">
        <f>VLOOKUP(A37,'2018_C4_bearbeitet'!$B$334:$M$385,10,FALSE)</f>
        <v>1707</v>
      </c>
      <c r="D37">
        <f>VLOOKUP(A37,'2018_C4_bearbeitet'!$B$334:$M$385,11,FALSE)</f>
        <v>1028</v>
      </c>
      <c r="E37">
        <f>VLOOKUP(A37,'2018_C4_bearbeitet'!$B$334:$N$385,12,FALSE)</f>
        <v>679</v>
      </c>
      <c r="F37" s="52">
        <f>VLOOKUP(A37,'2018_C4_bearbeitet'!$T$334:$Y$385,5,FALSE)</f>
        <v>8.9630931458699479</v>
      </c>
      <c r="G37" s="52">
        <f>VLOOKUP(A37,'2018_C4_bearbeitet'!$T$334:$Y$385,4,FALSE)</f>
        <v>30.228471001757466</v>
      </c>
      <c r="H37" s="52">
        <f>VLOOKUP(A37,'2018_C4_bearbeitet'!$T$334:$Y$385,3,FALSE)</f>
        <v>27.123608670181603</v>
      </c>
      <c r="I37" s="52">
        <f>VLOOKUP(A37,'2018_C4_bearbeitet'!$T$334:$Y$385,6,FALSE)</f>
        <v>33.684827182190979</v>
      </c>
    </row>
    <row r="38" spans="1:9">
      <c r="A38" s="119">
        <v>402</v>
      </c>
      <c r="B38" s="51" t="s">
        <v>140</v>
      </c>
      <c r="C38">
        <f>VLOOKUP(A38,'2018_C4_bearbeitet'!$B$334:$M$385,10,FALSE)</f>
        <v>1906</v>
      </c>
      <c r="D38">
        <f>VLOOKUP(A38,'2018_C4_bearbeitet'!$B$334:$M$385,11,FALSE)</f>
        <v>1444</v>
      </c>
      <c r="E38">
        <f>VLOOKUP(A38,'2018_C4_bearbeitet'!$B$334:$N$385,12,FALSE)</f>
        <v>462</v>
      </c>
      <c r="F38" s="52">
        <f>VLOOKUP(A38,'2018_C4_bearbeitet'!$T$334:$Y$385,5,FALSE)</f>
        <v>8.9716684155299049</v>
      </c>
      <c r="G38" s="52">
        <f>VLOOKUP(A38,'2018_C4_bearbeitet'!$T$334:$Y$385,4,FALSE)</f>
        <v>35.88667366211962</v>
      </c>
      <c r="H38" s="52">
        <f>VLOOKUP(A38,'2018_C4_bearbeitet'!$T$334:$Y$385,3,FALSE)</f>
        <v>26.495278069254987</v>
      </c>
      <c r="I38" s="52">
        <f>VLOOKUP(A38,'2018_C4_bearbeitet'!$T$334:$Y$385,6,FALSE)</f>
        <v>28.646379853095489</v>
      </c>
    </row>
    <row r="39" spans="1:9">
      <c r="A39" s="119">
        <v>403</v>
      </c>
      <c r="B39" s="51" t="s">
        <v>141</v>
      </c>
      <c r="C39">
        <f>VLOOKUP(A39,'2018_C4_bearbeitet'!$B$334:$M$385,10,FALSE)</f>
        <v>4897</v>
      </c>
      <c r="D39">
        <f>VLOOKUP(A39,'2018_C4_bearbeitet'!$B$334:$M$385,11,FALSE)</f>
        <v>3124</v>
      </c>
      <c r="E39">
        <f>VLOOKUP(A39,'2018_C4_bearbeitet'!$B$334:$N$385,12,FALSE)</f>
        <v>1773</v>
      </c>
      <c r="F39" s="52">
        <f>VLOOKUP(A39,'2018_C4_bearbeitet'!$T$334:$Y$385,5,FALSE)</f>
        <v>18.664488462323874</v>
      </c>
      <c r="G39" s="52">
        <f>VLOOKUP(A39,'2018_C4_bearbeitet'!$T$334:$Y$385,4,FALSE)</f>
        <v>26.608127424954052</v>
      </c>
      <c r="H39" s="52">
        <f>VLOOKUP(A39,'2018_C4_bearbeitet'!$T$334:$Y$385,3,FALSE)</f>
        <v>27.179906064937715</v>
      </c>
      <c r="I39" s="52">
        <f>VLOOKUP(A39,'2018_C4_bearbeitet'!$T$334:$Y$385,6,FALSE)</f>
        <v>27.547478047784356</v>
      </c>
    </row>
    <row r="40" spans="1:9">
      <c r="A40" s="119">
        <v>404</v>
      </c>
      <c r="B40" s="51" t="s">
        <v>142</v>
      </c>
      <c r="C40">
        <f>VLOOKUP(A40,'2018_C4_bearbeitet'!$B$334:$M$385,10,FALSE)</f>
        <v>7549</v>
      </c>
      <c r="D40">
        <f>VLOOKUP(A40,'2018_C4_bearbeitet'!$B$334:$M$385,11,FALSE)</f>
        <v>4282</v>
      </c>
      <c r="E40">
        <f>VLOOKUP(A40,'2018_C4_bearbeitet'!$B$334:$N$385,12,FALSE)</f>
        <v>3267</v>
      </c>
      <c r="F40" s="52">
        <f>VLOOKUP(A40,'2018_C4_bearbeitet'!$T$334:$Y$385,5,FALSE)</f>
        <v>10.994833752814943</v>
      </c>
      <c r="G40" s="52">
        <f>VLOOKUP(A40,'2018_C4_bearbeitet'!$T$334:$Y$385,4,FALSE)</f>
        <v>30.600079480725924</v>
      </c>
      <c r="H40" s="52">
        <f>VLOOKUP(A40,'2018_C4_bearbeitet'!$T$334:$Y$385,3,FALSE)</f>
        <v>30.812028083189823</v>
      </c>
      <c r="I40" s="52">
        <f>VLOOKUP(A40,'2018_C4_bearbeitet'!$T$334:$Y$385,6,FALSE)</f>
        <v>27.593058683269305</v>
      </c>
    </row>
    <row r="41" spans="1:9">
      <c r="A41" s="119">
        <v>405</v>
      </c>
      <c r="B41" s="51" t="s">
        <v>143</v>
      </c>
      <c r="C41">
        <f>VLOOKUP(A41,'2018_C4_bearbeitet'!$B$334:$M$385,10,FALSE)</f>
        <v>1589</v>
      </c>
      <c r="D41">
        <f>VLOOKUP(A41,'2018_C4_bearbeitet'!$B$334:$M$385,11,FALSE)</f>
        <v>1167</v>
      </c>
      <c r="E41">
        <f>VLOOKUP(A41,'2018_C4_bearbeitet'!$B$334:$N$385,12,FALSE)</f>
        <v>422</v>
      </c>
      <c r="F41" s="52">
        <f>VLOOKUP(A41,'2018_C4_bearbeitet'!$T$334:$Y$385,5,FALSE)</f>
        <v>13.782252989301448</v>
      </c>
      <c r="G41" s="52">
        <f>VLOOKUP(A41,'2018_C4_bearbeitet'!$T$334:$Y$385,4,FALSE)</f>
        <v>28.382630585273755</v>
      </c>
      <c r="H41" s="52">
        <f>VLOOKUP(A41,'2018_C4_bearbeitet'!$T$334:$Y$385,3,FALSE)</f>
        <v>27.375707992448078</v>
      </c>
      <c r="I41" s="52">
        <f>VLOOKUP(A41,'2018_C4_bearbeitet'!$T$334:$Y$385,6,FALSE)</f>
        <v>30.459408432976716</v>
      </c>
    </row>
    <row r="42" spans="1:9">
      <c r="A42" s="119">
        <v>451</v>
      </c>
      <c r="B42" s="51" t="s">
        <v>118</v>
      </c>
      <c r="C42">
        <f>VLOOKUP(A42,'2018_C4_bearbeitet'!$B$334:$M$385,10,FALSE)</f>
        <v>3428</v>
      </c>
      <c r="D42">
        <f>VLOOKUP(A42,'2018_C4_bearbeitet'!$B$334:$M$385,11,FALSE)</f>
        <v>2332</v>
      </c>
      <c r="E42">
        <f>VLOOKUP(A42,'2018_C4_bearbeitet'!$B$334:$N$385,12,FALSE)</f>
        <v>1096</v>
      </c>
      <c r="F42" s="52">
        <f>VLOOKUP(A42,'2018_C4_bearbeitet'!$T$334:$Y$385,5,FALSE)</f>
        <v>5.8051341890315049</v>
      </c>
      <c r="G42" s="52">
        <f>VLOOKUP(A42,'2018_C4_bearbeitet'!$T$334:$Y$385,4,FALSE)</f>
        <v>26.983663943990667</v>
      </c>
      <c r="H42" s="52">
        <f>VLOOKUP(A42,'2018_C4_bearbeitet'!$T$334:$Y$385,3,FALSE)</f>
        <v>23.045507584597434</v>
      </c>
      <c r="I42" s="52">
        <f>VLOOKUP(A42,'2018_C4_bearbeitet'!$T$334:$Y$385,6,FALSE)</f>
        <v>44.1656942823804</v>
      </c>
    </row>
    <row r="43" spans="1:9">
      <c r="A43" s="119">
        <v>452</v>
      </c>
      <c r="B43" s="51" t="s">
        <v>119</v>
      </c>
      <c r="C43">
        <f>VLOOKUP(A43,'2018_C4_bearbeitet'!$B$334:$M$385,10,FALSE)</f>
        <v>4232</v>
      </c>
      <c r="D43">
        <f>VLOOKUP(A43,'2018_C4_bearbeitet'!$B$334:$M$385,11,FALSE)</f>
        <v>2716</v>
      </c>
      <c r="E43">
        <f>VLOOKUP(A43,'2018_C4_bearbeitet'!$B$334:$N$385,12,FALSE)</f>
        <v>1516</v>
      </c>
      <c r="F43" s="52">
        <f>VLOOKUP(A43,'2018_C4_bearbeitet'!$T$334:$Y$385,5,FALSE)</f>
        <v>8.2466918714555764</v>
      </c>
      <c r="G43" s="52">
        <f>VLOOKUP(A43,'2018_C4_bearbeitet'!$T$334:$Y$385,4,FALSE)</f>
        <v>27.882797731568999</v>
      </c>
      <c r="H43" s="52">
        <f>VLOOKUP(A43,'2018_C4_bearbeitet'!$T$334:$Y$385,3,FALSE)</f>
        <v>23.298676748582231</v>
      </c>
      <c r="I43" s="52">
        <f>VLOOKUP(A43,'2018_C4_bearbeitet'!$T$334:$Y$385,6,FALSE)</f>
        <v>40.571833648393195</v>
      </c>
    </row>
    <row r="44" spans="1:9">
      <c r="A44" s="119">
        <v>453</v>
      </c>
      <c r="B44" s="51" t="s">
        <v>120</v>
      </c>
      <c r="C44">
        <f>VLOOKUP(A44,'2018_C4_bearbeitet'!$B$334:$M$385,10,FALSE)</f>
        <v>9140</v>
      </c>
      <c r="D44">
        <f>VLOOKUP(A44,'2018_C4_bearbeitet'!$B$334:$M$385,11,FALSE)</f>
        <v>6398</v>
      </c>
      <c r="E44">
        <f>VLOOKUP(A44,'2018_C4_bearbeitet'!$B$334:$N$385,12,FALSE)</f>
        <v>2742</v>
      </c>
      <c r="F44" s="52">
        <f>VLOOKUP(A44,'2018_C4_bearbeitet'!$T$334:$Y$385,5,FALSE)</f>
        <v>2.9102844638949672</v>
      </c>
      <c r="G44" s="52">
        <f>VLOOKUP(A44,'2018_C4_bearbeitet'!$T$334:$Y$385,4,FALSE)</f>
        <v>19.277899343544856</v>
      </c>
      <c r="H44" s="52">
        <f>VLOOKUP(A44,'2018_C4_bearbeitet'!$T$334:$Y$385,3,FALSE)</f>
        <v>26.827133479212257</v>
      </c>
      <c r="I44" s="52">
        <f>VLOOKUP(A44,'2018_C4_bearbeitet'!$T$334:$Y$385,6,FALSE)</f>
        <v>50.984682713347915</v>
      </c>
    </row>
    <row r="45" spans="1:9">
      <c r="A45" s="119">
        <v>454</v>
      </c>
      <c r="B45" s="51" t="s">
        <v>121</v>
      </c>
      <c r="C45">
        <f>VLOOKUP(A45,'2018_C4_bearbeitet'!$B$334:$M$385,10,FALSE)</f>
        <v>12405</v>
      </c>
      <c r="D45">
        <f>VLOOKUP(A45,'2018_C4_bearbeitet'!$B$334:$M$385,11,FALSE)</f>
        <v>9075</v>
      </c>
      <c r="E45">
        <f>VLOOKUP(A45,'2018_C4_bearbeitet'!$B$334:$N$385,12,FALSE)</f>
        <v>3330</v>
      </c>
      <c r="F45" s="52">
        <f>VLOOKUP(A45,'2018_C4_bearbeitet'!$T$334:$Y$385,5,FALSE)</f>
        <v>6.5376864167674329</v>
      </c>
      <c r="G45" s="52">
        <f>VLOOKUP(A45,'2018_C4_bearbeitet'!$T$334:$Y$385,4,FALSE)</f>
        <v>30.100765820233775</v>
      </c>
      <c r="H45" s="52">
        <f>VLOOKUP(A45,'2018_C4_bearbeitet'!$T$334:$Y$385,3,FALSE)</f>
        <v>20.233776702942365</v>
      </c>
      <c r="I45" s="52">
        <f>VLOOKUP(A45,'2018_C4_bearbeitet'!$T$334:$Y$385,6,FALSE)</f>
        <v>43.127771060056432</v>
      </c>
    </row>
    <row r="46" spans="1:9">
      <c r="A46" s="119">
        <v>455</v>
      </c>
      <c r="B46" s="51" t="s">
        <v>122</v>
      </c>
      <c r="C46">
        <f>VLOOKUP(A46,'2018_C4_bearbeitet'!$B$334:$M$385,10,FALSE)</f>
        <v>1301</v>
      </c>
      <c r="D46">
        <f>VLOOKUP(A46,'2018_C4_bearbeitet'!$B$334:$M$385,11,FALSE)</f>
        <v>846</v>
      </c>
      <c r="E46">
        <f>VLOOKUP(A46,'2018_C4_bearbeitet'!$B$334:$N$385,12,FALSE)</f>
        <v>455</v>
      </c>
      <c r="F46" s="52">
        <f>VLOOKUP(A46,'2018_C4_bearbeitet'!$T$334:$Y$385,5,FALSE)</f>
        <v>11.837048424289009</v>
      </c>
      <c r="G46" s="52">
        <f>VLOOKUP(A46,'2018_C4_bearbeitet'!$T$334:$Y$385,4,FALSE)</f>
        <v>30.822444273635664</v>
      </c>
      <c r="H46" s="52">
        <f>VLOOKUP(A46,'2018_C4_bearbeitet'!$T$334:$Y$385,3,FALSE)</f>
        <v>20.138355111452729</v>
      </c>
      <c r="I46" s="52">
        <f>VLOOKUP(A46,'2018_C4_bearbeitet'!$T$334:$Y$385,6,FALSE)</f>
        <v>37.202152190622598</v>
      </c>
    </row>
    <row r="47" spans="1:9">
      <c r="A47" s="119">
        <v>456</v>
      </c>
      <c r="B47" s="51" t="s">
        <v>123</v>
      </c>
      <c r="C47">
        <f>VLOOKUP(A47,'2018_C4_bearbeitet'!$B$334:$M$385,10,FALSE)</f>
        <v>5166</v>
      </c>
      <c r="D47">
        <f>VLOOKUP(A47,'2018_C4_bearbeitet'!$B$334:$M$385,11,FALSE)</f>
        <v>3511</v>
      </c>
      <c r="E47">
        <f>VLOOKUP(A47,'2018_C4_bearbeitet'!$B$334:$N$385,12,FALSE)</f>
        <v>1655</v>
      </c>
      <c r="F47" s="52">
        <f>VLOOKUP(A47,'2018_C4_bearbeitet'!$T$334:$Y$385,5,FALSE)</f>
        <v>6.5814943863724356</v>
      </c>
      <c r="G47" s="52">
        <f>VLOOKUP(A47,'2018_C4_bearbeitet'!$T$334:$Y$385,4,FALSE)</f>
        <v>38.559814169570267</v>
      </c>
      <c r="H47" s="52">
        <f>VLOOKUP(A47,'2018_C4_bearbeitet'!$T$334:$Y$385,3,FALSE)</f>
        <v>20.596205962059621</v>
      </c>
      <c r="I47" s="52">
        <f>VLOOKUP(A47,'2018_C4_bearbeitet'!$T$334:$Y$385,6,FALSE)</f>
        <v>34.262485481997679</v>
      </c>
    </row>
    <row r="48" spans="1:9">
      <c r="A48" s="119">
        <v>457</v>
      </c>
      <c r="B48" s="51" t="s">
        <v>124</v>
      </c>
      <c r="C48">
        <f>VLOOKUP(A48,'2018_C4_bearbeitet'!$B$334:$M$385,10,FALSE)</f>
        <v>3327</v>
      </c>
      <c r="D48">
        <f>VLOOKUP(A48,'2018_C4_bearbeitet'!$B$334:$M$385,11,FALSE)</f>
        <v>2340</v>
      </c>
      <c r="E48">
        <f>VLOOKUP(A48,'2018_C4_bearbeitet'!$B$334:$N$385,12,FALSE)</f>
        <v>987</v>
      </c>
      <c r="F48" s="52">
        <f>VLOOKUP(A48,'2018_C4_bearbeitet'!$T$334:$Y$385,5,FALSE)</f>
        <v>8.6263901412684092</v>
      </c>
      <c r="G48" s="52">
        <f>VLOOKUP(A48,'2018_C4_bearbeitet'!$T$334:$Y$385,4,FALSE)</f>
        <v>29.636308987075445</v>
      </c>
      <c r="H48" s="52">
        <f>VLOOKUP(A48,'2018_C4_bearbeitet'!$T$334:$Y$385,3,FALSE)</f>
        <v>15.419296663660957</v>
      </c>
      <c r="I48" s="52">
        <f>VLOOKUP(A48,'2018_C4_bearbeitet'!$T$334:$Y$385,6,FALSE)</f>
        <v>46.318004207995187</v>
      </c>
    </row>
    <row r="49" spans="1:9">
      <c r="A49" s="119">
        <v>458</v>
      </c>
      <c r="B49" s="51" t="s">
        <v>125</v>
      </c>
      <c r="C49">
        <f>VLOOKUP(A49,'2018_C4_bearbeitet'!$B$334:$M$385,10,FALSE)</f>
        <v>3207</v>
      </c>
      <c r="D49">
        <f>VLOOKUP(A49,'2018_C4_bearbeitet'!$B$334:$M$385,11,FALSE)</f>
        <v>2308</v>
      </c>
      <c r="E49">
        <f>VLOOKUP(A49,'2018_C4_bearbeitet'!$B$334:$N$385,12,FALSE)</f>
        <v>899</v>
      </c>
      <c r="F49" s="52">
        <f>VLOOKUP(A49,'2018_C4_bearbeitet'!$T$334:$Y$385,5,FALSE)</f>
        <v>4.20954162768943</v>
      </c>
      <c r="G49" s="52">
        <f>VLOOKUP(A49,'2018_C4_bearbeitet'!$T$334:$Y$385,4,FALSE)</f>
        <v>25.101340816962892</v>
      </c>
      <c r="H49" s="52">
        <f>VLOOKUP(A49,'2018_C4_bearbeitet'!$T$334:$Y$385,3,FALSE)</f>
        <v>25.194886186467102</v>
      </c>
      <c r="I49" s="52">
        <f>VLOOKUP(A49,'2018_C4_bearbeitet'!$T$334:$Y$385,6,FALSE)</f>
        <v>45.49423136888057</v>
      </c>
    </row>
    <row r="50" spans="1:9">
      <c r="A50" s="119">
        <v>459</v>
      </c>
      <c r="B50" s="51" t="s">
        <v>126</v>
      </c>
      <c r="C50">
        <f>VLOOKUP(A50,'2018_C4_bearbeitet'!$B$334:$M$385,10,FALSE)</f>
        <v>16160</v>
      </c>
      <c r="D50">
        <f>VLOOKUP(A50,'2018_C4_bearbeitet'!$B$334:$M$385,11,FALSE)</f>
        <v>10937</v>
      </c>
      <c r="E50">
        <f>VLOOKUP(A50,'2018_C4_bearbeitet'!$B$334:$N$385,12,FALSE)</f>
        <v>5223</v>
      </c>
      <c r="F50" s="52">
        <f>VLOOKUP(A50,'2018_C4_bearbeitet'!$T$334:$Y$385,5,FALSE)</f>
        <v>3.9975247524752477</v>
      </c>
      <c r="G50" s="52">
        <f>VLOOKUP(A50,'2018_C4_bearbeitet'!$T$334:$Y$385,4,FALSE)</f>
        <v>21.998762376237625</v>
      </c>
      <c r="H50" s="52">
        <f>VLOOKUP(A50,'2018_C4_bearbeitet'!$T$334:$Y$385,3,FALSE)</f>
        <v>24.077970297029701</v>
      </c>
      <c r="I50" s="52">
        <f>VLOOKUP(A50,'2018_C4_bearbeitet'!$T$334:$Y$385,6,FALSE)</f>
        <v>49.925742574257427</v>
      </c>
    </row>
    <row r="51" spans="1:9">
      <c r="A51" s="119">
        <v>460</v>
      </c>
      <c r="B51" s="51" t="s">
        <v>127</v>
      </c>
      <c r="C51">
        <f>VLOOKUP(A51,'2018_C4_bearbeitet'!$B$334:$M$385,10,FALSE)</f>
        <v>9815</v>
      </c>
      <c r="D51">
        <f>VLOOKUP(A51,'2018_C4_bearbeitet'!$B$334:$M$385,11,FALSE)</f>
        <v>6648</v>
      </c>
      <c r="E51">
        <f>VLOOKUP(A51,'2018_C4_bearbeitet'!$B$334:$N$385,12,FALSE)</f>
        <v>3167</v>
      </c>
      <c r="F51" s="52">
        <f>VLOOKUP(A51,'2018_C4_bearbeitet'!$T$334:$Y$385,5,FALSE)</f>
        <v>4.1569026999490575</v>
      </c>
      <c r="G51" s="52">
        <f>VLOOKUP(A51,'2018_C4_bearbeitet'!$T$334:$Y$385,4,FALSE)</f>
        <v>22.027508914926134</v>
      </c>
      <c r="H51" s="52">
        <f>VLOOKUP(A51,'2018_C4_bearbeitet'!$T$334:$Y$385,3,FALSE)</f>
        <v>25.674987264391234</v>
      </c>
      <c r="I51" s="52">
        <f>VLOOKUP(A51,'2018_C4_bearbeitet'!$T$334:$Y$385,6,FALSE)</f>
        <v>48.140601120733571</v>
      </c>
    </row>
    <row r="52" spans="1:9">
      <c r="A52" s="119">
        <v>461</v>
      </c>
      <c r="B52" s="51" t="s">
        <v>128</v>
      </c>
      <c r="C52">
        <f>VLOOKUP(A52,'2018_C4_bearbeitet'!$B$334:$M$385,10,FALSE)</f>
        <v>2455</v>
      </c>
      <c r="D52">
        <f>VLOOKUP(A52,'2018_C4_bearbeitet'!$B$334:$M$385,11,FALSE)</f>
        <v>2010</v>
      </c>
      <c r="E52">
        <f>VLOOKUP(A52,'2018_C4_bearbeitet'!$B$334:$N$385,12,FALSE)</f>
        <v>445</v>
      </c>
      <c r="F52" s="52">
        <f>VLOOKUP(A52,'2018_C4_bearbeitet'!$T$334:$Y$385,5,FALSE)</f>
        <v>5.6619144602851321</v>
      </c>
      <c r="G52" s="52">
        <f>VLOOKUP(A52,'2018_C4_bearbeitet'!$T$334:$Y$385,4,FALSE)</f>
        <v>34.501018329938901</v>
      </c>
      <c r="H52" s="52">
        <f>VLOOKUP(A52,'2018_C4_bearbeitet'!$T$334:$Y$385,3,FALSE)</f>
        <v>19.633401221995928</v>
      </c>
      <c r="I52" s="52">
        <f>VLOOKUP(A52,'2018_C4_bearbeitet'!$T$334:$Y$385,6,FALSE)</f>
        <v>40.203665987780042</v>
      </c>
    </row>
    <row r="53" spans="1:9">
      <c r="A53" s="119">
        <v>462</v>
      </c>
      <c r="B53" s="51" t="s">
        <v>129</v>
      </c>
      <c r="C53">
        <f>VLOOKUP(A53,'2018_C4_bearbeitet'!$B$334:$M$385,10,FALSE)</f>
        <v>855</v>
      </c>
      <c r="D53">
        <f>VLOOKUP(A53,'2018_C4_bearbeitet'!$B$334:$M$385,11,FALSE)</f>
        <v>503</v>
      </c>
      <c r="E53">
        <f>VLOOKUP(A53,'2018_C4_bearbeitet'!$B$334:$N$385,12,FALSE)</f>
        <v>352</v>
      </c>
      <c r="F53" s="52">
        <f>VLOOKUP(A53,'2018_C4_bearbeitet'!$T$334:$Y$385,5,FALSE)</f>
        <v>5.9649122807017543</v>
      </c>
      <c r="G53" s="52">
        <f>VLOOKUP(A53,'2018_C4_bearbeitet'!$T$334:$Y$385,4,FALSE)</f>
        <v>22.807017543859647</v>
      </c>
      <c r="H53" s="52">
        <f>VLOOKUP(A53,'2018_C4_bearbeitet'!$T$334:$Y$385,3,FALSE)</f>
        <v>16.023391812865498</v>
      </c>
      <c r="I53" s="52">
        <f>VLOOKUP(A53,'2018_C4_bearbeitet'!$T$334:$Y$385,6,FALSE)</f>
        <v>55.204678362573098</v>
      </c>
    </row>
    <row r="54" spans="1:9">
      <c r="A54" s="119">
        <v>4</v>
      </c>
      <c r="B54" s="51" t="s">
        <v>157</v>
      </c>
      <c r="C54">
        <f>VLOOKUP(A54,'2018_C4_bearbeitet'!$B$334:$M$385,10,FALSE)</f>
        <v>89139</v>
      </c>
      <c r="D54">
        <f>VLOOKUP(A54,'2018_C4_bearbeitet'!$B$334:$M$385,11,FALSE)</f>
        <v>60669</v>
      </c>
      <c r="E54">
        <f>VLOOKUP(A54,'2018_C4_bearbeitet'!$B$334:$N$385,12,FALSE)</f>
        <v>28470</v>
      </c>
      <c r="F54" s="52">
        <f>VLOOKUP(A54,'2018_C4_bearbeitet'!$T$334:$Y$385,5,FALSE)</f>
        <v>6.8118332043213412</v>
      </c>
      <c r="G54" s="52">
        <f>VLOOKUP(A54,'2018_C4_bearbeitet'!$T$334:$Y$385,4,FALSE)</f>
        <v>26.708847978999088</v>
      </c>
      <c r="H54" s="52">
        <f>VLOOKUP(A54,'2018_C4_bearbeitet'!$T$334:$Y$385,3,FALSE)</f>
        <v>24.091587296245191</v>
      </c>
      <c r="I54" s="52">
        <f>VLOOKUP(A54,'2018_C4_bearbeitet'!$T$334:$Y$385,6,FALSE)</f>
        <v>42.387731520434379</v>
      </c>
    </row>
    <row r="55" spans="1:9">
      <c r="A55" s="119">
        <v>0</v>
      </c>
      <c r="B55" s="51" t="s">
        <v>130</v>
      </c>
      <c r="C55">
        <f>VLOOKUP(A55,'2018_C4_bearbeitet'!$B$334:$M$385,10,FALSE)</f>
        <v>255519</v>
      </c>
      <c r="D55">
        <f>VLOOKUP(A55,'2018_C4_bearbeitet'!$B$334:$M$385,11,FALSE)</f>
        <v>170046</v>
      </c>
      <c r="E55">
        <f>VLOOKUP(A55,'2018_C4_bearbeitet'!$B$334:$N$385,12,FALSE)</f>
        <v>85473</v>
      </c>
      <c r="F55" s="52">
        <f>VLOOKUP(A55,'2018_C4_bearbeitet'!$T$334:$Y$385,5,FALSE)</f>
        <v>11.010922866792685</v>
      </c>
      <c r="G55" s="52">
        <f>VLOOKUP(A55,'2018_C4_bearbeitet'!$T$334:$Y$385,4,FALSE)</f>
        <v>30.478359730587552</v>
      </c>
      <c r="H55" s="52">
        <f>VLOOKUP(A55,'2018_C4_bearbeitet'!$T$334:$Y$385,3,FALSE)</f>
        <v>24.364137304858001</v>
      </c>
      <c r="I55" s="52">
        <f>VLOOKUP(A55,'2018_C4_bearbeitet'!$T$334:$Y$385,6,FALSE)</f>
        <v>34.146580097761806</v>
      </c>
    </row>
  </sheetData>
  <autoFilter ref="A4:I55" xr:uid="{00000000-0009-0000-0000-000005000000}"/>
  <mergeCells count="5">
    <mergeCell ref="B1:B3"/>
    <mergeCell ref="C1:E1"/>
    <mergeCell ref="F1:I1"/>
    <mergeCell ref="C3:E3"/>
    <mergeCell ref="F3:I3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0"/>
  <dimension ref="A1:J324"/>
  <sheetViews>
    <sheetView workbookViewId="0">
      <selection activeCell="H18" sqref="H18"/>
    </sheetView>
  </sheetViews>
  <sheetFormatPr baseColWidth="10" defaultRowHeight="13.5"/>
  <cols>
    <col min="1" max="1" width="41" customWidth="1"/>
  </cols>
  <sheetData>
    <row r="1" spans="1:10" ht="15">
      <c r="A1" s="36" t="s">
        <v>146</v>
      </c>
      <c r="B1" s="36"/>
      <c r="C1" s="36"/>
      <c r="D1" s="36"/>
      <c r="E1" s="36"/>
      <c r="F1" s="36"/>
      <c r="G1" s="36"/>
      <c r="H1" s="36"/>
      <c r="I1" s="36"/>
      <c r="J1" s="36"/>
    </row>
    <row r="2" spans="1:10" ht="15">
      <c r="A2" s="36" t="s">
        <v>2</v>
      </c>
      <c r="B2" s="36"/>
      <c r="C2" s="36"/>
      <c r="D2" s="36"/>
      <c r="E2" s="36"/>
      <c r="F2" s="36"/>
      <c r="G2" s="36"/>
      <c r="H2" s="36"/>
      <c r="I2" s="36"/>
      <c r="J2" s="36"/>
    </row>
    <row r="3" spans="1:10" ht="15">
      <c r="A3" s="36" t="s">
        <v>3</v>
      </c>
      <c r="B3" s="36"/>
      <c r="C3" s="36"/>
      <c r="D3" s="36"/>
      <c r="E3" s="36"/>
      <c r="F3" s="36"/>
      <c r="G3" s="36"/>
      <c r="H3" s="36"/>
      <c r="I3" s="36"/>
      <c r="J3" s="36"/>
    </row>
    <row r="4" spans="1:10" ht="15">
      <c r="A4" s="203" t="s">
        <v>4</v>
      </c>
      <c r="B4" s="36"/>
      <c r="C4" s="36"/>
      <c r="D4" s="36"/>
      <c r="E4" s="36"/>
      <c r="F4" s="36"/>
      <c r="G4" s="36"/>
      <c r="H4" s="36"/>
      <c r="I4" s="36"/>
      <c r="J4" s="36"/>
    </row>
    <row r="5" spans="1:10" ht="15">
      <c r="A5" s="36" t="s">
        <v>3</v>
      </c>
      <c r="B5" s="36"/>
      <c r="C5" s="36"/>
      <c r="D5" s="36"/>
      <c r="E5" s="36"/>
      <c r="F5" s="36"/>
      <c r="G5" s="36"/>
      <c r="H5" s="36"/>
      <c r="I5" s="36"/>
      <c r="J5" s="36"/>
    </row>
    <row r="6" spans="1:10" ht="15">
      <c r="A6" s="36" t="s">
        <v>147</v>
      </c>
      <c r="B6" s="36"/>
      <c r="C6" s="36"/>
      <c r="D6" s="36"/>
      <c r="E6" s="36"/>
      <c r="F6" s="36"/>
      <c r="G6" s="36"/>
      <c r="H6" s="36"/>
      <c r="I6" s="36"/>
      <c r="J6" s="36"/>
    </row>
    <row r="7" spans="1:10" ht="15">
      <c r="A7" s="36" t="s">
        <v>6</v>
      </c>
      <c r="B7" s="36"/>
      <c r="C7" s="36"/>
      <c r="D7" s="36"/>
      <c r="E7" s="36"/>
      <c r="F7" s="36"/>
      <c r="G7" s="36"/>
      <c r="H7" s="36"/>
      <c r="I7" s="36"/>
      <c r="J7" s="36"/>
    </row>
    <row r="8" spans="1:10" ht="15">
      <c r="A8" s="36" t="s">
        <v>7</v>
      </c>
      <c r="B8" s="36"/>
      <c r="C8" s="36"/>
      <c r="D8" s="36"/>
      <c r="E8" s="36"/>
      <c r="F8" s="36"/>
      <c r="G8" s="36"/>
      <c r="H8" s="36"/>
      <c r="I8" s="36"/>
      <c r="J8" s="36"/>
    </row>
    <row r="9" spans="1:10" ht="15">
      <c r="A9" s="36" t="s">
        <v>148</v>
      </c>
      <c r="B9" s="36"/>
      <c r="C9" s="36"/>
      <c r="D9" s="36"/>
      <c r="E9" s="36"/>
      <c r="F9" s="36"/>
      <c r="G9" s="36"/>
      <c r="H9" s="36"/>
      <c r="I9" s="36"/>
      <c r="J9" s="36"/>
    </row>
    <row r="10" spans="1:10" ht="15">
      <c r="A10" s="36" t="s">
        <v>3</v>
      </c>
      <c r="B10" s="36"/>
      <c r="C10" s="36"/>
      <c r="D10" s="36"/>
      <c r="E10" s="36"/>
      <c r="F10" s="36"/>
      <c r="G10" s="36"/>
      <c r="H10" s="36"/>
      <c r="I10" s="36"/>
      <c r="J10" s="36"/>
    </row>
    <row r="11" spans="1:10" ht="15">
      <c r="A11" s="36" t="s">
        <v>149</v>
      </c>
      <c r="B11" s="36"/>
      <c r="C11" s="36"/>
      <c r="D11" s="36"/>
      <c r="E11" s="36"/>
      <c r="F11" s="36"/>
      <c r="G11" s="36"/>
      <c r="H11" s="36"/>
      <c r="I11" s="36"/>
      <c r="J11" s="36"/>
    </row>
    <row r="12" spans="1:10" ht="15">
      <c r="A12" s="36" t="s">
        <v>3</v>
      </c>
      <c r="B12" s="36"/>
      <c r="C12" s="36"/>
      <c r="D12" s="36"/>
      <c r="E12" s="36"/>
      <c r="F12" s="36"/>
      <c r="G12" s="36"/>
      <c r="H12" s="36"/>
      <c r="I12" s="36"/>
      <c r="J12" s="36"/>
    </row>
    <row r="13" spans="1:10">
      <c r="A13" s="355" t="s">
        <v>10</v>
      </c>
      <c r="B13" s="358" t="s">
        <v>11</v>
      </c>
      <c r="C13" s="359"/>
      <c r="D13" s="359"/>
      <c r="E13" s="359"/>
      <c r="F13" s="359"/>
      <c r="G13" s="359"/>
      <c r="H13" s="359"/>
      <c r="I13" s="359"/>
      <c r="J13" s="360"/>
    </row>
    <row r="14" spans="1:10">
      <c r="A14" s="356"/>
      <c r="B14" s="358" t="s">
        <v>12</v>
      </c>
      <c r="C14" s="359"/>
      <c r="D14" s="360"/>
      <c r="E14" s="358" t="s">
        <v>13</v>
      </c>
      <c r="F14" s="359"/>
      <c r="G14" s="360"/>
      <c r="H14" s="358" t="s">
        <v>14</v>
      </c>
      <c r="I14" s="359"/>
      <c r="J14" s="360"/>
    </row>
    <row r="15" spans="1:10">
      <c r="A15" s="356"/>
      <c r="B15" s="37" t="s">
        <v>15</v>
      </c>
      <c r="C15" s="37" t="s">
        <v>16</v>
      </c>
      <c r="D15" s="37" t="s">
        <v>17</v>
      </c>
      <c r="E15" s="37" t="s">
        <v>15</v>
      </c>
      <c r="F15" s="37" t="s">
        <v>16</v>
      </c>
      <c r="G15" s="37" t="s">
        <v>17</v>
      </c>
      <c r="H15" s="37" t="s">
        <v>15</v>
      </c>
      <c r="I15" s="37" t="s">
        <v>16</v>
      </c>
      <c r="J15" s="37" t="s">
        <v>17</v>
      </c>
    </row>
    <row r="16" spans="1:10">
      <c r="A16" s="357"/>
      <c r="B16" s="37" t="s">
        <v>18</v>
      </c>
      <c r="C16" s="37" t="s">
        <v>19</v>
      </c>
      <c r="D16" s="37" t="s">
        <v>20</v>
      </c>
      <c r="E16" s="37" t="s">
        <v>21</v>
      </c>
      <c r="F16" s="37" t="s">
        <v>22</v>
      </c>
      <c r="G16" s="37" t="s">
        <v>23</v>
      </c>
      <c r="H16" s="37" t="s">
        <v>24</v>
      </c>
      <c r="I16" s="37" t="s">
        <v>25</v>
      </c>
      <c r="J16" s="37" t="s">
        <v>26</v>
      </c>
    </row>
    <row r="17" spans="1:10">
      <c r="A17" s="368" t="s">
        <v>27</v>
      </c>
      <c r="B17" s="369"/>
      <c r="C17" s="369"/>
      <c r="D17" s="369"/>
      <c r="E17" s="369"/>
      <c r="F17" s="369"/>
      <c r="G17" s="369"/>
      <c r="H17" s="369"/>
      <c r="I17" s="369"/>
      <c r="J17" s="370"/>
    </row>
    <row r="18" spans="1:10">
      <c r="A18" s="42" t="s">
        <v>28</v>
      </c>
      <c r="B18" s="43">
        <v>2956773</v>
      </c>
      <c r="C18" s="43">
        <v>1604003</v>
      </c>
      <c r="D18" s="43">
        <v>1352770</v>
      </c>
      <c r="E18" s="43">
        <v>2700138</v>
      </c>
      <c r="F18" s="43">
        <v>1433181</v>
      </c>
      <c r="G18" s="43">
        <v>1266957</v>
      </c>
      <c r="H18" s="43">
        <v>255519</v>
      </c>
      <c r="I18" s="43">
        <v>170046</v>
      </c>
      <c r="J18" s="43">
        <v>85473</v>
      </c>
    </row>
    <row r="19" spans="1:10">
      <c r="A19" s="38" t="s">
        <v>29</v>
      </c>
      <c r="B19" s="44">
        <v>358054</v>
      </c>
      <c r="C19" s="44">
        <v>205911</v>
      </c>
      <c r="D19" s="44">
        <v>152143</v>
      </c>
      <c r="E19" s="44">
        <v>295522</v>
      </c>
      <c r="F19" s="44">
        <v>163507</v>
      </c>
      <c r="G19" s="44">
        <v>132015</v>
      </c>
      <c r="H19" s="44">
        <v>62255</v>
      </c>
      <c r="I19" s="44">
        <v>42187</v>
      </c>
      <c r="J19" s="44">
        <v>20068</v>
      </c>
    </row>
    <row r="20" spans="1:10">
      <c r="A20" s="42" t="s">
        <v>30</v>
      </c>
      <c r="B20" s="43">
        <v>1928124</v>
      </c>
      <c r="C20" s="43">
        <v>1016237</v>
      </c>
      <c r="D20" s="43">
        <v>911887</v>
      </c>
      <c r="E20" s="43">
        <v>1849817</v>
      </c>
      <c r="F20" s="43">
        <v>965180</v>
      </c>
      <c r="G20" s="43">
        <v>884637</v>
      </c>
      <c r="H20" s="43">
        <v>77878</v>
      </c>
      <c r="I20" s="43">
        <v>50792</v>
      </c>
      <c r="J20" s="43">
        <v>27086</v>
      </c>
    </row>
    <row r="21" spans="1:10">
      <c r="A21" s="38" t="s">
        <v>31</v>
      </c>
      <c r="B21" s="44">
        <v>373190</v>
      </c>
      <c r="C21" s="44">
        <v>207261</v>
      </c>
      <c r="D21" s="44">
        <v>165929</v>
      </c>
      <c r="E21" s="44">
        <v>344965</v>
      </c>
      <c r="F21" s="44">
        <v>191938</v>
      </c>
      <c r="G21" s="44">
        <v>153027</v>
      </c>
      <c r="H21" s="44">
        <v>28135</v>
      </c>
      <c r="I21" s="44">
        <v>15264</v>
      </c>
      <c r="J21" s="44">
        <v>12871</v>
      </c>
    </row>
    <row r="22" spans="1:10">
      <c r="A22" s="42" t="s">
        <v>32</v>
      </c>
      <c r="B22" s="43">
        <v>297405</v>
      </c>
      <c r="C22" s="43">
        <v>174594</v>
      </c>
      <c r="D22" s="43">
        <v>122811</v>
      </c>
      <c r="E22" s="43">
        <v>209834</v>
      </c>
      <c r="F22" s="43">
        <v>112556</v>
      </c>
      <c r="G22" s="43">
        <v>97278</v>
      </c>
      <c r="H22" s="43">
        <v>87251</v>
      </c>
      <c r="I22" s="43">
        <v>61803</v>
      </c>
      <c r="J22" s="43">
        <v>25448</v>
      </c>
    </row>
    <row r="23" spans="1:10">
      <c r="A23" s="368" t="s">
        <v>33</v>
      </c>
      <c r="B23" s="369"/>
      <c r="C23" s="369"/>
      <c r="D23" s="369"/>
      <c r="E23" s="369"/>
      <c r="F23" s="369"/>
      <c r="G23" s="369"/>
      <c r="H23" s="369"/>
      <c r="I23" s="369"/>
      <c r="J23" s="370"/>
    </row>
    <row r="24" spans="1:10">
      <c r="A24" s="42" t="s">
        <v>28</v>
      </c>
      <c r="B24" s="43">
        <v>640237</v>
      </c>
      <c r="C24" s="43">
        <v>356306</v>
      </c>
      <c r="D24" s="43">
        <v>283931</v>
      </c>
      <c r="E24" s="43">
        <v>592988</v>
      </c>
      <c r="F24" s="43">
        <v>324752</v>
      </c>
      <c r="G24" s="43">
        <v>268236</v>
      </c>
      <c r="H24" s="43">
        <v>47066</v>
      </c>
      <c r="I24" s="43">
        <v>31429</v>
      </c>
      <c r="J24" s="43">
        <v>15637</v>
      </c>
    </row>
    <row r="25" spans="1:10">
      <c r="A25" s="38" t="s">
        <v>29</v>
      </c>
      <c r="B25" s="44">
        <v>68410</v>
      </c>
      <c r="C25" s="44">
        <v>39131</v>
      </c>
      <c r="D25" s="44">
        <v>29279</v>
      </c>
      <c r="E25" s="44">
        <v>58084</v>
      </c>
      <c r="F25" s="44">
        <v>32131</v>
      </c>
      <c r="G25" s="44">
        <v>25953</v>
      </c>
      <c r="H25" s="44">
        <v>10274</v>
      </c>
      <c r="I25" s="44">
        <v>6959</v>
      </c>
      <c r="J25" s="44">
        <v>3315</v>
      </c>
    </row>
    <row r="26" spans="1:10">
      <c r="A26" s="42" t="s">
        <v>30</v>
      </c>
      <c r="B26" s="43">
        <v>410467</v>
      </c>
      <c r="C26" s="43">
        <v>219918</v>
      </c>
      <c r="D26" s="43">
        <v>190549</v>
      </c>
      <c r="E26" s="43">
        <v>394775</v>
      </c>
      <c r="F26" s="43">
        <v>209417</v>
      </c>
      <c r="G26" s="43">
        <v>185358</v>
      </c>
      <c r="H26" s="43">
        <v>15630</v>
      </c>
      <c r="I26" s="43">
        <v>10464</v>
      </c>
      <c r="J26" s="43">
        <v>5166</v>
      </c>
    </row>
    <row r="27" spans="1:10">
      <c r="A27" s="38" t="s">
        <v>31</v>
      </c>
      <c r="B27" s="44">
        <v>106397</v>
      </c>
      <c r="C27" s="44">
        <v>64663</v>
      </c>
      <c r="D27" s="44">
        <v>41734</v>
      </c>
      <c r="E27" s="44">
        <v>97355</v>
      </c>
      <c r="F27" s="44">
        <v>59413</v>
      </c>
      <c r="G27" s="44">
        <v>37942</v>
      </c>
      <c r="H27" s="44">
        <v>9020</v>
      </c>
      <c r="I27" s="44">
        <v>5234</v>
      </c>
      <c r="J27" s="44">
        <v>3786</v>
      </c>
    </row>
    <row r="28" spans="1:10">
      <c r="A28" s="42" t="s">
        <v>32</v>
      </c>
      <c r="B28" s="43">
        <v>54963</v>
      </c>
      <c r="C28" s="43">
        <v>32594</v>
      </c>
      <c r="D28" s="43">
        <v>22369</v>
      </c>
      <c r="E28" s="43">
        <v>42774</v>
      </c>
      <c r="F28" s="43">
        <v>23791</v>
      </c>
      <c r="G28" s="43">
        <v>18983</v>
      </c>
      <c r="H28" s="43">
        <v>12142</v>
      </c>
      <c r="I28" s="43">
        <v>8772</v>
      </c>
      <c r="J28" s="43">
        <v>3370</v>
      </c>
    </row>
    <row r="29" spans="1:10">
      <c r="A29" s="368" t="s">
        <v>34</v>
      </c>
      <c r="B29" s="369"/>
      <c r="C29" s="369"/>
      <c r="D29" s="369"/>
      <c r="E29" s="369"/>
      <c r="F29" s="369"/>
      <c r="G29" s="369"/>
      <c r="H29" s="369"/>
      <c r="I29" s="369"/>
      <c r="J29" s="370"/>
    </row>
    <row r="30" spans="1:10">
      <c r="A30" s="42" t="s">
        <v>28</v>
      </c>
      <c r="B30" s="43">
        <v>130103</v>
      </c>
      <c r="C30" s="43">
        <v>68553</v>
      </c>
      <c r="D30" s="43">
        <v>61550</v>
      </c>
      <c r="E30" s="43">
        <v>119978</v>
      </c>
      <c r="F30" s="43">
        <v>62411</v>
      </c>
      <c r="G30" s="43">
        <v>57567</v>
      </c>
      <c r="H30" s="43">
        <v>10097</v>
      </c>
      <c r="I30" s="43">
        <v>6123</v>
      </c>
      <c r="J30" s="43">
        <v>3974</v>
      </c>
    </row>
    <row r="31" spans="1:10">
      <c r="A31" s="38" t="s">
        <v>29</v>
      </c>
      <c r="B31" s="44">
        <v>14931</v>
      </c>
      <c r="C31" s="44">
        <v>8418</v>
      </c>
      <c r="D31" s="44">
        <v>6513</v>
      </c>
      <c r="E31" s="44">
        <v>12564</v>
      </c>
      <c r="F31" s="44">
        <v>6898</v>
      </c>
      <c r="G31" s="44">
        <v>5666</v>
      </c>
      <c r="H31" s="44">
        <v>2360</v>
      </c>
      <c r="I31" s="44">
        <v>1514</v>
      </c>
      <c r="J31" s="44">
        <v>846</v>
      </c>
    </row>
    <row r="32" spans="1:10">
      <c r="A32" s="42" t="s">
        <v>30</v>
      </c>
      <c r="B32" s="43">
        <v>77771</v>
      </c>
      <c r="C32" s="43">
        <v>38883</v>
      </c>
      <c r="D32" s="43">
        <v>38888</v>
      </c>
      <c r="E32" s="43">
        <v>74902</v>
      </c>
      <c r="F32" s="43">
        <v>37194</v>
      </c>
      <c r="G32" s="43">
        <v>37708</v>
      </c>
      <c r="H32" s="43">
        <v>2861</v>
      </c>
      <c r="I32" s="43">
        <v>1686</v>
      </c>
      <c r="J32" s="43">
        <v>1175</v>
      </c>
    </row>
    <row r="33" spans="1:10">
      <c r="A33" s="38" t="s">
        <v>31</v>
      </c>
      <c r="B33" s="44">
        <v>26862</v>
      </c>
      <c r="C33" s="44">
        <v>15625</v>
      </c>
      <c r="D33" s="44">
        <v>11237</v>
      </c>
      <c r="E33" s="44">
        <v>24546</v>
      </c>
      <c r="F33" s="44">
        <v>14321</v>
      </c>
      <c r="G33" s="44">
        <v>10225</v>
      </c>
      <c r="H33" s="44">
        <v>2312</v>
      </c>
      <c r="I33" s="44">
        <v>1301</v>
      </c>
      <c r="J33" s="44">
        <v>1011</v>
      </c>
    </row>
    <row r="34" spans="1:10">
      <c r="A34" s="42" t="s">
        <v>32</v>
      </c>
      <c r="B34" s="43">
        <v>10539</v>
      </c>
      <c r="C34" s="43">
        <v>5627</v>
      </c>
      <c r="D34" s="43">
        <v>4912</v>
      </c>
      <c r="E34" s="43">
        <v>7966</v>
      </c>
      <c r="F34" s="43">
        <v>3998</v>
      </c>
      <c r="G34" s="43">
        <v>3968</v>
      </c>
      <c r="H34" s="43">
        <v>2564</v>
      </c>
      <c r="I34" s="43">
        <v>1622</v>
      </c>
      <c r="J34" s="43">
        <v>942</v>
      </c>
    </row>
    <row r="35" spans="1:10">
      <c r="A35" s="368" t="s">
        <v>35</v>
      </c>
      <c r="B35" s="369"/>
      <c r="C35" s="369"/>
      <c r="D35" s="369"/>
      <c r="E35" s="369"/>
      <c r="F35" s="369"/>
      <c r="G35" s="369"/>
      <c r="H35" s="369"/>
      <c r="I35" s="369"/>
      <c r="J35" s="370"/>
    </row>
    <row r="36" spans="1:10">
      <c r="A36" s="42" t="s">
        <v>28</v>
      </c>
      <c r="B36" s="43">
        <v>47975</v>
      </c>
      <c r="C36" s="43">
        <v>32138</v>
      </c>
      <c r="D36" s="43">
        <v>15837</v>
      </c>
      <c r="E36" s="43">
        <v>43612</v>
      </c>
      <c r="F36" s="43">
        <v>28751</v>
      </c>
      <c r="G36" s="43">
        <v>14861</v>
      </c>
      <c r="H36" s="43">
        <v>4348</v>
      </c>
      <c r="I36" s="43">
        <v>3378</v>
      </c>
      <c r="J36" s="43">
        <v>970</v>
      </c>
    </row>
    <row r="37" spans="1:10">
      <c r="A37" s="38" t="s">
        <v>29</v>
      </c>
      <c r="B37" s="44">
        <v>5088</v>
      </c>
      <c r="C37" s="44">
        <v>3196</v>
      </c>
      <c r="D37" s="44">
        <v>1892</v>
      </c>
      <c r="E37" s="44">
        <v>4071</v>
      </c>
      <c r="F37" s="44">
        <v>2409</v>
      </c>
      <c r="G37" s="44">
        <v>1662</v>
      </c>
      <c r="H37" s="44">
        <v>1015</v>
      </c>
      <c r="I37" s="44">
        <v>785</v>
      </c>
      <c r="J37" s="44">
        <v>230</v>
      </c>
    </row>
    <row r="38" spans="1:10">
      <c r="A38" s="42" t="s">
        <v>30</v>
      </c>
      <c r="B38" s="43">
        <v>32393</v>
      </c>
      <c r="C38" s="43">
        <v>21686</v>
      </c>
      <c r="D38" s="43">
        <v>10707</v>
      </c>
      <c r="E38" s="43">
        <v>30592</v>
      </c>
      <c r="F38" s="43">
        <v>20251</v>
      </c>
      <c r="G38" s="43">
        <v>10341</v>
      </c>
      <c r="H38" s="43">
        <v>1795</v>
      </c>
      <c r="I38" s="43">
        <v>1432</v>
      </c>
      <c r="J38" s="43">
        <v>363</v>
      </c>
    </row>
    <row r="39" spans="1:10">
      <c r="A39" s="38" t="s">
        <v>31</v>
      </c>
      <c r="B39" s="44">
        <v>4996</v>
      </c>
      <c r="C39" s="44">
        <v>3269</v>
      </c>
      <c r="D39" s="44">
        <v>1727</v>
      </c>
      <c r="E39" s="44">
        <v>4654</v>
      </c>
      <c r="F39" s="44">
        <v>3054</v>
      </c>
      <c r="G39" s="44">
        <v>1600</v>
      </c>
      <c r="H39" s="44">
        <v>340</v>
      </c>
      <c r="I39" s="44">
        <v>213</v>
      </c>
      <c r="J39" s="44">
        <v>127</v>
      </c>
    </row>
    <row r="40" spans="1:10">
      <c r="A40" s="42" t="s">
        <v>32</v>
      </c>
      <c r="B40" s="43">
        <v>5498</v>
      </c>
      <c r="C40" s="43">
        <v>3987</v>
      </c>
      <c r="D40" s="43">
        <v>1511</v>
      </c>
      <c r="E40" s="43">
        <v>4295</v>
      </c>
      <c r="F40" s="43">
        <v>3037</v>
      </c>
      <c r="G40" s="43">
        <v>1258</v>
      </c>
      <c r="H40" s="43">
        <v>1198</v>
      </c>
      <c r="I40" s="43">
        <v>948</v>
      </c>
      <c r="J40" s="43">
        <v>250</v>
      </c>
    </row>
    <row r="41" spans="1:10">
      <c r="A41" s="368" t="s">
        <v>36</v>
      </c>
      <c r="B41" s="369"/>
      <c r="C41" s="369"/>
      <c r="D41" s="369"/>
      <c r="E41" s="369"/>
      <c r="F41" s="369"/>
      <c r="G41" s="369"/>
      <c r="H41" s="369"/>
      <c r="I41" s="369"/>
      <c r="J41" s="370"/>
    </row>
    <row r="42" spans="1:10">
      <c r="A42" s="42" t="s">
        <v>28</v>
      </c>
      <c r="B42" s="43">
        <v>120757</v>
      </c>
      <c r="C42" s="43">
        <v>81301</v>
      </c>
      <c r="D42" s="43">
        <v>39456</v>
      </c>
      <c r="E42" s="43">
        <v>110769</v>
      </c>
      <c r="F42" s="43">
        <v>74321</v>
      </c>
      <c r="G42" s="43">
        <v>36448</v>
      </c>
      <c r="H42" s="43">
        <v>9961</v>
      </c>
      <c r="I42" s="43">
        <v>6958</v>
      </c>
      <c r="J42" s="43">
        <v>3003</v>
      </c>
    </row>
    <row r="43" spans="1:10">
      <c r="A43" s="38" t="s">
        <v>29</v>
      </c>
      <c r="B43" s="44">
        <v>7460</v>
      </c>
      <c r="C43" s="44">
        <v>4424</v>
      </c>
      <c r="D43" s="44">
        <v>3036</v>
      </c>
      <c r="E43" s="44">
        <v>6042</v>
      </c>
      <c r="F43" s="44">
        <v>3461</v>
      </c>
      <c r="G43" s="44">
        <v>2581</v>
      </c>
      <c r="H43" s="44">
        <v>1411</v>
      </c>
      <c r="I43" s="44">
        <v>958</v>
      </c>
      <c r="J43" s="44">
        <v>453</v>
      </c>
    </row>
    <row r="44" spans="1:10">
      <c r="A44" s="42" t="s">
        <v>30</v>
      </c>
      <c r="B44" s="43">
        <v>70915</v>
      </c>
      <c r="C44" s="43">
        <v>46686</v>
      </c>
      <c r="D44" s="43">
        <v>24229</v>
      </c>
      <c r="E44" s="43">
        <v>67521</v>
      </c>
      <c r="F44" s="43">
        <v>44372</v>
      </c>
      <c r="G44" s="43">
        <v>23149</v>
      </c>
      <c r="H44" s="43">
        <v>3385</v>
      </c>
      <c r="I44" s="43">
        <v>2307</v>
      </c>
      <c r="J44" s="43">
        <v>1078</v>
      </c>
    </row>
    <row r="45" spans="1:10">
      <c r="A45" s="38" t="s">
        <v>31</v>
      </c>
      <c r="B45" s="44">
        <v>28825</v>
      </c>
      <c r="C45" s="44">
        <v>21125</v>
      </c>
      <c r="D45" s="44">
        <v>7700</v>
      </c>
      <c r="E45" s="44">
        <v>26632</v>
      </c>
      <c r="F45" s="44">
        <v>19689</v>
      </c>
      <c r="G45" s="44">
        <v>6943</v>
      </c>
      <c r="H45" s="44">
        <v>2188</v>
      </c>
      <c r="I45" s="44">
        <v>1431</v>
      </c>
      <c r="J45" s="44">
        <v>757</v>
      </c>
    </row>
    <row r="46" spans="1:10">
      <c r="A46" s="42" t="s">
        <v>32</v>
      </c>
      <c r="B46" s="43">
        <v>13557</v>
      </c>
      <c r="C46" s="43">
        <v>9066</v>
      </c>
      <c r="D46" s="43">
        <v>4491</v>
      </c>
      <c r="E46" s="43">
        <v>10574</v>
      </c>
      <c r="F46" s="43">
        <v>6799</v>
      </c>
      <c r="G46" s="43">
        <v>3775</v>
      </c>
      <c r="H46" s="43">
        <v>2977</v>
      </c>
      <c r="I46" s="43">
        <v>2262</v>
      </c>
      <c r="J46" s="43">
        <v>715</v>
      </c>
    </row>
    <row r="47" spans="1:10">
      <c r="A47" s="368" t="s">
        <v>37</v>
      </c>
      <c r="B47" s="369"/>
      <c r="C47" s="369"/>
      <c r="D47" s="369"/>
      <c r="E47" s="369"/>
      <c r="F47" s="369"/>
      <c r="G47" s="369"/>
      <c r="H47" s="369"/>
      <c r="I47" s="369"/>
      <c r="J47" s="370"/>
    </row>
    <row r="48" spans="1:10">
      <c r="A48" s="42" t="s">
        <v>28</v>
      </c>
      <c r="B48" s="43">
        <v>41976</v>
      </c>
      <c r="C48" s="43">
        <v>21895</v>
      </c>
      <c r="D48" s="43">
        <v>20081</v>
      </c>
      <c r="E48" s="43">
        <v>39280</v>
      </c>
      <c r="F48" s="43">
        <v>20120</v>
      </c>
      <c r="G48" s="43">
        <v>19160</v>
      </c>
      <c r="H48" s="43">
        <v>2689</v>
      </c>
      <c r="I48" s="43">
        <v>1771</v>
      </c>
      <c r="J48" s="43">
        <v>918</v>
      </c>
    </row>
    <row r="49" spans="1:10">
      <c r="A49" s="38" t="s">
        <v>29</v>
      </c>
      <c r="B49" s="44">
        <v>5381</v>
      </c>
      <c r="C49" s="44">
        <v>2977</v>
      </c>
      <c r="D49" s="44">
        <v>2404</v>
      </c>
      <c r="E49" s="44">
        <v>4685</v>
      </c>
      <c r="F49" s="44">
        <v>2522</v>
      </c>
      <c r="G49" s="44">
        <v>2163</v>
      </c>
      <c r="H49" s="44">
        <v>696</v>
      </c>
      <c r="I49" s="44">
        <v>455</v>
      </c>
      <c r="J49" s="44">
        <v>241</v>
      </c>
    </row>
    <row r="50" spans="1:10">
      <c r="A50" s="42" t="s">
        <v>30</v>
      </c>
      <c r="B50" s="43">
        <v>26936</v>
      </c>
      <c r="C50" s="43">
        <v>12840</v>
      </c>
      <c r="D50" s="43">
        <v>14096</v>
      </c>
      <c r="E50" s="43">
        <v>26209</v>
      </c>
      <c r="F50" s="43">
        <v>12440</v>
      </c>
      <c r="G50" s="43">
        <v>13769</v>
      </c>
      <c r="H50" s="43">
        <v>723</v>
      </c>
      <c r="I50" s="43">
        <v>398</v>
      </c>
      <c r="J50" s="43">
        <v>325</v>
      </c>
    </row>
    <row r="51" spans="1:10">
      <c r="A51" s="38" t="s">
        <v>31</v>
      </c>
      <c r="B51" s="44">
        <v>6152</v>
      </c>
      <c r="C51" s="44">
        <v>4046</v>
      </c>
      <c r="D51" s="44">
        <v>2106</v>
      </c>
      <c r="E51" s="44">
        <v>5737</v>
      </c>
      <c r="F51" s="44">
        <v>3803</v>
      </c>
      <c r="G51" s="44">
        <v>1934</v>
      </c>
      <c r="H51" s="44">
        <v>414</v>
      </c>
      <c r="I51" s="44">
        <v>242</v>
      </c>
      <c r="J51" s="44">
        <v>172</v>
      </c>
    </row>
    <row r="52" spans="1:10">
      <c r="A52" s="42" t="s">
        <v>32</v>
      </c>
      <c r="B52" s="43">
        <v>3507</v>
      </c>
      <c r="C52" s="43">
        <v>2032</v>
      </c>
      <c r="D52" s="43">
        <v>1475</v>
      </c>
      <c r="E52" s="43">
        <v>2649</v>
      </c>
      <c r="F52" s="43">
        <v>1355</v>
      </c>
      <c r="G52" s="43">
        <v>1294</v>
      </c>
      <c r="H52" s="43">
        <v>856</v>
      </c>
      <c r="I52" s="43">
        <v>676</v>
      </c>
      <c r="J52" s="43">
        <v>180</v>
      </c>
    </row>
    <row r="53" spans="1:10">
      <c r="A53" s="368" t="s">
        <v>38</v>
      </c>
      <c r="B53" s="369"/>
      <c r="C53" s="369"/>
      <c r="D53" s="369"/>
      <c r="E53" s="369"/>
      <c r="F53" s="369"/>
      <c r="G53" s="369"/>
      <c r="H53" s="369"/>
      <c r="I53" s="369"/>
      <c r="J53" s="370"/>
    </row>
    <row r="54" spans="1:10">
      <c r="A54" s="42" t="s">
        <v>28</v>
      </c>
      <c r="B54" s="43">
        <v>45334</v>
      </c>
      <c r="C54" s="43">
        <v>22750</v>
      </c>
      <c r="D54" s="43">
        <v>22584</v>
      </c>
      <c r="E54" s="43">
        <v>42548</v>
      </c>
      <c r="F54" s="43">
        <v>20938</v>
      </c>
      <c r="G54" s="43">
        <v>21610</v>
      </c>
      <c r="H54" s="43">
        <v>2762</v>
      </c>
      <c r="I54" s="43">
        <v>1800</v>
      </c>
      <c r="J54" s="43">
        <v>962</v>
      </c>
    </row>
    <row r="55" spans="1:10">
      <c r="A55" s="38" t="s">
        <v>29</v>
      </c>
      <c r="B55" s="44">
        <v>4955</v>
      </c>
      <c r="C55" s="44">
        <v>2717</v>
      </c>
      <c r="D55" s="44">
        <v>2238</v>
      </c>
      <c r="E55" s="44">
        <v>4291</v>
      </c>
      <c r="F55" s="44">
        <v>2278</v>
      </c>
      <c r="G55" s="44">
        <v>2013</v>
      </c>
      <c r="H55" s="44">
        <v>659</v>
      </c>
      <c r="I55" s="44">
        <v>437</v>
      </c>
      <c r="J55" s="44">
        <v>222</v>
      </c>
    </row>
    <row r="56" spans="1:10">
      <c r="A56" s="42" t="s">
        <v>30</v>
      </c>
      <c r="B56" s="43">
        <v>32098</v>
      </c>
      <c r="C56" s="43">
        <v>15635</v>
      </c>
      <c r="D56" s="43">
        <v>16463</v>
      </c>
      <c r="E56" s="43">
        <v>31212</v>
      </c>
      <c r="F56" s="43">
        <v>15087</v>
      </c>
      <c r="G56" s="43">
        <v>16125</v>
      </c>
      <c r="H56" s="43">
        <v>878</v>
      </c>
      <c r="I56" s="43">
        <v>544</v>
      </c>
      <c r="J56" s="43">
        <v>334</v>
      </c>
    </row>
    <row r="57" spans="1:10">
      <c r="A57" s="38" t="s">
        <v>31</v>
      </c>
      <c r="B57" s="44">
        <v>4756</v>
      </c>
      <c r="C57" s="44">
        <v>2599</v>
      </c>
      <c r="D57" s="44">
        <v>2157</v>
      </c>
      <c r="E57" s="44">
        <v>4296</v>
      </c>
      <c r="F57" s="44">
        <v>2325</v>
      </c>
      <c r="G57" s="44">
        <v>1971</v>
      </c>
      <c r="H57" s="44">
        <v>459</v>
      </c>
      <c r="I57" s="44">
        <v>274</v>
      </c>
      <c r="J57" s="44">
        <v>185</v>
      </c>
    </row>
    <row r="58" spans="1:10">
      <c r="A58" s="42" t="s">
        <v>32</v>
      </c>
      <c r="B58" s="43">
        <v>3525</v>
      </c>
      <c r="C58" s="43">
        <v>1799</v>
      </c>
      <c r="D58" s="43">
        <v>1726</v>
      </c>
      <c r="E58" s="43">
        <v>2749</v>
      </c>
      <c r="F58" s="43">
        <v>1248</v>
      </c>
      <c r="G58" s="43">
        <v>1501</v>
      </c>
      <c r="H58" s="43">
        <v>766</v>
      </c>
      <c r="I58" s="43">
        <v>545</v>
      </c>
      <c r="J58" s="43">
        <v>221</v>
      </c>
    </row>
    <row r="59" spans="1:10">
      <c r="A59" s="368" t="s">
        <v>39</v>
      </c>
      <c r="B59" s="369"/>
      <c r="C59" s="369"/>
      <c r="D59" s="369"/>
      <c r="E59" s="369"/>
      <c r="F59" s="369"/>
      <c r="G59" s="369"/>
      <c r="H59" s="369"/>
      <c r="I59" s="369"/>
      <c r="J59" s="370"/>
    </row>
    <row r="60" spans="1:10">
      <c r="A60" s="42" t="s">
        <v>28</v>
      </c>
      <c r="B60" s="43">
        <v>22488</v>
      </c>
      <c r="C60" s="43">
        <v>9679</v>
      </c>
      <c r="D60" s="43">
        <v>12809</v>
      </c>
      <c r="E60" s="43">
        <v>21049</v>
      </c>
      <c r="F60" s="43">
        <v>8680</v>
      </c>
      <c r="G60" s="43">
        <v>12369</v>
      </c>
      <c r="H60" s="43">
        <v>1431</v>
      </c>
      <c r="I60" s="43">
        <v>994</v>
      </c>
      <c r="J60" s="43">
        <v>437</v>
      </c>
    </row>
    <row r="61" spans="1:10">
      <c r="A61" s="38" t="s">
        <v>29</v>
      </c>
      <c r="B61" s="44">
        <v>2496</v>
      </c>
      <c r="C61" s="44">
        <v>1260</v>
      </c>
      <c r="D61" s="44">
        <v>1236</v>
      </c>
      <c r="E61" s="44">
        <v>2190</v>
      </c>
      <c r="F61" s="44">
        <v>1068</v>
      </c>
      <c r="G61" s="44">
        <v>1122</v>
      </c>
      <c r="H61" s="44">
        <v>305</v>
      </c>
      <c r="I61" s="44">
        <v>192</v>
      </c>
      <c r="J61" s="44">
        <v>113</v>
      </c>
    </row>
    <row r="62" spans="1:10">
      <c r="A62" s="42" t="s">
        <v>30</v>
      </c>
      <c r="B62" s="43">
        <v>15661</v>
      </c>
      <c r="C62" s="43">
        <v>6248</v>
      </c>
      <c r="D62" s="43">
        <v>9413</v>
      </c>
      <c r="E62" s="43">
        <v>15049</v>
      </c>
      <c r="F62" s="43">
        <v>5803</v>
      </c>
      <c r="G62" s="43">
        <v>9246</v>
      </c>
      <c r="H62" s="43">
        <v>606</v>
      </c>
      <c r="I62" s="43">
        <v>441</v>
      </c>
      <c r="J62" s="43">
        <v>165</v>
      </c>
    </row>
    <row r="63" spans="1:10">
      <c r="A63" s="38" t="s">
        <v>31</v>
      </c>
      <c r="B63" s="44">
        <v>2223</v>
      </c>
      <c r="C63" s="44">
        <v>1053</v>
      </c>
      <c r="D63" s="44">
        <v>1170</v>
      </c>
      <c r="E63" s="44">
        <v>2041</v>
      </c>
      <c r="F63" s="44">
        <v>943</v>
      </c>
      <c r="G63" s="44">
        <v>1098</v>
      </c>
      <c r="H63" s="44">
        <v>182</v>
      </c>
      <c r="I63" s="44">
        <v>110</v>
      </c>
      <c r="J63" s="44">
        <v>72</v>
      </c>
    </row>
    <row r="64" spans="1:10">
      <c r="A64" s="42" t="s">
        <v>32</v>
      </c>
      <c r="B64" s="43">
        <v>2108</v>
      </c>
      <c r="C64" s="43">
        <v>1118</v>
      </c>
      <c r="D64" s="43">
        <v>990</v>
      </c>
      <c r="E64" s="43">
        <v>1769</v>
      </c>
      <c r="F64" s="43">
        <v>866</v>
      </c>
      <c r="G64" s="43">
        <v>903</v>
      </c>
      <c r="H64" s="43">
        <v>338</v>
      </c>
      <c r="I64" s="43">
        <v>251</v>
      </c>
      <c r="J64" s="43">
        <v>87</v>
      </c>
    </row>
    <row r="65" spans="1:10">
      <c r="A65" s="368" t="s">
        <v>40</v>
      </c>
      <c r="B65" s="369"/>
      <c r="C65" s="369"/>
      <c r="D65" s="369"/>
      <c r="E65" s="369"/>
      <c r="F65" s="369"/>
      <c r="G65" s="369"/>
      <c r="H65" s="369"/>
      <c r="I65" s="369"/>
      <c r="J65" s="370"/>
    </row>
    <row r="66" spans="1:10">
      <c r="A66" s="42" t="s">
        <v>28</v>
      </c>
      <c r="B66" s="43">
        <v>45481</v>
      </c>
      <c r="C66" s="43">
        <v>24951</v>
      </c>
      <c r="D66" s="43">
        <v>20530</v>
      </c>
      <c r="E66" s="43">
        <v>42353</v>
      </c>
      <c r="F66" s="43">
        <v>22551</v>
      </c>
      <c r="G66" s="43">
        <v>19802</v>
      </c>
      <c r="H66" s="43">
        <v>3117</v>
      </c>
      <c r="I66" s="43">
        <v>2391</v>
      </c>
      <c r="J66" s="43">
        <v>726</v>
      </c>
    </row>
    <row r="67" spans="1:10">
      <c r="A67" s="38" t="s">
        <v>29</v>
      </c>
      <c r="B67" s="44">
        <v>5060</v>
      </c>
      <c r="C67" s="44">
        <v>3066</v>
      </c>
      <c r="D67" s="44">
        <v>1994</v>
      </c>
      <c r="E67" s="44">
        <v>4355</v>
      </c>
      <c r="F67" s="44">
        <v>2534</v>
      </c>
      <c r="G67" s="44">
        <v>1821</v>
      </c>
      <c r="H67" s="44">
        <v>701</v>
      </c>
      <c r="I67" s="44">
        <v>528</v>
      </c>
      <c r="J67" s="44">
        <v>173</v>
      </c>
    </row>
    <row r="68" spans="1:10">
      <c r="A68" s="42" t="s">
        <v>30</v>
      </c>
      <c r="B68" s="43">
        <v>32847</v>
      </c>
      <c r="C68" s="43">
        <v>17909</v>
      </c>
      <c r="D68" s="43">
        <v>14938</v>
      </c>
      <c r="E68" s="43">
        <v>31433</v>
      </c>
      <c r="F68" s="43">
        <v>16760</v>
      </c>
      <c r="G68" s="43">
        <v>14673</v>
      </c>
      <c r="H68" s="43">
        <v>1412</v>
      </c>
      <c r="I68" s="43">
        <v>1148</v>
      </c>
      <c r="J68" s="43">
        <v>264</v>
      </c>
    </row>
    <row r="69" spans="1:10">
      <c r="A69" s="38" t="s">
        <v>31</v>
      </c>
      <c r="B69" s="44">
        <v>4294</v>
      </c>
      <c r="C69" s="44">
        <v>2220</v>
      </c>
      <c r="D69" s="44">
        <v>2074</v>
      </c>
      <c r="E69" s="44">
        <v>4038</v>
      </c>
      <c r="F69" s="44">
        <v>2068</v>
      </c>
      <c r="G69" s="44">
        <v>1970</v>
      </c>
      <c r="H69" s="44">
        <v>255</v>
      </c>
      <c r="I69" s="44">
        <v>151</v>
      </c>
      <c r="J69" s="44">
        <v>104</v>
      </c>
    </row>
    <row r="70" spans="1:10">
      <c r="A70" s="42" t="s">
        <v>32</v>
      </c>
      <c r="B70" s="43">
        <v>3280</v>
      </c>
      <c r="C70" s="43">
        <v>1756</v>
      </c>
      <c r="D70" s="43">
        <v>1524</v>
      </c>
      <c r="E70" s="43">
        <v>2527</v>
      </c>
      <c r="F70" s="43">
        <v>1189</v>
      </c>
      <c r="G70" s="43">
        <v>1338</v>
      </c>
      <c r="H70" s="43">
        <v>749</v>
      </c>
      <c r="I70" s="43">
        <v>564</v>
      </c>
      <c r="J70" s="43">
        <v>185</v>
      </c>
    </row>
    <row r="71" spans="1:10">
      <c r="A71" s="368" t="s">
        <v>41</v>
      </c>
      <c r="B71" s="369"/>
      <c r="C71" s="369"/>
      <c r="D71" s="369"/>
      <c r="E71" s="369"/>
      <c r="F71" s="369"/>
      <c r="G71" s="369"/>
      <c r="H71" s="369"/>
      <c r="I71" s="369"/>
      <c r="J71" s="370"/>
    </row>
    <row r="72" spans="1:10">
      <c r="A72" s="42" t="s">
        <v>28</v>
      </c>
      <c r="B72" s="43">
        <v>32164</v>
      </c>
      <c r="C72" s="43">
        <v>17073</v>
      </c>
      <c r="D72" s="43">
        <v>15091</v>
      </c>
      <c r="E72" s="43">
        <v>29551</v>
      </c>
      <c r="F72" s="43">
        <v>15182</v>
      </c>
      <c r="G72" s="43">
        <v>14369</v>
      </c>
      <c r="H72" s="43">
        <v>2590</v>
      </c>
      <c r="I72" s="43">
        <v>1871</v>
      </c>
      <c r="J72" s="43">
        <v>719</v>
      </c>
    </row>
    <row r="73" spans="1:10">
      <c r="A73" s="38" t="s">
        <v>29</v>
      </c>
      <c r="B73" s="44">
        <v>4990</v>
      </c>
      <c r="C73" s="44">
        <v>3024</v>
      </c>
      <c r="D73" s="44">
        <v>1966</v>
      </c>
      <c r="E73" s="44">
        <v>4192</v>
      </c>
      <c r="F73" s="44">
        <v>2436</v>
      </c>
      <c r="G73" s="44">
        <v>1756</v>
      </c>
      <c r="H73" s="44">
        <v>787</v>
      </c>
      <c r="I73" s="44">
        <v>578</v>
      </c>
      <c r="J73" s="44">
        <v>209</v>
      </c>
    </row>
    <row r="74" spans="1:10">
      <c r="A74" s="42" t="s">
        <v>30</v>
      </c>
      <c r="B74" s="43">
        <v>21626</v>
      </c>
      <c r="C74" s="43">
        <v>10933</v>
      </c>
      <c r="D74" s="43">
        <v>10693</v>
      </c>
      <c r="E74" s="43">
        <v>20753</v>
      </c>
      <c r="F74" s="43">
        <v>10325</v>
      </c>
      <c r="G74" s="43">
        <v>10428</v>
      </c>
      <c r="H74" s="43">
        <v>863</v>
      </c>
      <c r="I74" s="43">
        <v>600</v>
      </c>
      <c r="J74" s="43">
        <v>263</v>
      </c>
    </row>
    <row r="75" spans="1:10">
      <c r="A75" s="38" t="s">
        <v>31</v>
      </c>
      <c r="B75" s="44">
        <v>2777</v>
      </c>
      <c r="C75" s="44">
        <v>1407</v>
      </c>
      <c r="D75" s="44">
        <v>1370</v>
      </c>
      <c r="E75" s="44">
        <v>2599</v>
      </c>
      <c r="F75" s="44">
        <v>1316</v>
      </c>
      <c r="G75" s="44">
        <v>1283</v>
      </c>
      <c r="H75" s="44">
        <v>178</v>
      </c>
      <c r="I75" s="44">
        <v>91</v>
      </c>
      <c r="J75" s="44">
        <v>87</v>
      </c>
    </row>
    <row r="76" spans="1:10">
      <c r="A76" s="42" t="s">
        <v>32</v>
      </c>
      <c r="B76" s="43">
        <v>2771</v>
      </c>
      <c r="C76" s="43">
        <v>1709</v>
      </c>
      <c r="D76" s="43">
        <v>1062</v>
      </c>
      <c r="E76" s="43">
        <v>2007</v>
      </c>
      <c r="F76" s="43">
        <v>1105</v>
      </c>
      <c r="G76" s="43">
        <v>902</v>
      </c>
      <c r="H76" s="43">
        <v>762</v>
      </c>
      <c r="I76" s="43">
        <v>602</v>
      </c>
      <c r="J76" s="43">
        <v>160</v>
      </c>
    </row>
    <row r="77" spans="1:10">
      <c r="A77" s="368" t="s">
        <v>42</v>
      </c>
      <c r="B77" s="369"/>
      <c r="C77" s="369"/>
      <c r="D77" s="369"/>
      <c r="E77" s="369"/>
      <c r="F77" s="369"/>
      <c r="G77" s="369"/>
      <c r="H77" s="369"/>
      <c r="I77" s="369"/>
      <c r="J77" s="370"/>
    </row>
    <row r="78" spans="1:10">
      <c r="A78" s="42" t="s">
        <v>28</v>
      </c>
      <c r="B78" s="43">
        <v>24876</v>
      </c>
      <c r="C78" s="43">
        <v>11402</v>
      </c>
      <c r="D78" s="43">
        <v>13474</v>
      </c>
      <c r="E78" s="43">
        <v>23462</v>
      </c>
      <c r="F78" s="43">
        <v>10528</v>
      </c>
      <c r="G78" s="43">
        <v>12934</v>
      </c>
      <c r="H78" s="43">
        <v>1412</v>
      </c>
      <c r="I78" s="43">
        <v>873</v>
      </c>
      <c r="J78" s="43">
        <v>539</v>
      </c>
    </row>
    <row r="79" spans="1:10">
      <c r="A79" s="38" t="s">
        <v>29</v>
      </c>
      <c r="B79" s="44">
        <v>2595</v>
      </c>
      <c r="C79" s="44">
        <v>1320</v>
      </c>
      <c r="D79" s="44">
        <v>1275</v>
      </c>
      <c r="E79" s="44">
        <v>2276</v>
      </c>
      <c r="F79" s="44">
        <v>1141</v>
      </c>
      <c r="G79" s="44">
        <v>1135</v>
      </c>
      <c r="H79" s="44">
        <v>319</v>
      </c>
      <c r="I79" s="44">
        <v>179</v>
      </c>
      <c r="J79" s="44">
        <v>140</v>
      </c>
    </row>
    <row r="80" spans="1:10">
      <c r="A80" s="42" t="s">
        <v>30</v>
      </c>
      <c r="B80" s="43">
        <v>16927</v>
      </c>
      <c r="C80" s="43">
        <v>7635</v>
      </c>
      <c r="D80" s="43">
        <v>9292</v>
      </c>
      <c r="E80" s="43">
        <v>16357</v>
      </c>
      <c r="F80" s="43">
        <v>7252</v>
      </c>
      <c r="G80" s="43">
        <v>9105</v>
      </c>
      <c r="H80" s="43">
        <v>568</v>
      </c>
      <c r="I80" s="43">
        <v>382</v>
      </c>
      <c r="J80" s="43">
        <v>186</v>
      </c>
    </row>
    <row r="81" spans="1:10">
      <c r="A81" s="38" t="s">
        <v>31</v>
      </c>
      <c r="B81" s="44">
        <v>3197</v>
      </c>
      <c r="C81" s="44">
        <v>1485</v>
      </c>
      <c r="D81" s="44">
        <v>1712</v>
      </c>
      <c r="E81" s="44">
        <v>3026</v>
      </c>
      <c r="F81" s="44">
        <v>1408</v>
      </c>
      <c r="G81" s="44">
        <v>1618</v>
      </c>
      <c r="H81" s="44">
        <v>171</v>
      </c>
      <c r="I81" s="44">
        <v>77</v>
      </c>
      <c r="J81" s="44">
        <v>94</v>
      </c>
    </row>
    <row r="82" spans="1:10">
      <c r="A82" s="42" t="s">
        <v>32</v>
      </c>
      <c r="B82" s="43">
        <v>2157</v>
      </c>
      <c r="C82" s="43">
        <v>962</v>
      </c>
      <c r="D82" s="43">
        <v>1195</v>
      </c>
      <c r="E82" s="43">
        <v>1803</v>
      </c>
      <c r="F82" s="43">
        <v>727</v>
      </c>
      <c r="G82" s="43">
        <v>1076</v>
      </c>
      <c r="H82" s="43">
        <v>354</v>
      </c>
      <c r="I82" s="43">
        <v>235</v>
      </c>
      <c r="J82" s="43">
        <v>119</v>
      </c>
    </row>
    <row r="83" spans="1:10">
      <c r="A83" s="368" t="s">
        <v>43</v>
      </c>
      <c r="B83" s="369"/>
      <c r="C83" s="369"/>
      <c r="D83" s="369"/>
      <c r="E83" s="369"/>
      <c r="F83" s="369"/>
      <c r="G83" s="369"/>
      <c r="H83" s="369"/>
      <c r="I83" s="369"/>
      <c r="J83" s="370"/>
    </row>
    <row r="84" spans="1:10">
      <c r="A84" s="42" t="s">
        <v>28</v>
      </c>
      <c r="B84" s="43">
        <v>129083</v>
      </c>
      <c r="C84" s="43">
        <v>66564</v>
      </c>
      <c r="D84" s="43">
        <v>62519</v>
      </c>
      <c r="E84" s="43">
        <v>120386</v>
      </c>
      <c r="F84" s="43">
        <v>61270</v>
      </c>
      <c r="G84" s="43">
        <v>59116</v>
      </c>
      <c r="H84" s="43">
        <v>8659</v>
      </c>
      <c r="I84" s="43">
        <v>5270</v>
      </c>
      <c r="J84" s="43">
        <v>3389</v>
      </c>
    </row>
    <row r="85" spans="1:10">
      <c r="A85" s="38" t="s">
        <v>29</v>
      </c>
      <c r="B85" s="44">
        <v>15454</v>
      </c>
      <c r="C85" s="44">
        <v>8729</v>
      </c>
      <c r="D85" s="44">
        <v>6725</v>
      </c>
      <c r="E85" s="44">
        <v>13418</v>
      </c>
      <c r="F85" s="44">
        <v>7384</v>
      </c>
      <c r="G85" s="44">
        <v>6034</v>
      </c>
      <c r="H85" s="44">
        <v>2021</v>
      </c>
      <c r="I85" s="44">
        <v>1333</v>
      </c>
      <c r="J85" s="44">
        <v>688</v>
      </c>
    </row>
    <row r="86" spans="1:10">
      <c r="A86" s="42" t="s">
        <v>30</v>
      </c>
      <c r="B86" s="43">
        <v>83293</v>
      </c>
      <c r="C86" s="43">
        <v>41463</v>
      </c>
      <c r="D86" s="43">
        <v>41830</v>
      </c>
      <c r="E86" s="43">
        <v>80747</v>
      </c>
      <c r="F86" s="43">
        <v>39933</v>
      </c>
      <c r="G86" s="43">
        <v>40814</v>
      </c>
      <c r="H86" s="43">
        <v>2539</v>
      </c>
      <c r="I86" s="43">
        <v>1526</v>
      </c>
      <c r="J86" s="43">
        <v>1013</v>
      </c>
    </row>
    <row r="87" spans="1:10">
      <c r="A87" s="38" t="s">
        <v>31</v>
      </c>
      <c r="B87" s="44">
        <v>22315</v>
      </c>
      <c r="C87" s="44">
        <v>11834</v>
      </c>
      <c r="D87" s="44">
        <v>10481</v>
      </c>
      <c r="E87" s="44">
        <v>19786</v>
      </c>
      <c r="F87" s="44">
        <v>10486</v>
      </c>
      <c r="G87" s="44">
        <v>9300</v>
      </c>
      <c r="H87" s="44">
        <v>2521</v>
      </c>
      <c r="I87" s="44">
        <v>1344</v>
      </c>
      <c r="J87" s="44">
        <v>1177</v>
      </c>
    </row>
    <row r="88" spans="1:10">
      <c r="A88" s="42" t="s">
        <v>32</v>
      </c>
      <c r="B88" s="43">
        <v>8021</v>
      </c>
      <c r="C88" s="43">
        <v>4538</v>
      </c>
      <c r="D88" s="43">
        <v>3483</v>
      </c>
      <c r="E88" s="43">
        <v>6435</v>
      </c>
      <c r="F88" s="43">
        <v>3467</v>
      </c>
      <c r="G88" s="43">
        <v>2968</v>
      </c>
      <c r="H88" s="43">
        <v>1578</v>
      </c>
      <c r="I88" s="43">
        <v>1067</v>
      </c>
      <c r="J88" s="43">
        <v>511</v>
      </c>
    </row>
    <row r="89" spans="1:10">
      <c r="A89" s="368" t="s">
        <v>44</v>
      </c>
      <c r="B89" s="369"/>
      <c r="C89" s="369"/>
      <c r="D89" s="369"/>
      <c r="E89" s="369"/>
      <c r="F89" s="369"/>
      <c r="G89" s="369"/>
      <c r="H89" s="369"/>
      <c r="I89" s="369"/>
      <c r="J89" s="370"/>
    </row>
    <row r="90" spans="1:10">
      <c r="A90" s="42" t="s">
        <v>28</v>
      </c>
      <c r="B90" s="43">
        <v>831428</v>
      </c>
      <c r="C90" s="43">
        <v>442454</v>
      </c>
      <c r="D90" s="43">
        <v>388974</v>
      </c>
      <c r="E90" s="43">
        <v>751603</v>
      </c>
      <c r="F90" s="43">
        <v>391704</v>
      </c>
      <c r="G90" s="43">
        <v>359899</v>
      </c>
      <c r="H90" s="43">
        <v>79418</v>
      </c>
      <c r="I90" s="43">
        <v>50474</v>
      </c>
      <c r="J90" s="43">
        <v>28944</v>
      </c>
    </row>
    <row r="91" spans="1:10">
      <c r="A91" s="38" t="s">
        <v>29</v>
      </c>
      <c r="B91" s="44">
        <v>101556</v>
      </c>
      <c r="C91" s="44">
        <v>58269</v>
      </c>
      <c r="D91" s="44">
        <v>43287</v>
      </c>
      <c r="E91" s="44">
        <v>80538</v>
      </c>
      <c r="F91" s="44">
        <v>44464</v>
      </c>
      <c r="G91" s="44">
        <v>36074</v>
      </c>
      <c r="H91" s="44">
        <v>20904</v>
      </c>
      <c r="I91" s="44">
        <v>13717</v>
      </c>
      <c r="J91" s="44">
        <v>7187</v>
      </c>
    </row>
    <row r="92" spans="1:10">
      <c r="A92" s="42" t="s">
        <v>30</v>
      </c>
      <c r="B92" s="43">
        <v>529990</v>
      </c>
      <c r="C92" s="43">
        <v>272429</v>
      </c>
      <c r="D92" s="43">
        <v>257561</v>
      </c>
      <c r="E92" s="43">
        <v>503494</v>
      </c>
      <c r="F92" s="43">
        <v>256066</v>
      </c>
      <c r="G92" s="43">
        <v>247428</v>
      </c>
      <c r="H92" s="43">
        <v>26346</v>
      </c>
      <c r="I92" s="43">
        <v>16274</v>
      </c>
      <c r="J92" s="43">
        <v>10072</v>
      </c>
    </row>
    <row r="93" spans="1:10">
      <c r="A93" s="38" t="s">
        <v>31</v>
      </c>
      <c r="B93" s="44">
        <v>121609</v>
      </c>
      <c r="C93" s="44">
        <v>65902</v>
      </c>
      <c r="D93" s="44">
        <v>55707</v>
      </c>
      <c r="E93" s="44">
        <v>112094</v>
      </c>
      <c r="F93" s="44">
        <v>61005</v>
      </c>
      <c r="G93" s="44">
        <v>51089</v>
      </c>
      <c r="H93" s="44">
        <v>9486</v>
      </c>
      <c r="I93" s="44">
        <v>4882</v>
      </c>
      <c r="J93" s="44">
        <v>4604</v>
      </c>
    </row>
    <row r="94" spans="1:10">
      <c r="A94" s="42" t="s">
        <v>32</v>
      </c>
      <c r="B94" s="43">
        <v>78273</v>
      </c>
      <c r="C94" s="43">
        <v>45854</v>
      </c>
      <c r="D94" s="43">
        <v>32419</v>
      </c>
      <c r="E94" s="43">
        <v>55477</v>
      </c>
      <c r="F94" s="43">
        <v>30169</v>
      </c>
      <c r="G94" s="43">
        <v>25308</v>
      </c>
      <c r="H94" s="43">
        <v>22682</v>
      </c>
      <c r="I94" s="43">
        <v>15601</v>
      </c>
      <c r="J94" s="43">
        <v>7081</v>
      </c>
    </row>
    <row r="95" spans="1:10">
      <c r="A95" s="368" t="s">
        <v>45</v>
      </c>
      <c r="B95" s="369"/>
      <c r="C95" s="369"/>
      <c r="D95" s="369"/>
      <c r="E95" s="369"/>
      <c r="F95" s="369"/>
      <c r="G95" s="369"/>
      <c r="H95" s="369"/>
      <c r="I95" s="369"/>
      <c r="J95" s="370"/>
    </row>
    <row r="96" spans="1:10">
      <c r="A96" s="42" t="s">
        <v>28</v>
      </c>
      <c r="B96" s="43">
        <v>509668</v>
      </c>
      <c r="C96" s="43">
        <v>272704</v>
      </c>
      <c r="D96" s="43">
        <v>236964</v>
      </c>
      <c r="E96" s="43">
        <v>453174</v>
      </c>
      <c r="F96" s="43">
        <v>237484</v>
      </c>
      <c r="G96" s="43">
        <v>215690</v>
      </c>
      <c r="H96" s="43">
        <v>56204</v>
      </c>
      <c r="I96" s="43">
        <v>35024</v>
      </c>
      <c r="J96" s="43">
        <v>21180</v>
      </c>
    </row>
    <row r="97" spans="1:10">
      <c r="A97" s="38" t="s">
        <v>29</v>
      </c>
      <c r="B97" s="44">
        <v>61546</v>
      </c>
      <c r="C97" s="44">
        <v>35435</v>
      </c>
      <c r="D97" s="44">
        <v>26111</v>
      </c>
      <c r="E97" s="44">
        <v>46491</v>
      </c>
      <c r="F97" s="44">
        <v>25668</v>
      </c>
      <c r="G97" s="44">
        <v>20823</v>
      </c>
      <c r="H97" s="44">
        <v>14972</v>
      </c>
      <c r="I97" s="44">
        <v>9701</v>
      </c>
      <c r="J97" s="44">
        <v>5271</v>
      </c>
    </row>
    <row r="98" spans="1:10">
      <c r="A98" s="42" t="s">
        <v>30</v>
      </c>
      <c r="B98" s="43">
        <v>309771</v>
      </c>
      <c r="C98" s="43">
        <v>159248</v>
      </c>
      <c r="D98" s="43">
        <v>150523</v>
      </c>
      <c r="E98" s="43">
        <v>291404</v>
      </c>
      <c r="F98" s="43">
        <v>148205</v>
      </c>
      <c r="G98" s="43">
        <v>143199</v>
      </c>
      <c r="H98" s="43">
        <v>18258</v>
      </c>
      <c r="I98" s="43">
        <v>10983</v>
      </c>
      <c r="J98" s="43">
        <v>7275</v>
      </c>
    </row>
    <row r="99" spans="1:10">
      <c r="A99" s="38" t="s">
        <v>31</v>
      </c>
      <c r="B99" s="44">
        <v>89183</v>
      </c>
      <c r="C99" s="44">
        <v>48831</v>
      </c>
      <c r="D99" s="44">
        <v>40352</v>
      </c>
      <c r="E99" s="44">
        <v>81980</v>
      </c>
      <c r="F99" s="44">
        <v>45150</v>
      </c>
      <c r="G99" s="44">
        <v>36830</v>
      </c>
      <c r="H99" s="44">
        <v>7179</v>
      </c>
      <c r="I99" s="44">
        <v>3668</v>
      </c>
      <c r="J99" s="44">
        <v>3511</v>
      </c>
    </row>
    <row r="100" spans="1:10">
      <c r="A100" s="42" t="s">
        <v>32</v>
      </c>
      <c r="B100" s="43">
        <v>49168</v>
      </c>
      <c r="C100" s="43">
        <v>29190</v>
      </c>
      <c r="D100" s="43">
        <v>19978</v>
      </c>
      <c r="E100" s="43">
        <v>33299</v>
      </c>
      <c r="F100" s="43">
        <v>18461</v>
      </c>
      <c r="G100" s="43">
        <v>14838</v>
      </c>
      <c r="H100" s="43">
        <v>15795</v>
      </c>
      <c r="I100" s="43">
        <v>10672</v>
      </c>
      <c r="J100" s="43">
        <v>5123</v>
      </c>
    </row>
    <row r="101" spans="1:10">
      <c r="A101" s="368" t="s">
        <v>46</v>
      </c>
      <c r="B101" s="369"/>
      <c r="C101" s="369"/>
      <c r="D101" s="369"/>
      <c r="E101" s="369"/>
      <c r="F101" s="369"/>
      <c r="G101" s="369"/>
      <c r="H101" s="369"/>
      <c r="I101" s="369"/>
      <c r="J101" s="370"/>
    </row>
    <row r="102" spans="1:10">
      <c r="A102" s="42" t="s">
        <v>28</v>
      </c>
      <c r="B102" s="43">
        <v>324727</v>
      </c>
      <c r="C102" s="43">
        <v>171976</v>
      </c>
      <c r="D102" s="43">
        <v>152751</v>
      </c>
      <c r="E102" s="43">
        <v>288598</v>
      </c>
      <c r="F102" s="43">
        <v>150232</v>
      </c>
      <c r="G102" s="43">
        <v>138366</v>
      </c>
      <c r="H102" s="43">
        <v>35942</v>
      </c>
      <c r="I102" s="43">
        <v>21620</v>
      </c>
      <c r="J102" s="43">
        <v>14322</v>
      </c>
    </row>
    <row r="103" spans="1:10">
      <c r="A103" s="38" t="s">
        <v>29</v>
      </c>
      <c r="B103" s="44">
        <v>37292</v>
      </c>
      <c r="C103" s="44">
        <v>20860</v>
      </c>
      <c r="D103" s="44">
        <v>16432</v>
      </c>
      <c r="E103" s="44">
        <v>28003</v>
      </c>
      <c r="F103" s="44">
        <v>15059</v>
      </c>
      <c r="G103" s="44">
        <v>12944</v>
      </c>
      <c r="H103" s="44">
        <v>9237</v>
      </c>
      <c r="I103" s="44">
        <v>5760</v>
      </c>
      <c r="J103" s="44">
        <v>3477</v>
      </c>
    </row>
    <row r="104" spans="1:10">
      <c r="A104" s="42" t="s">
        <v>30</v>
      </c>
      <c r="B104" s="43">
        <v>187991</v>
      </c>
      <c r="C104" s="43">
        <v>95085</v>
      </c>
      <c r="D104" s="43">
        <v>92906</v>
      </c>
      <c r="E104" s="43">
        <v>176392</v>
      </c>
      <c r="F104" s="43">
        <v>88321</v>
      </c>
      <c r="G104" s="43">
        <v>88071</v>
      </c>
      <c r="H104" s="43">
        <v>11528</v>
      </c>
      <c r="I104" s="43">
        <v>6727</v>
      </c>
      <c r="J104" s="43">
        <v>4801</v>
      </c>
    </row>
    <row r="105" spans="1:10">
      <c r="A105" s="38" t="s">
        <v>31</v>
      </c>
      <c r="B105" s="44">
        <v>69883</v>
      </c>
      <c r="C105" s="44">
        <v>38475</v>
      </c>
      <c r="D105" s="44">
        <v>31408</v>
      </c>
      <c r="E105" s="44">
        <v>64241</v>
      </c>
      <c r="F105" s="44">
        <v>35599</v>
      </c>
      <c r="G105" s="44">
        <v>28642</v>
      </c>
      <c r="H105" s="44">
        <v>5623</v>
      </c>
      <c r="I105" s="44">
        <v>2867</v>
      </c>
      <c r="J105" s="44">
        <v>2756</v>
      </c>
    </row>
    <row r="106" spans="1:10">
      <c r="A106" s="42" t="s">
        <v>32</v>
      </c>
      <c r="B106" s="43">
        <v>29561</v>
      </c>
      <c r="C106" s="43">
        <v>17556</v>
      </c>
      <c r="D106" s="43">
        <v>12005</v>
      </c>
      <c r="E106" s="43">
        <v>19962</v>
      </c>
      <c r="F106" s="43">
        <v>11253</v>
      </c>
      <c r="G106" s="43">
        <v>8709</v>
      </c>
      <c r="H106" s="43">
        <v>9554</v>
      </c>
      <c r="I106" s="43">
        <v>6266</v>
      </c>
      <c r="J106" s="43">
        <v>3288</v>
      </c>
    </row>
    <row r="107" spans="1:10">
      <c r="A107" s="368" t="s">
        <v>47</v>
      </c>
      <c r="B107" s="369"/>
      <c r="C107" s="369"/>
      <c r="D107" s="369"/>
      <c r="E107" s="369"/>
      <c r="F107" s="369"/>
      <c r="G107" s="369"/>
      <c r="H107" s="369"/>
      <c r="I107" s="369"/>
      <c r="J107" s="370"/>
    </row>
    <row r="108" spans="1:10">
      <c r="A108" s="42" t="s">
        <v>28</v>
      </c>
      <c r="B108" s="43">
        <v>70423</v>
      </c>
      <c r="C108" s="43">
        <v>38285</v>
      </c>
      <c r="D108" s="43">
        <v>32138</v>
      </c>
      <c r="E108" s="43">
        <v>64741</v>
      </c>
      <c r="F108" s="43">
        <v>34323</v>
      </c>
      <c r="G108" s="43">
        <v>30418</v>
      </c>
      <c r="H108" s="43">
        <v>5644</v>
      </c>
      <c r="I108" s="43">
        <v>3930</v>
      </c>
      <c r="J108" s="43">
        <v>1714</v>
      </c>
    </row>
    <row r="109" spans="1:10">
      <c r="A109" s="38" t="s">
        <v>29</v>
      </c>
      <c r="B109" s="44">
        <v>8504</v>
      </c>
      <c r="C109" s="44">
        <v>4791</v>
      </c>
      <c r="D109" s="44">
        <v>3713</v>
      </c>
      <c r="E109" s="44">
        <v>7165</v>
      </c>
      <c r="F109" s="44">
        <v>3915</v>
      </c>
      <c r="G109" s="44">
        <v>3250</v>
      </c>
      <c r="H109" s="44">
        <v>1326</v>
      </c>
      <c r="I109" s="44">
        <v>864</v>
      </c>
      <c r="J109" s="44">
        <v>462</v>
      </c>
    </row>
    <row r="110" spans="1:10">
      <c r="A110" s="42" t="s">
        <v>30</v>
      </c>
      <c r="B110" s="43">
        <v>47650</v>
      </c>
      <c r="C110" s="43">
        <v>25453</v>
      </c>
      <c r="D110" s="43">
        <v>22197</v>
      </c>
      <c r="E110" s="43">
        <v>45818</v>
      </c>
      <c r="F110" s="43">
        <v>24162</v>
      </c>
      <c r="G110" s="43">
        <v>21656</v>
      </c>
      <c r="H110" s="43">
        <v>1820</v>
      </c>
      <c r="I110" s="43">
        <v>1281</v>
      </c>
      <c r="J110" s="43">
        <v>539</v>
      </c>
    </row>
    <row r="111" spans="1:10">
      <c r="A111" s="38" t="s">
        <v>31</v>
      </c>
      <c r="B111" s="44">
        <v>5612</v>
      </c>
      <c r="C111" s="44">
        <v>2919</v>
      </c>
      <c r="D111" s="44">
        <v>2693</v>
      </c>
      <c r="E111" s="44">
        <v>5229</v>
      </c>
      <c r="F111" s="44">
        <v>2716</v>
      </c>
      <c r="G111" s="44">
        <v>2513</v>
      </c>
      <c r="H111" s="44">
        <v>383</v>
      </c>
      <c r="I111" s="44">
        <v>203</v>
      </c>
      <c r="J111" s="44">
        <v>180</v>
      </c>
    </row>
    <row r="112" spans="1:10">
      <c r="A112" s="42" t="s">
        <v>32</v>
      </c>
      <c r="B112" s="43">
        <v>8657</v>
      </c>
      <c r="C112" s="43">
        <v>5122</v>
      </c>
      <c r="D112" s="43">
        <v>3535</v>
      </c>
      <c r="E112" s="43">
        <v>6529</v>
      </c>
      <c r="F112" s="43">
        <v>3530</v>
      </c>
      <c r="G112" s="43">
        <v>2999</v>
      </c>
      <c r="H112" s="43">
        <v>2115</v>
      </c>
      <c r="I112" s="43">
        <v>1582</v>
      </c>
      <c r="J112" s="43">
        <v>533</v>
      </c>
    </row>
    <row r="113" spans="1:10">
      <c r="A113" s="368" t="s">
        <v>48</v>
      </c>
      <c r="B113" s="369"/>
      <c r="C113" s="369"/>
      <c r="D113" s="369"/>
      <c r="E113" s="369"/>
      <c r="F113" s="369"/>
      <c r="G113" s="369"/>
      <c r="H113" s="369"/>
      <c r="I113" s="369"/>
      <c r="J113" s="370"/>
    </row>
    <row r="114" spans="1:10">
      <c r="A114" s="42" t="s">
        <v>28</v>
      </c>
      <c r="B114" s="43">
        <v>52027</v>
      </c>
      <c r="C114" s="43">
        <v>25913</v>
      </c>
      <c r="D114" s="43">
        <v>26114</v>
      </c>
      <c r="E114" s="43">
        <v>48329</v>
      </c>
      <c r="F114" s="43">
        <v>23638</v>
      </c>
      <c r="G114" s="43">
        <v>24691</v>
      </c>
      <c r="H114" s="43">
        <v>3678</v>
      </c>
      <c r="I114" s="43">
        <v>2263</v>
      </c>
      <c r="J114" s="43">
        <v>1415</v>
      </c>
    </row>
    <row r="115" spans="1:10">
      <c r="A115" s="38" t="s">
        <v>29</v>
      </c>
      <c r="B115" s="44">
        <v>6027</v>
      </c>
      <c r="C115" s="44">
        <v>3290</v>
      </c>
      <c r="D115" s="44">
        <v>2737</v>
      </c>
      <c r="E115" s="44">
        <v>5053</v>
      </c>
      <c r="F115" s="44">
        <v>2664</v>
      </c>
      <c r="G115" s="44">
        <v>2389</v>
      </c>
      <c r="H115" s="44">
        <v>968</v>
      </c>
      <c r="I115" s="44">
        <v>622</v>
      </c>
      <c r="J115" s="44">
        <v>346</v>
      </c>
    </row>
    <row r="116" spans="1:10">
      <c r="A116" s="42" t="s">
        <v>30</v>
      </c>
      <c r="B116" s="43">
        <v>35647</v>
      </c>
      <c r="C116" s="43">
        <v>16970</v>
      </c>
      <c r="D116" s="43">
        <v>18677</v>
      </c>
      <c r="E116" s="43">
        <v>34256</v>
      </c>
      <c r="F116" s="43">
        <v>16152</v>
      </c>
      <c r="G116" s="43">
        <v>18104</v>
      </c>
      <c r="H116" s="43">
        <v>1384</v>
      </c>
      <c r="I116" s="43">
        <v>814</v>
      </c>
      <c r="J116" s="43">
        <v>570</v>
      </c>
    </row>
    <row r="117" spans="1:10">
      <c r="A117" s="38" t="s">
        <v>31</v>
      </c>
      <c r="B117" s="44">
        <v>5684</v>
      </c>
      <c r="C117" s="44">
        <v>3208</v>
      </c>
      <c r="D117" s="44">
        <v>2476</v>
      </c>
      <c r="E117" s="44">
        <v>5293</v>
      </c>
      <c r="F117" s="44">
        <v>3001</v>
      </c>
      <c r="G117" s="44">
        <v>2292</v>
      </c>
      <c r="H117" s="44">
        <v>390</v>
      </c>
      <c r="I117" s="44">
        <v>206</v>
      </c>
      <c r="J117" s="44">
        <v>184</v>
      </c>
    </row>
    <row r="118" spans="1:10">
      <c r="A118" s="42" t="s">
        <v>32</v>
      </c>
      <c r="B118" s="43">
        <v>4669</v>
      </c>
      <c r="C118" s="43">
        <v>2445</v>
      </c>
      <c r="D118" s="43">
        <v>2224</v>
      </c>
      <c r="E118" s="43">
        <v>3727</v>
      </c>
      <c r="F118" s="43">
        <v>1821</v>
      </c>
      <c r="G118" s="43">
        <v>1906</v>
      </c>
      <c r="H118" s="43">
        <v>936</v>
      </c>
      <c r="I118" s="43">
        <v>621</v>
      </c>
      <c r="J118" s="43">
        <v>315</v>
      </c>
    </row>
    <row r="119" spans="1:10">
      <c r="A119" s="368" t="s">
        <v>49</v>
      </c>
      <c r="B119" s="369"/>
      <c r="C119" s="369"/>
      <c r="D119" s="369"/>
      <c r="E119" s="369"/>
      <c r="F119" s="369"/>
      <c r="G119" s="369"/>
      <c r="H119" s="369"/>
      <c r="I119" s="369"/>
      <c r="J119" s="370"/>
    </row>
    <row r="120" spans="1:10">
      <c r="A120" s="42" t="s">
        <v>28</v>
      </c>
      <c r="B120" s="43">
        <v>91936</v>
      </c>
      <c r="C120" s="43">
        <v>47541</v>
      </c>
      <c r="D120" s="43">
        <v>44395</v>
      </c>
      <c r="E120" s="43">
        <v>86145</v>
      </c>
      <c r="F120" s="43">
        <v>43829</v>
      </c>
      <c r="G120" s="43">
        <v>42316</v>
      </c>
      <c r="H120" s="43">
        <v>5755</v>
      </c>
      <c r="I120" s="43">
        <v>3694</v>
      </c>
      <c r="J120" s="43">
        <v>2061</v>
      </c>
    </row>
    <row r="121" spans="1:10">
      <c r="A121" s="38" t="s">
        <v>29</v>
      </c>
      <c r="B121" s="44">
        <v>11148</v>
      </c>
      <c r="C121" s="44">
        <v>6193</v>
      </c>
      <c r="D121" s="44">
        <v>4955</v>
      </c>
      <c r="E121" s="44">
        <v>9704</v>
      </c>
      <c r="F121" s="44">
        <v>5255</v>
      </c>
      <c r="G121" s="44">
        <v>4449</v>
      </c>
      <c r="H121" s="44">
        <v>1437</v>
      </c>
      <c r="I121" s="44">
        <v>935</v>
      </c>
      <c r="J121" s="44">
        <v>502</v>
      </c>
    </row>
    <row r="122" spans="1:10">
      <c r="A122" s="42" t="s">
        <v>30</v>
      </c>
      <c r="B122" s="43">
        <v>62216</v>
      </c>
      <c r="C122" s="43">
        <v>31368</v>
      </c>
      <c r="D122" s="43">
        <v>30848</v>
      </c>
      <c r="E122" s="43">
        <v>60161</v>
      </c>
      <c r="F122" s="43">
        <v>30063</v>
      </c>
      <c r="G122" s="43">
        <v>30098</v>
      </c>
      <c r="H122" s="43">
        <v>2043</v>
      </c>
      <c r="I122" s="43">
        <v>1298</v>
      </c>
      <c r="J122" s="43">
        <v>745</v>
      </c>
    </row>
    <row r="123" spans="1:10">
      <c r="A123" s="38" t="s">
        <v>31</v>
      </c>
      <c r="B123" s="44">
        <v>12293</v>
      </c>
      <c r="C123" s="44">
        <v>6476</v>
      </c>
      <c r="D123" s="44">
        <v>5817</v>
      </c>
      <c r="E123" s="44">
        <v>11389</v>
      </c>
      <c r="F123" s="44">
        <v>5984</v>
      </c>
      <c r="G123" s="44">
        <v>5405</v>
      </c>
      <c r="H123" s="44">
        <v>900</v>
      </c>
      <c r="I123" s="44">
        <v>491</v>
      </c>
      <c r="J123" s="44">
        <v>409</v>
      </c>
    </row>
    <row r="124" spans="1:10">
      <c r="A124" s="42" t="s">
        <v>32</v>
      </c>
      <c r="B124" s="43">
        <v>6279</v>
      </c>
      <c r="C124" s="43">
        <v>3504</v>
      </c>
      <c r="D124" s="43">
        <v>2775</v>
      </c>
      <c r="E124" s="43">
        <v>4891</v>
      </c>
      <c r="F124" s="43">
        <v>2527</v>
      </c>
      <c r="G124" s="43">
        <v>2364</v>
      </c>
      <c r="H124" s="43">
        <v>1375</v>
      </c>
      <c r="I124" s="43">
        <v>970</v>
      </c>
      <c r="J124" s="43">
        <v>405</v>
      </c>
    </row>
    <row r="125" spans="1:10">
      <c r="A125" s="368" t="s">
        <v>50</v>
      </c>
      <c r="B125" s="369"/>
      <c r="C125" s="369"/>
      <c r="D125" s="369"/>
      <c r="E125" s="369"/>
      <c r="F125" s="369"/>
      <c r="G125" s="369"/>
      <c r="H125" s="369"/>
      <c r="I125" s="369"/>
      <c r="J125" s="370"/>
    </row>
    <row r="126" spans="1:10">
      <c r="A126" s="42" t="s">
        <v>28</v>
      </c>
      <c r="B126" s="43">
        <v>22487</v>
      </c>
      <c r="C126" s="43">
        <v>12483</v>
      </c>
      <c r="D126" s="43">
        <v>10004</v>
      </c>
      <c r="E126" s="43">
        <v>21221</v>
      </c>
      <c r="F126" s="43">
        <v>11638</v>
      </c>
      <c r="G126" s="43">
        <v>9583</v>
      </c>
      <c r="H126" s="43">
        <v>1260</v>
      </c>
      <c r="I126" s="43">
        <v>840</v>
      </c>
      <c r="J126" s="43">
        <v>420</v>
      </c>
    </row>
    <row r="127" spans="1:10">
      <c r="A127" s="38" t="s">
        <v>29</v>
      </c>
      <c r="B127" s="44">
        <v>2811</v>
      </c>
      <c r="C127" s="44">
        <v>1665</v>
      </c>
      <c r="D127" s="44">
        <v>1146</v>
      </c>
      <c r="E127" s="44">
        <v>2449</v>
      </c>
      <c r="F127" s="44">
        <v>1406</v>
      </c>
      <c r="G127" s="44">
        <v>1043</v>
      </c>
      <c r="H127" s="44">
        <v>360</v>
      </c>
      <c r="I127" s="44">
        <v>258</v>
      </c>
      <c r="J127" s="44">
        <v>102</v>
      </c>
    </row>
    <row r="128" spans="1:10">
      <c r="A128" s="42" t="s">
        <v>30</v>
      </c>
      <c r="B128" s="43">
        <v>16144</v>
      </c>
      <c r="C128" s="43">
        <v>8972</v>
      </c>
      <c r="D128" s="43">
        <v>7172</v>
      </c>
      <c r="E128" s="43">
        <v>15700</v>
      </c>
      <c r="F128" s="43">
        <v>8674</v>
      </c>
      <c r="G128" s="43">
        <v>7026</v>
      </c>
      <c r="H128" s="43">
        <v>442</v>
      </c>
      <c r="I128" s="43">
        <v>296</v>
      </c>
      <c r="J128" s="43">
        <v>146</v>
      </c>
    </row>
    <row r="129" spans="1:10">
      <c r="A129" s="38" t="s">
        <v>31</v>
      </c>
      <c r="B129" s="44">
        <v>2175</v>
      </c>
      <c r="C129" s="44">
        <v>1113</v>
      </c>
      <c r="D129" s="44">
        <v>1062</v>
      </c>
      <c r="E129" s="44">
        <v>2034</v>
      </c>
      <c r="F129" s="44">
        <v>1047</v>
      </c>
      <c r="G129" s="44">
        <v>987</v>
      </c>
      <c r="H129" s="44">
        <v>141</v>
      </c>
      <c r="I129" s="44">
        <v>66</v>
      </c>
      <c r="J129" s="44">
        <v>75</v>
      </c>
    </row>
    <row r="130" spans="1:10">
      <c r="A130" s="42" t="s">
        <v>32</v>
      </c>
      <c r="B130" s="43">
        <v>1357</v>
      </c>
      <c r="C130" s="43">
        <v>733</v>
      </c>
      <c r="D130" s="43">
        <v>624</v>
      </c>
      <c r="E130" s="43">
        <v>1038</v>
      </c>
      <c r="F130" s="43">
        <v>511</v>
      </c>
      <c r="G130" s="43">
        <v>527</v>
      </c>
      <c r="H130" s="43">
        <v>317</v>
      </c>
      <c r="I130" s="43">
        <v>220</v>
      </c>
      <c r="J130" s="43">
        <v>97</v>
      </c>
    </row>
    <row r="131" spans="1:10">
      <c r="A131" s="368" t="s">
        <v>51</v>
      </c>
      <c r="B131" s="369"/>
      <c r="C131" s="369"/>
      <c r="D131" s="369"/>
      <c r="E131" s="369"/>
      <c r="F131" s="369"/>
      <c r="G131" s="369"/>
      <c r="H131" s="369"/>
      <c r="I131" s="369"/>
      <c r="J131" s="370"/>
    </row>
    <row r="132" spans="1:10">
      <c r="A132" s="42" t="s">
        <v>28</v>
      </c>
      <c r="B132" s="43">
        <v>39714</v>
      </c>
      <c r="C132" s="43">
        <v>22071</v>
      </c>
      <c r="D132" s="43">
        <v>17643</v>
      </c>
      <c r="E132" s="43">
        <v>36261</v>
      </c>
      <c r="F132" s="43">
        <v>19591</v>
      </c>
      <c r="G132" s="43">
        <v>16670</v>
      </c>
      <c r="H132" s="43">
        <v>3442</v>
      </c>
      <c r="I132" s="43">
        <v>2472</v>
      </c>
      <c r="J132" s="43">
        <v>970</v>
      </c>
    </row>
    <row r="133" spans="1:10">
      <c r="A133" s="38" t="s">
        <v>29</v>
      </c>
      <c r="B133" s="44">
        <v>5790</v>
      </c>
      <c r="C133" s="44">
        <v>3493</v>
      </c>
      <c r="D133" s="44">
        <v>2297</v>
      </c>
      <c r="E133" s="44">
        <v>4849</v>
      </c>
      <c r="F133" s="44">
        <v>2794</v>
      </c>
      <c r="G133" s="44">
        <v>2055</v>
      </c>
      <c r="H133" s="44">
        <v>940</v>
      </c>
      <c r="I133" s="44">
        <v>698</v>
      </c>
      <c r="J133" s="44">
        <v>242</v>
      </c>
    </row>
    <row r="134" spans="1:10">
      <c r="A134" s="42" t="s">
        <v>30</v>
      </c>
      <c r="B134" s="43">
        <v>27052</v>
      </c>
      <c r="C134" s="43">
        <v>14627</v>
      </c>
      <c r="D134" s="43">
        <v>12425</v>
      </c>
      <c r="E134" s="43">
        <v>26143</v>
      </c>
      <c r="F134" s="43">
        <v>13975</v>
      </c>
      <c r="G134" s="43">
        <v>12168</v>
      </c>
      <c r="H134" s="43">
        <v>904</v>
      </c>
      <c r="I134" s="43">
        <v>649</v>
      </c>
      <c r="J134" s="43">
        <v>255</v>
      </c>
    </row>
    <row r="135" spans="1:10">
      <c r="A135" s="38" t="s">
        <v>31</v>
      </c>
      <c r="B135" s="44">
        <v>2853</v>
      </c>
      <c r="C135" s="44">
        <v>1405</v>
      </c>
      <c r="D135" s="44">
        <v>1448</v>
      </c>
      <c r="E135" s="44">
        <v>2638</v>
      </c>
      <c r="F135" s="44">
        <v>1300</v>
      </c>
      <c r="G135" s="44">
        <v>1338</v>
      </c>
      <c r="H135" s="44">
        <v>215</v>
      </c>
      <c r="I135" s="44">
        <v>105</v>
      </c>
      <c r="J135" s="44">
        <v>110</v>
      </c>
    </row>
    <row r="136" spans="1:10">
      <c r="A136" s="42" t="s">
        <v>32</v>
      </c>
      <c r="B136" s="43">
        <v>4019</v>
      </c>
      <c r="C136" s="43">
        <v>2546</v>
      </c>
      <c r="D136" s="43">
        <v>1473</v>
      </c>
      <c r="E136" s="43">
        <v>2631</v>
      </c>
      <c r="F136" s="43">
        <v>1522</v>
      </c>
      <c r="G136" s="43">
        <v>1109</v>
      </c>
      <c r="H136" s="43">
        <v>1383</v>
      </c>
      <c r="I136" s="43">
        <v>1020</v>
      </c>
      <c r="J136" s="43">
        <v>363</v>
      </c>
    </row>
    <row r="137" spans="1:10">
      <c r="A137" s="368" t="s">
        <v>52</v>
      </c>
      <c r="B137" s="369"/>
      <c r="C137" s="369"/>
      <c r="D137" s="369"/>
      <c r="E137" s="369"/>
      <c r="F137" s="369"/>
      <c r="G137" s="369"/>
      <c r="H137" s="369"/>
      <c r="I137" s="369"/>
      <c r="J137" s="370"/>
    </row>
    <row r="138" spans="1:10">
      <c r="A138" s="42" t="s">
        <v>28</v>
      </c>
      <c r="B138" s="43">
        <v>45173</v>
      </c>
      <c r="C138" s="43">
        <v>23457</v>
      </c>
      <c r="D138" s="43">
        <v>21716</v>
      </c>
      <c r="E138" s="43">
        <v>41732</v>
      </c>
      <c r="F138" s="43">
        <v>21201</v>
      </c>
      <c r="G138" s="43">
        <v>20531</v>
      </c>
      <c r="H138" s="43">
        <v>3435</v>
      </c>
      <c r="I138" s="43">
        <v>2251</v>
      </c>
      <c r="J138" s="43">
        <v>1184</v>
      </c>
    </row>
    <row r="139" spans="1:10">
      <c r="A139" s="38" t="s">
        <v>29</v>
      </c>
      <c r="B139" s="44">
        <v>5730</v>
      </c>
      <c r="C139" s="44">
        <v>3402</v>
      </c>
      <c r="D139" s="44">
        <v>2328</v>
      </c>
      <c r="E139" s="44">
        <v>4827</v>
      </c>
      <c r="F139" s="44">
        <v>2762</v>
      </c>
      <c r="G139" s="44">
        <v>2065</v>
      </c>
      <c r="H139" s="44">
        <v>901</v>
      </c>
      <c r="I139" s="44">
        <v>639</v>
      </c>
      <c r="J139" s="44">
        <v>262</v>
      </c>
    </row>
    <row r="140" spans="1:10">
      <c r="A140" s="42" t="s">
        <v>30</v>
      </c>
      <c r="B140" s="43">
        <v>31510</v>
      </c>
      <c r="C140" s="43">
        <v>15791</v>
      </c>
      <c r="D140" s="43">
        <v>15719</v>
      </c>
      <c r="E140" s="43">
        <v>30012</v>
      </c>
      <c r="F140" s="43">
        <v>14835</v>
      </c>
      <c r="G140" s="43">
        <v>15177</v>
      </c>
      <c r="H140" s="43">
        <v>1495</v>
      </c>
      <c r="I140" s="43">
        <v>953</v>
      </c>
      <c r="J140" s="43">
        <v>542</v>
      </c>
    </row>
    <row r="141" spans="1:10">
      <c r="A141" s="38" t="s">
        <v>31</v>
      </c>
      <c r="B141" s="44">
        <v>3809</v>
      </c>
      <c r="C141" s="44">
        <v>1950</v>
      </c>
      <c r="D141" s="44">
        <v>1859</v>
      </c>
      <c r="E141" s="44">
        <v>3531</v>
      </c>
      <c r="F141" s="44">
        <v>1807</v>
      </c>
      <c r="G141" s="44">
        <v>1724</v>
      </c>
      <c r="H141" s="44">
        <v>278</v>
      </c>
      <c r="I141" s="44">
        <v>143</v>
      </c>
      <c r="J141" s="44">
        <v>135</v>
      </c>
    </row>
    <row r="142" spans="1:10">
      <c r="A142" s="42" t="s">
        <v>32</v>
      </c>
      <c r="B142" s="43">
        <v>4124</v>
      </c>
      <c r="C142" s="43">
        <v>2314</v>
      </c>
      <c r="D142" s="43">
        <v>1810</v>
      </c>
      <c r="E142" s="43">
        <v>3362</v>
      </c>
      <c r="F142" s="43">
        <v>1797</v>
      </c>
      <c r="G142" s="43">
        <v>1565</v>
      </c>
      <c r="H142" s="43">
        <v>761</v>
      </c>
      <c r="I142" s="43">
        <v>516</v>
      </c>
      <c r="J142" s="43">
        <v>245</v>
      </c>
    </row>
    <row r="143" spans="1:10">
      <c r="A143" s="368" t="s">
        <v>53</v>
      </c>
      <c r="B143" s="369"/>
      <c r="C143" s="369"/>
      <c r="D143" s="369"/>
      <c r="E143" s="369"/>
      <c r="F143" s="369"/>
      <c r="G143" s="369"/>
      <c r="H143" s="369"/>
      <c r="I143" s="369"/>
      <c r="J143" s="370"/>
    </row>
    <row r="144" spans="1:10">
      <c r="A144" s="42" t="s">
        <v>28</v>
      </c>
      <c r="B144" s="43">
        <v>510811</v>
      </c>
      <c r="C144" s="43">
        <v>262870</v>
      </c>
      <c r="D144" s="43">
        <v>247941</v>
      </c>
      <c r="E144" s="43">
        <v>470697</v>
      </c>
      <c r="F144" s="43">
        <v>235251</v>
      </c>
      <c r="G144" s="43">
        <v>235446</v>
      </c>
      <c r="H144" s="43">
        <v>39896</v>
      </c>
      <c r="I144" s="43">
        <v>27474</v>
      </c>
      <c r="J144" s="43">
        <v>12422</v>
      </c>
    </row>
    <row r="145" spans="1:10">
      <c r="A145" s="38" t="s">
        <v>29</v>
      </c>
      <c r="B145" s="44">
        <v>64232</v>
      </c>
      <c r="C145" s="44">
        <v>36572</v>
      </c>
      <c r="D145" s="44">
        <v>27660</v>
      </c>
      <c r="E145" s="44">
        <v>54586</v>
      </c>
      <c r="F145" s="44">
        <v>29680</v>
      </c>
      <c r="G145" s="44">
        <v>24906</v>
      </c>
      <c r="H145" s="44">
        <v>9602</v>
      </c>
      <c r="I145" s="44">
        <v>6855</v>
      </c>
      <c r="J145" s="44">
        <v>2747</v>
      </c>
    </row>
    <row r="146" spans="1:10">
      <c r="A146" s="42" t="s">
        <v>30</v>
      </c>
      <c r="B146" s="43">
        <v>345992</v>
      </c>
      <c r="C146" s="43">
        <v>171965</v>
      </c>
      <c r="D146" s="43">
        <v>174027</v>
      </c>
      <c r="E146" s="43">
        <v>333805</v>
      </c>
      <c r="F146" s="43">
        <v>164080</v>
      </c>
      <c r="G146" s="43">
        <v>169725</v>
      </c>
      <c r="H146" s="43">
        <v>12094</v>
      </c>
      <c r="I146" s="43">
        <v>7832</v>
      </c>
      <c r="J146" s="43">
        <v>4262</v>
      </c>
    </row>
    <row r="147" spans="1:10">
      <c r="A147" s="38" t="s">
        <v>31</v>
      </c>
      <c r="B147" s="44">
        <v>48824</v>
      </c>
      <c r="C147" s="44">
        <v>24141</v>
      </c>
      <c r="D147" s="44">
        <v>24683</v>
      </c>
      <c r="E147" s="44">
        <v>45247</v>
      </c>
      <c r="F147" s="44">
        <v>22290</v>
      </c>
      <c r="G147" s="44">
        <v>22957</v>
      </c>
      <c r="H147" s="44">
        <v>3557</v>
      </c>
      <c r="I147" s="44">
        <v>1839</v>
      </c>
      <c r="J147" s="44">
        <v>1718</v>
      </c>
    </row>
    <row r="148" spans="1:10">
      <c r="A148" s="42" t="s">
        <v>32</v>
      </c>
      <c r="B148" s="43">
        <v>51763</v>
      </c>
      <c r="C148" s="43">
        <v>30192</v>
      </c>
      <c r="D148" s="43">
        <v>21571</v>
      </c>
      <c r="E148" s="43">
        <v>37059</v>
      </c>
      <c r="F148" s="43">
        <v>19201</v>
      </c>
      <c r="G148" s="43">
        <v>17858</v>
      </c>
      <c r="H148" s="43">
        <v>14643</v>
      </c>
      <c r="I148" s="43">
        <v>10948</v>
      </c>
      <c r="J148" s="43">
        <v>3695</v>
      </c>
    </row>
    <row r="149" spans="1:10">
      <c r="A149" s="368" t="s">
        <v>54</v>
      </c>
      <c r="B149" s="369"/>
      <c r="C149" s="369"/>
      <c r="D149" s="369"/>
      <c r="E149" s="369"/>
      <c r="F149" s="369"/>
      <c r="G149" s="369"/>
      <c r="H149" s="369"/>
      <c r="I149" s="369"/>
      <c r="J149" s="370"/>
    </row>
    <row r="150" spans="1:10">
      <c r="A150" s="42" t="s">
        <v>28</v>
      </c>
      <c r="B150" s="43">
        <v>57180</v>
      </c>
      <c r="C150" s="43">
        <v>29117</v>
      </c>
      <c r="D150" s="43">
        <v>28063</v>
      </c>
      <c r="E150" s="43">
        <v>53710</v>
      </c>
      <c r="F150" s="43">
        <v>26858</v>
      </c>
      <c r="G150" s="43">
        <v>26852</v>
      </c>
      <c r="H150" s="43">
        <v>3438</v>
      </c>
      <c r="I150" s="43">
        <v>2240</v>
      </c>
      <c r="J150" s="43">
        <v>1198</v>
      </c>
    </row>
    <row r="151" spans="1:10">
      <c r="A151" s="38" t="s">
        <v>29</v>
      </c>
      <c r="B151" s="44">
        <v>6539</v>
      </c>
      <c r="C151" s="44">
        <v>3659</v>
      </c>
      <c r="D151" s="44">
        <v>2880</v>
      </c>
      <c r="E151" s="44">
        <v>5535</v>
      </c>
      <c r="F151" s="44">
        <v>2956</v>
      </c>
      <c r="G151" s="44">
        <v>2579</v>
      </c>
      <c r="H151" s="44">
        <v>1000</v>
      </c>
      <c r="I151" s="44">
        <v>699</v>
      </c>
      <c r="J151" s="44">
        <v>301</v>
      </c>
    </row>
    <row r="152" spans="1:10">
      <c r="A152" s="42" t="s">
        <v>30</v>
      </c>
      <c r="B152" s="43">
        <v>39751</v>
      </c>
      <c r="C152" s="43">
        <v>19542</v>
      </c>
      <c r="D152" s="43">
        <v>20209</v>
      </c>
      <c r="E152" s="43">
        <v>38594</v>
      </c>
      <c r="F152" s="43">
        <v>18828</v>
      </c>
      <c r="G152" s="43">
        <v>19766</v>
      </c>
      <c r="H152" s="43">
        <v>1142</v>
      </c>
      <c r="I152" s="43">
        <v>706</v>
      </c>
      <c r="J152" s="43">
        <v>436</v>
      </c>
    </row>
    <row r="153" spans="1:10">
      <c r="A153" s="38" t="s">
        <v>31</v>
      </c>
      <c r="B153" s="44">
        <v>6464</v>
      </c>
      <c r="C153" s="44">
        <v>3558</v>
      </c>
      <c r="D153" s="44">
        <v>2906</v>
      </c>
      <c r="E153" s="44">
        <v>5995</v>
      </c>
      <c r="F153" s="44">
        <v>3285</v>
      </c>
      <c r="G153" s="44">
        <v>2710</v>
      </c>
      <c r="H153" s="44">
        <v>466</v>
      </c>
      <c r="I153" s="44">
        <v>272</v>
      </c>
      <c r="J153" s="44">
        <v>194</v>
      </c>
    </row>
    <row r="154" spans="1:10">
      <c r="A154" s="42" t="s">
        <v>32</v>
      </c>
      <c r="B154" s="43">
        <v>4426</v>
      </c>
      <c r="C154" s="43">
        <v>2358</v>
      </c>
      <c r="D154" s="43">
        <v>2068</v>
      </c>
      <c r="E154" s="43">
        <v>3586</v>
      </c>
      <c r="F154" s="43">
        <v>1789</v>
      </c>
      <c r="G154" s="43">
        <v>1797</v>
      </c>
      <c r="H154" s="43">
        <v>830</v>
      </c>
      <c r="I154" s="43">
        <v>563</v>
      </c>
      <c r="J154" s="43">
        <v>267</v>
      </c>
    </row>
    <row r="155" spans="1:10">
      <c r="A155" s="368" t="s">
        <v>55</v>
      </c>
      <c r="B155" s="369"/>
      <c r="C155" s="369"/>
      <c r="D155" s="369"/>
      <c r="E155" s="369"/>
      <c r="F155" s="369"/>
      <c r="G155" s="369"/>
      <c r="H155" s="369"/>
      <c r="I155" s="369"/>
      <c r="J155" s="370"/>
    </row>
    <row r="156" spans="1:10">
      <c r="A156" s="42" t="s">
        <v>28</v>
      </c>
      <c r="B156" s="43">
        <v>47659</v>
      </c>
      <c r="C156" s="43">
        <v>23362</v>
      </c>
      <c r="D156" s="43">
        <v>24297</v>
      </c>
      <c r="E156" s="43">
        <v>43492</v>
      </c>
      <c r="F156" s="43">
        <v>20527</v>
      </c>
      <c r="G156" s="43">
        <v>22965</v>
      </c>
      <c r="H156" s="43">
        <v>4156</v>
      </c>
      <c r="I156" s="43">
        <v>2828</v>
      </c>
      <c r="J156" s="43">
        <v>1328</v>
      </c>
    </row>
    <row r="157" spans="1:10">
      <c r="A157" s="38" t="s">
        <v>29</v>
      </c>
      <c r="B157" s="44">
        <v>6378</v>
      </c>
      <c r="C157" s="44">
        <v>3422</v>
      </c>
      <c r="D157" s="44">
        <v>2956</v>
      </c>
      <c r="E157" s="44">
        <v>5386</v>
      </c>
      <c r="F157" s="44">
        <v>2804</v>
      </c>
      <c r="G157" s="44">
        <v>2582</v>
      </c>
      <c r="H157" s="44">
        <v>989</v>
      </c>
      <c r="I157" s="44">
        <v>617</v>
      </c>
      <c r="J157" s="44">
        <v>372</v>
      </c>
    </row>
    <row r="158" spans="1:10">
      <c r="A158" s="42" t="s">
        <v>30</v>
      </c>
      <c r="B158" s="43">
        <v>32078</v>
      </c>
      <c r="C158" s="43">
        <v>15058</v>
      </c>
      <c r="D158" s="43">
        <v>17020</v>
      </c>
      <c r="E158" s="43">
        <v>30869</v>
      </c>
      <c r="F158" s="43">
        <v>14281</v>
      </c>
      <c r="G158" s="43">
        <v>16588</v>
      </c>
      <c r="H158" s="43">
        <v>1203</v>
      </c>
      <c r="I158" s="43">
        <v>772</v>
      </c>
      <c r="J158" s="43">
        <v>431</v>
      </c>
    </row>
    <row r="159" spans="1:10">
      <c r="A159" s="38" t="s">
        <v>31</v>
      </c>
      <c r="B159" s="44">
        <v>3451</v>
      </c>
      <c r="C159" s="44">
        <v>1699</v>
      </c>
      <c r="D159" s="44">
        <v>1752</v>
      </c>
      <c r="E159" s="44">
        <v>3189</v>
      </c>
      <c r="F159" s="44">
        <v>1556</v>
      </c>
      <c r="G159" s="44">
        <v>1633</v>
      </c>
      <c r="H159" s="44">
        <v>262</v>
      </c>
      <c r="I159" s="44">
        <v>143</v>
      </c>
      <c r="J159" s="44">
        <v>119</v>
      </c>
    </row>
    <row r="160" spans="1:10">
      <c r="A160" s="42" t="s">
        <v>32</v>
      </c>
      <c r="B160" s="43">
        <v>5752</v>
      </c>
      <c r="C160" s="43">
        <v>3183</v>
      </c>
      <c r="D160" s="43">
        <v>2569</v>
      </c>
      <c r="E160" s="43">
        <v>4048</v>
      </c>
      <c r="F160" s="43">
        <v>1886</v>
      </c>
      <c r="G160" s="43">
        <v>2162</v>
      </c>
      <c r="H160" s="43">
        <v>1702</v>
      </c>
      <c r="I160" s="43">
        <v>1296</v>
      </c>
      <c r="J160" s="43">
        <v>406</v>
      </c>
    </row>
    <row r="161" spans="1:10">
      <c r="A161" s="368" t="s">
        <v>56</v>
      </c>
      <c r="B161" s="369"/>
      <c r="C161" s="369"/>
      <c r="D161" s="369"/>
      <c r="E161" s="369"/>
      <c r="F161" s="369"/>
      <c r="G161" s="369"/>
      <c r="H161" s="369"/>
      <c r="I161" s="369"/>
      <c r="J161" s="370"/>
    </row>
    <row r="162" spans="1:10">
      <c r="A162" s="42" t="s">
        <v>28</v>
      </c>
      <c r="B162" s="43">
        <v>64693</v>
      </c>
      <c r="C162" s="43">
        <v>34220</v>
      </c>
      <c r="D162" s="43">
        <v>30473</v>
      </c>
      <c r="E162" s="43">
        <v>56625</v>
      </c>
      <c r="F162" s="43">
        <v>28343</v>
      </c>
      <c r="G162" s="43">
        <v>28282</v>
      </c>
      <c r="H162" s="43">
        <v>8032</v>
      </c>
      <c r="I162" s="43">
        <v>5853</v>
      </c>
      <c r="J162" s="43">
        <v>2179</v>
      </c>
    </row>
    <row r="163" spans="1:10">
      <c r="A163" s="38" t="s">
        <v>29</v>
      </c>
      <c r="B163" s="44">
        <v>7807</v>
      </c>
      <c r="C163" s="44">
        <v>4943</v>
      </c>
      <c r="D163" s="44">
        <v>2864</v>
      </c>
      <c r="E163" s="44">
        <v>5769</v>
      </c>
      <c r="F163" s="44">
        <v>3363</v>
      </c>
      <c r="G163" s="44">
        <v>2406</v>
      </c>
      <c r="H163" s="44">
        <v>2026</v>
      </c>
      <c r="I163" s="44">
        <v>1570</v>
      </c>
      <c r="J163" s="44">
        <v>456</v>
      </c>
    </row>
    <row r="164" spans="1:10">
      <c r="A164" s="42" t="s">
        <v>30</v>
      </c>
      <c r="B164" s="43">
        <v>42193</v>
      </c>
      <c r="C164" s="43">
        <v>20826</v>
      </c>
      <c r="D164" s="43">
        <v>21367</v>
      </c>
      <c r="E164" s="43">
        <v>39910</v>
      </c>
      <c r="F164" s="43">
        <v>19342</v>
      </c>
      <c r="G164" s="43">
        <v>20568</v>
      </c>
      <c r="H164" s="43">
        <v>2266</v>
      </c>
      <c r="I164" s="43">
        <v>1474</v>
      </c>
      <c r="J164" s="43">
        <v>792</v>
      </c>
    </row>
    <row r="165" spans="1:10">
      <c r="A165" s="38" t="s">
        <v>31</v>
      </c>
      <c r="B165" s="44">
        <v>5993</v>
      </c>
      <c r="C165" s="44">
        <v>2809</v>
      </c>
      <c r="D165" s="44">
        <v>3184</v>
      </c>
      <c r="E165" s="44">
        <v>5449</v>
      </c>
      <c r="F165" s="44">
        <v>2525</v>
      </c>
      <c r="G165" s="44">
        <v>2924</v>
      </c>
      <c r="H165" s="44">
        <v>543</v>
      </c>
      <c r="I165" s="44">
        <v>283</v>
      </c>
      <c r="J165" s="44">
        <v>260</v>
      </c>
    </row>
    <row r="166" spans="1:10">
      <c r="A166" s="42" t="s">
        <v>32</v>
      </c>
      <c r="B166" s="43">
        <v>8700</v>
      </c>
      <c r="C166" s="43">
        <v>5642</v>
      </c>
      <c r="D166" s="43">
        <v>3058</v>
      </c>
      <c r="E166" s="43">
        <v>5497</v>
      </c>
      <c r="F166" s="43">
        <v>3113</v>
      </c>
      <c r="G166" s="43">
        <v>2384</v>
      </c>
      <c r="H166" s="43">
        <v>3197</v>
      </c>
      <c r="I166" s="43">
        <v>2526</v>
      </c>
      <c r="J166" s="43">
        <v>671</v>
      </c>
    </row>
    <row r="167" spans="1:10">
      <c r="A167" s="368" t="s">
        <v>57</v>
      </c>
      <c r="B167" s="369"/>
      <c r="C167" s="369"/>
      <c r="D167" s="369"/>
      <c r="E167" s="369"/>
      <c r="F167" s="369"/>
      <c r="G167" s="369"/>
      <c r="H167" s="369"/>
      <c r="I167" s="369"/>
      <c r="J167" s="370"/>
    </row>
    <row r="168" spans="1:10">
      <c r="A168" s="42" t="s">
        <v>28</v>
      </c>
      <c r="B168" s="43">
        <v>14265</v>
      </c>
      <c r="C168" s="43">
        <v>6900</v>
      </c>
      <c r="D168" s="43">
        <v>7365</v>
      </c>
      <c r="E168" s="43">
        <v>13587</v>
      </c>
      <c r="F168" s="43">
        <v>6502</v>
      </c>
      <c r="G168" s="43">
        <v>7085</v>
      </c>
      <c r="H168" s="43">
        <v>677</v>
      </c>
      <c r="I168" s="43">
        <v>397</v>
      </c>
      <c r="J168" s="43">
        <v>280</v>
      </c>
    </row>
    <row r="169" spans="1:10">
      <c r="A169" s="38" t="s">
        <v>29</v>
      </c>
      <c r="B169" s="44">
        <v>1278</v>
      </c>
      <c r="C169" s="44">
        <v>675</v>
      </c>
      <c r="D169" s="44">
        <v>603</v>
      </c>
      <c r="E169" s="44">
        <v>1144</v>
      </c>
      <c r="F169" s="44">
        <v>588</v>
      </c>
      <c r="G169" s="44">
        <v>556</v>
      </c>
      <c r="H169" s="44">
        <v>134</v>
      </c>
      <c r="I169" s="44">
        <v>87</v>
      </c>
      <c r="J169" s="44">
        <v>47</v>
      </c>
    </row>
    <row r="170" spans="1:10">
      <c r="A170" s="42" t="s">
        <v>30</v>
      </c>
      <c r="B170" s="43">
        <v>10273</v>
      </c>
      <c r="C170" s="43">
        <v>4921</v>
      </c>
      <c r="D170" s="43">
        <v>5352</v>
      </c>
      <c r="E170" s="43">
        <v>10077</v>
      </c>
      <c r="F170" s="43">
        <v>4804</v>
      </c>
      <c r="G170" s="43">
        <v>5273</v>
      </c>
      <c r="H170" s="43">
        <v>195</v>
      </c>
      <c r="I170" s="43">
        <v>116</v>
      </c>
      <c r="J170" s="43">
        <v>79</v>
      </c>
    </row>
    <row r="171" spans="1:10">
      <c r="A171" s="38" t="s">
        <v>31</v>
      </c>
      <c r="B171" s="44">
        <v>1173</v>
      </c>
      <c r="C171" s="44">
        <v>492</v>
      </c>
      <c r="D171" s="44">
        <v>681</v>
      </c>
      <c r="E171" s="44">
        <v>1113</v>
      </c>
      <c r="F171" s="44">
        <v>464</v>
      </c>
      <c r="G171" s="44">
        <v>649</v>
      </c>
      <c r="H171" s="44">
        <v>60</v>
      </c>
      <c r="I171" s="44">
        <v>28</v>
      </c>
      <c r="J171" s="44">
        <v>32</v>
      </c>
    </row>
    <row r="172" spans="1:10">
      <c r="A172" s="42" t="s">
        <v>32</v>
      </c>
      <c r="B172" s="43">
        <v>1541</v>
      </c>
      <c r="C172" s="43">
        <v>812</v>
      </c>
      <c r="D172" s="43">
        <v>729</v>
      </c>
      <c r="E172" s="43">
        <v>1253</v>
      </c>
      <c r="F172" s="43">
        <v>646</v>
      </c>
      <c r="G172" s="43">
        <v>607</v>
      </c>
      <c r="H172" s="43">
        <v>288</v>
      </c>
      <c r="I172" s="43">
        <v>166</v>
      </c>
      <c r="J172" s="43">
        <v>122</v>
      </c>
    </row>
    <row r="173" spans="1:10">
      <c r="A173" s="368" t="s">
        <v>58</v>
      </c>
      <c r="B173" s="369"/>
      <c r="C173" s="369"/>
      <c r="D173" s="369"/>
      <c r="E173" s="369"/>
      <c r="F173" s="369"/>
      <c r="G173" s="369"/>
      <c r="H173" s="369"/>
      <c r="I173" s="369"/>
      <c r="J173" s="370"/>
    </row>
    <row r="174" spans="1:10">
      <c r="A174" s="42" t="s">
        <v>28</v>
      </c>
      <c r="B174" s="43">
        <v>58362</v>
      </c>
      <c r="C174" s="43">
        <v>29229</v>
      </c>
      <c r="D174" s="43">
        <v>29133</v>
      </c>
      <c r="E174" s="43">
        <v>54677</v>
      </c>
      <c r="F174" s="43">
        <v>26789</v>
      </c>
      <c r="G174" s="43">
        <v>27888</v>
      </c>
      <c r="H174" s="43">
        <v>3651</v>
      </c>
      <c r="I174" s="43">
        <v>2418</v>
      </c>
      <c r="J174" s="43">
        <v>1233</v>
      </c>
    </row>
    <row r="175" spans="1:10">
      <c r="A175" s="38" t="s">
        <v>29</v>
      </c>
      <c r="B175" s="44">
        <v>7734</v>
      </c>
      <c r="C175" s="44">
        <v>4537</v>
      </c>
      <c r="D175" s="44">
        <v>3197</v>
      </c>
      <c r="E175" s="44">
        <v>6764</v>
      </c>
      <c r="F175" s="44">
        <v>3792</v>
      </c>
      <c r="G175" s="44">
        <v>2972</v>
      </c>
      <c r="H175" s="44">
        <v>963</v>
      </c>
      <c r="I175" s="44">
        <v>738</v>
      </c>
      <c r="J175" s="44">
        <v>225</v>
      </c>
    </row>
    <row r="176" spans="1:10">
      <c r="A176" s="42" t="s">
        <v>30</v>
      </c>
      <c r="B176" s="43">
        <v>37766</v>
      </c>
      <c r="C176" s="43">
        <v>18319</v>
      </c>
      <c r="D176" s="43">
        <v>19447</v>
      </c>
      <c r="E176" s="43">
        <v>36600</v>
      </c>
      <c r="F176" s="43">
        <v>17579</v>
      </c>
      <c r="G176" s="43">
        <v>19021</v>
      </c>
      <c r="H176" s="43">
        <v>1152</v>
      </c>
      <c r="I176" s="43">
        <v>733</v>
      </c>
      <c r="J176" s="43">
        <v>419</v>
      </c>
    </row>
    <row r="177" spans="1:10">
      <c r="A177" s="38" t="s">
        <v>31</v>
      </c>
      <c r="B177" s="44">
        <v>7964</v>
      </c>
      <c r="C177" s="44">
        <v>3683</v>
      </c>
      <c r="D177" s="44">
        <v>4281</v>
      </c>
      <c r="E177" s="44">
        <v>7453</v>
      </c>
      <c r="F177" s="44">
        <v>3449</v>
      </c>
      <c r="G177" s="44">
        <v>4004</v>
      </c>
      <c r="H177" s="44">
        <v>506</v>
      </c>
      <c r="I177" s="44">
        <v>231</v>
      </c>
      <c r="J177" s="44">
        <v>275</v>
      </c>
    </row>
    <row r="178" spans="1:10">
      <c r="A178" s="42" t="s">
        <v>32</v>
      </c>
      <c r="B178" s="43">
        <v>4898</v>
      </c>
      <c r="C178" s="43">
        <v>2690</v>
      </c>
      <c r="D178" s="43">
        <v>2208</v>
      </c>
      <c r="E178" s="43">
        <v>3860</v>
      </c>
      <c r="F178" s="43">
        <v>1969</v>
      </c>
      <c r="G178" s="43">
        <v>1891</v>
      </c>
      <c r="H178" s="43">
        <v>1030</v>
      </c>
      <c r="I178" s="43">
        <v>716</v>
      </c>
      <c r="J178" s="43">
        <v>314</v>
      </c>
    </row>
    <row r="179" spans="1:10">
      <c r="A179" s="368" t="s">
        <v>59</v>
      </c>
      <c r="B179" s="369"/>
      <c r="C179" s="369"/>
      <c r="D179" s="369"/>
      <c r="E179" s="369"/>
      <c r="F179" s="369"/>
      <c r="G179" s="369"/>
      <c r="H179" s="369"/>
      <c r="I179" s="369"/>
      <c r="J179" s="370"/>
    </row>
    <row r="180" spans="1:10">
      <c r="A180" s="42" t="s">
        <v>28</v>
      </c>
      <c r="B180" s="43">
        <v>26394</v>
      </c>
      <c r="C180" s="43">
        <v>13205</v>
      </c>
      <c r="D180" s="43">
        <v>13189</v>
      </c>
      <c r="E180" s="43">
        <v>24683</v>
      </c>
      <c r="F180" s="43">
        <v>12035</v>
      </c>
      <c r="G180" s="43">
        <v>12648</v>
      </c>
      <c r="H180" s="43">
        <v>1703</v>
      </c>
      <c r="I180" s="43">
        <v>1163</v>
      </c>
      <c r="J180" s="43">
        <v>540</v>
      </c>
    </row>
    <row r="181" spans="1:10">
      <c r="A181" s="38" t="s">
        <v>29</v>
      </c>
      <c r="B181" s="44">
        <v>3345</v>
      </c>
      <c r="C181" s="44">
        <v>1824</v>
      </c>
      <c r="D181" s="44">
        <v>1521</v>
      </c>
      <c r="E181" s="44">
        <v>2912</v>
      </c>
      <c r="F181" s="44">
        <v>1505</v>
      </c>
      <c r="G181" s="44">
        <v>1407</v>
      </c>
      <c r="H181" s="44">
        <v>433</v>
      </c>
      <c r="I181" s="44">
        <v>319</v>
      </c>
      <c r="J181" s="44">
        <v>114</v>
      </c>
    </row>
    <row r="182" spans="1:10">
      <c r="A182" s="42" t="s">
        <v>30</v>
      </c>
      <c r="B182" s="43">
        <v>17944</v>
      </c>
      <c r="C182" s="43">
        <v>8794</v>
      </c>
      <c r="D182" s="43">
        <v>9150</v>
      </c>
      <c r="E182" s="43">
        <v>17370</v>
      </c>
      <c r="F182" s="43">
        <v>8403</v>
      </c>
      <c r="G182" s="43">
        <v>8967</v>
      </c>
      <c r="H182" s="43">
        <v>568</v>
      </c>
      <c r="I182" s="43">
        <v>386</v>
      </c>
      <c r="J182" s="43">
        <v>182</v>
      </c>
    </row>
    <row r="183" spans="1:10">
      <c r="A183" s="38" t="s">
        <v>31</v>
      </c>
      <c r="B183" s="44">
        <v>2189</v>
      </c>
      <c r="C183" s="44">
        <v>1039</v>
      </c>
      <c r="D183" s="44">
        <v>1150</v>
      </c>
      <c r="E183" s="44">
        <v>2019</v>
      </c>
      <c r="F183" s="44">
        <v>947</v>
      </c>
      <c r="G183" s="44">
        <v>1072</v>
      </c>
      <c r="H183" s="44">
        <v>170</v>
      </c>
      <c r="I183" s="44">
        <v>92</v>
      </c>
      <c r="J183" s="44">
        <v>78</v>
      </c>
    </row>
    <row r="184" spans="1:10">
      <c r="A184" s="42" t="s">
        <v>32</v>
      </c>
      <c r="B184" s="43">
        <v>2916</v>
      </c>
      <c r="C184" s="43">
        <v>1548</v>
      </c>
      <c r="D184" s="43">
        <v>1368</v>
      </c>
      <c r="E184" s="43">
        <v>2382</v>
      </c>
      <c r="F184" s="43">
        <v>1180</v>
      </c>
      <c r="G184" s="43">
        <v>1202</v>
      </c>
      <c r="H184" s="43">
        <v>532</v>
      </c>
      <c r="I184" s="43">
        <v>366</v>
      </c>
      <c r="J184" s="43">
        <v>166</v>
      </c>
    </row>
    <row r="185" spans="1:10">
      <c r="A185" s="368" t="s">
        <v>60</v>
      </c>
      <c r="B185" s="369"/>
      <c r="C185" s="369"/>
      <c r="D185" s="369"/>
      <c r="E185" s="369"/>
      <c r="F185" s="369"/>
      <c r="G185" s="369"/>
      <c r="H185" s="369"/>
      <c r="I185" s="369"/>
      <c r="J185" s="370"/>
    </row>
    <row r="186" spans="1:10">
      <c r="A186" s="42" t="s">
        <v>28</v>
      </c>
      <c r="B186" s="43">
        <v>55730</v>
      </c>
      <c r="C186" s="43">
        <v>29391</v>
      </c>
      <c r="D186" s="43">
        <v>26339</v>
      </c>
      <c r="E186" s="43">
        <v>52095</v>
      </c>
      <c r="F186" s="43">
        <v>26906</v>
      </c>
      <c r="G186" s="43">
        <v>25189</v>
      </c>
      <c r="H186" s="43">
        <v>3606</v>
      </c>
      <c r="I186" s="43">
        <v>2464</v>
      </c>
      <c r="J186" s="43">
        <v>1142</v>
      </c>
    </row>
    <row r="187" spans="1:10">
      <c r="A187" s="38" t="s">
        <v>29</v>
      </c>
      <c r="B187" s="44">
        <v>7429</v>
      </c>
      <c r="C187" s="44">
        <v>4266</v>
      </c>
      <c r="D187" s="44">
        <v>3163</v>
      </c>
      <c r="E187" s="44">
        <v>6612</v>
      </c>
      <c r="F187" s="44">
        <v>3675</v>
      </c>
      <c r="G187" s="44">
        <v>2937</v>
      </c>
      <c r="H187" s="44">
        <v>810</v>
      </c>
      <c r="I187" s="44">
        <v>585</v>
      </c>
      <c r="J187" s="44">
        <v>225</v>
      </c>
    </row>
    <row r="188" spans="1:10">
      <c r="A188" s="42" t="s">
        <v>30</v>
      </c>
      <c r="B188" s="43">
        <v>38901</v>
      </c>
      <c r="C188" s="43">
        <v>20083</v>
      </c>
      <c r="D188" s="43">
        <v>18818</v>
      </c>
      <c r="E188" s="43">
        <v>37636</v>
      </c>
      <c r="F188" s="43">
        <v>19257</v>
      </c>
      <c r="G188" s="43">
        <v>18379</v>
      </c>
      <c r="H188" s="43">
        <v>1255</v>
      </c>
      <c r="I188" s="43">
        <v>819</v>
      </c>
      <c r="J188" s="43">
        <v>436</v>
      </c>
    </row>
    <row r="189" spans="1:10">
      <c r="A189" s="38" t="s">
        <v>31</v>
      </c>
      <c r="B189" s="44">
        <v>4367</v>
      </c>
      <c r="C189" s="44">
        <v>2132</v>
      </c>
      <c r="D189" s="44">
        <v>2235</v>
      </c>
      <c r="E189" s="44">
        <v>4047</v>
      </c>
      <c r="F189" s="44">
        <v>1971</v>
      </c>
      <c r="G189" s="44">
        <v>2076</v>
      </c>
      <c r="H189" s="44">
        <v>314</v>
      </c>
      <c r="I189" s="44">
        <v>157</v>
      </c>
      <c r="J189" s="44">
        <v>157</v>
      </c>
    </row>
    <row r="190" spans="1:10">
      <c r="A190" s="42" t="s">
        <v>32</v>
      </c>
      <c r="B190" s="43">
        <v>5033</v>
      </c>
      <c r="C190" s="43">
        <v>2910</v>
      </c>
      <c r="D190" s="43">
        <v>2123</v>
      </c>
      <c r="E190" s="43">
        <v>3800</v>
      </c>
      <c r="F190" s="43">
        <v>2003</v>
      </c>
      <c r="G190" s="43">
        <v>1797</v>
      </c>
      <c r="H190" s="43">
        <v>1227</v>
      </c>
      <c r="I190" s="43">
        <v>903</v>
      </c>
      <c r="J190" s="43">
        <v>324</v>
      </c>
    </row>
    <row r="191" spans="1:10">
      <c r="A191" s="368" t="s">
        <v>61</v>
      </c>
      <c r="B191" s="369"/>
      <c r="C191" s="369"/>
      <c r="D191" s="369"/>
      <c r="E191" s="369"/>
      <c r="F191" s="369"/>
      <c r="G191" s="369"/>
      <c r="H191" s="369"/>
      <c r="I191" s="369"/>
      <c r="J191" s="370"/>
    </row>
    <row r="192" spans="1:10">
      <c r="A192" s="42" t="s">
        <v>28</v>
      </c>
      <c r="B192" s="43">
        <v>47482</v>
      </c>
      <c r="C192" s="43">
        <v>24781</v>
      </c>
      <c r="D192" s="43">
        <v>22701</v>
      </c>
      <c r="E192" s="43">
        <v>43669</v>
      </c>
      <c r="F192" s="43">
        <v>22261</v>
      </c>
      <c r="G192" s="43">
        <v>21408</v>
      </c>
      <c r="H192" s="43">
        <v>3797</v>
      </c>
      <c r="I192" s="43">
        <v>2508</v>
      </c>
      <c r="J192" s="43">
        <v>1289</v>
      </c>
    </row>
    <row r="193" spans="1:10">
      <c r="A193" s="38" t="s">
        <v>29</v>
      </c>
      <c r="B193" s="44">
        <v>6359</v>
      </c>
      <c r="C193" s="44">
        <v>3470</v>
      </c>
      <c r="D193" s="44">
        <v>2889</v>
      </c>
      <c r="E193" s="44">
        <v>5564</v>
      </c>
      <c r="F193" s="44">
        <v>2947</v>
      </c>
      <c r="G193" s="44">
        <v>2617</v>
      </c>
      <c r="H193" s="44">
        <v>792</v>
      </c>
      <c r="I193" s="44">
        <v>520</v>
      </c>
      <c r="J193" s="44">
        <v>272</v>
      </c>
    </row>
    <row r="194" spans="1:10">
      <c r="A194" s="42" t="s">
        <v>30</v>
      </c>
      <c r="B194" s="43">
        <v>33700</v>
      </c>
      <c r="C194" s="43">
        <v>17217</v>
      </c>
      <c r="D194" s="43">
        <v>16483</v>
      </c>
      <c r="E194" s="43">
        <v>32296</v>
      </c>
      <c r="F194" s="43">
        <v>16315</v>
      </c>
      <c r="G194" s="43">
        <v>15981</v>
      </c>
      <c r="H194" s="43">
        <v>1397</v>
      </c>
      <c r="I194" s="43">
        <v>898</v>
      </c>
      <c r="J194" s="43">
        <v>499</v>
      </c>
    </row>
    <row r="195" spans="1:10">
      <c r="A195" s="38" t="s">
        <v>31</v>
      </c>
      <c r="B195" s="44">
        <v>3338</v>
      </c>
      <c r="C195" s="44">
        <v>1718</v>
      </c>
      <c r="D195" s="44">
        <v>1620</v>
      </c>
      <c r="E195" s="44">
        <v>3056</v>
      </c>
      <c r="F195" s="44">
        <v>1570</v>
      </c>
      <c r="G195" s="44">
        <v>1486</v>
      </c>
      <c r="H195" s="44">
        <v>280</v>
      </c>
      <c r="I195" s="44">
        <v>147</v>
      </c>
      <c r="J195" s="44">
        <v>133</v>
      </c>
    </row>
    <row r="196" spans="1:10">
      <c r="A196" s="42" t="s">
        <v>32</v>
      </c>
      <c r="B196" s="43">
        <v>4085</v>
      </c>
      <c r="C196" s="43">
        <v>2376</v>
      </c>
      <c r="D196" s="43">
        <v>1709</v>
      </c>
      <c r="E196" s="43">
        <v>2753</v>
      </c>
      <c r="F196" s="43">
        <v>1429</v>
      </c>
      <c r="G196" s="43">
        <v>1324</v>
      </c>
      <c r="H196" s="43">
        <v>1328</v>
      </c>
      <c r="I196" s="43">
        <v>943</v>
      </c>
      <c r="J196" s="43">
        <v>385</v>
      </c>
    </row>
    <row r="197" spans="1:10">
      <c r="A197" s="368" t="s">
        <v>62</v>
      </c>
      <c r="B197" s="369"/>
      <c r="C197" s="369"/>
      <c r="D197" s="369"/>
      <c r="E197" s="369"/>
      <c r="F197" s="369"/>
      <c r="G197" s="369"/>
      <c r="H197" s="369"/>
      <c r="I197" s="369"/>
      <c r="J197" s="370"/>
    </row>
    <row r="198" spans="1:10">
      <c r="A198" s="42" t="s">
        <v>28</v>
      </c>
      <c r="B198" s="43">
        <v>62085</v>
      </c>
      <c r="C198" s="43">
        <v>32779</v>
      </c>
      <c r="D198" s="43">
        <v>29306</v>
      </c>
      <c r="E198" s="43">
        <v>57029</v>
      </c>
      <c r="F198" s="43">
        <v>29121</v>
      </c>
      <c r="G198" s="43">
        <v>27908</v>
      </c>
      <c r="H198" s="43">
        <v>5030</v>
      </c>
      <c r="I198" s="43">
        <v>3638</v>
      </c>
      <c r="J198" s="43">
        <v>1392</v>
      </c>
    </row>
    <row r="199" spans="1:10">
      <c r="A199" s="38" t="s">
        <v>29</v>
      </c>
      <c r="B199" s="44">
        <v>7928</v>
      </c>
      <c r="C199" s="44">
        <v>4446</v>
      </c>
      <c r="D199" s="44">
        <v>3482</v>
      </c>
      <c r="E199" s="44">
        <v>6887</v>
      </c>
      <c r="F199" s="44">
        <v>3743</v>
      </c>
      <c r="G199" s="44">
        <v>3144</v>
      </c>
      <c r="H199" s="44">
        <v>1039</v>
      </c>
      <c r="I199" s="44">
        <v>701</v>
      </c>
      <c r="J199" s="44">
        <v>338</v>
      </c>
    </row>
    <row r="200" spans="1:10">
      <c r="A200" s="42" t="s">
        <v>30</v>
      </c>
      <c r="B200" s="43">
        <v>41550</v>
      </c>
      <c r="C200" s="43">
        <v>20926</v>
      </c>
      <c r="D200" s="43">
        <v>20624</v>
      </c>
      <c r="E200" s="43">
        <v>40268</v>
      </c>
      <c r="F200" s="43">
        <v>20097</v>
      </c>
      <c r="G200" s="43">
        <v>20171</v>
      </c>
      <c r="H200" s="43">
        <v>1275</v>
      </c>
      <c r="I200" s="43">
        <v>827</v>
      </c>
      <c r="J200" s="43">
        <v>448</v>
      </c>
    </row>
    <row r="201" spans="1:10">
      <c r="A201" s="38" t="s">
        <v>31</v>
      </c>
      <c r="B201" s="44">
        <v>6160</v>
      </c>
      <c r="C201" s="44">
        <v>3272</v>
      </c>
      <c r="D201" s="44">
        <v>2888</v>
      </c>
      <c r="E201" s="44">
        <v>5770</v>
      </c>
      <c r="F201" s="44">
        <v>3055</v>
      </c>
      <c r="G201" s="44">
        <v>2715</v>
      </c>
      <c r="H201" s="44">
        <v>388</v>
      </c>
      <c r="I201" s="44">
        <v>215</v>
      </c>
      <c r="J201" s="44">
        <v>173</v>
      </c>
    </row>
    <row r="202" spans="1:10">
      <c r="A202" s="42" t="s">
        <v>32</v>
      </c>
      <c r="B202" s="43">
        <v>6447</v>
      </c>
      <c r="C202" s="43">
        <v>4135</v>
      </c>
      <c r="D202" s="43">
        <v>2312</v>
      </c>
      <c r="E202" s="43">
        <v>4104</v>
      </c>
      <c r="F202" s="43">
        <v>2226</v>
      </c>
      <c r="G202" s="43">
        <v>1878</v>
      </c>
      <c r="H202" s="43">
        <v>2328</v>
      </c>
      <c r="I202" s="43">
        <v>1895</v>
      </c>
      <c r="J202" s="43">
        <v>433</v>
      </c>
    </row>
    <row r="203" spans="1:10">
      <c r="A203" s="368" t="s">
        <v>63</v>
      </c>
      <c r="B203" s="369"/>
      <c r="C203" s="369"/>
      <c r="D203" s="369"/>
      <c r="E203" s="369"/>
      <c r="F203" s="369"/>
      <c r="G203" s="369"/>
      <c r="H203" s="369"/>
      <c r="I203" s="369"/>
      <c r="J203" s="370"/>
    </row>
    <row r="204" spans="1:10">
      <c r="A204" s="42" t="s">
        <v>28</v>
      </c>
      <c r="B204" s="43">
        <v>29609</v>
      </c>
      <c r="C204" s="43">
        <v>14120</v>
      </c>
      <c r="D204" s="43">
        <v>15489</v>
      </c>
      <c r="E204" s="43">
        <v>28188</v>
      </c>
      <c r="F204" s="43">
        <v>13232</v>
      </c>
      <c r="G204" s="43">
        <v>14956</v>
      </c>
      <c r="H204" s="43">
        <v>1413</v>
      </c>
      <c r="I204" s="43">
        <v>883</v>
      </c>
      <c r="J204" s="43">
        <v>530</v>
      </c>
    </row>
    <row r="205" spans="1:10">
      <c r="A205" s="38" t="s">
        <v>29</v>
      </c>
      <c r="B205" s="44">
        <v>3289</v>
      </c>
      <c r="C205" s="44">
        <v>1747</v>
      </c>
      <c r="D205" s="44">
        <v>1542</v>
      </c>
      <c r="E205" s="44">
        <v>3012</v>
      </c>
      <c r="F205" s="44">
        <v>1571</v>
      </c>
      <c r="G205" s="44">
        <v>1441</v>
      </c>
      <c r="H205" s="44">
        <v>276</v>
      </c>
      <c r="I205" s="44">
        <v>176</v>
      </c>
      <c r="J205" s="44">
        <v>100</v>
      </c>
    </row>
    <row r="206" spans="1:10">
      <c r="A206" s="42" t="s">
        <v>30</v>
      </c>
      <c r="B206" s="43">
        <v>20802</v>
      </c>
      <c r="C206" s="43">
        <v>9718</v>
      </c>
      <c r="D206" s="43">
        <v>11084</v>
      </c>
      <c r="E206" s="43">
        <v>20307</v>
      </c>
      <c r="F206" s="43">
        <v>9423</v>
      </c>
      <c r="G206" s="43">
        <v>10884</v>
      </c>
      <c r="H206" s="43">
        <v>491</v>
      </c>
      <c r="I206" s="43">
        <v>293</v>
      </c>
      <c r="J206" s="43">
        <v>198</v>
      </c>
    </row>
    <row r="207" spans="1:10">
      <c r="A207" s="38" t="s">
        <v>31</v>
      </c>
      <c r="B207" s="44">
        <v>2758</v>
      </c>
      <c r="C207" s="44">
        <v>1188</v>
      </c>
      <c r="D207" s="44">
        <v>1570</v>
      </c>
      <c r="E207" s="44">
        <v>2552</v>
      </c>
      <c r="F207" s="44">
        <v>1086</v>
      </c>
      <c r="G207" s="44">
        <v>1466</v>
      </c>
      <c r="H207" s="44">
        <v>206</v>
      </c>
      <c r="I207" s="44">
        <v>102</v>
      </c>
      <c r="J207" s="44">
        <v>104</v>
      </c>
    </row>
    <row r="208" spans="1:10">
      <c r="A208" s="42" t="s">
        <v>32</v>
      </c>
      <c r="B208" s="43">
        <v>2760</v>
      </c>
      <c r="C208" s="43">
        <v>1467</v>
      </c>
      <c r="D208" s="43">
        <v>1293</v>
      </c>
      <c r="E208" s="43">
        <v>2317</v>
      </c>
      <c r="F208" s="43">
        <v>1152</v>
      </c>
      <c r="G208" s="43">
        <v>1165</v>
      </c>
      <c r="H208" s="43">
        <v>440</v>
      </c>
      <c r="I208" s="43">
        <v>312</v>
      </c>
      <c r="J208" s="43">
        <v>128</v>
      </c>
    </row>
    <row r="209" spans="1:10">
      <c r="A209" s="368" t="s">
        <v>64</v>
      </c>
      <c r="B209" s="369"/>
      <c r="C209" s="369"/>
      <c r="D209" s="369"/>
      <c r="E209" s="369"/>
      <c r="F209" s="369"/>
      <c r="G209" s="369"/>
      <c r="H209" s="369"/>
      <c r="I209" s="369"/>
      <c r="J209" s="370"/>
    </row>
    <row r="210" spans="1:10">
      <c r="A210" s="42" t="s">
        <v>28</v>
      </c>
      <c r="B210" s="43">
        <v>47352</v>
      </c>
      <c r="C210" s="43">
        <v>25766</v>
      </c>
      <c r="D210" s="43">
        <v>21586</v>
      </c>
      <c r="E210" s="43">
        <v>42942</v>
      </c>
      <c r="F210" s="43">
        <v>22677</v>
      </c>
      <c r="G210" s="43">
        <v>20265</v>
      </c>
      <c r="H210" s="43">
        <v>4393</v>
      </c>
      <c r="I210" s="43">
        <v>3082</v>
      </c>
      <c r="J210" s="43">
        <v>1311</v>
      </c>
    </row>
    <row r="211" spans="1:10">
      <c r="A211" s="38" t="s">
        <v>29</v>
      </c>
      <c r="B211" s="44">
        <v>6146</v>
      </c>
      <c r="C211" s="44">
        <v>3583</v>
      </c>
      <c r="D211" s="44">
        <v>2563</v>
      </c>
      <c r="E211" s="44">
        <v>5001</v>
      </c>
      <c r="F211" s="44">
        <v>2736</v>
      </c>
      <c r="G211" s="44">
        <v>2265</v>
      </c>
      <c r="H211" s="44">
        <v>1140</v>
      </c>
      <c r="I211" s="44">
        <v>843</v>
      </c>
      <c r="J211" s="44">
        <v>297</v>
      </c>
    </row>
    <row r="212" spans="1:10">
      <c r="A212" s="42" t="s">
        <v>30</v>
      </c>
      <c r="B212" s="43">
        <v>31034</v>
      </c>
      <c r="C212" s="43">
        <v>16561</v>
      </c>
      <c r="D212" s="43">
        <v>14473</v>
      </c>
      <c r="E212" s="43">
        <v>29878</v>
      </c>
      <c r="F212" s="43">
        <v>15751</v>
      </c>
      <c r="G212" s="43">
        <v>14127</v>
      </c>
      <c r="H212" s="43">
        <v>1150</v>
      </c>
      <c r="I212" s="43">
        <v>808</v>
      </c>
      <c r="J212" s="43">
        <v>342</v>
      </c>
    </row>
    <row r="213" spans="1:10">
      <c r="A213" s="38" t="s">
        <v>31</v>
      </c>
      <c r="B213" s="44">
        <v>4967</v>
      </c>
      <c r="C213" s="44">
        <v>2551</v>
      </c>
      <c r="D213" s="44">
        <v>2416</v>
      </c>
      <c r="E213" s="44">
        <v>4604</v>
      </c>
      <c r="F213" s="44">
        <v>2382</v>
      </c>
      <c r="G213" s="44">
        <v>2222</v>
      </c>
      <c r="H213" s="44">
        <v>362</v>
      </c>
      <c r="I213" s="44">
        <v>169</v>
      </c>
      <c r="J213" s="44">
        <v>193</v>
      </c>
    </row>
    <row r="214" spans="1:10">
      <c r="A214" s="42" t="s">
        <v>32</v>
      </c>
      <c r="B214" s="43">
        <v>5205</v>
      </c>
      <c r="C214" s="43">
        <v>3071</v>
      </c>
      <c r="D214" s="43">
        <v>2134</v>
      </c>
      <c r="E214" s="43">
        <v>3459</v>
      </c>
      <c r="F214" s="43">
        <v>1808</v>
      </c>
      <c r="G214" s="43">
        <v>1651</v>
      </c>
      <c r="H214" s="43">
        <v>1741</v>
      </c>
      <c r="I214" s="43">
        <v>1262</v>
      </c>
      <c r="J214" s="43">
        <v>479</v>
      </c>
    </row>
    <row r="215" spans="1:10">
      <c r="A215" s="368" t="s">
        <v>65</v>
      </c>
      <c r="B215" s="369"/>
      <c r="C215" s="369"/>
      <c r="D215" s="369"/>
      <c r="E215" s="369"/>
      <c r="F215" s="369"/>
      <c r="G215" s="369"/>
      <c r="H215" s="369"/>
      <c r="I215" s="369"/>
      <c r="J215" s="370"/>
    </row>
    <row r="216" spans="1:10">
      <c r="A216" s="42" t="s">
        <v>28</v>
      </c>
      <c r="B216" s="43">
        <v>974297</v>
      </c>
      <c r="C216" s="43">
        <v>542373</v>
      </c>
      <c r="D216" s="43">
        <v>431924</v>
      </c>
      <c r="E216" s="43">
        <v>884850</v>
      </c>
      <c r="F216" s="43">
        <v>481474</v>
      </c>
      <c r="G216" s="43">
        <v>403376</v>
      </c>
      <c r="H216" s="43">
        <v>89139</v>
      </c>
      <c r="I216" s="43">
        <v>60669</v>
      </c>
      <c r="J216" s="43">
        <v>28470</v>
      </c>
    </row>
    <row r="217" spans="1:10">
      <c r="A217" s="38" t="s">
        <v>29</v>
      </c>
      <c r="B217" s="44">
        <v>123856</v>
      </c>
      <c r="C217" s="44">
        <v>71939</v>
      </c>
      <c r="D217" s="44">
        <v>51917</v>
      </c>
      <c r="E217" s="44">
        <v>102314</v>
      </c>
      <c r="F217" s="44">
        <v>57232</v>
      </c>
      <c r="G217" s="44">
        <v>45082</v>
      </c>
      <c r="H217" s="44">
        <v>21475</v>
      </c>
      <c r="I217" s="44">
        <v>14656</v>
      </c>
      <c r="J217" s="44">
        <v>6819</v>
      </c>
    </row>
    <row r="218" spans="1:10">
      <c r="A218" s="42" t="s">
        <v>30</v>
      </c>
      <c r="B218" s="43">
        <v>641675</v>
      </c>
      <c r="C218" s="43">
        <v>351925</v>
      </c>
      <c r="D218" s="43">
        <v>289750</v>
      </c>
      <c r="E218" s="43">
        <v>617743</v>
      </c>
      <c r="F218" s="43">
        <v>335617</v>
      </c>
      <c r="G218" s="43">
        <v>282126</v>
      </c>
      <c r="H218" s="43">
        <v>23808</v>
      </c>
      <c r="I218" s="43">
        <v>16222</v>
      </c>
      <c r="J218" s="43">
        <v>7586</v>
      </c>
    </row>
    <row r="219" spans="1:10">
      <c r="A219" s="38" t="s">
        <v>31</v>
      </c>
      <c r="B219" s="44">
        <v>96360</v>
      </c>
      <c r="C219" s="44">
        <v>52555</v>
      </c>
      <c r="D219" s="44">
        <v>43805</v>
      </c>
      <c r="E219" s="44">
        <v>90269</v>
      </c>
      <c r="F219" s="44">
        <v>49230</v>
      </c>
      <c r="G219" s="44">
        <v>41039</v>
      </c>
      <c r="H219" s="44">
        <v>6072</v>
      </c>
      <c r="I219" s="44">
        <v>3309</v>
      </c>
      <c r="J219" s="44">
        <v>2763</v>
      </c>
    </row>
    <row r="220" spans="1:10">
      <c r="A220" s="42" t="s">
        <v>32</v>
      </c>
      <c r="B220" s="43">
        <v>112406</v>
      </c>
      <c r="C220" s="43">
        <v>65954</v>
      </c>
      <c r="D220" s="43">
        <v>46452</v>
      </c>
      <c r="E220" s="43">
        <v>74524</v>
      </c>
      <c r="F220" s="43">
        <v>39395</v>
      </c>
      <c r="G220" s="43">
        <v>35129</v>
      </c>
      <c r="H220" s="43">
        <v>37784</v>
      </c>
      <c r="I220" s="43">
        <v>26482</v>
      </c>
      <c r="J220" s="43">
        <v>11302</v>
      </c>
    </row>
    <row r="221" spans="1:10">
      <c r="A221" s="368" t="s">
        <v>66</v>
      </c>
      <c r="B221" s="369"/>
      <c r="C221" s="369"/>
      <c r="D221" s="369"/>
      <c r="E221" s="369"/>
      <c r="F221" s="369"/>
      <c r="G221" s="369"/>
      <c r="H221" s="369"/>
      <c r="I221" s="369"/>
      <c r="J221" s="370"/>
    </row>
    <row r="222" spans="1:10">
      <c r="A222" s="42" t="s">
        <v>28</v>
      </c>
      <c r="B222" s="43">
        <v>20525</v>
      </c>
      <c r="C222" s="43">
        <v>9606</v>
      </c>
      <c r="D222" s="43">
        <v>10919</v>
      </c>
      <c r="E222" s="43">
        <v>18808</v>
      </c>
      <c r="F222" s="43">
        <v>8571</v>
      </c>
      <c r="G222" s="43">
        <v>10237</v>
      </c>
      <c r="H222" s="43">
        <v>1707</v>
      </c>
      <c r="I222" s="43">
        <v>1028</v>
      </c>
      <c r="J222" s="43">
        <v>679</v>
      </c>
    </row>
    <row r="223" spans="1:10">
      <c r="A223" s="38" t="s">
        <v>29</v>
      </c>
      <c r="B223" s="44">
        <v>2731</v>
      </c>
      <c r="C223" s="44">
        <v>1385</v>
      </c>
      <c r="D223" s="44">
        <v>1346</v>
      </c>
      <c r="E223" s="44">
        <v>2265</v>
      </c>
      <c r="F223" s="44">
        <v>1097</v>
      </c>
      <c r="G223" s="44">
        <v>1168</v>
      </c>
      <c r="H223" s="44">
        <v>463</v>
      </c>
      <c r="I223" s="44">
        <v>285</v>
      </c>
      <c r="J223" s="44">
        <v>178</v>
      </c>
    </row>
    <row r="224" spans="1:10">
      <c r="A224" s="42" t="s">
        <v>30</v>
      </c>
      <c r="B224" s="43">
        <v>13220</v>
      </c>
      <c r="C224" s="43">
        <v>6037</v>
      </c>
      <c r="D224" s="43">
        <v>7183</v>
      </c>
      <c r="E224" s="43">
        <v>12701</v>
      </c>
      <c r="F224" s="43">
        <v>5732</v>
      </c>
      <c r="G224" s="43">
        <v>6969</v>
      </c>
      <c r="H224" s="43">
        <v>516</v>
      </c>
      <c r="I224" s="43">
        <v>304</v>
      </c>
      <c r="J224" s="43">
        <v>212</v>
      </c>
    </row>
    <row r="225" spans="1:10">
      <c r="A225" s="38" t="s">
        <v>31</v>
      </c>
      <c r="B225" s="44">
        <v>1851</v>
      </c>
      <c r="C225" s="44">
        <v>833</v>
      </c>
      <c r="D225" s="44">
        <v>1018</v>
      </c>
      <c r="E225" s="44">
        <v>1696</v>
      </c>
      <c r="F225" s="44">
        <v>748</v>
      </c>
      <c r="G225" s="44">
        <v>948</v>
      </c>
      <c r="H225" s="44">
        <v>153</v>
      </c>
      <c r="I225" s="44">
        <v>83</v>
      </c>
      <c r="J225" s="44">
        <v>70</v>
      </c>
    </row>
    <row r="226" spans="1:10">
      <c r="A226" s="42" t="s">
        <v>32</v>
      </c>
      <c r="B226" s="43">
        <v>2723</v>
      </c>
      <c r="C226" s="43">
        <v>1351</v>
      </c>
      <c r="D226" s="43">
        <v>1372</v>
      </c>
      <c r="E226" s="43">
        <v>2146</v>
      </c>
      <c r="F226" s="43">
        <v>994</v>
      </c>
      <c r="G226" s="43">
        <v>1152</v>
      </c>
      <c r="H226" s="43">
        <v>575</v>
      </c>
      <c r="I226" s="43">
        <v>356</v>
      </c>
      <c r="J226" s="43">
        <v>219</v>
      </c>
    </row>
    <row r="227" spans="1:10">
      <c r="A227" s="368" t="s">
        <v>67</v>
      </c>
      <c r="B227" s="369"/>
      <c r="C227" s="369"/>
      <c r="D227" s="369"/>
      <c r="E227" s="369"/>
      <c r="F227" s="369"/>
      <c r="G227" s="369"/>
      <c r="H227" s="369"/>
      <c r="I227" s="369"/>
      <c r="J227" s="370"/>
    </row>
    <row r="228" spans="1:10">
      <c r="A228" s="42" t="s">
        <v>28</v>
      </c>
      <c r="B228" s="43">
        <v>34655</v>
      </c>
      <c r="C228" s="43">
        <v>23414</v>
      </c>
      <c r="D228" s="43">
        <v>11241</v>
      </c>
      <c r="E228" s="43">
        <v>32746</v>
      </c>
      <c r="F228" s="43">
        <v>21967</v>
      </c>
      <c r="G228" s="43">
        <v>10779</v>
      </c>
      <c r="H228" s="43">
        <v>1906</v>
      </c>
      <c r="I228" s="43">
        <v>1444</v>
      </c>
      <c r="J228" s="43">
        <v>462</v>
      </c>
    </row>
    <row r="229" spans="1:10">
      <c r="A229" s="38" t="s">
        <v>29</v>
      </c>
      <c r="B229" s="44">
        <v>3520</v>
      </c>
      <c r="C229" s="44">
        <v>2114</v>
      </c>
      <c r="D229" s="44">
        <v>1406</v>
      </c>
      <c r="E229" s="44">
        <v>3015</v>
      </c>
      <c r="F229" s="44">
        <v>1727</v>
      </c>
      <c r="G229" s="44">
        <v>1288</v>
      </c>
      <c r="H229" s="44">
        <v>505</v>
      </c>
      <c r="I229" s="44">
        <v>387</v>
      </c>
      <c r="J229" s="44">
        <v>118</v>
      </c>
    </row>
    <row r="230" spans="1:10">
      <c r="A230" s="42" t="s">
        <v>30</v>
      </c>
      <c r="B230" s="43">
        <v>24292</v>
      </c>
      <c r="C230" s="43">
        <v>16837</v>
      </c>
      <c r="D230" s="43">
        <v>7455</v>
      </c>
      <c r="E230" s="43">
        <v>23607</v>
      </c>
      <c r="F230" s="43">
        <v>16305</v>
      </c>
      <c r="G230" s="43">
        <v>7302</v>
      </c>
      <c r="H230" s="43">
        <v>684</v>
      </c>
      <c r="I230" s="43">
        <v>531</v>
      </c>
      <c r="J230" s="43">
        <v>153</v>
      </c>
    </row>
    <row r="231" spans="1:10">
      <c r="A231" s="38" t="s">
        <v>31</v>
      </c>
      <c r="B231" s="44">
        <v>2913</v>
      </c>
      <c r="C231" s="44">
        <v>1816</v>
      </c>
      <c r="D231" s="44">
        <v>1097</v>
      </c>
      <c r="E231" s="44">
        <v>2742</v>
      </c>
      <c r="F231" s="44">
        <v>1715</v>
      </c>
      <c r="G231" s="44">
        <v>1027</v>
      </c>
      <c r="H231" s="44">
        <v>171</v>
      </c>
      <c r="I231" s="44">
        <v>101</v>
      </c>
      <c r="J231" s="44">
        <v>70</v>
      </c>
    </row>
    <row r="232" spans="1:10">
      <c r="A232" s="42" t="s">
        <v>32</v>
      </c>
      <c r="B232" s="43">
        <v>3930</v>
      </c>
      <c r="C232" s="43">
        <v>2647</v>
      </c>
      <c r="D232" s="43">
        <v>1283</v>
      </c>
      <c r="E232" s="43">
        <v>3382</v>
      </c>
      <c r="F232" s="43">
        <v>2220</v>
      </c>
      <c r="G232" s="43">
        <v>1162</v>
      </c>
      <c r="H232" s="43">
        <v>546</v>
      </c>
      <c r="I232" s="43">
        <v>425</v>
      </c>
      <c r="J232" s="43">
        <v>121</v>
      </c>
    </row>
    <row r="233" spans="1:10">
      <c r="A233" s="368" t="s">
        <v>68</v>
      </c>
      <c r="B233" s="369"/>
      <c r="C233" s="369"/>
      <c r="D233" s="369"/>
      <c r="E233" s="369"/>
      <c r="F233" s="369"/>
      <c r="G233" s="369"/>
      <c r="H233" s="369"/>
      <c r="I233" s="369"/>
      <c r="J233" s="370"/>
    </row>
    <row r="234" spans="1:10">
      <c r="A234" s="42" t="s">
        <v>28</v>
      </c>
      <c r="B234" s="43">
        <v>82696</v>
      </c>
      <c r="C234" s="43">
        <v>39444</v>
      </c>
      <c r="D234" s="43">
        <v>43252</v>
      </c>
      <c r="E234" s="43">
        <v>77768</v>
      </c>
      <c r="F234" s="43">
        <v>36297</v>
      </c>
      <c r="G234" s="43">
        <v>41471</v>
      </c>
      <c r="H234" s="43">
        <v>4897</v>
      </c>
      <c r="I234" s="43">
        <v>3124</v>
      </c>
      <c r="J234" s="43">
        <v>1773</v>
      </c>
    </row>
    <row r="235" spans="1:10">
      <c r="A235" s="38" t="s">
        <v>29</v>
      </c>
      <c r="B235" s="44">
        <v>9979</v>
      </c>
      <c r="C235" s="44">
        <v>5390</v>
      </c>
      <c r="D235" s="44">
        <v>4589</v>
      </c>
      <c r="E235" s="44">
        <v>8640</v>
      </c>
      <c r="F235" s="44">
        <v>4462</v>
      </c>
      <c r="G235" s="44">
        <v>4178</v>
      </c>
      <c r="H235" s="44">
        <v>1331</v>
      </c>
      <c r="I235" s="44">
        <v>921</v>
      </c>
      <c r="J235" s="44">
        <v>410</v>
      </c>
    </row>
    <row r="236" spans="1:10">
      <c r="A236" s="42" t="s">
        <v>30</v>
      </c>
      <c r="B236" s="43">
        <v>50255</v>
      </c>
      <c r="C236" s="43">
        <v>22198</v>
      </c>
      <c r="D236" s="43">
        <v>28057</v>
      </c>
      <c r="E236" s="43">
        <v>48941</v>
      </c>
      <c r="F236" s="43">
        <v>21450</v>
      </c>
      <c r="G236" s="43">
        <v>27491</v>
      </c>
      <c r="H236" s="43">
        <v>1303</v>
      </c>
      <c r="I236" s="43">
        <v>741</v>
      </c>
      <c r="J236" s="43">
        <v>562</v>
      </c>
    </row>
    <row r="237" spans="1:10">
      <c r="A237" s="38" t="s">
        <v>31</v>
      </c>
      <c r="B237" s="44">
        <v>15376</v>
      </c>
      <c r="C237" s="44">
        <v>8147</v>
      </c>
      <c r="D237" s="44">
        <v>7229</v>
      </c>
      <c r="E237" s="44">
        <v>14459</v>
      </c>
      <c r="F237" s="44">
        <v>7660</v>
      </c>
      <c r="G237" s="44">
        <v>6799</v>
      </c>
      <c r="H237" s="44">
        <v>914</v>
      </c>
      <c r="I237" s="44">
        <v>485</v>
      </c>
      <c r="J237" s="44">
        <v>429</v>
      </c>
    </row>
    <row r="238" spans="1:10">
      <c r="A238" s="42" t="s">
        <v>32</v>
      </c>
      <c r="B238" s="43">
        <v>7086</v>
      </c>
      <c r="C238" s="43">
        <v>3709</v>
      </c>
      <c r="D238" s="43">
        <v>3377</v>
      </c>
      <c r="E238" s="43">
        <v>5728</v>
      </c>
      <c r="F238" s="43">
        <v>2725</v>
      </c>
      <c r="G238" s="43">
        <v>3003</v>
      </c>
      <c r="H238" s="43">
        <v>1349</v>
      </c>
      <c r="I238" s="43">
        <v>977</v>
      </c>
      <c r="J238" s="43">
        <v>372</v>
      </c>
    </row>
    <row r="239" spans="1:10">
      <c r="A239" s="368" t="s">
        <v>69</v>
      </c>
      <c r="B239" s="369"/>
      <c r="C239" s="369"/>
      <c r="D239" s="369"/>
      <c r="E239" s="369"/>
      <c r="F239" s="369"/>
      <c r="G239" s="369"/>
      <c r="H239" s="369"/>
      <c r="I239" s="369"/>
      <c r="J239" s="370"/>
    </row>
    <row r="240" spans="1:10">
      <c r="A240" s="42" t="s">
        <v>28</v>
      </c>
      <c r="B240" s="43">
        <v>93733</v>
      </c>
      <c r="C240" s="43">
        <v>47128</v>
      </c>
      <c r="D240" s="43">
        <v>46605</v>
      </c>
      <c r="E240" s="43">
        <v>86145</v>
      </c>
      <c r="F240" s="43">
        <v>42817</v>
      </c>
      <c r="G240" s="43">
        <v>43328</v>
      </c>
      <c r="H240" s="43">
        <v>7549</v>
      </c>
      <c r="I240" s="43">
        <v>4282</v>
      </c>
      <c r="J240" s="43">
        <v>3267</v>
      </c>
    </row>
    <row r="241" spans="1:10">
      <c r="A241" s="38" t="s">
        <v>29</v>
      </c>
      <c r="B241" s="44">
        <v>12279</v>
      </c>
      <c r="C241" s="44">
        <v>6399</v>
      </c>
      <c r="D241" s="44">
        <v>5880</v>
      </c>
      <c r="E241" s="44">
        <v>9938</v>
      </c>
      <c r="F241" s="44">
        <v>5007</v>
      </c>
      <c r="G241" s="44">
        <v>4931</v>
      </c>
      <c r="H241" s="44">
        <v>2326</v>
      </c>
      <c r="I241" s="44">
        <v>1383</v>
      </c>
      <c r="J241" s="44">
        <v>943</v>
      </c>
    </row>
    <row r="242" spans="1:10">
      <c r="A242" s="42" t="s">
        <v>30</v>
      </c>
      <c r="B242" s="43">
        <v>56809</v>
      </c>
      <c r="C242" s="43">
        <v>28097</v>
      </c>
      <c r="D242" s="43">
        <v>28712</v>
      </c>
      <c r="E242" s="43">
        <v>54490</v>
      </c>
      <c r="F242" s="43">
        <v>26811</v>
      </c>
      <c r="G242" s="43">
        <v>27679</v>
      </c>
      <c r="H242" s="43">
        <v>2310</v>
      </c>
      <c r="I242" s="43">
        <v>1279</v>
      </c>
      <c r="J242" s="43">
        <v>1031</v>
      </c>
    </row>
    <row r="243" spans="1:10">
      <c r="A243" s="38" t="s">
        <v>31</v>
      </c>
      <c r="B243" s="44">
        <v>15665</v>
      </c>
      <c r="C243" s="44">
        <v>8145</v>
      </c>
      <c r="D243" s="44">
        <v>7520</v>
      </c>
      <c r="E243" s="44">
        <v>14832</v>
      </c>
      <c r="F243" s="44">
        <v>7684</v>
      </c>
      <c r="G243" s="44">
        <v>7148</v>
      </c>
      <c r="H243" s="44">
        <v>830</v>
      </c>
      <c r="I243" s="44">
        <v>458</v>
      </c>
      <c r="J243" s="44">
        <v>372</v>
      </c>
    </row>
    <row r="244" spans="1:10">
      <c r="A244" s="42" t="s">
        <v>32</v>
      </c>
      <c r="B244" s="43">
        <v>8980</v>
      </c>
      <c r="C244" s="43">
        <v>4487</v>
      </c>
      <c r="D244" s="43">
        <v>4493</v>
      </c>
      <c r="E244" s="43">
        <v>6885</v>
      </c>
      <c r="F244" s="43">
        <v>3315</v>
      </c>
      <c r="G244" s="43">
        <v>3570</v>
      </c>
      <c r="H244" s="43">
        <v>2083</v>
      </c>
      <c r="I244" s="43">
        <v>1162</v>
      </c>
      <c r="J244" s="43">
        <v>921</v>
      </c>
    </row>
    <row r="245" spans="1:10">
      <c r="A245" s="368" t="s">
        <v>70</v>
      </c>
      <c r="B245" s="369"/>
      <c r="C245" s="369"/>
      <c r="D245" s="369"/>
      <c r="E245" s="369"/>
      <c r="F245" s="369"/>
      <c r="G245" s="369"/>
      <c r="H245" s="369"/>
      <c r="I245" s="369"/>
      <c r="J245" s="370"/>
    </row>
    <row r="246" spans="1:10">
      <c r="A246" s="42" t="s">
        <v>28</v>
      </c>
      <c r="B246" s="43">
        <v>30112</v>
      </c>
      <c r="C246" s="43">
        <v>16295</v>
      </c>
      <c r="D246" s="43">
        <v>13817</v>
      </c>
      <c r="E246" s="43">
        <v>28514</v>
      </c>
      <c r="F246" s="43">
        <v>15123</v>
      </c>
      <c r="G246" s="43">
        <v>13391</v>
      </c>
      <c r="H246" s="43">
        <v>1589</v>
      </c>
      <c r="I246" s="43">
        <v>1167</v>
      </c>
      <c r="J246" s="43">
        <v>422</v>
      </c>
    </row>
    <row r="247" spans="1:10">
      <c r="A247" s="38" t="s">
        <v>29</v>
      </c>
      <c r="B247" s="44">
        <v>3658</v>
      </c>
      <c r="C247" s="44">
        <v>2101</v>
      </c>
      <c r="D247" s="44">
        <v>1557</v>
      </c>
      <c r="E247" s="44">
        <v>3223</v>
      </c>
      <c r="F247" s="44">
        <v>1764</v>
      </c>
      <c r="G247" s="44">
        <v>1459</v>
      </c>
      <c r="H247" s="44">
        <v>435</v>
      </c>
      <c r="I247" s="44">
        <v>337</v>
      </c>
      <c r="J247" s="44">
        <v>98</v>
      </c>
    </row>
    <row r="248" spans="1:10">
      <c r="A248" s="42" t="s">
        <v>30</v>
      </c>
      <c r="B248" s="43">
        <v>20168</v>
      </c>
      <c r="C248" s="43">
        <v>10620</v>
      </c>
      <c r="D248" s="43">
        <v>9548</v>
      </c>
      <c r="E248" s="43">
        <v>19711</v>
      </c>
      <c r="F248" s="43">
        <v>10302</v>
      </c>
      <c r="G248" s="43">
        <v>9409</v>
      </c>
      <c r="H248" s="43">
        <v>451</v>
      </c>
      <c r="I248" s="43">
        <v>315</v>
      </c>
      <c r="J248" s="43">
        <v>136</v>
      </c>
    </row>
    <row r="249" spans="1:10">
      <c r="A249" s="38" t="s">
        <v>31</v>
      </c>
      <c r="B249" s="44">
        <v>3050</v>
      </c>
      <c r="C249" s="44">
        <v>1694</v>
      </c>
      <c r="D249" s="44">
        <v>1356</v>
      </c>
      <c r="E249" s="44">
        <v>2830</v>
      </c>
      <c r="F249" s="44">
        <v>1566</v>
      </c>
      <c r="G249" s="44">
        <v>1264</v>
      </c>
      <c r="H249" s="44">
        <v>219</v>
      </c>
      <c r="I249" s="44">
        <v>127</v>
      </c>
      <c r="J249" s="44">
        <v>92</v>
      </c>
    </row>
    <row r="250" spans="1:10">
      <c r="A250" s="42" t="s">
        <v>32</v>
      </c>
      <c r="B250" s="43">
        <v>3236</v>
      </c>
      <c r="C250" s="43">
        <v>1880</v>
      </c>
      <c r="D250" s="43">
        <v>1356</v>
      </c>
      <c r="E250" s="43">
        <v>2750</v>
      </c>
      <c r="F250" s="43">
        <v>1491</v>
      </c>
      <c r="G250" s="43">
        <v>1259</v>
      </c>
      <c r="H250" s="43">
        <v>484</v>
      </c>
      <c r="I250" s="43">
        <v>388</v>
      </c>
      <c r="J250" s="43">
        <v>96</v>
      </c>
    </row>
    <row r="251" spans="1:10">
      <c r="A251" s="368" t="s">
        <v>71</v>
      </c>
      <c r="B251" s="369"/>
      <c r="C251" s="369"/>
      <c r="D251" s="369"/>
      <c r="E251" s="369"/>
      <c r="F251" s="369"/>
      <c r="G251" s="369"/>
      <c r="H251" s="369"/>
      <c r="I251" s="369"/>
      <c r="J251" s="370"/>
    </row>
    <row r="252" spans="1:10">
      <c r="A252" s="42" t="s">
        <v>28</v>
      </c>
      <c r="B252" s="43">
        <v>43248</v>
      </c>
      <c r="C252" s="43">
        <v>23954</v>
      </c>
      <c r="D252" s="43">
        <v>19294</v>
      </c>
      <c r="E252" s="43">
        <v>39811</v>
      </c>
      <c r="F252" s="43">
        <v>21616</v>
      </c>
      <c r="G252" s="43">
        <v>18195</v>
      </c>
      <c r="H252" s="43">
        <v>3428</v>
      </c>
      <c r="I252" s="43">
        <v>2332</v>
      </c>
      <c r="J252" s="43">
        <v>1096</v>
      </c>
    </row>
    <row r="253" spans="1:10">
      <c r="A253" s="38" t="s">
        <v>29</v>
      </c>
      <c r="B253" s="44">
        <v>5157</v>
      </c>
      <c r="C253" s="44">
        <v>3012</v>
      </c>
      <c r="D253" s="44">
        <v>2145</v>
      </c>
      <c r="E253" s="44">
        <v>4364</v>
      </c>
      <c r="F253" s="44">
        <v>2453</v>
      </c>
      <c r="G253" s="44">
        <v>1911</v>
      </c>
      <c r="H253" s="44">
        <v>790</v>
      </c>
      <c r="I253" s="44">
        <v>556</v>
      </c>
      <c r="J253" s="44">
        <v>234</v>
      </c>
    </row>
    <row r="254" spans="1:10">
      <c r="A254" s="42" t="s">
        <v>30</v>
      </c>
      <c r="B254" s="43">
        <v>29494</v>
      </c>
      <c r="C254" s="43">
        <v>16135</v>
      </c>
      <c r="D254" s="43">
        <v>13359</v>
      </c>
      <c r="E254" s="43">
        <v>28564</v>
      </c>
      <c r="F254" s="43">
        <v>15532</v>
      </c>
      <c r="G254" s="43">
        <v>13032</v>
      </c>
      <c r="H254" s="43">
        <v>925</v>
      </c>
      <c r="I254" s="43">
        <v>601</v>
      </c>
      <c r="J254" s="43">
        <v>324</v>
      </c>
    </row>
    <row r="255" spans="1:10">
      <c r="A255" s="38" t="s">
        <v>31</v>
      </c>
      <c r="B255" s="44">
        <v>3448</v>
      </c>
      <c r="C255" s="44">
        <v>1730</v>
      </c>
      <c r="D255" s="44">
        <v>1718</v>
      </c>
      <c r="E255" s="44">
        <v>3249</v>
      </c>
      <c r="F255" s="44">
        <v>1632</v>
      </c>
      <c r="G255" s="44">
        <v>1617</v>
      </c>
      <c r="H255" s="44">
        <v>199</v>
      </c>
      <c r="I255" s="44">
        <v>98</v>
      </c>
      <c r="J255" s="44">
        <v>101</v>
      </c>
    </row>
    <row r="256" spans="1:10">
      <c r="A256" s="42" t="s">
        <v>32</v>
      </c>
      <c r="B256" s="43">
        <v>5149</v>
      </c>
      <c r="C256" s="43">
        <v>3077</v>
      </c>
      <c r="D256" s="43">
        <v>2072</v>
      </c>
      <c r="E256" s="43">
        <v>3634</v>
      </c>
      <c r="F256" s="43">
        <v>1999</v>
      </c>
      <c r="G256" s="43">
        <v>1635</v>
      </c>
      <c r="H256" s="43">
        <v>1514</v>
      </c>
      <c r="I256" s="43">
        <v>1077</v>
      </c>
      <c r="J256" s="43">
        <v>437</v>
      </c>
    </row>
    <row r="257" spans="1:10">
      <c r="A257" s="368" t="s">
        <v>72</v>
      </c>
      <c r="B257" s="369"/>
      <c r="C257" s="369"/>
      <c r="D257" s="369"/>
      <c r="E257" s="369"/>
      <c r="F257" s="369"/>
      <c r="G257" s="369"/>
      <c r="H257" s="369"/>
      <c r="I257" s="369"/>
      <c r="J257" s="370"/>
    </row>
    <row r="258" spans="1:10">
      <c r="A258" s="42" t="s">
        <v>28</v>
      </c>
      <c r="B258" s="43">
        <v>60954</v>
      </c>
      <c r="C258" s="43">
        <v>32084</v>
      </c>
      <c r="D258" s="43">
        <v>28870</v>
      </c>
      <c r="E258" s="43">
        <v>56716</v>
      </c>
      <c r="F258" s="43">
        <v>29363</v>
      </c>
      <c r="G258" s="43">
        <v>27353</v>
      </c>
      <c r="H258" s="43">
        <v>4232</v>
      </c>
      <c r="I258" s="43">
        <v>2716</v>
      </c>
      <c r="J258" s="43">
        <v>1516</v>
      </c>
    </row>
    <row r="259" spans="1:10">
      <c r="A259" s="38" t="s">
        <v>29</v>
      </c>
      <c r="B259" s="44">
        <v>7924</v>
      </c>
      <c r="C259" s="44">
        <v>4359</v>
      </c>
      <c r="D259" s="44">
        <v>3565</v>
      </c>
      <c r="E259" s="44">
        <v>6937</v>
      </c>
      <c r="F259" s="44">
        <v>3673</v>
      </c>
      <c r="G259" s="44">
        <v>3264</v>
      </c>
      <c r="H259" s="44">
        <v>986</v>
      </c>
      <c r="I259" s="44">
        <v>685</v>
      </c>
      <c r="J259" s="44">
        <v>301</v>
      </c>
    </row>
    <row r="260" spans="1:10">
      <c r="A260" s="42" t="s">
        <v>30</v>
      </c>
      <c r="B260" s="43">
        <v>40860</v>
      </c>
      <c r="C260" s="43">
        <v>21256</v>
      </c>
      <c r="D260" s="43">
        <v>19604</v>
      </c>
      <c r="E260" s="43">
        <v>39678</v>
      </c>
      <c r="F260" s="43">
        <v>20488</v>
      </c>
      <c r="G260" s="43">
        <v>19190</v>
      </c>
      <c r="H260" s="43">
        <v>1180</v>
      </c>
      <c r="I260" s="43">
        <v>767</v>
      </c>
      <c r="J260" s="43">
        <v>413</v>
      </c>
    </row>
    <row r="261" spans="1:10">
      <c r="A261" s="38" t="s">
        <v>31</v>
      </c>
      <c r="B261" s="44">
        <v>5555</v>
      </c>
      <c r="C261" s="44">
        <v>3061</v>
      </c>
      <c r="D261" s="44">
        <v>2494</v>
      </c>
      <c r="E261" s="44">
        <v>5206</v>
      </c>
      <c r="F261" s="44">
        <v>2855</v>
      </c>
      <c r="G261" s="44">
        <v>2351</v>
      </c>
      <c r="H261" s="44">
        <v>349</v>
      </c>
      <c r="I261" s="44">
        <v>206</v>
      </c>
      <c r="J261" s="44">
        <v>143</v>
      </c>
    </row>
    <row r="262" spans="1:10">
      <c r="A262" s="42" t="s">
        <v>32</v>
      </c>
      <c r="B262" s="43">
        <v>6615</v>
      </c>
      <c r="C262" s="43">
        <v>3408</v>
      </c>
      <c r="D262" s="43">
        <v>3207</v>
      </c>
      <c r="E262" s="43">
        <v>4895</v>
      </c>
      <c r="F262" s="43">
        <v>2347</v>
      </c>
      <c r="G262" s="43">
        <v>2548</v>
      </c>
      <c r="H262" s="43">
        <v>1717</v>
      </c>
      <c r="I262" s="43">
        <v>1058</v>
      </c>
      <c r="J262" s="43">
        <v>659</v>
      </c>
    </row>
    <row r="263" spans="1:10">
      <c r="A263" s="368" t="s">
        <v>73</v>
      </c>
      <c r="B263" s="369"/>
      <c r="C263" s="369"/>
      <c r="D263" s="369"/>
      <c r="E263" s="369"/>
      <c r="F263" s="369"/>
      <c r="G263" s="369"/>
      <c r="H263" s="369"/>
      <c r="I263" s="369"/>
      <c r="J263" s="370"/>
    </row>
    <row r="264" spans="1:10">
      <c r="A264" s="42" t="s">
        <v>28</v>
      </c>
      <c r="B264" s="43">
        <v>65915</v>
      </c>
      <c r="C264" s="43">
        <v>39358</v>
      </c>
      <c r="D264" s="43">
        <v>26557</v>
      </c>
      <c r="E264" s="43">
        <v>56744</v>
      </c>
      <c r="F264" s="43">
        <v>32936</v>
      </c>
      <c r="G264" s="43">
        <v>23808</v>
      </c>
      <c r="H264" s="43">
        <v>9140</v>
      </c>
      <c r="I264" s="43">
        <v>6398</v>
      </c>
      <c r="J264" s="43">
        <v>2742</v>
      </c>
    </row>
    <row r="265" spans="1:10">
      <c r="A265" s="38" t="s">
        <v>29</v>
      </c>
      <c r="B265" s="44">
        <v>10592</v>
      </c>
      <c r="C265" s="44">
        <v>6309</v>
      </c>
      <c r="D265" s="44">
        <v>4283</v>
      </c>
      <c r="E265" s="44">
        <v>8133</v>
      </c>
      <c r="F265" s="44">
        <v>4674</v>
      </c>
      <c r="G265" s="44">
        <v>3459</v>
      </c>
      <c r="H265" s="44">
        <v>2452</v>
      </c>
      <c r="I265" s="44">
        <v>1630</v>
      </c>
      <c r="J265" s="44">
        <v>822</v>
      </c>
    </row>
    <row r="266" spans="1:10">
      <c r="A266" s="42" t="s">
        <v>30</v>
      </c>
      <c r="B266" s="43">
        <v>41330</v>
      </c>
      <c r="C266" s="43">
        <v>24472</v>
      </c>
      <c r="D266" s="43">
        <v>16858</v>
      </c>
      <c r="E266" s="43">
        <v>39556</v>
      </c>
      <c r="F266" s="43">
        <v>23168</v>
      </c>
      <c r="G266" s="43">
        <v>16388</v>
      </c>
      <c r="H266" s="43">
        <v>1762</v>
      </c>
      <c r="I266" s="43">
        <v>1295</v>
      </c>
      <c r="J266" s="43">
        <v>467</v>
      </c>
    </row>
    <row r="267" spans="1:10">
      <c r="A267" s="38" t="s">
        <v>31</v>
      </c>
      <c r="B267" s="44">
        <v>3994</v>
      </c>
      <c r="C267" s="44">
        <v>2155</v>
      </c>
      <c r="D267" s="44">
        <v>1839</v>
      </c>
      <c r="E267" s="44">
        <v>3728</v>
      </c>
      <c r="F267" s="44">
        <v>2035</v>
      </c>
      <c r="G267" s="44">
        <v>1693</v>
      </c>
      <c r="H267" s="44">
        <v>266</v>
      </c>
      <c r="I267" s="44">
        <v>120</v>
      </c>
      <c r="J267" s="44">
        <v>146</v>
      </c>
    </row>
    <row r="268" spans="1:10">
      <c r="A268" s="42" t="s">
        <v>32</v>
      </c>
      <c r="B268" s="43">
        <v>9999</v>
      </c>
      <c r="C268" s="43">
        <v>6422</v>
      </c>
      <c r="D268" s="43">
        <v>3577</v>
      </c>
      <c r="E268" s="43">
        <v>5327</v>
      </c>
      <c r="F268" s="43">
        <v>3059</v>
      </c>
      <c r="G268" s="43">
        <v>2268</v>
      </c>
      <c r="H268" s="43">
        <v>4660</v>
      </c>
      <c r="I268" s="43">
        <v>3353</v>
      </c>
      <c r="J268" s="43">
        <v>1307</v>
      </c>
    </row>
    <row r="269" spans="1:10">
      <c r="A269" s="368" t="s">
        <v>74</v>
      </c>
      <c r="B269" s="369"/>
      <c r="C269" s="369"/>
      <c r="D269" s="369"/>
      <c r="E269" s="369"/>
      <c r="F269" s="369"/>
      <c r="G269" s="369"/>
      <c r="H269" s="369"/>
      <c r="I269" s="369"/>
      <c r="J269" s="370"/>
    </row>
    <row r="270" spans="1:10">
      <c r="A270" s="42" t="s">
        <v>28</v>
      </c>
      <c r="B270" s="43">
        <v>136564</v>
      </c>
      <c r="C270" s="43">
        <v>82409</v>
      </c>
      <c r="D270" s="43">
        <v>54155</v>
      </c>
      <c r="E270" s="43">
        <v>124120</v>
      </c>
      <c r="F270" s="43">
        <v>73304</v>
      </c>
      <c r="G270" s="43">
        <v>50816</v>
      </c>
      <c r="H270" s="43">
        <v>12405</v>
      </c>
      <c r="I270" s="43">
        <v>9075</v>
      </c>
      <c r="J270" s="43">
        <v>3330</v>
      </c>
    </row>
    <row r="271" spans="1:10">
      <c r="A271" s="38" t="s">
        <v>29</v>
      </c>
      <c r="B271" s="44">
        <v>15778</v>
      </c>
      <c r="C271" s="44">
        <v>9317</v>
      </c>
      <c r="D271" s="44">
        <v>6461</v>
      </c>
      <c r="E271" s="44">
        <v>13262</v>
      </c>
      <c r="F271" s="44">
        <v>7595</v>
      </c>
      <c r="G271" s="44">
        <v>5667</v>
      </c>
      <c r="H271" s="44">
        <v>2510</v>
      </c>
      <c r="I271" s="44">
        <v>1716</v>
      </c>
      <c r="J271" s="44">
        <v>794</v>
      </c>
    </row>
    <row r="272" spans="1:10">
      <c r="A272" s="42" t="s">
        <v>30</v>
      </c>
      <c r="B272" s="43">
        <v>95273</v>
      </c>
      <c r="C272" s="43">
        <v>57115</v>
      </c>
      <c r="D272" s="43">
        <v>38158</v>
      </c>
      <c r="E272" s="43">
        <v>91516</v>
      </c>
      <c r="F272" s="43">
        <v>54300</v>
      </c>
      <c r="G272" s="43">
        <v>37216</v>
      </c>
      <c r="H272" s="43">
        <v>3734</v>
      </c>
      <c r="I272" s="43">
        <v>2798</v>
      </c>
      <c r="J272" s="43">
        <v>936</v>
      </c>
    </row>
    <row r="273" spans="1:10">
      <c r="A273" s="38" t="s">
        <v>31</v>
      </c>
      <c r="B273" s="44">
        <v>12092</v>
      </c>
      <c r="C273" s="44">
        <v>7388</v>
      </c>
      <c r="D273" s="44">
        <v>4704</v>
      </c>
      <c r="E273" s="44">
        <v>11277</v>
      </c>
      <c r="F273" s="44">
        <v>6894</v>
      </c>
      <c r="G273" s="44">
        <v>4383</v>
      </c>
      <c r="H273" s="44">
        <v>811</v>
      </c>
      <c r="I273" s="44">
        <v>491</v>
      </c>
      <c r="J273" s="44">
        <v>320</v>
      </c>
    </row>
    <row r="274" spans="1:10">
      <c r="A274" s="42" t="s">
        <v>32</v>
      </c>
      <c r="B274" s="43">
        <v>13421</v>
      </c>
      <c r="C274" s="43">
        <v>8589</v>
      </c>
      <c r="D274" s="43">
        <v>4832</v>
      </c>
      <c r="E274" s="43">
        <v>8065</v>
      </c>
      <c r="F274" s="43">
        <v>4515</v>
      </c>
      <c r="G274" s="43">
        <v>3550</v>
      </c>
      <c r="H274" s="43">
        <v>5350</v>
      </c>
      <c r="I274" s="43">
        <v>4070</v>
      </c>
      <c r="J274" s="43">
        <v>1280</v>
      </c>
    </row>
    <row r="275" spans="1:10">
      <c r="A275" s="368" t="s">
        <v>75</v>
      </c>
      <c r="B275" s="369"/>
      <c r="C275" s="369"/>
      <c r="D275" s="369"/>
      <c r="E275" s="369"/>
      <c r="F275" s="369"/>
      <c r="G275" s="369"/>
      <c r="H275" s="369"/>
      <c r="I275" s="369"/>
      <c r="J275" s="370"/>
    </row>
    <row r="276" spans="1:10">
      <c r="A276" s="42" t="s">
        <v>28</v>
      </c>
      <c r="B276" s="43">
        <v>29347</v>
      </c>
      <c r="C276" s="43">
        <v>14696</v>
      </c>
      <c r="D276" s="43">
        <v>14651</v>
      </c>
      <c r="E276" s="43">
        <v>28029</v>
      </c>
      <c r="F276" s="43">
        <v>13841</v>
      </c>
      <c r="G276" s="43">
        <v>14188</v>
      </c>
      <c r="H276" s="43">
        <v>1301</v>
      </c>
      <c r="I276" s="43">
        <v>846</v>
      </c>
      <c r="J276" s="43">
        <v>455</v>
      </c>
    </row>
    <row r="277" spans="1:10">
      <c r="A277" s="38" t="s">
        <v>29</v>
      </c>
      <c r="B277" s="44">
        <v>3094</v>
      </c>
      <c r="C277" s="44">
        <v>1685</v>
      </c>
      <c r="D277" s="44">
        <v>1409</v>
      </c>
      <c r="E277" s="44">
        <v>2826</v>
      </c>
      <c r="F277" s="44">
        <v>1499</v>
      </c>
      <c r="G277" s="44">
        <v>1327</v>
      </c>
      <c r="H277" s="44">
        <v>262</v>
      </c>
      <c r="I277" s="44">
        <v>183</v>
      </c>
      <c r="J277" s="44">
        <v>79</v>
      </c>
    </row>
    <row r="278" spans="1:10">
      <c r="A278" s="42" t="s">
        <v>30</v>
      </c>
      <c r="B278" s="43">
        <v>20349</v>
      </c>
      <c r="C278" s="43">
        <v>9937</v>
      </c>
      <c r="D278" s="43">
        <v>10412</v>
      </c>
      <c r="E278" s="43">
        <v>19941</v>
      </c>
      <c r="F278" s="43">
        <v>9689</v>
      </c>
      <c r="G278" s="43">
        <v>10252</v>
      </c>
      <c r="H278" s="43">
        <v>401</v>
      </c>
      <c r="I278" s="43">
        <v>244</v>
      </c>
      <c r="J278" s="43">
        <v>157</v>
      </c>
    </row>
    <row r="279" spans="1:10">
      <c r="A279" s="38" t="s">
        <v>31</v>
      </c>
      <c r="B279" s="44">
        <v>2595</v>
      </c>
      <c r="C279" s="44">
        <v>1330</v>
      </c>
      <c r="D279" s="44">
        <v>1265</v>
      </c>
      <c r="E279" s="44">
        <v>2441</v>
      </c>
      <c r="F279" s="44">
        <v>1259</v>
      </c>
      <c r="G279" s="44">
        <v>1182</v>
      </c>
      <c r="H279" s="44">
        <v>154</v>
      </c>
      <c r="I279" s="44">
        <v>71</v>
      </c>
      <c r="J279" s="44">
        <v>83</v>
      </c>
    </row>
    <row r="280" spans="1:10">
      <c r="A280" s="42" t="s">
        <v>32</v>
      </c>
      <c r="B280" s="43">
        <v>3309</v>
      </c>
      <c r="C280" s="43">
        <v>1744</v>
      </c>
      <c r="D280" s="43">
        <v>1565</v>
      </c>
      <c r="E280" s="43">
        <v>2821</v>
      </c>
      <c r="F280" s="43">
        <v>1394</v>
      </c>
      <c r="G280" s="43">
        <v>1427</v>
      </c>
      <c r="H280" s="43">
        <v>484</v>
      </c>
      <c r="I280" s="43">
        <v>348</v>
      </c>
      <c r="J280" s="43">
        <v>136</v>
      </c>
    </row>
    <row r="281" spans="1:10">
      <c r="A281" s="368" t="s">
        <v>76</v>
      </c>
      <c r="B281" s="369"/>
      <c r="C281" s="369"/>
      <c r="D281" s="369"/>
      <c r="E281" s="369"/>
      <c r="F281" s="369"/>
      <c r="G281" s="369"/>
      <c r="H281" s="369"/>
      <c r="I281" s="369"/>
      <c r="J281" s="370"/>
    </row>
    <row r="282" spans="1:10">
      <c r="A282" s="42" t="s">
        <v>28</v>
      </c>
      <c r="B282" s="43">
        <v>49421</v>
      </c>
      <c r="C282" s="43">
        <v>27600</v>
      </c>
      <c r="D282" s="43">
        <v>21821</v>
      </c>
      <c r="E282" s="43">
        <v>44233</v>
      </c>
      <c r="F282" s="43">
        <v>24071</v>
      </c>
      <c r="G282" s="43">
        <v>20162</v>
      </c>
      <c r="H282" s="43">
        <v>5166</v>
      </c>
      <c r="I282" s="43">
        <v>3511</v>
      </c>
      <c r="J282" s="43">
        <v>1655</v>
      </c>
    </row>
    <row r="283" spans="1:10">
      <c r="A283" s="38" t="s">
        <v>29</v>
      </c>
      <c r="B283" s="44">
        <v>5967</v>
      </c>
      <c r="C283" s="44">
        <v>3429</v>
      </c>
      <c r="D283" s="44">
        <v>2538</v>
      </c>
      <c r="E283" s="44">
        <v>4899</v>
      </c>
      <c r="F283" s="44">
        <v>2733</v>
      </c>
      <c r="G283" s="44">
        <v>2166</v>
      </c>
      <c r="H283" s="44">
        <v>1064</v>
      </c>
      <c r="I283" s="44">
        <v>693</v>
      </c>
      <c r="J283" s="44">
        <v>371</v>
      </c>
    </row>
    <row r="284" spans="1:10">
      <c r="A284" s="42" t="s">
        <v>30</v>
      </c>
      <c r="B284" s="43">
        <v>35190</v>
      </c>
      <c r="C284" s="43">
        <v>19446</v>
      </c>
      <c r="D284" s="43">
        <v>15744</v>
      </c>
      <c r="E284" s="43">
        <v>33189</v>
      </c>
      <c r="F284" s="43">
        <v>18094</v>
      </c>
      <c r="G284" s="43">
        <v>15095</v>
      </c>
      <c r="H284" s="43">
        <v>1992</v>
      </c>
      <c r="I284" s="43">
        <v>1343</v>
      </c>
      <c r="J284" s="43">
        <v>649</v>
      </c>
    </row>
    <row r="285" spans="1:10">
      <c r="A285" s="38" t="s">
        <v>31</v>
      </c>
      <c r="B285" s="44">
        <v>3569</v>
      </c>
      <c r="C285" s="44">
        <v>1924</v>
      </c>
      <c r="D285" s="44">
        <v>1645</v>
      </c>
      <c r="E285" s="44">
        <v>3228</v>
      </c>
      <c r="F285" s="44">
        <v>1750</v>
      </c>
      <c r="G285" s="44">
        <v>1478</v>
      </c>
      <c r="H285" s="44">
        <v>340</v>
      </c>
      <c r="I285" s="44">
        <v>173</v>
      </c>
      <c r="J285" s="44">
        <v>167</v>
      </c>
    </row>
    <row r="286" spans="1:10">
      <c r="A286" s="42" t="s">
        <v>32</v>
      </c>
      <c r="B286" s="43">
        <v>4695</v>
      </c>
      <c r="C286" s="43">
        <v>2801</v>
      </c>
      <c r="D286" s="43">
        <v>1894</v>
      </c>
      <c r="E286" s="43">
        <v>2917</v>
      </c>
      <c r="F286" s="43">
        <v>1494</v>
      </c>
      <c r="G286" s="43">
        <v>1423</v>
      </c>
      <c r="H286" s="43">
        <v>1770</v>
      </c>
      <c r="I286" s="43">
        <v>1302</v>
      </c>
      <c r="J286" s="43">
        <v>468</v>
      </c>
    </row>
    <row r="287" spans="1:10">
      <c r="A287" s="368" t="s">
        <v>77</v>
      </c>
      <c r="B287" s="369"/>
      <c r="C287" s="369"/>
      <c r="D287" s="369"/>
      <c r="E287" s="369"/>
      <c r="F287" s="369"/>
      <c r="G287" s="369"/>
      <c r="H287" s="369"/>
      <c r="I287" s="369"/>
      <c r="J287" s="370"/>
    </row>
    <row r="288" spans="1:10">
      <c r="A288" s="42" t="s">
        <v>28</v>
      </c>
      <c r="B288" s="43">
        <v>47026</v>
      </c>
      <c r="C288" s="43">
        <v>24755</v>
      </c>
      <c r="D288" s="43">
        <v>22271</v>
      </c>
      <c r="E288" s="43">
        <v>43692</v>
      </c>
      <c r="F288" s="43">
        <v>22411</v>
      </c>
      <c r="G288" s="43">
        <v>21281</v>
      </c>
      <c r="H288" s="43">
        <v>3327</v>
      </c>
      <c r="I288" s="43">
        <v>2340</v>
      </c>
      <c r="J288" s="43">
        <v>987</v>
      </c>
    </row>
    <row r="289" spans="1:10">
      <c r="A289" s="38" t="s">
        <v>29</v>
      </c>
      <c r="B289" s="44">
        <v>5790</v>
      </c>
      <c r="C289" s="44">
        <v>3241</v>
      </c>
      <c r="D289" s="44">
        <v>2549</v>
      </c>
      <c r="E289" s="44">
        <v>5277</v>
      </c>
      <c r="F289" s="44">
        <v>2875</v>
      </c>
      <c r="G289" s="44">
        <v>2402</v>
      </c>
      <c r="H289" s="44">
        <v>513</v>
      </c>
      <c r="I289" s="44">
        <v>366</v>
      </c>
      <c r="J289" s="44">
        <v>147</v>
      </c>
    </row>
    <row r="290" spans="1:10">
      <c r="A290" s="42" t="s">
        <v>30</v>
      </c>
      <c r="B290" s="43">
        <v>32468</v>
      </c>
      <c r="C290" s="43">
        <v>16653</v>
      </c>
      <c r="D290" s="43">
        <v>15815</v>
      </c>
      <c r="E290" s="43">
        <v>31480</v>
      </c>
      <c r="F290" s="43">
        <v>16011</v>
      </c>
      <c r="G290" s="43">
        <v>15469</v>
      </c>
      <c r="H290" s="43">
        <v>986</v>
      </c>
      <c r="I290" s="43">
        <v>642</v>
      </c>
      <c r="J290" s="43">
        <v>344</v>
      </c>
    </row>
    <row r="291" spans="1:10">
      <c r="A291" s="38" t="s">
        <v>31</v>
      </c>
      <c r="B291" s="44">
        <v>3717</v>
      </c>
      <c r="C291" s="44">
        <v>2001</v>
      </c>
      <c r="D291" s="44">
        <v>1716</v>
      </c>
      <c r="E291" s="44">
        <v>3429</v>
      </c>
      <c r="F291" s="44">
        <v>1853</v>
      </c>
      <c r="G291" s="44">
        <v>1576</v>
      </c>
      <c r="H291" s="44">
        <v>287</v>
      </c>
      <c r="I291" s="44">
        <v>148</v>
      </c>
      <c r="J291" s="44">
        <v>139</v>
      </c>
    </row>
    <row r="292" spans="1:10">
      <c r="A292" s="42" t="s">
        <v>32</v>
      </c>
      <c r="B292" s="43">
        <v>5051</v>
      </c>
      <c r="C292" s="43">
        <v>2860</v>
      </c>
      <c r="D292" s="43">
        <v>2191</v>
      </c>
      <c r="E292" s="43">
        <v>3506</v>
      </c>
      <c r="F292" s="43">
        <v>1672</v>
      </c>
      <c r="G292" s="43">
        <v>1834</v>
      </c>
      <c r="H292" s="43">
        <v>1541</v>
      </c>
      <c r="I292" s="43">
        <v>1184</v>
      </c>
      <c r="J292" s="43">
        <v>357</v>
      </c>
    </row>
    <row r="293" spans="1:10">
      <c r="A293" s="368" t="s">
        <v>78</v>
      </c>
      <c r="B293" s="369"/>
      <c r="C293" s="369"/>
      <c r="D293" s="369"/>
      <c r="E293" s="369"/>
      <c r="F293" s="369"/>
      <c r="G293" s="369"/>
      <c r="H293" s="369"/>
      <c r="I293" s="369"/>
      <c r="J293" s="370"/>
    </row>
    <row r="294" spans="1:10">
      <c r="A294" s="42" t="s">
        <v>28</v>
      </c>
      <c r="B294" s="43">
        <v>35419</v>
      </c>
      <c r="C294" s="43">
        <v>19573</v>
      </c>
      <c r="D294" s="43">
        <v>15846</v>
      </c>
      <c r="E294" s="43">
        <v>32203</v>
      </c>
      <c r="F294" s="43">
        <v>17259</v>
      </c>
      <c r="G294" s="43">
        <v>14944</v>
      </c>
      <c r="H294" s="43">
        <v>3207</v>
      </c>
      <c r="I294" s="43">
        <v>2308</v>
      </c>
      <c r="J294" s="43">
        <v>899</v>
      </c>
    </row>
    <row r="295" spans="1:10">
      <c r="A295" s="38" t="s">
        <v>29</v>
      </c>
      <c r="B295" s="44">
        <v>4247</v>
      </c>
      <c r="C295" s="44">
        <v>2652</v>
      </c>
      <c r="D295" s="44">
        <v>1595</v>
      </c>
      <c r="E295" s="44">
        <v>3439</v>
      </c>
      <c r="F295" s="44">
        <v>2070</v>
      </c>
      <c r="G295" s="44">
        <v>1369</v>
      </c>
      <c r="H295" s="44">
        <v>808</v>
      </c>
      <c r="I295" s="44">
        <v>582</v>
      </c>
      <c r="J295" s="44">
        <v>226</v>
      </c>
    </row>
    <row r="296" spans="1:10">
      <c r="A296" s="42" t="s">
        <v>30</v>
      </c>
      <c r="B296" s="43">
        <v>23482</v>
      </c>
      <c r="C296" s="43">
        <v>12559</v>
      </c>
      <c r="D296" s="43">
        <v>10923</v>
      </c>
      <c r="E296" s="43">
        <v>22674</v>
      </c>
      <c r="F296" s="43">
        <v>12003</v>
      </c>
      <c r="G296" s="43">
        <v>10671</v>
      </c>
      <c r="H296" s="43">
        <v>805</v>
      </c>
      <c r="I296" s="43">
        <v>554</v>
      </c>
      <c r="J296" s="43">
        <v>251</v>
      </c>
    </row>
    <row r="297" spans="1:10">
      <c r="A297" s="38" t="s">
        <v>31</v>
      </c>
      <c r="B297" s="44">
        <v>2668</v>
      </c>
      <c r="C297" s="44">
        <v>1335</v>
      </c>
      <c r="D297" s="44">
        <v>1333</v>
      </c>
      <c r="E297" s="44">
        <v>2533</v>
      </c>
      <c r="F297" s="44">
        <v>1262</v>
      </c>
      <c r="G297" s="44">
        <v>1271</v>
      </c>
      <c r="H297" s="44">
        <v>135</v>
      </c>
      <c r="I297" s="44">
        <v>73</v>
      </c>
      <c r="J297" s="44">
        <v>62</v>
      </c>
    </row>
    <row r="298" spans="1:10">
      <c r="A298" s="42" t="s">
        <v>32</v>
      </c>
      <c r="B298" s="43">
        <v>5022</v>
      </c>
      <c r="C298" s="43">
        <v>3027</v>
      </c>
      <c r="D298" s="43">
        <v>1995</v>
      </c>
      <c r="E298" s="43">
        <v>3557</v>
      </c>
      <c r="F298" s="43">
        <v>1924</v>
      </c>
      <c r="G298" s="43">
        <v>1633</v>
      </c>
      <c r="H298" s="43">
        <v>1459</v>
      </c>
      <c r="I298" s="43">
        <v>1099</v>
      </c>
      <c r="J298" s="43">
        <v>360</v>
      </c>
    </row>
    <row r="299" spans="1:10">
      <c r="A299" s="368" t="s">
        <v>79</v>
      </c>
      <c r="B299" s="369"/>
      <c r="C299" s="369"/>
      <c r="D299" s="369"/>
      <c r="E299" s="369"/>
      <c r="F299" s="369"/>
      <c r="G299" s="369"/>
      <c r="H299" s="369"/>
      <c r="I299" s="369"/>
      <c r="J299" s="370"/>
    </row>
    <row r="300" spans="1:10">
      <c r="A300" s="42" t="s">
        <v>28</v>
      </c>
      <c r="B300" s="43">
        <v>127816</v>
      </c>
      <c r="C300" s="43">
        <v>73073</v>
      </c>
      <c r="D300" s="43">
        <v>54743</v>
      </c>
      <c r="E300" s="43">
        <v>111624</v>
      </c>
      <c r="F300" s="43">
        <v>62110</v>
      </c>
      <c r="G300" s="43">
        <v>49514</v>
      </c>
      <c r="H300" s="43">
        <v>16160</v>
      </c>
      <c r="I300" s="43">
        <v>10937</v>
      </c>
      <c r="J300" s="43">
        <v>5223</v>
      </c>
    </row>
    <row r="301" spans="1:10">
      <c r="A301" s="38" t="s">
        <v>29</v>
      </c>
      <c r="B301" s="44">
        <v>17102</v>
      </c>
      <c r="C301" s="44">
        <v>10789</v>
      </c>
      <c r="D301" s="44">
        <v>6313</v>
      </c>
      <c r="E301" s="44">
        <v>13205</v>
      </c>
      <c r="F301" s="44">
        <v>8045</v>
      </c>
      <c r="G301" s="44">
        <v>5160</v>
      </c>
      <c r="H301" s="44">
        <v>3891</v>
      </c>
      <c r="I301" s="44">
        <v>2739</v>
      </c>
      <c r="J301" s="44">
        <v>1152</v>
      </c>
    </row>
    <row r="302" spans="1:10">
      <c r="A302" s="42" t="s">
        <v>30</v>
      </c>
      <c r="B302" s="43">
        <v>82591</v>
      </c>
      <c r="C302" s="43">
        <v>46003</v>
      </c>
      <c r="D302" s="43">
        <v>36588</v>
      </c>
      <c r="E302" s="43">
        <v>79023</v>
      </c>
      <c r="F302" s="43">
        <v>43540</v>
      </c>
      <c r="G302" s="43">
        <v>35483</v>
      </c>
      <c r="H302" s="43">
        <v>3555</v>
      </c>
      <c r="I302" s="43">
        <v>2455</v>
      </c>
      <c r="J302" s="43">
        <v>1100</v>
      </c>
    </row>
    <row r="303" spans="1:10">
      <c r="A303" s="38" t="s">
        <v>31</v>
      </c>
      <c r="B303" s="44">
        <v>10285</v>
      </c>
      <c r="C303" s="44">
        <v>5550</v>
      </c>
      <c r="D303" s="44">
        <v>4735</v>
      </c>
      <c r="E303" s="44">
        <v>9636</v>
      </c>
      <c r="F303" s="44">
        <v>5214</v>
      </c>
      <c r="G303" s="44">
        <v>4422</v>
      </c>
      <c r="H303" s="44">
        <v>646</v>
      </c>
      <c r="I303" s="44">
        <v>333</v>
      </c>
      <c r="J303" s="44">
        <v>313</v>
      </c>
    </row>
    <row r="304" spans="1:10">
      <c r="A304" s="42" t="s">
        <v>32</v>
      </c>
      <c r="B304" s="43">
        <v>17838</v>
      </c>
      <c r="C304" s="43">
        <v>10731</v>
      </c>
      <c r="D304" s="43">
        <v>7107</v>
      </c>
      <c r="E304" s="43">
        <v>9760</v>
      </c>
      <c r="F304" s="43">
        <v>5311</v>
      </c>
      <c r="G304" s="43">
        <v>4449</v>
      </c>
      <c r="H304" s="43">
        <v>8068</v>
      </c>
      <c r="I304" s="43">
        <v>5410</v>
      </c>
      <c r="J304" s="43">
        <v>2658</v>
      </c>
    </row>
    <row r="305" spans="1:10">
      <c r="A305" s="368" t="s">
        <v>80</v>
      </c>
      <c r="B305" s="369"/>
      <c r="C305" s="369"/>
      <c r="D305" s="369"/>
      <c r="E305" s="369"/>
      <c r="F305" s="369"/>
      <c r="G305" s="369"/>
      <c r="H305" s="369"/>
      <c r="I305" s="369"/>
      <c r="J305" s="370"/>
    </row>
    <row r="306" spans="1:10">
      <c r="A306" s="42" t="s">
        <v>28</v>
      </c>
      <c r="B306" s="43">
        <v>71087</v>
      </c>
      <c r="C306" s="43">
        <v>42301</v>
      </c>
      <c r="D306" s="43">
        <v>28786</v>
      </c>
      <c r="E306" s="43">
        <v>61232</v>
      </c>
      <c r="F306" s="43">
        <v>35622</v>
      </c>
      <c r="G306" s="43">
        <v>25610</v>
      </c>
      <c r="H306" s="43">
        <v>9815</v>
      </c>
      <c r="I306" s="43">
        <v>6648</v>
      </c>
      <c r="J306" s="43">
        <v>3167</v>
      </c>
    </row>
    <row r="307" spans="1:10">
      <c r="A307" s="38" t="s">
        <v>29</v>
      </c>
      <c r="B307" s="44">
        <v>10682</v>
      </c>
      <c r="C307" s="44">
        <v>6508</v>
      </c>
      <c r="D307" s="44">
        <v>4174</v>
      </c>
      <c r="E307" s="44">
        <v>8154</v>
      </c>
      <c r="F307" s="44">
        <v>4776</v>
      </c>
      <c r="G307" s="44">
        <v>3378</v>
      </c>
      <c r="H307" s="44">
        <v>2520</v>
      </c>
      <c r="I307" s="44">
        <v>1726</v>
      </c>
      <c r="J307" s="44">
        <v>794</v>
      </c>
    </row>
    <row r="308" spans="1:10">
      <c r="A308" s="42" t="s">
        <v>30</v>
      </c>
      <c r="B308" s="43">
        <v>44225</v>
      </c>
      <c r="C308" s="43">
        <v>26193</v>
      </c>
      <c r="D308" s="43">
        <v>18032</v>
      </c>
      <c r="E308" s="43">
        <v>42046</v>
      </c>
      <c r="F308" s="43">
        <v>24611</v>
      </c>
      <c r="G308" s="43">
        <v>17435</v>
      </c>
      <c r="H308" s="43">
        <v>2162</v>
      </c>
      <c r="I308" s="43">
        <v>1568</v>
      </c>
      <c r="J308" s="43">
        <v>594</v>
      </c>
    </row>
    <row r="309" spans="1:10">
      <c r="A309" s="38" t="s">
        <v>31</v>
      </c>
      <c r="B309" s="44">
        <v>6014</v>
      </c>
      <c r="C309" s="44">
        <v>3304</v>
      </c>
      <c r="D309" s="44">
        <v>2710</v>
      </c>
      <c r="E309" s="44">
        <v>5606</v>
      </c>
      <c r="F309" s="44">
        <v>3068</v>
      </c>
      <c r="G309" s="44">
        <v>2538</v>
      </c>
      <c r="H309" s="44">
        <v>408</v>
      </c>
      <c r="I309" s="44">
        <v>236</v>
      </c>
      <c r="J309" s="44">
        <v>172</v>
      </c>
    </row>
    <row r="310" spans="1:10">
      <c r="A310" s="42" t="s">
        <v>32</v>
      </c>
      <c r="B310" s="43">
        <v>10166</v>
      </c>
      <c r="C310" s="43">
        <v>6296</v>
      </c>
      <c r="D310" s="43">
        <v>3870</v>
      </c>
      <c r="E310" s="43">
        <v>5426</v>
      </c>
      <c r="F310" s="43">
        <v>3167</v>
      </c>
      <c r="G310" s="43">
        <v>2259</v>
      </c>
      <c r="H310" s="43">
        <v>4725</v>
      </c>
      <c r="I310" s="43">
        <v>3118</v>
      </c>
      <c r="J310" s="43">
        <v>1607</v>
      </c>
    </row>
    <row r="311" spans="1:10">
      <c r="A311" s="368" t="s">
        <v>81</v>
      </c>
      <c r="B311" s="369"/>
      <c r="C311" s="369"/>
      <c r="D311" s="369"/>
      <c r="E311" s="369"/>
      <c r="F311" s="369"/>
      <c r="G311" s="369"/>
      <c r="H311" s="369"/>
      <c r="I311" s="369"/>
      <c r="J311" s="370"/>
    </row>
    <row r="312" spans="1:10">
      <c r="A312" s="42" t="s">
        <v>28</v>
      </c>
      <c r="B312" s="43">
        <v>29859</v>
      </c>
      <c r="C312" s="43">
        <v>18712</v>
      </c>
      <c r="D312" s="43">
        <v>11147</v>
      </c>
      <c r="E312" s="43">
        <v>27402</v>
      </c>
      <c r="F312" s="43">
        <v>16700</v>
      </c>
      <c r="G312" s="43">
        <v>10702</v>
      </c>
      <c r="H312" s="43">
        <v>2455</v>
      </c>
      <c r="I312" s="43">
        <v>2010</v>
      </c>
      <c r="J312" s="43">
        <v>445</v>
      </c>
    </row>
    <row r="313" spans="1:10">
      <c r="A313" s="38" t="s">
        <v>29</v>
      </c>
      <c r="B313" s="44">
        <v>3625</v>
      </c>
      <c r="C313" s="44">
        <v>2340</v>
      </c>
      <c r="D313" s="44">
        <v>1285</v>
      </c>
      <c r="E313" s="44">
        <v>3143</v>
      </c>
      <c r="F313" s="44">
        <v>1956</v>
      </c>
      <c r="G313" s="44">
        <v>1187</v>
      </c>
      <c r="H313" s="44">
        <v>482</v>
      </c>
      <c r="I313" s="44">
        <v>384</v>
      </c>
      <c r="J313" s="44">
        <v>98</v>
      </c>
    </row>
    <row r="314" spans="1:10">
      <c r="A314" s="42" t="s">
        <v>30</v>
      </c>
      <c r="B314" s="43">
        <v>20759</v>
      </c>
      <c r="C314" s="43">
        <v>12889</v>
      </c>
      <c r="D314" s="43">
        <v>7870</v>
      </c>
      <c r="E314" s="43">
        <v>19912</v>
      </c>
      <c r="F314" s="43">
        <v>12218</v>
      </c>
      <c r="G314" s="43">
        <v>7694</v>
      </c>
      <c r="H314" s="43">
        <v>847</v>
      </c>
      <c r="I314" s="43">
        <v>671</v>
      </c>
      <c r="J314" s="43">
        <v>176</v>
      </c>
    </row>
    <row r="315" spans="1:10">
      <c r="A315" s="38" t="s">
        <v>31</v>
      </c>
      <c r="B315" s="44">
        <v>2604</v>
      </c>
      <c r="C315" s="44">
        <v>1693</v>
      </c>
      <c r="D315" s="44">
        <v>911</v>
      </c>
      <c r="E315" s="44">
        <v>2465</v>
      </c>
      <c r="F315" s="44">
        <v>1613</v>
      </c>
      <c r="G315" s="44">
        <v>852</v>
      </c>
      <c r="H315" s="44">
        <v>139</v>
      </c>
      <c r="I315" s="44">
        <v>80</v>
      </c>
      <c r="J315" s="44">
        <v>59</v>
      </c>
    </row>
    <row r="316" spans="1:10">
      <c r="A316" s="42" t="s">
        <v>32</v>
      </c>
      <c r="B316" s="43">
        <v>2871</v>
      </c>
      <c r="C316" s="43">
        <v>1790</v>
      </c>
      <c r="D316" s="43">
        <v>1081</v>
      </c>
      <c r="E316" s="43">
        <v>1882</v>
      </c>
      <c r="F316" s="43">
        <v>913</v>
      </c>
      <c r="G316" s="43">
        <v>969</v>
      </c>
      <c r="H316" s="43">
        <v>987</v>
      </c>
      <c r="I316" s="43">
        <v>875</v>
      </c>
      <c r="J316" s="43">
        <v>112</v>
      </c>
    </row>
    <row r="317" spans="1:10">
      <c r="A317" s="368" t="s">
        <v>82</v>
      </c>
      <c r="B317" s="369"/>
      <c r="C317" s="369"/>
      <c r="D317" s="369"/>
      <c r="E317" s="369"/>
      <c r="F317" s="369"/>
      <c r="G317" s="369"/>
      <c r="H317" s="369"/>
      <c r="I317" s="369"/>
      <c r="J317" s="370"/>
    </row>
    <row r="318" spans="1:10">
      <c r="A318" s="42" t="s">
        <v>28</v>
      </c>
      <c r="B318" s="43">
        <v>15920</v>
      </c>
      <c r="C318" s="43">
        <v>7971</v>
      </c>
      <c r="D318" s="43">
        <v>7949</v>
      </c>
      <c r="E318" s="43">
        <v>15063</v>
      </c>
      <c r="F318" s="43">
        <v>7466</v>
      </c>
      <c r="G318" s="43">
        <v>7597</v>
      </c>
      <c r="H318" s="43">
        <v>855</v>
      </c>
      <c r="I318" s="43">
        <v>503</v>
      </c>
      <c r="J318" s="43">
        <v>352</v>
      </c>
    </row>
    <row r="319" spans="1:10">
      <c r="A319" s="38" t="s">
        <v>29</v>
      </c>
      <c r="B319" s="44">
        <v>1731</v>
      </c>
      <c r="C319" s="44">
        <v>909</v>
      </c>
      <c r="D319" s="44">
        <v>822</v>
      </c>
      <c r="E319" s="44">
        <v>1594</v>
      </c>
      <c r="F319" s="44">
        <v>826</v>
      </c>
      <c r="G319" s="44">
        <v>768</v>
      </c>
      <c r="H319" s="44">
        <v>137</v>
      </c>
      <c r="I319" s="44">
        <v>83</v>
      </c>
      <c r="J319" s="44">
        <v>54</v>
      </c>
    </row>
    <row r="320" spans="1:10">
      <c r="A320" s="42" t="s">
        <v>30</v>
      </c>
      <c r="B320" s="43">
        <v>10910</v>
      </c>
      <c r="C320" s="43">
        <v>5478</v>
      </c>
      <c r="D320" s="43">
        <v>5432</v>
      </c>
      <c r="E320" s="43">
        <v>10714</v>
      </c>
      <c r="F320" s="43">
        <v>5363</v>
      </c>
      <c r="G320" s="43">
        <v>5351</v>
      </c>
      <c r="H320" s="43">
        <v>195</v>
      </c>
      <c r="I320" s="43">
        <v>114</v>
      </c>
      <c r="J320" s="43">
        <v>81</v>
      </c>
    </row>
    <row r="321" spans="1:10">
      <c r="A321" s="38" t="s">
        <v>31</v>
      </c>
      <c r="B321" s="44">
        <v>964</v>
      </c>
      <c r="C321" s="44">
        <v>449</v>
      </c>
      <c r="D321" s="44">
        <v>515</v>
      </c>
      <c r="E321" s="44">
        <v>912</v>
      </c>
      <c r="F321" s="44">
        <v>422</v>
      </c>
      <c r="G321" s="44">
        <v>490</v>
      </c>
      <c r="H321" s="44">
        <v>51</v>
      </c>
      <c r="I321" s="44">
        <v>26</v>
      </c>
      <c r="J321" s="44">
        <v>25</v>
      </c>
    </row>
    <row r="322" spans="1:10">
      <c r="A322" s="42" t="s">
        <v>32</v>
      </c>
      <c r="B322" s="43">
        <v>2315</v>
      </c>
      <c r="C322" s="43">
        <v>1135</v>
      </c>
      <c r="D322" s="43">
        <v>1180</v>
      </c>
      <c r="E322" s="43">
        <v>1843</v>
      </c>
      <c r="F322" s="43">
        <v>855</v>
      </c>
      <c r="G322" s="43">
        <v>988</v>
      </c>
      <c r="H322" s="43">
        <v>472</v>
      </c>
      <c r="I322" s="43">
        <v>280</v>
      </c>
      <c r="J322" s="43">
        <v>192</v>
      </c>
    </row>
    <row r="323" spans="1:10" ht="15">
      <c r="A323" s="36" t="s">
        <v>3</v>
      </c>
      <c r="B323" s="36"/>
      <c r="C323" s="36"/>
      <c r="D323" s="36"/>
      <c r="E323" s="36"/>
      <c r="F323" s="36"/>
      <c r="G323" s="36"/>
      <c r="H323" s="36"/>
      <c r="I323" s="36"/>
      <c r="J323" s="36"/>
    </row>
    <row r="324" spans="1:10" ht="15">
      <c r="A324" s="36" t="s">
        <v>83</v>
      </c>
      <c r="B324" s="36"/>
      <c r="C324" s="36"/>
      <c r="D324" s="36"/>
      <c r="E324" s="36"/>
      <c r="F324" s="36"/>
      <c r="G324" s="36"/>
      <c r="H324" s="36"/>
      <c r="I324" s="36"/>
      <c r="J324" s="36"/>
    </row>
  </sheetData>
  <mergeCells count="56">
    <mergeCell ref="A311:J311"/>
    <mergeCell ref="A317:J317"/>
    <mergeCell ref="A275:J275"/>
    <mergeCell ref="A281:J281"/>
    <mergeCell ref="A287:J287"/>
    <mergeCell ref="A293:J293"/>
    <mergeCell ref="A299:J299"/>
    <mergeCell ref="A305:J305"/>
    <mergeCell ref="A269:J269"/>
    <mergeCell ref="A203:J203"/>
    <mergeCell ref="A209:J209"/>
    <mergeCell ref="A215:J215"/>
    <mergeCell ref="A221:J221"/>
    <mergeCell ref="A227:J227"/>
    <mergeCell ref="A233:J233"/>
    <mergeCell ref="A239:J239"/>
    <mergeCell ref="A245:J245"/>
    <mergeCell ref="A251:J251"/>
    <mergeCell ref="A257:J257"/>
    <mergeCell ref="A263:J263"/>
    <mergeCell ref="A197:J197"/>
    <mergeCell ref="A131:J131"/>
    <mergeCell ref="A137:J137"/>
    <mergeCell ref="A143:J143"/>
    <mergeCell ref="A149:J149"/>
    <mergeCell ref="A155:J155"/>
    <mergeCell ref="A161:J161"/>
    <mergeCell ref="A167:J167"/>
    <mergeCell ref="A173:J173"/>
    <mergeCell ref="A179:J179"/>
    <mergeCell ref="A185:J185"/>
    <mergeCell ref="A191:J191"/>
    <mergeCell ref="A125:J125"/>
    <mergeCell ref="A59:J59"/>
    <mergeCell ref="A65:J65"/>
    <mergeCell ref="A71:J71"/>
    <mergeCell ref="A77:J77"/>
    <mergeCell ref="A83:J83"/>
    <mergeCell ref="A89:J89"/>
    <mergeCell ref="A95:J95"/>
    <mergeCell ref="A101:J101"/>
    <mergeCell ref="A107:J107"/>
    <mergeCell ref="A113:J113"/>
    <mergeCell ref="A119:J119"/>
    <mergeCell ref="A53:J53"/>
    <mergeCell ref="A13:A16"/>
    <mergeCell ref="B13:J13"/>
    <mergeCell ref="B14:D14"/>
    <mergeCell ref="E14:G14"/>
    <mergeCell ref="H14:J14"/>
    <mergeCell ref="A17:J17"/>
    <mergeCell ref="A23:J23"/>
    <mergeCell ref="A29:J29"/>
    <mergeCell ref="A35:J35"/>
    <mergeCell ref="A41:J41"/>
    <mergeCell ref="A47:J47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3"/>
  <dimension ref="A1:I64"/>
  <sheetViews>
    <sheetView topLeftCell="A19" workbookViewId="0">
      <selection activeCell="F56" sqref="F56:I56"/>
    </sheetView>
  </sheetViews>
  <sheetFormatPr baseColWidth="10" defaultRowHeight="13.5"/>
  <sheetData>
    <row r="1" spans="1:9" ht="13.5" customHeight="1">
      <c r="A1" s="26"/>
      <c r="B1" s="361" t="s">
        <v>86</v>
      </c>
      <c r="C1" s="364" t="s">
        <v>87</v>
      </c>
      <c r="D1" s="365"/>
      <c r="E1" s="366"/>
      <c r="F1" s="367" t="s">
        <v>88</v>
      </c>
      <c r="G1" s="367"/>
      <c r="H1" s="367"/>
      <c r="I1" s="364"/>
    </row>
    <row r="2" spans="1:9">
      <c r="A2" s="27"/>
      <c r="B2" s="362"/>
      <c r="C2" s="12" t="s">
        <v>28</v>
      </c>
      <c r="D2" s="13" t="s">
        <v>89</v>
      </c>
      <c r="E2" s="13" t="s">
        <v>90</v>
      </c>
      <c r="F2" s="13" t="s">
        <v>91</v>
      </c>
      <c r="G2" s="13" t="s">
        <v>92</v>
      </c>
      <c r="H2" s="13" t="s">
        <v>93</v>
      </c>
      <c r="I2" s="32" t="s">
        <v>131</v>
      </c>
    </row>
    <row r="3" spans="1:9">
      <c r="A3" s="28"/>
      <c r="B3" s="363"/>
      <c r="C3" s="364" t="s">
        <v>84</v>
      </c>
      <c r="D3" s="365"/>
      <c r="E3" s="366"/>
      <c r="F3" s="367" t="s">
        <v>85</v>
      </c>
      <c r="G3" s="367"/>
      <c r="H3" s="367"/>
      <c r="I3" s="364"/>
    </row>
    <row r="4" spans="1:9">
      <c r="A4" s="14"/>
      <c r="B4" s="14"/>
      <c r="C4" s="14"/>
      <c r="D4" s="14"/>
      <c r="E4" s="14"/>
      <c r="F4" s="14"/>
      <c r="G4" s="14"/>
      <c r="H4" s="14"/>
    </row>
    <row r="5" spans="1:9">
      <c r="A5" s="15">
        <v>101</v>
      </c>
      <c r="B5" s="15" t="s">
        <v>132</v>
      </c>
      <c r="C5" s="16">
        <v>9028</v>
      </c>
      <c r="D5" s="16">
        <v>5388</v>
      </c>
      <c r="E5" s="16">
        <v>3640</v>
      </c>
      <c r="F5" s="29">
        <v>22.441293752769162</v>
      </c>
      <c r="G5" s="29">
        <v>29.463890119627823</v>
      </c>
      <c r="H5" s="29">
        <v>22.120070890562694</v>
      </c>
      <c r="I5" s="29">
        <v>25.97474523704032</v>
      </c>
    </row>
    <row r="6" spans="1:9">
      <c r="A6" s="15">
        <v>102</v>
      </c>
      <c r="B6" s="15" t="s">
        <v>133</v>
      </c>
      <c r="C6" s="16">
        <v>3977</v>
      </c>
      <c r="D6" s="16">
        <v>3093</v>
      </c>
      <c r="E6" s="16">
        <v>884</v>
      </c>
      <c r="F6" s="29">
        <v>7.0656273573045008</v>
      </c>
      <c r="G6" s="29">
        <v>42.167462911742518</v>
      </c>
      <c r="H6" s="29">
        <v>22.353532813678655</v>
      </c>
      <c r="I6" s="29">
        <v>28.413376917274331</v>
      </c>
    </row>
    <row r="7" spans="1:9">
      <c r="A7" s="15">
        <v>103</v>
      </c>
      <c r="B7" s="15" t="s">
        <v>134</v>
      </c>
      <c r="C7" s="16">
        <v>8937</v>
      </c>
      <c r="D7" s="16">
        <v>6215</v>
      </c>
      <c r="E7" s="16">
        <v>2722</v>
      </c>
      <c r="F7" s="29">
        <v>22.143896162023051</v>
      </c>
      <c r="G7" s="29">
        <v>34.250867181380777</v>
      </c>
      <c r="H7" s="29">
        <v>12.811905561150274</v>
      </c>
      <c r="I7" s="29">
        <v>30.793331095445897</v>
      </c>
    </row>
    <row r="8" spans="1:9">
      <c r="A8" s="15">
        <v>151</v>
      </c>
      <c r="B8" s="15" t="s">
        <v>94</v>
      </c>
      <c r="C8" s="16">
        <v>2431</v>
      </c>
      <c r="D8" s="16">
        <v>1612</v>
      </c>
      <c r="E8" s="16">
        <v>819</v>
      </c>
      <c r="F8" s="29">
        <v>14.644179350061703</v>
      </c>
      <c r="G8" s="29">
        <v>28.630193336075688</v>
      </c>
      <c r="H8" s="29">
        <v>24.886877828054299</v>
      </c>
      <c r="I8" s="29">
        <v>31.838749485808311</v>
      </c>
    </row>
    <row r="9" spans="1:9">
      <c r="A9" s="15">
        <v>153</v>
      </c>
      <c r="B9" s="15" t="s">
        <v>96</v>
      </c>
      <c r="C9" s="16">
        <v>2405</v>
      </c>
      <c r="D9" s="16">
        <v>1547</v>
      </c>
      <c r="E9" s="16">
        <v>858</v>
      </c>
      <c r="F9" s="29">
        <v>17.962577962577964</v>
      </c>
      <c r="G9" s="29">
        <v>30.72765072765073</v>
      </c>
      <c r="H9" s="29">
        <v>22.245322245322246</v>
      </c>
      <c r="I9" s="29">
        <v>29.064449064449065</v>
      </c>
    </row>
    <row r="10" spans="1:9">
      <c r="A10" s="15">
        <v>154</v>
      </c>
      <c r="B10" s="15" t="s">
        <v>97</v>
      </c>
      <c r="C10" s="16">
        <v>1295</v>
      </c>
      <c r="D10" s="16">
        <v>882</v>
      </c>
      <c r="E10" s="16">
        <v>413</v>
      </c>
      <c r="F10" s="29">
        <v>14.054054054054054</v>
      </c>
      <c r="G10" s="29">
        <v>41.853281853281857</v>
      </c>
      <c r="H10" s="29">
        <v>20.231660231660232</v>
      </c>
      <c r="I10" s="29">
        <v>23.861003861003859</v>
      </c>
    </row>
    <row r="11" spans="1:9">
      <c r="A11" s="15">
        <v>155</v>
      </c>
      <c r="B11" s="15" t="s">
        <v>98</v>
      </c>
      <c r="C11" s="16">
        <v>2659</v>
      </c>
      <c r="D11" s="16">
        <v>2052</v>
      </c>
      <c r="E11" s="16">
        <v>607</v>
      </c>
      <c r="F11" s="29">
        <v>8.3113952613764575</v>
      </c>
      <c r="G11" s="29">
        <v>47.273411056788269</v>
      </c>
      <c r="H11" s="29">
        <v>20.007521624670929</v>
      </c>
      <c r="I11" s="29">
        <v>24.407672057164348</v>
      </c>
    </row>
    <row r="12" spans="1:9">
      <c r="A12" s="15">
        <v>157</v>
      </c>
      <c r="B12" s="15" t="s">
        <v>99</v>
      </c>
      <c r="C12" s="17">
        <v>2202</v>
      </c>
      <c r="D12" s="17">
        <v>1601</v>
      </c>
      <c r="E12" s="17">
        <v>601</v>
      </c>
      <c r="F12" s="29">
        <v>6.4486830154405084</v>
      </c>
      <c r="G12" s="29">
        <v>34.831970935513169</v>
      </c>
      <c r="H12" s="29">
        <v>30.290644868301541</v>
      </c>
      <c r="I12" s="29">
        <v>28.428701180744774</v>
      </c>
    </row>
    <row r="13" spans="1:9">
      <c r="A13" s="15">
        <v>158</v>
      </c>
      <c r="B13" s="15" t="s">
        <v>100</v>
      </c>
      <c r="C13" s="17">
        <v>1212</v>
      </c>
      <c r="D13" s="17">
        <v>730</v>
      </c>
      <c r="E13" s="17">
        <v>482</v>
      </c>
      <c r="F13" s="29">
        <v>11.138613861386139</v>
      </c>
      <c r="G13" s="29">
        <v>40.759075907590756</v>
      </c>
      <c r="H13" s="29">
        <v>21.03960396039604</v>
      </c>
      <c r="I13" s="29">
        <v>27.062706270627064</v>
      </c>
    </row>
    <row r="14" spans="1:9">
      <c r="A14" s="15">
        <v>159</v>
      </c>
      <c r="B14" s="15" t="s">
        <v>95</v>
      </c>
      <c r="C14" s="18">
        <v>7778</v>
      </c>
      <c r="D14" s="18">
        <v>4661</v>
      </c>
      <c r="E14" s="18">
        <v>3117</v>
      </c>
      <c r="F14" s="29">
        <v>28.992028799177167</v>
      </c>
      <c r="G14" s="29">
        <v>29.622010799691438</v>
      </c>
      <c r="H14" s="29">
        <v>23.592183080483416</v>
      </c>
      <c r="I14" s="29">
        <v>17.793777320647983</v>
      </c>
    </row>
    <row r="15" spans="1:9">
      <c r="A15" s="15">
        <v>1</v>
      </c>
      <c r="B15" s="15" t="s">
        <v>135</v>
      </c>
      <c r="C15" s="19">
        <v>41924</v>
      </c>
      <c r="D15" s="19">
        <v>27781</v>
      </c>
      <c r="E15" s="19">
        <v>14143</v>
      </c>
      <c r="F15" s="29">
        <v>19.103616067169163</v>
      </c>
      <c r="G15" s="29">
        <v>33.863658047896195</v>
      </c>
      <c r="H15" s="29">
        <v>20.804312565594884</v>
      </c>
      <c r="I15" s="29">
        <v>26.228413319339754</v>
      </c>
    </row>
    <row r="16" spans="1:9">
      <c r="A16" s="15">
        <v>241</v>
      </c>
      <c r="B16" s="15" t="s">
        <v>137</v>
      </c>
      <c r="C16" s="19">
        <v>51403</v>
      </c>
      <c r="D16" s="19">
        <v>31628</v>
      </c>
      <c r="E16" s="19">
        <v>19775</v>
      </c>
      <c r="F16" s="29">
        <v>12.528451646791044</v>
      </c>
      <c r="G16" s="29">
        <v>33.013637336342242</v>
      </c>
      <c r="H16" s="29">
        <v>25.51991128922436</v>
      </c>
      <c r="I16" s="29">
        <v>28.937999727642357</v>
      </c>
    </row>
    <row r="17" spans="1:9" s="33" customFormat="1">
      <c r="A17" s="15">
        <v>241001</v>
      </c>
      <c r="B17" s="15" t="s">
        <v>136</v>
      </c>
      <c r="C17" s="19">
        <v>33601</v>
      </c>
      <c r="D17" s="19">
        <v>20038</v>
      </c>
      <c r="E17" s="19">
        <v>13563</v>
      </c>
      <c r="F17" s="29">
        <v>15.213832921639236</v>
      </c>
      <c r="G17" s="29">
        <v>32.046665277819116</v>
      </c>
      <c r="H17" s="29">
        <v>24.886164102258864</v>
      </c>
      <c r="I17" s="29">
        <v>27.853337698282786</v>
      </c>
    </row>
    <row r="18" spans="1:9">
      <c r="A18" s="15">
        <v>241999</v>
      </c>
      <c r="B18" s="15" t="s">
        <v>145</v>
      </c>
      <c r="C18" s="19">
        <f>C16-C17</f>
        <v>17802</v>
      </c>
      <c r="D18" s="19">
        <f>D16-D17</f>
        <v>11590</v>
      </c>
      <c r="E18" s="19">
        <f>E16-E17</f>
        <v>6212</v>
      </c>
      <c r="F18" s="29">
        <v>7.4598359734861255</v>
      </c>
      <c r="G18" s="29">
        <v>34.838782159307939</v>
      </c>
      <c r="H18" s="29">
        <v>26.716099314683746</v>
      </c>
      <c r="I18" s="29">
        <v>30.985282552522186</v>
      </c>
    </row>
    <row r="19" spans="1:9">
      <c r="A19" s="15">
        <v>251</v>
      </c>
      <c r="B19" s="15" t="s">
        <v>101</v>
      </c>
      <c r="C19" s="19">
        <v>4811</v>
      </c>
      <c r="D19" s="19">
        <v>3330</v>
      </c>
      <c r="E19" s="19">
        <v>1481</v>
      </c>
      <c r="F19" s="29">
        <v>7.690708792350863</v>
      </c>
      <c r="G19" s="29">
        <v>33.257119102057786</v>
      </c>
      <c r="H19" s="29">
        <v>21.575556017459988</v>
      </c>
      <c r="I19" s="29">
        <v>37.476616088131365</v>
      </c>
    </row>
    <row r="20" spans="1:9">
      <c r="A20" s="15">
        <v>252</v>
      </c>
      <c r="B20" s="15" t="s">
        <v>102</v>
      </c>
      <c r="C20" s="19">
        <v>3270</v>
      </c>
      <c r="D20" s="19">
        <v>1959</v>
      </c>
      <c r="E20" s="19">
        <v>1311</v>
      </c>
      <c r="F20" s="29">
        <v>10.733944954128441</v>
      </c>
      <c r="G20" s="29">
        <v>37.767584097859327</v>
      </c>
      <c r="H20" s="29">
        <v>23.394495412844037</v>
      </c>
      <c r="I20" s="29">
        <v>28.103975535168196</v>
      </c>
    </row>
    <row r="21" spans="1:9">
      <c r="A21" s="15">
        <v>254</v>
      </c>
      <c r="B21" s="15" t="s">
        <v>103</v>
      </c>
      <c r="C21" s="19">
        <v>5044</v>
      </c>
      <c r="D21" s="19">
        <v>3238</v>
      </c>
      <c r="E21" s="19">
        <v>1806</v>
      </c>
      <c r="F21" s="29">
        <v>15.027755749405234</v>
      </c>
      <c r="G21" s="29">
        <v>37.390959555908012</v>
      </c>
      <c r="H21" s="29">
        <v>24.187153053132434</v>
      </c>
      <c r="I21" s="29">
        <v>23.394131641554321</v>
      </c>
    </row>
    <row r="22" spans="1:9">
      <c r="A22" s="15">
        <v>255</v>
      </c>
      <c r="B22" s="15" t="s">
        <v>104</v>
      </c>
      <c r="C22" s="19">
        <v>1088</v>
      </c>
      <c r="D22" s="19">
        <v>720</v>
      </c>
      <c r="E22" s="19">
        <v>368</v>
      </c>
      <c r="F22" s="29">
        <v>11.121323529411764</v>
      </c>
      <c r="G22" s="29">
        <v>35.202205882352942</v>
      </c>
      <c r="H22" s="29">
        <v>27.113970588235293</v>
      </c>
      <c r="I22" s="29">
        <v>26.5625</v>
      </c>
    </row>
    <row r="23" spans="1:9">
      <c r="A23" s="15">
        <v>256</v>
      </c>
      <c r="B23" s="15" t="s">
        <v>105</v>
      </c>
      <c r="C23" s="19">
        <v>2668</v>
      </c>
      <c r="D23" s="19">
        <v>1901</v>
      </c>
      <c r="E23" s="19">
        <v>767</v>
      </c>
      <c r="F23" s="29">
        <v>6.7841079460269862</v>
      </c>
      <c r="G23" s="29">
        <v>27.023988005997001</v>
      </c>
      <c r="H23" s="29">
        <v>26.72413793103448</v>
      </c>
      <c r="I23" s="29">
        <v>39.467766116941526</v>
      </c>
    </row>
    <row r="24" spans="1:9">
      <c r="A24" s="15">
        <v>257</v>
      </c>
      <c r="B24" s="15" t="s">
        <v>106</v>
      </c>
      <c r="C24" s="19">
        <v>2966</v>
      </c>
      <c r="D24" s="19">
        <v>1935</v>
      </c>
      <c r="E24" s="19">
        <v>1031</v>
      </c>
      <c r="F24" s="29">
        <v>7.4848280512474723</v>
      </c>
      <c r="G24" s="29">
        <v>43.391773432231965</v>
      </c>
      <c r="H24" s="29">
        <v>25.354012137559</v>
      </c>
      <c r="I24" s="29">
        <v>23.769386378961567</v>
      </c>
    </row>
    <row r="25" spans="1:9">
      <c r="A25" s="15">
        <v>2</v>
      </c>
      <c r="B25" s="15" t="s">
        <v>138</v>
      </c>
      <c r="C25" s="19">
        <v>71250</v>
      </c>
      <c r="D25" s="19">
        <v>44711</v>
      </c>
      <c r="E25" s="19">
        <v>26539</v>
      </c>
      <c r="F25" s="29">
        <v>11.849824561403508</v>
      </c>
      <c r="G25" s="29">
        <v>33.799298245614033</v>
      </c>
      <c r="H25" s="29">
        <v>25.124210526315789</v>
      </c>
      <c r="I25" s="29">
        <v>29.226666666666667</v>
      </c>
    </row>
    <row r="26" spans="1:9">
      <c r="A26" s="15">
        <v>351</v>
      </c>
      <c r="B26" s="15" t="s">
        <v>107</v>
      </c>
      <c r="C26" s="19">
        <v>3061</v>
      </c>
      <c r="D26" s="19">
        <v>1955</v>
      </c>
      <c r="E26" s="19">
        <v>1106</v>
      </c>
      <c r="F26" s="29">
        <v>14.276380267886314</v>
      </c>
      <c r="G26" s="29">
        <v>33.322443645867359</v>
      </c>
      <c r="H26" s="29">
        <v>28.520091473374716</v>
      </c>
      <c r="I26" s="29">
        <v>23.881084612871611</v>
      </c>
    </row>
    <row r="27" spans="1:9">
      <c r="A27" s="20">
        <v>352</v>
      </c>
      <c r="B27" s="20" t="s">
        <v>108</v>
      </c>
      <c r="C27" s="21">
        <v>3769</v>
      </c>
      <c r="D27" s="21">
        <v>2426</v>
      </c>
      <c r="E27" s="21">
        <v>1343</v>
      </c>
      <c r="F27" s="29">
        <v>6.6330591668877688</v>
      </c>
      <c r="G27" s="29">
        <v>27.805784027593528</v>
      </c>
      <c r="H27" s="29">
        <v>23.029981427434333</v>
      </c>
      <c r="I27" s="29">
        <v>42.53117537808437</v>
      </c>
    </row>
    <row r="28" spans="1:9">
      <c r="A28" s="15">
        <v>353</v>
      </c>
      <c r="B28" s="15" t="s">
        <v>109</v>
      </c>
      <c r="C28" s="19">
        <v>6224</v>
      </c>
      <c r="D28" s="19">
        <v>4363</v>
      </c>
      <c r="E28" s="19">
        <v>1861</v>
      </c>
      <c r="F28" s="29">
        <v>6.0893316195372744</v>
      </c>
      <c r="G28" s="29">
        <v>29.161311053984573</v>
      </c>
      <c r="H28" s="29">
        <v>19.296272493573266</v>
      </c>
      <c r="I28" s="29">
        <v>45.453084832904885</v>
      </c>
    </row>
    <row r="29" spans="1:9">
      <c r="A29" s="15">
        <v>354</v>
      </c>
      <c r="B29" s="15" t="s">
        <v>110</v>
      </c>
      <c r="C29" s="19">
        <v>654</v>
      </c>
      <c r="D29" s="19">
        <v>370</v>
      </c>
      <c r="E29" s="19">
        <v>284</v>
      </c>
      <c r="F29" s="29">
        <v>8.5626911314984699</v>
      </c>
      <c r="G29" s="29">
        <v>30.122324159021407</v>
      </c>
      <c r="H29" s="29">
        <v>16.513761467889911</v>
      </c>
      <c r="I29" s="29">
        <v>44.801223241590215</v>
      </c>
    </row>
    <row r="30" spans="1:9">
      <c r="A30" s="15">
        <v>355</v>
      </c>
      <c r="B30" s="15" t="s">
        <v>111</v>
      </c>
      <c r="C30" s="19">
        <v>3125</v>
      </c>
      <c r="D30" s="19">
        <v>1975</v>
      </c>
      <c r="E30" s="19">
        <v>1150</v>
      </c>
      <c r="F30" s="29">
        <v>14.56</v>
      </c>
      <c r="G30" s="29">
        <v>33.472000000000001</v>
      </c>
      <c r="H30" s="29">
        <v>22.656000000000002</v>
      </c>
      <c r="I30" s="29">
        <v>29.311999999999998</v>
      </c>
    </row>
    <row r="31" spans="1:9">
      <c r="A31" s="15">
        <v>356</v>
      </c>
      <c r="B31" s="15" t="s">
        <v>112</v>
      </c>
      <c r="C31" s="19">
        <v>1491</v>
      </c>
      <c r="D31" s="19">
        <v>1002</v>
      </c>
      <c r="E31" s="19">
        <v>489</v>
      </c>
      <c r="F31" s="29">
        <v>10.395707578806171</v>
      </c>
      <c r="G31" s="29">
        <v>33.936955063715629</v>
      </c>
      <c r="H31" s="29">
        <v>23.205902079141516</v>
      </c>
      <c r="I31" s="29">
        <v>32.461435278336687</v>
      </c>
    </row>
    <row r="32" spans="1:9">
      <c r="A32" s="15">
        <v>357</v>
      </c>
      <c r="B32" s="15" t="s">
        <v>113</v>
      </c>
      <c r="C32" s="19">
        <v>3356</v>
      </c>
      <c r="D32" s="19">
        <v>2263</v>
      </c>
      <c r="E32" s="19">
        <v>1093</v>
      </c>
      <c r="F32" s="29">
        <v>8.9094159713945178</v>
      </c>
      <c r="G32" s="29">
        <v>37.216924910607865</v>
      </c>
      <c r="H32" s="29">
        <v>19.338498212157329</v>
      </c>
      <c r="I32" s="29">
        <v>34.535160905840286</v>
      </c>
    </row>
    <row r="33" spans="1:9">
      <c r="A33" s="15">
        <v>358</v>
      </c>
      <c r="B33" s="15" t="s">
        <v>114</v>
      </c>
      <c r="C33" s="19">
        <v>3290</v>
      </c>
      <c r="D33" s="19">
        <v>2171</v>
      </c>
      <c r="E33" s="19">
        <v>1119</v>
      </c>
      <c r="F33" s="29">
        <v>7.5379939209726441</v>
      </c>
      <c r="G33" s="29">
        <v>35.775075987841944</v>
      </c>
      <c r="H33" s="29">
        <v>21.124620060790271</v>
      </c>
      <c r="I33" s="29">
        <v>35.562310030395139</v>
      </c>
    </row>
    <row r="34" spans="1:9">
      <c r="A34" s="15">
        <v>359</v>
      </c>
      <c r="B34" s="15" t="s">
        <v>115</v>
      </c>
      <c r="C34" s="19">
        <v>4514</v>
      </c>
      <c r="D34" s="19">
        <v>3241</v>
      </c>
      <c r="E34" s="19">
        <v>1273</v>
      </c>
      <c r="F34" s="29">
        <v>7.9973416038989802</v>
      </c>
      <c r="G34" s="29">
        <v>25.963668586619406</v>
      </c>
      <c r="H34" s="29">
        <v>18.365086397873284</v>
      </c>
      <c r="I34" s="29">
        <v>47.673903411608329</v>
      </c>
    </row>
    <row r="35" spans="1:9">
      <c r="A35" s="15">
        <v>360</v>
      </c>
      <c r="B35" s="15" t="s">
        <v>116</v>
      </c>
      <c r="C35" s="19">
        <v>1245</v>
      </c>
      <c r="D35" s="19">
        <v>750</v>
      </c>
      <c r="E35" s="19">
        <v>495</v>
      </c>
      <c r="F35" s="29">
        <v>16.626506024096386</v>
      </c>
      <c r="G35" s="29">
        <v>32.690763052208837</v>
      </c>
      <c r="H35" s="29">
        <v>17.831325301204821</v>
      </c>
      <c r="I35" s="29">
        <v>32.851405622489963</v>
      </c>
    </row>
    <row r="36" spans="1:9">
      <c r="A36" s="15">
        <v>361</v>
      </c>
      <c r="B36" s="15" t="s">
        <v>117</v>
      </c>
      <c r="C36" s="19">
        <v>3863</v>
      </c>
      <c r="D36" s="19">
        <v>2605</v>
      </c>
      <c r="E36" s="19">
        <v>1258</v>
      </c>
      <c r="F36" s="29">
        <v>9.2415221330572095</v>
      </c>
      <c r="G36" s="29">
        <v>27.439813616360343</v>
      </c>
      <c r="H36" s="29">
        <v>25.213564587108468</v>
      </c>
      <c r="I36" s="29">
        <v>38.105099663473986</v>
      </c>
    </row>
    <row r="37" spans="1:9">
      <c r="A37" s="15">
        <v>3</v>
      </c>
      <c r="B37" s="15" t="s">
        <v>111</v>
      </c>
      <c r="C37" s="19">
        <v>34592</v>
      </c>
      <c r="D37" s="19">
        <v>23121</v>
      </c>
      <c r="E37" s="19">
        <v>11471</v>
      </c>
      <c r="F37" s="29">
        <v>9.2622571692876967</v>
      </c>
      <c r="G37" s="29">
        <v>30.923334875115632</v>
      </c>
      <c r="H37" s="29">
        <v>21.603260869565215</v>
      </c>
      <c r="I37" s="29">
        <v>38.211147086031453</v>
      </c>
    </row>
    <row r="38" spans="1:9">
      <c r="A38" s="15">
        <v>401</v>
      </c>
      <c r="B38" s="15" t="s">
        <v>139</v>
      </c>
      <c r="C38" s="19">
        <v>1536</v>
      </c>
      <c r="D38" s="19">
        <v>891</v>
      </c>
      <c r="E38" s="19">
        <v>645</v>
      </c>
      <c r="F38" s="29">
        <v>8.984375</v>
      </c>
      <c r="G38" s="29">
        <v>30.2734375</v>
      </c>
      <c r="H38" s="29">
        <v>26.432291666666668</v>
      </c>
      <c r="I38" s="29">
        <v>34.309895833333329</v>
      </c>
    </row>
    <row r="39" spans="1:9" s="33" customFormat="1">
      <c r="A39" s="15">
        <v>402</v>
      </c>
      <c r="B39" s="15" t="s">
        <v>140</v>
      </c>
      <c r="C39" s="19">
        <v>1621</v>
      </c>
      <c r="D39" s="19">
        <v>1203</v>
      </c>
      <c r="E39" s="19">
        <v>418</v>
      </c>
      <c r="F39" s="29">
        <v>9.8704503392967311</v>
      </c>
      <c r="G39" s="29">
        <v>38.433066008636644</v>
      </c>
      <c r="H39" s="29">
        <v>23.874151758173966</v>
      </c>
      <c r="I39" s="29">
        <v>27.82233189389266</v>
      </c>
    </row>
    <row r="40" spans="1:9">
      <c r="A40" s="15">
        <v>403</v>
      </c>
      <c r="B40" s="15" t="s">
        <v>141</v>
      </c>
      <c r="C40" s="19">
        <v>4306</v>
      </c>
      <c r="D40" s="19">
        <v>2682</v>
      </c>
      <c r="E40" s="19">
        <v>1624</v>
      </c>
      <c r="F40" s="29">
        <v>18.253599628425452</v>
      </c>
      <c r="G40" s="29">
        <v>27.519739897816997</v>
      </c>
      <c r="H40" s="29">
        <v>23.989781699953554</v>
      </c>
      <c r="I40" s="29">
        <v>30.236878773803994</v>
      </c>
    </row>
    <row r="41" spans="1:9">
      <c r="A41" s="15">
        <v>404</v>
      </c>
      <c r="B41" s="15" t="s">
        <v>142</v>
      </c>
      <c r="C41" s="19">
        <v>6975</v>
      </c>
      <c r="D41" s="19">
        <v>3933</v>
      </c>
      <c r="E41" s="19">
        <v>3042</v>
      </c>
      <c r="F41" s="29">
        <v>10.265232974910395</v>
      </c>
      <c r="G41" s="29">
        <v>31.913978494623656</v>
      </c>
      <c r="H41" s="29">
        <v>29.275985663082437</v>
      </c>
      <c r="I41" s="29">
        <v>28.544802867383513</v>
      </c>
    </row>
    <row r="42" spans="1:9">
      <c r="A42" s="15">
        <v>405</v>
      </c>
      <c r="B42" s="15" t="s">
        <v>143</v>
      </c>
      <c r="C42" s="19">
        <v>1208</v>
      </c>
      <c r="D42" s="19">
        <v>826</v>
      </c>
      <c r="E42" s="19">
        <v>382</v>
      </c>
      <c r="F42" s="29">
        <v>14.98344370860927</v>
      </c>
      <c r="G42" s="29">
        <v>34.354304635761594</v>
      </c>
      <c r="H42" s="29">
        <v>22.682119205298012</v>
      </c>
      <c r="I42" s="29">
        <v>27.980132450331123</v>
      </c>
    </row>
    <row r="43" spans="1:9">
      <c r="A43" s="15">
        <v>451</v>
      </c>
      <c r="B43" s="15" t="s">
        <v>118</v>
      </c>
      <c r="C43" s="19">
        <v>2934</v>
      </c>
      <c r="D43" s="19">
        <v>2033</v>
      </c>
      <c r="E43" s="19">
        <v>901</v>
      </c>
      <c r="F43" s="29">
        <v>5.5896387184730747</v>
      </c>
      <c r="G43" s="29">
        <v>26.380368098159508</v>
      </c>
      <c r="H43" s="29">
        <v>22.801635991820042</v>
      </c>
      <c r="I43" s="29">
        <v>45.228357191547374</v>
      </c>
    </row>
    <row r="44" spans="1:9">
      <c r="A44" s="15">
        <v>452</v>
      </c>
      <c r="B44" s="15" t="s">
        <v>119</v>
      </c>
      <c r="C44" s="19">
        <v>3934</v>
      </c>
      <c r="D44" s="19">
        <v>2507</v>
      </c>
      <c r="E44" s="19">
        <v>1427</v>
      </c>
      <c r="F44" s="29">
        <v>8.4646670055922719</v>
      </c>
      <c r="G44" s="29">
        <v>29.588205388917132</v>
      </c>
      <c r="H44" s="29">
        <v>22.191154041687849</v>
      </c>
      <c r="I44" s="29">
        <v>39.755973563802741</v>
      </c>
    </row>
    <row r="45" spans="1:9">
      <c r="A45" s="15">
        <v>453</v>
      </c>
      <c r="B45" s="15" t="s">
        <v>120</v>
      </c>
      <c r="C45" s="19">
        <v>7928</v>
      </c>
      <c r="D45" s="19">
        <v>5694</v>
      </c>
      <c r="E45" s="19">
        <v>2234</v>
      </c>
      <c r="F45" s="29">
        <v>2.9011099899091826</v>
      </c>
      <c r="G45" s="29">
        <v>18.592330978809283</v>
      </c>
      <c r="H45" s="29">
        <v>25.403632694248234</v>
      </c>
      <c r="I45" s="29">
        <v>53.102926337033296</v>
      </c>
    </row>
    <row r="46" spans="1:9">
      <c r="A46" s="15">
        <v>454</v>
      </c>
      <c r="B46" s="15" t="s">
        <v>121</v>
      </c>
      <c r="C46" s="19">
        <v>10836</v>
      </c>
      <c r="D46" s="19">
        <v>7902</v>
      </c>
      <c r="E46" s="19">
        <v>2934</v>
      </c>
      <c r="F46" s="29">
        <v>6.7183462532299743</v>
      </c>
      <c r="G46" s="29">
        <v>29.346622369878183</v>
      </c>
      <c r="H46" s="29">
        <v>19.204503506829088</v>
      </c>
      <c r="I46" s="29">
        <v>44.730527870062751</v>
      </c>
    </row>
    <row r="47" spans="1:9">
      <c r="A47" s="15">
        <v>455</v>
      </c>
      <c r="B47" s="15" t="s">
        <v>122</v>
      </c>
      <c r="C47" s="19">
        <v>1141</v>
      </c>
      <c r="D47" s="19">
        <v>726</v>
      </c>
      <c r="E47" s="19">
        <v>415</v>
      </c>
      <c r="F47" s="29">
        <v>11.831726555652935</v>
      </c>
      <c r="G47" s="29">
        <v>29.623137598597722</v>
      </c>
      <c r="H47" s="29">
        <v>18.75547765118317</v>
      </c>
      <c r="I47" s="29">
        <v>39.789658194566172</v>
      </c>
    </row>
    <row r="48" spans="1:9">
      <c r="A48" s="15">
        <v>456</v>
      </c>
      <c r="B48" s="15" t="s">
        <v>123</v>
      </c>
      <c r="C48" s="19">
        <v>4741</v>
      </c>
      <c r="D48" s="19">
        <v>3221</v>
      </c>
      <c r="E48" s="19">
        <v>1520</v>
      </c>
      <c r="F48" s="29">
        <v>6.3066863530900656</v>
      </c>
      <c r="G48" s="29">
        <v>40.582155663362158</v>
      </c>
      <c r="H48" s="29">
        <v>18.540392322294874</v>
      </c>
      <c r="I48" s="29">
        <v>34.570765661252899</v>
      </c>
    </row>
    <row r="49" spans="1:9">
      <c r="A49" s="15">
        <v>457</v>
      </c>
      <c r="B49" s="15" t="s">
        <v>124</v>
      </c>
      <c r="C49" s="19">
        <v>2855</v>
      </c>
      <c r="D49" s="19">
        <v>1943</v>
      </c>
      <c r="E49" s="19">
        <v>912</v>
      </c>
      <c r="F49" s="29">
        <v>9.3520140105078813</v>
      </c>
      <c r="G49" s="29">
        <v>33.730297723292466</v>
      </c>
      <c r="H49" s="29">
        <v>15.691768826619965</v>
      </c>
      <c r="I49" s="29">
        <v>41.225919439579684</v>
      </c>
    </row>
    <row r="50" spans="1:9">
      <c r="A50" s="15">
        <v>458</v>
      </c>
      <c r="B50" s="15" t="s">
        <v>125</v>
      </c>
      <c r="C50" s="19">
        <v>2773</v>
      </c>
      <c r="D50" s="19">
        <v>1968</v>
      </c>
      <c r="E50" s="19">
        <v>805</v>
      </c>
      <c r="F50" s="29">
        <v>4.5077533357374682</v>
      </c>
      <c r="G50" s="29">
        <v>26.433465560764514</v>
      </c>
      <c r="H50" s="29">
        <v>23.548503425892537</v>
      </c>
      <c r="I50" s="29">
        <v>45.51027767760548</v>
      </c>
    </row>
    <row r="51" spans="1:9">
      <c r="A51" s="15">
        <v>459</v>
      </c>
      <c r="B51" s="15" t="s">
        <v>126</v>
      </c>
      <c r="C51" s="19">
        <v>13926</v>
      </c>
      <c r="D51" s="19">
        <v>9370</v>
      </c>
      <c r="E51" s="19">
        <v>4556</v>
      </c>
      <c r="F51" s="29">
        <v>4.3156685336780125</v>
      </c>
      <c r="G51" s="29">
        <v>23.617693522906794</v>
      </c>
      <c r="H51" s="29">
        <v>24.673273014505241</v>
      </c>
      <c r="I51" s="29">
        <v>47.393364928909953</v>
      </c>
    </row>
    <row r="52" spans="1:9">
      <c r="A52" s="15">
        <v>460</v>
      </c>
      <c r="B52" s="15" t="s">
        <v>127</v>
      </c>
      <c r="C52" s="19">
        <v>9005</v>
      </c>
      <c r="D52" s="19">
        <v>6010</v>
      </c>
      <c r="E52" s="19">
        <v>2995</v>
      </c>
      <c r="F52" s="29">
        <v>3.9644641865630206</v>
      </c>
      <c r="G52" s="29">
        <v>21.787895613548027</v>
      </c>
      <c r="H52" s="29">
        <v>24.652970571904497</v>
      </c>
      <c r="I52" s="29">
        <v>49.594669627984459</v>
      </c>
    </row>
    <row r="53" spans="1:9">
      <c r="A53" s="15">
        <v>461</v>
      </c>
      <c r="B53" s="15" t="s">
        <v>128</v>
      </c>
      <c r="C53" s="19">
        <v>2101</v>
      </c>
      <c r="D53" s="19">
        <v>1739</v>
      </c>
      <c r="E53" s="19">
        <v>362</v>
      </c>
      <c r="F53" s="29">
        <v>6.0923369823893383</v>
      </c>
      <c r="G53" s="29">
        <v>36.220847215611613</v>
      </c>
      <c r="H53" s="29">
        <v>18.419800095192766</v>
      </c>
      <c r="I53" s="29">
        <v>39.267015706806284</v>
      </c>
    </row>
    <row r="54" spans="1:9">
      <c r="A54" s="15">
        <v>462</v>
      </c>
      <c r="B54" s="15" t="s">
        <v>129</v>
      </c>
      <c r="C54" s="19">
        <v>801</v>
      </c>
      <c r="D54" s="19">
        <v>462</v>
      </c>
      <c r="E54" s="19">
        <v>339</v>
      </c>
      <c r="F54" s="29">
        <v>6.1173533083645442</v>
      </c>
      <c r="G54" s="29">
        <v>21.972534332084894</v>
      </c>
      <c r="H54" s="29">
        <v>14.107365792759053</v>
      </c>
      <c r="I54" s="29">
        <v>57.802746566791505</v>
      </c>
    </row>
    <row r="55" spans="1:9">
      <c r="A55" s="15">
        <v>4</v>
      </c>
      <c r="B55" s="15" t="s">
        <v>144</v>
      </c>
      <c r="C55" s="19">
        <v>78621</v>
      </c>
      <c r="D55" s="19">
        <v>53110</v>
      </c>
      <c r="E55" s="19">
        <v>25511</v>
      </c>
      <c r="F55" s="29">
        <v>6.8645781661388181</v>
      </c>
      <c r="G55" s="29">
        <v>27.539715851998832</v>
      </c>
      <c r="H55" s="29">
        <v>23.058724768191706</v>
      </c>
      <c r="I55" s="29">
        <v>42.53698121367065</v>
      </c>
    </row>
    <row r="56" spans="1:9">
      <c r="A56" s="15">
        <v>0</v>
      </c>
      <c r="B56" s="15" t="s">
        <v>130</v>
      </c>
      <c r="C56" s="19">
        <v>226387</v>
      </c>
      <c r="D56" s="19">
        <v>148723</v>
      </c>
      <c r="E56" s="19">
        <v>77664</v>
      </c>
      <c r="F56" s="29">
        <v>11.066448161776075</v>
      </c>
      <c r="G56" s="29">
        <v>31.197904473313397</v>
      </c>
      <c r="H56" s="29">
        <v>23.068904133187861</v>
      </c>
      <c r="I56" s="29">
        <v>34.66674323172267</v>
      </c>
    </row>
    <row r="57" spans="1:9">
      <c r="A57" s="20"/>
      <c r="B57" s="20"/>
      <c r="C57" s="21"/>
      <c r="D57" s="21"/>
      <c r="E57" s="21"/>
      <c r="F57" s="22"/>
      <c r="G57" s="22"/>
      <c r="H57" s="22"/>
    </row>
    <row r="58" spans="1:9">
      <c r="A58" s="20"/>
      <c r="B58" s="20"/>
      <c r="C58" s="21"/>
      <c r="D58" s="21"/>
      <c r="E58" s="21"/>
      <c r="F58" s="22"/>
      <c r="G58" s="22"/>
      <c r="H58" s="22"/>
    </row>
    <row r="59" spans="1:9">
      <c r="A59" s="24"/>
      <c r="B59" s="24"/>
      <c r="C59" s="23"/>
      <c r="D59" s="23"/>
      <c r="E59" s="23"/>
      <c r="F59" s="23"/>
      <c r="G59" s="23"/>
      <c r="H59" s="23"/>
    </row>
    <row r="60" spans="1:9">
      <c r="A60" s="24"/>
      <c r="B60" s="24"/>
      <c r="C60" s="23"/>
      <c r="D60" s="23"/>
      <c r="E60" s="23"/>
      <c r="F60" s="23"/>
      <c r="G60" s="23"/>
      <c r="H60" s="23"/>
    </row>
    <row r="61" spans="1:9" ht="13.5" customHeight="1">
      <c r="A61" s="30"/>
      <c r="B61" s="30"/>
      <c r="C61" s="30"/>
      <c r="D61" s="30"/>
      <c r="E61" s="30"/>
      <c r="F61" s="30"/>
      <c r="G61" s="30"/>
      <c r="H61" s="30"/>
    </row>
    <row r="62" spans="1:9" ht="13.5" customHeight="1">
      <c r="A62" s="30"/>
      <c r="B62" s="30"/>
      <c r="C62" s="30"/>
      <c r="D62" s="30"/>
      <c r="E62" s="30"/>
      <c r="F62" s="30"/>
      <c r="G62" s="30"/>
      <c r="H62" s="30"/>
    </row>
    <row r="63" spans="1:9">
      <c r="A63" s="25"/>
      <c r="B63" s="25"/>
      <c r="C63" s="25"/>
      <c r="D63" s="25"/>
      <c r="E63" s="25"/>
      <c r="F63" s="25"/>
      <c r="G63" s="25"/>
      <c r="H63" s="25"/>
    </row>
    <row r="64" spans="1:9">
      <c r="A64" s="31"/>
      <c r="B64" s="31"/>
      <c r="C64" s="31"/>
      <c r="D64" s="31"/>
      <c r="E64" s="31"/>
      <c r="F64" s="31"/>
      <c r="G64" s="31"/>
      <c r="H64" s="31"/>
    </row>
  </sheetData>
  <autoFilter ref="A5:I56" xr:uid="{00000000-0009-0000-0000-000007000000}"/>
  <mergeCells count="5">
    <mergeCell ref="B1:B3"/>
    <mergeCell ref="C1:E1"/>
    <mergeCell ref="F1:I1"/>
    <mergeCell ref="C3:E3"/>
    <mergeCell ref="F3:I3"/>
  </mergeCell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"/>
  <dimension ref="A1:S73"/>
  <sheetViews>
    <sheetView topLeftCell="E7" workbookViewId="0">
      <selection activeCell="O21" sqref="O21"/>
    </sheetView>
  </sheetViews>
  <sheetFormatPr baseColWidth="10" defaultRowHeight="13.5"/>
  <cols>
    <col min="1" max="1" width="71.375" bestFit="1" customWidth="1"/>
    <col min="11" max="11" width="30.25" bestFit="1" customWidth="1"/>
    <col min="12" max="12" width="26.375" bestFit="1" customWidth="1"/>
    <col min="13" max="13" width="28" bestFit="1" customWidth="1"/>
    <col min="14" max="14" width="17.5" bestFit="1" customWidth="1"/>
    <col min="15" max="15" width="30.25" bestFit="1" customWidth="1"/>
    <col min="16" max="16" width="26.375" bestFit="1" customWidth="1"/>
    <col min="17" max="17" width="28" bestFit="1" customWidth="1"/>
    <col min="18" max="18" width="17.5" bestFit="1" customWidth="1"/>
  </cols>
  <sheetData>
    <row r="1" spans="1:18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8">
      <c r="A2" s="1" t="s">
        <v>1</v>
      </c>
      <c r="B2" s="1"/>
      <c r="C2" s="1"/>
      <c r="D2" s="1"/>
      <c r="E2" s="1"/>
      <c r="F2" s="1"/>
      <c r="G2" s="1"/>
      <c r="H2" s="1"/>
      <c r="I2" s="1"/>
      <c r="J2" s="1"/>
    </row>
    <row r="3" spans="1:18">
      <c r="A3" s="1" t="s">
        <v>2</v>
      </c>
      <c r="B3" s="1"/>
      <c r="C3" s="1"/>
      <c r="D3" s="1"/>
      <c r="E3" s="1"/>
      <c r="F3" s="1"/>
      <c r="G3" s="1"/>
      <c r="H3" s="1"/>
      <c r="I3" s="1"/>
      <c r="J3" s="1"/>
    </row>
    <row r="4" spans="1:18">
      <c r="A4" s="1" t="s">
        <v>3</v>
      </c>
      <c r="B4" s="1"/>
      <c r="C4" s="1"/>
      <c r="D4" s="1"/>
      <c r="E4" s="1"/>
      <c r="F4" s="1"/>
      <c r="G4" s="1"/>
      <c r="H4" s="1"/>
      <c r="I4" s="1"/>
      <c r="J4" s="1"/>
    </row>
    <row r="5" spans="1:18">
      <c r="A5" s="1" t="s">
        <v>4</v>
      </c>
      <c r="B5" s="1"/>
      <c r="C5" s="1"/>
      <c r="D5" s="1"/>
      <c r="E5" s="1"/>
      <c r="F5" s="1"/>
      <c r="G5" s="1"/>
      <c r="H5" s="1"/>
      <c r="I5" s="1"/>
      <c r="J5" s="1"/>
    </row>
    <row r="6" spans="1:18">
      <c r="A6" s="1" t="s">
        <v>3</v>
      </c>
      <c r="B6" s="1"/>
      <c r="C6" s="1"/>
      <c r="D6" s="1"/>
      <c r="E6" s="1"/>
      <c r="F6" s="1"/>
      <c r="G6" s="1"/>
      <c r="H6" s="1"/>
      <c r="I6" s="1"/>
      <c r="J6" s="1"/>
    </row>
    <row r="7" spans="1:18">
      <c r="A7" s="1" t="s">
        <v>5</v>
      </c>
      <c r="B7" s="1"/>
      <c r="C7" s="1"/>
      <c r="D7" s="1"/>
      <c r="E7" s="1"/>
      <c r="F7" s="1"/>
      <c r="G7" s="1"/>
      <c r="H7" s="1"/>
      <c r="I7" s="1"/>
      <c r="J7" s="1"/>
    </row>
    <row r="8" spans="1:18">
      <c r="A8" s="1" t="s">
        <v>6</v>
      </c>
      <c r="B8" s="1"/>
      <c r="C8" s="1"/>
      <c r="D8" s="1"/>
      <c r="E8" s="1"/>
      <c r="F8" s="1"/>
      <c r="G8" s="1"/>
      <c r="H8" s="1"/>
      <c r="I8" s="1"/>
      <c r="J8" s="1"/>
    </row>
    <row r="9" spans="1:18">
      <c r="A9" s="1" t="s">
        <v>7</v>
      </c>
      <c r="B9" s="1"/>
      <c r="C9" s="1"/>
      <c r="D9" s="1"/>
      <c r="E9" s="1"/>
      <c r="F9" s="1"/>
      <c r="G9" s="1"/>
      <c r="H9" s="1"/>
      <c r="I9" s="1"/>
      <c r="J9" s="1"/>
    </row>
    <row r="10" spans="1:18">
      <c r="A10" s="1" t="s">
        <v>8</v>
      </c>
      <c r="B10" s="1"/>
      <c r="C10" s="1"/>
      <c r="D10" s="1"/>
      <c r="E10" s="1"/>
      <c r="F10" s="1"/>
      <c r="G10" s="1"/>
      <c r="H10" s="1"/>
      <c r="I10" s="1"/>
      <c r="J10" s="1"/>
    </row>
    <row r="11" spans="1:18">
      <c r="A11" s="1" t="s">
        <v>3</v>
      </c>
      <c r="B11" s="1"/>
      <c r="C11" s="1"/>
      <c r="D11" s="1"/>
      <c r="E11" s="1"/>
      <c r="F11" s="1"/>
      <c r="G11" s="1"/>
      <c r="H11" s="1"/>
      <c r="I11" s="1"/>
      <c r="J11" s="1"/>
    </row>
    <row r="12" spans="1:18">
      <c r="A12" s="1" t="s">
        <v>9</v>
      </c>
      <c r="B12" s="1"/>
      <c r="C12" s="1"/>
      <c r="D12" s="1"/>
      <c r="E12" s="1"/>
      <c r="F12" s="1"/>
      <c r="G12" s="1"/>
      <c r="H12" s="1"/>
      <c r="I12" s="1"/>
      <c r="J12" s="1"/>
    </row>
    <row r="13" spans="1:18">
      <c r="A13" s="1" t="s">
        <v>3</v>
      </c>
      <c r="B13" s="1"/>
      <c r="C13" s="1"/>
      <c r="D13" s="1"/>
      <c r="E13" s="1"/>
      <c r="F13" s="1"/>
      <c r="G13" s="1"/>
      <c r="H13" s="1"/>
      <c r="I13" s="1"/>
      <c r="J13" s="1"/>
    </row>
    <row r="14" spans="1:18" ht="13.5" customHeight="1">
      <c r="A14" s="373" t="s">
        <v>10</v>
      </c>
      <c r="B14" s="376" t="s">
        <v>11</v>
      </c>
      <c r="C14" s="377"/>
      <c r="D14" s="377"/>
      <c r="E14" s="377"/>
      <c r="F14" s="377"/>
      <c r="G14" s="377"/>
      <c r="H14" s="377"/>
      <c r="I14" s="377"/>
      <c r="J14" s="378"/>
    </row>
    <row r="15" spans="1:18" ht="13.5" customHeight="1">
      <c r="A15" s="374"/>
      <c r="B15" s="376" t="s">
        <v>12</v>
      </c>
      <c r="C15" s="377"/>
      <c r="D15" s="378"/>
      <c r="E15" s="376" t="s">
        <v>13</v>
      </c>
      <c r="F15" s="377"/>
      <c r="G15" s="378"/>
      <c r="H15" s="376" t="s">
        <v>14</v>
      </c>
      <c r="I15" s="377"/>
      <c r="J15" s="378"/>
    </row>
    <row r="16" spans="1:18">
      <c r="A16" s="374"/>
      <c r="B16" s="4" t="s">
        <v>15</v>
      </c>
      <c r="C16" s="4" t="s">
        <v>16</v>
      </c>
      <c r="D16" s="4" t="s">
        <v>17</v>
      </c>
      <c r="E16" s="4" t="s">
        <v>15</v>
      </c>
      <c r="F16" s="4" t="s">
        <v>16</v>
      </c>
      <c r="G16" s="4" t="s">
        <v>17</v>
      </c>
      <c r="H16" s="4" t="s">
        <v>15</v>
      </c>
      <c r="I16" s="4" t="s">
        <v>16</v>
      </c>
      <c r="J16" s="4" t="s">
        <v>17</v>
      </c>
      <c r="K16" s="5" t="s">
        <v>29</v>
      </c>
      <c r="L16" s="9" t="s">
        <v>30</v>
      </c>
      <c r="M16" s="5" t="s">
        <v>31</v>
      </c>
      <c r="N16" s="9" t="s">
        <v>32</v>
      </c>
      <c r="O16" s="5" t="s">
        <v>31</v>
      </c>
      <c r="P16" s="9" t="s">
        <v>30</v>
      </c>
      <c r="Q16" s="5" t="s">
        <v>29</v>
      </c>
      <c r="R16" s="9" t="s">
        <v>32</v>
      </c>
    </row>
    <row r="17" spans="1:19">
      <c r="A17" s="375"/>
      <c r="B17" s="4" t="s">
        <v>18</v>
      </c>
      <c r="C17" s="4" t="s">
        <v>19</v>
      </c>
      <c r="D17" s="4" t="s">
        <v>20</v>
      </c>
      <c r="E17" s="4" t="s">
        <v>21</v>
      </c>
      <c r="F17" s="4" t="s">
        <v>22</v>
      </c>
      <c r="G17" s="4" t="s">
        <v>23</v>
      </c>
      <c r="H17" s="4" t="s">
        <v>24</v>
      </c>
      <c r="I17" s="4" t="s">
        <v>25</v>
      </c>
      <c r="J17" s="4" t="s">
        <v>26</v>
      </c>
      <c r="K17" s="371" t="s">
        <v>84</v>
      </c>
      <c r="L17" s="372"/>
      <c r="M17" s="372"/>
      <c r="N17" s="372"/>
      <c r="O17" s="371" t="s">
        <v>85</v>
      </c>
      <c r="P17" s="372"/>
      <c r="Q17" s="372"/>
      <c r="R17" s="372"/>
    </row>
    <row r="18" spans="1:19">
      <c r="B18" s="8"/>
      <c r="C18" s="8"/>
      <c r="D18" s="8"/>
      <c r="E18" s="8"/>
      <c r="F18" s="8"/>
      <c r="G18" s="8"/>
      <c r="H18" s="8"/>
      <c r="I18" s="8"/>
      <c r="J18" s="7"/>
    </row>
    <row r="21" spans="1:19">
      <c r="A21" s="6" t="s">
        <v>34</v>
      </c>
      <c r="B21" s="10">
        <v>127827</v>
      </c>
      <c r="C21" s="10">
        <v>67177</v>
      </c>
      <c r="D21" s="10">
        <v>60650</v>
      </c>
      <c r="E21" s="10">
        <v>118771</v>
      </c>
      <c r="F21" s="10">
        <v>61773</v>
      </c>
      <c r="G21" s="10">
        <v>56998</v>
      </c>
      <c r="H21" s="10">
        <v>9028</v>
      </c>
      <c r="I21" s="10">
        <v>5388</v>
      </c>
      <c r="J21" s="10">
        <v>3640</v>
      </c>
      <c r="K21" s="11">
        <v>1997</v>
      </c>
      <c r="L21" s="10">
        <v>2660</v>
      </c>
      <c r="M21" s="11">
        <v>2026</v>
      </c>
      <c r="N21" s="10">
        <v>2345</v>
      </c>
      <c r="O21" s="2">
        <f>M21/H21*100</f>
        <v>22.441293752769162</v>
      </c>
      <c r="P21" s="2">
        <f t="shared" ref="P21:P70" si="0">L21/H21*100</f>
        <v>29.463890119627823</v>
      </c>
      <c r="Q21" s="2">
        <f t="shared" ref="Q21:Q70" si="1">K21/H21*100</f>
        <v>22.120070890562694</v>
      </c>
      <c r="R21" s="2">
        <f t="shared" ref="R21:R70" si="2">N21/H21*100</f>
        <v>25.97474523704032</v>
      </c>
      <c r="S21" s="2">
        <f t="shared" ref="S21:S70" si="3">SUM(O21:R21)</f>
        <v>100.00000000000001</v>
      </c>
    </row>
    <row r="22" spans="1:19">
      <c r="A22" s="6" t="s">
        <v>35</v>
      </c>
      <c r="B22" s="10">
        <v>47405</v>
      </c>
      <c r="C22" s="10">
        <v>31768</v>
      </c>
      <c r="D22" s="10">
        <v>15637</v>
      </c>
      <c r="E22" s="10">
        <v>43405</v>
      </c>
      <c r="F22" s="10">
        <v>28661</v>
      </c>
      <c r="G22" s="10">
        <v>14744</v>
      </c>
      <c r="H22" s="10">
        <v>3977</v>
      </c>
      <c r="I22" s="10">
        <v>3093</v>
      </c>
      <c r="J22" s="10">
        <v>884</v>
      </c>
      <c r="K22" s="11">
        <v>889</v>
      </c>
      <c r="L22" s="10">
        <v>1677</v>
      </c>
      <c r="M22" s="11">
        <v>281</v>
      </c>
      <c r="N22" s="10">
        <v>1130</v>
      </c>
      <c r="O22" s="2">
        <f t="shared" ref="O22:O70" si="4">M22/H22*100</f>
        <v>7.0656273573045008</v>
      </c>
      <c r="P22" s="2">
        <f t="shared" si="0"/>
        <v>42.167462911742518</v>
      </c>
      <c r="Q22" s="2">
        <f t="shared" si="1"/>
        <v>22.353532813678655</v>
      </c>
      <c r="R22" s="2">
        <f t="shared" si="2"/>
        <v>28.413376917274331</v>
      </c>
      <c r="S22" s="2">
        <f t="shared" si="3"/>
        <v>100.00000000000001</v>
      </c>
    </row>
    <row r="23" spans="1:19">
      <c r="A23" s="6" t="s">
        <v>36</v>
      </c>
      <c r="B23" s="10">
        <v>118922</v>
      </c>
      <c r="C23" s="10">
        <v>80192</v>
      </c>
      <c r="D23" s="10">
        <v>38730</v>
      </c>
      <c r="E23" s="10">
        <v>109960</v>
      </c>
      <c r="F23" s="10">
        <v>73962</v>
      </c>
      <c r="G23" s="10">
        <v>35998</v>
      </c>
      <c r="H23" s="10">
        <v>8937</v>
      </c>
      <c r="I23" s="10">
        <v>6215</v>
      </c>
      <c r="J23" s="10">
        <v>2722</v>
      </c>
      <c r="K23" s="11">
        <v>1145</v>
      </c>
      <c r="L23" s="10">
        <v>3061</v>
      </c>
      <c r="M23" s="11">
        <v>1979</v>
      </c>
      <c r="N23" s="10">
        <v>2752</v>
      </c>
      <c r="O23" s="2">
        <f t="shared" si="4"/>
        <v>22.143896162023051</v>
      </c>
      <c r="P23" s="2">
        <f t="shared" si="0"/>
        <v>34.250867181380777</v>
      </c>
      <c r="Q23" s="2">
        <f t="shared" si="1"/>
        <v>12.811905561150274</v>
      </c>
      <c r="R23" s="2">
        <f t="shared" si="2"/>
        <v>30.793331095445897</v>
      </c>
      <c r="S23" s="2">
        <f t="shared" si="3"/>
        <v>99.999999999999986</v>
      </c>
    </row>
    <row r="24" spans="1:19">
      <c r="A24" s="6" t="s">
        <v>37</v>
      </c>
      <c r="B24" s="10">
        <v>41150</v>
      </c>
      <c r="C24" s="10">
        <v>21609</v>
      </c>
      <c r="D24" s="10">
        <v>19541</v>
      </c>
      <c r="E24" s="10">
        <v>38712</v>
      </c>
      <c r="F24" s="10">
        <v>19993</v>
      </c>
      <c r="G24" s="10">
        <v>18719</v>
      </c>
      <c r="H24" s="10">
        <v>2431</v>
      </c>
      <c r="I24" s="10">
        <v>1612</v>
      </c>
      <c r="J24" s="10">
        <v>819</v>
      </c>
      <c r="K24" s="11">
        <v>605</v>
      </c>
      <c r="L24" s="10">
        <v>696</v>
      </c>
      <c r="M24" s="11">
        <v>356</v>
      </c>
      <c r="N24" s="10">
        <v>774</v>
      </c>
      <c r="O24" s="2">
        <f t="shared" si="4"/>
        <v>14.644179350061703</v>
      </c>
      <c r="P24" s="2">
        <f t="shared" si="0"/>
        <v>28.630193336075688</v>
      </c>
      <c r="Q24" s="2">
        <f t="shared" si="1"/>
        <v>24.886877828054299</v>
      </c>
      <c r="R24" s="2">
        <f t="shared" si="2"/>
        <v>31.838749485808311</v>
      </c>
      <c r="S24" s="2">
        <f t="shared" si="3"/>
        <v>100</v>
      </c>
    </row>
    <row r="25" spans="1:19">
      <c r="A25" s="6" t="s">
        <v>38</v>
      </c>
      <c r="B25" s="10">
        <v>44472</v>
      </c>
      <c r="C25" s="10">
        <v>22163</v>
      </c>
      <c r="D25" s="10">
        <v>22309</v>
      </c>
      <c r="E25" s="10">
        <v>42046</v>
      </c>
      <c r="F25" s="10">
        <v>20606</v>
      </c>
      <c r="G25" s="10">
        <v>21440</v>
      </c>
      <c r="H25" s="10">
        <v>2405</v>
      </c>
      <c r="I25" s="10">
        <v>1547</v>
      </c>
      <c r="J25" s="10">
        <v>858</v>
      </c>
      <c r="K25" s="11">
        <v>535</v>
      </c>
      <c r="L25" s="10">
        <v>739</v>
      </c>
      <c r="M25" s="11">
        <v>432</v>
      </c>
      <c r="N25" s="10">
        <v>699</v>
      </c>
      <c r="O25" s="2">
        <f t="shared" si="4"/>
        <v>17.962577962577964</v>
      </c>
      <c r="P25" s="2">
        <f t="shared" si="0"/>
        <v>30.72765072765073</v>
      </c>
      <c r="Q25" s="2">
        <f t="shared" si="1"/>
        <v>22.245322245322246</v>
      </c>
      <c r="R25" s="2">
        <f t="shared" si="2"/>
        <v>29.064449064449065</v>
      </c>
      <c r="S25" s="2">
        <f t="shared" si="3"/>
        <v>100</v>
      </c>
    </row>
    <row r="26" spans="1:19">
      <c r="A26" s="6" t="s">
        <v>39</v>
      </c>
      <c r="B26" s="10">
        <v>22167</v>
      </c>
      <c r="C26" s="10">
        <v>9481</v>
      </c>
      <c r="D26" s="10">
        <v>12686</v>
      </c>
      <c r="E26" s="10">
        <v>20865</v>
      </c>
      <c r="F26" s="10">
        <v>8593</v>
      </c>
      <c r="G26" s="10">
        <v>12272</v>
      </c>
      <c r="H26" s="10">
        <v>1295</v>
      </c>
      <c r="I26" s="10">
        <v>882</v>
      </c>
      <c r="J26" s="10">
        <v>413</v>
      </c>
      <c r="K26" s="11">
        <v>262</v>
      </c>
      <c r="L26" s="10">
        <v>542</v>
      </c>
      <c r="M26" s="11">
        <v>182</v>
      </c>
      <c r="N26" s="10">
        <v>309</v>
      </c>
      <c r="O26" s="2">
        <f t="shared" si="4"/>
        <v>14.054054054054054</v>
      </c>
      <c r="P26" s="2">
        <f t="shared" si="0"/>
        <v>41.853281853281857</v>
      </c>
      <c r="Q26" s="2">
        <f t="shared" si="1"/>
        <v>20.231660231660232</v>
      </c>
      <c r="R26" s="2">
        <f t="shared" si="2"/>
        <v>23.861003861003859</v>
      </c>
      <c r="S26" s="2">
        <f t="shared" si="3"/>
        <v>100</v>
      </c>
    </row>
    <row r="27" spans="1:19">
      <c r="A27" s="6" t="s">
        <v>40</v>
      </c>
      <c r="B27" s="10">
        <v>44876</v>
      </c>
      <c r="C27" s="10">
        <v>24403</v>
      </c>
      <c r="D27" s="10">
        <v>20473</v>
      </c>
      <c r="E27" s="10">
        <v>42201</v>
      </c>
      <c r="F27" s="10">
        <v>22341</v>
      </c>
      <c r="G27" s="10">
        <v>19860</v>
      </c>
      <c r="H27" s="10">
        <v>2659</v>
      </c>
      <c r="I27" s="10">
        <v>2052</v>
      </c>
      <c r="J27" s="10">
        <v>607</v>
      </c>
      <c r="K27" s="11">
        <v>532</v>
      </c>
      <c r="L27" s="10">
        <v>1257</v>
      </c>
      <c r="M27" s="11">
        <v>221</v>
      </c>
      <c r="N27" s="10">
        <v>649</v>
      </c>
      <c r="O27" s="2">
        <f t="shared" si="4"/>
        <v>8.3113952613764575</v>
      </c>
      <c r="P27" s="2">
        <f t="shared" si="0"/>
        <v>47.273411056788269</v>
      </c>
      <c r="Q27" s="2">
        <f t="shared" si="1"/>
        <v>20.007521624670929</v>
      </c>
      <c r="R27" s="2">
        <f t="shared" si="2"/>
        <v>24.407672057164348</v>
      </c>
      <c r="S27" s="2">
        <f t="shared" si="3"/>
        <v>100</v>
      </c>
    </row>
    <row r="28" spans="1:19">
      <c r="A28" s="6" t="s">
        <v>41</v>
      </c>
      <c r="B28" s="10">
        <v>31295</v>
      </c>
      <c r="C28" s="10">
        <v>16507</v>
      </c>
      <c r="D28" s="10">
        <v>14788</v>
      </c>
      <c r="E28" s="10">
        <v>29080</v>
      </c>
      <c r="F28" s="10">
        <v>14898</v>
      </c>
      <c r="G28" s="10">
        <v>14182</v>
      </c>
      <c r="H28" s="10">
        <v>2202</v>
      </c>
      <c r="I28" s="10">
        <v>1601</v>
      </c>
      <c r="J28" s="10">
        <v>601</v>
      </c>
      <c r="K28" s="11">
        <v>667</v>
      </c>
      <c r="L28" s="10">
        <v>767</v>
      </c>
      <c r="M28" s="11">
        <v>142</v>
      </c>
      <c r="N28" s="10">
        <v>626</v>
      </c>
      <c r="O28" s="2">
        <f t="shared" si="4"/>
        <v>6.4486830154405084</v>
      </c>
      <c r="P28" s="2">
        <f t="shared" si="0"/>
        <v>34.831970935513169</v>
      </c>
      <c r="Q28" s="2">
        <f t="shared" si="1"/>
        <v>30.290644868301541</v>
      </c>
      <c r="R28" s="2">
        <f t="shared" si="2"/>
        <v>28.428701180744774</v>
      </c>
      <c r="S28" s="2">
        <f t="shared" si="3"/>
        <v>100</v>
      </c>
    </row>
    <row r="29" spans="1:19">
      <c r="A29" s="6" t="s">
        <v>42</v>
      </c>
      <c r="B29" s="10">
        <v>24394</v>
      </c>
      <c r="C29" s="10">
        <v>11097</v>
      </c>
      <c r="D29" s="10">
        <v>13297</v>
      </c>
      <c r="E29" s="10">
        <v>23181</v>
      </c>
      <c r="F29" s="10">
        <v>10367</v>
      </c>
      <c r="G29" s="10">
        <v>12814</v>
      </c>
      <c r="H29" s="10">
        <v>1212</v>
      </c>
      <c r="I29" s="10">
        <v>730</v>
      </c>
      <c r="J29" s="10">
        <v>482</v>
      </c>
      <c r="K29" s="11">
        <v>255</v>
      </c>
      <c r="L29" s="10">
        <v>494</v>
      </c>
      <c r="M29" s="11">
        <v>135</v>
      </c>
      <c r="N29" s="10">
        <v>328</v>
      </c>
      <c r="O29" s="2">
        <f t="shared" si="4"/>
        <v>11.138613861386139</v>
      </c>
      <c r="P29" s="2">
        <f t="shared" si="0"/>
        <v>40.759075907590756</v>
      </c>
      <c r="Q29" s="2">
        <f t="shared" si="1"/>
        <v>21.03960396039604</v>
      </c>
      <c r="R29" s="2">
        <f t="shared" si="2"/>
        <v>27.062706270627064</v>
      </c>
      <c r="S29" s="2">
        <f t="shared" si="3"/>
        <v>100</v>
      </c>
    </row>
    <row r="30" spans="1:19">
      <c r="A30" s="6" t="s">
        <v>43</v>
      </c>
      <c r="B30" s="10">
        <v>127748</v>
      </c>
      <c r="C30" s="10">
        <v>65708</v>
      </c>
      <c r="D30" s="10">
        <v>62040</v>
      </c>
      <c r="E30" s="10">
        <v>119934</v>
      </c>
      <c r="F30" s="10">
        <v>61026</v>
      </c>
      <c r="G30" s="10">
        <v>58908</v>
      </c>
      <c r="H30" s="10">
        <v>7778</v>
      </c>
      <c r="I30" s="10">
        <v>4661</v>
      </c>
      <c r="J30" s="10">
        <v>3117</v>
      </c>
      <c r="K30" s="11">
        <v>1835</v>
      </c>
      <c r="L30" s="10">
        <v>2304</v>
      </c>
      <c r="M30" s="11">
        <v>2255</v>
      </c>
      <c r="N30" s="10">
        <v>1384</v>
      </c>
      <c r="O30" s="2">
        <f t="shared" si="4"/>
        <v>28.992028799177167</v>
      </c>
      <c r="P30" s="2">
        <f t="shared" si="0"/>
        <v>29.622010799691438</v>
      </c>
      <c r="Q30" s="2">
        <f t="shared" si="1"/>
        <v>23.592183080483416</v>
      </c>
      <c r="R30" s="2">
        <f t="shared" si="2"/>
        <v>17.793777320647983</v>
      </c>
      <c r="S30" s="2">
        <f t="shared" si="3"/>
        <v>100</v>
      </c>
    </row>
    <row r="31" spans="1:19">
      <c r="A31" s="6" t="s">
        <v>33</v>
      </c>
      <c r="B31" s="10">
        <v>630256</v>
      </c>
      <c r="C31" s="10">
        <v>350105</v>
      </c>
      <c r="D31" s="10">
        <v>280151</v>
      </c>
      <c r="E31" s="10">
        <v>588155</v>
      </c>
      <c r="F31" s="10">
        <v>322220</v>
      </c>
      <c r="G31" s="10">
        <v>265935</v>
      </c>
      <c r="H31" s="10">
        <v>41924</v>
      </c>
      <c r="I31" s="10">
        <v>27781</v>
      </c>
      <c r="J31" s="10">
        <v>14143</v>
      </c>
      <c r="K31" s="11">
        <v>8722</v>
      </c>
      <c r="L31" s="10">
        <v>14197</v>
      </c>
      <c r="M31" s="11">
        <v>8009</v>
      </c>
      <c r="N31" s="10">
        <v>10996</v>
      </c>
      <c r="O31" s="2">
        <f>M31/H31*100</f>
        <v>19.103616067169163</v>
      </c>
      <c r="P31" s="2">
        <f>L31/H31*100</f>
        <v>33.863658047896195</v>
      </c>
      <c r="Q31" s="2">
        <f>K31/H31*100</f>
        <v>20.804312565594884</v>
      </c>
      <c r="R31" s="2">
        <f>N31/H31*100</f>
        <v>26.228413319339754</v>
      </c>
      <c r="S31" s="2">
        <f>SUM(O31:R31)</f>
        <v>100</v>
      </c>
    </row>
    <row r="32" spans="1:19">
      <c r="A32" s="6" t="s">
        <v>46</v>
      </c>
      <c r="B32" s="10">
        <v>318934</v>
      </c>
      <c r="C32" s="10">
        <v>168524</v>
      </c>
      <c r="D32" s="10">
        <v>150410</v>
      </c>
      <c r="E32" s="10">
        <v>285171</v>
      </c>
      <c r="F32" s="10">
        <v>148388</v>
      </c>
      <c r="G32" s="10">
        <v>136783</v>
      </c>
      <c r="H32" s="10">
        <v>33601</v>
      </c>
      <c r="I32" s="10">
        <v>20038</v>
      </c>
      <c r="J32" s="10">
        <v>13563</v>
      </c>
      <c r="K32" s="11">
        <v>8362</v>
      </c>
      <c r="L32" s="10">
        <v>10768</v>
      </c>
      <c r="M32" s="11">
        <v>5112</v>
      </c>
      <c r="N32" s="10">
        <v>9359</v>
      </c>
      <c r="O32" s="2">
        <f>M32/H32*100</f>
        <v>15.213832921639236</v>
      </c>
      <c r="P32" s="2">
        <f>L32/H32*100</f>
        <v>32.046665277819116</v>
      </c>
      <c r="Q32" s="2">
        <f>K32/H32*100</f>
        <v>24.886164102258864</v>
      </c>
      <c r="R32" s="2">
        <f>N32/H32*100</f>
        <v>27.853337698282786</v>
      </c>
      <c r="S32" s="2">
        <f>SUM(O32:R32)</f>
        <v>100</v>
      </c>
    </row>
    <row r="33" spans="1:19">
      <c r="A33" s="6" t="s">
        <v>45</v>
      </c>
      <c r="B33" s="10">
        <v>499479</v>
      </c>
      <c r="C33" s="10">
        <v>266245</v>
      </c>
      <c r="D33" s="10">
        <v>233234</v>
      </c>
      <c r="E33" s="10">
        <v>447811</v>
      </c>
      <c r="F33" s="10">
        <v>234448</v>
      </c>
      <c r="G33" s="10">
        <v>213363</v>
      </c>
      <c r="H33" s="10">
        <v>51403</v>
      </c>
      <c r="I33" s="10">
        <v>31628</v>
      </c>
      <c r="J33" s="10">
        <v>19775</v>
      </c>
      <c r="K33" s="11">
        <v>13118</v>
      </c>
      <c r="L33" s="10">
        <v>16970</v>
      </c>
      <c r="M33" s="11">
        <v>6440</v>
      </c>
      <c r="N33" s="10">
        <v>14875</v>
      </c>
      <c r="O33" s="2">
        <f>M33/H33*100</f>
        <v>12.528451646791044</v>
      </c>
      <c r="P33" s="2">
        <f>L33/H33*100</f>
        <v>33.013637336342242</v>
      </c>
      <c r="Q33" s="2">
        <f>K33/H33*100</f>
        <v>25.51991128922436</v>
      </c>
      <c r="R33" s="2">
        <f>N33/H33*100</f>
        <v>28.937999727642357</v>
      </c>
      <c r="S33" s="2">
        <f>SUM(O33:R33)</f>
        <v>100</v>
      </c>
    </row>
    <row r="34" spans="1:19">
      <c r="A34" s="6" t="s">
        <v>145</v>
      </c>
      <c r="B34" s="10">
        <f>B33-B32</f>
        <v>180545</v>
      </c>
      <c r="C34" s="10">
        <f t="shared" ref="C34:N34" si="5">C33-C32</f>
        <v>97721</v>
      </c>
      <c r="D34" s="10">
        <f t="shared" si="5"/>
        <v>82824</v>
      </c>
      <c r="E34" s="10">
        <f t="shared" si="5"/>
        <v>162640</v>
      </c>
      <c r="F34" s="10">
        <f t="shared" si="5"/>
        <v>86060</v>
      </c>
      <c r="G34" s="10">
        <f t="shared" si="5"/>
        <v>76580</v>
      </c>
      <c r="H34" s="10">
        <f t="shared" si="5"/>
        <v>17802</v>
      </c>
      <c r="I34" s="10">
        <f t="shared" si="5"/>
        <v>11590</v>
      </c>
      <c r="J34" s="10">
        <f t="shared" si="5"/>
        <v>6212</v>
      </c>
      <c r="K34" s="10">
        <f t="shared" si="5"/>
        <v>4756</v>
      </c>
      <c r="L34" s="10">
        <f t="shared" si="5"/>
        <v>6202</v>
      </c>
      <c r="M34" s="10">
        <f t="shared" si="5"/>
        <v>1328</v>
      </c>
      <c r="N34" s="10">
        <f t="shared" si="5"/>
        <v>5516</v>
      </c>
      <c r="O34" s="2">
        <f>M34/H34*100</f>
        <v>7.4598359734861255</v>
      </c>
      <c r="P34" s="2">
        <f>L34/H34*100</f>
        <v>34.838782159307939</v>
      </c>
      <c r="Q34" s="2">
        <f>K34/H34*100</f>
        <v>26.716099314683746</v>
      </c>
      <c r="R34" s="2">
        <f>N34/H34*100</f>
        <v>30.985282552522186</v>
      </c>
      <c r="S34" s="2">
        <f>SUM(O34:R34)</f>
        <v>100</v>
      </c>
    </row>
    <row r="35" spans="1:19">
      <c r="A35" s="6" t="s">
        <v>47</v>
      </c>
      <c r="B35" s="10">
        <v>68623</v>
      </c>
      <c r="C35" s="10">
        <v>37172</v>
      </c>
      <c r="D35" s="10">
        <v>31451</v>
      </c>
      <c r="E35" s="10">
        <v>63772</v>
      </c>
      <c r="F35" s="10">
        <v>33807</v>
      </c>
      <c r="G35" s="10">
        <v>29965</v>
      </c>
      <c r="H35" s="10">
        <v>4811</v>
      </c>
      <c r="I35" s="10">
        <v>3330</v>
      </c>
      <c r="J35" s="10">
        <v>1481</v>
      </c>
      <c r="K35" s="11">
        <v>1038</v>
      </c>
      <c r="L35" s="10">
        <v>1600</v>
      </c>
      <c r="M35" s="11">
        <v>370</v>
      </c>
      <c r="N35" s="10">
        <v>1803</v>
      </c>
      <c r="O35" s="2">
        <f t="shared" si="4"/>
        <v>7.690708792350863</v>
      </c>
      <c r="P35" s="2">
        <f t="shared" si="0"/>
        <v>33.257119102057786</v>
      </c>
      <c r="Q35" s="2">
        <f t="shared" si="1"/>
        <v>21.575556017459988</v>
      </c>
      <c r="R35" s="2">
        <f t="shared" si="2"/>
        <v>37.476616088131365</v>
      </c>
      <c r="S35" s="2">
        <f t="shared" si="3"/>
        <v>100</v>
      </c>
    </row>
    <row r="36" spans="1:19">
      <c r="A36" s="6" t="s">
        <v>48</v>
      </c>
      <c r="B36" s="10">
        <v>51292</v>
      </c>
      <c r="C36" s="10">
        <v>25395</v>
      </c>
      <c r="D36" s="10">
        <v>25897</v>
      </c>
      <c r="E36" s="10">
        <v>48007</v>
      </c>
      <c r="F36" s="10">
        <v>23429</v>
      </c>
      <c r="G36" s="10">
        <v>24578</v>
      </c>
      <c r="H36" s="10">
        <v>3270</v>
      </c>
      <c r="I36" s="10">
        <v>1959</v>
      </c>
      <c r="J36" s="10">
        <v>1311</v>
      </c>
      <c r="K36" s="11">
        <v>765</v>
      </c>
      <c r="L36" s="10">
        <v>1235</v>
      </c>
      <c r="M36" s="11">
        <v>351</v>
      </c>
      <c r="N36" s="10">
        <v>919</v>
      </c>
      <c r="O36" s="2">
        <f t="shared" si="4"/>
        <v>10.733944954128441</v>
      </c>
      <c r="P36" s="2">
        <f t="shared" si="0"/>
        <v>37.767584097859327</v>
      </c>
      <c r="Q36" s="2">
        <f t="shared" si="1"/>
        <v>23.394495412844037</v>
      </c>
      <c r="R36" s="2">
        <f t="shared" si="2"/>
        <v>28.103975535168196</v>
      </c>
      <c r="S36" s="2">
        <f t="shared" si="3"/>
        <v>100</v>
      </c>
    </row>
    <row r="37" spans="1:19">
      <c r="A37" s="6" t="s">
        <v>49</v>
      </c>
      <c r="B37" s="10">
        <v>90498</v>
      </c>
      <c r="C37" s="10">
        <v>46931</v>
      </c>
      <c r="D37" s="10">
        <v>43567</v>
      </c>
      <c r="E37" s="10">
        <v>85417</v>
      </c>
      <c r="F37" s="10">
        <v>43673</v>
      </c>
      <c r="G37" s="10">
        <v>41744</v>
      </c>
      <c r="H37" s="10">
        <v>5044</v>
      </c>
      <c r="I37" s="10">
        <v>3238</v>
      </c>
      <c r="J37" s="10">
        <v>1806</v>
      </c>
      <c r="K37" s="11">
        <v>1220</v>
      </c>
      <c r="L37" s="10">
        <v>1886</v>
      </c>
      <c r="M37" s="11">
        <v>758</v>
      </c>
      <c r="N37" s="10">
        <v>1180</v>
      </c>
      <c r="O37" s="2">
        <f t="shared" si="4"/>
        <v>15.027755749405234</v>
      </c>
      <c r="P37" s="2">
        <f t="shared" si="0"/>
        <v>37.390959555908012</v>
      </c>
      <c r="Q37" s="2">
        <f t="shared" si="1"/>
        <v>24.187153053132434</v>
      </c>
      <c r="R37" s="2">
        <f t="shared" si="2"/>
        <v>23.394131641554321</v>
      </c>
      <c r="S37" s="2">
        <f t="shared" si="3"/>
        <v>100</v>
      </c>
    </row>
    <row r="38" spans="1:19">
      <c r="A38" s="6" t="s">
        <v>50</v>
      </c>
      <c r="B38" s="10">
        <v>21703</v>
      </c>
      <c r="C38" s="10">
        <v>12093</v>
      </c>
      <c r="D38" s="10">
        <v>9610</v>
      </c>
      <c r="E38" s="10">
        <v>20612</v>
      </c>
      <c r="F38" s="10">
        <v>11370</v>
      </c>
      <c r="G38" s="10">
        <v>9242</v>
      </c>
      <c r="H38" s="10">
        <v>1088</v>
      </c>
      <c r="I38" s="10">
        <v>720</v>
      </c>
      <c r="J38" s="10">
        <v>368</v>
      </c>
      <c r="K38" s="11">
        <v>295</v>
      </c>
      <c r="L38" s="10">
        <v>383</v>
      </c>
      <c r="M38" s="11">
        <v>121</v>
      </c>
      <c r="N38" s="10">
        <v>289</v>
      </c>
      <c r="O38" s="2">
        <f t="shared" si="4"/>
        <v>11.121323529411764</v>
      </c>
      <c r="P38" s="2">
        <f t="shared" si="0"/>
        <v>35.202205882352942</v>
      </c>
      <c r="Q38" s="2">
        <f t="shared" si="1"/>
        <v>27.113970588235293</v>
      </c>
      <c r="R38" s="2">
        <f t="shared" si="2"/>
        <v>26.5625</v>
      </c>
      <c r="S38" s="2">
        <f t="shared" si="3"/>
        <v>100</v>
      </c>
    </row>
    <row r="39" spans="1:19">
      <c r="A39" s="6" t="s">
        <v>51</v>
      </c>
      <c r="B39" s="10">
        <v>38629</v>
      </c>
      <c r="C39" s="10">
        <v>21458</v>
      </c>
      <c r="D39" s="10">
        <v>17171</v>
      </c>
      <c r="E39" s="10">
        <v>35951</v>
      </c>
      <c r="F39" s="10">
        <v>19551</v>
      </c>
      <c r="G39" s="10">
        <v>16400</v>
      </c>
      <c r="H39" s="10">
        <v>2668</v>
      </c>
      <c r="I39" s="10">
        <v>1901</v>
      </c>
      <c r="J39" s="10">
        <v>767</v>
      </c>
      <c r="K39" s="11">
        <v>713</v>
      </c>
      <c r="L39" s="10">
        <v>721</v>
      </c>
      <c r="M39" s="11">
        <v>181</v>
      </c>
      <c r="N39" s="10">
        <v>1053</v>
      </c>
      <c r="O39" s="2">
        <f t="shared" si="4"/>
        <v>6.7841079460269862</v>
      </c>
      <c r="P39" s="2">
        <f t="shared" si="0"/>
        <v>27.023988005997001</v>
      </c>
      <c r="Q39" s="2">
        <f t="shared" si="1"/>
        <v>26.72413793103448</v>
      </c>
      <c r="R39" s="2">
        <f t="shared" si="2"/>
        <v>39.467766116941526</v>
      </c>
      <c r="S39" s="2">
        <f t="shared" si="3"/>
        <v>100</v>
      </c>
    </row>
    <row r="40" spans="1:19">
      <c r="A40" s="6" t="s">
        <v>52</v>
      </c>
      <c r="B40" s="10">
        <v>44159</v>
      </c>
      <c r="C40" s="10">
        <v>22961</v>
      </c>
      <c r="D40" s="10">
        <v>21198</v>
      </c>
      <c r="E40" s="10">
        <v>41184</v>
      </c>
      <c r="F40" s="10">
        <v>21019</v>
      </c>
      <c r="G40" s="10">
        <v>20165</v>
      </c>
      <c r="H40" s="10">
        <v>2966</v>
      </c>
      <c r="I40" s="10">
        <v>1935</v>
      </c>
      <c r="J40" s="10">
        <v>1031</v>
      </c>
      <c r="K40" s="11">
        <v>752</v>
      </c>
      <c r="L40" s="10">
        <v>1287</v>
      </c>
      <c r="M40" s="11">
        <v>222</v>
      </c>
      <c r="N40" s="10">
        <v>705</v>
      </c>
      <c r="O40" s="2">
        <f t="shared" si="4"/>
        <v>7.4848280512474723</v>
      </c>
      <c r="P40" s="2">
        <f t="shared" si="0"/>
        <v>43.391773432231965</v>
      </c>
      <c r="Q40" s="2">
        <f t="shared" si="1"/>
        <v>25.354012137559</v>
      </c>
      <c r="R40" s="2">
        <f t="shared" si="2"/>
        <v>23.769386378961567</v>
      </c>
      <c r="S40" s="2">
        <f t="shared" si="3"/>
        <v>100</v>
      </c>
    </row>
    <row r="41" spans="1:19">
      <c r="A41" s="6" t="s">
        <v>44</v>
      </c>
      <c r="B41" s="10">
        <v>814383</v>
      </c>
      <c r="C41" s="10">
        <v>432255</v>
      </c>
      <c r="D41" s="10">
        <v>382128</v>
      </c>
      <c r="E41" s="10">
        <v>742754</v>
      </c>
      <c r="F41" s="10">
        <v>387297</v>
      </c>
      <c r="G41" s="10">
        <v>355457</v>
      </c>
      <c r="H41" s="10">
        <v>71250</v>
      </c>
      <c r="I41" s="10">
        <v>44711</v>
      </c>
      <c r="J41" s="10">
        <v>26539</v>
      </c>
      <c r="K41" s="11">
        <v>17901</v>
      </c>
      <c r="L41" s="10">
        <v>24082</v>
      </c>
      <c r="M41" s="11">
        <v>8443</v>
      </c>
      <c r="N41" s="10">
        <v>20824</v>
      </c>
      <c r="O41" s="2">
        <f>M41/H41*100</f>
        <v>11.849824561403508</v>
      </c>
      <c r="P41" s="2">
        <f>L41/H41*100</f>
        <v>33.799298245614033</v>
      </c>
      <c r="Q41" s="2">
        <f>K41/H41*100</f>
        <v>25.124210526315789</v>
      </c>
      <c r="R41" s="2">
        <f>N41/H41*100</f>
        <v>29.226666666666667</v>
      </c>
      <c r="S41" s="2">
        <f>SUM(O41:R41)</f>
        <v>100</v>
      </c>
    </row>
    <row r="42" spans="1:19">
      <c r="A42" s="6" t="s">
        <v>54</v>
      </c>
      <c r="B42" s="10">
        <v>56206</v>
      </c>
      <c r="C42" s="10">
        <v>28627</v>
      </c>
      <c r="D42" s="10">
        <v>27579</v>
      </c>
      <c r="E42" s="10">
        <v>53117</v>
      </c>
      <c r="F42" s="10">
        <v>26651</v>
      </c>
      <c r="G42" s="10">
        <v>26466</v>
      </c>
      <c r="H42" s="10">
        <v>3061</v>
      </c>
      <c r="I42" s="10">
        <v>1955</v>
      </c>
      <c r="J42" s="10">
        <v>1106</v>
      </c>
      <c r="K42" s="11">
        <v>873</v>
      </c>
      <c r="L42" s="10">
        <v>1020</v>
      </c>
      <c r="M42" s="11">
        <v>437</v>
      </c>
      <c r="N42" s="10">
        <v>731</v>
      </c>
      <c r="O42" s="2">
        <f t="shared" si="4"/>
        <v>14.276380267886314</v>
      </c>
      <c r="P42" s="2">
        <f t="shared" si="0"/>
        <v>33.322443645867359</v>
      </c>
      <c r="Q42" s="2">
        <f t="shared" si="1"/>
        <v>28.520091473374716</v>
      </c>
      <c r="R42" s="2">
        <f t="shared" si="2"/>
        <v>23.881084612871611</v>
      </c>
      <c r="S42" s="2">
        <f t="shared" si="3"/>
        <v>100</v>
      </c>
    </row>
    <row r="43" spans="1:19">
      <c r="A43" s="6" t="s">
        <v>55</v>
      </c>
      <c r="B43" s="10">
        <v>45849</v>
      </c>
      <c r="C43" s="10">
        <v>22184</v>
      </c>
      <c r="D43" s="10">
        <v>23665</v>
      </c>
      <c r="E43" s="10">
        <v>42070</v>
      </c>
      <c r="F43" s="10">
        <v>19751</v>
      </c>
      <c r="G43" s="10">
        <v>22319</v>
      </c>
      <c r="H43" s="10">
        <v>3769</v>
      </c>
      <c r="I43" s="10">
        <v>2426</v>
      </c>
      <c r="J43" s="10">
        <v>1343</v>
      </c>
      <c r="K43" s="11">
        <v>868</v>
      </c>
      <c r="L43" s="10">
        <v>1048</v>
      </c>
      <c r="M43" s="11">
        <v>250</v>
      </c>
      <c r="N43" s="10">
        <v>1603</v>
      </c>
      <c r="O43" s="2">
        <f t="shared" si="4"/>
        <v>6.6330591668877688</v>
      </c>
      <c r="P43" s="2">
        <f t="shared" si="0"/>
        <v>27.805784027593528</v>
      </c>
      <c r="Q43" s="2">
        <f t="shared" si="1"/>
        <v>23.029981427434333</v>
      </c>
      <c r="R43" s="2">
        <f t="shared" si="2"/>
        <v>42.53117537808437</v>
      </c>
      <c r="S43" s="2">
        <f t="shared" si="3"/>
        <v>100</v>
      </c>
    </row>
    <row r="44" spans="1:19">
      <c r="A44" s="6" t="s">
        <v>56</v>
      </c>
      <c r="B44" s="10">
        <v>61567</v>
      </c>
      <c r="C44" s="10">
        <v>32129</v>
      </c>
      <c r="D44" s="10">
        <v>29438</v>
      </c>
      <c r="E44" s="10">
        <v>55315</v>
      </c>
      <c r="F44" s="10">
        <v>27747</v>
      </c>
      <c r="G44" s="10">
        <v>27568</v>
      </c>
      <c r="H44" s="10">
        <v>6224</v>
      </c>
      <c r="I44" s="10">
        <v>4363</v>
      </c>
      <c r="J44" s="10">
        <v>1861</v>
      </c>
      <c r="K44" s="11">
        <v>1201</v>
      </c>
      <c r="L44" s="10">
        <v>1815</v>
      </c>
      <c r="M44" s="11">
        <v>379</v>
      </c>
      <c r="N44" s="10">
        <v>2829</v>
      </c>
      <c r="O44" s="2">
        <f t="shared" si="4"/>
        <v>6.0893316195372744</v>
      </c>
      <c r="P44" s="2">
        <f t="shared" si="0"/>
        <v>29.161311053984573</v>
      </c>
      <c r="Q44" s="2">
        <f t="shared" si="1"/>
        <v>19.296272493573266</v>
      </c>
      <c r="R44" s="2">
        <f t="shared" si="2"/>
        <v>45.453084832904885</v>
      </c>
      <c r="S44" s="2">
        <f t="shared" si="3"/>
        <v>100</v>
      </c>
    </row>
    <row r="45" spans="1:19">
      <c r="A45" s="6" t="s">
        <v>57</v>
      </c>
      <c r="B45" s="10">
        <v>13948</v>
      </c>
      <c r="C45" s="10">
        <v>6812</v>
      </c>
      <c r="D45" s="10">
        <v>7136</v>
      </c>
      <c r="E45" s="10">
        <v>13293</v>
      </c>
      <c r="F45" s="10">
        <v>6441</v>
      </c>
      <c r="G45" s="10">
        <v>6852</v>
      </c>
      <c r="H45" s="10">
        <v>654</v>
      </c>
      <c r="I45" s="10">
        <v>370</v>
      </c>
      <c r="J45" s="10">
        <v>284</v>
      </c>
      <c r="K45" s="11">
        <v>108</v>
      </c>
      <c r="L45" s="10">
        <v>197</v>
      </c>
      <c r="M45" s="11">
        <v>56</v>
      </c>
      <c r="N45" s="10">
        <v>293</v>
      </c>
      <c r="O45" s="2">
        <f t="shared" si="4"/>
        <v>8.5626911314984699</v>
      </c>
      <c r="P45" s="2">
        <f t="shared" si="0"/>
        <v>30.122324159021407</v>
      </c>
      <c r="Q45" s="2">
        <f t="shared" si="1"/>
        <v>16.513761467889911</v>
      </c>
      <c r="R45" s="2">
        <f t="shared" si="2"/>
        <v>44.801223241590215</v>
      </c>
      <c r="S45" s="2">
        <f t="shared" si="3"/>
        <v>100</v>
      </c>
    </row>
    <row r="46" spans="1:19">
      <c r="A46" s="6" t="s">
        <v>58</v>
      </c>
      <c r="B46" s="10">
        <v>56613</v>
      </c>
      <c r="C46" s="10">
        <v>28155</v>
      </c>
      <c r="D46" s="10">
        <v>28458</v>
      </c>
      <c r="E46" s="10">
        <v>53453</v>
      </c>
      <c r="F46" s="10">
        <v>26159</v>
      </c>
      <c r="G46" s="10">
        <v>27294</v>
      </c>
      <c r="H46" s="10">
        <v>3125</v>
      </c>
      <c r="I46" s="10">
        <v>1975</v>
      </c>
      <c r="J46" s="10">
        <v>1150</v>
      </c>
      <c r="K46" s="11">
        <v>708</v>
      </c>
      <c r="L46" s="10">
        <v>1046</v>
      </c>
      <c r="M46" s="11">
        <v>455</v>
      </c>
      <c r="N46" s="10">
        <v>916</v>
      </c>
      <c r="O46" s="2">
        <f t="shared" si="4"/>
        <v>14.56</v>
      </c>
      <c r="P46" s="2">
        <f t="shared" si="0"/>
        <v>33.472000000000001</v>
      </c>
      <c r="Q46" s="2">
        <f t="shared" si="1"/>
        <v>22.656000000000002</v>
      </c>
      <c r="R46" s="2">
        <f t="shared" si="2"/>
        <v>29.311999999999998</v>
      </c>
      <c r="S46" s="2">
        <f t="shared" si="3"/>
        <v>100</v>
      </c>
    </row>
    <row r="47" spans="1:19">
      <c r="A47" s="6" t="s">
        <v>59</v>
      </c>
      <c r="B47" s="10">
        <v>25509</v>
      </c>
      <c r="C47" s="10">
        <v>12717</v>
      </c>
      <c r="D47" s="10">
        <v>12792</v>
      </c>
      <c r="E47" s="10">
        <v>24011</v>
      </c>
      <c r="F47" s="10">
        <v>11709</v>
      </c>
      <c r="G47" s="10">
        <v>12302</v>
      </c>
      <c r="H47" s="10">
        <v>1491</v>
      </c>
      <c r="I47" s="10">
        <v>1002</v>
      </c>
      <c r="J47" s="10">
        <v>489</v>
      </c>
      <c r="K47" s="11">
        <v>346</v>
      </c>
      <c r="L47" s="10">
        <v>506</v>
      </c>
      <c r="M47" s="11">
        <v>155</v>
      </c>
      <c r="N47" s="10">
        <v>484</v>
      </c>
      <c r="O47" s="2">
        <f t="shared" si="4"/>
        <v>10.395707578806171</v>
      </c>
      <c r="P47" s="2">
        <f t="shared" si="0"/>
        <v>33.936955063715629</v>
      </c>
      <c r="Q47" s="2">
        <f t="shared" si="1"/>
        <v>23.205902079141516</v>
      </c>
      <c r="R47" s="2">
        <f t="shared" si="2"/>
        <v>32.461435278336687</v>
      </c>
      <c r="S47" s="2">
        <f t="shared" si="3"/>
        <v>100</v>
      </c>
    </row>
    <row r="48" spans="1:19">
      <c r="A48" s="6" t="s">
        <v>60</v>
      </c>
      <c r="B48" s="10">
        <v>55408</v>
      </c>
      <c r="C48" s="10">
        <v>29212</v>
      </c>
      <c r="D48" s="10">
        <v>26196</v>
      </c>
      <c r="E48" s="10">
        <v>52020</v>
      </c>
      <c r="F48" s="10">
        <v>26925</v>
      </c>
      <c r="G48" s="10">
        <v>25095</v>
      </c>
      <c r="H48" s="10">
        <v>3356</v>
      </c>
      <c r="I48" s="10">
        <v>2263</v>
      </c>
      <c r="J48" s="10">
        <v>1093</v>
      </c>
      <c r="K48" s="11">
        <v>649</v>
      </c>
      <c r="L48" s="10">
        <v>1249</v>
      </c>
      <c r="M48" s="11">
        <v>299</v>
      </c>
      <c r="N48" s="10">
        <v>1159</v>
      </c>
      <c r="O48" s="2">
        <f t="shared" si="4"/>
        <v>8.9094159713945178</v>
      </c>
      <c r="P48" s="2">
        <f t="shared" si="0"/>
        <v>37.216924910607865</v>
      </c>
      <c r="Q48" s="2">
        <f t="shared" si="1"/>
        <v>19.338498212157329</v>
      </c>
      <c r="R48" s="2">
        <f t="shared" si="2"/>
        <v>34.535160905840286</v>
      </c>
      <c r="S48" s="2">
        <f t="shared" si="3"/>
        <v>100</v>
      </c>
    </row>
    <row r="49" spans="1:19">
      <c r="A49" s="6" t="s">
        <v>61</v>
      </c>
      <c r="B49" s="10">
        <v>46217</v>
      </c>
      <c r="C49" s="10">
        <v>24222</v>
      </c>
      <c r="D49" s="10">
        <v>21995</v>
      </c>
      <c r="E49" s="10">
        <v>42909</v>
      </c>
      <c r="F49" s="10">
        <v>22042</v>
      </c>
      <c r="G49" s="10">
        <v>20867</v>
      </c>
      <c r="H49" s="10">
        <v>3290</v>
      </c>
      <c r="I49" s="10">
        <v>2171</v>
      </c>
      <c r="J49" s="10">
        <v>1119</v>
      </c>
      <c r="K49" s="11">
        <v>695</v>
      </c>
      <c r="L49" s="10">
        <v>1177</v>
      </c>
      <c r="M49" s="11">
        <v>248</v>
      </c>
      <c r="N49" s="10">
        <v>1170</v>
      </c>
      <c r="O49" s="2">
        <f t="shared" si="4"/>
        <v>7.5379939209726441</v>
      </c>
      <c r="P49" s="2">
        <f t="shared" si="0"/>
        <v>35.775075987841944</v>
      </c>
      <c r="Q49" s="2">
        <f t="shared" si="1"/>
        <v>21.124620060790271</v>
      </c>
      <c r="R49" s="2">
        <f t="shared" si="2"/>
        <v>35.562310030395139</v>
      </c>
      <c r="S49" s="2">
        <f t="shared" si="3"/>
        <v>100</v>
      </c>
    </row>
    <row r="50" spans="1:19">
      <c r="A50" s="6" t="s">
        <v>62</v>
      </c>
      <c r="B50" s="10">
        <v>60820</v>
      </c>
      <c r="C50" s="10">
        <v>32158</v>
      </c>
      <c r="D50" s="10">
        <v>28662</v>
      </c>
      <c r="E50" s="10">
        <v>56288</v>
      </c>
      <c r="F50" s="10">
        <v>28906</v>
      </c>
      <c r="G50" s="10">
        <v>27382</v>
      </c>
      <c r="H50" s="10">
        <v>4514</v>
      </c>
      <c r="I50" s="10">
        <v>3241</v>
      </c>
      <c r="J50" s="10">
        <v>1273</v>
      </c>
      <c r="K50" s="11">
        <v>829</v>
      </c>
      <c r="L50" s="10">
        <v>1172</v>
      </c>
      <c r="M50" s="11">
        <v>361</v>
      </c>
      <c r="N50" s="10">
        <v>2152</v>
      </c>
      <c r="O50" s="2">
        <f t="shared" si="4"/>
        <v>7.9973416038989802</v>
      </c>
      <c r="P50" s="2">
        <f t="shared" si="0"/>
        <v>25.963668586619406</v>
      </c>
      <c r="Q50" s="2">
        <f t="shared" si="1"/>
        <v>18.365086397873284</v>
      </c>
      <c r="R50" s="2">
        <f t="shared" si="2"/>
        <v>47.673903411608329</v>
      </c>
      <c r="S50" s="2">
        <f t="shared" si="3"/>
        <v>100</v>
      </c>
    </row>
    <row r="51" spans="1:19">
      <c r="A51" s="6" t="s">
        <v>63</v>
      </c>
      <c r="B51" s="10">
        <v>29277</v>
      </c>
      <c r="C51" s="10">
        <v>13989</v>
      </c>
      <c r="D51" s="10">
        <v>15288</v>
      </c>
      <c r="E51" s="10">
        <v>28024</v>
      </c>
      <c r="F51" s="10">
        <v>13235</v>
      </c>
      <c r="G51" s="10">
        <v>14789</v>
      </c>
      <c r="H51" s="10">
        <v>1245</v>
      </c>
      <c r="I51" s="10">
        <v>750</v>
      </c>
      <c r="J51" s="10">
        <v>495</v>
      </c>
      <c r="K51" s="11">
        <v>222</v>
      </c>
      <c r="L51" s="10">
        <v>407</v>
      </c>
      <c r="M51" s="11">
        <v>207</v>
      </c>
      <c r="N51" s="10">
        <v>409</v>
      </c>
      <c r="O51" s="2">
        <f t="shared" si="4"/>
        <v>16.626506024096386</v>
      </c>
      <c r="P51" s="2">
        <f t="shared" si="0"/>
        <v>32.690763052208837</v>
      </c>
      <c r="Q51" s="2">
        <f t="shared" si="1"/>
        <v>17.831325301204821</v>
      </c>
      <c r="R51" s="2">
        <f t="shared" si="2"/>
        <v>32.851405622489963</v>
      </c>
      <c r="S51" s="2">
        <f t="shared" si="3"/>
        <v>100.00000000000001</v>
      </c>
    </row>
    <row r="52" spans="1:19">
      <c r="A52" s="6" t="s">
        <v>64</v>
      </c>
      <c r="B52" s="10">
        <v>46154</v>
      </c>
      <c r="C52" s="10">
        <v>25064</v>
      </c>
      <c r="D52" s="10">
        <v>21090</v>
      </c>
      <c r="E52" s="10">
        <v>42277</v>
      </c>
      <c r="F52" s="10">
        <v>22453</v>
      </c>
      <c r="G52" s="10">
        <v>19824</v>
      </c>
      <c r="H52" s="10">
        <v>3863</v>
      </c>
      <c r="I52" s="10">
        <v>2605</v>
      </c>
      <c r="J52" s="10">
        <v>1258</v>
      </c>
      <c r="K52" s="11">
        <v>974</v>
      </c>
      <c r="L52" s="10">
        <v>1060</v>
      </c>
      <c r="M52" s="11">
        <v>357</v>
      </c>
      <c r="N52" s="10">
        <v>1472</v>
      </c>
      <c r="O52" s="2">
        <f t="shared" si="4"/>
        <v>9.2415221330572095</v>
      </c>
      <c r="P52" s="2">
        <f t="shared" si="0"/>
        <v>27.439813616360343</v>
      </c>
      <c r="Q52" s="2">
        <f t="shared" si="1"/>
        <v>25.213564587108468</v>
      </c>
      <c r="R52" s="2">
        <f t="shared" si="2"/>
        <v>38.105099663473986</v>
      </c>
      <c r="S52" s="2">
        <f t="shared" si="3"/>
        <v>100</v>
      </c>
    </row>
    <row r="53" spans="1:19">
      <c r="A53" s="6" t="s">
        <v>53</v>
      </c>
      <c r="B53" s="10">
        <v>497568</v>
      </c>
      <c r="C53" s="10">
        <v>255269</v>
      </c>
      <c r="D53" s="10">
        <v>242299</v>
      </c>
      <c r="E53" s="10">
        <v>462777</v>
      </c>
      <c r="F53" s="10">
        <v>232019</v>
      </c>
      <c r="G53" s="10">
        <v>230758</v>
      </c>
      <c r="H53" s="10">
        <v>34592</v>
      </c>
      <c r="I53" s="10">
        <v>23121</v>
      </c>
      <c r="J53" s="10">
        <v>11471</v>
      </c>
      <c r="K53" s="11">
        <v>7473</v>
      </c>
      <c r="L53" s="10">
        <v>10697</v>
      </c>
      <c r="M53" s="11">
        <v>3204</v>
      </c>
      <c r="N53" s="10">
        <v>13218</v>
      </c>
      <c r="O53" s="2">
        <f>M53/H53*100</f>
        <v>9.2622571692876967</v>
      </c>
      <c r="P53" s="2">
        <f>L53/H53*100</f>
        <v>30.923334875115632</v>
      </c>
      <c r="Q53" s="2">
        <f>K53/H53*100</f>
        <v>21.603260869565215</v>
      </c>
      <c r="R53" s="2">
        <f>N53/H53*100</f>
        <v>38.211147086031453</v>
      </c>
      <c r="S53" s="2">
        <f>SUM(O53:R53)</f>
        <v>100</v>
      </c>
    </row>
    <row r="54" spans="1:19">
      <c r="A54" s="6" t="s">
        <v>66</v>
      </c>
      <c r="B54" s="10">
        <v>20554</v>
      </c>
      <c r="C54" s="10">
        <v>9476</v>
      </c>
      <c r="D54" s="10">
        <v>11078</v>
      </c>
      <c r="E54" s="10">
        <v>18992</v>
      </c>
      <c r="F54" s="10">
        <v>8565</v>
      </c>
      <c r="G54" s="10">
        <v>10427</v>
      </c>
      <c r="H54" s="10">
        <v>1536</v>
      </c>
      <c r="I54" s="10">
        <v>891</v>
      </c>
      <c r="J54" s="10">
        <v>645</v>
      </c>
      <c r="K54" s="11">
        <v>406</v>
      </c>
      <c r="L54" s="10">
        <v>465</v>
      </c>
      <c r="M54" s="11">
        <v>138</v>
      </c>
      <c r="N54" s="10">
        <v>527</v>
      </c>
      <c r="O54" s="2">
        <f t="shared" si="4"/>
        <v>8.984375</v>
      </c>
      <c r="P54" s="2">
        <f t="shared" si="0"/>
        <v>30.2734375</v>
      </c>
      <c r="Q54" s="2">
        <f t="shared" si="1"/>
        <v>26.432291666666668</v>
      </c>
      <c r="R54" s="2">
        <f t="shared" si="2"/>
        <v>34.309895833333329</v>
      </c>
      <c r="S54" s="2">
        <f t="shared" si="3"/>
        <v>100</v>
      </c>
    </row>
    <row r="55" spans="1:19">
      <c r="A55" s="6" t="s">
        <v>67</v>
      </c>
      <c r="B55" s="10">
        <v>33985</v>
      </c>
      <c r="C55" s="10">
        <v>22929</v>
      </c>
      <c r="D55" s="10">
        <v>11056</v>
      </c>
      <c r="E55" s="10">
        <v>32359</v>
      </c>
      <c r="F55" s="10">
        <v>21722</v>
      </c>
      <c r="G55" s="10">
        <v>10637</v>
      </c>
      <c r="H55" s="10">
        <v>1621</v>
      </c>
      <c r="I55" s="10">
        <v>1203</v>
      </c>
      <c r="J55" s="10">
        <v>418</v>
      </c>
      <c r="K55" s="11">
        <v>387</v>
      </c>
      <c r="L55" s="10">
        <v>623</v>
      </c>
      <c r="M55" s="11">
        <v>160</v>
      </c>
      <c r="N55" s="10">
        <v>451</v>
      </c>
      <c r="O55" s="2">
        <f t="shared" si="4"/>
        <v>9.8704503392967311</v>
      </c>
      <c r="P55" s="2">
        <f t="shared" si="0"/>
        <v>38.433066008636644</v>
      </c>
      <c r="Q55" s="2">
        <f t="shared" si="1"/>
        <v>23.874151758173966</v>
      </c>
      <c r="R55" s="2">
        <f t="shared" si="2"/>
        <v>27.82233189389266</v>
      </c>
      <c r="S55" s="2">
        <f t="shared" si="3"/>
        <v>100</v>
      </c>
    </row>
    <row r="56" spans="1:19">
      <c r="A56" s="6" t="s">
        <v>68</v>
      </c>
      <c r="B56" s="10">
        <v>81268</v>
      </c>
      <c r="C56" s="10">
        <v>38700</v>
      </c>
      <c r="D56" s="10">
        <v>42568</v>
      </c>
      <c r="E56" s="10">
        <v>76938</v>
      </c>
      <c r="F56" s="10">
        <v>35999</v>
      </c>
      <c r="G56" s="10">
        <v>40939</v>
      </c>
      <c r="H56" s="10">
        <v>4306</v>
      </c>
      <c r="I56" s="10">
        <v>2682</v>
      </c>
      <c r="J56" s="10">
        <v>1624</v>
      </c>
      <c r="K56" s="11">
        <v>1033</v>
      </c>
      <c r="L56" s="10">
        <v>1185</v>
      </c>
      <c r="M56" s="11">
        <v>786</v>
      </c>
      <c r="N56" s="10">
        <v>1302</v>
      </c>
      <c r="O56" s="2">
        <f t="shared" si="4"/>
        <v>18.253599628425452</v>
      </c>
      <c r="P56" s="2">
        <f t="shared" si="0"/>
        <v>27.519739897816997</v>
      </c>
      <c r="Q56" s="2">
        <f t="shared" si="1"/>
        <v>23.989781699953554</v>
      </c>
      <c r="R56" s="2">
        <f t="shared" si="2"/>
        <v>30.236878773803994</v>
      </c>
      <c r="S56" s="2">
        <f t="shared" si="3"/>
        <v>100</v>
      </c>
    </row>
    <row r="57" spans="1:19">
      <c r="A57" s="6" t="s">
        <v>69</v>
      </c>
      <c r="B57" s="10">
        <v>92701</v>
      </c>
      <c r="C57" s="10">
        <v>46863</v>
      </c>
      <c r="D57" s="10">
        <v>45838</v>
      </c>
      <c r="E57" s="10">
        <v>85685</v>
      </c>
      <c r="F57" s="10">
        <v>42905</v>
      </c>
      <c r="G57" s="10">
        <v>42780</v>
      </c>
      <c r="H57" s="10">
        <v>6975</v>
      </c>
      <c r="I57" s="10">
        <v>3933</v>
      </c>
      <c r="J57" s="10">
        <v>3042</v>
      </c>
      <c r="K57" s="11">
        <v>2042</v>
      </c>
      <c r="L57" s="10">
        <v>2226</v>
      </c>
      <c r="M57" s="11">
        <v>716</v>
      </c>
      <c r="N57" s="10">
        <v>1991</v>
      </c>
      <c r="O57" s="2">
        <f t="shared" si="4"/>
        <v>10.265232974910395</v>
      </c>
      <c r="P57" s="2">
        <f t="shared" si="0"/>
        <v>31.913978494623656</v>
      </c>
      <c r="Q57" s="2">
        <f t="shared" si="1"/>
        <v>29.275985663082437</v>
      </c>
      <c r="R57" s="2">
        <f t="shared" si="2"/>
        <v>28.544802867383513</v>
      </c>
      <c r="S57" s="2">
        <f t="shared" si="3"/>
        <v>100</v>
      </c>
    </row>
    <row r="58" spans="1:19">
      <c r="A58" s="6" t="s">
        <v>70</v>
      </c>
      <c r="B58" s="10">
        <v>29722</v>
      </c>
      <c r="C58" s="10">
        <v>15937</v>
      </c>
      <c r="D58" s="10">
        <v>13785</v>
      </c>
      <c r="E58" s="10">
        <v>28508</v>
      </c>
      <c r="F58" s="10">
        <v>15105</v>
      </c>
      <c r="G58" s="10">
        <v>13403</v>
      </c>
      <c r="H58" s="10">
        <v>1208</v>
      </c>
      <c r="I58" s="10">
        <v>826</v>
      </c>
      <c r="J58" s="10">
        <v>382</v>
      </c>
      <c r="K58" s="11">
        <v>274</v>
      </c>
      <c r="L58" s="10">
        <v>415</v>
      </c>
      <c r="M58" s="11">
        <v>181</v>
      </c>
      <c r="N58" s="10">
        <v>338</v>
      </c>
      <c r="O58" s="2">
        <f t="shared" si="4"/>
        <v>14.98344370860927</v>
      </c>
      <c r="P58" s="2">
        <f t="shared" si="0"/>
        <v>34.354304635761594</v>
      </c>
      <c r="Q58" s="2">
        <f t="shared" si="1"/>
        <v>22.682119205298012</v>
      </c>
      <c r="R58" s="2">
        <f t="shared" si="2"/>
        <v>27.980132450331123</v>
      </c>
      <c r="S58" s="2">
        <f t="shared" si="3"/>
        <v>100</v>
      </c>
    </row>
    <row r="59" spans="1:19">
      <c r="A59" s="6" t="s">
        <v>71</v>
      </c>
      <c r="B59" s="10">
        <v>41948</v>
      </c>
      <c r="C59" s="10">
        <v>23373</v>
      </c>
      <c r="D59" s="10">
        <v>18575</v>
      </c>
      <c r="E59" s="10">
        <v>39005</v>
      </c>
      <c r="F59" s="10">
        <v>21334</v>
      </c>
      <c r="G59" s="10">
        <v>17671</v>
      </c>
      <c r="H59" s="10">
        <v>2934</v>
      </c>
      <c r="I59" s="10">
        <v>2033</v>
      </c>
      <c r="J59" s="10">
        <v>901</v>
      </c>
      <c r="K59" s="11">
        <v>669</v>
      </c>
      <c r="L59" s="10">
        <v>774</v>
      </c>
      <c r="M59" s="11">
        <v>164</v>
      </c>
      <c r="N59" s="10">
        <v>1327</v>
      </c>
      <c r="O59" s="2">
        <f t="shared" si="4"/>
        <v>5.5896387184730747</v>
      </c>
      <c r="P59" s="2">
        <f t="shared" si="0"/>
        <v>26.380368098159508</v>
      </c>
      <c r="Q59" s="2">
        <f t="shared" si="1"/>
        <v>22.801635991820042</v>
      </c>
      <c r="R59" s="2">
        <f t="shared" si="2"/>
        <v>45.228357191547374</v>
      </c>
      <c r="S59" s="2">
        <f t="shared" si="3"/>
        <v>100</v>
      </c>
    </row>
    <row r="60" spans="1:19">
      <c r="A60" s="6" t="s">
        <v>72</v>
      </c>
      <c r="B60" s="10">
        <v>60541</v>
      </c>
      <c r="C60" s="10">
        <v>32046</v>
      </c>
      <c r="D60" s="10">
        <v>28495</v>
      </c>
      <c r="E60" s="10">
        <v>56603</v>
      </c>
      <c r="F60" s="10">
        <v>29535</v>
      </c>
      <c r="G60" s="10">
        <v>27068</v>
      </c>
      <c r="H60" s="10">
        <v>3934</v>
      </c>
      <c r="I60" s="10">
        <v>2507</v>
      </c>
      <c r="J60" s="10">
        <v>1427</v>
      </c>
      <c r="K60" s="11">
        <v>873</v>
      </c>
      <c r="L60" s="10">
        <v>1164</v>
      </c>
      <c r="M60" s="11">
        <v>333</v>
      </c>
      <c r="N60" s="10">
        <v>1564</v>
      </c>
      <c r="O60" s="2">
        <f t="shared" si="4"/>
        <v>8.4646670055922719</v>
      </c>
      <c r="P60" s="2">
        <f t="shared" si="0"/>
        <v>29.588205388917132</v>
      </c>
      <c r="Q60" s="2">
        <f t="shared" si="1"/>
        <v>22.191154041687849</v>
      </c>
      <c r="R60" s="2">
        <f t="shared" si="2"/>
        <v>39.755973563802741</v>
      </c>
      <c r="S60" s="2">
        <f t="shared" si="3"/>
        <v>100</v>
      </c>
    </row>
    <row r="61" spans="1:19">
      <c r="A61" s="6" t="s">
        <v>73</v>
      </c>
      <c r="B61" s="10">
        <v>63090</v>
      </c>
      <c r="C61" s="10">
        <v>37998</v>
      </c>
      <c r="D61" s="10">
        <v>25092</v>
      </c>
      <c r="E61" s="10">
        <v>55140</v>
      </c>
      <c r="F61" s="10">
        <v>32288</v>
      </c>
      <c r="G61" s="10">
        <v>22852</v>
      </c>
      <c r="H61" s="10">
        <v>7928</v>
      </c>
      <c r="I61" s="10">
        <v>5694</v>
      </c>
      <c r="J61" s="10">
        <v>2234</v>
      </c>
      <c r="K61" s="11">
        <v>2014</v>
      </c>
      <c r="L61" s="10">
        <v>1474</v>
      </c>
      <c r="M61" s="11">
        <v>230</v>
      </c>
      <c r="N61" s="10">
        <v>4210</v>
      </c>
      <c r="O61" s="2">
        <f t="shared" si="4"/>
        <v>2.9011099899091826</v>
      </c>
      <c r="P61" s="2">
        <f t="shared" si="0"/>
        <v>18.592330978809283</v>
      </c>
      <c r="Q61" s="2">
        <f t="shared" si="1"/>
        <v>25.403632694248234</v>
      </c>
      <c r="R61" s="2">
        <f t="shared" si="2"/>
        <v>53.102926337033296</v>
      </c>
      <c r="S61" s="2">
        <f t="shared" si="3"/>
        <v>100</v>
      </c>
    </row>
    <row r="62" spans="1:19">
      <c r="A62" s="6" t="s">
        <v>74</v>
      </c>
      <c r="B62" s="10">
        <v>132429</v>
      </c>
      <c r="C62" s="10">
        <v>80292</v>
      </c>
      <c r="D62" s="10">
        <v>52137</v>
      </c>
      <c r="E62" s="10">
        <v>121552</v>
      </c>
      <c r="F62" s="10">
        <v>72358</v>
      </c>
      <c r="G62" s="10">
        <v>49194</v>
      </c>
      <c r="H62" s="10">
        <v>10836</v>
      </c>
      <c r="I62" s="10">
        <v>7902</v>
      </c>
      <c r="J62" s="10">
        <v>2934</v>
      </c>
      <c r="K62" s="11">
        <v>2081</v>
      </c>
      <c r="L62" s="10">
        <v>3180</v>
      </c>
      <c r="M62" s="11">
        <v>728</v>
      </c>
      <c r="N62" s="10">
        <v>4847</v>
      </c>
      <c r="O62" s="2">
        <f t="shared" si="4"/>
        <v>6.7183462532299743</v>
      </c>
      <c r="P62" s="2">
        <f t="shared" si="0"/>
        <v>29.346622369878183</v>
      </c>
      <c r="Q62" s="2">
        <f t="shared" si="1"/>
        <v>19.204503506829088</v>
      </c>
      <c r="R62" s="2">
        <f t="shared" si="2"/>
        <v>44.730527870062751</v>
      </c>
      <c r="S62" s="2">
        <f t="shared" si="3"/>
        <v>100</v>
      </c>
    </row>
    <row r="63" spans="1:19">
      <c r="A63" s="6" t="s">
        <v>75</v>
      </c>
      <c r="B63" s="10">
        <v>28483</v>
      </c>
      <c r="C63" s="10">
        <v>14177</v>
      </c>
      <c r="D63" s="10">
        <v>14306</v>
      </c>
      <c r="E63" s="10">
        <v>27328</v>
      </c>
      <c r="F63" s="10">
        <v>13443</v>
      </c>
      <c r="G63" s="10">
        <v>13885</v>
      </c>
      <c r="H63" s="10">
        <v>1141</v>
      </c>
      <c r="I63" s="10">
        <v>726</v>
      </c>
      <c r="J63" s="10">
        <v>415</v>
      </c>
      <c r="K63" s="11">
        <v>214</v>
      </c>
      <c r="L63" s="10">
        <v>338</v>
      </c>
      <c r="M63" s="11">
        <v>135</v>
      </c>
      <c r="N63" s="10">
        <v>454</v>
      </c>
      <c r="O63" s="2">
        <f t="shared" si="4"/>
        <v>11.831726555652935</v>
      </c>
      <c r="P63" s="2">
        <f t="shared" si="0"/>
        <v>29.623137598597722</v>
      </c>
      <c r="Q63" s="2">
        <f t="shared" si="1"/>
        <v>18.75547765118317</v>
      </c>
      <c r="R63" s="2">
        <f t="shared" si="2"/>
        <v>39.789658194566172</v>
      </c>
      <c r="S63" s="2">
        <f t="shared" si="3"/>
        <v>100</v>
      </c>
    </row>
    <row r="64" spans="1:19">
      <c r="A64" s="6" t="s">
        <v>76</v>
      </c>
      <c r="B64" s="10">
        <v>48098</v>
      </c>
      <c r="C64" s="10">
        <v>27074</v>
      </c>
      <c r="D64" s="10">
        <v>21024</v>
      </c>
      <c r="E64" s="10">
        <v>43338</v>
      </c>
      <c r="F64" s="10">
        <v>23837</v>
      </c>
      <c r="G64" s="10">
        <v>19501</v>
      </c>
      <c r="H64" s="10">
        <v>4741</v>
      </c>
      <c r="I64" s="10">
        <v>3221</v>
      </c>
      <c r="J64" s="10">
        <v>1520</v>
      </c>
      <c r="K64" s="11">
        <v>879</v>
      </c>
      <c r="L64" s="10">
        <v>1924</v>
      </c>
      <c r="M64" s="11">
        <v>299</v>
      </c>
      <c r="N64" s="10">
        <v>1639</v>
      </c>
      <c r="O64" s="2">
        <f t="shared" si="4"/>
        <v>6.3066863530900656</v>
      </c>
      <c r="P64" s="2">
        <f t="shared" si="0"/>
        <v>40.582155663362158</v>
      </c>
      <c r="Q64" s="2">
        <f t="shared" si="1"/>
        <v>18.540392322294874</v>
      </c>
      <c r="R64" s="2">
        <f t="shared" si="2"/>
        <v>34.570765661252899</v>
      </c>
      <c r="S64" s="2">
        <f t="shared" si="3"/>
        <v>100</v>
      </c>
    </row>
    <row r="65" spans="1:19">
      <c r="A65" s="6" t="s">
        <v>77</v>
      </c>
      <c r="B65" s="10">
        <v>46223</v>
      </c>
      <c r="C65" s="10">
        <v>24392</v>
      </c>
      <c r="D65" s="10">
        <v>21831</v>
      </c>
      <c r="E65" s="10">
        <v>43362</v>
      </c>
      <c r="F65" s="10">
        <v>22447</v>
      </c>
      <c r="G65" s="10">
        <v>20915</v>
      </c>
      <c r="H65" s="10">
        <v>2855</v>
      </c>
      <c r="I65" s="10">
        <v>1943</v>
      </c>
      <c r="J65" s="10">
        <v>912</v>
      </c>
      <c r="K65" s="11">
        <v>448</v>
      </c>
      <c r="L65" s="10">
        <v>963</v>
      </c>
      <c r="M65" s="11">
        <v>267</v>
      </c>
      <c r="N65" s="10">
        <v>1177</v>
      </c>
      <c r="O65" s="2">
        <f t="shared" si="4"/>
        <v>9.3520140105078813</v>
      </c>
      <c r="P65" s="2">
        <f t="shared" si="0"/>
        <v>33.730297723292466</v>
      </c>
      <c r="Q65" s="2">
        <f t="shared" si="1"/>
        <v>15.691768826619965</v>
      </c>
      <c r="R65" s="2">
        <f t="shared" si="2"/>
        <v>41.225919439579684</v>
      </c>
      <c r="S65" s="2">
        <f t="shared" si="3"/>
        <v>100</v>
      </c>
    </row>
    <row r="66" spans="1:19">
      <c r="A66" s="6" t="s">
        <v>78</v>
      </c>
      <c r="B66" s="10">
        <v>34720</v>
      </c>
      <c r="C66" s="10">
        <v>19311</v>
      </c>
      <c r="D66" s="10">
        <v>15409</v>
      </c>
      <c r="E66" s="10">
        <v>31940</v>
      </c>
      <c r="F66" s="10">
        <v>17340</v>
      </c>
      <c r="G66" s="10">
        <v>14600</v>
      </c>
      <c r="H66" s="10">
        <v>2773</v>
      </c>
      <c r="I66" s="10">
        <v>1968</v>
      </c>
      <c r="J66" s="10">
        <v>805</v>
      </c>
      <c r="K66" s="11">
        <v>653</v>
      </c>
      <c r="L66" s="10">
        <v>733</v>
      </c>
      <c r="M66" s="11">
        <v>125</v>
      </c>
      <c r="N66" s="10">
        <v>1262</v>
      </c>
      <c r="O66" s="2">
        <f t="shared" si="4"/>
        <v>4.5077533357374682</v>
      </c>
      <c r="P66" s="2">
        <f t="shared" si="0"/>
        <v>26.433465560764514</v>
      </c>
      <c r="Q66" s="2">
        <f t="shared" si="1"/>
        <v>23.548503425892537</v>
      </c>
      <c r="R66" s="2">
        <f t="shared" si="2"/>
        <v>45.51027767760548</v>
      </c>
      <c r="S66" s="2">
        <f t="shared" si="3"/>
        <v>100</v>
      </c>
    </row>
    <row r="67" spans="1:19">
      <c r="A67" s="6" t="s">
        <v>79</v>
      </c>
      <c r="B67" s="10">
        <v>124047</v>
      </c>
      <c r="C67" s="10">
        <v>70810</v>
      </c>
      <c r="D67" s="10">
        <v>53237</v>
      </c>
      <c r="E67" s="10">
        <v>110090</v>
      </c>
      <c r="F67" s="10">
        <v>61418</v>
      </c>
      <c r="G67" s="10">
        <v>48672</v>
      </c>
      <c r="H67" s="10">
        <v>13926</v>
      </c>
      <c r="I67" s="10">
        <v>9370</v>
      </c>
      <c r="J67" s="10">
        <v>4556</v>
      </c>
      <c r="K67" s="11">
        <v>3436</v>
      </c>
      <c r="L67" s="10">
        <v>3289</v>
      </c>
      <c r="M67" s="11">
        <v>601</v>
      </c>
      <c r="N67" s="10">
        <v>6600</v>
      </c>
      <c r="O67" s="2">
        <f t="shared" si="4"/>
        <v>4.3156685336780125</v>
      </c>
      <c r="P67" s="2">
        <f t="shared" si="0"/>
        <v>23.617693522906794</v>
      </c>
      <c r="Q67" s="2">
        <f t="shared" si="1"/>
        <v>24.673273014505241</v>
      </c>
      <c r="R67" s="2">
        <f t="shared" si="2"/>
        <v>47.393364928909953</v>
      </c>
      <c r="S67" s="2">
        <f t="shared" si="3"/>
        <v>100</v>
      </c>
    </row>
    <row r="68" spans="1:19">
      <c r="A68" s="6" t="s">
        <v>80</v>
      </c>
      <c r="B68" s="10">
        <v>69397</v>
      </c>
      <c r="C68" s="10">
        <v>41248</v>
      </c>
      <c r="D68" s="10">
        <v>28149</v>
      </c>
      <c r="E68" s="10">
        <v>60349</v>
      </c>
      <c r="F68" s="10">
        <v>35204</v>
      </c>
      <c r="G68" s="10">
        <v>25145</v>
      </c>
      <c r="H68" s="10">
        <v>9005</v>
      </c>
      <c r="I68" s="10">
        <v>6010</v>
      </c>
      <c r="J68" s="10">
        <v>2995</v>
      </c>
      <c r="K68" s="11">
        <v>2220</v>
      </c>
      <c r="L68" s="10">
        <v>1962</v>
      </c>
      <c r="M68" s="11">
        <v>357</v>
      </c>
      <c r="N68" s="10">
        <v>4466</v>
      </c>
      <c r="O68" s="2">
        <f t="shared" si="4"/>
        <v>3.9644641865630206</v>
      </c>
      <c r="P68" s="2">
        <f t="shared" si="0"/>
        <v>21.787895613548027</v>
      </c>
      <c r="Q68" s="2">
        <f t="shared" si="1"/>
        <v>24.652970571904497</v>
      </c>
      <c r="R68" s="2">
        <f t="shared" si="2"/>
        <v>49.594669627984459</v>
      </c>
      <c r="S68" s="2">
        <f t="shared" si="3"/>
        <v>100</v>
      </c>
    </row>
    <row r="69" spans="1:19">
      <c r="A69" s="6" t="s">
        <v>81</v>
      </c>
      <c r="B69" s="10">
        <v>29093</v>
      </c>
      <c r="C69" s="10">
        <v>18325</v>
      </c>
      <c r="D69" s="10">
        <v>10768</v>
      </c>
      <c r="E69" s="10">
        <v>26988</v>
      </c>
      <c r="F69" s="10">
        <v>16584</v>
      </c>
      <c r="G69" s="10">
        <v>10404</v>
      </c>
      <c r="H69" s="10">
        <v>2101</v>
      </c>
      <c r="I69" s="10">
        <v>1739</v>
      </c>
      <c r="J69" s="10">
        <v>362</v>
      </c>
      <c r="K69" s="11">
        <v>387</v>
      </c>
      <c r="L69" s="10">
        <v>761</v>
      </c>
      <c r="M69" s="11">
        <v>128</v>
      </c>
      <c r="N69" s="10">
        <v>825</v>
      </c>
      <c r="O69" s="2">
        <f t="shared" si="4"/>
        <v>6.0923369823893383</v>
      </c>
      <c r="P69" s="2">
        <f t="shared" si="0"/>
        <v>36.220847215611613</v>
      </c>
      <c r="Q69" s="2">
        <f t="shared" si="1"/>
        <v>18.419800095192766</v>
      </c>
      <c r="R69" s="2">
        <f t="shared" si="2"/>
        <v>39.267015706806284</v>
      </c>
      <c r="S69" s="2">
        <f t="shared" si="3"/>
        <v>100</v>
      </c>
    </row>
    <row r="70" spans="1:19">
      <c r="A70" s="6" t="s">
        <v>82</v>
      </c>
      <c r="B70" s="10">
        <v>15613</v>
      </c>
      <c r="C70" s="10">
        <v>7868</v>
      </c>
      <c r="D70" s="10">
        <v>7745</v>
      </c>
      <c r="E70" s="10">
        <v>14808</v>
      </c>
      <c r="F70" s="10">
        <v>7403</v>
      </c>
      <c r="G70" s="10">
        <v>7405</v>
      </c>
      <c r="H70" s="10">
        <v>801</v>
      </c>
      <c r="I70" s="10">
        <v>462</v>
      </c>
      <c r="J70" s="10">
        <v>339</v>
      </c>
      <c r="K70" s="11">
        <v>113</v>
      </c>
      <c r="L70" s="10">
        <v>176</v>
      </c>
      <c r="M70" s="11">
        <v>49</v>
      </c>
      <c r="N70" s="10">
        <v>463</v>
      </c>
      <c r="O70" s="2">
        <f t="shared" si="4"/>
        <v>6.1173533083645442</v>
      </c>
      <c r="P70" s="2">
        <f t="shared" si="0"/>
        <v>21.972534332084894</v>
      </c>
      <c r="Q70" s="2">
        <f t="shared" si="1"/>
        <v>14.107365792759053</v>
      </c>
      <c r="R70" s="2">
        <f t="shared" si="2"/>
        <v>57.802746566791505</v>
      </c>
      <c r="S70" s="2">
        <f t="shared" si="3"/>
        <v>100</v>
      </c>
    </row>
    <row r="71" spans="1:19">
      <c r="A71" s="6" t="s">
        <v>65</v>
      </c>
      <c r="B71" s="10">
        <v>951912</v>
      </c>
      <c r="C71" s="10">
        <v>530819</v>
      </c>
      <c r="D71" s="10">
        <v>421093</v>
      </c>
      <c r="E71" s="10">
        <v>872985</v>
      </c>
      <c r="F71" s="10">
        <v>477487</v>
      </c>
      <c r="G71" s="10">
        <v>395498</v>
      </c>
      <c r="H71" s="10">
        <v>78621</v>
      </c>
      <c r="I71" s="10">
        <v>53110</v>
      </c>
      <c r="J71" s="10">
        <v>25511</v>
      </c>
      <c r="K71" s="11">
        <v>18129</v>
      </c>
      <c r="L71" s="10">
        <v>21652</v>
      </c>
      <c r="M71" s="11">
        <v>5397</v>
      </c>
      <c r="N71" s="10">
        <v>33443</v>
      </c>
      <c r="O71" s="2">
        <f>M71/H71*100</f>
        <v>6.8645781661388181</v>
      </c>
      <c r="P71" s="2">
        <f>L71/H71*100</f>
        <v>27.539715851998832</v>
      </c>
      <c r="Q71" s="2">
        <f>K71/H71*100</f>
        <v>23.058724768191706</v>
      </c>
      <c r="R71" s="2">
        <f>N71/H71*100</f>
        <v>42.53698121367065</v>
      </c>
      <c r="S71" s="2">
        <f>SUM(O71:R71)</f>
        <v>100</v>
      </c>
    </row>
    <row r="72" spans="1:19">
      <c r="A72" s="6" t="s">
        <v>27</v>
      </c>
      <c r="B72" s="10">
        <v>2894119</v>
      </c>
      <c r="C72" s="10">
        <v>1568448</v>
      </c>
      <c r="D72" s="10">
        <v>1325671</v>
      </c>
      <c r="E72" s="10">
        <v>2666671</v>
      </c>
      <c r="F72" s="10">
        <v>1419023</v>
      </c>
      <c r="G72" s="10">
        <v>1247648</v>
      </c>
      <c r="H72" s="10">
        <v>226387</v>
      </c>
      <c r="I72" s="10">
        <v>148723</v>
      </c>
      <c r="J72" s="10">
        <v>77664</v>
      </c>
      <c r="K72" s="11">
        <v>52225</v>
      </c>
      <c r="L72" s="10">
        <v>70628</v>
      </c>
      <c r="M72" s="11">
        <v>25053</v>
      </c>
      <c r="N72" s="10">
        <v>78481</v>
      </c>
      <c r="O72" s="2">
        <f>M72/H72*100</f>
        <v>11.066448161776075</v>
      </c>
      <c r="P72" s="2">
        <f>L72/H72*100</f>
        <v>31.197904473313397</v>
      </c>
      <c r="Q72" s="2">
        <f>K72/H72*100</f>
        <v>23.068904133187861</v>
      </c>
      <c r="R72" s="2">
        <f>N72/H72*100</f>
        <v>34.66674323172267</v>
      </c>
      <c r="S72" s="2">
        <f>SUM(O72:R72)</f>
        <v>100</v>
      </c>
    </row>
    <row r="73" spans="1:19">
      <c r="A73" s="1" t="s">
        <v>83</v>
      </c>
      <c r="B73" s="1"/>
      <c r="C73" s="1"/>
      <c r="D73" s="1"/>
      <c r="E73" s="1"/>
      <c r="F73" s="1"/>
      <c r="G73" s="1"/>
      <c r="H73" s="1"/>
      <c r="I73" s="1"/>
      <c r="J73" s="1"/>
    </row>
  </sheetData>
  <autoFilter ref="A18:N72" xr:uid="{00000000-0009-0000-0000-000008000000}"/>
  <mergeCells count="7">
    <mergeCell ref="K17:N17"/>
    <mergeCell ref="O17:R17"/>
    <mergeCell ref="A14:A17"/>
    <mergeCell ref="B14:J14"/>
    <mergeCell ref="B15:D15"/>
    <mergeCell ref="E15:G15"/>
    <mergeCell ref="H15:J15"/>
  </mergeCell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"/>
  <dimension ref="A1:J325"/>
  <sheetViews>
    <sheetView workbookViewId="0">
      <selection activeCell="H20" sqref="H20"/>
    </sheetView>
  </sheetViews>
  <sheetFormatPr baseColWidth="10" defaultRowHeight="13.5"/>
  <cols>
    <col min="1" max="1" width="71.375" bestFit="1" customWidth="1"/>
  </cols>
  <sheetData>
    <row r="1" spans="1:10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</row>
    <row r="2" spans="1:10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</row>
    <row r="3" spans="1:10">
      <c r="A3" s="3" t="s">
        <v>2</v>
      </c>
      <c r="B3" s="3"/>
      <c r="C3" s="3"/>
      <c r="D3" s="3"/>
      <c r="E3" s="3"/>
      <c r="F3" s="3"/>
      <c r="G3" s="3"/>
      <c r="H3" s="3"/>
      <c r="I3" s="3"/>
      <c r="J3" s="3"/>
    </row>
    <row r="4" spans="1:10">
      <c r="A4" s="3" t="s">
        <v>3</v>
      </c>
      <c r="B4" s="3"/>
      <c r="C4" s="3"/>
      <c r="D4" s="3"/>
      <c r="E4" s="3"/>
      <c r="F4" s="3"/>
      <c r="G4" s="3"/>
      <c r="H4" s="3"/>
      <c r="I4" s="3"/>
      <c r="J4" s="3"/>
    </row>
    <row r="5" spans="1:10">
      <c r="A5" s="3" t="s">
        <v>4</v>
      </c>
      <c r="B5" s="3"/>
      <c r="C5" s="3"/>
      <c r="D5" s="3"/>
      <c r="E5" s="3"/>
      <c r="F5" s="3"/>
      <c r="G5" s="3"/>
      <c r="H5" s="3"/>
      <c r="I5" s="3"/>
      <c r="J5" s="3"/>
    </row>
    <row r="6" spans="1:10">
      <c r="A6" s="3" t="s">
        <v>3</v>
      </c>
      <c r="B6" s="3"/>
      <c r="C6" s="3"/>
      <c r="D6" s="3"/>
      <c r="E6" s="3"/>
      <c r="F6" s="3"/>
      <c r="G6" s="3"/>
      <c r="H6" s="3"/>
      <c r="I6" s="3"/>
      <c r="J6" s="3"/>
    </row>
    <row r="7" spans="1:10">
      <c r="A7" s="3" t="s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>
      <c r="A8" s="3" t="s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>
      <c r="A9" s="3" t="s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>
      <c r="A10" s="3" t="s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>
      <c r="A11" s="3" t="s">
        <v>3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>
      <c r="A12" s="3" t="s">
        <v>9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>
      <c r="A13" s="3" t="s">
        <v>3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>
      <c r="A14" s="373" t="s">
        <v>10</v>
      </c>
      <c r="B14" s="376" t="s">
        <v>11</v>
      </c>
      <c r="C14" s="377"/>
      <c r="D14" s="377"/>
      <c r="E14" s="377"/>
      <c r="F14" s="377"/>
      <c r="G14" s="377"/>
      <c r="H14" s="377"/>
      <c r="I14" s="377"/>
      <c r="J14" s="378"/>
    </row>
    <row r="15" spans="1:10">
      <c r="A15" s="374"/>
      <c r="B15" s="376" t="s">
        <v>12</v>
      </c>
      <c r="C15" s="377"/>
      <c r="D15" s="378"/>
      <c r="E15" s="376" t="s">
        <v>13</v>
      </c>
      <c r="F15" s="377"/>
      <c r="G15" s="378"/>
      <c r="H15" s="376" t="s">
        <v>14</v>
      </c>
      <c r="I15" s="377"/>
      <c r="J15" s="378"/>
    </row>
    <row r="16" spans="1:10">
      <c r="A16" s="374"/>
      <c r="B16" s="4" t="s">
        <v>15</v>
      </c>
      <c r="C16" s="4" t="s">
        <v>16</v>
      </c>
      <c r="D16" s="4" t="s">
        <v>17</v>
      </c>
      <c r="E16" s="4" t="s">
        <v>15</v>
      </c>
      <c r="F16" s="4" t="s">
        <v>16</v>
      </c>
      <c r="G16" s="4" t="s">
        <v>17</v>
      </c>
      <c r="H16" s="4" t="s">
        <v>15</v>
      </c>
      <c r="I16" s="4" t="s">
        <v>16</v>
      </c>
      <c r="J16" s="4" t="s">
        <v>17</v>
      </c>
    </row>
    <row r="17" spans="1:10">
      <c r="A17" s="375"/>
      <c r="B17" s="4" t="s">
        <v>18</v>
      </c>
      <c r="C17" s="4" t="s">
        <v>19</v>
      </c>
      <c r="D17" s="4" t="s">
        <v>20</v>
      </c>
      <c r="E17" s="4" t="s">
        <v>21</v>
      </c>
      <c r="F17" s="4" t="s">
        <v>22</v>
      </c>
      <c r="G17" s="4" t="s">
        <v>23</v>
      </c>
      <c r="H17" s="4" t="s">
        <v>24</v>
      </c>
      <c r="I17" s="4" t="s">
        <v>25</v>
      </c>
      <c r="J17" s="4" t="s">
        <v>26</v>
      </c>
    </row>
    <row r="18" spans="1:10">
      <c r="A18" s="379" t="s">
        <v>27</v>
      </c>
      <c r="B18" s="380"/>
      <c r="C18" s="380"/>
      <c r="D18" s="380"/>
      <c r="E18" s="380"/>
      <c r="F18" s="380"/>
      <c r="G18" s="380"/>
      <c r="H18" s="380"/>
      <c r="I18" s="380"/>
      <c r="J18" s="381"/>
    </row>
    <row r="19" spans="1:10">
      <c r="A19" s="9" t="s">
        <v>28</v>
      </c>
      <c r="B19" s="10">
        <v>2894119</v>
      </c>
      <c r="C19" s="10">
        <v>1568448</v>
      </c>
      <c r="D19" s="10">
        <v>1325671</v>
      </c>
      <c r="E19" s="10">
        <v>2666671</v>
      </c>
      <c r="F19" s="10">
        <v>1419023</v>
      </c>
      <c r="G19" s="10">
        <v>1247648</v>
      </c>
      <c r="H19" s="10">
        <v>226387</v>
      </c>
      <c r="I19" s="10">
        <v>148723</v>
      </c>
      <c r="J19" s="10">
        <v>77664</v>
      </c>
    </row>
    <row r="20" spans="1:10">
      <c r="A20" s="5" t="s">
        <v>29</v>
      </c>
      <c r="B20" s="11">
        <v>344127</v>
      </c>
      <c r="C20" s="11">
        <v>195543</v>
      </c>
      <c r="D20" s="11">
        <v>148584</v>
      </c>
      <c r="E20" s="11">
        <v>291655</v>
      </c>
      <c r="F20" s="11">
        <v>160883</v>
      </c>
      <c r="G20" s="11">
        <v>130772</v>
      </c>
      <c r="H20" s="11">
        <v>52225</v>
      </c>
      <c r="I20" s="11">
        <v>34476</v>
      </c>
      <c r="J20" s="11">
        <v>17749</v>
      </c>
    </row>
    <row r="21" spans="1:10">
      <c r="A21" s="9" t="s">
        <v>30</v>
      </c>
      <c r="B21" s="10">
        <v>1895316</v>
      </c>
      <c r="C21" s="10">
        <v>1000855</v>
      </c>
      <c r="D21" s="10">
        <v>894461</v>
      </c>
      <c r="E21" s="10">
        <v>1824269</v>
      </c>
      <c r="F21" s="10">
        <v>954669</v>
      </c>
      <c r="G21" s="10">
        <v>869600</v>
      </c>
      <c r="H21" s="10">
        <v>70628</v>
      </c>
      <c r="I21" s="10">
        <v>45934</v>
      </c>
      <c r="J21" s="10">
        <v>24694</v>
      </c>
    </row>
    <row r="22" spans="1:10">
      <c r="A22" s="5" t="s">
        <v>31</v>
      </c>
      <c r="B22" s="11">
        <v>353340</v>
      </c>
      <c r="C22" s="11">
        <v>197722</v>
      </c>
      <c r="D22" s="11">
        <v>155618</v>
      </c>
      <c r="E22" s="11">
        <v>328212</v>
      </c>
      <c r="F22" s="11">
        <v>184166</v>
      </c>
      <c r="G22" s="11">
        <v>144046</v>
      </c>
      <c r="H22" s="11">
        <v>25053</v>
      </c>
      <c r="I22" s="11">
        <v>13508</v>
      </c>
      <c r="J22" s="11">
        <v>11545</v>
      </c>
    </row>
    <row r="23" spans="1:10">
      <c r="A23" s="9" t="s">
        <v>32</v>
      </c>
      <c r="B23" s="10">
        <v>301336</v>
      </c>
      <c r="C23" s="10">
        <v>174328</v>
      </c>
      <c r="D23" s="10">
        <v>127008</v>
      </c>
      <c r="E23" s="10">
        <v>222535</v>
      </c>
      <c r="F23" s="10">
        <v>119305</v>
      </c>
      <c r="G23" s="10">
        <v>103230</v>
      </c>
      <c r="H23" s="10">
        <v>78481</v>
      </c>
      <c r="I23" s="10">
        <v>54805</v>
      </c>
      <c r="J23" s="10">
        <v>23676</v>
      </c>
    </row>
    <row r="24" spans="1:10">
      <c r="A24" s="379" t="s">
        <v>33</v>
      </c>
      <c r="B24" s="380"/>
      <c r="C24" s="380"/>
      <c r="D24" s="380"/>
      <c r="E24" s="380"/>
      <c r="F24" s="380"/>
      <c r="G24" s="380"/>
      <c r="H24" s="380"/>
      <c r="I24" s="380"/>
      <c r="J24" s="381"/>
    </row>
    <row r="25" spans="1:10">
      <c r="A25" s="9" t="s">
        <v>28</v>
      </c>
      <c r="B25" s="10">
        <v>630256</v>
      </c>
      <c r="C25" s="10">
        <v>350105</v>
      </c>
      <c r="D25" s="10">
        <v>280151</v>
      </c>
      <c r="E25" s="10">
        <v>588155</v>
      </c>
      <c r="F25" s="10">
        <v>322220</v>
      </c>
      <c r="G25" s="10">
        <v>265935</v>
      </c>
      <c r="H25" s="10">
        <v>41924</v>
      </c>
      <c r="I25" s="10">
        <v>27781</v>
      </c>
      <c r="J25" s="10">
        <v>14143</v>
      </c>
    </row>
    <row r="26" spans="1:10">
      <c r="A26" s="5" t="s">
        <v>29</v>
      </c>
      <c r="B26" s="11">
        <v>66154</v>
      </c>
      <c r="C26" s="11">
        <v>37212</v>
      </c>
      <c r="D26" s="11">
        <v>28942</v>
      </c>
      <c r="E26" s="11">
        <v>57389</v>
      </c>
      <c r="F26" s="11">
        <v>31422</v>
      </c>
      <c r="G26" s="11">
        <v>25967</v>
      </c>
      <c r="H26" s="11">
        <v>8722</v>
      </c>
      <c r="I26" s="11">
        <v>5763</v>
      </c>
      <c r="J26" s="11">
        <v>2959</v>
      </c>
    </row>
    <row r="27" spans="1:10">
      <c r="A27" s="9" t="s">
        <v>30</v>
      </c>
      <c r="B27" s="10">
        <v>406546</v>
      </c>
      <c r="C27" s="10">
        <v>217945</v>
      </c>
      <c r="D27" s="10">
        <v>188601</v>
      </c>
      <c r="E27" s="10">
        <v>392294</v>
      </c>
      <c r="F27" s="10">
        <v>208449</v>
      </c>
      <c r="G27" s="10">
        <v>183845</v>
      </c>
      <c r="H27" s="10">
        <v>14197</v>
      </c>
      <c r="I27" s="10">
        <v>9468</v>
      </c>
      <c r="J27" s="10">
        <v>4729</v>
      </c>
    </row>
    <row r="28" spans="1:10">
      <c r="A28" s="5" t="s">
        <v>31</v>
      </c>
      <c r="B28" s="11">
        <v>101274</v>
      </c>
      <c r="C28" s="11">
        <v>61958</v>
      </c>
      <c r="D28" s="11">
        <v>39316</v>
      </c>
      <c r="E28" s="11">
        <v>93243</v>
      </c>
      <c r="F28" s="11">
        <v>57287</v>
      </c>
      <c r="G28" s="11">
        <v>35956</v>
      </c>
      <c r="H28" s="11">
        <v>8009</v>
      </c>
      <c r="I28" s="11">
        <v>4655</v>
      </c>
      <c r="J28" s="11">
        <v>3354</v>
      </c>
    </row>
    <row r="29" spans="1:10">
      <c r="A29" s="9" t="s">
        <v>32</v>
      </c>
      <c r="B29" s="10">
        <v>56282</v>
      </c>
      <c r="C29" s="10">
        <v>32990</v>
      </c>
      <c r="D29" s="10">
        <v>23292</v>
      </c>
      <c r="E29" s="10">
        <v>45229</v>
      </c>
      <c r="F29" s="10">
        <v>25062</v>
      </c>
      <c r="G29" s="10">
        <v>20167</v>
      </c>
      <c r="H29" s="10">
        <v>10996</v>
      </c>
      <c r="I29" s="10">
        <v>7895</v>
      </c>
      <c r="J29" s="10">
        <v>3101</v>
      </c>
    </row>
    <row r="30" spans="1:10">
      <c r="A30" s="379" t="s">
        <v>34</v>
      </c>
      <c r="B30" s="380"/>
      <c r="C30" s="380"/>
      <c r="D30" s="380"/>
      <c r="E30" s="380"/>
      <c r="F30" s="380"/>
      <c r="G30" s="380"/>
      <c r="H30" s="380"/>
      <c r="I30" s="380"/>
      <c r="J30" s="381"/>
    </row>
    <row r="31" spans="1:10">
      <c r="A31" s="9" t="s">
        <v>28</v>
      </c>
      <c r="B31" s="10">
        <v>127827</v>
      </c>
      <c r="C31" s="10">
        <v>67177</v>
      </c>
      <c r="D31" s="10">
        <v>60650</v>
      </c>
      <c r="E31" s="10">
        <v>118771</v>
      </c>
      <c r="F31" s="10">
        <v>61773</v>
      </c>
      <c r="G31" s="10">
        <v>56998</v>
      </c>
      <c r="H31" s="10">
        <v>9028</v>
      </c>
      <c r="I31" s="10">
        <v>5388</v>
      </c>
      <c r="J31" s="10">
        <v>3640</v>
      </c>
    </row>
    <row r="32" spans="1:10">
      <c r="A32" s="5" t="s">
        <v>29</v>
      </c>
      <c r="B32" s="11">
        <v>14409</v>
      </c>
      <c r="C32" s="11">
        <v>7978</v>
      </c>
      <c r="D32" s="11">
        <v>6431</v>
      </c>
      <c r="E32" s="11">
        <v>12403</v>
      </c>
      <c r="F32" s="11">
        <v>6750</v>
      </c>
      <c r="G32" s="11">
        <v>5653</v>
      </c>
      <c r="H32" s="11">
        <v>1997</v>
      </c>
      <c r="I32" s="11">
        <v>1221</v>
      </c>
      <c r="J32" s="11">
        <v>776</v>
      </c>
    </row>
    <row r="33" spans="1:10">
      <c r="A33" s="9" t="s">
        <v>30</v>
      </c>
      <c r="B33" s="10">
        <v>77194</v>
      </c>
      <c r="C33" s="10">
        <v>38641</v>
      </c>
      <c r="D33" s="10">
        <v>38553</v>
      </c>
      <c r="E33" s="10">
        <v>74527</v>
      </c>
      <c r="F33" s="10">
        <v>37066</v>
      </c>
      <c r="G33" s="10">
        <v>37461</v>
      </c>
      <c r="H33" s="10">
        <v>2660</v>
      </c>
      <c r="I33" s="10">
        <v>1572</v>
      </c>
      <c r="J33" s="10">
        <v>1088</v>
      </c>
    </row>
    <row r="34" spans="1:10">
      <c r="A34" s="5" t="s">
        <v>31</v>
      </c>
      <c r="B34" s="11">
        <v>25421</v>
      </c>
      <c r="C34" s="11">
        <v>14863</v>
      </c>
      <c r="D34" s="11">
        <v>10558</v>
      </c>
      <c r="E34" s="11">
        <v>23392</v>
      </c>
      <c r="F34" s="11">
        <v>13735</v>
      </c>
      <c r="G34" s="11">
        <v>9657</v>
      </c>
      <c r="H34" s="11">
        <v>2026</v>
      </c>
      <c r="I34" s="11">
        <v>1126</v>
      </c>
      <c r="J34" s="11">
        <v>900</v>
      </c>
    </row>
    <row r="35" spans="1:10">
      <c r="A35" s="9" t="s">
        <v>32</v>
      </c>
      <c r="B35" s="10">
        <v>10803</v>
      </c>
      <c r="C35" s="10">
        <v>5695</v>
      </c>
      <c r="D35" s="10">
        <v>5108</v>
      </c>
      <c r="E35" s="10">
        <v>8449</v>
      </c>
      <c r="F35" s="10">
        <v>4222</v>
      </c>
      <c r="G35" s="10">
        <v>4227</v>
      </c>
      <c r="H35" s="10">
        <v>2345</v>
      </c>
      <c r="I35" s="10">
        <v>1469</v>
      </c>
      <c r="J35" s="10">
        <v>876</v>
      </c>
    </row>
    <row r="36" spans="1:10">
      <c r="A36" s="379" t="s">
        <v>35</v>
      </c>
      <c r="B36" s="380"/>
      <c r="C36" s="380"/>
      <c r="D36" s="380"/>
      <c r="E36" s="380"/>
      <c r="F36" s="380"/>
      <c r="G36" s="380"/>
      <c r="H36" s="380"/>
      <c r="I36" s="380"/>
      <c r="J36" s="381"/>
    </row>
    <row r="37" spans="1:10">
      <c r="A37" s="9" t="s">
        <v>28</v>
      </c>
      <c r="B37" s="10">
        <v>47405</v>
      </c>
      <c r="C37" s="10">
        <v>31768</v>
      </c>
      <c r="D37" s="10">
        <v>15637</v>
      </c>
      <c r="E37" s="10">
        <v>43405</v>
      </c>
      <c r="F37" s="10">
        <v>28661</v>
      </c>
      <c r="G37" s="10">
        <v>14744</v>
      </c>
      <c r="H37" s="10">
        <v>3977</v>
      </c>
      <c r="I37" s="10">
        <v>3093</v>
      </c>
      <c r="J37" s="10">
        <v>884</v>
      </c>
    </row>
    <row r="38" spans="1:10">
      <c r="A38" s="5" t="s">
        <v>29</v>
      </c>
      <c r="B38" s="11">
        <v>4920</v>
      </c>
      <c r="C38" s="11">
        <v>3046</v>
      </c>
      <c r="D38" s="11">
        <v>1874</v>
      </c>
      <c r="E38" s="11">
        <v>4027</v>
      </c>
      <c r="F38" s="11">
        <v>2362</v>
      </c>
      <c r="G38" s="11">
        <v>1665</v>
      </c>
      <c r="H38" s="11">
        <v>889</v>
      </c>
      <c r="I38" s="11">
        <v>682</v>
      </c>
      <c r="J38" s="11">
        <v>207</v>
      </c>
    </row>
    <row r="39" spans="1:10">
      <c r="A39" s="9" t="s">
        <v>30</v>
      </c>
      <c r="B39" s="10">
        <v>31954</v>
      </c>
      <c r="C39" s="10">
        <v>21407</v>
      </c>
      <c r="D39" s="10">
        <v>10547</v>
      </c>
      <c r="E39" s="10">
        <v>30267</v>
      </c>
      <c r="F39" s="10">
        <v>20066</v>
      </c>
      <c r="G39" s="10">
        <v>10201</v>
      </c>
      <c r="H39" s="10">
        <v>1677</v>
      </c>
      <c r="I39" s="10">
        <v>1335</v>
      </c>
      <c r="J39" s="10">
        <v>342</v>
      </c>
    </row>
    <row r="40" spans="1:10">
      <c r="A40" s="5" t="s">
        <v>31</v>
      </c>
      <c r="B40" s="11">
        <v>4799</v>
      </c>
      <c r="C40" s="11">
        <v>3149</v>
      </c>
      <c r="D40" s="11">
        <v>1650</v>
      </c>
      <c r="E40" s="11">
        <v>4515</v>
      </c>
      <c r="F40" s="11">
        <v>2972</v>
      </c>
      <c r="G40" s="11">
        <v>1543</v>
      </c>
      <c r="H40" s="11">
        <v>281</v>
      </c>
      <c r="I40" s="11">
        <v>174</v>
      </c>
      <c r="J40" s="11">
        <v>107</v>
      </c>
    </row>
    <row r="41" spans="1:10">
      <c r="A41" s="9" t="s">
        <v>32</v>
      </c>
      <c r="B41" s="10">
        <v>5732</v>
      </c>
      <c r="C41" s="10">
        <v>4166</v>
      </c>
      <c r="D41" s="10">
        <v>1566</v>
      </c>
      <c r="E41" s="10">
        <v>4596</v>
      </c>
      <c r="F41" s="10">
        <v>3261</v>
      </c>
      <c r="G41" s="10">
        <v>1335</v>
      </c>
      <c r="H41" s="10">
        <v>1130</v>
      </c>
      <c r="I41" s="10">
        <v>902</v>
      </c>
      <c r="J41" s="10">
        <v>228</v>
      </c>
    </row>
    <row r="42" spans="1:10">
      <c r="A42" s="379" t="s">
        <v>36</v>
      </c>
      <c r="B42" s="380"/>
      <c r="C42" s="380"/>
      <c r="D42" s="380"/>
      <c r="E42" s="380"/>
      <c r="F42" s="380"/>
      <c r="G42" s="380"/>
      <c r="H42" s="380"/>
      <c r="I42" s="380"/>
      <c r="J42" s="381"/>
    </row>
    <row r="43" spans="1:10">
      <c r="A43" s="9" t="s">
        <v>28</v>
      </c>
      <c r="B43" s="10">
        <v>118922</v>
      </c>
      <c r="C43" s="10">
        <v>80192</v>
      </c>
      <c r="D43" s="10">
        <v>38730</v>
      </c>
      <c r="E43" s="10">
        <v>109960</v>
      </c>
      <c r="F43" s="10">
        <v>73962</v>
      </c>
      <c r="G43" s="10">
        <v>35998</v>
      </c>
      <c r="H43" s="10">
        <v>8937</v>
      </c>
      <c r="I43" s="10">
        <v>6215</v>
      </c>
      <c r="J43" s="10">
        <v>2722</v>
      </c>
    </row>
    <row r="44" spans="1:10">
      <c r="A44" s="5" t="s">
        <v>29</v>
      </c>
      <c r="B44" s="11">
        <v>7034</v>
      </c>
      <c r="C44" s="11">
        <v>4068</v>
      </c>
      <c r="D44" s="11">
        <v>2966</v>
      </c>
      <c r="E44" s="11">
        <v>5882</v>
      </c>
      <c r="F44" s="11">
        <v>3322</v>
      </c>
      <c r="G44" s="11">
        <v>2560</v>
      </c>
      <c r="H44" s="11">
        <v>1145</v>
      </c>
      <c r="I44" s="11">
        <v>742</v>
      </c>
      <c r="J44" s="11">
        <v>403</v>
      </c>
    </row>
    <row r="45" spans="1:10">
      <c r="A45" s="9" t="s">
        <v>30</v>
      </c>
      <c r="B45" s="10">
        <v>70675</v>
      </c>
      <c r="C45" s="10">
        <v>46718</v>
      </c>
      <c r="D45" s="10">
        <v>23957</v>
      </c>
      <c r="E45" s="10">
        <v>67607</v>
      </c>
      <c r="F45" s="10">
        <v>44625</v>
      </c>
      <c r="G45" s="10">
        <v>22982</v>
      </c>
      <c r="H45" s="10">
        <v>3061</v>
      </c>
      <c r="I45" s="10">
        <v>2090</v>
      </c>
      <c r="J45" s="10">
        <v>971</v>
      </c>
    </row>
    <row r="46" spans="1:10">
      <c r="A46" s="5" t="s">
        <v>31</v>
      </c>
      <c r="B46" s="11">
        <v>27647</v>
      </c>
      <c r="C46" s="11">
        <v>20392</v>
      </c>
      <c r="D46" s="11">
        <v>7255</v>
      </c>
      <c r="E46" s="11">
        <v>25666</v>
      </c>
      <c r="F46" s="11">
        <v>19086</v>
      </c>
      <c r="G46" s="11">
        <v>6580</v>
      </c>
      <c r="H46" s="11">
        <v>1979</v>
      </c>
      <c r="I46" s="11">
        <v>1304</v>
      </c>
      <c r="J46" s="11">
        <v>675</v>
      </c>
    </row>
    <row r="47" spans="1:10">
      <c r="A47" s="9" t="s">
        <v>32</v>
      </c>
      <c r="B47" s="10">
        <v>13566</v>
      </c>
      <c r="C47" s="10">
        <v>9014</v>
      </c>
      <c r="D47" s="10">
        <v>4552</v>
      </c>
      <c r="E47" s="10">
        <v>10805</v>
      </c>
      <c r="F47" s="10">
        <v>6929</v>
      </c>
      <c r="G47" s="10">
        <v>3876</v>
      </c>
      <c r="H47" s="10">
        <v>2752</v>
      </c>
      <c r="I47" s="10">
        <v>2079</v>
      </c>
      <c r="J47" s="10">
        <v>673</v>
      </c>
    </row>
    <row r="48" spans="1:10">
      <c r="A48" s="379" t="s">
        <v>37</v>
      </c>
      <c r="B48" s="380"/>
      <c r="C48" s="380"/>
      <c r="D48" s="380"/>
      <c r="E48" s="380"/>
      <c r="F48" s="380"/>
      <c r="G48" s="380"/>
      <c r="H48" s="380"/>
      <c r="I48" s="380"/>
      <c r="J48" s="381"/>
    </row>
    <row r="49" spans="1:10">
      <c r="A49" s="9" t="s">
        <v>28</v>
      </c>
      <c r="B49" s="10">
        <v>41150</v>
      </c>
      <c r="C49" s="10">
        <v>21609</v>
      </c>
      <c r="D49" s="10">
        <v>19541</v>
      </c>
      <c r="E49" s="10">
        <v>38712</v>
      </c>
      <c r="F49" s="10">
        <v>19993</v>
      </c>
      <c r="G49" s="10">
        <v>18719</v>
      </c>
      <c r="H49" s="10">
        <v>2431</v>
      </c>
      <c r="I49" s="10">
        <v>1612</v>
      </c>
      <c r="J49" s="10">
        <v>819</v>
      </c>
    </row>
    <row r="50" spans="1:10">
      <c r="A50" s="5" t="s">
        <v>29</v>
      </c>
      <c r="B50" s="11">
        <v>5279</v>
      </c>
      <c r="C50" s="11">
        <v>2928</v>
      </c>
      <c r="D50" s="11">
        <v>2351</v>
      </c>
      <c r="E50" s="11">
        <v>4673</v>
      </c>
      <c r="F50" s="11">
        <v>2512</v>
      </c>
      <c r="G50" s="11">
        <v>2161</v>
      </c>
      <c r="H50" s="11">
        <v>605</v>
      </c>
      <c r="I50" s="11">
        <v>416</v>
      </c>
      <c r="J50" s="11">
        <v>189</v>
      </c>
    </row>
    <row r="51" spans="1:10">
      <c r="A51" s="9" t="s">
        <v>30</v>
      </c>
      <c r="B51" s="10">
        <v>26456</v>
      </c>
      <c r="C51" s="10">
        <v>12776</v>
      </c>
      <c r="D51" s="10">
        <v>13680</v>
      </c>
      <c r="E51" s="10">
        <v>25756</v>
      </c>
      <c r="F51" s="10">
        <v>12405</v>
      </c>
      <c r="G51" s="10">
        <v>13351</v>
      </c>
      <c r="H51" s="10">
        <v>696</v>
      </c>
      <c r="I51" s="10">
        <v>368</v>
      </c>
      <c r="J51" s="10">
        <v>328</v>
      </c>
    </row>
    <row r="52" spans="1:10">
      <c r="A52" s="5" t="s">
        <v>31</v>
      </c>
      <c r="B52" s="11">
        <v>5783</v>
      </c>
      <c r="C52" s="11">
        <v>3821</v>
      </c>
      <c r="D52" s="11">
        <v>1962</v>
      </c>
      <c r="E52" s="11">
        <v>5427</v>
      </c>
      <c r="F52" s="11">
        <v>3599</v>
      </c>
      <c r="G52" s="11">
        <v>1828</v>
      </c>
      <c r="H52" s="11">
        <v>356</v>
      </c>
      <c r="I52" s="11">
        <v>222</v>
      </c>
      <c r="J52" s="11">
        <v>134</v>
      </c>
    </row>
    <row r="53" spans="1:10">
      <c r="A53" s="9" t="s">
        <v>32</v>
      </c>
      <c r="B53" s="10">
        <v>3632</v>
      </c>
      <c r="C53" s="10">
        <v>2084</v>
      </c>
      <c r="D53" s="10">
        <v>1548</v>
      </c>
      <c r="E53" s="10">
        <v>2856</v>
      </c>
      <c r="F53" s="10">
        <v>1477</v>
      </c>
      <c r="G53" s="10">
        <v>1379</v>
      </c>
      <c r="H53" s="10">
        <v>774</v>
      </c>
      <c r="I53" s="10">
        <v>606</v>
      </c>
      <c r="J53" s="10">
        <v>168</v>
      </c>
    </row>
    <row r="54" spans="1:10">
      <c r="A54" s="379" t="s">
        <v>38</v>
      </c>
      <c r="B54" s="380"/>
      <c r="C54" s="380"/>
      <c r="D54" s="380"/>
      <c r="E54" s="380"/>
      <c r="F54" s="380"/>
      <c r="G54" s="380"/>
      <c r="H54" s="380"/>
      <c r="I54" s="380"/>
      <c r="J54" s="381"/>
    </row>
    <row r="55" spans="1:10">
      <c r="A55" s="9" t="s">
        <v>28</v>
      </c>
      <c r="B55" s="10">
        <v>44472</v>
      </c>
      <c r="C55" s="10">
        <v>22163</v>
      </c>
      <c r="D55" s="10">
        <v>22309</v>
      </c>
      <c r="E55" s="10">
        <v>42046</v>
      </c>
      <c r="F55" s="10">
        <v>20606</v>
      </c>
      <c r="G55" s="10">
        <v>21440</v>
      </c>
      <c r="H55" s="10">
        <v>2405</v>
      </c>
      <c r="I55" s="10">
        <v>1547</v>
      </c>
      <c r="J55" s="10">
        <v>858</v>
      </c>
    </row>
    <row r="56" spans="1:10">
      <c r="A56" s="5" t="s">
        <v>29</v>
      </c>
      <c r="B56" s="11">
        <v>4753</v>
      </c>
      <c r="C56" s="11">
        <v>2572</v>
      </c>
      <c r="D56" s="11">
        <v>2181</v>
      </c>
      <c r="E56" s="11">
        <v>4216</v>
      </c>
      <c r="F56" s="11">
        <v>2241</v>
      </c>
      <c r="G56" s="11">
        <v>1975</v>
      </c>
      <c r="H56" s="11">
        <v>535</v>
      </c>
      <c r="I56" s="11">
        <v>331</v>
      </c>
      <c r="J56" s="11">
        <v>204</v>
      </c>
    </row>
    <row r="57" spans="1:10">
      <c r="A57" s="9" t="s">
        <v>30</v>
      </c>
      <c r="B57" s="10">
        <v>31530</v>
      </c>
      <c r="C57" s="10">
        <v>15278</v>
      </c>
      <c r="D57" s="10">
        <v>16252</v>
      </c>
      <c r="E57" s="10">
        <v>30782</v>
      </c>
      <c r="F57" s="10">
        <v>14816</v>
      </c>
      <c r="G57" s="10">
        <v>15966</v>
      </c>
      <c r="H57" s="10">
        <v>739</v>
      </c>
      <c r="I57" s="10">
        <v>458</v>
      </c>
      <c r="J57" s="10">
        <v>281</v>
      </c>
    </row>
    <row r="58" spans="1:10">
      <c r="A58" s="5" t="s">
        <v>31</v>
      </c>
      <c r="B58" s="11">
        <v>4535</v>
      </c>
      <c r="C58" s="11">
        <v>2469</v>
      </c>
      <c r="D58" s="11">
        <v>2066</v>
      </c>
      <c r="E58" s="11">
        <v>4101</v>
      </c>
      <c r="F58" s="11">
        <v>2207</v>
      </c>
      <c r="G58" s="11">
        <v>1894</v>
      </c>
      <c r="H58" s="11">
        <v>432</v>
      </c>
      <c r="I58" s="11">
        <v>261</v>
      </c>
      <c r="J58" s="11">
        <v>171</v>
      </c>
    </row>
    <row r="59" spans="1:10">
      <c r="A59" s="9" t="s">
        <v>32</v>
      </c>
      <c r="B59" s="10">
        <v>3654</v>
      </c>
      <c r="C59" s="10">
        <v>1844</v>
      </c>
      <c r="D59" s="10">
        <v>1810</v>
      </c>
      <c r="E59" s="10">
        <v>2947</v>
      </c>
      <c r="F59" s="10">
        <v>1342</v>
      </c>
      <c r="G59" s="10">
        <v>1605</v>
      </c>
      <c r="H59" s="10">
        <v>699</v>
      </c>
      <c r="I59" s="10">
        <v>497</v>
      </c>
      <c r="J59" s="10">
        <v>202</v>
      </c>
    </row>
    <row r="60" spans="1:10">
      <c r="A60" s="379" t="s">
        <v>39</v>
      </c>
      <c r="B60" s="380"/>
      <c r="C60" s="380"/>
      <c r="D60" s="380"/>
      <c r="E60" s="380"/>
      <c r="F60" s="380"/>
      <c r="G60" s="380"/>
      <c r="H60" s="380"/>
      <c r="I60" s="380"/>
      <c r="J60" s="381"/>
    </row>
    <row r="61" spans="1:10">
      <c r="A61" s="9" t="s">
        <v>28</v>
      </c>
      <c r="B61" s="10">
        <v>22167</v>
      </c>
      <c r="C61" s="10">
        <v>9481</v>
      </c>
      <c r="D61" s="10">
        <v>12686</v>
      </c>
      <c r="E61" s="10">
        <v>20865</v>
      </c>
      <c r="F61" s="10">
        <v>8593</v>
      </c>
      <c r="G61" s="10">
        <v>12272</v>
      </c>
      <c r="H61" s="10">
        <v>1295</v>
      </c>
      <c r="I61" s="10">
        <v>882</v>
      </c>
      <c r="J61" s="10">
        <v>413</v>
      </c>
    </row>
    <row r="62" spans="1:10">
      <c r="A62" s="5" t="s">
        <v>29</v>
      </c>
      <c r="B62" s="11">
        <v>2414</v>
      </c>
      <c r="C62" s="11">
        <v>1186</v>
      </c>
      <c r="D62" s="11">
        <v>1228</v>
      </c>
      <c r="E62" s="11">
        <v>2152</v>
      </c>
      <c r="F62" s="11">
        <v>1024</v>
      </c>
      <c r="G62" s="11">
        <v>1128</v>
      </c>
      <c r="H62" s="11">
        <v>262</v>
      </c>
      <c r="I62" s="11">
        <v>162</v>
      </c>
      <c r="J62" s="11">
        <v>100</v>
      </c>
    </row>
    <row r="63" spans="1:10">
      <c r="A63" s="9" t="s">
        <v>30</v>
      </c>
      <c r="B63" s="10">
        <v>15546</v>
      </c>
      <c r="C63" s="10">
        <v>6184</v>
      </c>
      <c r="D63" s="10">
        <v>9362</v>
      </c>
      <c r="E63" s="10">
        <v>14999</v>
      </c>
      <c r="F63" s="10">
        <v>5799</v>
      </c>
      <c r="G63" s="10">
        <v>9200</v>
      </c>
      <c r="H63" s="10">
        <v>542</v>
      </c>
      <c r="I63" s="10">
        <v>381</v>
      </c>
      <c r="J63" s="10">
        <v>161</v>
      </c>
    </row>
    <row r="64" spans="1:10">
      <c r="A64" s="5" t="s">
        <v>31</v>
      </c>
      <c r="B64" s="11">
        <v>2044</v>
      </c>
      <c r="C64" s="11">
        <v>982</v>
      </c>
      <c r="D64" s="11">
        <v>1062</v>
      </c>
      <c r="E64" s="11">
        <v>1862</v>
      </c>
      <c r="F64" s="11">
        <v>868</v>
      </c>
      <c r="G64" s="11">
        <v>994</v>
      </c>
      <c r="H64" s="11">
        <v>182</v>
      </c>
      <c r="I64" s="11">
        <v>114</v>
      </c>
      <c r="J64" s="11">
        <v>68</v>
      </c>
    </row>
    <row r="65" spans="1:10">
      <c r="A65" s="9" t="s">
        <v>32</v>
      </c>
      <c r="B65" s="10">
        <v>2163</v>
      </c>
      <c r="C65" s="10">
        <v>1129</v>
      </c>
      <c r="D65" s="10">
        <v>1034</v>
      </c>
      <c r="E65" s="10">
        <v>1852</v>
      </c>
      <c r="F65" s="10">
        <v>902</v>
      </c>
      <c r="G65" s="10">
        <v>950</v>
      </c>
      <c r="H65" s="10">
        <v>309</v>
      </c>
      <c r="I65" s="10">
        <v>225</v>
      </c>
      <c r="J65" s="10">
        <v>84</v>
      </c>
    </row>
    <row r="66" spans="1:10">
      <c r="A66" s="379" t="s">
        <v>40</v>
      </c>
      <c r="B66" s="380"/>
      <c r="C66" s="380"/>
      <c r="D66" s="380"/>
      <c r="E66" s="380"/>
      <c r="F66" s="380"/>
      <c r="G66" s="380"/>
      <c r="H66" s="380"/>
      <c r="I66" s="380"/>
      <c r="J66" s="381"/>
    </row>
    <row r="67" spans="1:10">
      <c r="A67" s="9" t="s">
        <v>28</v>
      </c>
      <c r="B67" s="10">
        <v>44876</v>
      </c>
      <c r="C67" s="10">
        <v>24403</v>
      </c>
      <c r="D67" s="10">
        <v>20473</v>
      </c>
      <c r="E67" s="10">
        <v>42201</v>
      </c>
      <c r="F67" s="10">
        <v>22341</v>
      </c>
      <c r="G67" s="10">
        <v>19860</v>
      </c>
      <c r="H67" s="10">
        <v>2659</v>
      </c>
      <c r="I67" s="10">
        <v>2052</v>
      </c>
      <c r="J67" s="10">
        <v>607</v>
      </c>
    </row>
    <row r="68" spans="1:10">
      <c r="A68" s="5" t="s">
        <v>29</v>
      </c>
      <c r="B68" s="11">
        <v>4721</v>
      </c>
      <c r="C68" s="11">
        <v>2756</v>
      </c>
      <c r="D68" s="11">
        <v>1965</v>
      </c>
      <c r="E68" s="11">
        <v>4184</v>
      </c>
      <c r="F68" s="11">
        <v>2355</v>
      </c>
      <c r="G68" s="11">
        <v>1829</v>
      </c>
      <c r="H68" s="11">
        <v>532</v>
      </c>
      <c r="I68" s="11">
        <v>397</v>
      </c>
      <c r="J68" s="11">
        <v>135</v>
      </c>
    </row>
    <row r="69" spans="1:10">
      <c r="A69" s="9" t="s">
        <v>30</v>
      </c>
      <c r="B69" s="10">
        <v>32477</v>
      </c>
      <c r="C69" s="10">
        <v>17643</v>
      </c>
      <c r="D69" s="10">
        <v>14834</v>
      </c>
      <c r="E69" s="10">
        <v>31219</v>
      </c>
      <c r="F69" s="10">
        <v>16599</v>
      </c>
      <c r="G69" s="10">
        <v>14620</v>
      </c>
      <c r="H69" s="10">
        <v>1257</v>
      </c>
      <c r="I69" s="10">
        <v>1043</v>
      </c>
      <c r="J69" s="10">
        <v>214</v>
      </c>
    </row>
    <row r="70" spans="1:10">
      <c r="A70" s="5" t="s">
        <v>31</v>
      </c>
      <c r="B70" s="11">
        <v>4245</v>
      </c>
      <c r="C70" s="11">
        <v>2201</v>
      </c>
      <c r="D70" s="11">
        <v>2044</v>
      </c>
      <c r="E70" s="11">
        <v>4024</v>
      </c>
      <c r="F70" s="11">
        <v>2072</v>
      </c>
      <c r="G70" s="11">
        <v>1952</v>
      </c>
      <c r="H70" s="11">
        <v>221</v>
      </c>
      <c r="I70" s="11">
        <v>129</v>
      </c>
      <c r="J70" s="11">
        <v>92</v>
      </c>
    </row>
    <row r="71" spans="1:10">
      <c r="A71" s="9" t="s">
        <v>32</v>
      </c>
      <c r="B71" s="10">
        <v>3433</v>
      </c>
      <c r="C71" s="10">
        <v>1803</v>
      </c>
      <c r="D71" s="10">
        <v>1630</v>
      </c>
      <c r="E71" s="10">
        <v>2774</v>
      </c>
      <c r="F71" s="10">
        <v>1315</v>
      </c>
      <c r="G71" s="10">
        <v>1459</v>
      </c>
      <c r="H71" s="10">
        <v>649</v>
      </c>
      <c r="I71" s="10">
        <v>483</v>
      </c>
      <c r="J71" s="10">
        <v>166</v>
      </c>
    </row>
    <row r="72" spans="1:10">
      <c r="A72" s="379" t="s">
        <v>41</v>
      </c>
      <c r="B72" s="380"/>
      <c r="C72" s="380"/>
      <c r="D72" s="380"/>
      <c r="E72" s="380"/>
      <c r="F72" s="380"/>
      <c r="G72" s="380"/>
      <c r="H72" s="380"/>
      <c r="I72" s="380"/>
      <c r="J72" s="381"/>
    </row>
    <row r="73" spans="1:10">
      <c r="A73" s="9" t="s">
        <v>28</v>
      </c>
      <c r="B73" s="10">
        <v>31295</v>
      </c>
      <c r="C73" s="10">
        <v>16507</v>
      </c>
      <c r="D73" s="10">
        <v>14788</v>
      </c>
      <c r="E73" s="10">
        <v>29080</v>
      </c>
      <c r="F73" s="10">
        <v>14898</v>
      </c>
      <c r="G73" s="10">
        <v>14182</v>
      </c>
      <c r="H73" s="10">
        <v>2202</v>
      </c>
      <c r="I73" s="10">
        <v>1601</v>
      </c>
      <c r="J73" s="10">
        <v>601</v>
      </c>
    </row>
    <row r="74" spans="1:10">
      <c r="A74" s="5" t="s">
        <v>29</v>
      </c>
      <c r="B74" s="11">
        <v>4733</v>
      </c>
      <c r="C74" s="11">
        <v>2777</v>
      </c>
      <c r="D74" s="11">
        <v>1956</v>
      </c>
      <c r="E74" s="11">
        <v>4061</v>
      </c>
      <c r="F74" s="11">
        <v>2279</v>
      </c>
      <c r="G74" s="11">
        <v>1782</v>
      </c>
      <c r="H74" s="11">
        <v>667</v>
      </c>
      <c r="I74" s="11">
        <v>494</v>
      </c>
      <c r="J74" s="11">
        <v>173</v>
      </c>
    </row>
    <row r="75" spans="1:10">
      <c r="A75" s="9" t="s">
        <v>30</v>
      </c>
      <c r="B75" s="10">
        <v>21231</v>
      </c>
      <c r="C75" s="10">
        <v>10749</v>
      </c>
      <c r="D75" s="10">
        <v>10482</v>
      </c>
      <c r="E75" s="10">
        <v>20458</v>
      </c>
      <c r="F75" s="10">
        <v>10226</v>
      </c>
      <c r="G75" s="10">
        <v>10232</v>
      </c>
      <c r="H75" s="10">
        <v>767</v>
      </c>
      <c r="I75" s="10">
        <v>521</v>
      </c>
      <c r="J75" s="10">
        <v>246</v>
      </c>
    </row>
    <row r="76" spans="1:10">
      <c r="A76" s="5" t="s">
        <v>31</v>
      </c>
      <c r="B76" s="11">
        <v>2583</v>
      </c>
      <c r="C76" s="11">
        <v>1315</v>
      </c>
      <c r="D76" s="11">
        <v>1268</v>
      </c>
      <c r="E76" s="11">
        <v>2440</v>
      </c>
      <c r="F76" s="11">
        <v>1242</v>
      </c>
      <c r="G76" s="11">
        <v>1198</v>
      </c>
      <c r="H76" s="11">
        <v>142</v>
      </c>
      <c r="I76" s="11">
        <v>72</v>
      </c>
      <c r="J76" s="11">
        <v>70</v>
      </c>
    </row>
    <row r="77" spans="1:10">
      <c r="A77" s="9" t="s">
        <v>32</v>
      </c>
      <c r="B77" s="10">
        <v>2748</v>
      </c>
      <c r="C77" s="10">
        <v>1666</v>
      </c>
      <c r="D77" s="10">
        <v>1082</v>
      </c>
      <c r="E77" s="10">
        <v>2121</v>
      </c>
      <c r="F77" s="10">
        <v>1151</v>
      </c>
      <c r="G77" s="10">
        <v>970</v>
      </c>
      <c r="H77" s="10">
        <v>626</v>
      </c>
      <c r="I77" s="10">
        <v>514</v>
      </c>
      <c r="J77" s="10">
        <v>112</v>
      </c>
    </row>
    <row r="78" spans="1:10">
      <c r="A78" s="379" t="s">
        <v>42</v>
      </c>
      <c r="B78" s="380"/>
      <c r="C78" s="380"/>
      <c r="D78" s="380"/>
      <c r="E78" s="380"/>
      <c r="F78" s="380"/>
      <c r="G78" s="380"/>
      <c r="H78" s="380"/>
      <c r="I78" s="380"/>
      <c r="J78" s="381"/>
    </row>
    <row r="79" spans="1:10">
      <c r="A79" s="9" t="s">
        <v>28</v>
      </c>
      <c r="B79" s="10">
        <v>24394</v>
      </c>
      <c r="C79" s="10">
        <v>11097</v>
      </c>
      <c r="D79" s="10">
        <v>13297</v>
      </c>
      <c r="E79" s="10">
        <v>23181</v>
      </c>
      <c r="F79" s="10">
        <v>10367</v>
      </c>
      <c r="G79" s="10">
        <v>12814</v>
      </c>
      <c r="H79" s="10">
        <v>1212</v>
      </c>
      <c r="I79" s="10">
        <v>730</v>
      </c>
      <c r="J79" s="10">
        <v>482</v>
      </c>
    </row>
    <row r="80" spans="1:10">
      <c r="A80" s="5" t="s">
        <v>29</v>
      </c>
      <c r="B80" s="11">
        <v>2473</v>
      </c>
      <c r="C80" s="11">
        <v>1229</v>
      </c>
      <c r="D80" s="11">
        <v>1244</v>
      </c>
      <c r="E80" s="11">
        <v>2218</v>
      </c>
      <c r="F80" s="11">
        <v>1092</v>
      </c>
      <c r="G80" s="11">
        <v>1126</v>
      </c>
      <c r="H80" s="11">
        <v>255</v>
      </c>
      <c r="I80" s="11">
        <v>137</v>
      </c>
      <c r="J80" s="11">
        <v>118</v>
      </c>
    </row>
    <row r="81" spans="1:10">
      <c r="A81" s="9" t="s">
        <v>30</v>
      </c>
      <c r="B81" s="10">
        <v>16621</v>
      </c>
      <c r="C81" s="10">
        <v>7458</v>
      </c>
      <c r="D81" s="10">
        <v>9163</v>
      </c>
      <c r="E81" s="10">
        <v>16126</v>
      </c>
      <c r="F81" s="10">
        <v>7135</v>
      </c>
      <c r="G81" s="10">
        <v>8991</v>
      </c>
      <c r="H81" s="10">
        <v>494</v>
      </c>
      <c r="I81" s="10">
        <v>323</v>
      </c>
      <c r="J81" s="10">
        <v>171</v>
      </c>
    </row>
    <row r="82" spans="1:10">
      <c r="A82" s="5" t="s">
        <v>31</v>
      </c>
      <c r="B82" s="11">
        <v>3008</v>
      </c>
      <c r="C82" s="11">
        <v>1413</v>
      </c>
      <c r="D82" s="11">
        <v>1595</v>
      </c>
      <c r="E82" s="11">
        <v>2873</v>
      </c>
      <c r="F82" s="11">
        <v>1356</v>
      </c>
      <c r="G82" s="11">
        <v>1517</v>
      </c>
      <c r="H82" s="11">
        <v>135</v>
      </c>
      <c r="I82" s="11">
        <v>57</v>
      </c>
      <c r="J82" s="11">
        <v>78</v>
      </c>
    </row>
    <row r="83" spans="1:10">
      <c r="A83" s="9" t="s">
        <v>32</v>
      </c>
      <c r="B83" s="10">
        <v>2292</v>
      </c>
      <c r="C83" s="10">
        <v>997</v>
      </c>
      <c r="D83" s="10">
        <v>1295</v>
      </c>
      <c r="E83" s="10">
        <v>1964</v>
      </c>
      <c r="F83" s="10">
        <v>784</v>
      </c>
      <c r="G83" s="10">
        <v>1180</v>
      </c>
      <c r="H83" s="10">
        <v>328</v>
      </c>
      <c r="I83" s="10">
        <v>213</v>
      </c>
      <c r="J83" s="10">
        <v>115</v>
      </c>
    </row>
    <row r="84" spans="1:10">
      <c r="A84" s="379" t="s">
        <v>43</v>
      </c>
      <c r="B84" s="380"/>
      <c r="C84" s="380"/>
      <c r="D84" s="380"/>
      <c r="E84" s="380"/>
      <c r="F84" s="380"/>
      <c r="G84" s="380"/>
      <c r="H84" s="380"/>
      <c r="I84" s="380"/>
      <c r="J84" s="381"/>
    </row>
    <row r="85" spans="1:10">
      <c r="A85" s="9" t="s">
        <v>28</v>
      </c>
      <c r="B85" s="10">
        <v>127748</v>
      </c>
      <c r="C85" s="10">
        <v>65708</v>
      </c>
      <c r="D85" s="10">
        <v>62040</v>
      </c>
      <c r="E85" s="10">
        <v>119934</v>
      </c>
      <c r="F85" s="10">
        <v>61026</v>
      </c>
      <c r="G85" s="10">
        <v>58908</v>
      </c>
      <c r="H85" s="10">
        <v>7778</v>
      </c>
      <c r="I85" s="10">
        <v>4661</v>
      </c>
      <c r="J85" s="10">
        <v>3117</v>
      </c>
    </row>
    <row r="86" spans="1:10">
      <c r="A86" s="5" t="s">
        <v>29</v>
      </c>
      <c r="B86" s="11">
        <v>15418</v>
      </c>
      <c r="C86" s="11">
        <v>8672</v>
      </c>
      <c r="D86" s="11">
        <v>6746</v>
      </c>
      <c r="E86" s="11">
        <v>13573</v>
      </c>
      <c r="F86" s="11">
        <v>7485</v>
      </c>
      <c r="G86" s="11">
        <v>6088</v>
      </c>
      <c r="H86" s="11">
        <v>1835</v>
      </c>
      <c r="I86" s="11">
        <v>1181</v>
      </c>
      <c r="J86" s="11">
        <v>654</v>
      </c>
    </row>
    <row r="87" spans="1:10">
      <c r="A87" s="9" t="s">
        <v>30</v>
      </c>
      <c r="B87" s="10">
        <v>82862</v>
      </c>
      <c r="C87" s="10">
        <v>41091</v>
      </c>
      <c r="D87" s="10">
        <v>41771</v>
      </c>
      <c r="E87" s="10">
        <v>80553</v>
      </c>
      <c r="F87" s="10">
        <v>39712</v>
      </c>
      <c r="G87" s="10">
        <v>40841</v>
      </c>
      <c r="H87" s="10">
        <v>2304</v>
      </c>
      <c r="I87" s="10">
        <v>1377</v>
      </c>
      <c r="J87" s="10">
        <v>927</v>
      </c>
    </row>
    <row r="88" spans="1:10">
      <c r="A88" s="5" t="s">
        <v>31</v>
      </c>
      <c r="B88" s="11">
        <v>21209</v>
      </c>
      <c r="C88" s="11">
        <v>11353</v>
      </c>
      <c r="D88" s="11">
        <v>9856</v>
      </c>
      <c r="E88" s="11">
        <v>18943</v>
      </c>
      <c r="F88" s="11">
        <v>10150</v>
      </c>
      <c r="G88" s="11">
        <v>8793</v>
      </c>
      <c r="H88" s="11">
        <v>2255</v>
      </c>
      <c r="I88" s="11">
        <v>1196</v>
      </c>
      <c r="J88" s="11">
        <v>1059</v>
      </c>
    </row>
    <row r="89" spans="1:10">
      <c r="A89" s="9" t="s">
        <v>32</v>
      </c>
      <c r="B89" s="10">
        <v>8259</v>
      </c>
      <c r="C89" s="10">
        <v>4592</v>
      </c>
      <c r="D89" s="10">
        <v>3667</v>
      </c>
      <c r="E89" s="10">
        <v>6865</v>
      </c>
      <c r="F89" s="10">
        <v>3679</v>
      </c>
      <c r="G89" s="10">
        <v>3186</v>
      </c>
      <c r="H89" s="10">
        <v>1384</v>
      </c>
      <c r="I89" s="10">
        <v>907</v>
      </c>
      <c r="J89" s="10">
        <v>477</v>
      </c>
    </row>
    <row r="90" spans="1:10">
      <c r="A90" s="379" t="s">
        <v>44</v>
      </c>
      <c r="B90" s="380"/>
      <c r="C90" s="380"/>
      <c r="D90" s="380"/>
      <c r="E90" s="380"/>
      <c r="F90" s="380"/>
      <c r="G90" s="380"/>
      <c r="H90" s="380"/>
      <c r="I90" s="380"/>
      <c r="J90" s="381"/>
    </row>
    <row r="91" spans="1:10">
      <c r="A91" s="9" t="s">
        <v>28</v>
      </c>
      <c r="B91" s="10">
        <v>814383</v>
      </c>
      <c r="C91" s="10">
        <v>432255</v>
      </c>
      <c r="D91" s="10">
        <v>382128</v>
      </c>
      <c r="E91" s="10">
        <v>742754</v>
      </c>
      <c r="F91" s="10">
        <v>387297</v>
      </c>
      <c r="G91" s="10">
        <v>355457</v>
      </c>
      <c r="H91" s="10">
        <v>71250</v>
      </c>
      <c r="I91" s="10">
        <v>44711</v>
      </c>
      <c r="J91" s="10">
        <v>26539</v>
      </c>
    </row>
    <row r="92" spans="1:10">
      <c r="A92" s="5" t="s">
        <v>29</v>
      </c>
      <c r="B92" s="11">
        <v>97430</v>
      </c>
      <c r="C92" s="11">
        <v>55283</v>
      </c>
      <c r="D92" s="11">
        <v>42147</v>
      </c>
      <c r="E92" s="11">
        <v>79425</v>
      </c>
      <c r="F92" s="11">
        <v>43702</v>
      </c>
      <c r="G92" s="11">
        <v>35723</v>
      </c>
      <c r="H92" s="11">
        <v>17901</v>
      </c>
      <c r="I92" s="11">
        <v>11501</v>
      </c>
      <c r="J92" s="11">
        <v>6400</v>
      </c>
    </row>
    <row r="93" spans="1:10">
      <c r="A93" s="9" t="s">
        <v>30</v>
      </c>
      <c r="B93" s="10">
        <v>522217</v>
      </c>
      <c r="C93" s="10">
        <v>268198</v>
      </c>
      <c r="D93" s="10">
        <v>254019</v>
      </c>
      <c r="E93" s="10">
        <v>497988</v>
      </c>
      <c r="F93" s="10">
        <v>253287</v>
      </c>
      <c r="G93" s="10">
        <v>244701</v>
      </c>
      <c r="H93" s="10">
        <v>24082</v>
      </c>
      <c r="I93" s="10">
        <v>14829</v>
      </c>
      <c r="J93" s="10">
        <v>9253</v>
      </c>
    </row>
    <row r="94" spans="1:10">
      <c r="A94" s="5" t="s">
        <v>31</v>
      </c>
      <c r="B94" s="11">
        <v>114958</v>
      </c>
      <c r="C94" s="11">
        <v>62808</v>
      </c>
      <c r="D94" s="11">
        <v>52150</v>
      </c>
      <c r="E94" s="11">
        <v>106494</v>
      </c>
      <c r="F94" s="11">
        <v>58465</v>
      </c>
      <c r="G94" s="11">
        <v>48029</v>
      </c>
      <c r="H94" s="11">
        <v>8443</v>
      </c>
      <c r="I94" s="11">
        <v>4332</v>
      </c>
      <c r="J94" s="11">
        <v>4111</v>
      </c>
    </row>
    <row r="95" spans="1:10">
      <c r="A95" s="9" t="s">
        <v>32</v>
      </c>
      <c r="B95" s="10">
        <v>79778</v>
      </c>
      <c r="C95" s="10">
        <v>45966</v>
      </c>
      <c r="D95" s="10">
        <v>33812</v>
      </c>
      <c r="E95" s="10">
        <v>58847</v>
      </c>
      <c r="F95" s="10">
        <v>31843</v>
      </c>
      <c r="G95" s="10">
        <v>27004</v>
      </c>
      <c r="H95" s="10">
        <v>20824</v>
      </c>
      <c r="I95" s="10">
        <v>14049</v>
      </c>
      <c r="J95" s="10">
        <v>6775</v>
      </c>
    </row>
    <row r="96" spans="1:10">
      <c r="A96" s="379" t="s">
        <v>45</v>
      </c>
      <c r="B96" s="380"/>
      <c r="C96" s="380"/>
      <c r="D96" s="380"/>
      <c r="E96" s="380"/>
      <c r="F96" s="380"/>
      <c r="G96" s="380"/>
      <c r="H96" s="380"/>
      <c r="I96" s="380"/>
      <c r="J96" s="381"/>
    </row>
    <row r="97" spans="1:10">
      <c r="A97" s="9" t="s">
        <v>28</v>
      </c>
      <c r="B97" s="10">
        <v>499479</v>
      </c>
      <c r="C97" s="10">
        <v>266245</v>
      </c>
      <c r="D97" s="10">
        <v>233234</v>
      </c>
      <c r="E97" s="10">
        <v>447811</v>
      </c>
      <c r="F97" s="10">
        <v>234448</v>
      </c>
      <c r="G97" s="10">
        <v>213363</v>
      </c>
      <c r="H97" s="10">
        <v>51403</v>
      </c>
      <c r="I97" s="10">
        <v>31628</v>
      </c>
      <c r="J97" s="10">
        <v>19775</v>
      </c>
    </row>
    <row r="98" spans="1:10">
      <c r="A98" s="5" t="s">
        <v>29</v>
      </c>
      <c r="B98" s="11">
        <v>59066</v>
      </c>
      <c r="C98" s="11">
        <v>33599</v>
      </c>
      <c r="D98" s="11">
        <v>25467</v>
      </c>
      <c r="E98" s="11">
        <v>45877</v>
      </c>
      <c r="F98" s="11">
        <v>25222</v>
      </c>
      <c r="G98" s="11">
        <v>20655</v>
      </c>
      <c r="H98" s="11">
        <v>13118</v>
      </c>
      <c r="I98" s="11">
        <v>8321</v>
      </c>
      <c r="J98" s="11">
        <v>4797</v>
      </c>
    </row>
    <row r="99" spans="1:10">
      <c r="A99" s="9" t="s">
        <v>30</v>
      </c>
      <c r="B99" s="10">
        <v>305640</v>
      </c>
      <c r="C99" s="10">
        <v>156620</v>
      </c>
      <c r="D99" s="10">
        <v>149020</v>
      </c>
      <c r="E99" s="10">
        <v>288566</v>
      </c>
      <c r="F99" s="10">
        <v>146422</v>
      </c>
      <c r="G99" s="10">
        <v>142144</v>
      </c>
      <c r="H99" s="10">
        <v>16970</v>
      </c>
      <c r="I99" s="10">
        <v>10144</v>
      </c>
      <c r="J99" s="10">
        <v>6826</v>
      </c>
    </row>
    <row r="100" spans="1:10">
      <c r="A100" s="5" t="s">
        <v>31</v>
      </c>
      <c r="B100" s="11">
        <v>84367</v>
      </c>
      <c r="C100" s="11">
        <v>46595</v>
      </c>
      <c r="D100" s="11">
        <v>37772</v>
      </c>
      <c r="E100" s="11">
        <v>77910</v>
      </c>
      <c r="F100" s="11">
        <v>43301</v>
      </c>
      <c r="G100" s="11">
        <v>34609</v>
      </c>
      <c r="H100" s="11">
        <v>6440</v>
      </c>
      <c r="I100" s="11">
        <v>3286</v>
      </c>
      <c r="J100" s="11">
        <v>3154</v>
      </c>
    </row>
    <row r="101" spans="1:10">
      <c r="A101" s="9" t="s">
        <v>32</v>
      </c>
      <c r="B101" s="10">
        <v>50406</v>
      </c>
      <c r="C101" s="10">
        <v>29431</v>
      </c>
      <c r="D101" s="10">
        <v>20975</v>
      </c>
      <c r="E101" s="10">
        <v>35458</v>
      </c>
      <c r="F101" s="10">
        <v>19503</v>
      </c>
      <c r="G101" s="10">
        <v>15955</v>
      </c>
      <c r="H101" s="10">
        <v>14875</v>
      </c>
      <c r="I101" s="10">
        <v>9877</v>
      </c>
      <c r="J101" s="10">
        <v>4998</v>
      </c>
    </row>
    <row r="102" spans="1:10">
      <c r="A102" s="379" t="s">
        <v>46</v>
      </c>
      <c r="B102" s="380"/>
      <c r="C102" s="380"/>
      <c r="D102" s="380"/>
      <c r="E102" s="380"/>
      <c r="F102" s="380"/>
      <c r="G102" s="380"/>
      <c r="H102" s="380"/>
      <c r="I102" s="380"/>
      <c r="J102" s="381"/>
    </row>
    <row r="103" spans="1:10">
      <c r="A103" s="9" t="s">
        <v>28</v>
      </c>
      <c r="B103" s="10">
        <v>318934</v>
      </c>
      <c r="C103" s="10">
        <v>168524</v>
      </c>
      <c r="D103" s="10">
        <v>150410</v>
      </c>
      <c r="E103" s="10">
        <v>285171</v>
      </c>
      <c r="F103" s="10">
        <v>148388</v>
      </c>
      <c r="G103" s="10">
        <v>136783</v>
      </c>
      <c r="H103" s="10">
        <v>33601</v>
      </c>
      <c r="I103" s="10">
        <v>20038</v>
      </c>
      <c r="J103" s="10">
        <v>13563</v>
      </c>
    </row>
    <row r="104" spans="1:10">
      <c r="A104" s="5" t="s">
        <v>29</v>
      </c>
      <c r="B104" s="11">
        <v>36207</v>
      </c>
      <c r="C104" s="11">
        <v>20112</v>
      </c>
      <c r="D104" s="11">
        <v>16095</v>
      </c>
      <c r="E104" s="11">
        <v>27805</v>
      </c>
      <c r="F104" s="11">
        <v>14938</v>
      </c>
      <c r="G104" s="11">
        <v>12867</v>
      </c>
      <c r="H104" s="11">
        <v>8362</v>
      </c>
      <c r="I104" s="11">
        <v>5143</v>
      </c>
      <c r="J104" s="11">
        <v>3219</v>
      </c>
    </row>
    <row r="105" spans="1:10">
      <c r="A105" s="9" t="s">
        <v>30</v>
      </c>
      <c r="B105" s="10">
        <v>185929</v>
      </c>
      <c r="C105" s="10">
        <v>93709</v>
      </c>
      <c r="D105" s="10">
        <v>92220</v>
      </c>
      <c r="E105" s="10">
        <v>175093</v>
      </c>
      <c r="F105" s="10">
        <v>87431</v>
      </c>
      <c r="G105" s="10">
        <v>87662</v>
      </c>
      <c r="H105" s="10">
        <v>10768</v>
      </c>
      <c r="I105" s="10">
        <v>6246</v>
      </c>
      <c r="J105" s="10">
        <v>4522</v>
      </c>
    </row>
    <row r="106" spans="1:10">
      <c r="A106" s="5" t="s">
        <v>31</v>
      </c>
      <c r="B106" s="11">
        <v>66163</v>
      </c>
      <c r="C106" s="11">
        <v>36763</v>
      </c>
      <c r="D106" s="11">
        <v>29400</v>
      </c>
      <c r="E106" s="11">
        <v>61037</v>
      </c>
      <c r="F106" s="11">
        <v>34129</v>
      </c>
      <c r="G106" s="11">
        <v>26908</v>
      </c>
      <c r="H106" s="11">
        <v>5112</v>
      </c>
      <c r="I106" s="11">
        <v>2628</v>
      </c>
      <c r="J106" s="11">
        <v>2484</v>
      </c>
    </row>
    <row r="107" spans="1:10">
      <c r="A107" s="9" t="s">
        <v>32</v>
      </c>
      <c r="B107" s="10">
        <v>30635</v>
      </c>
      <c r="C107" s="10">
        <v>17940</v>
      </c>
      <c r="D107" s="10">
        <v>12695</v>
      </c>
      <c r="E107" s="10">
        <v>21236</v>
      </c>
      <c r="F107" s="10">
        <v>11890</v>
      </c>
      <c r="G107" s="10">
        <v>9346</v>
      </c>
      <c r="H107" s="10">
        <v>9359</v>
      </c>
      <c r="I107" s="10">
        <v>6021</v>
      </c>
      <c r="J107" s="10">
        <v>3338</v>
      </c>
    </row>
    <row r="108" spans="1:10">
      <c r="A108" s="379" t="s">
        <v>47</v>
      </c>
      <c r="B108" s="380"/>
      <c r="C108" s="380"/>
      <c r="D108" s="380"/>
      <c r="E108" s="380"/>
      <c r="F108" s="380"/>
      <c r="G108" s="380"/>
      <c r="H108" s="380"/>
      <c r="I108" s="380"/>
      <c r="J108" s="381"/>
    </row>
    <row r="109" spans="1:10">
      <c r="A109" s="9" t="s">
        <v>28</v>
      </c>
      <c r="B109" s="10">
        <v>68623</v>
      </c>
      <c r="C109" s="10">
        <v>37172</v>
      </c>
      <c r="D109" s="10">
        <v>31451</v>
      </c>
      <c r="E109" s="10">
        <v>63772</v>
      </c>
      <c r="F109" s="10">
        <v>33807</v>
      </c>
      <c r="G109" s="10">
        <v>29965</v>
      </c>
      <c r="H109" s="10">
        <v>4811</v>
      </c>
      <c r="I109" s="10">
        <v>3330</v>
      </c>
      <c r="J109" s="10">
        <v>1481</v>
      </c>
    </row>
    <row r="110" spans="1:10">
      <c r="A110" s="5" t="s">
        <v>29</v>
      </c>
      <c r="B110" s="11">
        <v>8132</v>
      </c>
      <c r="C110" s="11">
        <v>4504</v>
      </c>
      <c r="D110" s="11">
        <v>3628</v>
      </c>
      <c r="E110" s="11">
        <v>7083</v>
      </c>
      <c r="F110" s="11">
        <v>3835</v>
      </c>
      <c r="G110" s="11">
        <v>3248</v>
      </c>
      <c r="H110" s="11">
        <v>1038</v>
      </c>
      <c r="I110" s="11">
        <v>658</v>
      </c>
      <c r="J110" s="11">
        <v>380</v>
      </c>
    </row>
    <row r="111" spans="1:10">
      <c r="A111" s="9" t="s">
        <v>30</v>
      </c>
      <c r="B111" s="10">
        <v>46500</v>
      </c>
      <c r="C111" s="10">
        <v>24854</v>
      </c>
      <c r="D111" s="10">
        <v>21646</v>
      </c>
      <c r="E111" s="10">
        <v>44886</v>
      </c>
      <c r="F111" s="10">
        <v>23705</v>
      </c>
      <c r="G111" s="10">
        <v>21181</v>
      </c>
      <c r="H111" s="10">
        <v>1600</v>
      </c>
      <c r="I111" s="10">
        <v>1137</v>
      </c>
      <c r="J111" s="10">
        <v>463</v>
      </c>
    </row>
    <row r="112" spans="1:10">
      <c r="A112" s="5" t="s">
        <v>31</v>
      </c>
      <c r="B112" s="11">
        <v>5312</v>
      </c>
      <c r="C112" s="11">
        <v>2762</v>
      </c>
      <c r="D112" s="11">
        <v>2550</v>
      </c>
      <c r="E112" s="11">
        <v>4941</v>
      </c>
      <c r="F112" s="11">
        <v>2559</v>
      </c>
      <c r="G112" s="11">
        <v>2382</v>
      </c>
      <c r="H112" s="11">
        <v>370</v>
      </c>
      <c r="I112" s="11">
        <v>202</v>
      </c>
      <c r="J112" s="11">
        <v>168</v>
      </c>
    </row>
    <row r="113" spans="1:10">
      <c r="A113" s="9" t="s">
        <v>32</v>
      </c>
      <c r="B113" s="10">
        <v>8679</v>
      </c>
      <c r="C113" s="10">
        <v>5052</v>
      </c>
      <c r="D113" s="10">
        <v>3627</v>
      </c>
      <c r="E113" s="10">
        <v>6862</v>
      </c>
      <c r="F113" s="10">
        <v>3708</v>
      </c>
      <c r="G113" s="10">
        <v>3154</v>
      </c>
      <c r="H113" s="10">
        <v>1803</v>
      </c>
      <c r="I113" s="10">
        <v>1333</v>
      </c>
      <c r="J113" s="10">
        <v>470</v>
      </c>
    </row>
    <row r="114" spans="1:10">
      <c r="A114" s="379" t="s">
        <v>48</v>
      </c>
      <c r="B114" s="380"/>
      <c r="C114" s="380"/>
      <c r="D114" s="380"/>
      <c r="E114" s="380"/>
      <c r="F114" s="380"/>
      <c r="G114" s="380"/>
      <c r="H114" s="380"/>
      <c r="I114" s="380"/>
      <c r="J114" s="381"/>
    </row>
    <row r="115" spans="1:10">
      <c r="A115" s="9" t="s">
        <v>28</v>
      </c>
      <c r="B115" s="10">
        <v>51292</v>
      </c>
      <c r="C115" s="10">
        <v>25395</v>
      </c>
      <c r="D115" s="10">
        <v>25897</v>
      </c>
      <c r="E115" s="10">
        <v>48007</v>
      </c>
      <c r="F115" s="10">
        <v>23429</v>
      </c>
      <c r="G115" s="10">
        <v>24578</v>
      </c>
      <c r="H115" s="10">
        <v>3270</v>
      </c>
      <c r="I115" s="10">
        <v>1959</v>
      </c>
      <c r="J115" s="10">
        <v>1311</v>
      </c>
    </row>
    <row r="116" spans="1:10">
      <c r="A116" s="5" t="s">
        <v>29</v>
      </c>
      <c r="B116" s="11">
        <v>5869</v>
      </c>
      <c r="C116" s="11">
        <v>3180</v>
      </c>
      <c r="D116" s="11">
        <v>2689</v>
      </c>
      <c r="E116" s="11">
        <v>5101</v>
      </c>
      <c r="F116" s="11">
        <v>2702</v>
      </c>
      <c r="G116" s="11">
        <v>2399</v>
      </c>
      <c r="H116" s="11">
        <v>765</v>
      </c>
      <c r="I116" s="11">
        <v>477</v>
      </c>
      <c r="J116" s="11">
        <v>288</v>
      </c>
    </row>
    <row r="117" spans="1:10">
      <c r="A117" s="9" t="s">
        <v>30</v>
      </c>
      <c r="B117" s="10">
        <v>35194</v>
      </c>
      <c r="C117" s="10">
        <v>16720</v>
      </c>
      <c r="D117" s="10">
        <v>18474</v>
      </c>
      <c r="E117" s="10">
        <v>33953</v>
      </c>
      <c r="F117" s="10">
        <v>15998</v>
      </c>
      <c r="G117" s="10">
        <v>17955</v>
      </c>
      <c r="H117" s="10">
        <v>1235</v>
      </c>
      <c r="I117" s="10">
        <v>718</v>
      </c>
      <c r="J117" s="10">
        <v>517</v>
      </c>
    </row>
    <row r="118" spans="1:10">
      <c r="A118" s="5" t="s">
        <v>31</v>
      </c>
      <c r="B118" s="11">
        <v>5407</v>
      </c>
      <c r="C118" s="11">
        <v>3037</v>
      </c>
      <c r="D118" s="11">
        <v>2370</v>
      </c>
      <c r="E118" s="11">
        <v>5055</v>
      </c>
      <c r="F118" s="11">
        <v>2852</v>
      </c>
      <c r="G118" s="11">
        <v>2203</v>
      </c>
      <c r="H118" s="11">
        <v>351</v>
      </c>
      <c r="I118" s="11">
        <v>184</v>
      </c>
      <c r="J118" s="11">
        <v>167</v>
      </c>
    </row>
    <row r="119" spans="1:10">
      <c r="A119" s="9" t="s">
        <v>32</v>
      </c>
      <c r="B119" s="10">
        <v>4822</v>
      </c>
      <c r="C119" s="10">
        <v>2458</v>
      </c>
      <c r="D119" s="10">
        <v>2364</v>
      </c>
      <c r="E119" s="10">
        <v>3898</v>
      </c>
      <c r="F119" s="10">
        <v>1877</v>
      </c>
      <c r="G119" s="10">
        <v>2021</v>
      </c>
      <c r="H119" s="10">
        <v>919</v>
      </c>
      <c r="I119" s="10">
        <v>580</v>
      </c>
      <c r="J119" s="10">
        <v>339</v>
      </c>
    </row>
    <row r="120" spans="1:10">
      <c r="A120" s="379" t="s">
        <v>49</v>
      </c>
      <c r="B120" s="380"/>
      <c r="C120" s="380"/>
      <c r="D120" s="380"/>
      <c r="E120" s="380"/>
      <c r="F120" s="380"/>
      <c r="G120" s="380"/>
      <c r="H120" s="380"/>
      <c r="I120" s="380"/>
      <c r="J120" s="381"/>
    </row>
    <row r="121" spans="1:10">
      <c r="A121" s="9" t="s">
        <v>28</v>
      </c>
      <c r="B121" s="10">
        <v>90498</v>
      </c>
      <c r="C121" s="10">
        <v>46931</v>
      </c>
      <c r="D121" s="10">
        <v>43567</v>
      </c>
      <c r="E121" s="10">
        <v>85417</v>
      </c>
      <c r="F121" s="10">
        <v>43673</v>
      </c>
      <c r="G121" s="10">
        <v>41744</v>
      </c>
      <c r="H121" s="10">
        <v>5044</v>
      </c>
      <c r="I121" s="10">
        <v>3238</v>
      </c>
      <c r="J121" s="10">
        <v>1806</v>
      </c>
    </row>
    <row r="122" spans="1:10">
      <c r="A122" s="5" t="s">
        <v>29</v>
      </c>
      <c r="B122" s="11">
        <v>10768</v>
      </c>
      <c r="C122" s="11">
        <v>5969</v>
      </c>
      <c r="D122" s="11">
        <v>4799</v>
      </c>
      <c r="E122" s="11">
        <v>9540</v>
      </c>
      <c r="F122" s="11">
        <v>5180</v>
      </c>
      <c r="G122" s="11">
        <v>4360</v>
      </c>
      <c r="H122" s="11">
        <v>1220</v>
      </c>
      <c r="I122" s="11">
        <v>785</v>
      </c>
      <c r="J122" s="11">
        <v>435</v>
      </c>
    </row>
    <row r="123" spans="1:10">
      <c r="A123" s="9" t="s">
        <v>30</v>
      </c>
      <c r="B123" s="10">
        <v>61748</v>
      </c>
      <c r="C123" s="10">
        <v>31276</v>
      </c>
      <c r="D123" s="10">
        <v>30472</v>
      </c>
      <c r="E123" s="10">
        <v>59847</v>
      </c>
      <c r="F123" s="10">
        <v>30061</v>
      </c>
      <c r="G123" s="10">
        <v>29786</v>
      </c>
      <c r="H123" s="10">
        <v>1886</v>
      </c>
      <c r="I123" s="10">
        <v>1209</v>
      </c>
      <c r="J123" s="10">
        <v>677</v>
      </c>
    </row>
    <row r="124" spans="1:10">
      <c r="A124" s="5" t="s">
        <v>31</v>
      </c>
      <c r="B124" s="11">
        <v>11592</v>
      </c>
      <c r="C124" s="11">
        <v>6153</v>
      </c>
      <c r="D124" s="11">
        <v>5439</v>
      </c>
      <c r="E124" s="11">
        <v>10832</v>
      </c>
      <c r="F124" s="11">
        <v>5741</v>
      </c>
      <c r="G124" s="11">
        <v>5091</v>
      </c>
      <c r="H124" s="11">
        <v>758</v>
      </c>
      <c r="I124" s="11">
        <v>411</v>
      </c>
      <c r="J124" s="11">
        <v>347</v>
      </c>
    </row>
    <row r="125" spans="1:10">
      <c r="A125" s="9" t="s">
        <v>32</v>
      </c>
      <c r="B125" s="10">
        <v>6390</v>
      </c>
      <c r="C125" s="10">
        <v>3533</v>
      </c>
      <c r="D125" s="10">
        <v>2857</v>
      </c>
      <c r="E125" s="10">
        <v>5198</v>
      </c>
      <c r="F125" s="10">
        <v>2691</v>
      </c>
      <c r="G125" s="10">
        <v>2507</v>
      </c>
      <c r="H125" s="10">
        <v>1180</v>
      </c>
      <c r="I125" s="10">
        <v>833</v>
      </c>
      <c r="J125" s="10">
        <v>347</v>
      </c>
    </row>
    <row r="126" spans="1:10">
      <c r="A126" s="379" t="s">
        <v>50</v>
      </c>
      <c r="B126" s="380"/>
      <c r="C126" s="380"/>
      <c r="D126" s="380"/>
      <c r="E126" s="380"/>
      <c r="F126" s="380"/>
      <c r="G126" s="380"/>
      <c r="H126" s="380"/>
      <c r="I126" s="380"/>
      <c r="J126" s="381"/>
    </row>
    <row r="127" spans="1:10">
      <c r="A127" s="9" t="s">
        <v>28</v>
      </c>
      <c r="B127" s="10">
        <v>21703</v>
      </c>
      <c r="C127" s="10">
        <v>12093</v>
      </c>
      <c r="D127" s="10">
        <v>9610</v>
      </c>
      <c r="E127" s="10">
        <v>20612</v>
      </c>
      <c r="F127" s="10">
        <v>11370</v>
      </c>
      <c r="G127" s="10">
        <v>9242</v>
      </c>
      <c r="H127" s="10">
        <v>1088</v>
      </c>
      <c r="I127" s="10">
        <v>720</v>
      </c>
      <c r="J127" s="10">
        <v>368</v>
      </c>
    </row>
    <row r="128" spans="1:10">
      <c r="A128" s="5" t="s">
        <v>29</v>
      </c>
      <c r="B128" s="11">
        <v>2674</v>
      </c>
      <c r="C128" s="11">
        <v>1560</v>
      </c>
      <c r="D128" s="11">
        <v>1114</v>
      </c>
      <c r="E128" s="11">
        <v>2379</v>
      </c>
      <c r="F128" s="11">
        <v>1348</v>
      </c>
      <c r="G128" s="11">
        <v>1031</v>
      </c>
      <c r="H128" s="11">
        <v>295</v>
      </c>
      <c r="I128" s="11">
        <v>212</v>
      </c>
      <c r="J128" s="11">
        <v>83</v>
      </c>
    </row>
    <row r="129" spans="1:10">
      <c r="A129" s="9" t="s">
        <v>30</v>
      </c>
      <c r="B129" s="10">
        <v>15656</v>
      </c>
      <c r="C129" s="10">
        <v>8750</v>
      </c>
      <c r="D129" s="10">
        <v>6906</v>
      </c>
      <c r="E129" s="10">
        <v>15271</v>
      </c>
      <c r="F129" s="10">
        <v>8496</v>
      </c>
      <c r="G129" s="10">
        <v>6775</v>
      </c>
      <c r="H129" s="10">
        <v>383</v>
      </c>
      <c r="I129" s="10">
        <v>252</v>
      </c>
      <c r="J129" s="10">
        <v>131</v>
      </c>
    </row>
    <row r="130" spans="1:10">
      <c r="A130" s="5" t="s">
        <v>31</v>
      </c>
      <c r="B130" s="11">
        <v>1996</v>
      </c>
      <c r="C130" s="11">
        <v>1040</v>
      </c>
      <c r="D130" s="11">
        <v>956</v>
      </c>
      <c r="E130" s="11">
        <v>1875</v>
      </c>
      <c r="F130" s="11">
        <v>983</v>
      </c>
      <c r="G130" s="11">
        <v>892</v>
      </c>
      <c r="H130" s="11">
        <v>121</v>
      </c>
      <c r="I130" s="11">
        <v>57</v>
      </c>
      <c r="J130" s="11">
        <v>64</v>
      </c>
    </row>
    <row r="131" spans="1:10">
      <c r="A131" s="9" t="s">
        <v>32</v>
      </c>
      <c r="B131" s="10">
        <v>1377</v>
      </c>
      <c r="C131" s="10">
        <v>743</v>
      </c>
      <c r="D131" s="10">
        <v>634</v>
      </c>
      <c r="E131" s="10">
        <v>1087</v>
      </c>
      <c r="F131" s="10">
        <v>543</v>
      </c>
      <c r="G131" s="10">
        <v>544</v>
      </c>
      <c r="H131" s="10">
        <v>289</v>
      </c>
      <c r="I131" s="10">
        <v>199</v>
      </c>
      <c r="J131" s="10">
        <v>90</v>
      </c>
    </row>
    <row r="132" spans="1:10">
      <c r="A132" s="379" t="s">
        <v>51</v>
      </c>
      <c r="B132" s="380"/>
      <c r="C132" s="380"/>
      <c r="D132" s="380"/>
      <c r="E132" s="380"/>
      <c r="F132" s="380"/>
      <c r="G132" s="380"/>
      <c r="H132" s="380"/>
      <c r="I132" s="380"/>
      <c r="J132" s="381"/>
    </row>
    <row r="133" spans="1:10">
      <c r="A133" s="9" t="s">
        <v>28</v>
      </c>
      <c r="B133" s="10">
        <v>38629</v>
      </c>
      <c r="C133" s="10">
        <v>21458</v>
      </c>
      <c r="D133" s="10">
        <v>17171</v>
      </c>
      <c r="E133" s="10">
        <v>35951</v>
      </c>
      <c r="F133" s="10">
        <v>19551</v>
      </c>
      <c r="G133" s="10">
        <v>16400</v>
      </c>
      <c r="H133" s="10">
        <v>2668</v>
      </c>
      <c r="I133" s="10">
        <v>1901</v>
      </c>
      <c r="J133" s="10">
        <v>767</v>
      </c>
    </row>
    <row r="134" spans="1:10">
      <c r="A134" s="5" t="s">
        <v>29</v>
      </c>
      <c r="B134" s="11">
        <v>5579</v>
      </c>
      <c r="C134" s="11">
        <v>3347</v>
      </c>
      <c r="D134" s="11">
        <v>2232</v>
      </c>
      <c r="E134" s="11">
        <v>4859</v>
      </c>
      <c r="F134" s="11">
        <v>2804</v>
      </c>
      <c r="G134" s="11">
        <v>2055</v>
      </c>
      <c r="H134" s="11">
        <v>713</v>
      </c>
      <c r="I134" s="11">
        <v>537</v>
      </c>
      <c r="J134" s="11">
        <v>176</v>
      </c>
    </row>
    <row r="135" spans="1:10">
      <c r="A135" s="9" t="s">
        <v>30</v>
      </c>
      <c r="B135" s="10">
        <v>26472</v>
      </c>
      <c r="C135" s="10">
        <v>14341</v>
      </c>
      <c r="D135" s="10">
        <v>12131</v>
      </c>
      <c r="E135" s="10">
        <v>25749</v>
      </c>
      <c r="F135" s="10">
        <v>13814</v>
      </c>
      <c r="G135" s="10">
        <v>11935</v>
      </c>
      <c r="H135" s="10">
        <v>721</v>
      </c>
      <c r="I135" s="10">
        <v>527</v>
      </c>
      <c r="J135" s="10">
        <v>194</v>
      </c>
    </row>
    <row r="136" spans="1:10">
      <c r="A136" s="5" t="s">
        <v>31</v>
      </c>
      <c r="B136" s="11">
        <v>2665</v>
      </c>
      <c r="C136" s="11">
        <v>1344</v>
      </c>
      <c r="D136" s="11">
        <v>1321</v>
      </c>
      <c r="E136" s="11">
        <v>2484</v>
      </c>
      <c r="F136" s="11">
        <v>1261</v>
      </c>
      <c r="G136" s="11">
        <v>1223</v>
      </c>
      <c r="H136" s="11">
        <v>181</v>
      </c>
      <c r="I136" s="11">
        <v>83</v>
      </c>
      <c r="J136" s="11">
        <v>98</v>
      </c>
    </row>
    <row r="137" spans="1:10">
      <c r="A137" s="9" t="s">
        <v>32</v>
      </c>
      <c r="B137" s="10">
        <v>3913</v>
      </c>
      <c r="C137" s="10">
        <v>2426</v>
      </c>
      <c r="D137" s="10">
        <v>1487</v>
      </c>
      <c r="E137" s="10">
        <v>2859</v>
      </c>
      <c r="F137" s="10">
        <v>1672</v>
      </c>
      <c r="G137" s="10">
        <v>1187</v>
      </c>
      <c r="H137" s="10">
        <v>1053</v>
      </c>
      <c r="I137" s="10">
        <v>754</v>
      </c>
      <c r="J137" s="10">
        <v>299</v>
      </c>
    </row>
    <row r="138" spans="1:10">
      <c r="A138" s="379" t="s">
        <v>52</v>
      </c>
      <c r="B138" s="380"/>
      <c r="C138" s="380"/>
      <c r="D138" s="380"/>
      <c r="E138" s="380"/>
      <c r="F138" s="380"/>
      <c r="G138" s="380"/>
      <c r="H138" s="380"/>
      <c r="I138" s="380"/>
      <c r="J138" s="381"/>
    </row>
    <row r="139" spans="1:10">
      <c r="A139" s="9" t="s">
        <v>28</v>
      </c>
      <c r="B139" s="10">
        <v>44159</v>
      </c>
      <c r="C139" s="10">
        <v>22961</v>
      </c>
      <c r="D139" s="10">
        <v>21198</v>
      </c>
      <c r="E139" s="10">
        <v>41184</v>
      </c>
      <c r="F139" s="10">
        <v>21019</v>
      </c>
      <c r="G139" s="10">
        <v>20165</v>
      </c>
      <c r="H139" s="10">
        <v>2966</v>
      </c>
      <c r="I139" s="10">
        <v>1935</v>
      </c>
      <c r="J139" s="10">
        <v>1031</v>
      </c>
    </row>
    <row r="140" spans="1:10">
      <c r="A140" s="5" t="s">
        <v>29</v>
      </c>
      <c r="B140" s="11">
        <v>5342</v>
      </c>
      <c r="C140" s="11">
        <v>3124</v>
      </c>
      <c r="D140" s="11">
        <v>2218</v>
      </c>
      <c r="E140" s="11">
        <v>4586</v>
      </c>
      <c r="F140" s="11">
        <v>2611</v>
      </c>
      <c r="G140" s="11">
        <v>1975</v>
      </c>
      <c r="H140" s="11">
        <v>752</v>
      </c>
      <c r="I140" s="11">
        <v>511</v>
      </c>
      <c r="J140" s="11">
        <v>241</v>
      </c>
    </row>
    <row r="141" spans="1:10">
      <c r="A141" s="9" t="s">
        <v>30</v>
      </c>
      <c r="B141" s="10">
        <v>31007</v>
      </c>
      <c r="C141" s="10">
        <v>15637</v>
      </c>
      <c r="D141" s="10">
        <v>15370</v>
      </c>
      <c r="E141" s="10">
        <v>29716</v>
      </c>
      <c r="F141" s="10">
        <v>14791</v>
      </c>
      <c r="G141" s="10">
        <v>14925</v>
      </c>
      <c r="H141" s="10">
        <v>1287</v>
      </c>
      <c r="I141" s="10">
        <v>842</v>
      </c>
      <c r="J141" s="10">
        <v>445</v>
      </c>
    </row>
    <row r="142" spans="1:10">
      <c r="A142" s="5" t="s">
        <v>31</v>
      </c>
      <c r="B142" s="11">
        <v>3619</v>
      </c>
      <c r="C142" s="11">
        <v>1877</v>
      </c>
      <c r="D142" s="11">
        <v>1742</v>
      </c>
      <c r="E142" s="11">
        <v>3397</v>
      </c>
      <c r="F142" s="11">
        <v>1768</v>
      </c>
      <c r="G142" s="11">
        <v>1629</v>
      </c>
      <c r="H142" s="11">
        <v>222</v>
      </c>
      <c r="I142" s="11">
        <v>109</v>
      </c>
      <c r="J142" s="11">
        <v>113</v>
      </c>
    </row>
    <row r="143" spans="1:10">
      <c r="A143" s="9" t="s">
        <v>32</v>
      </c>
      <c r="B143" s="10">
        <v>4191</v>
      </c>
      <c r="C143" s="10">
        <v>2323</v>
      </c>
      <c r="D143" s="10">
        <v>1868</v>
      </c>
      <c r="E143" s="10">
        <v>3485</v>
      </c>
      <c r="F143" s="10">
        <v>1849</v>
      </c>
      <c r="G143" s="10">
        <v>1636</v>
      </c>
      <c r="H143" s="10">
        <v>705</v>
      </c>
      <c r="I143" s="10">
        <v>473</v>
      </c>
      <c r="J143" s="10">
        <v>232</v>
      </c>
    </row>
    <row r="144" spans="1:10">
      <c r="A144" s="379" t="s">
        <v>53</v>
      </c>
      <c r="B144" s="380"/>
      <c r="C144" s="380"/>
      <c r="D144" s="380"/>
      <c r="E144" s="380"/>
      <c r="F144" s="380"/>
      <c r="G144" s="380"/>
      <c r="H144" s="380"/>
      <c r="I144" s="380"/>
      <c r="J144" s="381"/>
    </row>
    <row r="145" spans="1:10">
      <c r="A145" s="9" t="s">
        <v>28</v>
      </c>
      <c r="B145" s="10">
        <v>497568</v>
      </c>
      <c r="C145" s="10">
        <v>255269</v>
      </c>
      <c r="D145" s="10">
        <v>242299</v>
      </c>
      <c r="E145" s="10">
        <v>462777</v>
      </c>
      <c r="F145" s="10">
        <v>232019</v>
      </c>
      <c r="G145" s="10">
        <v>230758</v>
      </c>
      <c r="H145" s="10">
        <v>34592</v>
      </c>
      <c r="I145" s="10">
        <v>23121</v>
      </c>
      <c r="J145" s="10">
        <v>11471</v>
      </c>
    </row>
    <row r="146" spans="1:10">
      <c r="A146" s="5" t="s">
        <v>29</v>
      </c>
      <c r="B146" s="11">
        <v>61283</v>
      </c>
      <c r="C146" s="11">
        <v>34284</v>
      </c>
      <c r="D146" s="11">
        <v>26999</v>
      </c>
      <c r="E146" s="11">
        <v>53775</v>
      </c>
      <c r="F146" s="11">
        <v>29198</v>
      </c>
      <c r="G146" s="11">
        <v>24577</v>
      </c>
      <c r="H146" s="11">
        <v>7473</v>
      </c>
      <c r="I146" s="11">
        <v>5058</v>
      </c>
      <c r="J146" s="11">
        <v>2415</v>
      </c>
    </row>
    <row r="147" spans="1:10">
      <c r="A147" s="9" t="s">
        <v>30</v>
      </c>
      <c r="B147" s="10">
        <v>337365</v>
      </c>
      <c r="C147" s="10">
        <v>167801</v>
      </c>
      <c r="D147" s="10">
        <v>169564</v>
      </c>
      <c r="E147" s="10">
        <v>326571</v>
      </c>
      <c r="F147" s="10">
        <v>160951</v>
      </c>
      <c r="G147" s="10">
        <v>165620</v>
      </c>
      <c r="H147" s="10">
        <v>10697</v>
      </c>
      <c r="I147" s="10">
        <v>6792</v>
      </c>
      <c r="J147" s="10">
        <v>3905</v>
      </c>
    </row>
    <row r="148" spans="1:10">
      <c r="A148" s="5" t="s">
        <v>31</v>
      </c>
      <c r="B148" s="11">
        <v>46147</v>
      </c>
      <c r="C148" s="11">
        <v>23023</v>
      </c>
      <c r="D148" s="11">
        <v>23124</v>
      </c>
      <c r="E148" s="11">
        <v>42932</v>
      </c>
      <c r="F148" s="11">
        <v>21388</v>
      </c>
      <c r="G148" s="11">
        <v>21544</v>
      </c>
      <c r="H148" s="11">
        <v>3204</v>
      </c>
      <c r="I148" s="11">
        <v>1628</v>
      </c>
      <c r="J148" s="11">
        <v>1576</v>
      </c>
    </row>
    <row r="149" spans="1:10">
      <c r="A149" s="9" t="s">
        <v>32</v>
      </c>
      <c r="B149" s="10">
        <v>52773</v>
      </c>
      <c r="C149" s="10">
        <v>30161</v>
      </c>
      <c r="D149" s="10">
        <v>22612</v>
      </c>
      <c r="E149" s="10">
        <v>39499</v>
      </c>
      <c r="F149" s="10">
        <v>20482</v>
      </c>
      <c r="G149" s="10">
        <v>19017</v>
      </c>
      <c r="H149" s="10">
        <v>13218</v>
      </c>
      <c r="I149" s="10">
        <v>9643</v>
      </c>
      <c r="J149" s="10">
        <v>3575</v>
      </c>
    </row>
    <row r="150" spans="1:10">
      <c r="A150" s="379" t="s">
        <v>54</v>
      </c>
      <c r="B150" s="380"/>
      <c r="C150" s="380"/>
      <c r="D150" s="380"/>
      <c r="E150" s="380"/>
      <c r="F150" s="380"/>
      <c r="G150" s="380"/>
      <c r="H150" s="380"/>
      <c r="I150" s="380"/>
      <c r="J150" s="381"/>
    </row>
    <row r="151" spans="1:10">
      <c r="A151" s="9" t="s">
        <v>28</v>
      </c>
      <c r="B151" s="10">
        <v>56206</v>
      </c>
      <c r="C151" s="10">
        <v>28627</v>
      </c>
      <c r="D151" s="10">
        <v>27579</v>
      </c>
      <c r="E151" s="10">
        <v>53117</v>
      </c>
      <c r="F151" s="10">
        <v>26651</v>
      </c>
      <c r="G151" s="10">
        <v>26466</v>
      </c>
      <c r="H151" s="10">
        <v>3061</v>
      </c>
      <c r="I151" s="10">
        <v>1955</v>
      </c>
      <c r="J151" s="10">
        <v>1106</v>
      </c>
    </row>
    <row r="152" spans="1:10">
      <c r="A152" s="5" t="s">
        <v>29</v>
      </c>
      <c r="B152" s="11">
        <v>6321</v>
      </c>
      <c r="C152" s="11">
        <v>3506</v>
      </c>
      <c r="D152" s="11">
        <v>2815</v>
      </c>
      <c r="E152" s="11">
        <v>5444</v>
      </c>
      <c r="F152" s="11">
        <v>2911</v>
      </c>
      <c r="G152" s="11">
        <v>2533</v>
      </c>
      <c r="H152" s="11">
        <v>873</v>
      </c>
      <c r="I152" s="11">
        <v>591</v>
      </c>
      <c r="J152" s="11">
        <v>282</v>
      </c>
    </row>
    <row r="153" spans="1:10">
      <c r="A153" s="9" t="s">
        <v>30</v>
      </c>
      <c r="B153" s="10">
        <v>39094</v>
      </c>
      <c r="C153" s="10">
        <v>19310</v>
      </c>
      <c r="D153" s="10">
        <v>19784</v>
      </c>
      <c r="E153" s="10">
        <v>38059</v>
      </c>
      <c r="F153" s="10">
        <v>18670</v>
      </c>
      <c r="G153" s="10">
        <v>19389</v>
      </c>
      <c r="H153" s="10">
        <v>1020</v>
      </c>
      <c r="I153" s="10">
        <v>629</v>
      </c>
      <c r="J153" s="10">
        <v>391</v>
      </c>
    </row>
    <row r="154" spans="1:10">
      <c r="A154" s="5" t="s">
        <v>31</v>
      </c>
      <c r="B154" s="11">
        <v>6242</v>
      </c>
      <c r="C154" s="11">
        <v>3428</v>
      </c>
      <c r="D154" s="11">
        <v>2814</v>
      </c>
      <c r="E154" s="11">
        <v>5804</v>
      </c>
      <c r="F154" s="11">
        <v>3167</v>
      </c>
      <c r="G154" s="11">
        <v>2637</v>
      </c>
      <c r="H154" s="11">
        <v>437</v>
      </c>
      <c r="I154" s="11">
        <v>260</v>
      </c>
      <c r="J154" s="11">
        <v>177</v>
      </c>
    </row>
    <row r="155" spans="1:10">
      <c r="A155" s="9" t="s">
        <v>32</v>
      </c>
      <c r="B155" s="10">
        <v>4549</v>
      </c>
      <c r="C155" s="10">
        <v>2383</v>
      </c>
      <c r="D155" s="10">
        <v>2166</v>
      </c>
      <c r="E155" s="10">
        <v>3810</v>
      </c>
      <c r="F155" s="10">
        <v>1903</v>
      </c>
      <c r="G155" s="10">
        <v>1907</v>
      </c>
      <c r="H155" s="10">
        <v>731</v>
      </c>
      <c r="I155" s="10">
        <v>475</v>
      </c>
      <c r="J155" s="10">
        <v>256</v>
      </c>
    </row>
    <row r="156" spans="1:10">
      <c r="A156" s="379" t="s">
        <v>55</v>
      </c>
      <c r="B156" s="380"/>
      <c r="C156" s="380"/>
      <c r="D156" s="380"/>
      <c r="E156" s="380"/>
      <c r="F156" s="380"/>
      <c r="G156" s="380"/>
      <c r="H156" s="380"/>
      <c r="I156" s="380"/>
      <c r="J156" s="381"/>
    </row>
    <row r="157" spans="1:10">
      <c r="A157" s="9" t="s">
        <v>28</v>
      </c>
      <c r="B157" s="10">
        <v>45849</v>
      </c>
      <c r="C157" s="10">
        <v>22184</v>
      </c>
      <c r="D157" s="10">
        <v>23665</v>
      </c>
      <c r="E157" s="10">
        <v>42070</v>
      </c>
      <c r="F157" s="10">
        <v>19751</v>
      </c>
      <c r="G157" s="10">
        <v>22319</v>
      </c>
      <c r="H157" s="10">
        <v>3769</v>
      </c>
      <c r="I157" s="10">
        <v>2426</v>
      </c>
      <c r="J157" s="10">
        <v>1343</v>
      </c>
    </row>
    <row r="158" spans="1:10">
      <c r="A158" s="5" t="s">
        <v>29</v>
      </c>
      <c r="B158" s="11">
        <v>6170</v>
      </c>
      <c r="C158" s="11">
        <v>3273</v>
      </c>
      <c r="D158" s="11">
        <v>2897</v>
      </c>
      <c r="E158" s="11">
        <v>5299</v>
      </c>
      <c r="F158" s="11">
        <v>2751</v>
      </c>
      <c r="G158" s="11">
        <v>2548</v>
      </c>
      <c r="H158" s="11">
        <v>868</v>
      </c>
      <c r="I158" s="11">
        <v>521</v>
      </c>
      <c r="J158" s="11">
        <v>347</v>
      </c>
    </row>
    <row r="159" spans="1:10">
      <c r="A159" s="9" t="s">
        <v>30</v>
      </c>
      <c r="B159" s="10">
        <v>30582</v>
      </c>
      <c r="C159" s="10">
        <v>14209</v>
      </c>
      <c r="D159" s="10">
        <v>16373</v>
      </c>
      <c r="E159" s="10">
        <v>29531</v>
      </c>
      <c r="F159" s="10">
        <v>13574</v>
      </c>
      <c r="G159" s="10">
        <v>15957</v>
      </c>
      <c r="H159" s="10">
        <v>1048</v>
      </c>
      <c r="I159" s="10">
        <v>632</v>
      </c>
      <c r="J159" s="10">
        <v>416</v>
      </c>
    </row>
    <row r="160" spans="1:10">
      <c r="A160" s="5" t="s">
        <v>31</v>
      </c>
      <c r="B160" s="11">
        <v>3226</v>
      </c>
      <c r="C160" s="11">
        <v>1576</v>
      </c>
      <c r="D160" s="11">
        <v>1650</v>
      </c>
      <c r="E160" s="11">
        <v>2973</v>
      </c>
      <c r="F160" s="11">
        <v>1439</v>
      </c>
      <c r="G160" s="11">
        <v>1534</v>
      </c>
      <c r="H160" s="11">
        <v>250</v>
      </c>
      <c r="I160" s="11">
        <v>135</v>
      </c>
      <c r="J160" s="11">
        <v>115</v>
      </c>
    </row>
    <row r="161" spans="1:10">
      <c r="A161" s="9" t="s">
        <v>32</v>
      </c>
      <c r="B161" s="10">
        <v>5871</v>
      </c>
      <c r="C161" s="10">
        <v>3126</v>
      </c>
      <c r="D161" s="10">
        <v>2745</v>
      </c>
      <c r="E161" s="10">
        <v>4267</v>
      </c>
      <c r="F161" s="10">
        <v>1987</v>
      </c>
      <c r="G161" s="10">
        <v>2280</v>
      </c>
      <c r="H161" s="10">
        <v>1603</v>
      </c>
      <c r="I161" s="10">
        <v>1138</v>
      </c>
      <c r="J161" s="10">
        <v>465</v>
      </c>
    </row>
    <row r="162" spans="1:10">
      <c r="A162" s="379" t="s">
        <v>56</v>
      </c>
      <c r="B162" s="380"/>
      <c r="C162" s="380"/>
      <c r="D162" s="380"/>
      <c r="E162" s="380"/>
      <c r="F162" s="380"/>
      <c r="G162" s="380"/>
      <c r="H162" s="380"/>
      <c r="I162" s="380"/>
      <c r="J162" s="381"/>
    </row>
    <row r="163" spans="1:10">
      <c r="A163" s="9" t="s">
        <v>28</v>
      </c>
      <c r="B163" s="10">
        <v>61567</v>
      </c>
      <c r="C163" s="10">
        <v>32129</v>
      </c>
      <c r="D163" s="10">
        <v>29438</v>
      </c>
      <c r="E163" s="10">
        <v>55315</v>
      </c>
      <c r="F163" s="10">
        <v>27747</v>
      </c>
      <c r="G163" s="10">
        <v>27568</v>
      </c>
      <c r="H163" s="10">
        <v>6224</v>
      </c>
      <c r="I163" s="10">
        <v>4363</v>
      </c>
      <c r="J163" s="10">
        <v>1861</v>
      </c>
    </row>
    <row r="164" spans="1:10">
      <c r="A164" s="5" t="s">
        <v>29</v>
      </c>
      <c r="B164" s="11">
        <v>6622</v>
      </c>
      <c r="C164" s="11">
        <v>4052</v>
      </c>
      <c r="D164" s="11">
        <v>2570</v>
      </c>
      <c r="E164" s="11">
        <v>5418</v>
      </c>
      <c r="F164" s="11">
        <v>3180</v>
      </c>
      <c r="G164" s="11">
        <v>2238</v>
      </c>
      <c r="H164" s="11">
        <v>1201</v>
      </c>
      <c r="I164" s="11">
        <v>869</v>
      </c>
      <c r="J164" s="11">
        <v>332</v>
      </c>
    </row>
    <row r="165" spans="1:10">
      <c r="A165" s="9" t="s">
        <v>30</v>
      </c>
      <c r="B165" s="10">
        <v>40802</v>
      </c>
      <c r="C165" s="10">
        <v>20006</v>
      </c>
      <c r="D165" s="10">
        <v>20796</v>
      </c>
      <c r="E165" s="10">
        <v>38970</v>
      </c>
      <c r="F165" s="10">
        <v>18850</v>
      </c>
      <c r="G165" s="10">
        <v>20120</v>
      </c>
      <c r="H165" s="10">
        <v>1815</v>
      </c>
      <c r="I165" s="10">
        <v>1145</v>
      </c>
      <c r="J165" s="10">
        <v>670</v>
      </c>
    </row>
    <row r="166" spans="1:10">
      <c r="A166" s="5" t="s">
        <v>31</v>
      </c>
      <c r="B166" s="11">
        <v>5460</v>
      </c>
      <c r="C166" s="11">
        <v>2593</v>
      </c>
      <c r="D166" s="11">
        <v>2867</v>
      </c>
      <c r="E166" s="11">
        <v>5081</v>
      </c>
      <c r="F166" s="11">
        <v>2421</v>
      </c>
      <c r="G166" s="11">
        <v>2660</v>
      </c>
      <c r="H166" s="11">
        <v>379</v>
      </c>
      <c r="I166" s="11">
        <v>172</v>
      </c>
      <c r="J166" s="11">
        <v>207</v>
      </c>
    </row>
    <row r="167" spans="1:10">
      <c r="A167" s="9" t="s">
        <v>32</v>
      </c>
      <c r="B167" s="10">
        <v>8683</v>
      </c>
      <c r="C167" s="10">
        <v>5478</v>
      </c>
      <c r="D167" s="10">
        <v>3205</v>
      </c>
      <c r="E167" s="10">
        <v>5846</v>
      </c>
      <c r="F167" s="10">
        <v>3296</v>
      </c>
      <c r="G167" s="10">
        <v>2550</v>
      </c>
      <c r="H167" s="10">
        <v>2829</v>
      </c>
      <c r="I167" s="10">
        <v>2177</v>
      </c>
      <c r="J167" s="10">
        <v>652</v>
      </c>
    </row>
    <row r="168" spans="1:10">
      <c r="A168" s="379" t="s">
        <v>57</v>
      </c>
      <c r="B168" s="380"/>
      <c r="C168" s="380"/>
      <c r="D168" s="380"/>
      <c r="E168" s="380"/>
      <c r="F168" s="380"/>
      <c r="G168" s="380"/>
      <c r="H168" s="380"/>
      <c r="I168" s="380"/>
      <c r="J168" s="381"/>
    </row>
    <row r="169" spans="1:10">
      <c r="A169" s="9" t="s">
        <v>28</v>
      </c>
      <c r="B169" s="10">
        <v>13948</v>
      </c>
      <c r="C169" s="10">
        <v>6812</v>
      </c>
      <c r="D169" s="10">
        <v>7136</v>
      </c>
      <c r="E169" s="10">
        <v>13293</v>
      </c>
      <c r="F169" s="10">
        <v>6441</v>
      </c>
      <c r="G169" s="10">
        <v>6852</v>
      </c>
      <c r="H169" s="10">
        <v>654</v>
      </c>
      <c r="I169" s="10">
        <v>370</v>
      </c>
      <c r="J169" s="10">
        <v>284</v>
      </c>
    </row>
    <row r="170" spans="1:10">
      <c r="A170" s="5" t="s">
        <v>29</v>
      </c>
      <c r="B170" s="11">
        <v>1269</v>
      </c>
      <c r="C170" s="11">
        <v>656</v>
      </c>
      <c r="D170" s="11">
        <v>613</v>
      </c>
      <c r="E170" s="11">
        <v>1161</v>
      </c>
      <c r="F170" s="11">
        <v>594</v>
      </c>
      <c r="G170" s="11">
        <v>567</v>
      </c>
      <c r="H170" s="11">
        <v>108</v>
      </c>
      <c r="I170" s="11">
        <v>62</v>
      </c>
      <c r="J170" s="11">
        <v>46</v>
      </c>
    </row>
    <row r="171" spans="1:10">
      <c r="A171" s="9" t="s">
        <v>30</v>
      </c>
      <c r="B171" s="10">
        <v>9997</v>
      </c>
      <c r="C171" s="10">
        <v>4823</v>
      </c>
      <c r="D171" s="10">
        <v>5174</v>
      </c>
      <c r="E171" s="10">
        <v>9799</v>
      </c>
      <c r="F171" s="10">
        <v>4702</v>
      </c>
      <c r="G171" s="10">
        <v>5097</v>
      </c>
      <c r="H171" s="10">
        <v>197</v>
      </c>
      <c r="I171" s="10">
        <v>120</v>
      </c>
      <c r="J171" s="10">
        <v>77</v>
      </c>
    </row>
    <row r="172" spans="1:10">
      <c r="A172" s="5" t="s">
        <v>31</v>
      </c>
      <c r="B172" s="11">
        <v>1088</v>
      </c>
      <c r="C172" s="11">
        <v>479</v>
      </c>
      <c r="D172" s="11">
        <v>609</v>
      </c>
      <c r="E172" s="11">
        <v>1032</v>
      </c>
      <c r="F172" s="11">
        <v>450</v>
      </c>
      <c r="G172" s="11">
        <v>582</v>
      </c>
      <c r="H172" s="11">
        <v>56</v>
      </c>
      <c r="I172" s="11">
        <v>29</v>
      </c>
      <c r="J172" s="11">
        <v>27</v>
      </c>
    </row>
    <row r="173" spans="1:10">
      <c r="A173" s="9" t="s">
        <v>32</v>
      </c>
      <c r="B173" s="10">
        <v>1594</v>
      </c>
      <c r="C173" s="10">
        <v>854</v>
      </c>
      <c r="D173" s="10">
        <v>740</v>
      </c>
      <c r="E173" s="10">
        <v>1301</v>
      </c>
      <c r="F173" s="10">
        <v>695</v>
      </c>
      <c r="G173" s="10">
        <v>606</v>
      </c>
      <c r="H173" s="10">
        <v>293</v>
      </c>
      <c r="I173" s="10">
        <v>159</v>
      </c>
      <c r="J173" s="10">
        <v>134</v>
      </c>
    </row>
    <row r="174" spans="1:10">
      <c r="A174" s="379" t="s">
        <v>58</v>
      </c>
      <c r="B174" s="380"/>
      <c r="C174" s="380"/>
      <c r="D174" s="380"/>
      <c r="E174" s="380"/>
      <c r="F174" s="380"/>
      <c r="G174" s="380"/>
      <c r="H174" s="380"/>
      <c r="I174" s="380"/>
      <c r="J174" s="381"/>
    </row>
    <row r="175" spans="1:10">
      <c r="A175" s="9" t="s">
        <v>28</v>
      </c>
      <c r="B175" s="10">
        <v>56613</v>
      </c>
      <c r="C175" s="10">
        <v>28155</v>
      </c>
      <c r="D175" s="10">
        <v>28458</v>
      </c>
      <c r="E175" s="10">
        <v>53453</v>
      </c>
      <c r="F175" s="10">
        <v>26159</v>
      </c>
      <c r="G175" s="10">
        <v>27294</v>
      </c>
      <c r="H175" s="10">
        <v>3125</v>
      </c>
      <c r="I175" s="10">
        <v>1975</v>
      </c>
      <c r="J175" s="10">
        <v>1150</v>
      </c>
    </row>
    <row r="176" spans="1:10">
      <c r="A176" s="5" t="s">
        <v>29</v>
      </c>
      <c r="B176" s="11">
        <v>7320</v>
      </c>
      <c r="C176" s="11">
        <v>4157</v>
      </c>
      <c r="D176" s="11">
        <v>3163</v>
      </c>
      <c r="E176" s="11">
        <v>6606</v>
      </c>
      <c r="F176" s="11">
        <v>3655</v>
      </c>
      <c r="G176" s="11">
        <v>2951</v>
      </c>
      <c r="H176" s="11">
        <v>708</v>
      </c>
      <c r="I176" s="11">
        <v>496</v>
      </c>
      <c r="J176" s="11">
        <v>212</v>
      </c>
    </row>
    <row r="177" spans="1:10">
      <c r="A177" s="9" t="s">
        <v>30</v>
      </c>
      <c r="B177" s="10">
        <v>36803</v>
      </c>
      <c r="C177" s="10">
        <v>17844</v>
      </c>
      <c r="D177" s="10">
        <v>18959</v>
      </c>
      <c r="E177" s="10">
        <v>35737</v>
      </c>
      <c r="F177" s="10">
        <v>17174</v>
      </c>
      <c r="G177" s="10">
        <v>18563</v>
      </c>
      <c r="H177" s="10">
        <v>1046</v>
      </c>
      <c r="I177" s="10">
        <v>659</v>
      </c>
      <c r="J177" s="10">
        <v>387</v>
      </c>
    </row>
    <row r="178" spans="1:10">
      <c r="A178" s="5" t="s">
        <v>31</v>
      </c>
      <c r="B178" s="11">
        <v>7426</v>
      </c>
      <c r="C178" s="11">
        <v>3459</v>
      </c>
      <c r="D178" s="11">
        <v>3967</v>
      </c>
      <c r="E178" s="11">
        <v>6970</v>
      </c>
      <c r="F178" s="11">
        <v>3252</v>
      </c>
      <c r="G178" s="11">
        <v>3718</v>
      </c>
      <c r="H178" s="11">
        <v>455</v>
      </c>
      <c r="I178" s="11">
        <v>206</v>
      </c>
      <c r="J178" s="11">
        <v>249</v>
      </c>
    </row>
    <row r="179" spans="1:10">
      <c r="A179" s="9" t="s">
        <v>32</v>
      </c>
      <c r="B179" s="10">
        <v>5064</v>
      </c>
      <c r="C179" s="10">
        <v>2695</v>
      </c>
      <c r="D179" s="10">
        <v>2369</v>
      </c>
      <c r="E179" s="10">
        <v>4140</v>
      </c>
      <c r="F179" s="10">
        <v>2078</v>
      </c>
      <c r="G179" s="10">
        <v>2062</v>
      </c>
      <c r="H179" s="10">
        <v>916</v>
      </c>
      <c r="I179" s="10">
        <v>614</v>
      </c>
      <c r="J179" s="10">
        <v>302</v>
      </c>
    </row>
    <row r="180" spans="1:10">
      <c r="A180" s="379" t="s">
        <v>59</v>
      </c>
      <c r="B180" s="380"/>
      <c r="C180" s="380"/>
      <c r="D180" s="380"/>
      <c r="E180" s="380"/>
      <c r="F180" s="380"/>
      <c r="G180" s="380"/>
      <c r="H180" s="380"/>
      <c r="I180" s="380"/>
      <c r="J180" s="381"/>
    </row>
    <row r="181" spans="1:10">
      <c r="A181" s="9" t="s">
        <v>28</v>
      </c>
      <c r="B181" s="10">
        <v>25509</v>
      </c>
      <c r="C181" s="10">
        <v>12717</v>
      </c>
      <c r="D181" s="10">
        <v>12792</v>
      </c>
      <c r="E181" s="10">
        <v>24011</v>
      </c>
      <c r="F181" s="10">
        <v>11709</v>
      </c>
      <c r="G181" s="10">
        <v>12302</v>
      </c>
      <c r="H181" s="10">
        <v>1491</v>
      </c>
      <c r="I181" s="10">
        <v>1002</v>
      </c>
      <c r="J181" s="10">
        <v>489</v>
      </c>
    </row>
    <row r="182" spans="1:10">
      <c r="A182" s="5" t="s">
        <v>29</v>
      </c>
      <c r="B182" s="11">
        <v>3100</v>
      </c>
      <c r="C182" s="11">
        <v>1632</v>
      </c>
      <c r="D182" s="11">
        <v>1468</v>
      </c>
      <c r="E182" s="11">
        <v>2754</v>
      </c>
      <c r="F182" s="11">
        <v>1386</v>
      </c>
      <c r="G182" s="11">
        <v>1368</v>
      </c>
      <c r="H182" s="11">
        <v>346</v>
      </c>
      <c r="I182" s="11">
        <v>246</v>
      </c>
      <c r="J182" s="11">
        <v>100</v>
      </c>
    </row>
    <row r="183" spans="1:10">
      <c r="A183" s="9" t="s">
        <v>30</v>
      </c>
      <c r="B183" s="10">
        <v>17391</v>
      </c>
      <c r="C183" s="10">
        <v>8560</v>
      </c>
      <c r="D183" s="10">
        <v>8831</v>
      </c>
      <c r="E183" s="10">
        <v>16879</v>
      </c>
      <c r="F183" s="10">
        <v>8211</v>
      </c>
      <c r="G183" s="10">
        <v>8668</v>
      </c>
      <c r="H183" s="10">
        <v>506</v>
      </c>
      <c r="I183" s="10">
        <v>344</v>
      </c>
      <c r="J183" s="10">
        <v>162</v>
      </c>
    </row>
    <row r="184" spans="1:10">
      <c r="A184" s="5" t="s">
        <v>31</v>
      </c>
      <c r="B184" s="11">
        <v>2047</v>
      </c>
      <c r="C184" s="11">
        <v>969</v>
      </c>
      <c r="D184" s="11">
        <v>1078</v>
      </c>
      <c r="E184" s="11">
        <v>1892</v>
      </c>
      <c r="F184" s="11">
        <v>885</v>
      </c>
      <c r="G184" s="11">
        <v>1007</v>
      </c>
      <c r="H184" s="11">
        <v>155</v>
      </c>
      <c r="I184" s="11">
        <v>84</v>
      </c>
      <c r="J184" s="11">
        <v>71</v>
      </c>
    </row>
    <row r="185" spans="1:10">
      <c r="A185" s="9" t="s">
        <v>32</v>
      </c>
      <c r="B185" s="10">
        <v>2971</v>
      </c>
      <c r="C185" s="10">
        <v>1556</v>
      </c>
      <c r="D185" s="10">
        <v>1415</v>
      </c>
      <c r="E185" s="10">
        <v>2486</v>
      </c>
      <c r="F185" s="10">
        <v>1227</v>
      </c>
      <c r="G185" s="10">
        <v>1259</v>
      </c>
      <c r="H185" s="10">
        <v>484</v>
      </c>
      <c r="I185" s="10">
        <v>328</v>
      </c>
      <c r="J185" s="10">
        <v>156</v>
      </c>
    </row>
    <row r="186" spans="1:10">
      <c r="A186" s="379" t="s">
        <v>60</v>
      </c>
      <c r="B186" s="380"/>
      <c r="C186" s="380"/>
      <c r="D186" s="380"/>
      <c r="E186" s="380"/>
      <c r="F186" s="380"/>
      <c r="G186" s="380"/>
      <c r="H186" s="380"/>
      <c r="I186" s="380"/>
      <c r="J186" s="381"/>
    </row>
    <row r="187" spans="1:10">
      <c r="A187" s="9" t="s">
        <v>28</v>
      </c>
      <c r="B187" s="10">
        <v>55408</v>
      </c>
      <c r="C187" s="10">
        <v>29212</v>
      </c>
      <c r="D187" s="10">
        <v>26196</v>
      </c>
      <c r="E187" s="10">
        <v>52020</v>
      </c>
      <c r="F187" s="10">
        <v>26925</v>
      </c>
      <c r="G187" s="10">
        <v>25095</v>
      </c>
      <c r="H187" s="10">
        <v>3356</v>
      </c>
      <c r="I187" s="10">
        <v>2263</v>
      </c>
      <c r="J187" s="10">
        <v>1093</v>
      </c>
    </row>
    <row r="188" spans="1:10">
      <c r="A188" s="5" t="s">
        <v>29</v>
      </c>
      <c r="B188" s="11">
        <v>7343</v>
      </c>
      <c r="C188" s="11">
        <v>4153</v>
      </c>
      <c r="D188" s="11">
        <v>3190</v>
      </c>
      <c r="E188" s="11">
        <v>6690</v>
      </c>
      <c r="F188" s="11">
        <v>3687</v>
      </c>
      <c r="G188" s="11">
        <v>3003</v>
      </c>
      <c r="H188" s="11">
        <v>649</v>
      </c>
      <c r="I188" s="11">
        <v>462</v>
      </c>
      <c r="J188" s="11">
        <v>187</v>
      </c>
    </row>
    <row r="189" spans="1:10">
      <c r="A189" s="9" t="s">
        <v>30</v>
      </c>
      <c r="B189" s="10">
        <v>38514</v>
      </c>
      <c r="C189" s="10">
        <v>19962</v>
      </c>
      <c r="D189" s="10">
        <v>18552</v>
      </c>
      <c r="E189" s="10">
        <v>37254</v>
      </c>
      <c r="F189" s="10">
        <v>19157</v>
      </c>
      <c r="G189" s="10">
        <v>18097</v>
      </c>
      <c r="H189" s="10">
        <v>1249</v>
      </c>
      <c r="I189" s="10">
        <v>798</v>
      </c>
      <c r="J189" s="10">
        <v>451</v>
      </c>
    </row>
    <row r="190" spans="1:10">
      <c r="A190" s="5" t="s">
        <v>31</v>
      </c>
      <c r="B190" s="11">
        <v>4260</v>
      </c>
      <c r="C190" s="11">
        <v>2081</v>
      </c>
      <c r="D190" s="11">
        <v>2179</v>
      </c>
      <c r="E190" s="11">
        <v>3958</v>
      </c>
      <c r="F190" s="11">
        <v>1934</v>
      </c>
      <c r="G190" s="11">
        <v>2024</v>
      </c>
      <c r="H190" s="11">
        <v>299</v>
      </c>
      <c r="I190" s="11">
        <v>145</v>
      </c>
      <c r="J190" s="11">
        <v>154</v>
      </c>
    </row>
    <row r="191" spans="1:10">
      <c r="A191" s="9" t="s">
        <v>32</v>
      </c>
      <c r="B191" s="10">
        <v>5291</v>
      </c>
      <c r="C191" s="10">
        <v>3016</v>
      </c>
      <c r="D191" s="10">
        <v>2275</v>
      </c>
      <c r="E191" s="10">
        <v>4118</v>
      </c>
      <c r="F191" s="10">
        <v>2147</v>
      </c>
      <c r="G191" s="10">
        <v>1971</v>
      </c>
      <c r="H191" s="10">
        <v>1159</v>
      </c>
      <c r="I191" s="10">
        <v>858</v>
      </c>
      <c r="J191" s="10">
        <v>301</v>
      </c>
    </row>
    <row r="192" spans="1:10">
      <c r="A192" s="379" t="s">
        <v>61</v>
      </c>
      <c r="B192" s="380"/>
      <c r="C192" s="380"/>
      <c r="D192" s="380"/>
      <c r="E192" s="380"/>
      <c r="F192" s="380"/>
      <c r="G192" s="380"/>
      <c r="H192" s="380"/>
      <c r="I192" s="380"/>
      <c r="J192" s="381"/>
    </row>
    <row r="193" spans="1:10">
      <c r="A193" s="9" t="s">
        <v>28</v>
      </c>
      <c r="B193" s="10">
        <v>46217</v>
      </c>
      <c r="C193" s="10">
        <v>24222</v>
      </c>
      <c r="D193" s="10">
        <v>21995</v>
      </c>
      <c r="E193" s="10">
        <v>42909</v>
      </c>
      <c r="F193" s="10">
        <v>22042</v>
      </c>
      <c r="G193" s="10">
        <v>20867</v>
      </c>
      <c r="H193" s="10">
        <v>3290</v>
      </c>
      <c r="I193" s="10">
        <v>2171</v>
      </c>
      <c r="J193" s="10">
        <v>1119</v>
      </c>
    </row>
    <row r="194" spans="1:10">
      <c r="A194" s="5" t="s">
        <v>29</v>
      </c>
      <c r="B194" s="11">
        <v>6132</v>
      </c>
      <c r="C194" s="11">
        <v>3383</v>
      </c>
      <c r="D194" s="11">
        <v>2749</v>
      </c>
      <c r="E194" s="11">
        <v>5432</v>
      </c>
      <c r="F194" s="11">
        <v>2933</v>
      </c>
      <c r="G194" s="11">
        <v>2499</v>
      </c>
      <c r="H194" s="11">
        <v>695</v>
      </c>
      <c r="I194" s="11">
        <v>447</v>
      </c>
      <c r="J194" s="11">
        <v>248</v>
      </c>
    </row>
    <row r="195" spans="1:10">
      <c r="A195" s="9" t="s">
        <v>30</v>
      </c>
      <c r="B195" s="10">
        <v>32724</v>
      </c>
      <c r="C195" s="10">
        <v>16794</v>
      </c>
      <c r="D195" s="10">
        <v>15930</v>
      </c>
      <c r="E195" s="10">
        <v>31538</v>
      </c>
      <c r="F195" s="10">
        <v>16033</v>
      </c>
      <c r="G195" s="10">
        <v>15505</v>
      </c>
      <c r="H195" s="10">
        <v>1177</v>
      </c>
      <c r="I195" s="10">
        <v>759</v>
      </c>
      <c r="J195" s="10">
        <v>418</v>
      </c>
    </row>
    <row r="196" spans="1:10">
      <c r="A196" s="5" t="s">
        <v>31</v>
      </c>
      <c r="B196" s="11">
        <v>3200</v>
      </c>
      <c r="C196" s="11">
        <v>1671</v>
      </c>
      <c r="D196" s="11">
        <v>1529</v>
      </c>
      <c r="E196" s="11">
        <v>2952</v>
      </c>
      <c r="F196" s="11">
        <v>1532</v>
      </c>
      <c r="G196" s="11">
        <v>1420</v>
      </c>
      <c r="H196" s="11">
        <v>248</v>
      </c>
      <c r="I196" s="11">
        <v>139</v>
      </c>
      <c r="J196" s="11">
        <v>109</v>
      </c>
    </row>
    <row r="197" spans="1:10">
      <c r="A197" s="9" t="s">
        <v>32</v>
      </c>
      <c r="B197" s="10">
        <v>4161</v>
      </c>
      <c r="C197" s="10">
        <v>2374</v>
      </c>
      <c r="D197" s="10">
        <v>1787</v>
      </c>
      <c r="E197" s="10">
        <v>2987</v>
      </c>
      <c r="F197" s="10">
        <v>1544</v>
      </c>
      <c r="G197" s="10">
        <v>1443</v>
      </c>
      <c r="H197" s="10">
        <v>1170</v>
      </c>
      <c r="I197" s="10">
        <v>826</v>
      </c>
      <c r="J197" s="10">
        <v>344</v>
      </c>
    </row>
    <row r="198" spans="1:10">
      <c r="A198" s="379" t="s">
        <v>62</v>
      </c>
      <c r="B198" s="380"/>
      <c r="C198" s="380"/>
      <c r="D198" s="380"/>
      <c r="E198" s="380"/>
      <c r="F198" s="380"/>
      <c r="G198" s="380"/>
      <c r="H198" s="380"/>
      <c r="I198" s="380"/>
      <c r="J198" s="381"/>
    </row>
    <row r="199" spans="1:10">
      <c r="A199" s="9" t="s">
        <v>28</v>
      </c>
      <c r="B199" s="10">
        <v>60820</v>
      </c>
      <c r="C199" s="10">
        <v>32158</v>
      </c>
      <c r="D199" s="10">
        <v>28662</v>
      </c>
      <c r="E199" s="10">
        <v>56288</v>
      </c>
      <c r="F199" s="10">
        <v>28906</v>
      </c>
      <c r="G199" s="10">
        <v>27382</v>
      </c>
      <c r="H199" s="10">
        <v>4514</v>
      </c>
      <c r="I199" s="10">
        <v>3241</v>
      </c>
      <c r="J199" s="10">
        <v>1273</v>
      </c>
    </row>
    <row r="200" spans="1:10">
      <c r="A200" s="5" t="s">
        <v>29</v>
      </c>
      <c r="B200" s="11">
        <v>7766</v>
      </c>
      <c r="C200" s="11">
        <v>4321</v>
      </c>
      <c r="D200" s="11">
        <v>3445</v>
      </c>
      <c r="E200" s="11">
        <v>6934</v>
      </c>
      <c r="F200" s="11">
        <v>3773</v>
      </c>
      <c r="G200" s="11">
        <v>3161</v>
      </c>
      <c r="H200" s="11">
        <v>829</v>
      </c>
      <c r="I200" s="11">
        <v>545</v>
      </c>
      <c r="J200" s="11">
        <v>284</v>
      </c>
    </row>
    <row r="201" spans="1:10">
      <c r="A201" s="9" t="s">
        <v>30</v>
      </c>
      <c r="B201" s="10">
        <v>40635</v>
      </c>
      <c r="C201" s="10">
        <v>20515</v>
      </c>
      <c r="D201" s="10">
        <v>20120</v>
      </c>
      <c r="E201" s="10">
        <v>39457</v>
      </c>
      <c r="F201" s="10">
        <v>19750</v>
      </c>
      <c r="G201" s="10">
        <v>19707</v>
      </c>
      <c r="H201" s="10">
        <v>1172</v>
      </c>
      <c r="I201" s="10">
        <v>763</v>
      </c>
      <c r="J201" s="10">
        <v>409</v>
      </c>
    </row>
    <row r="202" spans="1:10">
      <c r="A202" s="5" t="s">
        <v>31</v>
      </c>
      <c r="B202" s="11">
        <v>5847</v>
      </c>
      <c r="C202" s="11">
        <v>3139</v>
      </c>
      <c r="D202" s="11">
        <v>2708</v>
      </c>
      <c r="E202" s="11">
        <v>5484</v>
      </c>
      <c r="F202" s="11">
        <v>2955</v>
      </c>
      <c r="G202" s="11">
        <v>2529</v>
      </c>
      <c r="H202" s="11">
        <v>361</v>
      </c>
      <c r="I202" s="11">
        <v>183</v>
      </c>
      <c r="J202" s="11">
        <v>178</v>
      </c>
    </row>
    <row r="203" spans="1:10">
      <c r="A203" s="9" t="s">
        <v>32</v>
      </c>
      <c r="B203" s="10">
        <v>6572</v>
      </c>
      <c r="C203" s="10">
        <v>4183</v>
      </c>
      <c r="D203" s="10">
        <v>2389</v>
      </c>
      <c r="E203" s="10">
        <v>4413</v>
      </c>
      <c r="F203" s="10">
        <v>2428</v>
      </c>
      <c r="G203" s="10">
        <v>1985</v>
      </c>
      <c r="H203" s="10">
        <v>2152</v>
      </c>
      <c r="I203" s="10">
        <v>1750</v>
      </c>
      <c r="J203" s="10">
        <v>402</v>
      </c>
    </row>
    <row r="204" spans="1:10">
      <c r="A204" s="379" t="s">
        <v>63</v>
      </c>
      <c r="B204" s="380"/>
      <c r="C204" s="380"/>
      <c r="D204" s="380"/>
      <c r="E204" s="380"/>
      <c r="F204" s="380"/>
      <c r="G204" s="380"/>
      <c r="H204" s="380"/>
      <c r="I204" s="380"/>
      <c r="J204" s="381"/>
    </row>
    <row r="205" spans="1:10">
      <c r="A205" s="9" t="s">
        <v>28</v>
      </c>
      <c r="B205" s="10">
        <v>29277</v>
      </c>
      <c r="C205" s="10">
        <v>13989</v>
      </c>
      <c r="D205" s="10">
        <v>15288</v>
      </c>
      <c r="E205" s="10">
        <v>28024</v>
      </c>
      <c r="F205" s="10">
        <v>13235</v>
      </c>
      <c r="G205" s="10">
        <v>14789</v>
      </c>
      <c r="H205" s="10">
        <v>1245</v>
      </c>
      <c r="I205" s="10">
        <v>750</v>
      </c>
      <c r="J205" s="10">
        <v>495</v>
      </c>
    </row>
    <row r="206" spans="1:10">
      <c r="A206" s="5" t="s">
        <v>29</v>
      </c>
      <c r="B206" s="11">
        <v>3276</v>
      </c>
      <c r="C206" s="11">
        <v>1723</v>
      </c>
      <c r="D206" s="11">
        <v>1553</v>
      </c>
      <c r="E206" s="11">
        <v>3053</v>
      </c>
      <c r="F206" s="11">
        <v>1590</v>
      </c>
      <c r="G206" s="11">
        <v>1463</v>
      </c>
      <c r="H206" s="11">
        <v>222</v>
      </c>
      <c r="I206" s="11">
        <v>133</v>
      </c>
      <c r="J206" s="11">
        <v>89</v>
      </c>
    </row>
    <row r="207" spans="1:10">
      <c r="A207" s="9" t="s">
        <v>30</v>
      </c>
      <c r="B207" s="10">
        <v>20453</v>
      </c>
      <c r="C207" s="10">
        <v>9537</v>
      </c>
      <c r="D207" s="10">
        <v>10916</v>
      </c>
      <c r="E207" s="10">
        <v>20040</v>
      </c>
      <c r="F207" s="10">
        <v>9307</v>
      </c>
      <c r="G207" s="10">
        <v>10733</v>
      </c>
      <c r="H207" s="10">
        <v>407</v>
      </c>
      <c r="I207" s="10">
        <v>227</v>
      </c>
      <c r="J207" s="10">
        <v>180</v>
      </c>
    </row>
    <row r="208" spans="1:10">
      <c r="A208" s="5" t="s">
        <v>31</v>
      </c>
      <c r="B208" s="11">
        <v>2663</v>
      </c>
      <c r="C208" s="11">
        <v>1182</v>
      </c>
      <c r="D208" s="11">
        <v>1481</v>
      </c>
      <c r="E208" s="11">
        <v>2456</v>
      </c>
      <c r="F208" s="11">
        <v>1081</v>
      </c>
      <c r="G208" s="11">
        <v>1375</v>
      </c>
      <c r="H208" s="11">
        <v>207</v>
      </c>
      <c r="I208" s="11">
        <v>101</v>
      </c>
      <c r="J208" s="11">
        <v>106</v>
      </c>
    </row>
    <row r="209" spans="1:10">
      <c r="A209" s="9" t="s">
        <v>32</v>
      </c>
      <c r="B209" s="10">
        <v>2885</v>
      </c>
      <c r="C209" s="10">
        <v>1547</v>
      </c>
      <c r="D209" s="10">
        <v>1338</v>
      </c>
      <c r="E209" s="10">
        <v>2475</v>
      </c>
      <c r="F209" s="10">
        <v>1257</v>
      </c>
      <c r="G209" s="10">
        <v>1218</v>
      </c>
      <c r="H209" s="10">
        <v>409</v>
      </c>
      <c r="I209" s="10">
        <v>289</v>
      </c>
      <c r="J209" s="10">
        <v>120</v>
      </c>
    </row>
    <row r="210" spans="1:10">
      <c r="A210" s="379" t="s">
        <v>64</v>
      </c>
      <c r="B210" s="380"/>
      <c r="C210" s="380"/>
      <c r="D210" s="380"/>
      <c r="E210" s="380"/>
      <c r="F210" s="380"/>
      <c r="G210" s="380"/>
      <c r="H210" s="380"/>
      <c r="I210" s="380"/>
      <c r="J210" s="381"/>
    </row>
    <row r="211" spans="1:10">
      <c r="A211" s="9" t="s">
        <v>28</v>
      </c>
      <c r="B211" s="10">
        <v>46154</v>
      </c>
      <c r="C211" s="10">
        <v>25064</v>
      </c>
      <c r="D211" s="10">
        <v>21090</v>
      </c>
      <c r="E211" s="10">
        <v>42277</v>
      </c>
      <c r="F211" s="10">
        <v>22453</v>
      </c>
      <c r="G211" s="10">
        <v>19824</v>
      </c>
      <c r="H211" s="10">
        <v>3863</v>
      </c>
      <c r="I211" s="10">
        <v>2605</v>
      </c>
      <c r="J211" s="10">
        <v>1258</v>
      </c>
    </row>
    <row r="212" spans="1:10">
      <c r="A212" s="5" t="s">
        <v>29</v>
      </c>
      <c r="B212" s="11">
        <v>5964</v>
      </c>
      <c r="C212" s="11">
        <v>3428</v>
      </c>
      <c r="D212" s="11">
        <v>2536</v>
      </c>
      <c r="E212" s="11">
        <v>4984</v>
      </c>
      <c r="F212" s="11">
        <v>2738</v>
      </c>
      <c r="G212" s="11">
        <v>2246</v>
      </c>
      <c r="H212" s="11">
        <v>974</v>
      </c>
      <c r="I212" s="11">
        <v>686</v>
      </c>
      <c r="J212" s="11">
        <v>288</v>
      </c>
    </row>
    <row r="213" spans="1:10">
      <c r="A213" s="9" t="s">
        <v>30</v>
      </c>
      <c r="B213" s="10">
        <v>30370</v>
      </c>
      <c r="C213" s="10">
        <v>16241</v>
      </c>
      <c r="D213" s="10">
        <v>14129</v>
      </c>
      <c r="E213" s="10">
        <v>29307</v>
      </c>
      <c r="F213" s="10">
        <v>15523</v>
      </c>
      <c r="G213" s="10">
        <v>13784</v>
      </c>
      <c r="H213" s="10">
        <v>1060</v>
      </c>
      <c r="I213" s="10">
        <v>716</v>
      </c>
      <c r="J213" s="10">
        <v>344</v>
      </c>
    </row>
    <row r="214" spans="1:10">
      <c r="A214" s="5" t="s">
        <v>31</v>
      </c>
      <c r="B214" s="11">
        <v>4688</v>
      </c>
      <c r="C214" s="11">
        <v>2446</v>
      </c>
      <c r="D214" s="11">
        <v>2242</v>
      </c>
      <c r="E214" s="11">
        <v>4330</v>
      </c>
      <c r="F214" s="11">
        <v>2272</v>
      </c>
      <c r="G214" s="11">
        <v>2058</v>
      </c>
      <c r="H214" s="11">
        <v>357</v>
      </c>
      <c r="I214" s="11">
        <v>174</v>
      </c>
      <c r="J214" s="11">
        <v>183</v>
      </c>
    </row>
    <row r="215" spans="1:10">
      <c r="A215" s="9" t="s">
        <v>32</v>
      </c>
      <c r="B215" s="10">
        <v>5132</v>
      </c>
      <c r="C215" s="10">
        <v>2949</v>
      </c>
      <c r="D215" s="10">
        <v>2183</v>
      </c>
      <c r="E215" s="10">
        <v>3656</v>
      </c>
      <c r="F215" s="10">
        <v>1920</v>
      </c>
      <c r="G215" s="10">
        <v>1736</v>
      </c>
      <c r="H215" s="10">
        <v>1472</v>
      </c>
      <c r="I215" s="10">
        <v>1029</v>
      </c>
      <c r="J215" s="10">
        <v>443</v>
      </c>
    </row>
    <row r="216" spans="1:10">
      <c r="A216" s="379" t="s">
        <v>65</v>
      </c>
      <c r="B216" s="380"/>
      <c r="C216" s="380"/>
      <c r="D216" s="380"/>
      <c r="E216" s="380"/>
      <c r="F216" s="380"/>
      <c r="G216" s="380"/>
      <c r="H216" s="380"/>
      <c r="I216" s="380"/>
      <c r="J216" s="381"/>
    </row>
    <row r="217" spans="1:10">
      <c r="A217" s="9" t="s">
        <v>28</v>
      </c>
      <c r="B217" s="10">
        <v>951912</v>
      </c>
      <c r="C217" s="10">
        <v>530819</v>
      </c>
      <c r="D217" s="10">
        <v>421093</v>
      </c>
      <c r="E217" s="10">
        <v>872985</v>
      </c>
      <c r="F217" s="10">
        <v>477487</v>
      </c>
      <c r="G217" s="10">
        <v>395498</v>
      </c>
      <c r="H217" s="10">
        <v>78621</v>
      </c>
      <c r="I217" s="10">
        <v>53110</v>
      </c>
      <c r="J217" s="10">
        <v>25511</v>
      </c>
    </row>
    <row r="218" spans="1:10">
      <c r="A218" s="5" t="s">
        <v>29</v>
      </c>
      <c r="B218" s="11">
        <v>119260</v>
      </c>
      <c r="C218" s="11">
        <v>68764</v>
      </c>
      <c r="D218" s="11">
        <v>50496</v>
      </c>
      <c r="E218" s="11">
        <v>101066</v>
      </c>
      <c r="F218" s="11">
        <v>56561</v>
      </c>
      <c r="G218" s="11">
        <v>44505</v>
      </c>
      <c r="H218" s="11">
        <v>18129</v>
      </c>
      <c r="I218" s="11">
        <v>12154</v>
      </c>
      <c r="J218" s="11">
        <v>5975</v>
      </c>
    </row>
    <row r="219" spans="1:10">
      <c r="A219" s="9" t="s">
        <v>30</v>
      </c>
      <c r="B219" s="10">
        <v>629188</v>
      </c>
      <c r="C219" s="10">
        <v>346911</v>
      </c>
      <c r="D219" s="10">
        <v>282277</v>
      </c>
      <c r="E219" s="10">
        <v>607416</v>
      </c>
      <c r="F219" s="10">
        <v>331982</v>
      </c>
      <c r="G219" s="10">
        <v>275434</v>
      </c>
      <c r="H219" s="10">
        <v>21652</v>
      </c>
      <c r="I219" s="10">
        <v>14845</v>
      </c>
      <c r="J219" s="10">
        <v>6807</v>
      </c>
    </row>
    <row r="220" spans="1:10">
      <c r="A220" s="5" t="s">
        <v>31</v>
      </c>
      <c r="B220" s="11">
        <v>90961</v>
      </c>
      <c r="C220" s="11">
        <v>49933</v>
      </c>
      <c r="D220" s="11">
        <v>41028</v>
      </c>
      <c r="E220" s="11">
        <v>85543</v>
      </c>
      <c r="F220" s="11">
        <v>47026</v>
      </c>
      <c r="G220" s="11">
        <v>38517</v>
      </c>
      <c r="H220" s="11">
        <v>5397</v>
      </c>
      <c r="I220" s="11">
        <v>2893</v>
      </c>
      <c r="J220" s="11">
        <v>2504</v>
      </c>
    </row>
    <row r="221" spans="1:10">
      <c r="A221" s="9" t="s">
        <v>32</v>
      </c>
      <c r="B221" s="10">
        <v>112503</v>
      </c>
      <c r="C221" s="10">
        <v>65211</v>
      </c>
      <c r="D221" s="10">
        <v>47292</v>
      </c>
      <c r="E221" s="10">
        <v>78960</v>
      </c>
      <c r="F221" s="10">
        <v>41918</v>
      </c>
      <c r="G221" s="10">
        <v>37042</v>
      </c>
      <c r="H221" s="10">
        <v>33443</v>
      </c>
      <c r="I221" s="10">
        <v>23218</v>
      </c>
      <c r="J221" s="10">
        <v>10225</v>
      </c>
    </row>
    <row r="222" spans="1:10">
      <c r="A222" s="379" t="s">
        <v>66</v>
      </c>
      <c r="B222" s="380"/>
      <c r="C222" s="380"/>
      <c r="D222" s="380"/>
      <c r="E222" s="380"/>
      <c r="F222" s="380"/>
      <c r="G222" s="380"/>
      <c r="H222" s="380"/>
      <c r="I222" s="380"/>
      <c r="J222" s="381"/>
    </row>
    <row r="223" spans="1:10">
      <c r="A223" s="9" t="s">
        <v>28</v>
      </c>
      <c r="B223" s="10">
        <v>20554</v>
      </c>
      <c r="C223" s="10">
        <v>9476</v>
      </c>
      <c r="D223" s="10">
        <v>11078</v>
      </c>
      <c r="E223" s="10">
        <v>18992</v>
      </c>
      <c r="F223" s="10">
        <v>8565</v>
      </c>
      <c r="G223" s="10">
        <v>10427</v>
      </c>
      <c r="H223" s="10">
        <v>1536</v>
      </c>
      <c r="I223" s="10">
        <v>891</v>
      </c>
      <c r="J223" s="10">
        <v>645</v>
      </c>
    </row>
    <row r="224" spans="1:10">
      <c r="A224" s="5" t="s">
        <v>29</v>
      </c>
      <c r="B224" s="11">
        <v>2715</v>
      </c>
      <c r="C224" s="11">
        <v>1352</v>
      </c>
      <c r="D224" s="11">
        <v>1363</v>
      </c>
      <c r="E224" s="11">
        <v>2301</v>
      </c>
      <c r="F224" s="11">
        <v>1101</v>
      </c>
      <c r="G224" s="11">
        <v>1200</v>
      </c>
      <c r="H224" s="11">
        <v>406</v>
      </c>
      <c r="I224" s="11">
        <v>244</v>
      </c>
      <c r="J224" s="11">
        <v>162</v>
      </c>
    </row>
    <row r="225" spans="1:10">
      <c r="A225" s="9" t="s">
        <v>30</v>
      </c>
      <c r="B225" s="10">
        <v>13153</v>
      </c>
      <c r="C225" s="10">
        <v>5937</v>
      </c>
      <c r="D225" s="10">
        <v>7216</v>
      </c>
      <c r="E225" s="10">
        <v>12681</v>
      </c>
      <c r="F225" s="10">
        <v>5662</v>
      </c>
      <c r="G225" s="10">
        <v>7019</v>
      </c>
      <c r="H225" s="10">
        <v>465</v>
      </c>
      <c r="I225" s="10">
        <v>270</v>
      </c>
      <c r="J225" s="10">
        <v>195</v>
      </c>
    </row>
    <row r="226" spans="1:10">
      <c r="A226" s="5" t="s">
        <v>31</v>
      </c>
      <c r="B226" s="11">
        <v>1808</v>
      </c>
      <c r="C226" s="11">
        <v>819</v>
      </c>
      <c r="D226" s="11">
        <v>989</v>
      </c>
      <c r="E226" s="11">
        <v>1666</v>
      </c>
      <c r="F226" s="11">
        <v>747</v>
      </c>
      <c r="G226" s="11">
        <v>919</v>
      </c>
      <c r="H226" s="11">
        <v>138</v>
      </c>
      <c r="I226" s="11">
        <v>69</v>
      </c>
      <c r="J226" s="11">
        <v>69</v>
      </c>
    </row>
    <row r="227" spans="1:10">
      <c r="A227" s="9" t="s">
        <v>32</v>
      </c>
      <c r="B227" s="10">
        <v>2878</v>
      </c>
      <c r="C227" s="10">
        <v>1368</v>
      </c>
      <c r="D227" s="10">
        <v>1510</v>
      </c>
      <c r="E227" s="10">
        <v>2344</v>
      </c>
      <c r="F227" s="10">
        <v>1055</v>
      </c>
      <c r="G227" s="10">
        <v>1289</v>
      </c>
      <c r="H227" s="10">
        <v>527</v>
      </c>
      <c r="I227" s="10">
        <v>308</v>
      </c>
      <c r="J227" s="10">
        <v>219</v>
      </c>
    </row>
    <row r="228" spans="1:10">
      <c r="A228" s="379" t="s">
        <v>67</v>
      </c>
      <c r="B228" s="380"/>
      <c r="C228" s="380"/>
      <c r="D228" s="380"/>
      <c r="E228" s="380"/>
      <c r="F228" s="380"/>
      <c r="G228" s="380"/>
      <c r="H228" s="380"/>
      <c r="I228" s="380"/>
      <c r="J228" s="381"/>
    </row>
    <row r="229" spans="1:10">
      <c r="A229" s="9" t="s">
        <v>28</v>
      </c>
      <c r="B229" s="10">
        <v>33985</v>
      </c>
      <c r="C229" s="10">
        <v>22929</v>
      </c>
      <c r="D229" s="10">
        <v>11056</v>
      </c>
      <c r="E229" s="10">
        <v>32359</v>
      </c>
      <c r="F229" s="10">
        <v>21722</v>
      </c>
      <c r="G229" s="10">
        <v>10637</v>
      </c>
      <c r="H229" s="10">
        <v>1621</v>
      </c>
      <c r="I229" s="10">
        <v>1203</v>
      </c>
      <c r="J229" s="10">
        <v>418</v>
      </c>
    </row>
    <row r="230" spans="1:10">
      <c r="A230" s="5" t="s">
        <v>29</v>
      </c>
      <c r="B230" s="11">
        <v>3248</v>
      </c>
      <c r="C230" s="11">
        <v>1924</v>
      </c>
      <c r="D230" s="11">
        <v>1324</v>
      </c>
      <c r="E230" s="11">
        <v>2861</v>
      </c>
      <c r="F230" s="11">
        <v>1628</v>
      </c>
      <c r="G230" s="11">
        <v>1233</v>
      </c>
      <c r="H230" s="11">
        <v>387</v>
      </c>
      <c r="I230" s="11">
        <v>296</v>
      </c>
      <c r="J230" s="11">
        <v>91</v>
      </c>
    </row>
    <row r="231" spans="1:10">
      <c r="A231" s="9" t="s">
        <v>30</v>
      </c>
      <c r="B231" s="10">
        <v>23950</v>
      </c>
      <c r="C231" s="10">
        <v>16598</v>
      </c>
      <c r="D231" s="10">
        <v>7352</v>
      </c>
      <c r="E231" s="10">
        <v>23324</v>
      </c>
      <c r="F231" s="10">
        <v>16112</v>
      </c>
      <c r="G231" s="10">
        <v>7212</v>
      </c>
      <c r="H231" s="10">
        <v>623</v>
      </c>
      <c r="I231" s="10">
        <v>484</v>
      </c>
      <c r="J231" s="10">
        <v>139</v>
      </c>
    </row>
    <row r="232" spans="1:10">
      <c r="A232" s="5" t="s">
        <v>31</v>
      </c>
      <c r="B232" s="11">
        <v>2828</v>
      </c>
      <c r="C232" s="11">
        <v>1753</v>
      </c>
      <c r="D232" s="11">
        <v>1075</v>
      </c>
      <c r="E232" s="11">
        <v>2668</v>
      </c>
      <c r="F232" s="11">
        <v>1666</v>
      </c>
      <c r="G232" s="11">
        <v>1002</v>
      </c>
      <c r="H232" s="11">
        <v>160</v>
      </c>
      <c r="I232" s="11">
        <v>87</v>
      </c>
      <c r="J232" s="11">
        <v>73</v>
      </c>
    </row>
    <row r="233" spans="1:10">
      <c r="A233" s="9" t="s">
        <v>32</v>
      </c>
      <c r="B233" s="10">
        <v>3959</v>
      </c>
      <c r="C233" s="10">
        <v>2654</v>
      </c>
      <c r="D233" s="10">
        <v>1305</v>
      </c>
      <c r="E233" s="10">
        <v>3506</v>
      </c>
      <c r="F233" s="10">
        <v>2316</v>
      </c>
      <c r="G233" s="10">
        <v>1190</v>
      </c>
      <c r="H233" s="10">
        <v>451</v>
      </c>
      <c r="I233" s="10">
        <v>336</v>
      </c>
      <c r="J233" s="10">
        <v>115</v>
      </c>
    </row>
    <row r="234" spans="1:10">
      <c r="A234" s="379" t="s">
        <v>68</v>
      </c>
      <c r="B234" s="380"/>
      <c r="C234" s="380"/>
      <c r="D234" s="380"/>
      <c r="E234" s="380"/>
      <c r="F234" s="380"/>
      <c r="G234" s="380"/>
      <c r="H234" s="380"/>
      <c r="I234" s="380"/>
      <c r="J234" s="381"/>
    </row>
    <row r="235" spans="1:10">
      <c r="A235" s="9" t="s">
        <v>28</v>
      </c>
      <c r="B235" s="10">
        <v>81268</v>
      </c>
      <c r="C235" s="10">
        <v>38700</v>
      </c>
      <c r="D235" s="10">
        <v>42568</v>
      </c>
      <c r="E235" s="10">
        <v>76938</v>
      </c>
      <c r="F235" s="10">
        <v>35999</v>
      </c>
      <c r="G235" s="10">
        <v>40939</v>
      </c>
      <c r="H235" s="10">
        <v>4306</v>
      </c>
      <c r="I235" s="10">
        <v>2682</v>
      </c>
      <c r="J235" s="10">
        <v>1624</v>
      </c>
    </row>
    <row r="236" spans="1:10">
      <c r="A236" s="5" t="s">
        <v>29</v>
      </c>
      <c r="B236" s="11">
        <v>9543</v>
      </c>
      <c r="C236" s="11">
        <v>5047</v>
      </c>
      <c r="D236" s="11">
        <v>4496</v>
      </c>
      <c r="E236" s="11">
        <v>8504</v>
      </c>
      <c r="F236" s="11">
        <v>4362</v>
      </c>
      <c r="G236" s="11">
        <v>4142</v>
      </c>
      <c r="H236" s="11">
        <v>1033</v>
      </c>
      <c r="I236" s="11">
        <v>679</v>
      </c>
      <c r="J236" s="11">
        <v>354</v>
      </c>
    </row>
    <row r="237" spans="1:10">
      <c r="A237" s="9" t="s">
        <v>30</v>
      </c>
      <c r="B237" s="10">
        <v>50001</v>
      </c>
      <c r="C237" s="10">
        <v>22217</v>
      </c>
      <c r="D237" s="10">
        <v>27784</v>
      </c>
      <c r="E237" s="10">
        <v>48808</v>
      </c>
      <c r="F237" s="10">
        <v>21540</v>
      </c>
      <c r="G237" s="10">
        <v>27268</v>
      </c>
      <c r="H237" s="10">
        <v>1185</v>
      </c>
      <c r="I237" s="10">
        <v>671</v>
      </c>
      <c r="J237" s="10">
        <v>514</v>
      </c>
    </row>
    <row r="238" spans="1:10">
      <c r="A238" s="5" t="s">
        <v>31</v>
      </c>
      <c r="B238" s="11">
        <v>14281</v>
      </c>
      <c r="C238" s="11">
        <v>7608</v>
      </c>
      <c r="D238" s="11">
        <v>6673</v>
      </c>
      <c r="E238" s="11">
        <v>13493</v>
      </c>
      <c r="F238" s="11">
        <v>7188</v>
      </c>
      <c r="G238" s="11">
        <v>6305</v>
      </c>
      <c r="H238" s="11">
        <v>786</v>
      </c>
      <c r="I238" s="11">
        <v>419</v>
      </c>
      <c r="J238" s="11">
        <v>367</v>
      </c>
    </row>
    <row r="239" spans="1:10">
      <c r="A239" s="9" t="s">
        <v>32</v>
      </c>
      <c r="B239" s="10">
        <v>7443</v>
      </c>
      <c r="C239" s="10">
        <v>3828</v>
      </c>
      <c r="D239" s="10">
        <v>3615</v>
      </c>
      <c r="E239" s="10">
        <v>6133</v>
      </c>
      <c r="F239" s="10">
        <v>2909</v>
      </c>
      <c r="G239" s="10">
        <v>3224</v>
      </c>
      <c r="H239" s="10">
        <v>1302</v>
      </c>
      <c r="I239" s="10">
        <v>913</v>
      </c>
      <c r="J239" s="10">
        <v>389</v>
      </c>
    </row>
    <row r="240" spans="1:10">
      <c r="A240" s="379" t="s">
        <v>69</v>
      </c>
      <c r="B240" s="380"/>
      <c r="C240" s="380"/>
      <c r="D240" s="380"/>
      <c r="E240" s="380"/>
      <c r="F240" s="380"/>
      <c r="G240" s="380"/>
      <c r="H240" s="380"/>
      <c r="I240" s="380"/>
      <c r="J240" s="381"/>
    </row>
    <row r="241" spans="1:10">
      <c r="A241" s="9" t="s">
        <v>28</v>
      </c>
      <c r="B241" s="10">
        <v>92701</v>
      </c>
      <c r="C241" s="10">
        <v>46863</v>
      </c>
      <c r="D241" s="10">
        <v>45838</v>
      </c>
      <c r="E241" s="10">
        <v>85685</v>
      </c>
      <c r="F241" s="10">
        <v>42905</v>
      </c>
      <c r="G241" s="10">
        <v>42780</v>
      </c>
      <c r="H241" s="10">
        <v>6975</v>
      </c>
      <c r="I241" s="10">
        <v>3933</v>
      </c>
      <c r="J241" s="10">
        <v>3042</v>
      </c>
    </row>
    <row r="242" spans="1:10">
      <c r="A242" s="5" t="s">
        <v>29</v>
      </c>
      <c r="B242" s="11">
        <v>11947</v>
      </c>
      <c r="C242" s="11">
        <v>6188</v>
      </c>
      <c r="D242" s="11">
        <v>5759</v>
      </c>
      <c r="E242" s="11">
        <v>9895</v>
      </c>
      <c r="F242" s="11">
        <v>4998</v>
      </c>
      <c r="G242" s="11">
        <v>4897</v>
      </c>
      <c r="H242" s="11">
        <v>2042</v>
      </c>
      <c r="I242" s="11">
        <v>1184</v>
      </c>
      <c r="J242" s="11">
        <v>858</v>
      </c>
    </row>
    <row r="243" spans="1:10">
      <c r="A243" s="9" t="s">
        <v>30</v>
      </c>
      <c r="B243" s="10">
        <v>56641</v>
      </c>
      <c r="C243" s="10">
        <v>28353</v>
      </c>
      <c r="D243" s="10">
        <v>28288</v>
      </c>
      <c r="E243" s="10">
        <v>54403</v>
      </c>
      <c r="F243" s="10">
        <v>27062</v>
      </c>
      <c r="G243" s="10">
        <v>27341</v>
      </c>
      <c r="H243" s="10">
        <v>2226</v>
      </c>
      <c r="I243" s="10">
        <v>1283</v>
      </c>
      <c r="J243" s="10">
        <v>943</v>
      </c>
    </row>
    <row r="244" spans="1:10">
      <c r="A244" s="5" t="s">
        <v>31</v>
      </c>
      <c r="B244" s="11">
        <v>14726</v>
      </c>
      <c r="C244" s="11">
        <v>7647</v>
      </c>
      <c r="D244" s="11">
        <v>7079</v>
      </c>
      <c r="E244" s="11">
        <v>14006</v>
      </c>
      <c r="F244" s="11">
        <v>7271</v>
      </c>
      <c r="G244" s="11">
        <v>6735</v>
      </c>
      <c r="H244" s="11">
        <v>716</v>
      </c>
      <c r="I244" s="11">
        <v>375</v>
      </c>
      <c r="J244" s="11">
        <v>341</v>
      </c>
    </row>
    <row r="245" spans="1:10">
      <c r="A245" s="9" t="s">
        <v>32</v>
      </c>
      <c r="B245" s="10">
        <v>9387</v>
      </c>
      <c r="C245" s="10">
        <v>4675</v>
      </c>
      <c r="D245" s="10">
        <v>4712</v>
      </c>
      <c r="E245" s="10">
        <v>7381</v>
      </c>
      <c r="F245" s="10">
        <v>3574</v>
      </c>
      <c r="G245" s="10">
        <v>3807</v>
      </c>
      <c r="H245" s="10">
        <v>1991</v>
      </c>
      <c r="I245" s="10">
        <v>1091</v>
      </c>
      <c r="J245" s="10">
        <v>900</v>
      </c>
    </row>
    <row r="246" spans="1:10">
      <c r="A246" s="379" t="s">
        <v>70</v>
      </c>
      <c r="B246" s="380"/>
      <c r="C246" s="380"/>
      <c r="D246" s="380"/>
      <c r="E246" s="380"/>
      <c r="F246" s="380"/>
      <c r="G246" s="380"/>
      <c r="H246" s="380"/>
      <c r="I246" s="380"/>
      <c r="J246" s="381"/>
    </row>
    <row r="247" spans="1:10">
      <c r="A247" s="9" t="s">
        <v>28</v>
      </c>
      <c r="B247" s="10">
        <v>29722</v>
      </c>
      <c r="C247" s="10">
        <v>15937</v>
      </c>
      <c r="D247" s="10">
        <v>13785</v>
      </c>
      <c r="E247" s="10">
        <v>28508</v>
      </c>
      <c r="F247" s="10">
        <v>15105</v>
      </c>
      <c r="G247" s="10">
        <v>13403</v>
      </c>
      <c r="H247" s="10">
        <v>1208</v>
      </c>
      <c r="I247" s="10">
        <v>826</v>
      </c>
      <c r="J247" s="10">
        <v>382</v>
      </c>
    </row>
    <row r="248" spans="1:10">
      <c r="A248" s="5" t="s">
        <v>29</v>
      </c>
      <c r="B248" s="11">
        <v>3579</v>
      </c>
      <c r="C248" s="11">
        <v>2009</v>
      </c>
      <c r="D248" s="11">
        <v>1570</v>
      </c>
      <c r="E248" s="11">
        <v>3304</v>
      </c>
      <c r="F248" s="11">
        <v>1806</v>
      </c>
      <c r="G248" s="11">
        <v>1498</v>
      </c>
      <c r="H248" s="11">
        <v>274</v>
      </c>
      <c r="I248" s="11">
        <v>202</v>
      </c>
      <c r="J248" s="11">
        <v>72</v>
      </c>
    </row>
    <row r="249" spans="1:10">
      <c r="A249" s="9" t="s">
        <v>30</v>
      </c>
      <c r="B249" s="10">
        <v>19937</v>
      </c>
      <c r="C249" s="10">
        <v>10447</v>
      </c>
      <c r="D249" s="10">
        <v>9490</v>
      </c>
      <c r="E249" s="10">
        <v>19519</v>
      </c>
      <c r="F249" s="10">
        <v>10159</v>
      </c>
      <c r="G249" s="10">
        <v>9360</v>
      </c>
      <c r="H249" s="10">
        <v>415</v>
      </c>
      <c r="I249" s="10">
        <v>285</v>
      </c>
      <c r="J249" s="10">
        <v>130</v>
      </c>
    </row>
    <row r="250" spans="1:10">
      <c r="A250" s="5" t="s">
        <v>31</v>
      </c>
      <c r="B250" s="11">
        <v>2956</v>
      </c>
      <c r="C250" s="11">
        <v>1643</v>
      </c>
      <c r="D250" s="11">
        <v>1313</v>
      </c>
      <c r="E250" s="11">
        <v>2775</v>
      </c>
      <c r="F250" s="11">
        <v>1556</v>
      </c>
      <c r="G250" s="11">
        <v>1219</v>
      </c>
      <c r="H250" s="11">
        <v>181</v>
      </c>
      <c r="I250" s="11">
        <v>87</v>
      </c>
      <c r="J250" s="11">
        <v>94</v>
      </c>
    </row>
    <row r="251" spans="1:10">
      <c r="A251" s="9" t="s">
        <v>32</v>
      </c>
      <c r="B251" s="10">
        <v>3250</v>
      </c>
      <c r="C251" s="10">
        <v>1838</v>
      </c>
      <c r="D251" s="10">
        <v>1412</v>
      </c>
      <c r="E251" s="10">
        <v>2910</v>
      </c>
      <c r="F251" s="10">
        <v>1584</v>
      </c>
      <c r="G251" s="10">
        <v>1326</v>
      </c>
      <c r="H251" s="10">
        <v>338</v>
      </c>
      <c r="I251" s="10">
        <v>252</v>
      </c>
      <c r="J251" s="10">
        <v>86</v>
      </c>
    </row>
    <row r="252" spans="1:10">
      <c r="A252" s="379" t="s">
        <v>71</v>
      </c>
      <c r="B252" s="380"/>
      <c r="C252" s="380"/>
      <c r="D252" s="380"/>
      <c r="E252" s="380"/>
      <c r="F252" s="380"/>
      <c r="G252" s="380"/>
      <c r="H252" s="380"/>
      <c r="I252" s="380"/>
      <c r="J252" s="381"/>
    </row>
    <row r="253" spans="1:10">
      <c r="A253" s="9" t="s">
        <v>28</v>
      </c>
      <c r="B253" s="10">
        <v>41948</v>
      </c>
      <c r="C253" s="10">
        <v>23373</v>
      </c>
      <c r="D253" s="10">
        <v>18575</v>
      </c>
      <c r="E253" s="10">
        <v>39005</v>
      </c>
      <c r="F253" s="10">
        <v>21334</v>
      </c>
      <c r="G253" s="10">
        <v>17671</v>
      </c>
      <c r="H253" s="10">
        <v>2934</v>
      </c>
      <c r="I253" s="10">
        <v>2033</v>
      </c>
      <c r="J253" s="10">
        <v>901</v>
      </c>
    </row>
    <row r="254" spans="1:10">
      <c r="A254" s="5" t="s">
        <v>29</v>
      </c>
      <c r="B254" s="11">
        <v>5000</v>
      </c>
      <c r="C254" s="11">
        <v>2900</v>
      </c>
      <c r="D254" s="11">
        <v>2100</v>
      </c>
      <c r="E254" s="11">
        <v>4329</v>
      </c>
      <c r="F254" s="11">
        <v>2419</v>
      </c>
      <c r="G254" s="11">
        <v>1910</v>
      </c>
      <c r="H254" s="11">
        <v>669</v>
      </c>
      <c r="I254" s="11">
        <v>479</v>
      </c>
      <c r="J254" s="11">
        <v>190</v>
      </c>
    </row>
    <row r="255" spans="1:10">
      <c r="A255" s="9" t="s">
        <v>30</v>
      </c>
      <c r="B255" s="10">
        <v>28606</v>
      </c>
      <c r="C255" s="10">
        <v>15757</v>
      </c>
      <c r="D255" s="10">
        <v>12849</v>
      </c>
      <c r="E255" s="10">
        <v>27826</v>
      </c>
      <c r="F255" s="10">
        <v>15238</v>
      </c>
      <c r="G255" s="10">
        <v>12588</v>
      </c>
      <c r="H255" s="10">
        <v>774</v>
      </c>
      <c r="I255" s="10">
        <v>516</v>
      </c>
      <c r="J255" s="10">
        <v>258</v>
      </c>
    </row>
    <row r="256" spans="1:10">
      <c r="A256" s="5" t="s">
        <v>31</v>
      </c>
      <c r="B256" s="11">
        <v>3141</v>
      </c>
      <c r="C256" s="11">
        <v>1603</v>
      </c>
      <c r="D256" s="11">
        <v>1538</v>
      </c>
      <c r="E256" s="11">
        <v>2977</v>
      </c>
      <c r="F256" s="11">
        <v>1516</v>
      </c>
      <c r="G256" s="11">
        <v>1461</v>
      </c>
      <c r="H256" s="11">
        <v>164</v>
      </c>
      <c r="I256" s="11">
        <v>87</v>
      </c>
      <c r="J256" s="11">
        <v>77</v>
      </c>
    </row>
    <row r="257" spans="1:10">
      <c r="A257" s="9" t="s">
        <v>32</v>
      </c>
      <c r="B257" s="10">
        <v>5201</v>
      </c>
      <c r="C257" s="10">
        <v>3113</v>
      </c>
      <c r="D257" s="10">
        <v>2088</v>
      </c>
      <c r="E257" s="10">
        <v>3873</v>
      </c>
      <c r="F257" s="10">
        <v>2161</v>
      </c>
      <c r="G257" s="10">
        <v>1712</v>
      </c>
      <c r="H257" s="10">
        <v>1327</v>
      </c>
      <c r="I257" s="10">
        <v>951</v>
      </c>
      <c r="J257" s="10">
        <v>376</v>
      </c>
    </row>
    <row r="258" spans="1:10">
      <c r="A258" s="379" t="s">
        <v>72</v>
      </c>
      <c r="B258" s="380"/>
      <c r="C258" s="380"/>
      <c r="D258" s="380"/>
      <c r="E258" s="380"/>
      <c r="F258" s="380"/>
      <c r="G258" s="380"/>
      <c r="H258" s="380"/>
      <c r="I258" s="380"/>
      <c r="J258" s="381"/>
    </row>
    <row r="259" spans="1:10">
      <c r="A259" s="9" t="s">
        <v>28</v>
      </c>
      <c r="B259" s="10">
        <v>60541</v>
      </c>
      <c r="C259" s="10">
        <v>32046</v>
      </c>
      <c r="D259" s="10">
        <v>28495</v>
      </c>
      <c r="E259" s="10">
        <v>56603</v>
      </c>
      <c r="F259" s="10">
        <v>29535</v>
      </c>
      <c r="G259" s="10">
        <v>27068</v>
      </c>
      <c r="H259" s="10">
        <v>3934</v>
      </c>
      <c r="I259" s="10">
        <v>2507</v>
      </c>
      <c r="J259" s="10">
        <v>1427</v>
      </c>
    </row>
    <row r="260" spans="1:10">
      <c r="A260" s="5" t="s">
        <v>29</v>
      </c>
      <c r="B260" s="11">
        <v>7831</v>
      </c>
      <c r="C260" s="11">
        <v>4273</v>
      </c>
      <c r="D260" s="11">
        <v>3558</v>
      </c>
      <c r="E260" s="11">
        <v>6957</v>
      </c>
      <c r="F260" s="11">
        <v>3709</v>
      </c>
      <c r="G260" s="11">
        <v>3248</v>
      </c>
      <c r="H260" s="11">
        <v>873</v>
      </c>
      <c r="I260" s="11">
        <v>563</v>
      </c>
      <c r="J260" s="11">
        <v>310</v>
      </c>
    </row>
    <row r="261" spans="1:10">
      <c r="A261" s="9" t="s">
        <v>30</v>
      </c>
      <c r="B261" s="10">
        <v>40501</v>
      </c>
      <c r="C261" s="10">
        <v>21311</v>
      </c>
      <c r="D261" s="10">
        <v>19190</v>
      </c>
      <c r="E261" s="10">
        <v>39336</v>
      </c>
      <c r="F261" s="10">
        <v>20531</v>
      </c>
      <c r="G261" s="10">
        <v>18805</v>
      </c>
      <c r="H261" s="10">
        <v>1164</v>
      </c>
      <c r="I261" s="10">
        <v>779</v>
      </c>
      <c r="J261" s="10">
        <v>385</v>
      </c>
    </row>
    <row r="262" spans="1:10">
      <c r="A262" s="5" t="s">
        <v>31</v>
      </c>
      <c r="B262" s="11">
        <v>5390</v>
      </c>
      <c r="C262" s="11">
        <v>2975</v>
      </c>
      <c r="D262" s="11">
        <v>2415</v>
      </c>
      <c r="E262" s="11">
        <v>5057</v>
      </c>
      <c r="F262" s="11">
        <v>2782</v>
      </c>
      <c r="G262" s="11">
        <v>2275</v>
      </c>
      <c r="H262" s="11">
        <v>333</v>
      </c>
      <c r="I262" s="11">
        <v>193</v>
      </c>
      <c r="J262" s="11">
        <v>140</v>
      </c>
    </row>
    <row r="263" spans="1:10">
      <c r="A263" s="9" t="s">
        <v>32</v>
      </c>
      <c r="B263" s="10">
        <v>6819</v>
      </c>
      <c r="C263" s="10">
        <v>3487</v>
      </c>
      <c r="D263" s="10">
        <v>3332</v>
      </c>
      <c r="E263" s="10">
        <v>5253</v>
      </c>
      <c r="F263" s="10">
        <v>2513</v>
      </c>
      <c r="G263" s="10">
        <v>2740</v>
      </c>
      <c r="H263" s="10">
        <v>1564</v>
      </c>
      <c r="I263" s="10">
        <v>972</v>
      </c>
      <c r="J263" s="10">
        <v>592</v>
      </c>
    </row>
    <row r="264" spans="1:10">
      <c r="A264" s="379" t="s">
        <v>73</v>
      </c>
      <c r="B264" s="380"/>
      <c r="C264" s="380"/>
      <c r="D264" s="380"/>
      <c r="E264" s="380"/>
      <c r="F264" s="380"/>
      <c r="G264" s="380"/>
      <c r="H264" s="380"/>
      <c r="I264" s="380"/>
      <c r="J264" s="381"/>
    </row>
    <row r="265" spans="1:10">
      <c r="A265" s="9" t="s">
        <v>28</v>
      </c>
      <c r="B265" s="10">
        <v>63090</v>
      </c>
      <c r="C265" s="10">
        <v>37998</v>
      </c>
      <c r="D265" s="10">
        <v>25092</v>
      </c>
      <c r="E265" s="10">
        <v>55140</v>
      </c>
      <c r="F265" s="10">
        <v>32288</v>
      </c>
      <c r="G265" s="10">
        <v>22852</v>
      </c>
      <c r="H265" s="10">
        <v>7928</v>
      </c>
      <c r="I265" s="10">
        <v>5694</v>
      </c>
      <c r="J265" s="10">
        <v>2234</v>
      </c>
    </row>
    <row r="266" spans="1:10">
      <c r="A266" s="5" t="s">
        <v>29</v>
      </c>
      <c r="B266" s="11">
        <v>9925</v>
      </c>
      <c r="C266" s="11">
        <v>5869</v>
      </c>
      <c r="D266" s="11">
        <v>4056</v>
      </c>
      <c r="E266" s="11">
        <v>7908</v>
      </c>
      <c r="F266" s="11">
        <v>4541</v>
      </c>
      <c r="G266" s="11">
        <v>3367</v>
      </c>
      <c r="H266" s="11">
        <v>2014</v>
      </c>
      <c r="I266" s="11">
        <v>1326</v>
      </c>
      <c r="J266" s="11">
        <v>688</v>
      </c>
    </row>
    <row r="267" spans="1:10">
      <c r="A267" s="9" t="s">
        <v>30</v>
      </c>
      <c r="B267" s="10">
        <v>39528</v>
      </c>
      <c r="C267" s="10">
        <v>23561</v>
      </c>
      <c r="D267" s="10">
        <v>15967</v>
      </c>
      <c r="E267" s="10">
        <v>38043</v>
      </c>
      <c r="F267" s="10">
        <v>22464</v>
      </c>
      <c r="G267" s="10">
        <v>15579</v>
      </c>
      <c r="H267" s="10">
        <v>1474</v>
      </c>
      <c r="I267" s="10">
        <v>1090</v>
      </c>
      <c r="J267" s="10">
        <v>384</v>
      </c>
    </row>
    <row r="268" spans="1:10">
      <c r="A268" s="5" t="s">
        <v>31</v>
      </c>
      <c r="B268" s="11">
        <v>3696</v>
      </c>
      <c r="C268" s="11">
        <v>2029</v>
      </c>
      <c r="D268" s="11">
        <v>1667</v>
      </c>
      <c r="E268" s="11">
        <v>3466</v>
      </c>
      <c r="F268" s="11">
        <v>1925</v>
      </c>
      <c r="G268" s="11">
        <v>1541</v>
      </c>
      <c r="H268" s="11">
        <v>230</v>
      </c>
      <c r="I268" s="11">
        <v>104</v>
      </c>
      <c r="J268" s="11">
        <v>126</v>
      </c>
    </row>
    <row r="269" spans="1:10">
      <c r="A269" s="9" t="s">
        <v>32</v>
      </c>
      <c r="B269" s="10">
        <v>9941</v>
      </c>
      <c r="C269" s="10">
        <v>6539</v>
      </c>
      <c r="D269" s="10">
        <v>3402</v>
      </c>
      <c r="E269" s="10">
        <v>5723</v>
      </c>
      <c r="F269" s="10">
        <v>3358</v>
      </c>
      <c r="G269" s="10">
        <v>2365</v>
      </c>
      <c r="H269" s="10">
        <v>4210</v>
      </c>
      <c r="I269" s="10">
        <v>3174</v>
      </c>
      <c r="J269" s="10">
        <v>1036</v>
      </c>
    </row>
    <row r="270" spans="1:10">
      <c r="A270" s="379" t="s">
        <v>74</v>
      </c>
      <c r="B270" s="380"/>
      <c r="C270" s="380"/>
      <c r="D270" s="380"/>
      <c r="E270" s="380"/>
      <c r="F270" s="380"/>
      <c r="G270" s="380"/>
      <c r="H270" s="380"/>
      <c r="I270" s="380"/>
      <c r="J270" s="381"/>
    </row>
    <row r="271" spans="1:10">
      <c r="A271" s="9" t="s">
        <v>28</v>
      </c>
      <c r="B271" s="10">
        <v>132429</v>
      </c>
      <c r="C271" s="10">
        <v>80292</v>
      </c>
      <c r="D271" s="10">
        <v>52137</v>
      </c>
      <c r="E271" s="10">
        <v>121552</v>
      </c>
      <c r="F271" s="10">
        <v>72358</v>
      </c>
      <c r="G271" s="10">
        <v>49194</v>
      </c>
      <c r="H271" s="10">
        <v>10836</v>
      </c>
      <c r="I271" s="10">
        <v>7902</v>
      </c>
      <c r="J271" s="10">
        <v>2934</v>
      </c>
    </row>
    <row r="272" spans="1:10">
      <c r="A272" s="5" t="s">
        <v>29</v>
      </c>
      <c r="B272" s="11">
        <v>15158</v>
      </c>
      <c r="C272" s="11">
        <v>8947</v>
      </c>
      <c r="D272" s="11">
        <v>6211</v>
      </c>
      <c r="E272" s="11">
        <v>13070</v>
      </c>
      <c r="F272" s="11">
        <v>7552</v>
      </c>
      <c r="G272" s="11">
        <v>5518</v>
      </c>
      <c r="H272" s="11">
        <v>2081</v>
      </c>
      <c r="I272" s="11">
        <v>1388</v>
      </c>
      <c r="J272" s="11">
        <v>693</v>
      </c>
    </row>
    <row r="273" spans="1:10">
      <c r="A273" s="9" t="s">
        <v>30</v>
      </c>
      <c r="B273" s="10">
        <v>92405</v>
      </c>
      <c r="C273" s="10">
        <v>55764</v>
      </c>
      <c r="D273" s="10">
        <v>36641</v>
      </c>
      <c r="E273" s="10">
        <v>89203</v>
      </c>
      <c r="F273" s="10">
        <v>53332</v>
      </c>
      <c r="G273" s="10">
        <v>35871</v>
      </c>
      <c r="H273" s="10">
        <v>3180</v>
      </c>
      <c r="I273" s="10">
        <v>2415</v>
      </c>
      <c r="J273" s="10">
        <v>765</v>
      </c>
    </row>
    <row r="274" spans="1:10">
      <c r="A274" s="5" t="s">
        <v>31</v>
      </c>
      <c r="B274" s="11">
        <v>11466</v>
      </c>
      <c r="C274" s="11">
        <v>7101</v>
      </c>
      <c r="D274" s="11">
        <v>4365</v>
      </c>
      <c r="E274" s="11">
        <v>10735</v>
      </c>
      <c r="F274" s="11">
        <v>6667</v>
      </c>
      <c r="G274" s="11">
        <v>4068</v>
      </c>
      <c r="H274" s="11">
        <v>728</v>
      </c>
      <c r="I274" s="11">
        <v>432</v>
      </c>
      <c r="J274" s="11">
        <v>296</v>
      </c>
    </row>
    <row r="275" spans="1:10">
      <c r="A275" s="9" t="s">
        <v>32</v>
      </c>
      <c r="B275" s="10">
        <v>13400</v>
      </c>
      <c r="C275" s="10">
        <v>8480</v>
      </c>
      <c r="D275" s="10">
        <v>4920</v>
      </c>
      <c r="E275" s="10">
        <v>8544</v>
      </c>
      <c r="F275" s="10">
        <v>4807</v>
      </c>
      <c r="G275" s="10">
        <v>3737</v>
      </c>
      <c r="H275" s="10">
        <v>4847</v>
      </c>
      <c r="I275" s="10">
        <v>3667</v>
      </c>
      <c r="J275" s="10">
        <v>1180</v>
      </c>
    </row>
    <row r="276" spans="1:10">
      <c r="A276" s="379" t="s">
        <v>75</v>
      </c>
      <c r="B276" s="380"/>
      <c r="C276" s="380"/>
      <c r="D276" s="380"/>
      <c r="E276" s="380"/>
      <c r="F276" s="380"/>
      <c r="G276" s="380"/>
      <c r="H276" s="380"/>
      <c r="I276" s="380"/>
      <c r="J276" s="381"/>
    </row>
    <row r="277" spans="1:10">
      <c r="A277" s="9" t="s">
        <v>28</v>
      </c>
      <c r="B277" s="10">
        <v>28483</v>
      </c>
      <c r="C277" s="10">
        <v>14177</v>
      </c>
      <c r="D277" s="10">
        <v>14306</v>
      </c>
      <c r="E277" s="10">
        <v>27328</v>
      </c>
      <c r="F277" s="10">
        <v>13443</v>
      </c>
      <c r="G277" s="10">
        <v>13885</v>
      </c>
      <c r="H277" s="10">
        <v>1141</v>
      </c>
      <c r="I277" s="10">
        <v>726</v>
      </c>
      <c r="J277" s="10">
        <v>415</v>
      </c>
    </row>
    <row r="278" spans="1:10">
      <c r="A278" s="5" t="s">
        <v>29</v>
      </c>
      <c r="B278" s="11">
        <v>3018</v>
      </c>
      <c r="C278" s="11">
        <v>1609</v>
      </c>
      <c r="D278" s="11">
        <v>1409</v>
      </c>
      <c r="E278" s="11">
        <v>2801</v>
      </c>
      <c r="F278" s="11">
        <v>1469</v>
      </c>
      <c r="G278" s="11">
        <v>1332</v>
      </c>
      <c r="H278" s="11">
        <v>214</v>
      </c>
      <c r="I278" s="11">
        <v>139</v>
      </c>
      <c r="J278" s="11">
        <v>75</v>
      </c>
    </row>
    <row r="279" spans="1:10">
      <c r="A279" s="9" t="s">
        <v>30</v>
      </c>
      <c r="B279" s="10">
        <v>19696</v>
      </c>
      <c r="C279" s="10">
        <v>9588</v>
      </c>
      <c r="D279" s="10">
        <v>10108</v>
      </c>
      <c r="E279" s="10">
        <v>19351</v>
      </c>
      <c r="F279" s="10">
        <v>9381</v>
      </c>
      <c r="G279" s="10">
        <v>9970</v>
      </c>
      <c r="H279" s="10">
        <v>338</v>
      </c>
      <c r="I279" s="10">
        <v>202</v>
      </c>
      <c r="J279" s="10">
        <v>136</v>
      </c>
    </row>
    <row r="280" spans="1:10">
      <c r="A280" s="5" t="s">
        <v>31</v>
      </c>
      <c r="B280" s="11">
        <v>2419</v>
      </c>
      <c r="C280" s="11">
        <v>1235</v>
      </c>
      <c r="D280" s="11">
        <v>1184</v>
      </c>
      <c r="E280" s="11">
        <v>2284</v>
      </c>
      <c r="F280" s="11">
        <v>1173</v>
      </c>
      <c r="G280" s="11">
        <v>1111</v>
      </c>
      <c r="H280" s="11">
        <v>135</v>
      </c>
      <c r="I280" s="11">
        <v>62</v>
      </c>
      <c r="J280" s="11">
        <v>73</v>
      </c>
    </row>
    <row r="281" spans="1:10">
      <c r="A281" s="9" t="s">
        <v>32</v>
      </c>
      <c r="B281" s="10">
        <v>3350</v>
      </c>
      <c r="C281" s="10">
        <v>1745</v>
      </c>
      <c r="D281" s="10">
        <v>1605</v>
      </c>
      <c r="E281" s="10">
        <v>2892</v>
      </c>
      <c r="F281" s="10">
        <v>1420</v>
      </c>
      <c r="G281" s="10">
        <v>1472</v>
      </c>
      <c r="H281" s="10">
        <v>454</v>
      </c>
      <c r="I281" s="10">
        <v>323</v>
      </c>
      <c r="J281" s="10">
        <v>131</v>
      </c>
    </row>
    <row r="282" spans="1:10">
      <c r="A282" s="379" t="s">
        <v>76</v>
      </c>
      <c r="B282" s="380"/>
      <c r="C282" s="380"/>
      <c r="D282" s="380"/>
      <c r="E282" s="380"/>
      <c r="F282" s="380"/>
      <c r="G282" s="380"/>
      <c r="H282" s="380"/>
      <c r="I282" s="380"/>
      <c r="J282" s="381"/>
    </row>
    <row r="283" spans="1:10">
      <c r="A283" s="9" t="s">
        <v>28</v>
      </c>
      <c r="B283" s="10">
        <v>48098</v>
      </c>
      <c r="C283" s="10">
        <v>27074</v>
      </c>
      <c r="D283" s="10">
        <v>21024</v>
      </c>
      <c r="E283" s="10">
        <v>43338</v>
      </c>
      <c r="F283" s="10">
        <v>23837</v>
      </c>
      <c r="G283" s="10">
        <v>19501</v>
      </c>
      <c r="H283" s="10">
        <v>4741</v>
      </c>
      <c r="I283" s="10">
        <v>3221</v>
      </c>
      <c r="J283" s="10">
        <v>1520</v>
      </c>
    </row>
    <row r="284" spans="1:10">
      <c r="A284" s="5" t="s">
        <v>29</v>
      </c>
      <c r="B284" s="11">
        <v>5635</v>
      </c>
      <c r="C284" s="11">
        <v>3319</v>
      </c>
      <c r="D284" s="11">
        <v>2316</v>
      </c>
      <c r="E284" s="11">
        <v>4754</v>
      </c>
      <c r="F284" s="11">
        <v>2732</v>
      </c>
      <c r="G284" s="11">
        <v>2022</v>
      </c>
      <c r="H284" s="11">
        <v>879</v>
      </c>
      <c r="I284" s="11">
        <v>586</v>
      </c>
      <c r="J284" s="11">
        <v>293</v>
      </c>
    </row>
    <row r="285" spans="1:10">
      <c r="A285" s="9" t="s">
        <v>30</v>
      </c>
      <c r="B285" s="10">
        <v>34387</v>
      </c>
      <c r="C285" s="10">
        <v>19146</v>
      </c>
      <c r="D285" s="10">
        <v>15241</v>
      </c>
      <c r="E285" s="10">
        <v>32456</v>
      </c>
      <c r="F285" s="10">
        <v>17837</v>
      </c>
      <c r="G285" s="10">
        <v>14619</v>
      </c>
      <c r="H285" s="10">
        <v>1924</v>
      </c>
      <c r="I285" s="10">
        <v>1302</v>
      </c>
      <c r="J285" s="10">
        <v>622</v>
      </c>
    </row>
    <row r="286" spans="1:10">
      <c r="A286" s="5" t="s">
        <v>31</v>
      </c>
      <c r="B286" s="11">
        <v>3344</v>
      </c>
      <c r="C286" s="11">
        <v>1857</v>
      </c>
      <c r="D286" s="11">
        <v>1487</v>
      </c>
      <c r="E286" s="11">
        <v>3043</v>
      </c>
      <c r="F286" s="11">
        <v>1703</v>
      </c>
      <c r="G286" s="11">
        <v>1340</v>
      </c>
      <c r="H286" s="11">
        <v>299</v>
      </c>
      <c r="I286" s="11">
        <v>152</v>
      </c>
      <c r="J286" s="11">
        <v>147</v>
      </c>
    </row>
    <row r="287" spans="1:10">
      <c r="A287" s="9" t="s">
        <v>32</v>
      </c>
      <c r="B287" s="10">
        <v>4732</v>
      </c>
      <c r="C287" s="10">
        <v>2752</v>
      </c>
      <c r="D287" s="10">
        <v>1980</v>
      </c>
      <c r="E287" s="10">
        <v>3085</v>
      </c>
      <c r="F287" s="10">
        <v>1565</v>
      </c>
      <c r="G287" s="10">
        <v>1520</v>
      </c>
      <c r="H287" s="10">
        <v>1639</v>
      </c>
      <c r="I287" s="10">
        <v>1181</v>
      </c>
      <c r="J287" s="10">
        <v>458</v>
      </c>
    </row>
    <row r="288" spans="1:10">
      <c r="A288" s="379" t="s">
        <v>77</v>
      </c>
      <c r="B288" s="380"/>
      <c r="C288" s="380"/>
      <c r="D288" s="380"/>
      <c r="E288" s="380"/>
      <c r="F288" s="380"/>
      <c r="G288" s="380"/>
      <c r="H288" s="380"/>
      <c r="I288" s="380"/>
      <c r="J288" s="381"/>
    </row>
    <row r="289" spans="1:10">
      <c r="A289" s="9" t="s">
        <v>28</v>
      </c>
      <c r="B289" s="10">
        <v>46223</v>
      </c>
      <c r="C289" s="10">
        <v>24392</v>
      </c>
      <c r="D289" s="10">
        <v>21831</v>
      </c>
      <c r="E289" s="10">
        <v>43362</v>
      </c>
      <c r="F289" s="10">
        <v>22447</v>
      </c>
      <c r="G289" s="10">
        <v>20915</v>
      </c>
      <c r="H289" s="10">
        <v>2855</v>
      </c>
      <c r="I289" s="10">
        <v>1943</v>
      </c>
      <c r="J289" s="10">
        <v>912</v>
      </c>
    </row>
    <row r="290" spans="1:10">
      <c r="A290" s="5" t="s">
        <v>29</v>
      </c>
      <c r="B290" s="11">
        <v>5627</v>
      </c>
      <c r="C290" s="11">
        <v>3122</v>
      </c>
      <c r="D290" s="11">
        <v>2505</v>
      </c>
      <c r="E290" s="11">
        <v>5178</v>
      </c>
      <c r="F290" s="11">
        <v>2804</v>
      </c>
      <c r="G290" s="11">
        <v>2374</v>
      </c>
      <c r="H290" s="11">
        <v>448</v>
      </c>
      <c r="I290" s="11">
        <v>318</v>
      </c>
      <c r="J290" s="11">
        <v>130</v>
      </c>
    </row>
    <row r="291" spans="1:10">
      <c r="A291" s="9" t="s">
        <v>30</v>
      </c>
      <c r="B291" s="10">
        <v>32070</v>
      </c>
      <c r="C291" s="10">
        <v>16614</v>
      </c>
      <c r="D291" s="10">
        <v>15456</v>
      </c>
      <c r="E291" s="10">
        <v>31104</v>
      </c>
      <c r="F291" s="10">
        <v>15970</v>
      </c>
      <c r="G291" s="10">
        <v>15134</v>
      </c>
      <c r="H291" s="10">
        <v>963</v>
      </c>
      <c r="I291" s="10">
        <v>644</v>
      </c>
      <c r="J291" s="10">
        <v>319</v>
      </c>
    </row>
    <row r="292" spans="1:10">
      <c r="A292" s="5" t="s">
        <v>31</v>
      </c>
      <c r="B292" s="11">
        <v>3652</v>
      </c>
      <c r="C292" s="11">
        <v>2029</v>
      </c>
      <c r="D292" s="11">
        <v>1623</v>
      </c>
      <c r="E292" s="11">
        <v>3384</v>
      </c>
      <c r="F292" s="11">
        <v>1881</v>
      </c>
      <c r="G292" s="11">
        <v>1503</v>
      </c>
      <c r="H292" s="11">
        <v>267</v>
      </c>
      <c r="I292" s="11">
        <v>147</v>
      </c>
      <c r="J292" s="11">
        <v>120</v>
      </c>
    </row>
    <row r="293" spans="1:10">
      <c r="A293" s="9" t="s">
        <v>32</v>
      </c>
      <c r="B293" s="10">
        <v>4874</v>
      </c>
      <c r="C293" s="10">
        <v>2627</v>
      </c>
      <c r="D293" s="10">
        <v>2247</v>
      </c>
      <c r="E293" s="10">
        <v>3696</v>
      </c>
      <c r="F293" s="10">
        <v>1792</v>
      </c>
      <c r="G293" s="10">
        <v>1904</v>
      </c>
      <c r="H293" s="10">
        <v>1177</v>
      </c>
      <c r="I293" s="10">
        <v>834</v>
      </c>
      <c r="J293" s="10">
        <v>343</v>
      </c>
    </row>
    <row r="294" spans="1:10">
      <c r="A294" s="379" t="s">
        <v>78</v>
      </c>
      <c r="B294" s="380"/>
      <c r="C294" s="380"/>
      <c r="D294" s="380"/>
      <c r="E294" s="380"/>
      <c r="F294" s="380"/>
      <c r="G294" s="380"/>
      <c r="H294" s="380"/>
      <c r="I294" s="380"/>
      <c r="J294" s="381"/>
    </row>
    <row r="295" spans="1:10">
      <c r="A295" s="9" t="s">
        <v>28</v>
      </c>
      <c r="B295" s="10">
        <v>34720</v>
      </c>
      <c r="C295" s="10">
        <v>19311</v>
      </c>
      <c r="D295" s="10">
        <v>15409</v>
      </c>
      <c r="E295" s="10">
        <v>31940</v>
      </c>
      <c r="F295" s="10">
        <v>17340</v>
      </c>
      <c r="G295" s="10">
        <v>14600</v>
      </c>
      <c r="H295" s="10">
        <v>2773</v>
      </c>
      <c r="I295" s="10">
        <v>1968</v>
      </c>
      <c r="J295" s="10">
        <v>805</v>
      </c>
    </row>
    <row r="296" spans="1:10">
      <c r="A296" s="5" t="s">
        <v>29</v>
      </c>
      <c r="B296" s="11">
        <v>4093</v>
      </c>
      <c r="C296" s="11">
        <v>2524</v>
      </c>
      <c r="D296" s="11">
        <v>1569</v>
      </c>
      <c r="E296" s="11">
        <v>3440</v>
      </c>
      <c r="F296" s="11">
        <v>2055</v>
      </c>
      <c r="G296" s="11">
        <v>1385</v>
      </c>
      <c r="H296" s="11">
        <v>653</v>
      </c>
      <c r="I296" s="11">
        <v>469</v>
      </c>
      <c r="J296" s="11">
        <v>184</v>
      </c>
    </row>
    <row r="297" spans="1:10">
      <c r="A297" s="9" t="s">
        <v>30</v>
      </c>
      <c r="B297" s="10">
        <v>23031</v>
      </c>
      <c r="C297" s="10">
        <v>12520</v>
      </c>
      <c r="D297" s="10">
        <v>10511</v>
      </c>
      <c r="E297" s="10">
        <v>22295</v>
      </c>
      <c r="F297" s="10">
        <v>12013</v>
      </c>
      <c r="G297" s="10">
        <v>10282</v>
      </c>
      <c r="H297" s="10">
        <v>733</v>
      </c>
      <c r="I297" s="10">
        <v>506</v>
      </c>
      <c r="J297" s="10">
        <v>227</v>
      </c>
    </row>
    <row r="298" spans="1:10">
      <c r="A298" s="5" t="s">
        <v>31</v>
      </c>
      <c r="B298" s="11">
        <v>2562</v>
      </c>
      <c r="C298" s="11">
        <v>1295</v>
      </c>
      <c r="D298" s="11">
        <v>1267</v>
      </c>
      <c r="E298" s="11">
        <v>2437</v>
      </c>
      <c r="F298" s="11">
        <v>1222</v>
      </c>
      <c r="G298" s="11">
        <v>1215</v>
      </c>
      <c r="H298" s="11">
        <v>125</v>
      </c>
      <c r="I298" s="11">
        <v>73</v>
      </c>
      <c r="J298" s="11">
        <v>52</v>
      </c>
    </row>
    <row r="299" spans="1:10">
      <c r="A299" s="9" t="s">
        <v>32</v>
      </c>
      <c r="B299" s="10">
        <v>5034</v>
      </c>
      <c r="C299" s="10">
        <v>2972</v>
      </c>
      <c r="D299" s="10">
        <v>2062</v>
      </c>
      <c r="E299" s="10">
        <v>3768</v>
      </c>
      <c r="F299" s="10">
        <v>2050</v>
      </c>
      <c r="G299" s="10">
        <v>1718</v>
      </c>
      <c r="H299" s="10">
        <v>1262</v>
      </c>
      <c r="I299" s="10">
        <v>920</v>
      </c>
      <c r="J299" s="10">
        <v>342</v>
      </c>
    </row>
    <row r="300" spans="1:10">
      <c r="A300" s="379" t="s">
        <v>79</v>
      </c>
      <c r="B300" s="380"/>
      <c r="C300" s="380"/>
      <c r="D300" s="380"/>
      <c r="E300" s="380"/>
      <c r="F300" s="380"/>
      <c r="G300" s="380"/>
      <c r="H300" s="380"/>
      <c r="I300" s="380"/>
      <c r="J300" s="381"/>
    </row>
    <row r="301" spans="1:10">
      <c r="A301" s="9" t="s">
        <v>28</v>
      </c>
      <c r="B301" s="10">
        <v>124047</v>
      </c>
      <c r="C301" s="10">
        <v>70810</v>
      </c>
      <c r="D301" s="10">
        <v>53237</v>
      </c>
      <c r="E301" s="10">
        <v>110090</v>
      </c>
      <c r="F301" s="10">
        <v>61418</v>
      </c>
      <c r="G301" s="10">
        <v>48672</v>
      </c>
      <c r="H301" s="10">
        <v>13926</v>
      </c>
      <c r="I301" s="10">
        <v>9370</v>
      </c>
      <c r="J301" s="10">
        <v>4556</v>
      </c>
    </row>
    <row r="302" spans="1:10">
      <c r="A302" s="5" t="s">
        <v>29</v>
      </c>
      <c r="B302" s="11">
        <v>16504</v>
      </c>
      <c r="C302" s="11">
        <v>10330</v>
      </c>
      <c r="D302" s="11">
        <v>6174</v>
      </c>
      <c r="E302" s="11">
        <v>13060</v>
      </c>
      <c r="F302" s="11">
        <v>7929</v>
      </c>
      <c r="G302" s="11">
        <v>5131</v>
      </c>
      <c r="H302" s="11">
        <v>3436</v>
      </c>
      <c r="I302" s="11">
        <v>2395</v>
      </c>
      <c r="J302" s="11">
        <v>1041</v>
      </c>
    </row>
    <row r="303" spans="1:10">
      <c r="A303" s="9" t="s">
        <v>30</v>
      </c>
      <c r="B303" s="10">
        <v>81184</v>
      </c>
      <c r="C303" s="10">
        <v>45435</v>
      </c>
      <c r="D303" s="10">
        <v>35749</v>
      </c>
      <c r="E303" s="10">
        <v>77886</v>
      </c>
      <c r="F303" s="10">
        <v>43146</v>
      </c>
      <c r="G303" s="10">
        <v>34740</v>
      </c>
      <c r="H303" s="10">
        <v>3289</v>
      </c>
      <c r="I303" s="10">
        <v>2285</v>
      </c>
      <c r="J303" s="10">
        <v>1004</v>
      </c>
    </row>
    <row r="304" spans="1:10">
      <c r="A304" s="5" t="s">
        <v>31</v>
      </c>
      <c r="B304" s="11">
        <v>9596</v>
      </c>
      <c r="C304" s="11">
        <v>5117</v>
      </c>
      <c r="D304" s="11">
        <v>4479</v>
      </c>
      <c r="E304" s="11">
        <v>8991</v>
      </c>
      <c r="F304" s="11">
        <v>4807</v>
      </c>
      <c r="G304" s="11">
        <v>4184</v>
      </c>
      <c r="H304" s="11">
        <v>601</v>
      </c>
      <c r="I304" s="11">
        <v>307</v>
      </c>
      <c r="J304" s="11">
        <v>294</v>
      </c>
    </row>
    <row r="305" spans="1:10">
      <c r="A305" s="9" t="s">
        <v>32</v>
      </c>
      <c r="B305" s="10">
        <v>16763</v>
      </c>
      <c r="C305" s="10">
        <v>9928</v>
      </c>
      <c r="D305" s="10">
        <v>6835</v>
      </c>
      <c r="E305" s="10">
        <v>10153</v>
      </c>
      <c r="F305" s="10">
        <v>5536</v>
      </c>
      <c r="G305" s="10">
        <v>4617</v>
      </c>
      <c r="H305" s="10">
        <v>6600</v>
      </c>
      <c r="I305" s="10">
        <v>4383</v>
      </c>
      <c r="J305" s="10">
        <v>2217</v>
      </c>
    </row>
    <row r="306" spans="1:10">
      <c r="A306" s="379" t="s">
        <v>80</v>
      </c>
      <c r="B306" s="380"/>
      <c r="C306" s="380"/>
      <c r="D306" s="380"/>
      <c r="E306" s="380"/>
      <c r="F306" s="380"/>
      <c r="G306" s="380"/>
      <c r="H306" s="380"/>
      <c r="I306" s="380"/>
      <c r="J306" s="381"/>
    </row>
    <row r="307" spans="1:10">
      <c r="A307" s="9" t="s">
        <v>28</v>
      </c>
      <c r="B307" s="10">
        <v>69397</v>
      </c>
      <c r="C307" s="10">
        <v>41248</v>
      </c>
      <c r="D307" s="10">
        <v>28149</v>
      </c>
      <c r="E307" s="10">
        <v>60349</v>
      </c>
      <c r="F307" s="10">
        <v>35204</v>
      </c>
      <c r="G307" s="10">
        <v>25145</v>
      </c>
      <c r="H307" s="10">
        <v>9005</v>
      </c>
      <c r="I307" s="10">
        <v>6010</v>
      </c>
      <c r="J307" s="10">
        <v>2995</v>
      </c>
    </row>
    <row r="308" spans="1:10">
      <c r="A308" s="5" t="s">
        <v>29</v>
      </c>
      <c r="B308" s="11">
        <v>10308</v>
      </c>
      <c r="C308" s="11">
        <v>6230</v>
      </c>
      <c r="D308" s="11">
        <v>4078</v>
      </c>
      <c r="E308" s="11">
        <v>8077</v>
      </c>
      <c r="F308" s="11">
        <v>4720</v>
      </c>
      <c r="G308" s="11">
        <v>3357</v>
      </c>
      <c r="H308" s="11">
        <v>2220</v>
      </c>
      <c r="I308" s="11">
        <v>1503</v>
      </c>
      <c r="J308" s="11">
        <v>717</v>
      </c>
    </row>
    <row r="309" spans="1:10">
      <c r="A309" s="9" t="s">
        <v>30</v>
      </c>
      <c r="B309" s="10">
        <v>43130</v>
      </c>
      <c r="C309" s="10">
        <v>25575</v>
      </c>
      <c r="D309" s="10">
        <v>17555</v>
      </c>
      <c r="E309" s="10">
        <v>41152</v>
      </c>
      <c r="F309" s="10">
        <v>24156</v>
      </c>
      <c r="G309" s="10">
        <v>16996</v>
      </c>
      <c r="H309" s="10">
        <v>1962</v>
      </c>
      <c r="I309" s="10">
        <v>1404</v>
      </c>
      <c r="J309" s="10">
        <v>558</v>
      </c>
    </row>
    <row r="310" spans="1:10">
      <c r="A310" s="5" t="s">
        <v>31</v>
      </c>
      <c r="B310" s="11">
        <v>5698</v>
      </c>
      <c r="C310" s="11">
        <v>3132</v>
      </c>
      <c r="D310" s="11">
        <v>2566</v>
      </c>
      <c r="E310" s="11">
        <v>5341</v>
      </c>
      <c r="F310" s="11">
        <v>2938</v>
      </c>
      <c r="G310" s="11">
        <v>2403</v>
      </c>
      <c r="H310" s="11">
        <v>357</v>
      </c>
      <c r="I310" s="11">
        <v>194</v>
      </c>
      <c r="J310" s="11">
        <v>163</v>
      </c>
    </row>
    <row r="311" spans="1:10">
      <c r="A311" s="9" t="s">
        <v>32</v>
      </c>
      <c r="B311" s="10">
        <v>10261</v>
      </c>
      <c r="C311" s="10">
        <v>6311</v>
      </c>
      <c r="D311" s="10">
        <v>3950</v>
      </c>
      <c r="E311" s="10">
        <v>5779</v>
      </c>
      <c r="F311" s="10">
        <v>3390</v>
      </c>
      <c r="G311" s="10">
        <v>2389</v>
      </c>
      <c r="H311" s="10">
        <v>4466</v>
      </c>
      <c r="I311" s="10">
        <v>2909</v>
      </c>
      <c r="J311" s="10">
        <v>1557</v>
      </c>
    </row>
    <row r="312" spans="1:10">
      <c r="A312" s="379" t="s">
        <v>81</v>
      </c>
      <c r="B312" s="380"/>
      <c r="C312" s="380"/>
      <c r="D312" s="380"/>
      <c r="E312" s="380"/>
      <c r="F312" s="380"/>
      <c r="G312" s="380"/>
      <c r="H312" s="380"/>
      <c r="I312" s="380"/>
      <c r="J312" s="381"/>
    </row>
    <row r="313" spans="1:10">
      <c r="A313" s="9" t="s">
        <v>28</v>
      </c>
      <c r="B313" s="10">
        <v>29093</v>
      </c>
      <c r="C313" s="10">
        <v>18325</v>
      </c>
      <c r="D313" s="10">
        <v>10768</v>
      </c>
      <c r="E313" s="10">
        <v>26988</v>
      </c>
      <c r="F313" s="10">
        <v>16584</v>
      </c>
      <c r="G313" s="10">
        <v>10404</v>
      </c>
      <c r="H313" s="10">
        <v>2101</v>
      </c>
      <c r="I313" s="10">
        <v>1739</v>
      </c>
      <c r="J313" s="10">
        <v>362</v>
      </c>
    </row>
    <row r="314" spans="1:10">
      <c r="A314" s="5" t="s">
        <v>29</v>
      </c>
      <c r="B314" s="11">
        <v>3395</v>
      </c>
      <c r="C314" s="11">
        <v>2188</v>
      </c>
      <c r="D314" s="11">
        <v>1207</v>
      </c>
      <c r="E314" s="11">
        <v>3007</v>
      </c>
      <c r="F314" s="11">
        <v>1868</v>
      </c>
      <c r="G314" s="11">
        <v>1139</v>
      </c>
      <c r="H314" s="11">
        <v>387</v>
      </c>
      <c r="I314" s="11">
        <v>319</v>
      </c>
      <c r="J314" s="11">
        <v>68</v>
      </c>
    </row>
    <row r="315" spans="1:10">
      <c r="A315" s="9" t="s">
        <v>30</v>
      </c>
      <c r="B315" s="10">
        <v>20369</v>
      </c>
      <c r="C315" s="10">
        <v>12764</v>
      </c>
      <c r="D315" s="10">
        <v>7605</v>
      </c>
      <c r="E315" s="10">
        <v>19607</v>
      </c>
      <c r="F315" s="10">
        <v>12159</v>
      </c>
      <c r="G315" s="10">
        <v>7448</v>
      </c>
      <c r="H315" s="10">
        <v>761</v>
      </c>
      <c r="I315" s="10">
        <v>605</v>
      </c>
      <c r="J315" s="10">
        <v>156</v>
      </c>
    </row>
    <row r="316" spans="1:10">
      <c r="A316" s="5" t="s">
        <v>31</v>
      </c>
      <c r="B316" s="11">
        <v>2475</v>
      </c>
      <c r="C316" s="11">
        <v>1639</v>
      </c>
      <c r="D316" s="11">
        <v>836</v>
      </c>
      <c r="E316" s="11">
        <v>2347</v>
      </c>
      <c r="F316" s="11">
        <v>1559</v>
      </c>
      <c r="G316" s="11">
        <v>788</v>
      </c>
      <c r="H316" s="11">
        <v>128</v>
      </c>
      <c r="I316" s="11">
        <v>80</v>
      </c>
      <c r="J316" s="11">
        <v>48</v>
      </c>
    </row>
    <row r="317" spans="1:10">
      <c r="A317" s="9" t="s">
        <v>32</v>
      </c>
      <c r="B317" s="10">
        <v>2854</v>
      </c>
      <c r="C317" s="10">
        <v>1734</v>
      </c>
      <c r="D317" s="10">
        <v>1120</v>
      </c>
      <c r="E317" s="10">
        <v>2027</v>
      </c>
      <c r="F317" s="10">
        <v>998</v>
      </c>
      <c r="G317" s="10">
        <v>1029</v>
      </c>
      <c r="H317" s="10">
        <v>825</v>
      </c>
      <c r="I317" s="10">
        <v>735</v>
      </c>
      <c r="J317" s="10">
        <v>90</v>
      </c>
    </row>
    <row r="318" spans="1:10">
      <c r="A318" s="379" t="s">
        <v>82</v>
      </c>
      <c r="B318" s="380"/>
      <c r="C318" s="380"/>
      <c r="D318" s="380"/>
      <c r="E318" s="380"/>
      <c r="F318" s="380"/>
      <c r="G318" s="380"/>
      <c r="H318" s="380"/>
      <c r="I318" s="380"/>
      <c r="J318" s="381"/>
    </row>
    <row r="319" spans="1:10">
      <c r="A319" s="9" t="s">
        <v>28</v>
      </c>
      <c r="B319" s="10">
        <v>15613</v>
      </c>
      <c r="C319" s="10">
        <v>7868</v>
      </c>
      <c r="D319" s="10">
        <v>7745</v>
      </c>
      <c r="E319" s="10">
        <v>14808</v>
      </c>
      <c r="F319" s="10">
        <v>7403</v>
      </c>
      <c r="G319" s="10">
        <v>7405</v>
      </c>
      <c r="H319" s="10">
        <v>801</v>
      </c>
      <c r="I319" s="10">
        <v>462</v>
      </c>
      <c r="J319" s="10">
        <v>339</v>
      </c>
    </row>
    <row r="320" spans="1:10">
      <c r="A320" s="5" t="s">
        <v>29</v>
      </c>
      <c r="B320" s="11">
        <v>1734</v>
      </c>
      <c r="C320" s="11">
        <v>933</v>
      </c>
      <c r="D320" s="11">
        <v>801</v>
      </c>
      <c r="E320" s="11">
        <v>1620</v>
      </c>
      <c r="F320" s="11">
        <v>868</v>
      </c>
      <c r="G320" s="11">
        <v>752</v>
      </c>
      <c r="H320" s="11">
        <v>113</v>
      </c>
      <c r="I320" s="11">
        <v>64</v>
      </c>
      <c r="J320" s="11">
        <v>49</v>
      </c>
    </row>
    <row r="321" spans="1:10">
      <c r="A321" s="9" t="s">
        <v>30</v>
      </c>
      <c r="B321" s="10">
        <v>10599</v>
      </c>
      <c r="C321" s="10">
        <v>5324</v>
      </c>
      <c r="D321" s="10">
        <v>5275</v>
      </c>
      <c r="E321" s="10">
        <v>10422</v>
      </c>
      <c r="F321" s="10">
        <v>5220</v>
      </c>
      <c r="G321" s="10">
        <v>5202</v>
      </c>
      <c r="H321" s="10">
        <v>176</v>
      </c>
      <c r="I321" s="10">
        <v>104</v>
      </c>
      <c r="J321" s="10">
        <v>72</v>
      </c>
    </row>
    <row r="322" spans="1:10">
      <c r="A322" s="5" t="s">
        <v>31</v>
      </c>
      <c r="B322" s="11">
        <v>923</v>
      </c>
      <c r="C322" s="11">
        <v>451</v>
      </c>
      <c r="D322" s="11">
        <v>472</v>
      </c>
      <c r="E322" s="11">
        <v>873</v>
      </c>
      <c r="F322" s="11">
        <v>425</v>
      </c>
      <c r="G322" s="11">
        <v>448</v>
      </c>
      <c r="H322" s="11">
        <v>49</v>
      </c>
      <c r="I322" s="11">
        <v>25</v>
      </c>
      <c r="J322" s="11">
        <v>24</v>
      </c>
    </row>
    <row r="323" spans="1:10">
      <c r="A323" s="9" t="s">
        <v>32</v>
      </c>
      <c r="B323" s="10">
        <v>2357</v>
      </c>
      <c r="C323" s="10">
        <v>1160</v>
      </c>
      <c r="D323" s="10">
        <v>1197</v>
      </c>
      <c r="E323" s="10">
        <v>1893</v>
      </c>
      <c r="F323" s="10">
        <v>890</v>
      </c>
      <c r="G323" s="10">
        <v>1003</v>
      </c>
      <c r="H323" s="10">
        <v>463</v>
      </c>
      <c r="I323" s="10">
        <v>269</v>
      </c>
      <c r="J323" s="10">
        <v>194</v>
      </c>
    </row>
    <row r="324" spans="1:10">
      <c r="A324" s="3" t="s">
        <v>3</v>
      </c>
      <c r="B324" s="3"/>
      <c r="C324" s="3"/>
      <c r="D324" s="3"/>
      <c r="E324" s="3"/>
      <c r="F324" s="3"/>
      <c r="G324" s="3"/>
      <c r="H324" s="3"/>
      <c r="I324" s="3"/>
      <c r="J324" s="3"/>
    </row>
    <row r="325" spans="1:10">
      <c r="A325" s="3" t="s">
        <v>83</v>
      </c>
      <c r="B325" s="3"/>
      <c r="C325" s="3"/>
      <c r="D325" s="3"/>
      <c r="E325" s="3"/>
      <c r="F325" s="3"/>
      <c r="G325" s="3"/>
      <c r="H325" s="3"/>
      <c r="I325" s="3"/>
      <c r="J325" s="3"/>
    </row>
  </sheetData>
  <mergeCells count="56">
    <mergeCell ref="A312:J312"/>
    <mergeCell ref="A318:J318"/>
    <mergeCell ref="A276:J276"/>
    <mergeCell ref="A282:J282"/>
    <mergeCell ref="A288:J288"/>
    <mergeCell ref="A294:J294"/>
    <mergeCell ref="A300:J300"/>
    <mergeCell ref="A306:J306"/>
    <mergeCell ref="A270:J270"/>
    <mergeCell ref="A204:J204"/>
    <mergeCell ref="A210:J210"/>
    <mergeCell ref="A216:J216"/>
    <mergeCell ref="A222:J222"/>
    <mergeCell ref="A228:J228"/>
    <mergeCell ref="A234:J234"/>
    <mergeCell ref="A240:J240"/>
    <mergeCell ref="A246:J246"/>
    <mergeCell ref="A252:J252"/>
    <mergeCell ref="A258:J258"/>
    <mergeCell ref="A264:J264"/>
    <mergeCell ref="A198:J198"/>
    <mergeCell ref="A132:J132"/>
    <mergeCell ref="A138:J138"/>
    <mergeCell ref="A144:J144"/>
    <mergeCell ref="A150:J150"/>
    <mergeCell ref="A156:J156"/>
    <mergeCell ref="A162:J162"/>
    <mergeCell ref="A168:J168"/>
    <mergeCell ref="A174:J174"/>
    <mergeCell ref="A180:J180"/>
    <mergeCell ref="A186:J186"/>
    <mergeCell ref="A192:J192"/>
    <mergeCell ref="A126:J126"/>
    <mergeCell ref="A60:J60"/>
    <mergeCell ref="A66:J66"/>
    <mergeCell ref="A72:J72"/>
    <mergeCell ref="A78:J78"/>
    <mergeCell ref="A84:J84"/>
    <mergeCell ref="A90:J90"/>
    <mergeCell ref="A96:J96"/>
    <mergeCell ref="A102:J102"/>
    <mergeCell ref="A108:J108"/>
    <mergeCell ref="A114:J114"/>
    <mergeCell ref="A120:J120"/>
    <mergeCell ref="A54:J54"/>
    <mergeCell ref="A14:A17"/>
    <mergeCell ref="B14:J14"/>
    <mergeCell ref="B15:D15"/>
    <mergeCell ref="E15:G15"/>
    <mergeCell ref="H15:J15"/>
    <mergeCell ref="A18:J18"/>
    <mergeCell ref="A24:J24"/>
    <mergeCell ref="A30:J30"/>
    <mergeCell ref="A36:J36"/>
    <mergeCell ref="A42:J42"/>
    <mergeCell ref="A48:J48"/>
  </mergeCell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22439-60C6-4EEE-9A19-7CE1A2732A82}">
  <sheetPr codeName="Tabelle20"/>
  <dimension ref="A1:J330"/>
  <sheetViews>
    <sheetView topLeftCell="A2" workbookViewId="0">
      <selection activeCell="A328" sqref="A23:J328"/>
    </sheetView>
  </sheetViews>
  <sheetFormatPr baseColWidth="10" defaultRowHeight="13.5"/>
  <cols>
    <col min="1" max="1" width="87.5" bestFit="1" customWidth="1"/>
  </cols>
  <sheetData>
    <row r="1" spans="1:10">
      <c r="A1" s="268" t="s">
        <v>3537</v>
      </c>
    </row>
    <row r="3" spans="1:10">
      <c r="A3" s="171" t="s">
        <v>349</v>
      </c>
    </row>
    <row r="4" spans="1:10">
      <c r="A4" s="171" t="s">
        <v>309</v>
      </c>
    </row>
    <row r="6" spans="1:10">
      <c r="A6" s="245" t="s">
        <v>4</v>
      </c>
    </row>
    <row r="7" spans="1:10">
      <c r="A7" s="244"/>
    </row>
    <row r="8" spans="1:10">
      <c r="A8" s="246" t="s">
        <v>310</v>
      </c>
    </row>
    <row r="9" spans="1:10">
      <c r="A9" s="246" t="s">
        <v>350</v>
      </c>
    </row>
    <row r="10" spans="1:10">
      <c r="A10" s="246"/>
    </row>
    <row r="11" spans="1:10">
      <c r="A11" s="246" t="s">
        <v>312</v>
      </c>
    </row>
    <row r="12" spans="1:10">
      <c r="A12" s="246" t="s">
        <v>3538</v>
      </c>
    </row>
    <row r="13" spans="1:10">
      <c r="A13" s="244"/>
    </row>
    <row r="14" spans="1:10">
      <c r="A14" s="246" t="s">
        <v>314</v>
      </c>
    </row>
    <row r="15" spans="1:10" ht="14.25" thickBot="1"/>
    <row r="16" spans="1:10">
      <c r="A16" s="251" t="s">
        <v>130</v>
      </c>
      <c r="B16" s="313" t="s">
        <v>11</v>
      </c>
      <c r="C16" s="314"/>
      <c r="D16" s="314"/>
      <c r="E16" s="314"/>
      <c r="F16" s="314"/>
      <c r="G16" s="314"/>
      <c r="H16" s="314"/>
      <c r="I16" s="314"/>
      <c r="J16" s="315"/>
    </row>
    <row r="17" spans="1:10">
      <c r="A17" s="252" t="s">
        <v>315</v>
      </c>
      <c r="B17" s="316"/>
      <c r="C17" s="317"/>
      <c r="D17" s="317"/>
      <c r="E17" s="317"/>
      <c r="F17" s="317"/>
      <c r="G17" s="317"/>
      <c r="H17" s="317"/>
      <c r="I17" s="317"/>
      <c r="J17" s="318"/>
    </row>
    <row r="18" spans="1:10" ht="14.25" thickBot="1">
      <c r="A18" s="252" t="s">
        <v>316</v>
      </c>
      <c r="B18" s="319"/>
      <c r="C18" s="320"/>
      <c r="D18" s="320"/>
      <c r="E18" s="320"/>
      <c r="F18" s="320"/>
      <c r="G18" s="320"/>
      <c r="H18" s="320"/>
      <c r="I18" s="320"/>
      <c r="J18" s="321"/>
    </row>
    <row r="19" spans="1:10" ht="14.25" thickBot="1">
      <c r="A19" s="252" t="s">
        <v>317</v>
      </c>
      <c r="B19" s="322" t="s">
        <v>12</v>
      </c>
      <c r="C19" s="323"/>
      <c r="D19" s="324"/>
      <c r="E19" s="322" t="s">
        <v>13</v>
      </c>
      <c r="F19" s="323"/>
      <c r="G19" s="324"/>
      <c r="H19" s="322" t="s">
        <v>14</v>
      </c>
      <c r="I19" s="323"/>
      <c r="J19" s="325"/>
    </row>
    <row r="20" spans="1:10" ht="14.25" thickBot="1">
      <c r="A20" s="252" t="s">
        <v>318</v>
      </c>
      <c r="B20" s="247" t="s">
        <v>15</v>
      </c>
      <c r="C20" s="247" t="s">
        <v>16</v>
      </c>
      <c r="D20" s="247" t="s">
        <v>17</v>
      </c>
      <c r="E20" s="247" t="s">
        <v>15</v>
      </c>
      <c r="F20" s="247" t="s">
        <v>16</v>
      </c>
      <c r="G20" s="247" t="s">
        <v>17</v>
      </c>
      <c r="H20" s="247" t="s">
        <v>15</v>
      </c>
      <c r="I20" s="247" t="s">
        <v>16</v>
      </c>
      <c r="J20" s="254" t="s">
        <v>17</v>
      </c>
    </row>
    <row r="21" spans="1:10" ht="14.25" thickBot="1">
      <c r="A21" s="255" t="s">
        <v>319</v>
      </c>
      <c r="B21" s="248">
        <v>1</v>
      </c>
      <c r="C21" s="248">
        <v>2</v>
      </c>
      <c r="D21" s="248">
        <v>3</v>
      </c>
      <c r="E21" s="248">
        <v>4</v>
      </c>
      <c r="F21" s="248">
        <v>5</v>
      </c>
      <c r="G21" s="248">
        <v>6</v>
      </c>
      <c r="H21" s="248">
        <v>7</v>
      </c>
      <c r="I21" s="248">
        <v>8</v>
      </c>
      <c r="J21" s="256">
        <v>9</v>
      </c>
    </row>
    <row r="22" spans="1:10" ht="14.25" thickBot="1">
      <c r="A22" s="257"/>
      <c r="J22" s="253"/>
    </row>
    <row r="23" spans="1:10" ht="14.25" thickBot="1">
      <c r="A23" s="310" t="s">
        <v>3539</v>
      </c>
      <c r="B23" s="311"/>
      <c r="C23" s="311"/>
      <c r="D23" s="311"/>
      <c r="E23" s="311"/>
      <c r="F23" s="311"/>
      <c r="G23" s="311"/>
      <c r="H23" s="311"/>
      <c r="I23" s="311"/>
      <c r="J23" s="312"/>
    </row>
    <row r="24" spans="1:10" ht="14.25" thickBot="1">
      <c r="A24" s="258" t="s">
        <v>28</v>
      </c>
      <c r="B24" s="249">
        <v>2836091</v>
      </c>
      <c r="C24" s="249">
        <v>1537923</v>
      </c>
      <c r="D24" s="249">
        <v>1298168</v>
      </c>
      <c r="E24" s="249">
        <v>2632786</v>
      </c>
      <c r="F24" s="249">
        <v>1405719</v>
      </c>
      <c r="G24" s="249">
        <v>1227067</v>
      </c>
      <c r="H24" s="249">
        <v>202263</v>
      </c>
      <c r="I24" s="249">
        <v>131518</v>
      </c>
      <c r="J24" s="259">
        <v>70745</v>
      </c>
    </row>
    <row r="25" spans="1:10" ht="14.25" thickBot="1">
      <c r="A25" s="260" t="s">
        <v>321</v>
      </c>
      <c r="B25" s="250">
        <v>334681</v>
      </c>
      <c r="C25" s="250">
        <v>188152</v>
      </c>
      <c r="D25" s="250">
        <v>146529</v>
      </c>
      <c r="E25" s="250">
        <v>289072</v>
      </c>
      <c r="F25" s="250">
        <v>158792</v>
      </c>
      <c r="G25" s="250">
        <v>130280</v>
      </c>
      <c r="H25" s="250">
        <v>45389</v>
      </c>
      <c r="I25" s="250">
        <v>29205</v>
      </c>
      <c r="J25" s="261">
        <v>16184</v>
      </c>
    </row>
    <row r="26" spans="1:10" ht="14.25" thickBot="1">
      <c r="A26" s="258" t="s">
        <v>322</v>
      </c>
      <c r="B26" s="249">
        <v>1860174</v>
      </c>
      <c r="C26" s="249">
        <v>985311</v>
      </c>
      <c r="D26" s="249">
        <v>874863</v>
      </c>
      <c r="E26" s="249">
        <v>1795824</v>
      </c>
      <c r="F26" s="249">
        <v>943587</v>
      </c>
      <c r="G26" s="249">
        <v>852237</v>
      </c>
      <c r="H26" s="249">
        <v>63946</v>
      </c>
      <c r="I26" s="249">
        <v>41474</v>
      </c>
      <c r="J26" s="259">
        <v>22472</v>
      </c>
    </row>
    <row r="27" spans="1:10" ht="14.25" thickBot="1">
      <c r="A27" s="260" t="s">
        <v>323</v>
      </c>
      <c r="B27" s="250">
        <v>334085</v>
      </c>
      <c r="C27" s="250">
        <v>189066</v>
      </c>
      <c r="D27" s="250">
        <v>145019</v>
      </c>
      <c r="E27" s="250">
        <v>311608</v>
      </c>
      <c r="F27" s="250">
        <v>176822</v>
      </c>
      <c r="G27" s="250">
        <v>134786</v>
      </c>
      <c r="H27" s="250">
        <v>22413</v>
      </c>
      <c r="I27" s="250">
        <v>12200</v>
      </c>
      <c r="J27" s="261">
        <v>10213</v>
      </c>
    </row>
    <row r="28" spans="1:10" ht="14.25" thickBot="1">
      <c r="A28" s="258" t="s">
        <v>324</v>
      </c>
      <c r="B28" s="249">
        <v>307151</v>
      </c>
      <c r="C28" s="249">
        <v>175394</v>
      </c>
      <c r="D28" s="249">
        <v>131757</v>
      </c>
      <c r="E28" s="249">
        <v>236282</v>
      </c>
      <c r="F28" s="249">
        <v>126518</v>
      </c>
      <c r="G28" s="249">
        <v>109764</v>
      </c>
      <c r="H28" s="249">
        <v>70515</v>
      </c>
      <c r="I28" s="249">
        <v>48639</v>
      </c>
      <c r="J28" s="259">
        <v>21876</v>
      </c>
    </row>
    <row r="29" spans="1:10" ht="14.25" thickBot="1">
      <c r="A29" s="310" t="s">
        <v>3540</v>
      </c>
      <c r="B29" s="311"/>
      <c r="C29" s="311"/>
      <c r="D29" s="311"/>
      <c r="E29" s="311"/>
      <c r="F29" s="311"/>
      <c r="G29" s="311"/>
      <c r="H29" s="311"/>
      <c r="I29" s="311"/>
      <c r="J29" s="312"/>
    </row>
    <row r="30" spans="1:10" ht="14.25" thickBot="1">
      <c r="A30" s="258" t="s">
        <v>28</v>
      </c>
      <c r="B30" s="249">
        <v>623903</v>
      </c>
      <c r="C30" s="249">
        <v>347471</v>
      </c>
      <c r="D30" s="249">
        <v>276432</v>
      </c>
      <c r="E30" s="249">
        <v>585737</v>
      </c>
      <c r="F30" s="249">
        <v>322300</v>
      </c>
      <c r="G30" s="249">
        <v>263437</v>
      </c>
      <c r="H30" s="249">
        <v>37992</v>
      </c>
      <c r="I30" s="249">
        <v>25064</v>
      </c>
      <c r="J30" s="259">
        <v>12928</v>
      </c>
    </row>
    <row r="31" spans="1:10" ht="14.25" thickBot="1">
      <c r="A31" s="260" t="s">
        <v>321</v>
      </c>
      <c r="B31" s="250">
        <v>65261</v>
      </c>
      <c r="C31" s="250">
        <v>36396</v>
      </c>
      <c r="D31" s="250">
        <v>28865</v>
      </c>
      <c r="E31" s="250">
        <v>57657</v>
      </c>
      <c r="F31" s="250">
        <v>31497</v>
      </c>
      <c r="G31" s="250">
        <v>26160</v>
      </c>
      <c r="H31" s="250">
        <v>7565</v>
      </c>
      <c r="I31" s="250">
        <v>4875</v>
      </c>
      <c r="J31" s="261">
        <v>2690</v>
      </c>
    </row>
    <row r="32" spans="1:10" ht="14.25" thickBot="1">
      <c r="A32" s="258" t="s">
        <v>322</v>
      </c>
      <c r="B32" s="249">
        <v>402897</v>
      </c>
      <c r="C32" s="249">
        <v>216942</v>
      </c>
      <c r="D32" s="249">
        <v>185955</v>
      </c>
      <c r="E32" s="249">
        <v>389760</v>
      </c>
      <c r="F32" s="249">
        <v>208177</v>
      </c>
      <c r="G32" s="249">
        <v>181583</v>
      </c>
      <c r="H32" s="249">
        <v>13075</v>
      </c>
      <c r="I32" s="249">
        <v>8728</v>
      </c>
      <c r="J32" s="259">
        <v>4347</v>
      </c>
    </row>
    <row r="33" spans="1:10" ht="14.25" thickBot="1">
      <c r="A33" s="260" t="s">
        <v>323</v>
      </c>
      <c r="B33" s="250">
        <v>97008</v>
      </c>
      <c r="C33" s="250">
        <v>59953</v>
      </c>
      <c r="D33" s="250">
        <v>37055</v>
      </c>
      <c r="E33" s="250">
        <v>89743</v>
      </c>
      <c r="F33" s="250">
        <v>55641</v>
      </c>
      <c r="G33" s="250">
        <v>34102</v>
      </c>
      <c r="H33" s="250">
        <v>7247</v>
      </c>
      <c r="I33" s="250">
        <v>4295</v>
      </c>
      <c r="J33" s="261">
        <v>2952</v>
      </c>
    </row>
    <row r="34" spans="1:10" ht="14.25" thickBot="1">
      <c r="A34" s="258" t="s">
        <v>324</v>
      </c>
      <c r="B34" s="249">
        <v>58737</v>
      </c>
      <c r="C34" s="249">
        <v>34180</v>
      </c>
      <c r="D34" s="249">
        <v>24557</v>
      </c>
      <c r="E34" s="249">
        <v>48577</v>
      </c>
      <c r="F34" s="249">
        <v>26985</v>
      </c>
      <c r="G34" s="249">
        <v>21592</v>
      </c>
      <c r="H34" s="249">
        <v>10105</v>
      </c>
      <c r="I34" s="249">
        <v>7166</v>
      </c>
      <c r="J34" s="259">
        <v>2939</v>
      </c>
    </row>
    <row r="35" spans="1:10" ht="14.25" thickBot="1">
      <c r="A35" s="310" t="s">
        <v>3541</v>
      </c>
      <c r="B35" s="311"/>
      <c r="C35" s="311"/>
      <c r="D35" s="311"/>
      <c r="E35" s="311"/>
      <c r="F35" s="311"/>
      <c r="G35" s="311"/>
      <c r="H35" s="311"/>
      <c r="I35" s="311"/>
      <c r="J35" s="312"/>
    </row>
    <row r="36" spans="1:10" ht="14.25" thickBot="1">
      <c r="A36" s="258" t="s">
        <v>28</v>
      </c>
      <c r="B36" s="249">
        <v>125138</v>
      </c>
      <c r="C36" s="249">
        <v>65686</v>
      </c>
      <c r="D36" s="249">
        <v>59452</v>
      </c>
      <c r="E36" s="249">
        <v>117158</v>
      </c>
      <c r="F36" s="249">
        <v>60998</v>
      </c>
      <c r="G36" s="249">
        <v>56160</v>
      </c>
      <c r="H36" s="249">
        <v>7951</v>
      </c>
      <c r="I36" s="249">
        <v>4671</v>
      </c>
      <c r="J36" s="259">
        <v>3280</v>
      </c>
    </row>
    <row r="37" spans="1:10" ht="14.25" thickBot="1">
      <c r="A37" s="260" t="s">
        <v>321</v>
      </c>
      <c r="B37" s="250">
        <v>13743</v>
      </c>
      <c r="C37" s="250">
        <v>7489</v>
      </c>
      <c r="D37" s="250">
        <v>6254</v>
      </c>
      <c r="E37" s="250">
        <v>12118</v>
      </c>
      <c r="F37" s="250">
        <v>6517</v>
      </c>
      <c r="G37" s="250">
        <v>5601</v>
      </c>
      <c r="H37" s="250">
        <v>1616</v>
      </c>
      <c r="I37" s="250">
        <v>966</v>
      </c>
      <c r="J37" s="261">
        <v>650</v>
      </c>
    </row>
    <row r="38" spans="1:10" ht="14.25" thickBot="1">
      <c r="A38" s="258" t="s">
        <v>322</v>
      </c>
      <c r="B38" s="249">
        <v>76467</v>
      </c>
      <c r="C38" s="249">
        <v>38280</v>
      </c>
      <c r="D38" s="249">
        <v>38187</v>
      </c>
      <c r="E38" s="249">
        <v>73983</v>
      </c>
      <c r="F38" s="249">
        <v>36832</v>
      </c>
      <c r="G38" s="249">
        <v>37151</v>
      </c>
      <c r="H38" s="249">
        <v>2476</v>
      </c>
      <c r="I38" s="249">
        <v>1444</v>
      </c>
      <c r="J38" s="259">
        <v>1032</v>
      </c>
    </row>
    <row r="39" spans="1:10" ht="14.25" thickBot="1">
      <c r="A39" s="260" t="s">
        <v>323</v>
      </c>
      <c r="B39" s="250">
        <v>24041</v>
      </c>
      <c r="C39" s="250">
        <v>14218</v>
      </c>
      <c r="D39" s="250">
        <v>9823</v>
      </c>
      <c r="E39" s="250">
        <v>22265</v>
      </c>
      <c r="F39" s="250">
        <v>13239</v>
      </c>
      <c r="G39" s="250">
        <v>9026</v>
      </c>
      <c r="H39" s="250">
        <v>1772</v>
      </c>
      <c r="I39" s="250">
        <v>975</v>
      </c>
      <c r="J39" s="261">
        <v>797</v>
      </c>
    </row>
    <row r="40" spans="1:10" ht="14.25" thickBot="1">
      <c r="A40" s="258" t="s">
        <v>324</v>
      </c>
      <c r="B40" s="249">
        <v>10887</v>
      </c>
      <c r="C40" s="249">
        <v>5699</v>
      </c>
      <c r="D40" s="249">
        <v>5188</v>
      </c>
      <c r="E40" s="249">
        <v>8792</v>
      </c>
      <c r="F40" s="249">
        <v>4410</v>
      </c>
      <c r="G40" s="249">
        <v>4382</v>
      </c>
      <c r="H40" s="249">
        <v>2087</v>
      </c>
      <c r="I40" s="249">
        <v>1286</v>
      </c>
      <c r="J40" s="259">
        <v>801</v>
      </c>
    </row>
    <row r="41" spans="1:10" ht="14.25" thickBot="1">
      <c r="A41" s="310" t="s">
        <v>3542</v>
      </c>
      <c r="B41" s="311"/>
      <c r="C41" s="311"/>
      <c r="D41" s="311"/>
      <c r="E41" s="311"/>
      <c r="F41" s="311"/>
      <c r="G41" s="311"/>
      <c r="H41" s="311"/>
      <c r="I41" s="311"/>
      <c r="J41" s="312"/>
    </row>
    <row r="42" spans="1:10" ht="14.25" thickBot="1">
      <c r="A42" s="258" t="s">
        <v>28</v>
      </c>
      <c r="B42" s="249">
        <v>47399</v>
      </c>
      <c r="C42" s="249">
        <v>31877</v>
      </c>
      <c r="D42" s="249">
        <v>15522</v>
      </c>
      <c r="E42" s="249">
        <v>43742</v>
      </c>
      <c r="F42" s="249">
        <v>29001</v>
      </c>
      <c r="G42" s="249">
        <v>14741</v>
      </c>
      <c r="H42" s="249">
        <v>3635</v>
      </c>
      <c r="I42" s="249">
        <v>2863</v>
      </c>
      <c r="J42" s="259">
        <v>772</v>
      </c>
    </row>
    <row r="43" spans="1:10" ht="14.25" thickBot="1">
      <c r="A43" s="260" t="s">
        <v>321</v>
      </c>
      <c r="B43" s="250">
        <v>4926</v>
      </c>
      <c r="C43" s="250">
        <v>3009</v>
      </c>
      <c r="D43" s="250">
        <v>1917</v>
      </c>
      <c r="E43" s="250">
        <v>4099</v>
      </c>
      <c r="F43" s="250">
        <v>2397</v>
      </c>
      <c r="G43" s="250">
        <v>1702</v>
      </c>
      <c r="H43" s="250">
        <v>824</v>
      </c>
      <c r="I43" s="250">
        <v>611</v>
      </c>
      <c r="J43" s="261">
        <v>213</v>
      </c>
    </row>
    <row r="44" spans="1:10" ht="14.25" thickBot="1">
      <c r="A44" s="258" t="s">
        <v>322</v>
      </c>
      <c r="B44" s="249">
        <v>32019</v>
      </c>
      <c r="C44" s="249">
        <v>21513</v>
      </c>
      <c r="D44" s="249">
        <v>10506</v>
      </c>
      <c r="E44" s="249">
        <v>30428</v>
      </c>
      <c r="F44" s="249">
        <v>20224</v>
      </c>
      <c r="G44" s="249">
        <v>10204</v>
      </c>
      <c r="H44" s="249">
        <v>1580</v>
      </c>
      <c r="I44" s="249">
        <v>1282</v>
      </c>
      <c r="J44" s="259">
        <v>298</v>
      </c>
    </row>
    <row r="45" spans="1:10" ht="14.25" thickBot="1">
      <c r="A45" s="260" t="s">
        <v>323</v>
      </c>
      <c r="B45" s="250">
        <v>4588</v>
      </c>
      <c r="C45" s="250">
        <v>3048</v>
      </c>
      <c r="D45" s="250">
        <v>1540</v>
      </c>
      <c r="E45" s="250">
        <v>4328</v>
      </c>
      <c r="F45" s="250">
        <v>2887</v>
      </c>
      <c r="G45" s="250">
        <v>1441</v>
      </c>
      <c r="H45" s="250">
        <v>258</v>
      </c>
      <c r="I45" s="250">
        <v>159</v>
      </c>
      <c r="J45" s="261">
        <v>99</v>
      </c>
    </row>
    <row r="46" spans="1:10" ht="14.25" thickBot="1">
      <c r="A46" s="258" t="s">
        <v>324</v>
      </c>
      <c r="B46" s="249">
        <v>5866</v>
      </c>
      <c r="C46" s="249">
        <v>4307</v>
      </c>
      <c r="D46" s="249">
        <v>1559</v>
      </c>
      <c r="E46" s="249">
        <v>4887</v>
      </c>
      <c r="F46" s="249">
        <v>3493</v>
      </c>
      <c r="G46" s="249">
        <v>1394</v>
      </c>
      <c r="H46" s="249">
        <v>973</v>
      </c>
      <c r="I46" s="249">
        <v>811</v>
      </c>
      <c r="J46" s="259">
        <v>162</v>
      </c>
    </row>
    <row r="47" spans="1:10" ht="14.25" thickBot="1">
      <c r="A47" s="310" t="s">
        <v>3543</v>
      </c>
      <c r="B47" s="311"/>
      <c r="C47" s="311"/>
      <c r="D47" s="311"/>
      <c r="E47" s="311"/>
      <c r="F47" s="311"/>
      <c r="G47" s="311"/>
      <c r="H47" s="311"/>
      <c r="I47" s="311"/>
      <c r="J47" s="312"/>
    </row>
    <row r="48" spans="1:10" ht="14.25" thickBot="1">
      <c r="A48" s="258" t="s">
        <v>28</v>
      </c>
      <c r="B48" s="249">
        <v>120154</v>
      </c>
      <c r="C48" s="249">
        <v>81167</v>
      </c>
      <c r="D48" s="249">
        <v>38987</v>
      </c>
      <c r="E48" s="249">
        <v>111421</v>
      </c>
      <c r="F48" s="249">
        <v>75075</v>
      </c>
      <c r="G48" s="249">
        <v>36346</v>
      </c>
      <c r="H48" s="249">
        <v>8705</v>
      </c>
      <c r="I48" s="249">
        <v>6078</v>
      </c>
      <c r="J48" s="259">
        <v>2627</v>
      </c>
    </row>
    <row r="49" spans="1:10" ht="14.25" thickBot="1">
      <c r="A49" s="260" t="s">
        <v>321</v>
      </c>
      <c r="B49" s="250">
        <v>7475</v>
      </c>
      <c r="C49" s="250">
        <v>4353</v>
      </c>
      <c r="D49" s="250">
        <v>3122</v>
      </c>
      <c r="E49" s="250">
        <v>6373</v>
      </c>
      <c r="F49" s="250">
        <v>3647</v>
      </c>
      <c r="G49" s="250">
        <v>2726</v>
      </c>
      <c r="H49" s="250">
        <v>1096</v>
      </c>
      <c r="I49" s="250">
        <v>703</v>
      </c>
      <c r="J49" s="261">
        <v>393</v>
      </c>
    </row>
    <row r="50" spans="1:10" ht="14.25" thickBot="1">
      <c r="A50" s="258" t="s">
        <v>322</v>
      </c>
      <c r="B50" s="249">
        <v>70784</v>
      </c>
      <c r="C50" s="249">
        <v>46950</v>
      </c>
      <c r="D50" s="249">
        <v>23834</v>
      </c>
      <c r="E50" s="249">
        <v>67845</v>
      </c>
      <c r="F50" s="249">
        <v>44951</v>
      </c>
      <c r="G50" s="249">
        <v>22894</v>
      </c>
      <c r="H50" s="249">
        <v>2930</v>
      </c>
      <c r="I50" s="249">
        <v>1994</v>
      </c>
      <c r="J50" s="259">
        <v>936</v>
      </c>
    </row>
    <row r="51" spans="1:10" ht="14.25" thickBot="1">
      <c r="A51" s="260" t="s">
        <v>323</v>
      </c>
      <c r="B51" s="250">
        <v>27253</v>
      </c>
      <c r="C51" s="250">
        <v>20170</v>
      </c>
      <c r="D51" s="250">
        <v>7083</v>
      </c>
      <c r="E51" s="250">
        <v>25314</v>
      </c>
      <c r="F51" s="250">
        <v>18854</v>
      </c>
      <c r="G51" s="250">
        <v>6460</v>
      </c>
      <c r="H51" s="250">
        <v>1936</v>
      </c>
      <c r="I51" s="250">
        <v>1314</v>
      </c>
      <c r="J51" s="261">
        <v>622</v>
      </c>
    </row>
    <row r="52" spans="1:10" ht="14.25" thickBot="1">
      <c r="A52" s="258" t="s">
        <v>324</v>
      </c>
      <c r="B52" s="249">
        <v>14642</v>
      </c>
      <c r="C52" s="249">
        <v>9694</v>
      </c>
      <c r="D52" s="249">
        <v>4948</v>
      </c>
      <c r="E52" s="249">
        <v>11889</v>
      </c>
      <c r="F52" s="249">
        <v>7623</v>
      </c>
      <c r="G52" s="249">
        <v>4266</v>
      </c>
      <c r="H52" s="249">
        <v>2743</v>
      </c>
      <c r="I52" s="249">
        <v>2067</v>
      </c>
      <c r="J52" s="259">
        <v>676</v>
      </c>
    </row>
    <row r="53" spans="1:10" ht="14.25" thickBot="1">
      <c r="A53" s="310" t="s">
        <v>3544</v>
      </c>
      <c r="B53" s="311"/>
      <c r="C53" s="311"/>
      <c r="D53" s="311"/>
      <c r="E53" s="311"/>
      <c r="F53" s="311"/>
      <c r="G53" s="311"/>
      <c r="H53" s="311"/>
      <c r="I53" s="311"/>
      <c r="J53" s="312"/>
    </row>
    <row r="54" spans="1:10" ht="14.25" thickBot="1">
      <c r="A54" s="258" t="s">
        <v>28</v>
      </c>
      <c r="B54" s="249">
        <v>40712</v>
      </c>
      <c r="C54" s="249">
        <v>21545</v>
      </c>
      <c r="D54" s="249">
        <v>19167</v>
      </c>
      <c r="E54" s="249">
        <v>38485</v>
      </c>
      <c r="F54" s="249">
        <v>20075</v>
      </c>
      <c r="G54" s="249">
        <v>18410</v>
      </c>
      <c r="H54" s="249">
        <v>2218</v>
      </c>
      <c r="I54" s="249">
        <v>1464</v>
      </c>
      <c r="J54" s="259">
        <v>754</v>
      </c>
    </row>
    <row r="55" spans="1:10" ht="14.25" thickBot="1">
      <c r="A55" s="260" t="s">
        <v>321</v>
      </c>
      <c r="B55" s="250">
        <v>5289</v>
      </c>
      <c r="C55" s="250">
        <v>2932</v>
      </c>
      <c r="D55" s="250">
        <v>2357</v>
      </c>
      <c r="E55" s="250">
        <v>4726</v>
      </c>
      <c r="F55" s="250">
        <v>2542</v>
      </c>
      <c r="G55" s="250">
        <v>2184</v>
      </c>
      <c r="H55" s="250">
        <v>560</v>
      </c>
      <c r="I55" s="250">
        <v>389</v>
      </c>
      <c r="J55" s="261">
        <v>171</v>
      </c>
    </row>
    <row r="56" spans="1:10" ht="14.25" thickBot="1">
      <c r="A56" s="258" t="s">
        <v>322</v>
      </c>
      <c r="B56" s="249">
        <v>26031</v>
      </c>
      <c r="C56" s="249">
        <v>12739</v>
      </c>
      <c r="D56" s="249">
        <v>13292</v>
      </c>
      <c r="E56" s="249">
        <v>25392</v>
      </c>
      <c r="F56" s="249">
        <v>12378</v>
      </c>
      <c r="G56" s="249">
        <v>13014</v>
      </c>
      <c r="H56" s="249">
        <v>636</v>
      </c>
      <c r="I56" s="249">
        <v>358</v>
      </c>
      <c r="J56" s="259">
        <v>278</v>
      </c>
    </row>
    <row r="57" spans="1:10" ht="14.25" thickBot="1">
      <c r="A57" s="260" t="s">
        <v>323</v>
      </c>
      <c r="B57" s="250">
        <v>5622</v>
      </c>
      <c r="C57" s="250">
        <v>3766</v>
      </c>
      <c r="D57" s="250">
        <v>1856</v>
      </c>
      <c r="E57" s="250">
        <v>5282</v>
      </c>
      <c r="F57" s="250">
        <v>3550</v>
      </c>
      <c r="G57" s="250">
        <v>1732</v>
      </c>
      <c r="H57" s="250">
        <v>340</v>
      </c>
      <c r="I57" s="250">
        <v>216</v>
      </c>
      <c r="J57" s="261">
        <v>124</v>
      </c>
    </row>
    <row r="58" spans="1:10" ht="14.25" thickBot="1">
      <c r="A58" s="258" t="s">
        <v>324</v>
      </c>
      <c r="B58" s="249">
        <v>3770</v>
      </c>
      <c r="C58" s="249">
        <v>2108</v>
      </c>
      <c r="D58" s="249">
        <v>1662</v>
      </c>
      <c r="E58" s="249">
        <v>3085</v>
      </c>
      <c r="F58" s="249">
        <v>1605</v>
      </c>
      <c r="G58" s="249">
        <v>1480</v>
      </c>
      <c r="H58" s="249">
        <v>682</v>
      </c>
      <c r="I58" s="249">
        <v>501</v>
      </c>
      <c r="J58" s="259">
        <v>181</v>
      </c>
    </row>
    <row r="59" spans="1:10" ht="14.25" thickBot="1">
      <c r="A59" s="310" t="s">
        <v>3545</v>
      </c>
      <c r="B59" s="311"/>
      <c r="C59" s="311"/>
      <c r="D59" s="311"/>
      <c r="E59" s="311"/>
      <c r="F59" s="311"/>
      <c r="G59" s="311"/>
      <c r="H59" s="311"/>
      <c r="I59" s="311"/>
      <c r="J59" s="312"/>
    </row>
    <row r="60" spans="1:10" ht="14.25" thickBot="1">
      <c r="A60" s="258" t="s">
        <v>28</v>
      </c>
      <c r="B60" s="249">
        <v>43807</v>
      </c>
      <c r="C60" s="249">
        <v>21970</v>
      </c>
      <c r="D60" s="249">
        <v>21837</v>
      </c>
      <c r="E60" s="249">
        <v>41655</v>
      </c>
      <c r="F60" s="249">
        <v>20580</v>
      </c>
      <c r="G60" s="249">
        <v>21075</v>
      </c>
      <c r="H60" s="249">
        <v>2132</v>
      </c>
      <c r="I60" s="249">
        <v>1379</v>
      </c>
      <c r="J60" s="259">
        <v>753</v>
      </c>
    </row>
    <row r="61" spans="1:10" ht="14.25" thickBot="1">
      <c r="A61" s="260" t="s">
        <v>321</v>
      </c>
      <c r="B61" s="250">
        <v>4556</v>
      </c>
      <c r="C61" s="250">
        <v>2463</v>
      </c>
      <c r="D61" s="250">
        <v>2093</v>
      </c>
      <c r="E61" s="250">
        <v>4111</v>
      </c>
      <c r="F61" s="250">
        <v>2194</v>
      </c>
      <c r="G61" s="250">
        <v>1917</v>
      </c>
      <c r="H61" s="250">
        <v>444</v>
      </c>
      <c r="I61" s="250">
        <v>269</v>
      </c>
      <c r="J61" s="261">
        <v>175</v>
      </c>
    </row>
    <row r="62" spans="1:10" ht="14.25" thickBot="1">
      <c r="A62" s="258" t="s">
        <v>322</v>
      </c>
      <c r="B62" s="249">
        <v>31131</v>
      </c>
      <c r="C62" s="249">
        <v>15225</v>
      </c>
      <c r="D62" s="249">
        <v>15906</v>
      </c>
      <c r="E62" s="249">
        <v>30426</v>
      </c>
      <c r="F62" s="249">
        <v>14793</v>
      </c>
      <c r="G62" s="249">
        <v>15633</v>
      </c>
      <c r="H62" s="249">
        <v>694</v>
      </c>
      <c r="I62" s="249">
        <v>426</v>
      </c>
      <c r="J62" s="259">
        <v>268</v>
      </c>
    </row>
    <row r="63" spans="1:10" ht="14.25" thickBot="1">
      <c r="A63" s="260" t="s">
        <v>323</v>
      </c>
      <c r="B63" s="250">
        <v>4317</v>
      </c>
      <c r="C63" s="250">
        <v>2387</v>
      </c>
      <c r="D63" s="250">
        <v>1930</v>
      </c>
      <c r="E63" s="250">
        <v>3918</v>
      </c>
      <c r="F63" s="250">
        <v>2130</v>
      </c>
      <c r="G63" s="250">
        <v>1788</v>
      </c>
      <c r="H63" s="250">
        <v>398</v>
      </c>
      <c r="I63" s="250">
        <v>256</v>
      </c>
      <c r="J63" s="261">
        <v>142</v>
      </c>
    </row>
    <row r="64" spans="1:10" ht="14.25" thickBot="1">
      <c r="A64" s="258" t="s">
        <v>324</v>
      </c>
      <c r="B64" s="249">
        <v>3803</v>
      </c>
      <c r="C64" s="249">
        <v>1895</v>
      </c>
      <c r="D64" s="249">
        <v>1908</v>
      </c>
      <c r="E64" s="249">
        <v>3200</v>
      </c>
      <c r="F64" s="249">
        <v>1463</v>
      </c>
      <c r="G64" s="249">
        <v>1737</v>
      </c>
      <c r="H64" s="249">
        <v>596</v>
      </c>
      <c r="I64" s="249">
        <v>428</v>
      </c>
      <c r="J64" s="259">
        <v>168</v>
      </c>
    </row>
    <row r="65" spans="1:10" ht="14.25" thickBot="1">
      <c r="A65" s="310" t="s">
        <v>3546</v>
      </c>
      <c r="B65" s="311"/>
      <c r="C65" s="311"/>
      <c r="D65" s="311"/>
      <c r="E65" s="311"/>
      <c r="F65" s="311"/>
      <c r="G65" s="311"/>
      <c r="H65" s="311"/>
      <c r="I65" s="311"/>
      <c r="J65" s="312"/>
    </row>
    <row r="66" spans="1:10" ht="14.25" thickBot="1">
      <c r="A66" s="258" t="s">
        <v>28</v>
      </c>
      <c r="B66" s="249">
        <v>21624</v>
      </c>
      <c r="C66" s="249">
        <v>9190</v>
      </c>
      <c r="D66" s="249">
        <v>12434</v>
      </c>
      <c r="E66" s="249">
        <v>20756</v>
      </c>
      <c r="F66" s="249">
        <v>8676</v>
      </c>
      <c r="G66" s="249">
        <v>12080</v>
      </c>
      <c r="H66" s="249">
        <v>862</v>
      </c>
      <c r="I66" s="249">
        <v>509</v>
      </c>
      <c r="J66" s="259">
        <v>353</v>
      </c>
    </row>
    <row r="67" spans="1:10" ht="14.25" thickBot="1">
      <c r="A67" s="260" t="s">
        <v>321</v>
      </c>
      <c r="B67" s="250">
        <v>2318</v>
      </c>
      <c r="C67" s="250">
        <v>1129</v>
      </c>
      <c r="D67" s="250">
        <v>1189</v>
      </c>
      <c r="E67" s="250">
        <v>2105</v>
      </c>
      <c r="F67" s="250">
        <v>1008</v>
      </c>
      <c r="G67" s="250">
        <v>1097</v>
      </c>
      <c r="H67" s="250">
        <v>213</v>
      </c>
      <c r="I67" s="250">
        <v>121</v>
      </c>
      <c r="J67" s="261">
        <v>92</v>
      </c>
    </row>
    <row r="68" spans="1:10" ht="14.25" thickBot="1">
      <c r="A68" s="258" t="s">
        <v>322</v>
      </c>
      <c r="B68" s="249">
        <v>15226</v>
      </c>
      <c r="C68" s="249">
        <v>6090</v>
      </c>
      <c r="D68" s="249">
        <v>9136</v>
      </c>
      <c r="E68" s="249">
        <v>14919</v>
      </c>
      <c r="F68" s="249">
        <v>5916</v>
      </c>
      <c r="G68" s="249">
        <v>9003</v>
      </c>
      <c r="H68" s="249">
        <v>303</v>
      </c>
      <c r="I68" s="249">
        <v>171</v>
      </c>
      <c r="J68" s="259">
        <v>132</v>
      </c>
    </row>
    <row r="69" spans="1:10" ht="14.25" thickBot="1">
      <c r="A69" s="260" t="s">
        <v>323</v>
      </c>
      <c r="B69" s="250">
        <v>1906</v>
      </c>
      <c r="C69" s="250">
        <v>898</v>
      </c>
      <c r="D69" s="250">
        <v>1008</v>
      </c>
      <c r="E69" s="250">
        <v>1769</v>
      </c>
      <c r="F69" s="250">
        <v>818</v>
      </c>
      <c r="G69" s="250">
        <v>951</v>
      </c>
      <c r="H69" s="250">
        <v>137</v>
      </c>
      <c r="I69" s="250">
        <v>80</v>
      </c>
      <c r="J69" s="261">
        <v>57</v>
      </c>
    </row>
    <row r="70" spans="1:10" ht="14.25" thickBot="1">
      <c r="A70" s="258" t="s">
        <v>324</v>
      </c>
      <c r="B70" s="249">
        <v>2174</v>
      </c>
      <c r="C70" s="249">
        <v>1073</v>
      </c>
      <c r="D70" s="249">
        <v>1101</v>
      </c>
      <c r="E70" s="249">
        <v>1963</v>
      </c>
      <c r="F70" s="249">
        <v>934</v>
      </c>
      <c r="G70" s="249">
        <v>1029</v>
      </c>
      <c r="H70" s="249">
        <v>209</v>
      </c>
      <c r="I70" s="249">
        <v>137</v>
      </c>
      <c r="J70" s="259">
        <v>72</v>
      </c>
    </row>
    <row r="71" spans="1:10" ht="14.25" thickBot="1">
      <c r="A71" s="310" t="s">
        <v>3547</v>
      </c>
      <c r="B71" s="311"/>
      <c r="C71" s="311"/>
      <c r="D71" s="311"/>
      <c r="E71" s="311"/>
      <c r="F71" s="311"/>
      <c r="G71" s="311"/>
      <c r="H71" s="311"/>
      <c r="I71" s="311"/>
      <c r="J71" s="312"/>
    </row>
    <row r="72" spans="1:10" ht="14.25" thickBot="1">
      <c r="A72" s="258" t="s">
        <v>28</v>
      </c>
      <c r="B72" s="249">
        <v>44149</v>
      </c>
      <c r="C72" s="249">
        <v>23967</v>
      </c>
      <c r="D72" s="249">
        <v>20182</v>
      </c>
      <c r="E72" s="249">
        <v>41721</v>
      </c>
      <c r="F72" s="249">
        <v>22117</v>
      </c>
      <c r="G72" s="249">
        <v>19604</v>
      </c>
      <c r="H72" s="249">
        <v>2414</v>
      </c>
      <c r="I72" s="249">
        <v>1841</v>
      </c>
      <c r="J72" s="259">
        <v>573</v>
      </c>
    </row>
    <row r="73" spans="1:10" ht="14.25" thickBot="1">
      <c r="A73" s="260" t="s">
        <v>321</v>
      </c>
      <c r="B73" s="250">
        <v>4511</v>
      </c>
      <c r="C73" s="250">
        <v>2562</v>
      </c>
      <c r="D73" s="250">
        <v>1949</v>
      </c>
      <c r="E73" s="250">
        <v>4101</v>
      </c>
      <c r="F73" s="250">
        <v>2269</v>
      </c>
      <c r="G73" s="250">
        <v>1832</v>
      </c>
      <c r="H73" s="250">
        <v>406</v>
      </c>
      <c r="I73" s="250">
        <v>289</v>
      </c>
      <c r="J73" s="261">
        <v>117</v>
      </c>
    </row>
    <row r="74" spans="1:10" ht="14.25" thickBot="1">
      <c r="A74" s="258" t="s">
        <v>322</v>
      </c>
      <c r="B74" s="249">
        <v>31880</v>
      </c>
      <c r="C74" s="249">
        <v>17404</v>
      </c>
      <c r="D74" s="249">
        <v>14476</v>
      </c>
      <c r="E74" s="249">
        <v>30691</v>
      </c>
      <c r="F74" s="249">
        <v>16417</v>
      </c>
      <c r="G74" s="249">
        <v>14274</v>
      </c>
      <c r="H74" s="249">
        <v>1185</v>
      </c>
      <c r="I74" s="249">
        <v>984</v>
      </c>
      <c r="J74" s="259">
        <v>201</v>
      </c>
    </row>
    <row r="75" spans="1:10" ht="14.25" thickBot="1">
      <c r="A75" s="260" t="s">
        <v>323</v>
      </c>
      <c r="B75" s="250">
        <v>4105</v>
      </c>
      <c r="C75" s="250">
        <v>2140</v>
      </c>
      <c r="D75" s="250">
        <v>1965</v>
      </c>
      <c r="E75" s="250">
        <v>3894</v>
      </c>
      <c r="F75" s="250">
        <v>2018</v>
      </c>
      <c r="G75" s="250">
        <v>1876</v>
      </c>
      <c r="H75" s="250">
        <v>211</v>
      </c>
      <c r="I75" s="250">
        <v>122</v>
      </c>
      <c r="J75" s="261">
        <v>89</v>
      </c>
    </row>
    <row r="76" spans="1:10" ht="14.25" thickBot="1">
      <c r="A76" s="258" t="s">
        <v>324</v>
      </c>
      <c r="B76" s="249">
        <v>3653</v>
      </c>
      <c r="C76" s="249">
        <v>1861</v>
      </c>
      <c r="D76" s="249">
        <v>1792</v>
      </c>
      <c r="E76" s="249">
        <v>3035</v>
      </c>
      <c r="F76" s="249">
        <v>1413</v>
      </c>
      <c r="G76" s="249">
        <v>1622</v>
      </c>
      <c r="H76" s="249">
        <v>612</v>
      </c>
      <c r="I76" s="249">
        <v>446</v>
      </c>
      <c r="J76" s="259">
        <v>166</v>
      </c>
    </row>
    <row r="77" spans="1:10" ht="14.25" thickBot="1">
      <c r="A77" s="310" t="s">
        <v>3548</v>
      </c>
      <c r="B77" s="311"/>
      <c r="C77" s="311"/>
      <c r="D77" s="311"/>
      <c r="E77" s="311"/>
      <c r="F77" s="311"/>
      <c r="G77" s="311"/>
      <c r="H77" s="311"/>
      <c r="I77" s="311"/>
      <c r="J77" s="312"/>
    </row>
    <row r="78" spans="1:10" ht="14.25" thickBot="1">
      <c r="A78" s="258" t="s">
        <v>28</v>
      </c>
      <c r="B78" s="249">
        <v>30792</v>
      </c>
      <c r="C78" s="249">
        <v>16242</v>
      </c>
      <c r="D78" s="249">
        <v>14550</v>
      </c>
      <c r="E78" s="249">
        <v>28884</v>
      </c>
      <c r="F78" s="249">
        <v>14885</v>
      </c>
      <c r="G78" s="249">
        <v>13999</v>
      </c>
      <c r="H78" s="249">
        <v>1899</v>
      </c>
      <c r="I78" s="249">
        <v>1350</v>
      </c>
      <c r="J78" s="259">
        <v>549</v>
      </c>
    </row>
    <row r="79" spans="1:10" ht="14.25" thickBot="1">
      <c r="A79" s="260" t="s">
        <v>321</v>
      </c>
      <c r="B79" s="250">
        <v>4581</v>
      </c>
      <c r="C79" s="250">
        <v>2631</v>
      </c>
      <c r="D79" s="250">
        <v>1950</v>
      </c>
      <c r="E79" s="250">
        <v>4041</v>
      </c>
      <c r="F79" s="250">
        <v>2251</v>
      </c>
      <c r="G79" s="250">
        <v>1790</v>
      </c>
      <c r="H79" s="250">
        <v>536</v>
      </c>
      <c r="I79" s="250">
        <v>377</v>
      </c>
      <c r="J79" s="261">
        <v>159</v>
      </c>
    </row>
    <row r="80" spans="1:10" ht="14.25" thickBot="1">
      <c r="A80" s="258" t="s">
        <v>322</v>
      </c>
      <c r="B80" s="249">
        <v>20911</v>
      </c>
      <c r="C80" s="249">
        <v>10632</v>
      </c>
      <c r="D80" s="249">
        <v>10279</v>
      </c>
      <c r="E80" s="249">
        <v>20218</v>
      </c>
      <c r="F80" s="249">
        <v>10165</v>
      </c>
      <c r="G80" s="249">
        <v>10053</v>
      </c>
      <c r="H80" s="249">
        <v>691</v>
      </c>
      <c r="I80" s="249">
        <v>466</v>
      </c>
      <c r="J80" s="259">
        <v>225</v>
      </c>
    </row>
    <row r="81" spans="1:10" ht="14.25" thickBot="1">
      <c r="A81" s="260" t="s">
        <v>323</v>
      </c>
      <c r="B81" s="250">
        <v>2443</v>
      </c>
      <c r="C81" s="250">
        <v>1256</v>
      </c>
      <c r="D81" s="250">
        <v>1187</v>
      </c>
      <c r="E81" s="250">
        <v>2315</v>
      </c>
      <c r="F81" s="250">
        <v>1187</v>
      </c>
      <c r="G81" s="250">
        <v>1128</v>
      </c>
      <c r="H81" s="250">
        <v>127</v>
      </c>
      <c r="I81" s="250">
        <v>68</v>
      </c>
      <c r="J81" s="261">
        <v>59</v>
      </c>
    </row>
    <row r="82" spans="1:10" ht="14.25" thickBot="1">
      <c r="A82" s="258" t="s">
        <v>324</v>
      </c>
      <c r="B82" s="249">
        <v>2857</v>
      </c>
      <c r="C82" s="249">
        <v>1723</v>
      </c>
      <c r="D82" s="249">
        <v>1134</v>
      </c>
      <c r="E82" s="249">
        <v>2310</v>
      </c>
      <c r="F82" s="249">
        <v>1282</v>
      </c>
      <c r="G82" s="249">
        <v>1028</v>
      </c>
      <c r="H82" s="249">
        <v>545</v>
      </c>
      <c r="I82" s="249">
        <v>439</v>
      </c>
      <c r="J82" s="259">
        <v>106</v>
      </c>
    </row>
    <row r="83" spans="1:10" ht="14.25" thickBot="1">
      <c r="A83" s="310" t="s">
        <v>3549</v>
      </c>
      <c r="B83" s="311"/>
      <c r="C83" s="311"/>
      <c r="D83" s="311"/>
      <c r="E83" s="311"/>
      <c r="F83" s="311"/>
      <c r="G83" s="311"/>
      <c r="H83" s="311"/>
      <c r="I83" s="311"/>
      <c r="J83" s="312"/>
    </row>
    <row r="84" spans="1:10" ht="14.25" thickBot="1">
      <c r="A84" s="258" t="s">
        <v>28</v>
      </c>
      <c r="B84" s="249">
        <v>23933</v>
      </c>
      <c r="C84" s="249">
        <v>10896</v>
      </c>
      <c r="D84" s="249">
        <v>13037</v>
      </c>
      <c r="E84" s="249">
        <v>22892</v>
      </c>
      <c r="F84" s="249">
        <v>10261</v>
      </c>
      <c r="G84" s="249">
        <v>12631</v>
      </c>
      <c r="H84" s="249">
        <v>1041</v>
      </c>
      <c r="I84" s="249">
        <v>635</v>
      </c>
      <c r="J84" s="259">
        <v>406</v>
      </c>
    </row>
    <row r="85" spans="1:10" ht="14.25" thickBot="1">
      <c r="A85" s="260" t="s">
        <v>321</v>
      </c>
      <c r="B85" s="250">
        <v>2527</v>
      </c>
      <c r="C85" s="250">
        <v>1249</v>
      </c>
      <c r="D85" s="250">
        <v>1278</v>
      </c>
      <c r="E85" s="250">
        <v>2325</v>
      </c>
      <c r="F85" s="250">
        <v>1139</v>
      </c>
      <c r="G85" s="250">
        <v>1186</v>
      </c>
      <c r="H85" s="250">
        <v>202</v>
      </c>
      <c r="I85" s="250">
        <v>110</v>
      </c>
      <c r="J85" s="261">
        <v>92</v>
      </c>
    </row>
    <row r="86" spans="1:10" ht="14.25" thickBot="1">
      <c r="A86" s="258" t="s">
        <v>322</v>
      </c>
      <c r="B86" s="249">
        <v>16176</v>
      </c>
      <c r="C86" s="249">
        <v>7274</v>
      </c>
      <c r="D86" s="249">
        <v>8902</v>
      </c>
      <c r="E86" s="249">
        <v>15734</v>
      </c>
      <c r="F86" s="249">
        <v>6981</v>
      </c>
      <c r="G86" s="249">
        <v>8753</v>
      </c>
      <c r="H86" s="249">
        <v>442</v>
      </c>
      <c r="I86" s="249">
        <v>293</v>
      </c>
      <c r="J86" s="259">
        <v>149</v>
      </c>
    </row>
    <row r="87" spans="1:10" ht="14.25" thickBot="1">
      <c r="A87" s="260" t="s">
        <v>323</v>
      </c>
      <c r="B87" s="250">
        <v>2794</v>
      </c>
      <c r="C87" s="250">
        <v>1339</v>
      </c>
      <c r="D87" s="250">
        <v>1455</v>
      </c>
      <c r="E87" s="250">
        <v>2688</v>
      </c>
      <c r="F87" s="250">
        <v>1287</v>
      </c>
      <c r="G87" s="250">
        <v>1401</v>
      </c>
      <c r="H87" s="250">
        <v>106</v>
      </c>
      <c r="I87" s="250">
        <v>52</v>
      </c>
      <c r="J87" s="261">
        <v>54</v>
      </c>
    </row>
    <row r="88" spans="1:10" ht="14.25" thickBot="1">
      <c r="A88" s="258" t="s">
        <v>324</v>
      </c>
      <c r="B88" s="249">
        <v>2436</v>
      </c>
      <c r="C88" s="249">
        <v>1034</v>
      </c>
      <c r="D88" s="249">
        <v>1402</v>
      </c>
      <c r="E88" s="249">
        <v>2145</v>
      </c>
      <c r="F88" s="249">
        <v>854</v>
      </c>
      <c r="G88" s="249">
        <v>1291</v>
      </c>
      <c r="H88" s="249">
        <v>291</v>
      </c>
      <c r="I88" s="249">
        <v>180</v>
      </c>
      <c r="J88" s="259">
        <v>111</v>
      </c>
    </row>
    <row r="89" spans="1:10" ht="14.25" thickBot="1">
      <c r="A89" s="310" t="s">
        <v>334</v>
      </c>
      <c r="B89" s="311"/>
      <c r="C89" s="311"/>
      <c r="D89" s="311"/>
      <c r="E89" s="311"/>
      <c r="F89" s="311"/>
      <c r="G89" s="311"/>
      <c r="H89" s="311"/>
      <c r="I89" s="311"/>
      <c r="J89" s="312"/>
    </row>
    <row r="90" spans="1:10" ht="14.25" thickBot="1">
      <c r="A90" s="258" t="s">
        <v>28</v>
      </c>
      <c r="B90" s="249">
        <v>126195</v>
      </c>
      <c r="C90" s="249">
        <v>64931</v>
      </c>
      <c r="D90" s="249">
        <v>61264</v>
      </c>
      <c r="E90" s="249">
        <v>119023</v>
      </c>
      <c r="F90" s="249">
        <v>60632</v>
      </c>
      <c r="G90" s="249">
        <v>58391</v>
      </c>
      <c r="H90" s="249">
        <v>7135</v>
      </c>
      <c r="I90" s="249">
        <v>4274</v>
      </c>
      <c r="J90" s="259">
        <v>2861</v>
      </c>
    </row>
    <row r="91" spans="1:10" ht="14.25" thickBot="1">
      <c r="A91" s="260" t="s">
        <v>321</v>
      </c>
      <c r="B91" s="250">
        <v>15335</v>
      </c>
      <c r="C91" s="250">
        <v>8579</v>
      </c>
      <c r="D91" s="250">
        <v>6756</v>
      </c>
      <c r="E91" s="250">
        <v>13658</v>
      </c>
      <c r="F91" s="250">
        <v>7533</v>
      </c>
      <c r="G91" s="250">
        <v>6125</v>
      </c>
      <c r="H91" s="250">
        <v>1668</v>
      </c>
      <c r="I91" s="250">
        <v>1040</v>
      </c>
      <c r="J91" s="261">
        <v>628</v>
      </c>
    </row>
    <row r="92" spans="1:10" ht="14.25" thickBot="1">
      <c r="A92" s="258" t="s">
        <v>322</v>
      </c>
      <c r="B92" s="249">
        <v>82272</v>
      </c>
      <c r="C92" s="249">
        <v>40835</v>
      </c>
      <c r="D92" s="249">
        <v>41437</v>
      </c>
      <c r="E92" s="249">
        <v>80124</v>
      </c>
      <c r="F92" s="249">
        <v>39520</v>
      </c>
      <c r="G92" s="249">
        <v>40604</v>
      </c>
      <c r="H92" s="249">
        <v>2138</v>
      </c>
      <c r="I92" s="249">
        <v>1310</v>
      </c>
      <c r="J92" s="259">
        <v>828</v>
      </c>
    </row>
    <row r="93" spans="1:10" ht="14.25" thickBot="1">
      <c r="A93" s="260" t="s">
        <v>323</v>
      </c>
      <c r="B93" s="250">
        <v>19939</v>
      </c>
      <c r="C93" s="250">
        <v>10731</v>
      </c>
      <c r="D93" s="250">
        <v>9208</v>
      </c>
      <c r="E93" s="250">
        <v>17970</v>
      </c>
      <c r="F93" s="250">
        <v>9671</v>
      </c>
      <c r="G93" s="250">
        <v>8299</v>
      </c>
      <c r="H93" s="250">
        <v>1962</v>
      </c>
      <c r="I93" s="250">
        <v>1053</v>
      </c>
      <c r="J93" s="261">
        <v>909</v>
      </c>
    </row>
    <row r="94" spans="1:10" ht="14.25" thickBot="1">
      <c r="A94" s="258" t="s">
        <v>324</v>
      </c>
      <c r="B94" s="249">
        <v>8649</v>
      </c>
      <c r="C94" s="249">
        <v>4786</v>
      </c>
      <c r="D94" s="249">
        <v>3863</v>
      </c>
      <c r="E94" s="249">
        <v>7271</v>
      </c>
      <c r="F94" s="249">
        <v>3908</v>
      </c>
      <c r="G94" s="249">
        <v>3363</v>
      </c>
      <c r="H94" s="249">
        <v>1367</v>
      </c>
      <c r="I94" s="249">
        <v>871</v>
      </c>
      <c r="J94" s="259">
        <v>496</v>
      </c>
    </row>
    <row r="95" spans="1:10" ht="14.25" thickBot="1">
      <c r="A95" s="310" t="s">
        <v>3550</v>
      </c>
      <c r="B95" s="311"/>
      <c r="C95" s="311"/>
      <c r="D95" s="311"/>
      <c r="E95" s="311"/>
      <c r="F95" s="311"/>
      <c r="G95" s="311"/>
      <c r="H95" s="311"/>
      <c r="I95" s="311"/>
      <c r="J95" s="312"/>
    </row>
    <row r="96" spans="1:10" ht="14.25" thickBot="1">
      <c r="A96" s="258" t="s">
        <v>28</v>
      </c>
      <c r="B96" s="249">
        <v>798618</v>
      </c>
      <c r="C96" s="249">
        <v>423235</v>
      </c>
      <c r="D96" s="249">
        <v>375383</v>
      </c>
      <c r="E96" s="249">
        <v>733568</v>
      </c>
      <c r="F96" s="249">
        <v>383138</v>
      </c>
      <c r="G96" s="249">
        <v>350430</v>
      </c>
      <c r="H96" s="249">
        <v>64668</v>
      </c>
      <c r="I96" s="249">
        <v>39853</v>
      </c>
      <c r="J96" s="259">
        <v>24815</v>
      </c>
    </row>
    <row r="97" spans="1:10" ht="14.25" thickBot="1">
      <c r="A97" s="260" t="s">
        <v>321</v>
      </c>
      <c r="B97" s="250">
        <v>94940</v>
      </c>
      <c r="C97" s="250">
        <v>53098</v>
      </c>
      <c r="D97" s="250">
        <v>41842</v>
      </c>
      <c r="E97" s="250">
        <v>78803</v>
      </c>
      <c r="F97" s="250">
        <v>43018</v>
      </c>
      <c r="G97" s="250">
        <v>35785</v>
      </c>
      <c r="H97" s="250">
        <v>16042</v>
      </c>
      <c r="I97" s="250">
        <v>10012</v>
      </c>
      <c r="J97" s="261">
        <v>6030</v>
      </c>
    </row>
    <row r="98" spans="1:10" ht="14.25" thickBot="1">
      <c r="A98" s="258" t="s">
        <v>322</v>
      </c>
      <c r="B98" s="249">
        <v>513479</v>
      </c>
      <c r="C98" s="249">
        <v>263845</v>
      </c>
      <c r="D98" s="249">
        <v>249634</v>
      </c>
      <c r="E98" s="249">
        <v>491305</v>
      </c>
      <c r="F98" s="249">
        <v>250320</v>
      </c>
      <c r="G98" s="249">
        <v>240985</v>
      </c>
      <c r="H98" s="249">
        <v>22028</v>
      </c>
      <c r="I98" s="249">
        <v>13440</v>
      </c>
      <c r="J98" s="259">
        <v>8588</v>
      </c>
    </row>
    <row r="99" spans="1:10" ht="14.25" thickBot="1">
      <c r="A99" s="260" t="s">
        <v>323</v>
      </c>
      <c r="B99" s="250">
        <v>108776</v>
      </c>
      <c r="C99" s="250">
        <v>60119</v>
      </c>
      <c r="D99" s="250">
        <v>48657</v>
      </c>
      <c r="E99" s="250">
        <v>101153</v>
      </c>
      <c r="F99" s="250">
        <v>56227</v>
      </c>
      <c r="G99" s="250">
        <v>44926</v>
      </c>
      <c r="H99" s="250">
        <v>7598</v>
      </c>
      <c r="I99" s="250">
        <v>3881</v>
      </c>
      <c r="J99" s="261">
        <v>3717</v>
      </c>
    </row>
    <row r="100" spans="1:10" ht="14.25" thickBot="1">
      <c r="A100" s="258" t="s">
        <v>324</v>
      </c>
      <c r="B100" s="249">
        <v>81423</v>
      </c>
      <c r="C100" s="249">
        <v>46173</v>
      </c>
      <c r="D100" s="249">
        <v>35250</v>
      </c>
      <c r="E100" s="249">
        <v>62307</v>
      </c>
      <c r="F100" s="249">
        <v>33573</v>
      </c>
      <c r="G100" s="249">
        <v>28734</v>
      </c>
      <c r="H100" s="249">
        <v>19000</v>
      </c>
      <c r="I100" s="249">
        <v>12520</v>
      </c>
      <c r="J100" s="259">
        <v>6480</v>
      </c>
    </row>
    <row r="101" spans="1:10" ht="14.25" thickBot="1">
      <c r="A101" s="310" t="s">
        <v>320</v>
      </c>
      <c r="B101" s="311"/>
      <c r="C101" s="311"/>
      <c r="D101" s="311"/>
      <c r="E101" s="311"/>
      <c r="F101" s="311"/>
      <c r="G101" s="311"/>
      <c r="H101" s="311"/>
      <c r="I101" s="311"/>
      <c r="J101" s="312"/>
    </row>
    <row r="102" spans="1:10" ht="14.25" thickBot="1">
      <c r="A102" s="258" t="s">
        <v>28</v>
      </c>
      <c r="B102" s="249">
        <v>490559</v>
      </c>
      <c r="C102" s="249">
        <v>260697</v>
      </c>
      <c r="D102" s="249">
        <v>229862</v>
      </c>
      <c r="E102" s="249">
        <v>443154</v>
      </c>
      <c r="F102" s="249">
        <v>232147</v>
      </c>
      <c r="G102" s="249">
        <v>211007</v>
      </c>
      <c r="H102" s="249">
        <v>47129</v>
      </c>
      <c r="I102" s="249">
        <v>28379</v>
      </c>
      <c r="J102" s="259">
        <v>18750</v>
      </c>
    </row>
    <row r="103" spans="1:10" ht="14.25" thickBot="1">
      <c r="A103" s="260" t="s">
        <v>321</v>
      </c>
      <c r="B103" s="250">
        <v>57715</v>
      </c>
      <c r="C103" s="250">
        <v>32269</v>
      </c>
      <c r="D103" s="250">
        <v>25446</v>
      </c>
      <c r="E103" s="250">
        <v>45760</v>
      </c>
      <c r="F103" s="250">
        <v>24922</v>
      </c>
      <c r="G103" s="250">
        <v>20838</v>
      </c>
      <c r="H103" s="250">
        <v>11889</v>
      </c>
      <c r="I103" s="250">
        <v>7300</v>
      </c>
      <c r="J103" s="261">
        <v>4589</v>
      </c>
    </row>
    <row r="104" spans="1:10" ht="14.25" thickBot="1">
      <c r="A104" s="258" t="s">
        <v>322</v>
      </c>
      <c r="B104" s="249">
        <v>301399</v>
      </c>
      <c r="C104" s="249">
        <v>154190</v>
      </c>
      <c r="D104" s="249">
        <v>147209</v>
      </c>
      <c r="E104" s="249">
        <v>285609</v>
      </c>
      <c r="F104" s="249">
        <v>144893</v>
      </c>
      <c r="G104" s="249">
        <v>140716</v>
      </c>
      <c r="H104" s="249">
        <v>15682</v>
      </c>
      <c r="I104" s="249">
        <v>9238</v>
      </c>
      <c r="J104" s="259">
        <v>6444</v>
      </c>
    </row>
    <row r="105" spans="1:10" ht="14.25" thickBot="1">
      <c r="A105" s="260" t="s">
        <v>323</v>
      </c>
      <c r="B105" s="250">
        <v>79849</v>
      </c>
      <c r="C105" s="250">
        <v>44708</v>
      </c>
      <c r="D105" s="250">
        <v>35141</v>
      </c>
      <c r="E105" s="250">
        <v>73998</v>
      </c>
      <c r="F105" s="250">
        <v>41722</v>
      </c>
      <c r="G105" s="250">
        <v>32276</v>
      </c>
      <c r="H105" s="250">
        <v>5833</v>
      </c>
      <c r="I105" s="250">
        <v>2978</v>
      </c>
      <c r="J105" s="261">
        <v>2855</v>
      </c>
    </row>
    <row r="106" spans="1:10" ht="14.25" thickBot="1">
      <c r="A106" s="258" t="s">
        <v>324</v>
      </c>
      <c r="B106" s="249">
        <v>51596</v>
      </c>
      <c r="C106" s="249">
        <v>29530</v>
      </c>
      <c r="D106" s="249">
        <v>22066</v>
      </c>
      <c r="E106" s="249">
        <v>37787</v>
      </c>
      <c r="F106" s="249">
        <v>20610</v>
      </c>
      <c r="G106" s="249">
        <v>17177</v>
      </c>
      <c r="H106" s="249">
        <v>13725</v>
      </c>
      <c r="I106" s="249">
        <v>8863</v>
      </c>
      <c r="J106" s="259">
        <v>4862</v>
      </c>
    </row>
    <row r="107" spans="1:10" ht="14.25" thickBot="1">
      <c r="A107" s="310" t="s">
        <v>325</v>
      </c>
      <c r="B107" s="311"/>
      <c r="C107" s="311"/>
      <c r="D107" s="311"/>
      <c r="E107" s="311"/>
      <c r="F107" s="311"/>
      <c r="G107" s="311"/>
      <c r="H107" s="311"/>
      <c r="I107" s="311"/>
      <c r="J107" s="312"/>
    </row>
    <row r="108" spans="1:10" ht="14.25" thickBot="1">
      <c r="A108" s="258" t="s">
        <v>28</v>
      </c>
      <c r="B108" s="249">
        <v>314522</v>
      </c>
      <c r="C108" s="249">
        <v>165657</v>
      </c>
      <c r="D108" s="249">
        <v>148865</v>
      </c>
      <c r="E108" s="249">
        <v>283080</v>
      </c>
      <c r="F108" s="249">
        <v>147390</v>
      </c>
      <c r="G108" s="249">
        <v>135690</v>
      </c>
      <c r="H108" s="249">
        <v>31290</v>
      </c>
      <c r="I108" s="249">
        <v>18178</v>
      </c>
      <c r="J108" s="259">
        <v>13112</v>
      </c>
    </row>
    <row r="109" spans="1:10" ht="14.25" thickBot="1">
      <c r="A109" s="260" t="s">
        <v>321</v>
      </c>
      <c r="B109" s="250">
        <v>35536</v>
      </c>
      <c r="C109" s="250">
        <v>19320</v>
      </c>
      <c r="D109" s="250">
        <v>16216</v>
      </c>
      <c r="E109" s="250">
        <v>27753</v>
      </c>
      <c r="F109" s="250">
        <v>14718</v>
      </c>
      <c r="G109" s="250">
        <v>13035</v>
      </c>
      <c r="H109" s="250">
        <v>7744</v>
      </c>
      <c r="I109" s="250">
        <v>4575</v>
      </c>
      <c r="J109" s="261">
        <v>3169</v>
      </c>
    </row>
    <row r="110" spans="1:10" ht="14.25" thickBot="1">
      <c r="A110" s="258" t="s">
        <v>322</v>
      </c>
      <c r="B110" s="249">
        <v>184720</v>
      </c>
      <c r="C110" s="249">
        <v>92876</v>
      </c>
      <c r="D110" s="249">
        <v>91844</v>
      </c>
      <c r="E110" s="249">
        <v>174546</v>
      </c>
      <c r="F110" s="249">
        <v>87110</v>
      </c>
      <c r="G110" s="249">
        <v>87436</v>
      </c>
      <c r="H110" s="249">
        <v>10118</v>
      </c>
      <c r="I110" s="249">
        <v>5738</v>
      </c>
      <c r="J110" s="259">
        <v>4380</v>
      </c>
    </row>
    <row r="111" spans="1:10" ht="14.25" thickBot="1">
      <c r="A111" s="260" t="s">
        <v>323</v>
      </c>
      <c r="B111" s="250">
        <v>62719</v>
      </c>
      <c r="C111" s="250">
        <v>35386</v>
      </c>
      <c r="D111" s="250">
        <v>27333</v>
      </c>
      <c r="E111" s="250">
        <v>58016</v>
      </c>
      <c r="F111" s="250">
        <v>32963</v>
      </c>
      <c r="G111" s="250">
        <v>25053</v>
      </c>
      <c r="H111" s="250">
        <v>4690</v>
      </c>
      <c r="I111" s="250">
        <v>2418</v>
      </c>
      <c r="J111" s="261">
        <v>2272</v>
      </c>
    </row>
    <row r="112" spans="1:10" ht="14.25" thickBot="1">
      <c r="A112" s="258" t="s">
        <v>324</v>
      </c>
      <c r="B112" s="249">
        <v>31547</v>
      </c>
      <c r="C112" s="249">
        <v>18075</v>
      </c>
      <c r="D112" s="249">
        <v>13472</v>
      </c>
      <c r="E112" s="249">
        <v>22765</v>
      </c>
      <c r="F112" s="249">
        <v>12599</v>
      </c>
      <c r="G112" s="249">
        <v>10166</v>
      </c>
      <c r="H112" s="249">
        <v>8738</v>
      </c>
      <c r="I112" s="249">
        <v>5447</v>
      </c>
      <c r="J112" s="259">
        <v>3291</v>
      </c>
    </row>
    <row r="113" spans="1:10" ht="14.25" thickBot="1">
      <c r="A113" s="310" t="s">
        <v>3551</v>
      </c>
      <c r="B113" s="311"/>
      <c r="C113" s="311"/>
      <c r="D113" s="311"/>
      <c r="E113" s="311"/>
      <c r="F113" s="311"/>
      <c r="G113" s="311"/>
      <c r="H113" s="311"/>
      <c r="I113" s="311"/>
      <c r="J113" s="312"/>
    </row>
    <row r="114" spans="1:10" ht="14.25" thickBot="1">
      <c r="A114" s="258" t="s">
        <v>28</v>
      </c>
      <c r="B114" s="249">
        <v>66667</v>
      </c>
      <c r="C114" s="249">
        <v>36103</v>
      </c>
      <c r="D114" s="249">
        <v>30564</v>
      </c>
      <c r="E114" s="249">
        <v>62563</v>
      </c>
      <c r="F114" s="249">
        <v>33267</v>
      </c>
      <c r="G114" s="249">
        <v>29296</v>
      </c>
      <c r="H114" s="249">
        <v>4067</v>
      </c>
      <c r="I114" s="249">
        <v>2806</v>
      </c>
      <c r="J114" s="259">
        <v>1261</v>
      </c>
    </row>
    <row r="115" spans="1:10" ht="14.25" thickBot="1">
      <c r="A115" s="260" t="s">
        <v>321</v>
      </c>
      <c r="B115" s="250">
        <v>7732</v>
      </c>
      <c r="C115" s="250">
        <v>4214</v>
      </c>
      <c r="D115" s="250">
        <v>3518</v>
      </c>
      <c r="E115" s="250">
        <v>6908</v>
      </c>
      <c r="F115" s="250">
        <v>3715</v>
      </c>
      <c r="G115" s="250">
        <v>3193</v>
      </c>
      <c r="H115" s="250">
        <v>817</v>
      </c>
      <c r="I115" s="250">
        <v>492</v>
      </c>
      <c r="J115" s="261">
        <v>325</v>
      </c>
    </row>
    <row r="116" spans="1:10" ht="14.25" thickBot="1">
      <c r="A116" s="258" t="s">
        <v>322</v>
      </c>
      <c r="B116" s="249">
        <v>45206</v>
      </c>
      <c r="C116" s="249">
        <v>24251</v>
      </c>
      <c r="D116" s="249">
        <v>20955</v>
      </c>
      <c r="E116" s="249">
        <v>43868</v>
      </c>
      <c r="F116" s="249">
        <v>23283</v>
      </c>
      <c r="G116" s="249">
        <v>20585</v>
      </c>
      <c r="H116" s="249">
        <v>1325</v>
      </c>
      <c r="I116" s="249">
        <v>957</v>
      </c>
      <c r="J116" s="259">
        <v>368</v>
      </c>
    </row>
    <row r="117" spans="1:10" ht="14.25" thickBot="1">
      <c r="A117" s="260" t="s">
        <v>323</v>
      </c>
      <c r="B117" s="250">
        <v>4990</v>
      </c>
      <c r="C117" s="250">
        <v>2588</v>
      </c>
      <c r="D117" s="250">
        <v>2402</v>
      </c>
      <c r="E117" s="250">
        <v>4664</v>
      </c>
      <c r="F117" s="250">
        <v>2419</v>
      </c>
      <c r="G117" s="250">
        <v>2245</v>
      </c>
      <c r="H117" s="250">
        <v>323</v>
      </c>
      <c r="I117" s="250">
        <v>168</v>
      </c>
      <c r="J117" s="261">
        <v>155</v>
      </c>
    </row>
    <row r="118" spans="1:10" ht="14.25" thickBot="1">
      <c r="A118" s="258" t="s">
        <v>324</v>
      </c>
      <c r="B118" s="249">
        <v>8739</v>
      </c>
      <c r="C118" s="249">
        <v>5050</v>
      </c>
      <c r="D118" s="249">
        <v>3689</v>
      </c>
      <c r="E118" s="249">
        <v>7123</v>
      </c>
      <c r="F118" s="249">
        <v>3850</v>
      </c>
      <c r="G118" s="249">
        <v>3273</v>
      </c>
      <c r="H118" s="249">
        <v>1602</v>
      </c>
      <c r="I118" s="249">
        <v>1189</v>
      </c>
      <c r="J118" s="259">
        <v>413</v>
      </c>
    </row>
    <row r="119" spans="1:10" ht="14.25" thickBot="1">
      <c r="A119" s="310" t="s">
        <v>3552</v>
      </c>
      <c r="B119" s="311"/>
      <c r="C119" s="311"/>
      <c r="D119" s="311"/>
      <c r="E119" s="311"/>
      <c r="F119" s="311"/>
      <c r="G119" s="311"/>
      <c r="H119" s="311"/>
      <c r="I119" s="311"/>
      <c r="J119" s="312"/>
    </row>
    <row r="120" spans="1:10" ht="14.25" thickBot="1">
      <c r="A120" s="258" t="s">
        <v>28</v>
      </c>
      <c r="B120" s="249">
        <v>50590</v>
      </c>
      <c r="C120" s="249">
        <v>25001</v>
      </c>
      <c r="D120" s="249">
        <v>25589</v>
      </c>
      <c r="E120" s="249">
        <v>47554</v>
      </c>
      <c r="F120" s="249">
        <v>23200</v>
      </c>
      <c r="G120" s="249">
        <v>24354</v>
      </c>
      <c r="H120" s="249">
        <v>3023</v>
      </c>
      <c r="I120" s="249">
        <v>1793</v>
      </c>
      <c r="J120" s="259">
        <v>1230</v>
      </c>
    </row>
    <row r="121" spans="1:10" ht="14.25" thickBot="1">
      <c r="A121" s="260" t="s">
        <v>321</v>
      </c>
      <c r="B121" s="250">
        <v>5766</v>
      </c>
      <c r="C121" s="250">
        <v>3039</v>
      </c>
      <c r="D121" s="250">
        <v>2727</v>
      </c>
      <c r="E121" s="250">
        <v>5075</v>
      </c>
      <c r="F121" s="250">
        <v>2621</v>
      </c>
      <c r="G121" s="250">
        <v>2454</v>
      </c>
      <c r="H121" s="250">
        <v>688</v>
      </c>
      <c r="I121" s="250">
        <v>417</v>
      </c>
      <c r="J121" s="261">
        <v>271</v>
      </c>
    </row>
    <row r="122" spans="1:10" ht="14.25" thickBot="1">
      <c r="A122" s="258" t="s">
        <v>322</v>
      </c>
      <c r="B122" s="249">
        <v>34696</v>
      </c>
      <c r="C122" s="249">
        <v>16534</v>
      </c>
      <c r="D122" s="249">
        <v>18162</v>
      </c>
      <c r="E122" s="249">
        <v>33512</v>
      </c>
      <c r="F122" s="249">
        <v>15837</v>
      </c>
      <c r="G122" s="249">
        <v>17675</v>
      </c>
      <c r="H122" s="249">
        <v>1180</v>
      </c>
      <c r="I122" s="249">
        <v>694</v>
      </c>
      <c r="J122" s="259">
        <v>486</v>
      </c>
    </row>
    <row r="123" spans="1:10" ht="14.25" thickBot="1">
      <c r="A123" s="260" t="s">
        <v>323</v>
      </c>
      <c r="B123" s="250">
        <v>5204</v>
      </c>
      <c r="C123" s="250">
        <v>2943</v>
      </c>
      <c r="D123" s="250">
        <v>2261</v>
      </c>
      <c r="E123" s="250">
        <v>4866</v>
      </c>
      <c r="F123" s="250">
        <v>2763</v>
      </c>
      <c r="G123" s="250">
        <v>2103</v>
      </c>
      <c r="H123" s="250">
        <v>337</v>
      </c>
      <c r="I123" s="250">
        <v>179</v>
      </c>
      <c r="J123" s="261">
        <v>158</v>
      </c>
    </row>
    <row r="124" spans="1:10" ht="14.25" thickBot="1">
      <c r="A124" s="258" t="s">
        <v>324</v>
      </c>
      <c r="B124" s="249">
        <v>4924</v>
      </c>
      <c r="C124" s="249">
        <v>2485</v>
      </c>
      <c r="D124" s="249">
        <v>2439</v>
      </c>
      <c r="E124" s="249">
        <v>4101</v>
      </c>
      <c r="F124" s="249">
        <v>1979</v>
      </c>
      <c r="G124" s="249">
        <v>2122</v>
      </c>
      <c r="H124" s="249">
        <v>818</v>
      </c>
      <c r="I124" s="249">
        <v>503</v>
      </c>
      <c r="J124" s="259">
        <v>315</v>
      </c>
    </row>
    <row r="125" spans="1:10" ht="14.25" thickBot="1">
      <c r="A125" s="310" t="s">
        <v>3553</v>
      </c>
      <c r="B125" s="311"/>
      <c r="C125" s="311"/>
      <c r="D125" s="311"/>
      <c r="E125" s="311"/>
      <c r="F125" s="311"/>
      <c r="G125" s="311"/>
      <c r="H125" s="311"/>
      <c r="I125" s="311"/>
      <c r="J125" s="312"/>
    </row>
    <row r="126" spans="1:10" ht="14.25" thickBot="1">
      <c r="A126" s="258" t="s">
        <v>28</v>
      </c>
      <c r="B126" s="249">
        <v>88129</v>
      </c>
      <c r="C126" s="249">
        <v>45850</v>
      </c>
      <c r="D126" s="249">
        <v>42279</v>
      </c>
      <c r="E126" s="249">
        <v>83655</v>
      </c>
      <c r="F126" s="249">
        <v>43009</v>
      </c>
      <c r="G126" s="249">
        <v>40646</v>
      </c>
      <c r="H126" s="249">
        <v>4436</v>
      </c>
      <c r="I126" s="249">
        <v>2817</v>
      </c>
      <c r="J126" s="259">
        <v>1619</v>
      </c>
    </row>
    <row r="127" spans="1:10" ht="14.25" thickBot="1">
      <c r="A127" s="260" t="s">
        <v>321</v>
      </c>
      <c r="B127" s="250">
        <v>10397</v>
      </c>
      <c r="C127" s="250">
        <v>5729</v>
      </c>
      <c r="D127" s="250">
        <v>4668</v>
      </c>
      <c r="E127" s="250">
        <v>9306</v>
      </c>
      <c r="F127" s="250">
        <v>5047</v>
      </c>
      <c r="G127" s="250">
        <v>4259</v>
      </c>
      <c r="H127" s="250">
        <v>1078</v>
      </c>
      <c r="I127" s="250">
        <v>674</v>
      </c>
      <c r="J127" s="261">
        <v>404</v>
      </c>
    </row>
    <row r="128" spans="1:10" ht="14.25" thickBot="1">
      <c r="A128" s="258" t="s">
        <v>322</v>
      </c>
      <c r="B128" s="249">
        <v>60361</v>
      </c>
      <c r="C128" s="249">
        <v>30761</v>
      </c>
      <c r="D128" s="249">
        <v>29600</v>
      </c>
      <c r="E128" s="249">
        <v>58653</v>
      </c>
      <c r="F128" s="249">
        <v>29663</v>
      </c>
      <c r="G128" s="249">
        <v>28990</v>
      </c>
      <c r="H128" s="249">
        <v>1696</v>
      </c>
      <c r="I128" s="249">
        <v>1092</v>
      </c>
      <c r="J128" s="259">
        <v>604</v>
      </c>
    </row>
    <row r="129" spans="1:10" ht="14.25" thickBot="1">
      <c r="A129" s="260" t="s">
        <v>323</v>
      </c>
      <c r="B129" s="250">
        <v>10837</v>
      </c>
      <c r="C129" s="250">
        <v>5779</v>
      </c>
      <c r="D129" s="250">
        <v>5058</v>
      </c>
      <c r="E129" s="250">
        <v>10199</v>
      </c>
      <c r="F129" s="250">
        <v>5438</v>
      </c>
      <c r="G129" s="250">
        <v>4761</v>
      </c>
      <c r="H129" s="250">
        <v>636</v>
      </c>
      <c r="I129" s="250">
        <v>340</v>
      </c>
      <c r="J129" s="261">
        <v>296</v>
      </c>
    </row>
    <row r="130" spans="1:10" ht="14.25" thickBot="1">
      <c r="A130" s="258" t="s">
        <v>324</v>
      </c>
      <c r="B130" s="249">
        <v>6534</v>
      </c>
      <c r="C130" s="249">
        <v>3581</v>
      </c>
      <c r="D130" s="249">
        <v>2953</v>
      </c>
      <c r="E130" s="249">
        <v>5497</v>
      </c>
      <c r="F130" s="249">
        <v>2861</v>
      </c>
      <c r="G130" s="249">
        <v>2636</v>
      </c>
      <c r="H130" s="249">
        <v>1026</v>
      </c>
      <c r="I130" s="249">
        <v>711</v>
      </c>
      <c r="J130" s="259">
        <v>315</v>
      </c>
    </row>
    <row r="131" spans="1:10" ht="14.25" thickBot="1">
      <c r="A131" s="310" t="s">
        <v>3554</v>
      </c>
      <c r="B131" s="311"/>
      <c r="C131" s="311"/>
      <c r="D131" s="311"/>
      <c r="E131" s="311"/>
      <c r="F131" s="311"/>
      <c r="G131" s="311"/>
      <c r="H131" s="311"/>
      <c r="I131" s="311"/>
      <c r="J131" s="312"/>
    </row>
    <row r="132" spans="1:10" ht="14.25" thickBot="1">
      <c r="A132" s="258" t="s">
        <v>28</v>
      </c>
      <c r="B132" s="249">
        <v>21273</v>
      </c>
      <c r="C132" s="249">
        <v>11820</v>
      </c>
      <c r="D132" s="249">
        <v>9453</v>
      </c>
      <c r="E132" s="249">
        <v>20291</v>
      </c>
      <c r="F132" s="249">
        <v>11181</v>
      </c>
      <c r="G132" s="249">
        <v>9110</v>
      </c>
      <c r="H132" s="249">
        <v>980</v>
      </c>
      <c r="I132" s="249">
        <v>637</v>
      </c>
      <c r="J132" s="259">
        <v>343</v>
      </c>
    </row>
    <row r="133" spans="1:10" ht="14.25" thickBot="1">
      <c r="A133" s="260" t="s">
        <v>321</v>
      </c>
      <c r="B133" s="250">
        <v>2712</v>
      </c>
      <c r="C133" s="250">
        <v>1541</v>
      </c>
      <c r="D133" s="250">
        <v>1171</v>
      </c>
      <c r="E133" s="250">
        <v>2428</v>
      </c>
      <c r="F133" s="250">
        <v>1342</v>
      </c>
      <c r="G133" s="250">
        <v>1086</v>
      </c>
      <c r="H133" s="250">
        <v>283</v>
      </c>
      <c r="I133" s="250">
        <v>198</v>
      </c>
      <c r="J133" s="261">
        <v>85</v>
      </c>
    </row>
    <row r="134" spans="1:10" ht="14.25" thickBot="1">
      <c r="A134" s="258" t="s">
        <v>322</v>
      </c>
      <c r="B134" s="249">
        <v>15370</v>
      </c>
      <c r="C134" s="249">
        <v>8603</v>
      </c>
      <c r="D134" s="249">
        <v>6767</v>
      </c>
      <c r="E134" s="249">
        <v>15018</v>
      </c>
      <c r="F134" s="249">
        <v>8368</v>
      </c>
      <c r="G134" s="249">
        <v>6650</v>
      </c>
      <c r="H134" s="249">
        <v>351</v>
      </c>
      <c r="I134" s="249">
        <v>234</v>
      </c>
      <c r="J134" s="259">
        <v>117</v>
      </c>
    </row>
    <row r="135" spans="1:10" ht="14.25" thickBot="1">
      <c r="A135" s="260" t="s">
        <v>323</v>
      </c>
      <c r="B135" s="250">
        <v>1851</v>
      </c>
      <c r="C135" s="250">
        <v>976</v>
      </c>
      <c r="D135" s="250">
        <v>875</v>
      </c>
      <c r="E135" s="250">
        <v>1731</v>
      </c>
      <c r="F135" s="250">
        <v>921</v>
      </c>
      <c r="G135" s="250">
        <v>810</v>
      </c>
      <c r="H135" s="250">
        <v>120</v>
      </c>
      <c r="I135" s="250">
        <v>55</v>
      </c>
      <c r="J135" s="261">
        <v>65</v>
      </c>
    </row>
    <row r="136" spans="1:10" ht="14.25" thickBot="1">
      <c r="A136" s="258" t="s">
        <v>324</v>
      </c>
      <c r="B136" s="249">
        <v>1340</v>
      </c>
      <c r="C136" s="249">
        <v>700</v>
      </c>
      <c r="D136" s="249">
        <v>640</v>
      </c>
      <c r="E136" s="249">
        <v>1114</v>
      </c>
      <c r="F136" s="249">
        <v>550</v>
      </c>
      <c r="G136" s="249">
        <v>564</v>
      </c>
      <c r="H136" s="249">
        <v>226</v>
      </c>
      <c r="I136" s="249">
        <v>150</v>
      </c>
      <c r="J136" s="259">
        <v>76</v>
      </c>
    </row>
    <row r="137" spans="1:10" ht="14.25" thickBot="1">
      <c r="A137" s="310" t="s">
        <v>3555</v>
      </c>
      <c r="B137" s="311"/>
      <c r="C137" s="311"/>
      <c r="D137" s="311"/>
      <c r="E137" s="311"/>
      <c r="F137" s="311"/>
      <c r="G137" s="311"/>
      <c r="H137" s="311"/>
      <c r="I137" s="311"/>
      <c r="J137" s="312"/>
    </row>
    <row r="138" spans="1:10" ht="14.25" thickBot="1">
      <c r="A138" s="258" t="s">
        <v>28</v>
      </c>
      <c r="B138" s="249">
        <v>37783</v>
      </c>
      <c r="C138" s="249">
        <v>21039</v>
      </c>
      <c r="D138" s="249">
        <v>16744</v>
      </c>
      <c r="E138" s="249">
        <v>35383</v>
      </c>
      <c r="F138" s="249">
        <v>19333</v>
      </c>
      <c r="G138" s="249">
        <v>16050</v>
      </c>
      <c r="H138" s="249">
        <v>2391</v>
      </c>
      <c r="I138" s="249">
        <v>1701</v>
      </c>
      <c r="J138" s="259">
        <v>690</v>
      </c>
    </row>
    <row r="139" spans="1:10" ht="14.25" thickBot="1">
      <c r="A139" s="260" t="s">
        <v>321</v>
      </c>
      <c r="B139" s="250">
        <v>5464</v>
      </c>
      <c r="C139" s="250">
        <v>3288</v>
      </c>
      <c r="D139" s="250">
        <v>2176</v>
      </c>
      <c r="E139" s="250">
        <v>4827</v>
      </c>
      <c r="F139" s="250">
        <v>2810</v>
      </c>
      <c r="G139" s="250">
        <v>2017</v>
      </c>
      <c r="H139" s="250">
        <v>634</v>
      </c>
      <c r="I139" s="250">
        <v>475</v>
      </c>
      <c r="J139" s="261">
        <v>159</v>
      </c>
    </row>
    <row r="140" spans="1:10" ht="14.25" thickBot="1">
      <c r="A140" s="258" t="s">
        <v>322</v>
      </c>
      <c r="B140" s="249">
        <v>25881</v>
      </c>
      <c r="C140" s="249">
        <v>14029</v>
      </c>
      <c r="D140" s="249">
        <v>11852</v>
      </c>
      <c r="E140" s="249">
        <v>25217</v>
      </c>
      <c r="F140" s="249">
        <v>13542</v>
      </c>
      <c r="G140" s="249">
        <v>11675</v>
      </c>
      <c r="H140" s="249">
        <v>660</v>
      </c>
      <c r="I140" s="249">
        <v>485</v>
      </c>
      <c r="J140" s="259">
        <v>175</v>
      </c>
    </row>
    <row r="141" spans="1:10" ht="14.25" thickBot="1">
      <c r="A141" s="260" t="s">
        <v>323</v>
      </c>
      <c r="B141" s="250">
        <v>2506</v>
      </c>
      <c r="C141" s="250">
        <v>1288</v>
      </c>
      <c r="D141" s="250">
        <v>1218</v>
      </c>
      <c r="E141" s="250">
        <v>2368</v>
      </c>
      <c r="F141" s="250">
        <v>1224</v>
      </c>
      <c r="G141" s="250">
        <v>1144</v>
      </c>
      <c r="H141" s="250">
        <v>138</v>
      </c>
      <c r="I141" s="250">
        <v>64</v>
      </c>
      <c r="J141" s="261">
        <v>74</v>
      </c>
    </row>
    <row r="142" spans="1:10" ht="14.25" thickBot="1">
      <c r="A142" s="258" t="s">
        <v>324</v>
      </c>
      <c r="B142" s="249">
        <v>3932</v>
      </c>
      <c r="C142" s="249">
        <v>2434</v>
      </c>
      <c r="D142" s="249">
        <v>1498</v>
      </c>
      <c r="E142" s="249">
        <v>2971</v>
      </c>
      <c r="F142" s="249">
        <v>1757</v>
      </c>
      <c r="G142" s="249">
        <v>1214</v>
      </c>
      <c r="H142" s="249">
        <v>959</v>
      </c>
      <c r="I142" s="249">
        <v>677</v>
      </c>
      <c r="J142" s="259">
        <v>282</v>
      </c>
    </row>
    <row r="143" spans="1:10" ht="14.25" thickBot="1">
      <c r="A143" s="310" t="s">
        <v>3556</v>
      </c>
      <c r="B143" s="311"/>
      <c r="C143" s="311"/>
      <c r="D143" s="311"/>
      <c r="E143" s="311"/>
      <c r="F143" s="311"/>
      <c r="G143" s="311"/>
      <c r="H143" s="311"/>
      <c r="I143" s="311"/>
      <c r="J143" s="312"/>
    </row>
    <row r="144" spans="1:10" ht="14.25" thickBot="1">
      <c r="A144" s="258" t="s">
        <v>28</v>
      </c>
      <c r="B144" s="249">
        <v>43617</v>
      </c>
      <c r="C144" s="249">
        <v>22725</v>
      </c>
      <c r="D144" s="249">
        <v>20892</v>
      </c>
      <c r="E144" s="249">
        <v>40968</v>
      </c>
      <c r="F144" s="249">
        <v>21001</v>
      </c>
      <c r="G144" s="249">
        <v>19967</v>
      </c>
      <c r="H144" s="249">
        <v>2642</v>
      </c>
      <c r="I144" s="249">
        <v>1720</v>
      </c>
      <c r="J144" s="259">
        <v>922</v>
      </c>
    </row>
    <row r="145" spans="1:10" ht="14.25" thickBot="1">
      <c r="A145" s="260" t="s">
        <v>321</v>
      </c>
      <c r="B145" s="250">
        <v>5154</v>
      </c>
      <c r="C145" s="250">
        <v>3018</v>
      </c>
      <c r="D145" s="250">
        <v>2136</v>
      </c>
      <c r="E145" s="250">
        <v>4499</v>
      </c>
      <c r="F145" s="250">
        <v>2561</v>
      </c>
      <c r="G145" s="250">
        <v>1938</v>
      </c>
      <c r="H145" s="250">
        <v>653</v>
      </c>
      <c r="I145" s="250">
        <v>456</v>
      </c>
      <c r="J145" s="261">
        <v>197</v>
      </c>
    </row>
    <row r="146" spans="1:10" ht="14.25" thickBot="1">
      <c r="A146" s="258" t="s">
        <v>322</v>
      </c>
      <c r="B146" s="249">
        <v>30566</v>
      </c>
      <c r="C146" s="249">
        <v>15477</v>
      </c>
      <c r="D146" s="249">
        <v>15089</v>
      </c>
      <c r="E146" s="249">
        <v>29428</v>
      </c>
      <c r="F146" s="249">
        <v>14734</v>
      </c>
      <c r="G146" s="249">
        <v>14694</v>
      </c>
      <c r="H146" s="249">
        <v>1134</v>
      </c>
      <c r="I146" s="249">
        <v>740</v>
      </c>
      <c r="J146" s="259">
        <v>394</v>
      </c>
    </row>
    <row r="147" spans="1:10" ht="14.25" thickBot="1">
      <c r="A147" s="260" t="s">
        <v>323</v>
      </c>
      <c r="B147" s="250">
        <v>3539</v>
      </c>
      <c r="C147" s="250">
        <v>1837</v>
      </c>
      <c r="D147" s="250">
        <v>1702</v>
      </c>
      <c r="E147" s="250">
        <v>3327</v>
      </c>
      <c r="F147" s="250">
        <v>1740</v>
      </c>
      <c r="G147" s="250">
        <v>1587</v>
      </c>
      <c r="H147" s="250">
        <v>211</v>
      </c>
      <c r="I147" s="250">
        <v>97</v>
      </c>
      <c r="J147" s="261">
        <v>114</v>
      </c>
    </row>
    <row r="148" spans="1:10" ht="14.25" thickBot="1">
      <c r="A148" s="258" t="s">
        <v>324</v>
      </c>
      <c r="B148" s="249">
        <v>4358</v>
      </c>
      <c r="C148" s="249">
        <v>2393</v>
      </c>
      <c r="D148" s="249">
        <v>1965</v>
      </c>
      <c r="E148" s="249">
        <v>3714</v>
      </c>
      <c r="F148" s="249">
        <v>1966</v>
      </c>
      <c r="G148" s="249">
        <v>1748</v>
      </c>
      <c r="H148" s="249">
        <v>644</v>
      </c>
      <c r="I148" s="249">
        <v>427</v>
      </c>
      <c r="J148" s="259">
        <v>217</v>
      </c>
    </row>
    <row r="149" spans="1:10" ht="14.25" thickBot="1">
      <c r="A149" s="310" t="s">
        <v>3557</v>
      </c>
      <c r="B149" s="311"/>
      <c r="C149" s="311"/>
      <c r="D149" s="311"/>
      <c r="E149" s="311"/>
      <c r="F149" s="311"/>
      <c r="G149" s="311"/>
      <c r="H149" s="311"/>
      <c r="I149" s="311"/>
      <c r="J149" s="312"/>
    </row>
    <row r="150" spans="1:10" ht="14.25" thickBot="1">
      <c r="A150" s="258" t="s">
        <v>28</v>
      </c>
      <c r="B150" s="249">
        <v>485136</v>
      </c>
      <c r="C150" s="249">
        <v>248891</v>
      </c>
      <c r="D150" s="249">
        <v>236245</v>
      </c>
      <c r="E150" s="249">
        <v>454375</v>
      </c>
      <c r="F150" s="249">
        <v>228376</v>
      </c>
      <c r="G150" s="249">
        <v>225999</v>
      </c>
      <c r="H150" s="249">
        <v>30576</v>
      </c>
      <c r="I150" s="249">
        <v>20392</v>
      </c>
      <c r="J150" s="259">
        <v>10184</v>
      </c>
    </row>
    <row r="151" spans="1:10" ht="14.25" thickBot="1">
      <c r="A151" s="260" t="s">
        <v>321</v>
      </c>
      <c r="B151" s="250">
        <v>59545</v>
      </c>
      <c r="C151" s="250">
        <v>32938</v>
      </c>
      <c r="D151" s="250">
        <v>26607</v>
      </c>
      <c r="E151" s="250">
        <v>53186</v>
      </c>
      <c r="F151" s="250">
        <v>28757</v>
      </c>
      <c r="G151" s="250">
        <v>24429</v>
      </c>
      <c r="H151" s="250">
        <v>6327</v>
      </c>
      <c r="I151" s="250">
        <v>4159</v>
      </c>
      <c r="J151" s="261">
        <v>2168</v>
      </c>
    </row>
    <row r="152" spans="1:10" ht="14.25" thickBot="1">
      <c r="A152" s="258" t="s">
        <v>322</v>
      </c>
      <c r="B152" s="249">
        <v>328451</v>
      </c>
      <c r="C152" s="249">
        <v>163773</v>
      </c>
      <c r="D152" s="249">
        <v>164678</v>
      </c>
      <c r="E152" s="249">
        <v>318743</v>
      </c>
      <c r="F152" s="249">
        <v>157568</v>
      </c>
      <c r="G152" s="249">
        <v>161175</v>
      </c>
      <c r="H152" s="249">
        <v>9635</v>
      </c>
      <c r="I152" s="249">
        <v>6157</v>
      </c>
      <c r="J152" s="259">
        <v>3478</v>
      </c>
    </row>
    <row r="153" spans="1:10" ht="14.25" thickBot="1">
      <c r="A153" s="260" t="s">
        <v>323</v>
      </c>
      <c r="B153" s="250">
        <v>43186</v>
      </c>
      <c r="C153" s="250">
        <v>21762</v>
      </c>
      <c r="D153" s="250">
        <v>21424</v>
      </c>
      <c r="E153" s="250">
        <v>40381</v>
      </c>
      <c r="F153" s="250">
        <v>20325</v>
      </c>
      <c r="G153" s="250">
        <v>20056</v>
      </c>
      <c r="H153" s="250">
        <v>2799</v>
      </c>
      <c r="I153" s="250">
        <v>1433</v>
      </c>
      <c r="J153" s="261">
        <v>1366</v>
      </c>
    </row>
    <row r="154" spans="1:10" ht="14.25" thickBot="1">
      <c r="A154" s="258" t="s">
        <v>324</v>
      </c>
      <c r="B154" s="249">
        <v>53954</v>
      </c>
      <c r="C154" s="249">
        <v>30418</v>
      </c>
      <c r="D154" s="249">
        <v>23536</v>
      </c>
      <c r="E154" s="249">
        <v>42065</v>
      </c>
      <c r="F154" s="249">
        <v>21726</v>
      </c>
      <c r="G154" s="249">
        <v>20339</v>
      </c>
      <c r="H154" s="249">
        <v>11815</v>
      </c>
      <c r="I154" s="249">
        <v>8643</v>
      </c>
      <c r="J154" s="259">
        <v>3172</v>
      </c>
    </row>
    <row r="155" spans="1:10" ht="14.25" thickBot="1">
      <c r="A155" s="310" t="s">
        <v>3558</v>
      </c>
      <c r="B155" s="311"/>
      <c r="C155" s="311"/>
      <c r="D155" s="311"/>
      <c r="E155" s="311"/>
      <c r="F155" s="311"/>
      <c r="G155" s="311"/>
      <c r="H155" s="311"/>
      <c r="I155" s="311"/>
      <c r="J155" s="312"/>
    </row>
    <row r="156" spans="1:10" ht="14.25" thickBot="1">
      <c r="A156" s="258" t="s">
        <v>28</v>
      </c>
      <c r="B156" s="249">
        <v>55630</v>
      </c>
      <c r="C156" s="249">
        <v>28473</v>
      </c>
      <c r="D156" s="249">
        <v>27157</v>
      </c>
      <c r="E156" s="249">
        <v>52861</v>
      </c>
      <c r="F156" s="249">
        <v>26721</v>
      </c>
      <c r="G156" s="249">
        <v>26140</v>
      </c>
      <c r="H156" s="249">
        <v>2746</v>
      </c>
      <c r="I156" s="249">
        <v>1734</v>
      </c>
      <c r="J156" s="259">
        <v>1012</v>
      </c>
    </row>
    <row r="157" spans="1:10" ht="14.25" thickBot="1">
      <c r="A157" s="260" t="s">
        <v>321</v>
      </c>
      <c r="B157" s="250">
        <v>6314</v>
      </c>
      <c r="C157" s="250">
        <v>3470</v>
      </c>
      <c r="D157" s="250">
        <v>2844</v>
      </c>
      <c r="E157" s="250">
        <v>5567</v>
      </c>
      <c r="F157" s="250">
        <v>2991</v>
      </c>
      <c r="G157" s="250">
        <v>2576</v>
      </c>
      <c r="H157" s="250">
        <v>744</v>
      </c>
      <c r="I157" s="250">
        <v>476</v>
      </c>
      <c r="J157" s="261">
        <v>268</v>
      </c>
    </row>
    <row r="158" spans="1:10" ht="14.25" thickBot="1">
      <c r="A158" s="258" t="s">
        <v>322</v>
      </c>
      <c r="B158" s="249">
        <v>38715</v>
      </c>
      <c r="C158" s="249">
        <v>19298</v>
      </c>
      <c r="D158" s="249">
        <v>19417</v>
      </c>
      <c r="E158" s="249">
        <v>37752</v>
      </c>
      <c r="F158" s="249">
        <v>18693</v>
      </c>
      <c r="G158" s="249">
        <v>19059</v>
      </c>
      <c r="H158" s="249">
        <v>953</v>
      </c>
      <c r="I158" s="249">
        <v>597</v>
      </c>
      <c r="J158" s="259">
        <v>356</v>
      </c>
    </row>
    <row r="159" spans="1:10" ht="14.25" thickBot="1">
      <c r="A159" s="260" t="s">
        <v>323</v>
      </c>
      <c r="B159" s="250">
        <v>5874</v>
      </c>
      <c r="C159" s="250">
        <v>3266</v>
      </c>
      <c r="D159" s="250">
        <v>2608</v>
      </c>
      <c r="E159" s="250">
        <v>5474</v>
      </c>
      <c r="F159" s="250">
        <v>3023</v>
      </c>
      <c r="G159" s="250">
        <v>2451</v>
      </c>
      <c r="H159" s="250">
        <v>400</v>
      </c>
      <c r="I159" s="250">
        <v>243</v>
      </c>
      <c r="J159" s="261">
        <v>157</v>
      </c>
    </row>
    <row r="160" spans="1:10" ht="14.25" thickBot="1">
      <c r="A160" s="258" t="s">
        <v>324</v>
      </c>
      <c r="B160" s="249">
        <v>4727</v>
      </c>
      <c r="C160" s="249">
        <v>2439</v>
      </c>
      <c r="D160" s="249">
        <v>2288</v>
      </c>
      <c r="E160" s="249">
        <v>4068</v>
      </c>
      <c r="F160" s="249">
        <v>2014</v>
      </c>
      <c r="G160" s="249">
        <v>2054</v>
      </c>
      <c r="H160" s="249">
        <v>649</v>
      </c>
      <c r="I160" s="249">
        <v>418</v>
      </c>
      <c r="J160" s="259">
        <v>231</v>
      </c>
    </row>
    <row r="161" spans="1:10" ht="14.25" thickBot="1">
      <c r="A161" s="310" t="s">
        <v>3559</v>
      </c>
      <c r="B161" s="311"/>
      <c r="C161" s="311"/>
      <c r="D161" s="311"/>
      <c r="E161" s="311"/>
      <c r="F161" s="311"/>
      <c r="G161" s="311"/>
      <c r="H161" s="311"/>
      <c r="I161" s="311"/>
      <c r="J161" s="312"/>
    </row>
    <row r="162" spans="1:10" ht="14.25" thickBot="1">
      <c r="A162" s="258" t="s">
        <v>28</v>
      </c>
      <c r="B162" s="249">
        <v>44489</v>
      </c>
      <c r="C162" s="249">
        <v>21515</v>
      </c>
      <c r="D162" s="249">
        <v>22974</v>
      </c>
      <c r="E162" s="249">
        <v>41091</v>
      </c>
      <c r="F162" s="249">
        <v>19331</v>
      </c>
      <c r="G162" s="249">
        <v>21760</v>
      </c>
      <c r="H162" s="249">
        <v>3391</v>
      </c>
      <c r="I162" s="249">
        <v>2178</v>
      </c>
      <c r="J162" s="259">
        <v>1213</v>
      </c>
    </row>
    <row r="163" spans="1:10" ht="14.25" thickBot="1">
      <c r="A163" s="260" t="s">
        <v>321</v>
      </c>
      <c r="B163" s="250">
        <v>5879</v>
      </c>
      <c r="C163" s="250">
        <v>3102</v>
      </c>
      <c r="D163" s="250">
        <v>2777</v>
      </c>
      <c r="E163" s="250">
        <v>5142</v>
      </c>
      <c r="F163" s="250">
        <v>2673</v>
      </c>
      <c r="G163" s="250">
        <v>2469</v>
      </c>
      <c r="H163" s="250">
        <v>735</v>
      </c>
      <c r="I163" s="250">
        <v>428</v>
      </c>
      <c r="J163" s="261">
        <v>307</v>
      </c>
    </row>
    <row r="164" spans="1:10" ht="14.25" thickBot="1">
      <c r="A164" s="258" t="s">
        <v>322</v>
      </c>
      <c r="B164" s="249">
        <v>29632</v>
      </c>
      <c r="C164" s="249">
        <v>13814</v>
      </c>
      <c r="D164" s="249">
        <v>15818</v>
      </c>
      <c r="E164" s="249">
        <v>28642</v>
      </c>
      <c r="F164" s="249">
        <v>13208</v>
      </c>
      <c r="G164" s="249">
        <v>15434</v>
      </c>
      <c r="H164" s="249">
        <v>987</v>
      </c>
      <c r="I164" s="249">
        <v>603</v>
      </c>
      <c r="J164" s="259">
        <v>384</v>
      </c>
    </row>
    <row r="165" spans="1:10" ht="14.25" thickBot="1">
      <c r="A165" s="260" t="s">
        <v>323</v>
      </c>
      <c r="B165" s="250">
        <v>3008</v>
      </c>
      <c r="C165" s="250">
        <v>1471</v>
      </c>
      <c r="D165" s="250">
        <v>1537</v>
      </c>
      <c r="E165" s="250">
        <v>2778</v>
      </c>
      <c r="F165" s="250">
        <v>1343</v>
      </c>
      <c r="G165" s="250">
        <v>1435</v>
      </c>
      <c r="H165" s="250">
        <v>229</v>
      </c>
      <c r="I165" s="250">
        <v>127</v>
      </c>
      <c r="J165" s="261">
        <v>102</v>
      </c>
    </row>
    <row r="166" spans="1:10" ht="14.25" thickBot="1">
      <c r="A166" s="258" t="s">
        <v>324</v>
      </c>
      <c r="B166" s="249">
        <v>5970</v>
      </c>
      <c r="C166" s="249">
        <v>3128</v>
      </c>
      <c r="D166" s="249">
        <v>2842</v>
      </c>
      <c r="E166" s="249">
        <v>4529</v>
      </c>
      <c r="F166" s="249">
        <v>2107</v>
      </c>
      <c r="G166" s="249">
        <v>2422</v>
      </c>
      <c r="H166" s="249">
        <v>1440</v>
      </c>
      <c r="I166" s="249">
        <v>1020</v>
      </c>
      <c r="J166" s="259">
        <v>420</v>
      </c>
    </row>
    <row r="167" spans="1:10" ht="14.25" thickBot="1">
      <c r="A167" s="310" t="s">
        <v>3560</v>
      </c>
      <c r="B167" s="311"/>
      <c r="C167" s="311"/>
      <c r="D167" s="311"/>
      <c r="E167" s="311"/>
      <c r="F167" s="311"/>
      <c r="G167" s="311"/>
      <c r="H167" s="311"/>
      <c r="I167" s="311"/>
      <c r="J167" s="312"/>
    </row>
    <row r="168" spans="1:10" ht="14.25" thickBot="1">
      <c r="A168" s="258" t="s">
        <v>28</v>
      </c>
      <c r="B168" s="249">
        <v>58812</v>
      </c>
      <c r="C168" s="249">
        <v>30378</v>
      </c>
      <c r="D168" s="249">
        <v>28434</v>
      </c>
      <c r="E168" s="249">
        <v>53448</v>
      </c>
      <c r="F168" s="249">
        <v>26693</v>
      </c>
      <c r="G168" s="249">
        <v>26755</v>
      </c>
      <c r="H168" s="249">
        <v>5337</v>
      </c>
      <c r="I168" s="249">
        <v>3666</v>
      </c>
      <c r="J168" s="259">
        <v>1671</v>
      </c>
    </row>
    <row r="169" spans="1:10" ht="14.25" thickBot="1">
      <c r="A169" s="260" t="s">
        <v>321</v>
      </c>
      <c r="B169" s="250">
        <v>6362</v>
      </c>
      <c r="C169" s="250">
        <v>3760</v>
      </c>
      <c r="D169" s="250">
        <v>2602</v>
      </c>
      <c r="E169" s="250">
        <v>5315</v>
      </c>
      <c r="F169" s="250">
        <v>3039</v>
      </c>
      <c r="G169" s="250">
        <v>2276</v>
      </c>
      <c r="H169" s="250">
        <v>1046</v>
      </c>
      <c r="I169" s="250">
        <v>720</v>
      </c>
      <c r="J169" s="261">
        <v>326</v>
      </c>
    </row>
    <row r="170" spans="1:10" ht="14.25" thickBot="1">
      <c r="A170" s="258" t="s">
        <v>322</v>
      </c>
      <c r="B170" s="249">
        <v>38928</v>
      </c>
      <c r="C170" s="249">
        <v>18954</v>
      </c>
      <c r="D170" s="249">
        <v>19974</v>
      </c>
      <c r="E170" s="249">
        <v>37390</v>
      </c>
      <c r="F170" s="249">
        <v>17989</v>
      </c>
      <c r="G170" s="249">
        <v>19401</v>
      </c>
      <c r="H170" s="249">
        <v>1526</v>
      </c>
      <c r="I170" s="249">
        <v>957</v>
      </c>
      <c r="J170" s="259">
        <v>569</v>
      </c>
    </row>
    <row r="171" spans="1:10" ht="14.25" thickBot="1">
      <c r="A171" s="260" t="s">
        <v>323</v>
      </c>
      <c r="B171" s="250">
        <v>4890</v>
      </c>
      <c r="C171" s="250">
        <v>2306</v>
      </c>
      <c r="D171" s="250">
        <v>2584</v>
      </c>
      <c r="E171" s="250">
        <v>4593</v>
      </c>
      <c r="F171" s="250">
        <v>2179</v>
      </c>
      <c r="G171" s="250">
        <v>2414</v>
      </c>
      <c r="H171" s="250">
        <v>297</v>
      </c>
      <c r="I171" s="250">
        <v>127</v>
      </c>
      <c r="J171" s="261">
        <v>170</v>
      </c>
    </row>
    <row r="172" spans="1:10" ht="14.25" thickBot="1">
      <c r="A172" s="258" t="s">
        <v>324</v>
      </c>
      <c r="B172" s="249">
        <v>8632</v>
      </c>
      <c r="C172" s="249">
        <v>5358</v>
      </c>
      <c r="D172" s="249">
        <v>3274</v>
      </c>
      <c r="E172" s="249">
        <v>6150</v>
      </c>
      <c r="F172" s="249">
        <v>3486</v>
      </c>
      <c r="G172" s="249">
        <v>2664</v>
      </c>
      <c r="H172" s="249">
        <v>2468</v>
      </c>
      <c r="I172" s="249">
        <v>1862</v>
      </c>
      <c r="J172" s="259">
        <v>606</v>
      </c>
    </row>
    <row r="173" spans="1:10" ht="14.25" thickBot="1">
      <c r="A173" s="310" t="s">
        <v>3561</v>
      </c>
      <c r="B173" s="311"/>
      <c r="C173" s="311"/>
      <c r="D173" s="311"/>
      <c r="E173" s="311"/>
      <c r="F173" s="311"/>
      <c r="G173" s="311"/>
      <c r="H173" s="311"/>
      <c r="I173" s="311"/>
      <c r="J173" s="312"/>
    </row>
    <row r="174" spans="1:10" ht="14.25" thickBot="1">
      <c r="A174" s="258" t="s">
        <v>28</v>
      </c>
      <c r="B174" s="249">
        <v>13583</v>
      </c>
      <c r="C174" s="249">
        <v>6615</v>
      </c>
      <c r="D174" s="249">
        <v>6968</v>
      </c>
      <c r="E174" s="249">
        <v>13061</v>
      </c>
      <c r="F174" s="249">
        <v>6332</v>
      </c>
      <c r="G174" s="249">
        <v>6729</v>
      </c>
      <c r="H174" s="249">
        <v>521</v>
      </c>
      <c r="I174" s="249">
        <v>282</v>
      </c>
      <c r="J174" s="259">
        <v>239</v>
      </c>
    </row>
    <row r="175" spans="1:10" ht="14.25" thickBot="1">
      <c r="A175" s="260" t="s">
        <v>321</v>
      </c>
      <c r="B175" s="250">
        <v>1213</v>
      </c>
      <c r="C175" s="250">
        <v>624</v>
      </c>
      <c r="D175" s="250">
        <v>589</v>
      </c>
      <c r="E175" s="250">
        <v>1150</v>
      </c>
      <c r="F175" s="250">
        <v>591</v>
      </c>
      <c r="G175" s="250">
        <v>559</v>
      </c>
      <c r="H175" s="250">
        <v>63</v>
      </c>
      <c r="I175" s="250">
        <v>33</v>
      </c>
      <c r="J175" s="261">
        <v>30</v>
      </c>
    </row>
    <row r="176" spans="1:10" ht="14.25" thickBot="1">
      <c r="A176" s="258" t="s">
        <v>322</v>
      </c>
      <c r="B176" s="249">
        <v>9714</v>
      </c>
      <c r="C176" s="249">
        <v>4683</v>
      </c>
      <c r="D176" s="249">
        <v>5031</v>
      </c>
      <c r="E176" s="249">
        <v>9565</v>
      </c>
      <c r="F176" s="249">
        <v>4597</v>
      </c>
      <c r="G176" s="249">
        <v>4968</v>
      </c>
      <c r="H176" s="249">
        <v>148</v>
      </c>
      <c r="I176" s="249">
        <v>85</v>
      </c>
      <c r="J176" s="259">
        <v>63</v>
      </c>
    </row>
    <row r="177" spans="1:10" ht="14.25" thickBot="1">
      <c r="A177" s="260" t="s">
        <v>323</v>
      </c>
      <c r="B177" s="250">
        <v>1012</v>
      </c>
      <c r="C177" s="250">
        <v>445</v>
      </c>
      <c r="D177" s="250">
        <v>567</v>
      </c>
      <c r="E177" s="250">
        <v>969</v>
      </c>
      <c r="F177" s="250">
        <v>421</v>
      </c>
      <c r="G177" s="250">
        <v>548</v>
      </c>
      <c r="H177" s="250">
        <v>43</v>
      </c>
      <c r="I177" s="250">
        <v>24</v>
      </c>
      <c r="J177" s="261">
        <v>19</v>
      </c>
    </row>
    <row r="178" spans="1:10" ht="14.25" thickBot="1">
      <c r="A178" s="258" t="s">
        <v>324</v>
      </c>
      <c r="B178" s="249">
        <v>1644</v>
      </c>
      <c r="C178" s="249">
        <v>863</v>
      </c>
      <c r="D178" s="249">
        <v>781</v>
      </c>
      <c r="E178" s="249">
        <v>1377</v>
      </c>
      <c r="F178" s="249">
        <v>723</v>
      </c>
      <c r="G178" s="249">
        <v>654</v>
      </c>
      <c r="H178" s="249">
        <v>267</v>
      </c>
      <c r="I178" s="249">
        <v>140</v>
      </c>
      <c r="J178" s="259">
        <v>127</v>
      </c>
    </row>
    <row r="179" spans="1:10" ht="14.25" thickBot="1">
      <c r="A179" s="310" t="s">
        <v>3562</v>
      </c>
      <c r="B179" s="311"/>
      <c r="C179" s="311"/>
      <c r="D179" s="311"/>
      <c r="E179" s="311"/>
      <c r="F179" s="311"/>
      <c r="G179" s="311"/>
      <c r="H179" s="311"/>
      <c r="I179" s="311"/>
      <c r="J179" s="312"/>
    </row>
    <row r="180" spans="1:10" ht="14.25" thickBot="1">
      <c r="A180" s="258" t="s">
        <v>28</v>
      </c>
      <c r="B180" s="249">
        <v>55064</v>
      </c>
      <c r="C180" s="249">
        <v>27260</v>
      </c>
      <c r="D180" s="249">
        <v>27804</v>
      </c>
      <c r="E180" s="249">
        <v>52293</v>
      </c>
      <c r="F180" s="249">
        <v>25567</v>
      </c>
      <c r="G180" s="249">
        <v>26726</v>
      </c>
      <c r="H180" s="249">
        <v>2745</v>
      </c>
      <c r="I180" s="249">
        <v>1676</v>
      </c>
      <c r="J180" s="259">
        <v>1069</v>
      </c>
    </row>
    <row r="181" spans="1:10" ht="14.25" thickBot="1">
      <c r="A181" s="260" t="s">
        <v>321</v>
      </c>
      <c r="B181" s="250">
        <v>7163</v>
      </c>
      <c r="C181" s="250">
        <v>3994</v>
      </c>
      <c r="D181" s="250">
        <v>3169</v>
      </c>
      <c r="E181" s="250">
        <v>6563</v>
      </c>
      <c r="F181" s="250">
        <v>3605</v>
      </c>
      <c r="G181" s="250">
        <v>2958</v>
      </c>
      <c r="H181" s="250">
        <v>596</v>
      </c>
      <c r="I181" s="250">
        <v>386</v>
      </c>
      <c r="J181" s="261">
        <v>210</v>
      </c>
    </row>
    <row r="182" spans="1:10" ht="14.25" thickBot="1">
      <c r="A182" s="258" t="s">
        <v>322</v>
      </c>
      <c r="B182" s="249">
        <v>35661</v>
      </c>
      <c r="C182" s="249">
        <v>17210</v>
      </c>
      <c r="D182" s="249">
        <v>18451</v>
      </c>
      <c r="E182" s="249">
        <v>34710</v>
      </c>
      <c r="F182" s="249">
        <v>16626</v>
      </c>
      <c r="G182" s="249">
        <v>18084</v>
      </c>
      <c r="H182" s="249">
        <v>940</v>
      </c>
      <c r="I182" s="249">
        <v>577</v>
      </c>
      <c r="J182" s="259">
        <v>363</v>
      </c>
    </row>
    <row r="183" spans="1:10" ht="14.25" thickBot="1">
      <c r="A183" s="260" t="s">
        <v>323</v>
      </c>
      <c r="B183" s="250">
        <v>6944</v>
      </c>
      <c r="C183" s="250">
        <v>3289</v>
      </c>
      <c r="D183" s="250">
        <v>3655</v>
      </c>
      <c r="E183" s="250">
        <v>6553</v>
      </c>
      <c r="F183" s="250">
        <v>3109</v>
      </c>
      <c r="G183" s="250">
        <v>3444</v>
      </c>
      <c r="H183" s="250">
        <v>391</v>
      </c>
      <c r="I183" s="250">
        <v>180</v>
      </c>
      <c r="J183" s="261">
        <v>211</v>
      </c>
    </row>
    <row r="184" spans="1:10" ht="14.25" thickBot="1">
      <c r="A184" s="258" t="s">
        <v>324</v>
      </c>
      <c r="B184" s="249">
        <v>5296</v>
      </c>
      <c r="C184" s="249">
        <v>2767</v>
      </c>
      <c r="D184" s="249">
        <v>2529</v>
      </c>
      <c r="E184" s="249">
        <v>4467</v>
      </c>
      <c r="F184" s="249">
        <v>2227</v>
      </c>
      <c r="G184" s="249">
        <v>2240</v>
      </c>
      <c r="H184" s="249">
        <v>818</v>
      </c>
      <c r="I184" s="249">
        <v>533</v>
      </c>
      <c r="J184" s="259">
        <v>285</v>
      </c>
    </row>
    <row r="185" spans="1:10" ht="14.25" thickBot="1">
      <c r="A185" s="310" t="s">
        <v>3563</v>
      </c>
      <c r="B185" s="311"/>
      <c r="C185" s="311"/>
      <c r="D185" s="311"/>
      <c r="E185" s="311"/>
      <c r="F185" s="311"/>
      <c r="G185" s="311"/>
      <c r="H185" s="311"/>
      <c r="I185" s="311"/>
      <c r="J185" s="312"/>
    </row>
    <row r="186" spans="1:10" ht="14.25" thickBot="1">
      <c r="A186" s="258" t="s">
        <v>28</v>
      </c>
      <c r="B186" s="249">
        <v>24698</v>
      </c>
      <c r="C186" s="249">
        <v>12342</v>
      </c>
      <c r="D186" s="249">
        <v>12356</v>
      </c>
      <c r="E186" s="249">
        <v>23365</v>
      </c>
      <c r="F186" s="249">
        <v>11428</v>
      </c>
      <c r="G186" s="249">
        <v>11937</v>
      </c>
      <c r="H186" s="249">
        <v>1321</v>
      </c>
      <c r="I186" s="249">
        <v>905</v>
      </c>
      <c r="J186" s="259">
        <v>416</v>
      </c>
    </row>
    <row r="187" spans="1:10" ht="14.25" thickBot="1">
      <c r="A187" s="260" t="s">
        <v>321</v>
      </c>
      <c r="B187" s="250">
        <v>3027</v>
      </c>
      <c r="C187" s="250">
        <v>1601</v>
      </c>
      <c r="D187" s="250">
        <v>1426</v>
      </c>
      <c r="E187" s="250">
        <v>2700</v>
      </c>
      <c r="F187" s="250">
        <v>1370</v>
      </c>
      <c r="G187" s="250">
        <v>1330</v>
      </c>
      <c r="H187" s="250">
        <v>326</v>
      </c>
      <c r="I187" s="250">
        <v>231</v>
      </c>
      <c r="J187" s="261">
        <v>95</v>
      </c>
    </row>
    <row r="188" spans="1:10" ht="14.25" thickBot="1">
      <c r="A188" s="258" t="s">
        <v>322</v>
      </c>
      <c r="B188" s="249">
        <v>16761</v>
      </c>
      <c r="C188" s="249">
        <v>8262</v>
      </c>
      <c r="D188" s="249">
        <v>8499</v>
      </c>
      <c r="E188" s="249">
        <v>16317</v>
      </c>
      <c r="F188" s="249">
        <v>7967</v>
      </c>
      <c r="G188" s="249">
        <v>8350</v>
      </c>
      <c r="H188" s="249">
        <v>439</v>
      </c>
      <c r="I188" s="249">
        <v>291</v>
      </c>
      <c r="J188" s="259">
        <v>148</v>
      </c>
    </row>
    <row r="189" spans="1:10" ht="14.25" thickBot="1">
      <c r="A189" s="260" t="s">
        <v>323</v>
      </c>
      <c r="B189" s="250">
        <v>1893</v>
      </c>
      <c r="C189" s="250">
        <v>878</v>
      </c>
      <c r="D189" s="250">
        <v>1015</v>
      </c>
      <c r="E189" s="250">
        <v>1782</v>
      </c>
      <c r="F189" s="250">
        <v>824</v>
      </c>
      <c r="G189" s="250">
        <v>958</v>
      </c>
      <c r="H189" s="250">
        <v>111</v>
      </c>
      <c r="I189" s="250">
        <v>54</v>
      </c>
      <c r="J189" s="261">
        <v>57</v>
      </c>
    </row>
    <row r="190" spans="1:10" ht="14.25" thickBot="1">
      <c r="A190" s="258" t="s">
        <v>324</v>
      </c>
      <c r="B190" s="249">
        <v>3017</v>
      </c>
      <c r="C190" s="249">
        <v>1601</v>
      </c>
      <c r="D190" s="249">
        <v>1416</v>
      </c>
      <c r="E190" s="249">
        <v>2566</v>
      </c>
      <c r="F190" s="249">
        <v>1267</v>
      </c>
      <c r="G190" s="249">
        <v>1299</v>
      </c>
      <c r="H190" s="249">
        <v>445</v>
      </c>
      <c r="I190" s="249">
        <v>329</v>
      </c>
      <c r="J190" s="259">
        <v>116</v>
      </c>
    </row>
    <row r="191" spans="1:10" ht="14.25" thickBot="1">
      <c r="A191" s="310" t="s">
        <v>3564</v>
      </c>
      <c r="B191" s="311"/>
      <c r="C191" s="311"/>
      <c r="D191" s="311"/>
      <c r="E191" s="311"/>
      <c r="F191" s="311"/>
      <c r="G191" s="311"/>
      <c r="H191" s="311"/>
      <c r="I191" s="311"/>
      <c r="J191" s="312"/>
    </row>
    <row r="192" spans="1:10" ht="14.25" thickBot="1">
      <c r="A192" s="258" t="s">
        <v>28</v>
      </c>
      <c r="B192" s="249">
        <v>54086</v>
      </c>
      <c r="C192" s="249">
        <v>28530</v>
      </c>
      <c r="D192" s="249">
        <v>25556</v>
      </c>
      <c r="E192" s="249">
        <v>51070</v>
      </c>
      <c r="F192" s="249">
        <v>26530</v>
      </c>
      <c r="G192" s="249">
        <v>24540</v>
      </c>
      <c r="H192" s="249">
        <v>2984</v>
      </c>
      <c r="I192" s="249">
        <v>1975</v>
      </c>
      <c r="J192" s="259">
        <v>1009</v>
      </c>
    </row>
    <row r="193" spans="1:10" ht="14.25" thickBot="1">
      <c r="A193" s="260" t="s">
        <v>321</v>
      </c>
      <c r="B193" s="250">
        <v>7004</v>
      </c>
      <c r="C193" s="250">
        <v>3876</v>
      </c>
      <c r="D193" s="250">
        <v>3128</v>
      </c>
      <c r="E193" s="250">
        <v>6498</v>
      </c>
      <c r="F193" s="250">
        <v>3533</v>
      </c>
      <c r="G193" s="250">
        <v>2965</v>
      </c>
      <c r="H193" s="250">
        <v>502</v>
      </c>
      <c r="I193" s="250">
        <v>339</v>
      </c>
      <c r="J193" s="261">
        <v>163</v>
      </c>
    </row>
    <row r="194" spans="1:10" ht="14.25" thickBot="1">
      <c r="A194" s="258" t="s">
        <v>322</v>
      </c>
      <c r="B194" s="249">
        <v>37545</v>
      </c>
      <c r="C194" s="249">
        <v>19587</v>
      </c>
      <c r="D194" s="249">
        <v>17958</v>
      </c>
      <c r="E194" s="249">
        <v>36333</v>
      </c>
      <c r="F194" s="249">
        <v>18797</v>
      </c>
      <c r="G194" s="249">
        <v>17536</v>
      </c>
      <c r="H194" s="249">
        <v>1200</v>
      </c>
      <c r="I194" s="249">
        <v>782</v>
      </c>
      <c r="J194" s="259">
        <v>418</v>
      </c>
    </row>
    <row r="195" spans="1:10" ht="14.25" thickBot="1">
      <c r="A195" s="260" t="s">
        <v>323</v>
      </c>
      <c r="B195" s="250">
        <v>4070</v>
      </c>
      <c r="C195" s="250">
        <v>2015</v>
      </c>
      <c r="D195" s="250">
        <v>2055</v>
      </c>
      <c r="E195" s="250">
        <v>3804</v>
      </c>
      <c r="F195" s="250">
        <v>1894</v>
      </c>
      <c r="G195" s="250">
        <v>1910</v>
      </c>
      <c r="H195" s="250">
        <v>263</v>
      </c>
      <c r="I195" s="250">
        <v>119</v>
      </c>
      <c r="J195" s="261">
        <v>144</v>
      </c>
    </row>
    <row r="196" spans="1:10" ht="14.25" thickBot="1">
      <c r="A196" s="258" t="s">
        <v>324</v>
      </c>
      <c r="B196" s="249">
        <v>5467</v>
      </c>
      <c r="C196" s="249">
        <v>3052</v>
      </c>
      <c r="D196" s="249">
        <v>2415</v>
      </c>
      <c r="E196" s="249">
        <v>4435</v>
      </c>
      <c r="F196" s="249">
        <v>2306</v>
      </c>
      <c r="G196" s="249">
        <v>2129</v>
      </c>
      <c r="H196" s="249">
        <v>1019</v>
      </c>
      <c r="I196" s="249">
        <v>735</v>
      </c>
      <c r="J196" s="259">
        <v>284</v>
      </c>
    </row>
    <row r="197" spans="1:10" ht="14.25" thickBot="1">
      <c r="A197" s="310" t="s">
        <v>3565</v>
      </c>
      <c r="B197" s="311"/>
      <c r="C197" s="311"/>
      <c r="D197" s="311"/>
      <c r="E197" s="311"/>
      <c r="F197" s="311"/>
      <c r="G197" s="311"/>
      <c r="H197" s="311"/>
      <c r="I197" s="311"/>
      <c r="J197" s="312"/>
    </row>
    <row r="198" spans="1:10" ht="14.25" thickBot="1">
      <c r="A198" s="258" t="s">
        <v>28</v>
      </c>
      <c r="B198" s="249">
        <v>45269</v>
      </c>
      <c r="C198" s="249">
        <v>23637</v>
      </c>
      <c r="D198" s="249">
        <v>21632</v>
      </c>
      <c r="E198" s="249">
        <v>42393</v>
      </c>
      <c r="F198" s="249">
        <v>21774</v>
      </c>
      <c r="G198" s="249">
        <v>20619</v>
      </c>
      <c r="H198" s="249">
        <v>2855</v>
      </c>
      <c r="I198" s="249">
        <v>1854</v>
      </c>
      <c r="J198" s="259">
        <v>1001</v>
      </c>
    </row>
    <row r="199" spans="1:10" ht="14.25" thickBot="1">
      <c r="A199" s="260" t="s">
        <v>321</v>
      </c>
      <c r="B199" s="250">
        <v>6005</v>
      </c>
      <c r="C199" s="250">
        <v>3304</v>
      </c>
      <c r="D199" s="250">
        <v>2701</v>
      </c>
      <c r="E199" s="250">
        <v>5392</v>
      </c>
      <c r="F199" s="250">
        <v>2924</v>
      </c>
      <c r="G199" s="250">
        <v>2468</v>
      </c>
      <c r="H199" s="250">
        <v>605</v>
      </c>
      <c r="I199" s="250">
        <v>376</v>
      </c>
      <c r="J199" s="261">
        <v>229</v>
      </c>
    </row>
    <row r="200" spans="1:10" ht="14.25" thickBot="1">
      <c r="A200" s="258" t="s">
        <v>322</v>
      </c>
      <c r="B200" s="249">
        <v>32047</v>
      </c>
      <c r="C200" s="249">
        <v>16433</v>
      </c>
      <c r="D200" s="249">
        <v>15614</v>
      </c>
      <c r="E200" s="249">
        <v>30989</v>
      </c>
      <c r="F200" s="249">
        <v>15754</v>
      </c>
      <c r="G200" s="249">
        <v>15235</v>
      </c>
      <c r="H200" s="249">
        <v>1051</v>
      </c>
      <c r="I200" s="249">
        <v>676</v>
      </c>
      <c r="J200" s="259">
        <v>375</v>
      </c>
    </row>
    <row r="201" spans="1:10" ht="14.25" thickBot="1">
      <c r="A201" s="260" t="s">
        <v>323</v>
      </c>
      <c r="B201" s="250">
        <v>3046</v>
      </c>
      <c r="C201" s="250">
        <v>1594</v>
      </c>
      <c r="D201" s="250">
        <v>1452</v>
      </c>
      <c r="E201" s="250">
        <v>2821</v>
      </c>
      <c r="F201" s="250">
        <v>1465</v>
      </c>
      <c r="G201" s="250">
        <v>1356</v>
      </c>
      <c r="H201" s="250">
        <v>225</v>
      </c>
      <c r="I201" s="250">
        <v>129</v>
      </c>
      <c r="J201" s="261">
        <v>96</v>
      </c>
    </row>
    <row r="202" spans="1:10" ht="14.25" thickBot="1">
      <c r="A202" s="258" t="s">
        <v>324</v>
      </c>
      <c r="B202" s="249">
        <v>4171</v>
      </c>
      <c r="C202" s="249">
        <v>2306</v>
      </c>
      <c r="D202" s="249">
        <v>1865</v>
      </c>
      <c r="E202" s="249">
        <v>3191</v>
      </c>
      <c r="F202" s="249">
        <v>1631</v>
      </c>
      <c r="G202" s="249">
        <v>1560</v>
      </c>
      <c r="H202" s="249">
        <v>974</v>
      </c>
      <c r="I202" s="249">
        <v>673</v>
      </c>
      <c r="J202" s="259">
        <v>301</v>
      </c>
    </row>
    <row r="203" spans="1:10" ht="14.25" thickBot="1">
      <c r="A203" s="310" t="s">
        <v>3566</v>
      </c>
      <c r="B203" s="311"/>
      <c r="C203" s="311"/>
      <c r="D203" s="311"/>
      <c r="E203" s="311"/>
      <c r="F203" s="311"/>
      <c r="G203" s="311"/>
      <c r="H203" s="311"/>
      <c r="I203" s="311"/>
      <c r="J203" s="312"/>
    </row>
    <row r="204" spans="1:10" ht="14.25" thickBot="1">
      <c r="A204" s="258" t="s">
        <v>28</v>
      </c>
      <c r="B204" s="249">
        <v>59723</v>
      </c>
      <c r="C204" s="249">
        <v>31981</v>
      </c>
      <c r="D204" s="249">
        <v>27742</v>
      </c>
      <c r="E204" s="249">
        <v>55388</v>
      </c>
      <c r="F204" s="249">
        <v>28720</v>
      </c>
      <c r="G204" s="249">
        <v>26668</v>
      </c>
      <c r="H204" s="249">
        <v>4321</v>
      </c>
      <c r="I204" s="249">
        <v>3253</v>
      </c>
      <c r="J204" s="259">
        <v>1068</v>
      </c>
    </row>
    <row r="205" spans="1:10" ht="14.25" thickBot="1">
      <c r="A205" s="260" t="s">
        <v>321</v>
      </c>
      <c r="B205" s="250">
        <v>7533</v>
      </c>
      <c r="C205" s="250">
        <v>4137</v>
      </c>
      <c r="D205" s="250">
        <v>3396</v>
      </c>
      <c r="E205" s="250">
        <v>6852</v>
      </c>
      <c r="F205" s="250">
        <v>3679</v>
      </c>
      <c r="G205" s="250">
        <v>3173</v>
      </c>
      <c r="H205" s="250">
        <v>677</v>
      </c>
      <c r="I205" s="250">
        <v>455</v>
      </c>
      <c r="J205" s="261">
        <v>222</v>
      </c>
    </row>
    <row r="206" spans="1:10" ht="14.25" thickBot="1">
      <c r="A206" s="258" t="s">
        <v>322</v>
      </c>
      <c r="B206" s="249">
        <v>39700</v>
      </c>
      <c r="C206" s="249">
        <v>20270</v>
      </c>
      <c r="D206" s="249">
        <v>19430</v>
      </c>
      <c r="E206" s="249">
        <v>38642</v>
      </c>
      <c r="F206" s="249">
        <v>19571</v>
      </c>
      <c r="G206" s="249">
        <v>19071</v>
      </c>
      <c r="H206" s="249">
        <v>1053</v>
      </c>
      <c r="I206" s="249">
        <v>698</v>
      </c>
      <c r="J206" s="259">
        <v>355</v>
      </c>
    </row>
    <row r="207" spans="1:10" ht="14.25" thickBot="1">
      <c r="A207" s="260" t="s">
        <v>323</v>
      </c>
      <c r="B207" s="250">
        <v>5549</v>
      </c>
      <c r="C207" s="250">
        <v>3060</v>
      </c>
      <c r="D207" s="250">
        <v>2489</v>
      </c>
      <c r="E207" s="250">
        <v>5228</v>
      </c>
      <c r="F207" s="250">
        <v>2894</v>
      </c>
      <c r="G207" s="250">
        <v>2334</v>
      </c>
      <c r="H207" s="250">
        <v>321</v>
      </c>
      <c r="I207" s="250">
        <v>166</v>
      </c>
      <c r="J207" s="261">
        <v>155</v>
      </c>
    </row>
    <row r="208" spans="1:10" ht="14.25" thickBot="1">
      <c r="A208" s="258" t="s">
        <v>324</v>
      </c>
      <c r="B208" s="249">
        <v>6941</v>
      </c>
      <c r="C208" s="249">
        <v>4514</v>
      </c>
      <c r="D208" s="249">
        <v>2427</v>
      </c>
      <c r="E208" s="249">
        <v>4666</v>
      </c>
      <c r="F208" s="249">
        <v>2576</v>
      </c>
      <c r="G208" s="249">
        <v>2090</v>
      </c>
      <c r="H208" s="249">
        <v>2270</v>
      </c>
      <c r="I208" s="249">
        <v>1934</v>
      </c>
      <c r="J208" s="259">
        <v>336</v>
      </c>
    </row>
    <row r="209" spans="1:10" ht="14.25" thickBot="1">
      <c r="A209" s="310" t="s">
        <v>3567</v>
      </c>
      <c r="B209" s="311"/>
      <c r="C209" s="311"/>
      <c r="D209" s="311"/>
      <c r="E209" s="311"/>
      <c r="F209" s="311"/>
      <c r="G209" s="311"/>
      <c r="H209" s="311"/>
      <c r="I209" s="311"/>
      <c r="J209" s="312"/>
    </row>
    <row r="210" spans="1:10" ht="14.25" thickBot="1">
      <c r="A210" s="258" t="s">
        <v>28</v>
      </c>
      <c r="B210" s="249">
        <v>29010</v>
      </c>
      <c r="C210" s="249">
        <v>13864</v>
      </c>
      <c r="D210" s="249">
        <v>15146</v>
      </c>
      <c r="E210" s="249">
        <v>27935</v>
      </c>
      <c r="F210" s="249">
        <v>13199</v>
      </c>
      <c r="G210" s="249">
        <v>14736</v>
      </c>
      <c r="H210" s="249">
        <v>1068</v>
      </c>
      <c r="I210" s="249">
        <v>660</v>
      </c>
      <c r="J210" s="259">
        <v>408</v>
      </c>
    </row>
    <row r="211" spans="1:10" ht="14.25" thickBot="1">
      <c r="A211" s="260" t="s">
        <v>321</v>
      </c>
      <c r="B211" s="250">
        <v>3214</v>
      </c>
      <c r="C211" s="250">
        <v>1677</v>
      </c>
      <c r="D211" s="250">
        <v>1537</v>
      </c>
      <c r="E211" s="250">
        <v>3021</v>
      </c>
      <c r="F211" s="250">
        <v>1562</v>
      </c>
      <c r="G211" s="250">
        <v>1459</v>
      </c>
      <c r="H211" s="250">
        <v>192</v>
      </c>
      <c r="I211" s="250">
        <v>115</v>
      </c>
      <c r="J211" s="261">
        <v>77</v>
      </c>
    </row>
    <row r="212" spans="1:10" ht="14.25" thickBot="1">
      <c r="A212" s="258" t="s">
        <v>322</v>
      </c>
      <c r="B212" s="249">
        <v>20250</v>
      </c>
      <c r="C212" s="249">
        <v>9492</v>
      </c>
      <c r="D212" s="249">
        <v>10758</v>
      </c>
      <c r="E212" s="249">
        <v>19873</v>
      </c>
      <c r="F212" s="249">
        <v>9261</v>
      </c>
      <c r="G212" s="249">
        <v>10612</v>
      </c>
      <c r="H212" s="249">
        <v>374</v>
      </c>
      <c r="I212" s="249">
        <v>228</v>
      </c>
      <c r="J212" s="259">
        <v>146</v>
      </c>
    </row>
    <row r="213" spans="1:10" ht="14.25" thickBot="1">
      <c r="A213" s="260" t="s">
        <v>323</v>
      </c>
      <c r="B213" s="250">
        <v>2501</v>
      </c>
      <c r="C213" s="250">
        <v>1108</v>
      </c>
      <c r="D213" s="250">
        <v>1393</v>
      </c>
      <c r="E213" s="250">
        <v>2326</v>
      </c>
      <c r="F213" s="250">
        <v>1021</v>
      </c>
      <c r="G213" s="250">
        <v>1305</v>
      </c>
      <c r="H213" s="250">
        <v>174</v>
      </c>
      <c r="I213" s="250">
        <v>86</v>
      </c>
      <c r="J213" s="261">
        <v>88</v>
      </c>
    </row>
    <row r="214" spans="1:10" ht="14.25" thickBot="1">
      <c r="A214" s="258" t="s">
        <v>324</v>
      </c>
      <c r="B214" s="249">
        <v>3045</v>
      </c>
      <c r="C214" s="249">
        <v>1587</v>
      </c>
      <c r="D214" s="249">
        <v>1458</v>
      </c>
      <c r="E214" s="249">
        <v>2715</v>
      </c>
      <c r="F214" s="249">
        <v>1355</v>
      </c>
      <c r="G214" s="249">
        <v>1360</v>
      </c>
      <c r="H214" s="249">
        <v>328</v>
      </c>
      <c r="I214" s="249">
        <v>231</v>
      </c>
      <c r="J214" s="259">
        <v>97</v>
      </c>
    </row>
    <row r="215" spans="1:10" ht="14.25" thickBot="1">
      <c r="A215" s="310" t="s">
        <v>3568</v>
      </c>
      <c r="B215" s="311"/>
      <c r="C215" s="311"/>
      <c r="D215" s="311"/>
      <c r="E215" s="311"/>
      <c r="F215" s="311"/>
      <c r="G215" s="311"/>
      <c r="H215" s="311"/>
      <c r="I215" s="311"/>
      <c r="J215" s="312"/>
    </row>
    <row r="216" spans="1:10" ht="14.25" thickBot="1">
      <c r="A216" s="258" t="s">
        <v>28</v>
      </c>
      <c r="B216" s="249">
        <v>44772</v>
      </c>
      <c r="C216" s="249">
        <v>24296</v>
      </c>
      <c r="D216" s="249">
        <v>20476</v>
      </c>
      <c r="E216" s="249">
        <v>41470</v>
      </c>
      <c r="F216" s="249">
        <v>22081</v>
      </c>
      <c r="G216" s="249">
        <v>19389</v>
      </c>
      <c r="H216" s="249">
        <v>3287</v>
      </c>
      <c r="I216" s="249">
        <v>2209</v>
      </c>
      <c r="J216" s="259">
        <v>1078</v>
      </c>
    </row>
    <row r="217" spans="1:10" ht="14.25" thickBot="1">
      <c r="A217" s="260" t="s">
        <v>321</v>
      </c>
      <c r="B217" s="250">
        <v>5831</v>
      </c>
      <c r="C217" s="250">
        <v>3393</v>
      </c>
      <c r="D217" s="250">
        <v>2438</v>
      </c>
      <c r="E217" s="250">
        <v>4986</v>
      </c>
      <c r="F217" s="250">
        <v>2790</v>
      </c>
      <c r="G217" s="250">
        <v>2196</v>
      </c>
      <c r="H217" s="250">
        <v>841</v>
      </c>
      <c r="I217" s="250">
        <v>600</v>
      </c>
      <c r="J217" s="261">
        <v>241</v>
      </c>
    </row>
    <row r="218" spans="1:10" ht="14.25" thickBot="1">
      <c r="A218" s="258" t="s">
        <v>322</v>
      </c>
      <c r="B218" s="249">
        <v>29498</v>
      </c>
      <c r="C218" s="249">
        <v>15770</v>
      </c>
      <c r="D218" s="249">
        <v>13728</v>
      </c>
      <c r="E218" s="249">
        <v>28530</v>
      </c>
      <c r="F218" s="249">
        <v>15105</v>
      </c>
      <c r="G218" s="249">
        <v>13425</v>
      </c>
      <c r="H218" s="249">
        <v>964</v>
      </c>
      <c r="I218" s="249">
        <v>663</v>
      </c>
      <c r="J218" s="259">
        <v>301</v>
      </c>
    </row>
    <row r="219" spans="1:10" ht="14.25" thickBot="1">
      <c r="A219" s="260" t="s">
        <v>323</v>
      </c>
      <c r="B219" s="250">
        <v>4399</v>
      </c>
      <c r="C219" s="250">
        <v>2330</v>
      </c>
      <c r="D219" s="250">
        <v>2069</v>
      </c>
      <c r="E219" s="250">
        <v>4053</v>
      </c>
      <c r="F219" s="250">
        <v>2152</v>
      </c>
      <c r="G219" s="250">
        <v>1901</v>
      </c>
      <c r="H219" s="250">
        <v>345</v>
      </c>
      <c r="I219" s="250">
        <v>178</v>
      </c>
      <c r="J219" s="261">
        <v>167</v>
      </c>
    </row>
    <row r="220" spans="1:10" ht="14.25" thickBot="1">
      <c r="A220" s="258" t="s">
        <v>324</v>
      </c>
      <c r="B220" s="249">
        <v>5044</v>
      </c>
      <c r="C220" s="249">
        <v>2803</v>
      </c>
      <c r="D220" s="249">
        <v>2241</v>
      </c>
      <c r="E220" s="249">
        <v>3901</v>
      </c>
      <c r="F220" s="249">
        <v>2034</v>
      </c>
      <c r="G220" s="249">
        <v>1867</v>
      </c>
      <c r="H220" s="249">
        <v>1137</v>
      </c>
      <c r="I220" s="249">
        <v>768</v>
      </c>
      <c r="J220" s="259">
        <v>369</v>
      </c>
    </row>
    <row r="221" spans="1:10" ht="14.25" thickBot="1">
      <c r="A221" s="310" t="s">
        <v>3569</v>
      </c>
      <c r="B221" s="311"/>
      <c r="C221" s="311"/>
      <c r="D221" s="311"/>
      <c r="E221" s="311"/>
      <c r="F221" s="311"/>
      <c r="G221" s="311"/>
      <c r="H221" s="311"/>
      <c r="I221" s="311"/>
      <c r="J221" s="312"/>
    </row>
    <row r="222" spans="1:10" ht="14.25" thickBot="1">
      <c r="A222" s="258" t="s">
        <v>28</v>
      </c>
      <c r="B222" s="249">
        <v>928434</v>
      </c>
      <c r="C222" s="249">
        <v>518326</v>
      </c>
      <c r="D222" s="249">
        <v>410108</v>
      </c>
      <c r="E222" s="249">
        <v>859106</v>
      </c>
      <c r="F222" s="249">
        <v>471905</v>
      </c>
      <c r="G222" s="249">
        <v>387201</v>
      </c>
      <c r="H222" s="249">
        <v>69027</v>
      </c>
      <c r="I222" s="249">
        <v>46209</v>
      </c>
      <c r="J222" s="259">
        <v>22818</v>
      </c>
    </row>
    <row r="223" spans="1:10" ht="14.25" thickBot="1">
      <c r="A223" s="260" t="s">
        <v>321</v>
      </c>
      <c r="B223" s="250">
        <v>114935</v>
      </c>
      <c r="C223" s="250">
        <v>65720</v>
      </c>
      <c r="D223" s="250">
        <v>49215</v>
      </c>
      <c r="E223" s="250">
        <v>99426</v>
      </c>
      <c r="F223" s="250">
        <v>55520</v>
      </c>
      <c r="G223" s="250">
        <v>43906</v>
      </c>
      <c r="H223" s="250">
        <v>15455</v>
      </c>
      <c r="I223" s="250">
        <v>10159</v>
      </c>
      <c r="J223" s="261">
        <v>5296</v>
      </c>
    </row>
    <row r="224" spans="1:10" ht="14.25" thickBot="1">
      <c r="A224" s="258" t="s">
        <v>322</v>
      </c>
      <c r="B224" s="249">
        <v>615347</v>
      </c>
      <c r="C224" s="249">
        <v>340751</v>
      </c>
      <c r="D224" s="249">
        <v>274596</v>
      </c>
      <c r="E224" s="249">
        <v>596016</v>
      </c>
      <c r="F224" s="249">
        <v>327522</v>
      </c>
      <c r="G224" s="249">
        <v>268494</v>
      </c>
      <c r="H224" s="249">
        <v>19208</v>
      </c>
      <c r="I224" s="249">
        <v>13149</v>
      </c>
      <c r="J224" s="259">
        <v>6059</v>
      </c>
    </row>
    <row r="225" spans="1:10" ht="14.25" thickBot="1">
      <c r="A225" s="260" t="s">
        <v>323</v>
      </c>
      <c r="B225" s="250">
        <v>85115</v>
      </c>
      <c r="C225" s="250">
        <v>47232</v>
      </c>
      <c r="D225" s="250">
        <v>37883</v>
      </c>
      <c r="E225" s="250">
        <v>80331</v>
      </c>
      <c r="F225" s="250">
        <v>44629</v>
      </c>
      <c r="G225" s="250">
        <v>35702</v>
      </c>
      <c r="H225" s="250">
        <v>4769</v>
      </c>
      <c r="I225" s="250">
        <v>2591</v>
      </c>
      <c r="J225" s="261">
        <v>2178</v>
      </c>
    </row>
    <row r="226" spans="1:10" ht="14.25" thickBot="1">
      <c r="A226" s="258" t="s">
        <v>324</v>
      </c>
      <c r="B226" s="249">
        <v>113037</v>
      </c>
      <c r="C226" s="249">
        <v>64623</v>
      </c>
      <c r="D226" s="249">
        <v>48414</v>
      </c>
      <c r="E226" s="249">
        <v>83333</v>
      </c>
      <c r="F226" s="249">
        <v>44234</v>
      </c>
      <c r="G226" s="249">
        <v>39099</v>
      </c>
      <c r="H226" s="249">
        <v>29595</v>
      </c>
      <c r="I226" s="249">
        <v>20310</v>
      </c>
      <c r="J226" s="259">
        <v>9285</v>
      </c>
    </row>
    <row r="227" spans="1:10" ht="14.25" thickBot="1">
      <c r="A227" s="310" t="s">
        <v>3570</v>
      </c>
      <c r="B227" s="311"/>
      <c r="C227" s="311"/>
      <c r="D227" s="311"/>
      <c r="E227" s="311"/>
      <c r="F227" s="311"/>
      <c r="G227" s="311"/>
      <c r="H227" s="311"/>
      <c r="I227" s="311"/>
      <c r="J227" s="312"/>
    </row>
    <row r="228" spans="1:10" ht="14.25" thickBot="1">
      <c r="A228" s="258" t="s">
        <v>28</v>
      </c>
      <c r="B228" s="249">
        <v>20044</v>
      </c>
      <c r="C228" s="249">
        <v>9202</v>
      </c>
      <c r="D228" s="249">
        <v>10842</v>
      </c>
      <c r="E228" s="249">
        <v>18684</v>
      </c>
      <c r="F228" s="249">
        <v>8443</v>
      </c>
      <c r="G228" s="249">
        <v>10241</v>
      </c>
      <c r="H228" s="249">
        <v>1350</v>
      </c>
      <c r="I228" s="249">
        <v>754</v>
      </c>
      <c r="J228" s="259">
        <v>596</v>
      </c>
    </row>
    <row r="229" spans="1:10" ht="14.25" thickBot="1">
      <c r="A229" s="260" t="s">
        <v>321</v>
      </c>
      <c r="B229" s="250">
        <v>2552</v>
      </c>
      <c r="C229" s="250">
        <v>1285</v>
      </c>
      <c r="D229" s="250">
        <v>1267</v>
      </c>
      <c r="E229" s="250">
        <v>2188</v>
      </c>
      <c r="F229" s="250">
        <v>1069</v>
      </c>
      <c r="G229" s="250">
        <v>1119</v>
      </c>
      <c r="H229" s="250">
        <v>363</v>
      </c>
      <c r="I229" s="250">
        <v>215</v>
      </c>
      <c r="J229" s="261">
        <v>148</v>
      </c>
    </row>
    <row r="230" spans="1:10" ht="14.25" thickBot="1">
      <c r="A230" s="258" t="s">
        <v>322</v>
      </c>
      <c r="B230" s="249">
        <v>12833</v>
      </c>
      <c r="C230" s="249">
        <v>5781</v>
      </c>
      <c r="D230" s="249">
        <v>7052</v>
      </c>
      <c r="E230" s="249">
        <v>12431</v>
      </c>
      <c r="F230" s="249">
        <v>5550</v>
      </c>
      <c r="G230" s="249">
        <v>6881</v>
      </c>
      <c r="H230" s="249">
        <v>397</v>
      </c>
      <c r="I230" s="249">
        <v>229</v>
      </c>
      <c r="J230" s="259">
        <v>168</v>
      </c>
    </row>
    <row r="231" spans="1:10" ht="14.25" thickBot="1">
      <c r="A231" s="260" t="s">
        <v>323</v>
      </c>
      <c r="B231" s="250">
        <v>1667</v>
      </c>
      <c r="C231" s="250">
        <v>784</v>
      </c>
      <c r="D231" s="250">
        <v>883</v>
      </c>
      <c r="E231" s="250">
        <v>1549</v>
      </c>
      <c r="F231" s="250">
        <v>732</v>
      </c>
      <c r="G231" s="250">
        <v>817</v>
      </c>
      <c r="H231" s="250">
        <v>117</v>
      </c>
      <c r="I231" s="250">
        <v>51</v>
      </c>
      <c r="J231" s="261">
        <v>66</v>
      </c>
    </row>
    <row r="232" spans="1:10" ht="14.25" thickBot="1">
      <c r="A232" s="258" t="s">
        <v>324</v>
      </c>
      <c r="B232" s="249">
        <v>2992</v>
      </c>
      <c r="C232" s="249">
        <v>1352</v>
      </c>
      <c r="D232" s="249">
        <v>1640</v>
      </c>
      <c r="E232" s="249">
        <v>2516</v>
      </c>
      <c r="F232" s="249">
        <v>1092</v>
      </c>
      <c r="G232" s="249">
        <v>1424</v>
      </c>
      <c r="H232" s="249">
        <v>473</v>
      </c>
      <c r="I232" s="249">
        <v>259</v>
      </c>
      <c r="J232" s="259">
        <v>214</v>
      </c>
    </row>
    <row r="233" spans="1:10" ht="14.25" thickBot="1">
      <c r="A233" s="310" t="s">
        <v>3571</v>
      </c>
      <c r="B233" s="311"/>
      <c r="C233" s="311"/>
      <c r="D233" s="311"/>
      <c r="E233" s="311"/>
      <c r="F233" s="311"/>
      <c r="G233" s="311"/>
      <c r="H233" s="311"/>
      <c r="I233" s="311"/>
      <c r="J233" s="312"/>
    </row>
    <row r="234" spans="1:10" ht="14.25" thickBot="1">
      <c r="A234" s="258" t="s">
        <v>28</v>
      </c>
      <c r="B234" s="249">
        <v>33821</v>
      </c>
      <c r="C234" s="249">
        <v>23085</v>
      </c>
      <c r="D234" s="249">
        <v>10736</v>
      </c>
      <c r="E234" s="249">
        <v>32308</v>
      </c>
      <c r="F234" s="249">
        <v>21954</v>
      </c>
      <c r="G234" s="249">
        <v>10354</v>
      </c>
      <c r="H234" s="249">
        <v>1508</v>
      </c>
      <c r="I234" s="249">
        <v>1127</v>
      </c>
      <c r="J234" s="259">
        <v>381</v>
      </c>
    </row>
    <row r="235" spans="1:10" ht="14.25" thickBot="1">
      <c r="A235" s="260" t="s">
        <v>321</v>
      </c>
      <c r="B235" s="250">
        <v>3162</v>
      </c>
      <c r="C235" s="250">
        <v>1859</v>
      </c>
      <c r="D235" s="250">
        <v>1303</v>
      </c>
      <c r="E235" s="250">
        <v>2819</v>
      </c>
      <c r="F235" s="250">
        <v>1598</v>
      </c>
      <c r="G235" s="250">
        <v>1221</v>
      </c>
      <c r="H235" s="250">
        <v>343</v>
      </c>
      <c r="I235" s="250">
        <v>261</v>
      </c>
      <c r="J235" s="261">
        <v>82</v>
      </c>
    </row>
    <row r="236" spans="1:10" ht="14.25" thickBot="1">
      <c r="A236" s="258" t="s">
        <v>322</v>
      </c>
      <c r="B236" s="249">
        <v>23885</v>
      </c>
      <c r="C236" s="249">
        <v>16794</v>
      </c>
      <c r="D236" s="249">
        <v>7091</v>
      </c>
      <c r="E236" s="249">
        <v>23274</v>
      </c>
      <c r="F236" s="249">
        <v>16313</v>
      </c>
      <c r="G236" s="249">
        <v>6961</v>
      </c>
      <c r="H236" s="249">
        <v>608</v>
      </c>
      <c r="I236" s="249">
        <v>479</v>
      </c>
      <c r="J236" s="259">
        <v>129</v>
      </c>
    </row>
    <row r="237" spans="1:10" ht="14.25" thickBot="1">
      <c r="A237" s="260" t="s">
        <v>323</v>
      </c>
      <c r="B237" s="250">
        <v>2726</v>
      </c>
      <c r="C237" s="250">
        <v>1712</v>
      </c>
      <c r="D237" s="250">
        <v>1014</v>
      </c>
      <c r="E237" s="250">
        <v>2590</v>
      </c>
      <c r="F237" s="250">
        <v>1633</v>
      </c>
      <c r="G237" s="250">
        <v>957</v>
      </c>
      <c r="H237" s="250">
        <v>136</v>
      </c>
      <c r="I237" s="250">
        <v>79</v>
      </c>
      <c r="J237" s="261">
        <v>57</v>
      </c>
    </row>
    <row r="238" spans="1:10" ht="14.25" thickBot="1">
      <c r="A238" s="258" t="s">
        <v>324</v>
      </c>
      <c r="B238" s="249">
        <v>4048</v>
      </c>
      <c r="C238" s="249">
        <v>2720</v>
      </c>
      <c r="D238" s="249">
        <v>1328</v>
      </c>
      <c r="E238" s="249">
        <v>3625</v>
      </c>
      <c r="F238" s="249">
        <v>2410</v>
      </c>
      <c r="G238" s="249">
        <v>1215</v>
      </c>
      <c r="H238" s="249">
        <v>421</v>
      </c>
      <c r="I238" s="249">
        <v>308</v>
      </c>
      <c r="J238" s="259">
        <v>113</v>
      </c>
    </row>
    <row r="239" spans="1:10" ht="14.25" thickBot="1">
      <c r="A239" s="310" t="s">
        <v>3572</v>
      </c>
      <c r="B239" s="311"/>
      <c r="C239" s="311"/>
      <c r="D239" s="311"/>
      <c r="E239" s="311"/>
      <c r="F239" s="311"/>
      <c r="G239" s="311"/>
      <c r="H239" s="311"/>
      <c r="I239" s="311"/>
      <c r="J239" s="312"/>
    </row>
    <row r="240" spans="1:10" ht="14.25" thickBot="1">
      <c r="A240" s="258" t="s">
        <v>28</v>
      </c>
      <c r="B240" s="249">
        <v>80091</v>
      </c>
      <c r="C240" s="249">
        <v>37763</v>
      </c>
      <c r="D240" s="249">
        <v>42328</v>
      </c>
      <c r="E240" s="249">
        <v>76263</v>
      </c>
      <c r="F240" s="249">
        <v>35448</v>
      </c>
      <c r="G240" s="249">
        <v>40815</v>
      </c>
      <c r="H240" s="249">
        <v>3802</v>
      </c>
      <c r="I240" s="249">
        <v>2298</v>
      </c>
      <c r="J240" s="259">
        <v>1504</v>
      </c>
    </row>
    <row r="241" spans="1:10" ht="14.25" thickBot="1">
      <c r="A241" s="260" t="s">
        <v>321</v>
      </c>
      <c r="B241" s="250">
        <v>9245</v>
      </c>
      <c r="C241" s="250">
        <v>4756</v>
      </c>
      <c r="D241" s="250">
        <v>4489</v>
      </c>
      <c r="E241" s="250">
        <v>8405</v>
      </c>
      <c r="F241" s="250">
        <v>4221</v>
      </c>
      <c r="G241" s="250">
        <v>4184</v>
      </c>
      <c r="H241" s="250">
        <v>835</v>
      </c>
      <c r="I241" s="250">
        <v>531</v>
      </c>
      <c r="J241" s="261">
        <v>304</v>
      </c>
    </row>
    <row r="242" spans="1:10" ht="14.25" thickBot="1">
      <c r="A242" s="258" t="s">
        <v>322</v>
      </c>
      <c r="B242" s="249">
        <v>49549</v>
      </c>
      <c r="C242" s="249">
        <v>21858</v>
      </c>
      <c r="D242" s="249">
        <v>27691</v>
      </c>
      <c r="E242" s="249">
        <v>48455</v>
      </c>
      <c r="F242" s="249">
        <v>21252</v>
      </c>
      <c r="G242" s="249">
        <v>27203</v>
      </c>
      <c r="H242" s="249">
        <v>1083</v>
      </c>
      <c r="I242" s="249">
        <v>600</v>
      </c>
      <c r="J242" s="259">
        <v>483</v>
      </c>
    </row>
    <row r="243" spans="1:10" ht="14.25" thickBot="1">
      <c r="A243" s="260" t="s">
        <v>323</v>
      </c>
      <c r="B243" s="250">
        <v>13364</v>
      </c>
      <c r="C243" s="250">
        <v>7225</v>
      </c>
      <c r="D243" s="250">
        <v>6139</v>
      </c>
      <c r="E243" s="250">
        <v>12692</v>
      </c>
      <c r="F243" s="250">
        <v>6866</v>
      </c>
      <c r="G243" s="250">
        <v>5826</v>
      </c>
      <c r="H243" s="250">
        <v>671</v>
      </c>
      <c r="I243" s="250">
        <v>358</v>
      </c>
      <c r="J243" s="261">
        <v>313</v>
      </c>
    </row>
    <row r="244" spans="1:10" ht="14.25" thickBot="1">
      <c r="A244" s="258" t="s">
        <v>324</v>
      </c>
      <c r="B244" s="249">
        <v>7933</v>
      </c>
      <c r="C244" s="249">
        <v>3924</v>
      </c>
      <c r="D244" s="249">
        <v>4009</v>
      </c>
      <c r="E244" s="249">
        <v>6711</v>
      </c>
      <c r="F244" s="249">
        <v>3109</v>
      </c>
      <c r="G244" s="249">
        <v>3602</v>
      </c>
      <c r="H244" s="249">
        <v>1213</v>
      </c>
      <c r="I244" s="249">
        <v>809</v>
      </c>
      <c r="J244" s="259">
        <v>404</v>
      </c>
    </row>
    <row r="245" spans="1:10" ht="14.25" thickBot="1">
      <c r="A245" s="310" t="s">
        <v>3573</v>
      </c>
      <c r="B245" s="311"/>
      <c r="C245" s="311"/>
      <c r="D245" s="311"/>
      <c r="E245" s="311"/>
      <c r="F245" s="311"/>
      <c r="G245" s="311"/>
      <c r="H245" s="311"/>
      <c r="I245" s="311"/>
      <c r="J245" s="312"/>
    </row>
    <row r="246" spans="1:10" ht="14.25" thickBot="1">
      <c r="A246" s="258" t="s">
        <v>28</v>
      </c>
      <c r="B246" s="249">
        <v>90637</v>
      </c>
      <c r="C246" s="249">
        <v>45852</v>
      </c>
      <c r="D246" s="249">
        <v>44785</v>
      </c>
      <c r="E246" s="249">
        <v>84180</v>
      </c>
      <c r="F246" s="249">
        <v>42244</v>
      </c>
      <c r="G246" s="249">
        <v>41936</v>
      </c>
      <c r="H246" s="249">
        <v>6418</v>
      </c>
      <c r="I246" s="249">
        <v>3581</v>
      </c>
      <c r="J246" s="259">
        <v>2837</v>
      </c>
    </row>
    <row r="247" spans="1:10" ht="14.25" thickBot="1">
      <c r="A247" s="260" t="s">
        <v>321</v>
      </c>
      <c r="B247" s="250">
        <v>11432</v>
      </c>
      <c r="C247" s="250">
        <v>5782</v>
      </c>
      <c r="D247" s="250">
        <v>5650</v>
      </c>
      <c r="E247" s="250">
        <v>9651</v>
      </c>
      <c r="F247" s="250">
        <v>4805</v>
      </c>
      <c r="G247" s="250">
        <v>4846</v>
      </c>
      <c r="H247" s="250">
        <v>1772</v>
      </c>
      <c r="I247" s="250">
        <v>970</v>
      </c>
      <c r="J247" s="261">
        <v>802</v>
      </c>
    </row>
    <row r="248" spans="1:10" ht="14.25" thickBot="1">
      <c r="A248" s="258" t="s">
        <v>322</v>
      </c>
      <c r="B248" s="249">
        <v>55654</v>
      </c>
      <c r="C248" s="249">
        <v>28035</v>
      </c>
      <c r="D248" s="249">
        <v>27619</v>
      </c>
      <c r="E248" s="249">
        <v>53536</v>
      </c>
      <c r="F248" s="249">
        <v>26799</v>
      </c>
      <c r="G248" s="249">
        <v>26737</v>
      </c>
      <c r="H248" s="249">
        <v>2103</v>
      </c>
      <c r="I248" s="249">
        <v>1227</v>
      </c>
      <c r="J248" s="259">
        <v>876</v>
      </c>
    </row>
    <row r="249" spans="1:10" ht="14.25" thickBot="1">
      <c r="A249" s="260" t="s">
        <v>323</v>
      </c>
      <c r="B249" s="250">
        <v>13810</v>
      </c>
      <c r="C249" s="250">
        <v>7225</v>
      </c>
      <c r="D249" s="250">
        <v>6585</v>
      </c>
      <c r="E249" s="250">
        <v>13162</v>
      </c>
      <c r="F249" s="250">
        <v>6890</v>
      </c>
      <c r="G249" s="250">
        <v>6272</v>
      </c>
      <c r="H249" s="250">
        <v>648</v>
      </c>
      <c r="I249" s="250">
        <v>335</v>
      </c>
      <c r="J249" s="261">
        <v>313</v>
      </c>
    </row>
    <row r="250" spans="1:10" ht="14.25" thickBot="1">
      <c r="A250" s="258" t="s">
        <v>324</v>
      </c>
      <c r="B250" s="249">
        <v>9741</v>
      </c>
      <c r="C250" s="249">
        <v>4810</v>
      </c>
      <c r="D250" s="249">
        <v>4931</v>
      </c>
      <c r="E250" s="249">
        <v>7831</v>
      </c>
      <c r="F250" s="249">
        <v>3750</v>
      </c>
      <c r="G250" s="249">
        <v>4081</v>
      </c>
      <c r="H250" s="249">
        <v>1895</v>
      </c>
      <c r="I250" s="249">
        <v>1049</v>
      </c>
      <c r="J250" s="259">
        <v>846</v>
      </c>
    </row>
    <row r="251" spans="1:10" ht="14.25" thickBot="1">
      <c r="A251" s="310" t="s">
        <v>3574</v>
      </c>
      <c r="B251" s="311"/>
      <c r="C251" s="311"/>
      <c r="D251" s="311"/>
      <c r="E251" s="311"/>
      <c r="F251" s="311"/>
      <c r="G251" s="311"/>
      <c r="H251" s="311"/>
      <c r="I251" s="311"/>
      <c r="J251" s="312"/>
    </row>
    <row r="252" spans="1:10" ht="14.25" thickBot="1">
      <c r="A252" s="258" t="s">
        <v>28</v>
      </c>
      <c r="B252" s="249">
        <v>29637</v>
      </c>
      <c r="C252" s="249">
        <v>16046</v>
      </c>
      <c r="D252" s="249">
        <v>13591</v>
      </c>
      <c r="E252" s="249">
        <v>28474</v>
      </c>
      <c r="F252" s="249">
        <v>15232</v>
      </c>
      <c r="G252" s="249">
        <v>13242</v>
      </c>
      <c r="H252" s="249">
        <v>1156</v>
      </c>
      <c r="I252" s="249">
        <v>808</v>
      </c>
      <c r="J252" s="259">
        <v>348</v>
      </c>
    </row>
    <row r="253" spans="1:10" ht="14.25" thickBot="1">
      <c r="A253" s="260" t="s">
        <v>321</v>
      </c>
      <c r="B253" s="250">
        <v>3506</v>
      </c>
      <c r="C253" s="250">
        <v>1946</v>
      </c>
      <c r="D253" s="250">
        <v>1560</v>
      </c>
      <c r="E253" s="250">
        <v>3243</v>
      </c>
      <c r="F253" s="250">
        <v>1749</v>
      </c>
      <c r="G253" s="250">
        <v>1494</v>
      </c>
      <c r="H253" s="250">
        <v>262</v>
      </c>
      <c r="I253" s="250">
        <v>196</v>
      </c>
      <c r="J253" s="261">
        <v>66</v>
      </c>
    </row>
    <row r="254" spans="1:10" ht="14.25" thickBot="1">
      <c r="A254" s="258" t="s">
        <v>322</v>
      </c>
      <c r="B254" s="249">
        <v>19853</v>
      </c>
      <c r="C254" s="249">
        <v>10564</v>
      </c>
      <c r="D254" s="249">
        <v>9289</v>
      </c>
      <c r="E254" s="249">
        <v>19454</v>
      </c>
      <c r="F254" s="249">
        <v>10286</v>
      </c>
      <c r="G254" s="249">
        <v>9168</v>
      </c>
      <c r="H254" s="249">
        <v>396</v>
      </c>
      <c r="I254" s="249">
        <v>275</v>
      </c>
      <c r="J254" s="259">
        <v>121</v>
      </c>
    </row>
    <row r="255" spans="1:10" ht="14.25" thickBot="1">
      <c r="A255" s="260" t="s">
        <v>323</v>
      </c>
      <c r="B255" s="250">
        <v>2911</v>
      </c>
      <c r="C255" s="250">
        <v>1640</v>
      </c>
      <c r="D255" s="250">
        <v>1271</v>
      </c>
      <c r="E255" s="250">
        <v>2745</v>
      </c>
      <c r="F255" s="250">
        <v>1557</v>
      </c>
      <c r="G255" s="250">
        <v>1188</v>
      </c>
      <c r="H255" s="250">
        <v>166</v>
      </c>
      <c r="I255" s="250">
        <v>83</v>
      </c>
      <c r="J255" s="261">
        <v>83</v>
      </c>
    </row>
    <row r="256" spans="1:10" ht="14.25" thickBot="1">
      <c r="A256" s="258" t="s">
        <v>324</v>
      </c>
      <c r="B256" s="249">
        <v>3367</v>
      </c>
      <c r="C256" s="249">
        <v>1896</v>
      </c>
      <c r="D256" s="249">
        <v>1471</v>
      </c>
      <c r="E256" s="249">
        <v>3032</v>
      </c>
      <c r="F256" s="249">
        <v>1640</v>
      </c>
      <c r="G256" s="249">
        <v>1392</v>
      </c>
      <c r="H256" s="249">
        <v>332</v>
      </c>
      <c r="I256" s="249">
        <v>254</v>
      </c>
      <c r="J256" s="259">
        <v>78</v>
      </c>
    </row>
    <row r="257" spans="1:10" ht="14.25" thickBot="1">
      <c r="A257" s="310" t="s">
        <v>3575</v>
      </c>
      <c r="B257" s="311"/>
      <c r="C257" s="311"/>
      <c r="D257" s="311"/>
      <c r="E257" s="311"/>
      <c r="F257" s="311"/>
      <c r="G257" s="311"/>
      <c r="H257" s="311"/>
      <c r="I257" s="311"/>
      <c r="J257" s="312"/>
    </row>
    <row r="258" spans="1:10" ht="14.25" thickBot="1">
      <c r="A258" s="258" t="s">
        <v>28</v>
      </c>
      <c r="B258" s="249">
        <v>40986</v>
      </c>
      <c r="C258" s="249">
        <v>22903</v>
      </c>
      <c r="D258" s="249">
        <v>18083</v>
      </c>
      <c r="E258" s="249">
        <v>38213</v>
      </c>
      <c r="F258" s="249">
        <v>20939</v>
      </c>
      <c r="G258" s="249">
        <v>17274</v>
      </c>
      <c r="H258" s="249">
        <v>2769</v>
      </c>
      <c r="I258" s="249">
        <v>1962</v>
      </c>
      <c r="J258" s="259">
        <v>807</v>
      </c>
    </row>
    <row r="259" spans="1:10" ht="14.25" thickBot="1">
      <c r="A259" s="260" t="s">
        <v>321</v>
      </c>
      <c r="B259" s="250">
        <v>4694</v>
      </c>
      <c r="C259" s="250">
        <v>2666</v>
      </c>
      <c r="D259" s="250">
        <v>2028</v>
      </c>
      <c r="E259" s="250">
        <v>4153</v>
      </c>
      <c r="F259" s="250">
        <v>2289</v>
      </c>
      <c r="G259" s="250">
        <v>1864</v>
      </c>
      <c r="H259" s="250">
        <v>540</v>
      </c>
      <c r="I259" s="250">
        <v>376</v>
      </c>
      <c r="J259" s="261">
        <v>164</v>
      </c>
    </row>
    <row r="260" spans="1:10" ht="14.25" thickBot="1">
      <c r="A260" s="258" t="s">
        <v>322</v>
      </c>
      <c r="B260" s="249">
        <v>27951</v>
      </c>
      <c r="C260" s="249">
        <v>15467</v>
      </c>
      <c r="D260" s="249">
        <v>12484</v>
      </c>
      <c r="E260" s="249">
        <v>27248</v>
      </c>
      <c r="F260" s="249">
        <v>14987</v>
      </c>
      <c r="G260" s="249">
        <v>12261</v>
      </c>
      <c r="H260" s="249">
        <v>701</v>
      </c>
      <c r="I260" s="249">
        <v>480</v>
      </c>
      <c r="J260" s="259">
        <v>221</v>
      </c>
    </row>
    <row r="261" spans="1:10" ht="14.25" thickBot="1">
      <c r="A261" s="260" t="s">
        <v>323</v>
      </c>
      <c r="B261" s="250">
        <v>2876</v>
      </c>
      <c r="C261" s="250">
        <v>1503</v>
      </c>
      <c r="D261" s="250">
        <v>1373</v>
      </c>
      <c r="E261" s="250">
        <v>2724</v>
      </c>
      <c r="F261" s="250">
        <v>1418</v>
      </c>
      <c r="G261" s="250">
        <v>1306</v>
      </c>
      <c r="H261" s="250">
        <v>152</v>
      </c>
      <c r="I261" s="250">
        <v>85</v>
      </c>
      <c r="J261" s="261">
        <v>67</v>
      </c>
    </row>
    <row r="262" spans="1:10" ht="14.25" thickBot="1">
      <c r="A262" s="258" t="s">
        <v>324</v>
      </c>
      <c r="B262" s="249">
        <v>5465</v>
      </c>
      <c r="C262" s="249">
        <v>3267</v>
      </c>
      <c r="D262" s="249">
        <v>2198</v>
      </c>
      <c r="E262" s="249">
        <v>4088</v>
      </c>
      <c r="F262" s="249">
        <v>2245</v>
      </c>
      <c r="G262" s="249">
        <v>1843</v>
      </c>
      <c r="H262" s="249">
        <v>1376</v>
      </c>
      <c r="I262" s="249">
        <v>1021</v>
      </c>
      <c r="J262" s="259">
        <v>355</v>
      </c>
    </row>
    <row r="263" spans="1:10" ht="14.25" thickBot="1">
      <c r="A263" s="310" t="s">
        <v>3576</v>
      </c>
      <c r="B263" s="311"/>
      <c r="C263" s="311"/>
      <c r="D263" s="311"/>
      <c r="E263" s="311"/>
      <c r="F263" s="311"/>
      <c r="G263" s="311"/>
      <c r="H263" s="311"/>
      <c r="I263" s="311"/>
      <c r="J263" s="312"/>
    </row>
    <row r="264" spans="1:10" ht="14.25" thickBot="1">
      <c r="A264" s="258" t="s">
        <v>28</v>
      </c>
      <c r="B264" s="249">
        <v>58406</v>
      </c>
      <c r="C264" s="249">
        <v>30886</v>
      </c>
      <c r="D264" s="249">
        <v>27520</v>
      </c>
      <c r="E264" s="249">
        <v>55005</v>
      </c>
      <c r="F264" s="249">
        <v>28788</v>
      </c>
      <c r="G264" s="249">
        <v>26217</v>
      </c>
      <c r="H264" s="249">
        <v>3395</v>
      </c>
      <c r="I264" s="249">
        <v>2094</v>
      </c>
      <c r="J264" s="259">
        <v>1301</v>
      </c>
    </row>
    <row r="265" spans="1:10" ht="14.25" thickBot="1">
      <c r="A265" s="260" t="s">
        <v>321</v>
      </c>
      <c r="B265" s="250">
        <v>7491</v>
      </c>
      <c r="C265" s="250">
        <v>4024</v>
      </c>
      <c r="D265" s="250">
        <v>3467</v>
      </c>
      <c r="E265" s="250">
        <v>6783</v>
      </c>
      <c r="F265" s="250">
        <v>3583</v>
      </c>
      <c r="G265" s="250">
        <v>3200</v>
      </c>
      <c r="H265" s="250">
        <v>707</v>
      </c>
      <c r="I265" s="250">
        <v>440</v>
      </c>
      <c r="J265" s="261">
        <v>267</v>
      </c>
    </row>
    <row r="266" spans="1:10" ht="14.25" thickBot="1">
      <c r="A266" s="258" t="s">
        <v>322</v>
      </c>
      <c r="B266" s="249">
        <v>39136</v>
      </c>
      <c r="C266" s="249">
        <v>20603</v>
      </c>
      <c r="D266" s="249">
        <v>18533</v>
      </c>
      <c r="E266" s="249">
        <v>38113</v>
      </c>
      <c r="F266" s="249">
        <v>19933</v>
      </c>
      <c r="G266" s="249">
        <v>18180</v>
      </c>
      <c r="H266" s="249">
        <v>1020</v>
      </c>
      <c r="I266" s="249">
        <v>668</v>
      </c>
      <c r="J266" s="259">
        <v>352</v>
      </c>
    </row>
    <row r="267" spans="1:10" ht="14.25" thickBot="1">
      <c r="A267" s="260" t="s">
        <v>323</v>
      </c>
      <c r="B267" s="250">
        <v>5032</v>
      </c>
      <c r="C267" s="250">
        <v>2796</v>
      </c>
      <c r="D267" s="250">
        <v>2236</v>
      </c>
      <c r="E267" s="250">
        <v>4748</v>
      </c>
      <c r="F267" s="250">
        <v>2630</v>
      </c>
      <c r="G267" s="250">
        <v>2118</v>
      </c>
      <c r="H267" s="250">
        <v>284</v>
      </c>
      <c r="I267" s="250">
        <v>166</v>
      </c>
      <c r="J267" s="261">
        <v>118</v>
      </c>
    </row>
    <row r="268" spans="1:10" ht="14.25" thickBot="1">
      <c r="A268" s="258" t="s">
        <v>324</v>
      </c>
      <c r="B268" s="249">
        <v>6747</v>
      </c>
      <c r="C268" s="249">
        <v>3463</v>
      </c>
      <c r="D268" s="249">
        <v>3284</v>
      </c>
      <c r="E268" s="249">
        <v>5361</v>
      </c>
      <c r="F268" s="249">
        <v>2642</v>
      </c>
      <c r="G268" s="249">
        <v>2719</v>
      </c>
      <c r="H268" s="249">
        <v>1384</v>
      </c>
      <c r="I268" s="249">
        <v>820</v>
      </c>
      <c r="J268" s="259">
        <v>564</v>
      </c>
    </row>
    <row r="269" spans="1:10" ht="14.25" thickBot="1">
      <c r="A269" s="310" t="s">
        <v>3577</v>
      </c>
      <c r="B269" s="311"/>
      <c r="C269" s="311"/>
      <c r="D269" s="311"/>
      <c r="E269" s="311"/>
      <c r="F269" s="311"/>
      <c r="G269" s="311"/>
      <c r="H269" s="311"/>
      <c r="I269" s="311"/>
      <c r="J269" s="312"/>
    </row>
    <row r="270" spans="1:10" ht="14.25" thickBot="1">
      <c r="A270" s="258" t="s">
        <v>28</v>
      </c>
      <c r="B270" s="249">
        <v>59768</v>
      </c>
      <c r="C270" s="249">
        <v>36173</v>
      </c>
      <c r="D270" s="249">
        <v>23595</v>
      </c>
      <c r="E270" s="249">
        <v>53601</v>
      </c>
      <c r="F270" s="249">
        <v>31822</v>
      </c>
      <c r="G270" s="249">
        <v>21779</v>
      </c>
      <c r="H270" s="249">
        <v>6135</v>
      </c>
      <c r="I270" s="249">
        <v>4327</v>
      </c>
      <c r="J270" s="259">
        <v>1808</v>
      </c>
    </row>
    <row r="271" spans="1:10" ht="14.25" thickBot="1">
      <c r="A271" s="260" t="s">
        <v>321</v>
      </c>
      <c r="B271" s="250">
        <v>9278</v>
      </c>
      <c r="C271" s="250">
        <v>5551</v>
      </c>
      <c r="D271" s="250">
        <v>3727</v>
      </c>
      <c r="E271" s="250">
        <v>7709</v>
      </c>
      <c r="F271" s="250">
        <v>4505</v>
      </c>
      <c r="G271" s="250">
        <v>3204</v>
      </c>
      <c r="H271" s="250">
        <v>1566</v>
      </c>
      <c r="I271" s="250">
        <v>1043</v>
      </c>
      <c r="J271" s="261">
        <v>523</v>
      </c>
    </row>
    <row r="272" spans="1:10" ht="14.25" thickBot="1">
      <c r="A272" s="258" t="s">
        <v>322</v>
      </c>
      <c r="B272" s="249">
        <v>38057</v>
      </c>
      <c r="C272" s="249">
        <v>22918</v>
      </c>
      <c r="D272" s="249">
        <v>15139</v>
      </c>
      <c r="E272" s="249">
        <v>36777</v>
      </c>
      <c r="F272" s="249">
        <v>21962</v>
      </c>
      <c r="G272" s="249">
        <v>14815</v>
      </c>
      <c r="H272" s="249">
        <v>1264</v>
      </c>
      <c r="I272" s="249">
        <v>947</v>
      </c>
      <c r="J272" s="259">
        <v>317</v>
      </c>
    </row>
    <row r="273" spans="1:10" ht="14.25" thickBot="1">
      <c r="A273" s="260" t="s">
        <v>323</v>
      </c>
      <c r="B273" s="250">
        <v>3406</v>
      </c>
      <c r="C273" s="250">
        <v>1894</v>
      </c>
      <c r="D273" s="250">
        <v>1512</v>
      </c>
      <c r="E273" s="250">
        <v>3201</v>
      </c>
      <c r="F273" s="250">
        <v>1797</v>
      </c>
      <c r="G273" s="250">
        <v>1404</v>
      </c>
      <c r="H273" s="250">
        <v>205</v>
      </c>
      <c r="I273" s="250">
        <v>97</v>
      </c>
      <c r="J273" s="261">
        <v>108</v>
      </c>
    </row>
    <row r="274" spans="1:10" ht="14.25" thickBot="1">
      <c r="A274" s="258" t="s">
        <v>324</v>
      </c>
      <c r="B274" s="249">
        <v>9027</v>
      </c>
      <c r="C274" s="249">
        <v>5810</v>
      </c>
      <c r="D274" s="249">
        <v>3217</v>
      </c>
      <c r="E274" s="249">
        <v>5914</v>
      </c>
      <c r="F274" s="249">
        <v>3558</v>
      </c>
      <c r="G274" s="249">
        <v>2356</v>
      </c>
      <c r="H274" s="249">
        <v>3100</v>
      </c>
      <c r="I274" s="249">
        <v>2240</v>
      </c>
      <c r="J274" s="259">
        <v>860</v>
      </c>
    </row>
    <row r="275" spans="1:10" ht="14.25" thickBot="1">
      <c r="A275" s="310" t="s">
        <v>3578</v>
      </c>
      <c r="B275" s="311"/>
      <c r="C275" s="311"/>
      <c r="D275" s="311"/>
      <c r="E275" s="311"/>
      <c r="F275" s="311"/>
      <c r="G275" s="311"/>
      <c r="H275" s="311"/>
      <c r="I275" s="311"/>
      <c r="J275" s="312"/>
    </row>
    <row r="276" spans="1:10" ht="14.25" thickBot="1">
      <c r="A276" s="258" t="s">
        <v>28</v>
      </c>
      <c r="B276" s="249">
        <v>128707</v>
      </c>
      <c r="C276" s="249">
        <v>78168</v>
      </c>
      <c r="D276" s="249">
        <v>50539</v>
      </c>
      <c r="E276" s="249">
        <v>119273</v>
      </c>
      <c r="F276" s="249">
        <v>71292</v>
      </c>
      <c r="G276" s="249">
        <v>47981</v>
      </c>
      <c r="H276" s="249">
        <v>9390</v>
      </c>
      <c r="I276" s="249">
        <v>6844</v>
      </c>
      <c r="J276" s="259">
        <v>2546</v>
      </c>
    </row>
    <row r="277" spans="1:10" ht="14.25" thickBot="1">
      <c r="A277" s="260" t="s">
        <v>321</v>
      </c>
      <c r="B277" s="250">
        <v>14454</v>
      </c>
      <c r="C277" s="250">
        <v>8525</v>
      </c>
      <c r="D277" s="250">
        <v>5929</v>
      </c>
      <c r="E277" s="250">
        <v>12860</v>
      </c>
      <c r="F277" s="250">
        <v>7461</v>
      </c>
      <c r="G277" s="250">
        <v>5399</v>
      </c>
      <c r="H277" s="250">
        <v>1589</v>
      </c>
      <c r="I277" s="250">
        <v>1059</v>
      </c>
      <c r="J277" s="261">
        <v>530</v>
      </c>
    </row>
    <row r="278" spans="1:10" ht="14.25" thickBot="1">
      <c r="A278" s="258" t="s">
        <v>322</v>
      </c>
      <c r="B278" s="249">
        <v>90348</v>
      </c>
      <c r="C278" s="249">
        <v>54669</v>
      </c>
      <c r="D278" s="249">
        <v>35679</v>
      </c>
      <c r="E278" s="249">
        <v>87518</v>
      </c>
      <c r="F278" s="249">
        <v>52527</v>
      </c>
      <c r="G278" s="249">
        <v>34991</v>
      </c>
      <c r="H278" s="249">
        <v>2804</v>
      </c>
      <c r="I278" s="249">
        <v>2124</v>
      </c>
      <c r="J278" s="259">
        <v>680</v>
      </c>
    </row>
    <row r="279" spans="1:10" ht="14.25" thickBot="1">
      <c r="A279" s="260" t="s">
        <v>323</v>
      </c>
      <c r="B279" s="250">
        <v>10670</v>
      </c>
      <c r="C279" s="250">
        <v>6671</v>
      </c>
      <c r="D279" s="250">
        <v>3999</v>
      </c>
      <c r="E279" s="250">
        <v>10011</v>
      </c>
      <c r="F279" s="250">
        <v>6269</v>
      </c>
      <c r="G279" s="250">
        <v>3742</v>
      </c>
      <c r="H279" s="250">
        <v>656</v>
      </c>
      <c r="I279" s="250">
        <v>400</v>
      </c>
      <c r="J279" s="261">
        <v>256</v>
      </c>
    </row>
    <row r="280" spans="1:10" ht="14.25" thickBot="1">
      <c r="A280" s="258" t="s">
        <v>324</v>
      </c>
      <c r="B280" s="249">
        <v>13235</v>
      </c>
      <c r="C280" s="249">
        <v>8303</v>
      </c>
      <c r="D280" s="249">
        <v>4932</v>
      </c>
      <c r="E280" s="249">
        <v>8884</v>
      </c>
      <c r="F280" s="249">
        <v>5035</v>
      </c>
      <c r="G280" s="249">
        <v>3849</v>
      </c>
      <c r="H280" s="249">
        <v>4341</v>
      </c>
      <c r="I280" s="249">
        <v>3261</v>
      </c>
      <c r="J280" s="259">
        <v>1080</v>
      </c>
    </row>
    <row r="281" spans="1:10" ht="14.25" thickBot="1">
      <c r="A281" s="310" t="s">
        <v>3579</v>
      </c>
      <c r="B281" s="311"/>
      <c r="C281" s="311"/>
      <c r="D281" s="311"/>
      <c r="E281" s="311"/>
      <c r="F281" s="311"/>
      <c r="G281" s="311"/>
      <c r="H281" s="311"/>
      <c r="I281" s="311"/>
      <c r="J281" s="312"/>
    </row>
    <row r="282" spans="1:10" ht="14.25" thickBot="1">
      <c r="A282" s="258" t="s">
        <v>28</v>
      </c>
      <c r="B282" s="249">
        <v>27788</v>
      </c>
      <c r="C282" s="249">
        <v>13850</v>
      </c>
      <c r="D282" s="249">
        <v>13938</v>
      </c>
      <c r="E282" s="249">
        <v>26789</v>
      </c>
      <c r="F282" s="249">
        <v>13237</v>
      </c>
      <c r="G282" s="249">
        <v>13552</v>
      </c>
      <c r="H282" s="249">
        <v>992</v>
      </c>
      <c r="I282" s="249">
        <v>609</v>
      </c>
      <c r="J282" s="259">
        <v>383</v>
      </c>
    </row>
    <row r="283" spans="1:10" ht="14.25" thickBot="1">
      <c r="A283" s="260" t="s">
        <v>321</v>
      </c>
      <c r="B283" s="250">
        <v>2925</v>
      </c>
      <c r="C283" s="250">
        <v>1534</v>
      </c>
      <c r="D283" s="250">
        <v>1391</v>
      </c>
      <c r="E283" s="250">
        <v>2751</v>
      </c>
      <c r="F283" s="250">
        <v>1431</v>
      </c>
      <c r="G283" s="250">
        <v>1320</v>
      </c>
      <c r="H283" s="250">
        <v>172</v>
      </c>
      <c r="I283" s="250">
        <v>102</v>
      </c>
      <c r="J283" s="261">
        <v>70</v>
      </c>
    </row>
    <row r="284" spans="1:10" ht="14.25" thickBot="1">
      <c r="A284" s="258" t="s">
        <v>322</v>
      </c>
      <c r="B284" s="249">
        <v>19139</v>
      </c>
      <c r="C284" s="249">
        <v>9346</v>
      </c>
      <c r="D284" s="249">
        <v>9793</v>
      </c>
      <c r="E284" s="249">
        <v>18839</v>
      </c>
      <c r="F284" s="249">
        <v>9164</v>
      </c>
      <c r="G284" s="249">
        <v>9675</v>
      </c>
      <c r="H284" s="249">
        <v>298</v>
      </c>
      <c r="I284" s="249">
        <v>180</v>
      </c>
      <c r="J284" s="259">
        <v>118</v>
      </c>
    </row>
    <row r="285" spans="1:10" ht="14.25" thickBot="1">
      <c r="A285" s="260" t="s">
        <v>323</v>
      </c>
      <c r="B285" s="250">
        <v>2231</v>
      </c>
      <c r="C285" s="250">
        <v>1160</v>
      </c>
      <c r="D285" s="250">
        <v>1071</v>
      </c>
      <c r="E285" s="250">
        <v>2109</v>
      </c>
      <c r="F285" s="250">
        <v>1106</v>
      </c>
      <c r="G285" s="250">
        <v>1003</v>
      </c>
      <c r="H285" s="250">
        <v>122</v>
      </c>
      <c r="I285" s="250">
        <v>54</v>
      </c>
      <c r="J285" s="261">
        <v>68</v>
      </c>
    </row>
    <row r="286" spans="1:10" ht="14.25" thickBot="1">
      <c r="A286" s="258" t="s">
        <v>324</v>
      </c>
      <c r="B286" s="249">
        <v>3493</v>
      </c>
      <c r="C286" s="249">
        <v>1810</v>
      </c>
      <c r="D286" s="249">
        <v>1683</v>
      </c>
      <c r="E286" s="249">
        <v>3090</v>
      </c>
      <c r="F286" s="249">
        <v>1536</v>
      </c>
      <c r="G286" s="249">
        <v>1554</v>
      </c>
      <c r="H286" s="249">
        <v>400</v>
      </c>
      <c r="I286" s="249">
        <v>273</v>
      </c>
      <c r="J286" s="259">
        <v>127</v>
      </c>
    </row>
    <row r="287" spans="1:10" ht="14.25" thickBot="1">
      <c r="A287" s="310" t="s">
        <v>3580</v>
      </c>
      <c r="B287" s="311"/>
      <c r="C287" s="311"/>
      <c r="D287" s="311"/>
      <c r="E287" s="311"/>
      <c r="F287" s="311"/>
      <c r="G287" s="311"/>
      <c r="H287" s="311"/>
      <c r="I287" s="311"/>
      <c r="J287" s="312"/>
    </row>
    <row r="288" spans="1:10" ht="14.25" thickBot="1">
      <c r="A288" s="258" t="s">
        <v>28</v>
      </c>
      <c r="B288" s="249">
        <v>46850</v>
      </c>
      <c r="C288" s="249">
        <v>26507</v>
      </c>
      <c r="D288" s="249">
        <v>20343</v>
      </c>
      <c r="E288" s="249">
        <v>42373</v>
      </c>
      <c r="F288" s="249">
        <v>23500</v>
      </c>
      <c r="G288" s="249">
        <v>18873</v>
      </c>
      <c r="H288" s="249">
        <v>4464</v>
      </c>
      <c r="I288" s="249">
        <v>2998</v>
      </c>
      <c r="J288" s="259">
        <v>1466</v>
      </c>
    </row>
    <row r="289" spans="1:10" ht="14.25" thickBot="1">
      <c r="A289" s="260" t="s">
        <v>321</v>
      </c>
      <c r="B289" s="250">
        <v>5469</v>
      </c>
      <c r="C289" s="250">
        <v>3196</v>
      </c>
      <c r="D289" s="250">
        <v>2273</v>
      </c>
      <c r="E289" s="250">
        <v>4691</v>
      </c>
      <c r="F289" s="250">
        <v>2703</v>
      </c>
      <c r="G289" s="250">
        <v>1988</v>
      </c>
      <c r="H289" s="250">
        <v>777</v>
      </c>
      <c r="I289" s="250">
        <v>493</v>
      </c>
      <c r="J289" s="261">
        <v>284</v>
      </c>
    </row>
    <row r="290" spans="1:10" ht="14.25" thickBot="1">
      <c r="A290" s="258" t="s">
        <v>322</v>
      </c>
      <c r="B290" s="249">
        <v>33376</v>
      </c>
      <c r="C290" s="249">
        <v>18737</v>
      </c>
      <c r="D290" s="249">
        <v>14639</v>
      </c>
      <c r="E290" s="249">
        <v>31620</v>
      </c>
      <c r="F290" s="249">
        <v>17566</v>
      </c>
      <c r="G290" s="249">
        <v>14054</v>
      </c>
      <c r="H290" s="249">
        <v>1750</v>
      </c>
      <c r="I290" s="249">
        <v>1165</v>
      </c>
      <c r="J290" s="259">
        <v>585</v>
      </c>
    </row>
    <row r="291" spans="1:10" ht="14.25" thickBot="1">
      <c r="A291" s="260" t="s">
        <v>323</v>
      </c>
      <c r="B291" s="250">
        <v>3126</v>
      </c>
      <c r="C291" s="250">
        <v>1764</v>
      </c>
      <c r="D291" s="250">
        <v>1362</v>
      </c>
      <c r="E291" s="250">
        <v>2845</v>
      </c>
      <c r="F291" s="250">
        <v>1613</v>
      </c>
      <c r="G291" s="250">
        <v>1232</v>
      </c>
      <c r="H291" s="250">
        <v>279</v>
      </c>
      <c r="I291" s="250">
        <v>149</v>
      </c>
      <c r="J291" s="261">
        <v>130</v>
      </c>
    </row>
    <row r="292" spans="1:10" ht="14.25" thickBot="1">
      <c r="A292" s="258" t="s">
        <v>324</v>
      </c>
      <c r="B292" s="249">
        <v>4879</v>
      </c>
      <c r="C292" s="249">
        <v>2810</v>
      </c>
      <c r="D292" s="249">
        <v>2069</v>
      </c>
      <c r="E292" s="249">
        <v>3217</v>
      </c>
      <c r="F292" s="249">
        <v>1618</v>
      </c>
      <c r="G292" s="249">
        <v>1599</v>
      </c>
      <c r="H292" s="249">
        <v>1658</v>
      </c>
      <c r="I292" s="249">
        <v>1191</v>
      </c>
      <c r="J292" s="259">
        <v>467</v>
      </c>
    </row>
    <row r="293" spans="1:10" ht="14.25" thickBot="1">
      <c r="A293" s="310" t="s">
        <v>3581</v>
      </c>
      <c r="B293" s="311"/>
      <c r="C293" s="311"/>
      <c r="D293" s="311"/>
      <c r="E293" s="311"/>
      <c r="F293" s="311"/>
      <c r="G293" s="311"/>
      <c r="H293" s="311"/>
      <c r="I293" s="311"/>
      <c r="J293" s="312"/>
    </row>
    <row r="294" spans="1:10" ht="14.25" thickBot="1">
      <c r="A294" s="258" t="s">
        <v>28</v>
      </c>
      <c r="B294" s="249">
        <v>45524</v>
      </c>
      <c r="C294" s="249">
        <v>24041</v>
      </c>
      <c r="D294" s="249">
        <v>21483</v>
      </c>
      <c r="E294" s="249">
        <v>43033</v>
      </c>
      <c r="F294" s="249">
        <v>22373</v>
      </c>
      <c r="G294" s="249">
        <v>20660</v>
      </c>
      <c r="H294" s="249">
        <v>2482</v>
      </c>
      <c r="I294" s="249">
        <v>1663</v>
      </c>
      <c r="J294" s="259">
        <v>819</v>
      </c>
    </row>
    <row r="295" spans="1:10" ht="14.25" thickBot="1">
      <c r="A295" s="260" t="s">
        <v>321</v>
      </c>
      <c r="B295" s="250">
        <v>5607</v>
      </c>
      <c r="C295" s="250">
        <v>3045</v>
      </c>
      <c r="D295" s="250">
        <v>2562</v>
      </c>
      <c r="E295" s="250">
        <v>5223</v>
      </c>
      <c r="F295" s="250">
        <v>2793</v>
      </c>
      <c r="G295" s="250">
        <v>2430</v>
      </c>
      <c r="H295" s="250">
        <v>381</v>
      </c>
      <c r="I295" s="250">
        <v>251</v>
      </c>
      <c r="J295" s="261">
        <v>130</v>
      </c>
    </row>
    <row r="296" spans="1:10" ht="14.25" thickBot="1">
      <c r="A296" s="258" t="s">
        <v>322</v>
      </c>
      <c r="B296" s="249">
        <v>31456</v>
      </c>
      <c r="C296" s="249">
        <v>16422</v>
      </c>
      <c r="D296" s="249">
        <v>15034</v>
      </c>
      <c r="E296" s="249">
        <v>30638</v>
      </c>
      <c r="F296" s="249">
        <v>15869</v>
      </c>
      <c r="G296" s="249">
        <v>14769</v>
      </c>
      <c r="H296" s="249">
        <v>816</v>
      </c>
      <c r="I296" s="249">
        <v>552</v>
      </c>
      <c r="J296" s="259">
        <v>264</v>
      </c>
    </row>
    <row r="297" spans="1:10" ht="14.25" thickBot="1">
      <c r="A297" s="260" t="s">
        <v>323</v>
      </c>
      <c r="B297" s="250">
        <v>3517</v>
      </c>
      <c r="C297" s="250">
        <v>1972</v>
      </c>
      <c r="D297" s="250">
        <v>1545</v>
      </c>
      <c r="E297" s="250">
        <v>3273</v>
      </c>
      <c r="F297" s="250">
        <v>1833</v>
      </c>
      <c r="G297" s="250">
        <v>1440</v>
      </c>
      <c r="H297" s="250">
        <v>241</v>
      </c>
      <c r="I297" s="250">
        <v>137</v>
      </c>
      <c r="J297" s="261">
        <v>104</v>
      </c>
    </row>
    <row r="298" spans="1:10" ht="14.25" thickBot="1">
      <c r="A298" s="258" t="s">
        <v>324</v>
      </c>
      <c r="B298" s="249">
        <v>4944</v>
      </c>
      <c r="C298" s="249">
        <v>2602</v>
      </c>
      <c r="D298" s="249">
        <v>2342</v>
      </c>
      <c r="E298" s="249">
        <v>3899</v>
      </c>
      <c r="F298" s="249">
        <v>1878</v>
      </c>
      <c r="G298" s="249">
        <v>2021</v>
      </c>
      <c r="H298" s="249">
        <v>1044</v>
      </c>
      <c r="I298" s="249">
        <v>723</v>
      </c>
      <c r="J298" s="259">
        <v>321</v>
      </c>
    </row>
    <row r="299" spans="1:10" ht="14.25" thickBot="1">
      <c r="A299" s="310" t="s">
        <v>3582</v>
      </c>
      <c r="B299" s="311"/>
      <c r="C299" s="311"/>
      <c r="D299" s="311"/>
      <c r="E299" s="311"/>
      <c r="F299" s="311"/>
      <c r="G299" s="311"/>
      <c r="H299" s="311"/>
      <c r="I299" s="311"/>
      <c r="J299" s="312"/>
    </row>
    <row r="300" spans="1:10" ht="14.25" thickBot="1">
      <c r="A300" s="258" t="s">
        <v>28</v>
      </c>
      <c r="B300" s="249">
        <v>33708</v>
      </c>
      <c r="C300" s="249">
        <v>18725</v>
      </c>
      <c r="D300" s="249">
        <v>14983</v>
      </c>
      <c r="E300" s="249">
        <v>31347</v>
      </c>
      <c r="F300" s="249">
        <v>17063</v>
      </c>
      <c r="G300" s="249">
        <v>14284</v>
      </c>
      <c r="H300" s="249">
        <v>2350</v>
      </c>
      <c r="I300" s="249">
        <v>1656</v>
      </c>
      <c r="J300" s="259">
        <v>694</v>
      </c>
    </row>
    <row r="301" spans="1:10" ht="14.25" thickBot="1">
      <c r="A301" s="260" t="s">
        <v>321</v>
      </c>
      <c r="B301" s="250">
        <v>3912</v>
      </c>
      <c r="C301" s="250">
        <v>2407</v>
      </c>
      <c r="D301" s="250">
        <v>1505</v>
      </c>
      <c r="E301" s="250">
        <v>3400</v>
      </c>
      <c r="F301" s="250">
        <v>2034</v>
      </c>
      <c r="G301" s="250">
        <v>1366</v>
      </c>
      <c r="H301" s="250">
        <v>511</v>
      </c>
      <c r="I301" s="250">
        <v>372</v>
      </c>
      <c r="J301" s="261">
        <v>139</v>
      </c>
    </row>
    <row r="302" spans="1:10" ht="14.25" thickBot="1">
      <c r="A302" s="258" t="s">
        <v>322</v>
      </c>
      <c r="B302" s="249">
        <v>22279</v>
      </c>
      <c r="C302" s="249">
        <v>12139</v>
      </c>
      <c r="D302" s="249">
        <v>10140</v>
      </c>
      <c r="E302" s="249">
        <v>21685</v>
      </c>
      <c r="F302" s="249">
        <v>11739</v>
      </c>
      <c r="G302" s="249">
        <v>9946</v>
      </c>
      <c r="H302" s="249">
        <v>592</v>
      </c>
      <c r="I302" s="249">
        <v>399</v>
      </c>
      <c r="J302" s="259">
        <v>193</v>
      </c>
    </row>
    <row r="303" spans="1:10" ht="14.25" thickBot="1">
      <c r="A303" s="260" t="s">
        <v>323</v>
      </c>
      <c r="B303" s="250">
        <v>2344</v>
      </c>
      <c r="C303" s="250">
        <v>1159</v>
      </c>
      <c r="D303" s="250">
        <v>1185</v>
      </c>
      <c r="E303" s="250">
        <v>2241</v>
      </c>
      <c r="F303" s="250">
        <v>1104</v>
      </c>
      <c r="G303" s="250">
        <v>1137</v>
      </c>
      <c r="H303" s="250">
        <v>103</v>
      </c>
      <c r="I303" s="250">
        <v>55</v>
      </c>
      <c r="J303" s="261">
        <v>48</v>
      </c>
    </row>
    <row r="304" spans="1:10" ht="14.25" thickBot="1">
      <c r="A304" s="258" t="s">
        <v>324</v>
      </c>
      <c r="B304" s="249">
        <v>5173</v>
      </c>
      <c r="C304" s="249">
        <v>3020</v>
      </c>
      <c r="D304" s="249">
        <v>2153</v>
      </c>
      <c r="E304" s="249">
        <v>4021</v>
      </c>
      <c r="F304" s="249">
        <v>2186</v>
      </c>
      <c r="G304" s="249">
        <v>1835</v>
      </c>
      <c r="H304" s="249">
        <v>1144</v>
      </c>
      <c r="I304" s="249">
        <v>830</v>
      </c>
      <c r="J304" s="259">
        <v>314</v>
      </c>
    </row>
    <row r="305" spans="1:10" ht="14.25" thickBot="1">
      <c r="A305" s="310" t="s">
        <v>3583</v>
      </c>
      <c r="B305" s="311"/>
      <c r="C305" s="311"/>
      <c r="D305" s="311"/>
      <c r="E305" s="311"/>
      <c r="F305" s="311"/>
      <c r="G305" s="311"/>
      <c r="H305" s="311"/>
      <c r="I305" s="311"/>
      <c r="J305" s="312"/>
    </row>
    <row r="306" spans="1:10" ht="14.25" thickBot="1">
      <c r="A306" s="258" t="s">
        <v>28</v>
      </c>
      <c r="B306" s="249">
        <v>120448</v>
      </c>
      <c r="C306" s="249">
        <v>68687</v>
      </c>
      <c r="D306" s="249">
        <v>51761</v>
      </c>
      <c r="E306" s="249">
        <v>108475</v>
      </c>
      <c r="F306" s="249">
        <v>60556</v>
      </c>
      <c r="G306" s="249">
        <v>47919</v>
      </c>
      <c r="H306" s="249">
        <v>11933</v>
      </c>
      <c r="I306" s="249">
        <v>8100</v>
      </c>
      <c r="J306" s="259">
        <v>3833</v>
      </c>
    </row>
    <row r="307" spans="1:10" ht="14.25" thickBot="1">
      <c r="A307" s="260" t="s">
        <v>321</v>
      </c>
      <c r="B307" s="250">
        <v>15894</v>
      </c>
      <c r="C307" s="250">
        <v>9924</v>
      </c>
      <c r="D307" s="250">
        <v>5970</v>
      </c>
      <c r="E307" s="250">
        <v>12820</v>
      </c>
      <c r="F307" s="250">
        <v>7783</v>
      </c>
      <c r="G307" s="250">
        <v>5037</v>
      </c>
      <c r="H307" s="250">
        <v>3063</v>
      </c>
      <c r="I307" s="250">
        <v>2133</v>
      </c>
      <c r="J307" s="261">
        <v>930</v>
      </c>
    </row>
    <row r="308" spans="1:10" ht="14.25" thickBot="1">
      <c r="A308" s="258" t="s">
        <v>322</v>
      </c>
      <c r="B308" s="249">
        <v>79379</v>
      </c>
      <c r="C308" s="249">
        <v>44386</v>
      </c>
      <c r="D308" s="249">
        <v>34993</v>
      </c>
      <c r="E308" s="249">
        <v>76504</v>
      </c>
      <c r="F308" s="249">
        <v>42374</v>
      </c>
      <c r="G308" s="249">
        <v>34130</v>
      </c>
      <c r="H308" s="249">
        <v>2865</v>
      </c>
      <c r="I308" s="249">
        <v>2006</v>
      </c>
      <c r="J308" s="259">
        <v>859</v>
      </c>
    </row>
    <row r="309" spans="1:10" ht="14.25" thickBot="1">
      <c r="A309" s="260" t="s">
        <v>323</v>
      </c>
      <c r="B309" s="250">
        <v>8875</v>
      </c>
      <c r="C309" s="250">
        <v>4807</v>
      </c>
      <c r="D309" s="250">
        <v>4068</v>
      </c>
      <c r="E309" s="250">
        <v>8353</v>
      </c>
      <c r="F309" s="250">
        <v>4533</v>
      </c>
      <c r="G309" s="250">
        <v>3820</v>
      </c>
      <c r="H309" s="250">
        <v>518</v>
      </c>
      <c r="I309" s="250">
        <v>271</v>
      </c>
      <c r="J309" s="261">
        <v>247</v>
      </c>
    </row>
    <row r="310" spans="1:10" ht="14.25" thickBot="1">
      <c r="A310" s="258" t="s">
        <v>324</v>
      </c>
      <c r="B310" s="249">
        <v>16300</v>
      </c>
      <c r="C310" s="249">
        <v>9570</v>
      </c>
      <c r="D310" s="249">
        <v>6730</v>
      </c>
      <c r="E310" s="249">
        <v>10798</v>
      </c>
      <c r="F310" s="249">
        <v>5866</v>
      </c>
      <c r="G310" s="249">
        <v>4932</v>
      </c>
      <c r="H310" s="249">
        <v>5487</v>
      </c>
      <c r="I310" s="249">
        <v>3690</v>
      </c>
      <c r="J310" s="259">
        <v>1797</v>
      </c>
    </row>
    <row r="311" spans="1:10" ht="14.25" thickBot="1">
      <c r="A311" s="310" t="s">
        <v>3584</v>
      </c>
      <c r="B311" s="311"/>
      <c r="C311" s="311"/>
      <c r="D311" s="311"/>
      <c r="E311" s="311"/>
      <c r="F311" s="311"/>
      <c r="G311" s="311"/>
      <c r="H311" s="311"/>
      <c r="I311" s="311"/>
      <c r="J311" s="312"/>
    </row>
    <row r="312" spans="1:10" ht="14.25" thickBot="1">
      <c r="A312" s="258" t="s">
        <v>28</v>
      </c>
      <c r="B312" s="249">
        <v>68142</v>
      </c>
      <c r="C312" s="249">
        <v>40585</v>
      </c>
      <c r="D312" s="249">
        <v>27557</v>
      </c>
      <c r="E312" s="249">
        <v>59755</v>
      </c>
      <c r="F312" s="249">
        <v>35072</v>
      </c>
      <c r="G312" s="249">
        <v>24683</v>
      </c>
      <c r="H312" s="249">
        <v>8345</v>
      </c>
      <c r="I312" s="249">
        <v>5481</v>
      </c>
      <c r="J312" s="259">
        <v>2864</v>
      </c>
    </row>
    <row r="313" spans="1:10" ht="14.25" thickBot="1">
      <c r="A313" s="260" t="s">
        <v>321</v>
      </c>
      <c r="B313" s="250">
        <v>10331</v>
      </c>
      <c r="C313" s="250">
        <v>6213</v>
      </c>
      <c r="D313" s="250">
        <v>4118</v>
      </c>
      <c r="E313" s="250">
        <v>8164</v>
      </c>
      <c r="F313" s="250">
        <v>4800</v>
      </c>
      <c r="G313" s="250">
        <v>3364</v>
      </c>
      <c r="H313" s="250">
        <v>2159</v>
      </c>
      <c r="I313" s="250">
        <v>1408</v>
      </c>
      <c r="J313" s="261">
        <v>751</v>
      </c>
    </row>
    <row r="314" spans="1:10" ht="14.25" thickBot="1">
      <c r="A314" s="258" t="s">
        <v>322</v>
      </c>
      <c r="B314" s="249">
        <v>42025</v>
      </c>
      <c r="C314" s="249">
        <v>25034</v>
      </c>
      <c r="D314" s="249">
        <v>16991</v>
      </c>
      <c r="E314" s="249">
        <v>40340</v>
      </c>
      <c r="F314" s="249">
        <v>23847</v>
      </c>
      <c r="G314" s="249">
        <v>16493</v>
      </c>
      <c r="H314" s="249">
        <v>1669</v>
      </c>
      <c r="I314" s="249">
        <v>1174</v>
      </c>
      <c r="J314" s="259">
        <v>495</v>
      </c>
    </row>
    <row r="315" spans="1:10" ht="14.25" thickBot="1">
      <c r="A315" s="260" t="s">
        <v>323</v>
      </c>
      <c r="B315" s="250">
        <v>5417</v>
      </c>
      <c r="C315" s="250">
        <v>2973</v>
      </c>
      <c r="D315" s="250">
        <v>2444</v>
      </c>
      <c r="E315" s="250">
        <v>5090</v>
      </c>
      <c r="F315" s="250">
        <v>2786</v>
      </c>
      <c r="G315" s="250">
        <v>2304</v>
      </c>
      <c r="H315" s="250">
        <v>327</v>
      </c>
      <c r="I315" s="250">
        <v>187</v>
      </c>
      <c r="J315" s="261">
        <v>140</v>
      </c>
    </row>
    <row r="316" spans="1:10" ht="14.25" thickBot="1">
      <c r="A316" s="258" t="s">
        <v>324</v>
      </c>
      <c r="B316" s="249">
        <v>10369</v>
      </c>
      <c r="C316" s="249">
        <v>6365</v>
      </c>
      <c r="D316" s="249">
        <v>4004</v>
      </c>
      <c r="E316" s="249">
        <v>6161</v>
      </c>
      <c r="F316" s="249">
        <v>3639</v>
      </c>
      <c r="G316" s="249">
        <v>2522</v>
      </c>
      <c r="H316" s="249">
        <v>4190</v>
      </c>
      <c r="I316" s="249">
        <v>2712</v>
      </c>
      <c r="J316" s="259">
        <v>1478</v>
      </c>
    </row>
    <row r="317" spans="1:10" ht="14.25" thickBot="1">
      <c r="A317" s="310" t="s">
        <v>3585</v>
      </c>
      <c r="B317" s="311"/>
      <c r="C317" s="311"/>
      <c r="D317" s="311"/>
      <c r="E317" s="311"/>
      <c r="F317" s="311"/>
      <c r="G317" s="311"/>
      <c r="H317" s="311"/>
      <c r="I317" s="311"/>
      <c r="J317" s="312"/>
    </row>
    <row r="318" spans="1:10" ht="14.25" thickBot="1">
      <c r="A318" s="258" t="s">
        <v>28</v>
      </c>
      <c r="B318" s="249">
        <v>28604</v>
      </c>
      <c r="C318" s="249">
        <v>18147</v>
      </c>
      <c r="D318" s="249">
        <v>10457</v>
      </c>
      <c r="E318" s="249">
        <v>26752</v>
      </c>
      <c r="F318" s="249">
        <v>16635</v>
      </c>
      <c r="G318" s="249">
        <v>10117</v>
      </c>
      <c r="H318" s="249">
        <v>1850</v>
      </c>
      <c r="I318" s="249">
        <v>1511</v>
      </c>
      <c r="J318" s="259">
        <v>339</v>
      </c>
    </row>
    <row r="319" spans="1:10" ht="14.25" thickBot="1">
      <c r="A319" s="260" t="s">
        <v>321</v>
      </c>
      <c r="B319" s="250">
        <v>3332</v>
      </c>
      <c r="C319" s="250">
        <v>2159</v>
      </c>
      <c r="D319" s="250">
        <v>1173</v>
      </c>
      <c r="E319" s="250">
        <v>2994</v>
      </c>
      <c r="F319" s="250">
        <v>1888</v>
      </c>
      <c r="G319" s="250">
        <v>1106</v>
      </c>
      <c r="H319" s="250">
        <v>337</v>
      </c>
      <c r="I319" s="250">
        <v>270</v>
      </c>
      <c r="J319" s="261">
        <v>67</v>
      </c>
    </row>
    <row r="320" spans="1:10" ht="14.25" thickBot="1">
      <c r="A320" s="258" t="s">
        <v>322</v>
      </c>
      <c r="B320" s="249">
        <v>20153</v>
      </c>
      <c r="C320" s="249">
        <v>12776</v>
      </c>
      <c r="D320" s="249">
        <v>7377</v>
      </c>
      <c r="E320" s="249">
        <v>19458</v>
      </c>
      <c r="F320" s="249">
        <v>12220</v>
      </c>
      <c r="G320" s="249">
        <v>7238</v>
      </c>
      <c r="H320" s="249">
        <v>695</v>
      </c>
      <c r="I320" s="249">
        <v>556</v>
      </c>
      <c r="J320" s="259">
        <v>139</v>
      </c>
    </row>
    <row r="321" spans="1:10" ht="14.25" thickBot="1">
      <c r="A321" s="260" t="s">
        <v>323</v>
      </c>
      <c r="B321" s="250">
        <v>2293</v>
      </c>
      <c r="C321" s="250">
        <v>1530</v>
      </c>
      <c r="D321" s="250">
        <v>763</v>
      </c>
      <c r="E321" s="250">
        <v>2191</v>
      </c>
      <c r="F321" s="250">
        <v>1466</v>
      </c>
      <c r="G321" s="250">
        <v>725</v>
      </c>
      <c r="H321" s="250">
        <v>102</v>
      </c>
      <c r="I321" s="250">
        <v>64</v>
      </c>
      <c r="J321" s="261">
        <v>38</v>
      </c>
    </row>
    <row r="322" spans="1:10" ht="14.25" thickBot="1">
      <c r="A322" s="258" t="s">
        <v>324</v>
      </c>
      <c r="B322" s="249">
        <v>2826</v>
      </c>
      <c r="C322" s="249">
        <v>1682</v>
      </c>
      <c r="D322" s="249">
        <v>1144</v>
      </c>
      <c r="E322" s="249">
        <v>2109</v>
      </c>
      <c r="F322" s="249">
        <v>1061</v>
      </c>
      <c r="G322" s="249">
        <v>1048</v>
      </c>
      <c r="H322" s="249">
        <v>716</v>
      </c>
      <c r="I322" s="249">
        <v>621</v>
      </c>
      <c r="J322" s="259">
        <v>95</v>
      </c>
    </row>
    <row r="323" spans="1:10" ht="14.25" thickBot="1">
      <c r="A323" s="310" t="s">
        <v>3586</v>
      </c>
      <c r="B323" s="311"/>
      <c r="C323" s="311"/>
      <c r="D323" s="311"/>
      <c r="E323" s="311"/>
      <c r="F323" s="311"/>
      <c r="G323" s="311"/>
      <c r="H323" s="311"/>
      <c r="I323" s="311"/>
      <c r="J323" s="312"/>
    </row>
    <row r="324" spans="1:10" ht="14.25" thickBot="1">
      <c r="A324" s="258" t="s">
        <v>28</v>
      </c>
      <c r="B324" s="249">
        <v>15273</v>
      </c>
      <c r="C324" s="249">
        <v>7706</v>
      </c>
      <c r="D324" s="249">
        <v>7567</v>
      </c>
      <c r="E324" s="249">
        <v>14581</v>
      </c>
      <c r="F324" s="249">
        <v>7307</v>
      </c>
      <c r="G324" s="249">
        <v>7274</v>
      </c>
      <c r="H324" s="249">
        <v>688</v>
      </c>
      <c r="I324" s="249">
        <v>396</v>
      </c>
      <c r="J324" s="259">
        <v>292</v>
      </c>
    </row>
    <row r="325" spans="1:10" ht="14.25" thickBot="1">
      <c r="A325" s="260" t="s">
        <v>321</v>
      </c>
      <c r="B325" s="250">
        <v>1651</v>
      </c>
      <c r="C325" s="250">
        <v>848</v>
      </c>
      <c r="D325" s="250">
        <v>803</v>
      </c>
      <c r="E325" s="250">
        <v>1572</v>
      </c>
      <c r="F325" s="250">
        <v>808</v>
      </c>
      <c r="G325" s="250">
        <v>764</v>
      </c>
      <c r="H325" s="250">
        <v>78</v>
      </c>
      <c r="I325" s="250">
        <v>39</v>
      </c>
      <c r="J325" s="261">
        <v>39</v>
      </c>
    </row>
    <row r="326" spans="1:10" ht="14.25" thickBot="1">
      <c r="A326" s="258" t="s">
        <v>322</v>
      </c>
      <c r="B326" s="249">
        <v>10274</v>
      </c>
      <c r="C326" s="249">
        <v>5222</v>
      </c>
      <c r="D326" s="249">
        <v>5052</v>
      </c>
      <c r="E326" s="249">
        <v>10126</v>
      </c>
      <c r="F326" s="249">
        <v>5134</v>
      </c>
      <c r="G326" s="249">
        <v>4992</v>
      </c>
      <c r="H326" s="249">
        <v>147</v>
      </c>
      <c r="I326" s="249">
        <v>88</v>
      </c>
      <c r="J326" s="259">
        <v>59</v>
      </c>
    </row>
    <row r="327" spans="1:10" ht="14.25" thickBot="1">
      <c r="A327" s="260" t="s">
        <v>323</v>
      </c>
      <c r="B327" s="250">
        <v>850</v>
      </c>
      <c r="C327" s="250">
        <v>417</v>
      </c>
      <c r="D327" s="250">
        <v>433</v>
      </c>
      <c r="E327" s="250">
        <v>807</v>
      </c>
      <c r="F327" s="250">
        <v>396</v>
      </c>
      <c r="G327" s="250">
        <v>411</v>
      </c>
      <c r="H327" s="250">
        <v>42</v>
      </c>
      <c r="I327" s="250">
        <v>20</v>
      </c>
      <c r="J327" s="261">
        <v>22</v>
      </c>
    </row>
    <row r="328" spans="1:10" ht="14.25" thickBot="1">
      <c r="A328" s="262" t="s">
        <v>324</v>
      </c>
      <c r="B328" s="263">
        <v>2498</v>
      </c>
      <c r="C328" s="263">
        <v>1219</v>
      </c>
      <c r="D328" s="263">
        <v>1279</v>
      </c>
      <c r="E328" s="263">
        <v>2076</v>
      </c>
      <c r="F328" s="263">
        <v>969</v>
      </c>
      <c r="G328" s="263">
        <v>1107</v>
      </c>
      <c r="H328" s="263">
        <v>421</v>
      </c>
      <c r="I328" s="263">
        <v>249</v>
      </c>
      <c r="J328" s="264">
        <v>172</v>
      </c>
    </row>
    <row r="330" spans="1:10">
      <c r="A330" s="246" t="s">
        <v>326</v>
      </c>
    </row>
  </sheetData>
  <mergeCells count="55">
    <mergeCell ref="A65:J65"/>
    <mergeCell ref="B16:J18"/>
    <mergeCell ref="B19:D19"/>
    <mergeCell ref="E19:G19"/>
    <mergeCell ref="H19:J19"/>
    <mergeCell ref="A23:J23"/>
    <mergeCell ref="A29:J29"/>
    <mergeCell ref="A35:J35"/>
    <mergeCell ref="A41:J41"/>
    <mergeCell ref="A47:J47"/>
    <mergeCell ref="A53:J53"/>
    <mergeCell ref="A59:J59"/>
    <mergeCell ref="A137:J137"/>
    <mergeCell ref="A71:J71"/>
    <mergeCell ref="A77:J77"/>
    <mergeCell ref="A83:J83"/>
    <mergeCell ref="A89:J89"/>
    <mergeCell ref="A95:J95"/>
    <mergeCell ref="A101:J101"/>
    <mergeCell ref="A107:J107"/>
    <mergeCell ref="A113:J113"/>
    <mergeCell ref="A119:J119"/>
    <mergeCell ref="A125:J125"/>
    <mergeCell ref="A131:J131"/>
    <mergeCell ref="A209:J209"/>
    <mergeCell ref="A143:J143"/>
    <mergeCell ref="A149:J149"/>
    <mergeCell ref="A155:J155"/>
    <mergeCell ref="A161:J161"/>
    <mergeCell ref="A167:J167"/>
    <mergeCell ref="A173:J173"/>
    <mergeCell ref="A179:J179"/>
    <mergeCell ref="A185:J185"/>
    <mergeCell ref="A191:J191"/>
    <mergeCell ref="A197:J197"/>
    <mergeCell ref="A203:J203"/>
    <mergeCell ref="A281:J281"/>
    <mergeCell ref="A215:J215"/>
    <mergeCell ref="A221:J221"/>
    <mergeCell ref="A227:J227"/>
    <mergeCell ref="A233:J233"/>
    <mergeCell ref="A239:J239"/>
    <mergeCell ref="A245:J245"/>
    <mergeCell ref="A251:J251"/>
    <mergeCell ref="A257:J257"/>
    <mergeCell ref="A263:J263"/>
    <mergeCell ref="A269:J269"/>
    <mergeCell ref="A275:J275"/>
    <mergeCell ref="A323:J323"/>
    <mergeCell ref="A287:J287"/>
    <mergeCell ref="A293:J293"/>
    <mergeCell ref="A299:J299"/>
    <mergeCell ref="A305:J305"/>
    <mergeCell ref="A311:J311"/>
    <mergeCell ref="A317:J317"/>
  </mergeCells>
  <hyperlinks>
    <hyperlink ref="A1" r:id="rId1" display="https://www1.nls.niedersachsen.de/Statistik/pool/K70I5520/K70I5520_000017BEE956AD3346CDC0C3439D9EB60C30E4BA89FB02B0C3D3.zip" xr:uid="{664061F4-4AE8-4AD4-87B7-D7D8D55DC9A2}"/>
  </hyperlink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4205F-0618-4BE4-813B-80CBBFA3F6BE}">
  <sheetPr codeName="Tabelle21" filterMode="1"/>
  <dimension ref="A1:T313"/>
  <sheetViews>
    <sheetView topLeftCell="A110" workbookViewId="0">
      <selection activeCell="A314" sqref="A314"/>
    </sheetView>
  </sheetViews>
  <sheetFormatPr baseColWidth="10" defaultRowHeight="13.5"/>
  <cols>
    <col min="2" max="2" width="18.375" customWidth="1"/>
  </cols>
  <sheetData>
    <row r="1" spans="1:20">
      <c r="B1" s="251" t="s">
        <v>130</v>
      </c>
      <c r="C1" s="313" t="s">
        <v>11</v>
      </c>
      <c r="D1" s="314"/>
      <c r="E1" s="314"/>
      <c r="F1" s="314"/>
      <c r="G1" s="314"/>
      <c r="H1" s="314"/>
      <c r="I1" s="314"/>
      <c r="J1" s="314"/>
      <c r="K1" s="315"/>
    </row>
    <row r="2" spans="1:20">
      <c r="B2" s="252" t="s">
        <v>315</v>
      </c>
      <c r="C2" s="316"/>
      <c r="D2" s="317"/>
      <c r="E2" s="317"/>
      <c r="F2" s="317"/>
      <c r="G2" s="317"/>
      <c r="H2" s="317"/>
      <c r="I2" s="317"/>
      <c r="J2" s="317"/>
      <c r="K2" s="318"/>
    </row>
    <row r="3" spans="1:20" ht="14.25" thickBot="1">
      <c r="B3" s="252" t="s">
        <v>316</v>
      </c>
      <c r="C3" s="319"/>
      <c r="D3" s="320"/>
      <c r="E3" s="320"/>
      <c r="F3" s="320"/>
      <c r="G3" s="320"/>
      <c r="H3" s="320"/>
      <c r="I3" s="320"/>
      <c r="J3" s="320"/>
      <c r="K3" s="321"/>
    </row>
    <row r="4" spans="1:20" ht="14.25" thickBot="1">
      <c r="B4" s="252" t="s">
        <v>317</v>
      </c>
      <c r="C4" s="322" t="s">
        <v>12</v>
      </c>
      <c r="D4" s="323"/>
      <c r="E4" s="324"/>
      <c r="F4" s="322" t="s">
        <v>13</v>
      </c>
      <c r="G4" s="323"/>
      <c r="H4" s="324"/>
      <c r="I4" s="322" t="s">
        <v>14</v>
      </c>
      <c r="J4" s="323"/>
      <c r="K4" s="325"/>
    </row>
    <row r="5" spans="1:20" ht="14.25" thickBot="1">
      <c r="B5" s="252" t="s">
        <v>318</v>
      </c>
      <c r="C5" s="247" t="s">
        <v>15</v>
      </c>
      <c r="D5" s="247" t="s">
        <v>16</v>
      </c>
      <c r="E5" s="247" t="s">
        <v>17</v>
      </c>
      <c r="F5" s="247" t="s">
        <v>15</v>
      </c>
      <c r="G5" s="247" t="s">
        <v>16</v>
      </c>
      <c r="H5" s="247" t="s">
        <v>17</v>
      </c>
      <c r="I5" s="247" t="s">
        <v>15</v>
      </c>
      <c r="J5" s="247" t="s">
        <v>16</v>
      </c>
      <c r="K5" s="254" t="s">
        <v>17</v>
      </c>
      <c r="L5" s="258" t="s">
        <v>28</v>
      </c>
      <c r="M5" s="260" t="s">
        <v>321</v>
      </c>
      <c r="N5" s="258" t="s">
        <v>322</v>
      </c>
      <c r="O5" s="260" t="s">
        <v>323</v>
      </c>
      <c r="P5" s="258" t="s">
        <v>324</v>
      </c>
      <c r="Q5" s="275" t="s">
        <v>91</v>
      </c>
      <c r="R5" s="276" t="s">
        <v>92</v>
      </c>
      <c r="S5" s="275" t="s">
        <v>93</v>
      </c>
      <c r="T5" s="276" t="s">
        <v>131</v>
      </c>
    </row>
    <row r="6" spans="1:20" ht="14.25" thickBot="1">
      <c r="B6" s="255" t="s">
        <v>319</v>
      </c>
      <c r="C6" s="248">
        <v>1</v>
      </c>
      <c r="D6" s="248">
        <v>2</v>
      </c>
      <c r="E6" s="248">
        <v>3</v>
      </c>
      <c r="F6" s="248">
        <v>4</v>
      </c>
      <c r="G6" s="248">
        <v>5</v>
      </c>
      <c r="H6" s="248">
        <v>6</v>
      </c>
      <c r="I6" s="248">
        <v>7</v>
      </c>
      <c r="J6" s="248">
        <v>8</v>
      </c>
      <c r="K6" s="256">
        <v>9</v>
      </c>
    </row>
    <row r="7" spans="1:20" ht="14.25" thickBot="1">
      <c r="A7" s="277">
        <v>0</v>
      </c>
      <c r="B7" s="269" t="s">
        <v>3539</v>
      </c>
      <c r="C7" s="270"/>
      <c r="D7" s="270"/>
      <c r="E7" s="270"/>
      <c r="F7" s="270"/>
      <c r="G7" s="270"/>
      <c r="H7" s="270"/>
      <c r="I7" s="270"/>
      <c r="J7" s="270"/>
      <c r="K7" s="271"/>
      <c r="L7" s="249">
        <v>202263</v>
      </c>
      <c r="M7" s="250">
        <v>45389</v>
      </c>
      <c r="N7" s="249">
        <v>63946</v>
      </c>
      <c r="O7" s="250">
        <v>22413</v>
      </c>
      <c r="P7" s="249">
        <v>70515</v>
      </c>
      <c r="Q7">
        <f>O7/L7*100</f>
        <v>11.081117159342044</v>
      </c>
      <c r="R7">
        <f>N7/L7*100</f>
        <v>31.615273183923904</v>
      </c>
      <c r="S7">
        <f>M7/L7*100</f>
        <v>22.440584783178338</v>
      </c>
      <c r="T7">
        <f>P7/L7*100</f>
        <v>34.863024873555716</v>
      </c>
    </row>
    <row r="8" spans="1:20" ht="14.25" hidden="1" thickBot="1">
      <c r="B8" s="258" t="s">
        <v>28</v>
      </c>
      <c r="C8" s="249">
        <v>2836091</v>
      </c>
      <c r="D8" s="249">
        <v>1537923</v>
      </c>
      <c r="E8" s="249">
        <v>1298168</v>
      </c>
      <c r="F8" s="249">
        <v>2632786</v>
      </c>
      <c r="G8" s="249">
        <v>1405719</v>
      </c>
      <c r="H8" s="249">
        <v>1227067</v>
      </c>
      <c r="I8" s="249">
        <v>202263</v>
      </c>
      <c r="J8" s="249">
        <v>131518</v>
      </c>
      <c r="K8" s="259">
        <v>70745</v>
      </c>
    </row>
    <row r="9" spans="1:20" ht="14.25" hidden="1" thickBot="1">
      <c r="B9" s="260" t="s">
        <v>321</v>
      </c>
      <c r="C9" s="250">
        <v>334681</v>
      </c>
      <c r="D9" s="250">
        <v>188152</v>
      </c>
      <c r="E9" s="250">
        <v>146529</v>
      </c>
      <c r="F9" s="250">
        <v>289072</v>
      </c>
      <c r="G9" s="250">
        <v>158792</v>
      </c>
      <c r="H9" s="250">
        <v>130280</v>
      </c>
      <c r="I9" s="250">
        <v>45389</v>
      </c>
      <c r="J9" s="250">
        <v>29205</v>
      </c>
      <c r="K9" s="261">
        <v>16184</v>
      </c>
    </row>
    <row r="10" spans="1:20" ht="14.25" hidden="1" thickBot="1">
      <c r="B10" s="258" t="s">
        <v>322</v>
      </c>
      <c r="C10" s="249">
        <v>1860174</v>
      </c>
      <c r="D10" s="249">
        <v>985311</v>
      </c>
      <c r="E10" s="249">
        <v>874863</v>
      </c>
      <c r="F10" s="249">
        <v>1795824</v>
      </c>
      <c r="G10" s="249">
        <v>943587</v>
      </c>
      <c r="H10" s="249">
        <v>852237</v>
      </c>
      <c r="I10" s="249">
        <v>63946</v>
      </c>
      <c r="J10" s="249">
        <v>41474</v>
      </c>
      <c r="K10" s="259">
        <v>22472</v>
      </c>
    </row>
    <row r="11" spans="1:20" ht="14.25" hidden="1" thickBot="1">
      <c r="B11" s="260" t="s">
        <v>323</v>
      </c>
      <c r="C11" s="250">
        <v>334085</v>
      </c>
      <c r="D11" s="250">
        <v>189066</v>
      </c>
      <c r="E11" s="250">
        <v>145019</v>
      </c>
      <c r="F11" s="250">
        <v>311608</v>
      </c>
      <c r="G11" s="250">
        <v>176822</v>
      </c>
      <c r="H11" s="250">
        <v>134786</v>
      </c>
      <c r="I11" s="250">
        <v>22413</v>
      </c>
      <c r="J11" s="250">
        <v>12200</v>
      </c>
      <c r="K11" s="261">
        <v>10213</v>
      </c>
    </row>
    <row r="12" spans="1:20" ht="14.25" hidden="1" thickBot="1">
      <c r="B12" s="258" t="s">
        <v>324</v>
      </c>
      <c r="C12" s="249">
        <v>307151</v>
      </c>
      <c r="D12" s="249">
        <v>175394</v>
      </c>
      <c r="E12" s="249">
        <v>131757</v>
      </c>
      <c r="F12" s="249">
        <v>236282</v>
      </c>
      <c r="G12" s="249">
        <v>126518</v>
      </c>
      <c r="H12" s="249">
        <v>109764</v>
      </c>
      <c r="I12" s="249">
        <v>70515</v>
      </c>
      <c r="J12" s="249">
        <v>48639</v>
      </c>
      <c r="K12" s="259">
        <v>21876</v>
      </c>
    </row>
    <row r="13" spans="1:20" ht="14.25" thickBot="1">
      <c r="A13">
        <v>1</v>
      </c>
      <c r="B13" s="269" t="s">
        <v>3540</v>
      </c>
      <c r="C13" s="270"/>
      <c r="D13" s="270"/>
      <c r="E13" s="270"/>
      <c r="F13" s="270"/>
      <c r="G13" s="270"/>
      <c r="H13" s="270"/>
      <c r="I13" s="270"/>
      <c r="J13" s="270"/>
      <c r="K13" s="271"/>
      <c r="L13" s="249">
        <v>37992</v>
      </c>
      <c r="M13" s="250">
        <v>7565</v>
      </c>
      <c r="N13" s="249">
        <v>13075</v>
      </c>
      <c r="O13" s="250">
        <v>7247</v>
      </c>
      <c r="P13" s="249">
        <v>10105</v>
      </c>
      <c r="Q13">
        <f>O13/L13*100</f>
        <v>19.075068435460096</v>
      </c>
      <c r="R13">
        <f>N13/L13*100</f>
        <v>34.415140029479893</v>
      </c>
      <c r="S13">
        <f>M13/L13*100</f>
        <v>19.912086755106337</v>
      </c>
      <c r="T13">
        <f>P13/L13*100</f>
        <v>26.597704779953673</v>
      </c>
    </row>
    <row r="14" spans="1:20" ht="14.25" hidden="1" thickBot="1">
      <c r="B14" s="258" t="s">
        <v>28</v>
      </c>
      <c r="C14" s="249">
        <v>623903</v>
      </c>
      <c r="D14" s="249">
        <v>347471</v>
      </c>
      <c r="E14" s="249">
        <v>276432</v>
      </c>
      <c r="F14" s="249">
        <v>585737</v>
      </c>
      <c r="G14" s="249">
        <v>322300</v>
      </c>
      <c r="H14" s="249">
        <v>263437</v>
      </c>
      <c r="I14" s="249">
        <v>37992</v>
      </c>
      <c r="J14" s="249">
        <v>25064</v>
      </c>
      <c r="K14" s="259">
        <v>12928</v>
      </c>
    </row>
    <row r="15" spans="1:20" ht="14.25" hidden="1" thickBot="1">
      <c r="B15" s="260" t="s">
        <v>321</v>
      </c>
      <c r="C15" s="250">
        <v>65261</v>
      </c>
      <c r="D15" s="250">
        <v>36396</v>
      </c>
      <c r="E15" s="250">
        <v>28865</v>
      </c>
      <c r="F15" s="250">
        <v>57657</v>
      </c>
      <c r="G15" s="250">
        <v>31497</v>
      </c>
      <c r="H15" s="250">
        <v>26160</v>
      </c>
      <c r="I15" s="250">
        <v>7565</v>
      </c>
      <c r="J15" s="250">
        <v>4875</v>
      </c>
      <c r="K15" s="261">
        <v>2690</v>
      </c>
    </row>
    <row r="16" spans="1:20" ht="14.25" hidden="1" thickBot="1">
      <c r="B16" s="258" t="s">
        <v>322</v>
      </c>
      <c r="C16" s="249">
        <v>402897</v>
      </c>
      <c r="D16" s="249">
        <v>216942</v>
      </c>
      <c r="E16" s="249">
        <v>185955</v>
      </c>
      <c r="F16" s="249">
        <v>389760</v>
      </c>
      <c r="G16" s="249">
        <v>208177</v>
      </c>
      <c r="H16" s="249">
        <v>181583</v>
      </c>
      <c r="I16" s="249">
        <v>13075</v>
      </c>
      <c r="J16" s="249">
        <v>8728</v>
      </c>
      <c r="K16" s="259">
        <v>4347</v>
      </c>
    </row>
    <row r="17" spans="1:20" ht="14.25" hidden="1" thickBot="1">
      <c r="B17" s="260" t="s">
        <v>323</v>
      </c>
      <c r="C17" s="250">
        <v>97008</v>
      </c>
      <c r="D17" s="250">
        <v>59953</v>
      </c>
      <c r="E17" s="250">
        <v>37055</v>
      </c>
      <c r="F17" s="250">
        <v>89743</v>
      </c>
      <c r="G17" s="250">
        <v>55641</v>
      </c>
      <c r="H17" s="250">
        <v>34102</v>
      </c>
      <c r="I17" s="250">
        <v>7247</v>
      </c>
      <c r="J17" s="250">
        <v>4295</v>
      </c>
      <c r="K17" s="261">
        <v>2952</v>
      </c>
    </row>
    <row r="18" spans="1:20" ht="14.25" hidden="1" thickBot="1">
      <c r="B18" s="258" t="s">
        <v>324</v>
      </c>
      <c r="C18" s="249">
        <v>58737</v>
      </c>
      <c r="D18" s="249">
        <v>34180</v>
      </c>
      <c r="E18" s="249">
        <v>24557</v>
      </c>
      <c r="F18" s="249">
        <v>48577</v>
      </c>
      <c r="G18" s="249">
        <v>26985</v>
      </c>
      <c r="H18" s="249">
        <v>21592</v>
      </c>
      <c r="I18" s="249">
        <v>10105</v>
      </c>
      <c r="J18" s="249">
        <v>7166</v>
      </c>
      <c r="K18" s="259">
        <v>2939</v>
      </c>
    </row>
    <row r="19" spans="1:20" ht="14.25" thickBot="1">
      <c r="A19" s="277">
        <v>101</v>
      </c>
      <c r="B19" s="269" t="s">
        <v>3541</v>
      </c>
      <c r="C19" s="270"/>
      <c r="D19" s="270"/>
      <c r="E19" s="270"/>
      <c r="F19" s="270"/>
      <c r="G19" s="270"/>
      <c r="H19" s="270"/>
      <c r="I19" s="270"/>
      <c r="J19" s="270"/>
      <c r="K19" s="271"/>
      <c r="L19" s="249">
        <v>7951</v>
      </c>
      <c r="M19" s="250">
        <v>1616</v>
      </c>
      <c r="N19" s="249">
        <v>2476</v>
      </c>
      <c r="O19" s="250">
        <v>1772</v>
      </c>
      <c r="P19" s="249">
        <v>2087</v>
      </c>
      <c r="Q19">
        <f>O19/L19*100</f>
        <v>22.286504842158219</v>
      </c>
      <c r="R19">
        <f>N19/L19*100</f>
        <v>31.14073701421205</v>
      </c>
      <c r="S19">
        <f>M19/L19*100</f>
        <v>20.324487485850838</v>
      </c>
      <c r="T19">
        <f>P19/L19*100</f>
        <v>26.248270657778892</v>
      </c>
    </row>
    <row r="20" spans="1:20" ht="14.25" hidden="1" thickBot="1">
      <c r="B20" s="258" t="s">
        <v>28</v>
      </c>
      <c r="C20" s="249">
        <v>125138</v>
      </c>
      <c r="D20" s="249">
        <v>65686</v>
      </c>
      <c r="E20" s="249">
        <v>59452</v>
      </c>
      <c r="F20" s="249">
        <v>117158</v>
      </c>
      <c r="G20" s="249">
        <v>60998</v>
      </c>
      <c r="H20" s="249">
        <v>56160</v>
      </c>
      <c r="I20" s="249">
        <v>7951</v>
      </c>
      <c r="J20" s="249">
        <v>4671</v>
      </c>
      <c r="K20" s="259">
        <v>3280</v>
      </c>
    </row>
    <row r="21" spans="1:20" ht="14.25" hidden="1" thickBot="1">
      <c r="B21" s="260" t="s">
        <v>321</v>
      </c>
      <c r="C21" s="250">
        <v>13743</v>
      </c>
      <c r="D21" s="250">
        <v>7489</v>
      </c>
      <c r="E21" s="250">
        <v>6254</v>
      </c>
      <c r="F21" s="250">
        <v>12118</v>
      </c>
      <c r="G21" s="250">
        <v>6517</v>
      </c>
      <c r="H21" s="250">
        <v>5601</v>
      </c>
      <c r="I21" s="250">
        <v>1616</v>
      </c>
      <c r="J21" s="250">
        <v>966</v>
      </c>
      <c r="K21" s="261">
        <v>650</v>
      </c>
    </row>
    <row r="22" spans="1:20" ht="14.25" hidden="1" thickBot="1">
      <c r="B22" s="258" t="s">
        <v>322</v>
      </c>
      <c r="C22" s="249">
        <v>76467</v>
      </c>
      <c r="D22" s="249">
        <v>38280</v>
      </c>
      <c r="E22" s="249">
        <v>38187</v>
      </c>
      <c r="F22" s="249">
        <v>73983</v>
      </c>
      <c r="G22" s="249">
        <v>36832</v>
      </c>
      <c r="H22" s="249">
        <v>37151</v>
      </c>
      <c r="I22" s="249">
        <v>2476</v>
      </c>
      <c r="J22" s="249">
        <v>1444</v>
      </c>
      <c r="K22" s="259">
        <v>1032</v>
      </c>
    </row>
    <row r="23" spans="1:20" ht="14.25" hidden="1" thickBot="1">
      <c r="B23" s="260" t="s">
        <v>323</v>
      </c>
      <c r="C23" s="250">
        <v>24041</v>
      </c>
      <c r="D23" s="250">
        <v>14218</v>
      </c>
      <c r="E23" s="250">
        <v>9823</v>
      </c>
      <c r="F23" s="250">
        <v>22265</v>
      </c>
      <c r="G23" s="250">
        <v>13239</v>
      </c>
      <c r="H23" s="250">
        <v>9026</v>
      </c>
      <c r="I23" s="250">
        <v>1772</v>
      </c>
      <c r="J23" s="250">
        <v>975</v>
      </c>
      <c r="K23" s="261">
        <v>797</v>
      </c>
    </row>
    <row r="24" spans="1:20" ht="14.25" hidden="1" thickBot="1">
      <c r="B24" s="258" t="s">
        <v>324</v>
      </c>
      <c r="C24" s="249">
        <v>10887</v>
      </c>
      <c r="D24" s="249">
        <v>5699</v>
      </c>
      <c r="E24" s="249">
        <v>5188</v>
      </c>
      <c r="F24" s="249">
        <v>8792</v>
      </c>
      <c r="G24" s="249">
        <v>4410</v>
      </c>
      <c r="H24" s="249">
        <v>4382</v>
      </c>
      <c r="I24" s="249">
        <v>2087</v>
      </c>
      <c r="J24" s="249">
        <v>1286</v>
      </c>
      <c r="K24" s="259">
        <v>801</v>
      </c>
    </row>
    <row r="25" spans="1:20" ht="14.25" thickBot="1">
      <c r="A25">
        <v>102</v>
      </c>
      <c r="B25" s="269" t="s">
        <v>3542</v>
      </c>
      <c r="C25" s="270"/>
      <c r="D25" s="270"/>
      <c r="E25" s="270"/>
      <c r="F25" s="270"/>
      <c r="G25" s="270"/>
      <c r="H25" s="270"/>
      <c r="I25" s="270"/>
      <c r="J25" s="270"/>
      <c r="K25" s="271"/>
      <c r="L25" s="249">
        <v>3635</v>
      </c>
      <c r="M25" s="250">
        <v>824</v>
      </c>
      <c r="N25" s="249">
        <v>1580</v>
      </c>
      <c r="O25" s="250">
        <v>258</v>
      </c>
      <c r="P25" s="249">
        <v>973</v>
      </c>
      <c r="Q25">
        <f>O25/L25*100</f>
        <v>7.0976616231086656</v>
      </c>
      <c r="R25">
        <f>N25/L25*100</f>
        <v>43.466299862448423</v>
      </c>
      <c r="S25">
        <f>M25/L25*100</f>
        <v>22.668500687757909</v>
      </c>
      <c r="T25">
        <f>P25/L25*100</f>
        <v>26.767537826685007</v>
      </c>
    </row>
    <row r="26" spans="1:20" ht="14.25" hidden="1" thickBot="1">
      <c r="B26" s="258" t="s">
        <v>28</v>
      </c>
      <c r="C26" s="249">
        <v>47399</v>
      </c>
      <c r="D26" s="249">
        <v>31877</v>
      </c>
      <c r="E26" s="249">
        <v>15522</v>
      </c>
      <c r="F26" s="249">
        <v>43742</v>
      </c>
      <c r="G26" s="249">
        <v>29001</v>
      </c>
      <c r="H26" s="249">
        <v>14741</v>
      </c>
      <c r="I26" s="249">
        <v>3635</v>
      </c>
      <c r="J26" s="249">
        <v>2863</v>
      </c>
      <c r="K26" s="259">
        <v>772</v>
      </c>
    </row>
    <row r="27" spans="1:20" ht="14.25" hidden="1" thickBot="1">
      <c r="B27" s="260" t="s">
        <v>321</v>
      </c>
      <c r="C27" s="250">
        <v>4926</v>
      </c>
      <c r="D27" s="250">
        <v>3009</v>
      </c>
      <c r="E27" s="250">
        <v>1917</v>
      </c>
      <c r="F27" s="250">
        <v>4099</v>
      </c>
      <c r="G27" s="250">
        <v>2397</v>
      </c>
      <c r="H27" s="250">
        <v>1702</v>
      </c>
      <c r="I27" s="250">
        <v>824</v>
      </c>
      <c r="J27" s="250">
        <v>611</v>
      </c>
      <c r="K27" s="261">
        <v>213</v>
      </c>
    </row>
    <row r="28" spans="1:20" ht="14.25" hidden="1" thickBot="1">
      <c r="B28" s="258" t="s">
        <v>322</v>
      </c>
      <c r="C28" s="249">
        <v>32019</v>
      </c>
      <c r="D28" s="249">
        <v>21513</v>
      </c>
      <c r="E28" s="249">
        <v>10506</v>
      </c>
      <c r="F28" s="249">
        <v>30428</v>
      </c>
      <c r="G28" s="249">
        <v>20224</v>
      </c>
      <c r="H28" s="249">
        <v>10204</v>
      </c>
      <c r="I28" s="249">
        <v>1580</v>
      </c>
      <c r="J28" s="249">
        <v>1282</v>
      </c>
      <c r="K28" s="259">
        <v>298</v>
      </c>
    </row>
    <row r="29" spans="1:20" ht="14.25" hidden="1" thickBot="1">
      <c r="B29" s="260" t="s">
        <v>323</v>
      </c>
      <c r="C29" s="250">
        <v>4588</v>
      </c>
      <c r="D29" s="250">
        <v>3048</v>
      </c>
      <c r="E29" s="250">
        <v>1540</v>
      </c>
      <c r="F29" s="250">
        <v>4328</v>
      </c>
      <c r="G29" s="250">
        <v>2887</v>
      </c>
      <c r="H29" s="250">
        <v>1441</v>
      </c>
      <c r="I29" s="250">
        <v>258</v>
      </c>
      <c r="J29" s="250">
        <v>159</v>
      </c>
      <c r="K29" s="261">
        <v>99</v>
      </c>
    </row>
    <row r="30" spans="1:20" ht="14.25" hidden="1" thickBot="1">
      <c r="B30" s="258" t="s">
        <v>324</v>
      </c>
      <c r="C30" s="249">
        <v>5866</v>
      </c>
      <c r="D30" s="249">
        <v>4307</v>
      </c>
      <c r="E30" s="249">
        <v>1559</v>
      </c>
      <c r="F30" s="249">
        <v>4887</v>
      </c>
      <c r="G30" s="249">
        <v>3493</v>
      </c>
      <c r="H30" s="249">
        <v>1394</v>
      </c>
      <c r="I30" s="249">
        <v>973</v>
      </c>
      <c r="J30" s="249">
        <v>811</v>
      </c>
      <c r="K30" s="259">
        <v>162</v>
      </c>
    </row>
    <row r="31" spans="1:20" ht="14.25" thickBot="1">
      <c r="A31">
        <v>103</v>
      </c>
      <c r="B31" s="269" t="s">
        <v>3543</v>
      </c>
      <c r="C31" s="270"/>
      <c r="D31" s="270"/>
      <c r="E31" s="270"/>
      <c r="F31" s="270"/>
      <c r="G31" s="270"/>
      <c r="H31" s="270"/>
      <c r="I31" s="270"/>
      <c r="J31" s="270"/>
      <c r="K31" s="271"/>
      <c r="L31" s="249">
        <v>8705</v>
      </c>
      <c r="M31" s="250">
        <v>1096</v>
      </c>
      <c r="N31" s="249">
        <v>2930</v>
      </c>
      <c r="O31" s="250">
        <v>1936</v>
      </c>
      <c r="P31" s="249">
        <v>2743</v>
      </c>
      <c r="Q31">
        <f>O31/L31*100</f>
        <v>22.240091901206203</v>
      </c>
      <c r="R31">
        <f>N31/L31*100</f>
        <v>33.658816771970137</v>
      </c>
      <c r="S31">
        <f>M31/L31*100</f>
        <v>12.590465249856406</v>
      </c>
      <c r="T31">
        <f>P31/L31*100</f>
        <v>31.510626076967256</v>
      </c>
    </row>
    <row r="32" spans="1:20" ht="14.25" hidden="1" thickBot="1">
      <c r="B32" s="258" t="s">
        <v>28</v>
      </c>
      <c r="C32" s="249">
        <v>120154</v>
      </c>
      <c r="D32" s="249">
        <v>81167</v>
      </c>
      <c r="E32" s="249">
        <v>38987</v>
      </c>
      <c r="F32" s="249">
        <v>111421</v>
      </c>
      <c r="G32" s="249">
        <v>75075</v>
      </c>
      <c r="H32" s="249">
        <v>36346</v>
      </c>
      <c r="I32" s="249">
        <v>8705</v>
      </c>
      <c r="J32" s="249">
        <v>6078</v>
      </c>
      <c r="K32" s="259">
        <v>2627</v>
      </c>
    </row>
    <row r="33" spans="1:20" ht="14.25" hidden="1" thickBot="1">
      <c r="B33" s="260" t="s">
        <v>321</v>
      </c>
      <c r="C33" s="250">
        <v>7475</v>
      </c>
      <c r="D33" s="250">
        <v>4353</v>
      </c>
      <c r="E33" s="250">
        <v>3122</v>
      </c>
      <c r="F33" s="250">
        <v>6373</v>
      </c>
      <c r="G33" s="250">
        <v>3647</v>
      </c>
      <c r="H33" s="250">
        <v>2726</v>
      </c>
      <c r="I33" s="250">
        <v>1096</v>
      </c>
      <c r="J33" s="250">
        <v>703</v>
      </c>
      <c r="K33" s="261">
        <v>393</v>
      </c>
    </row>
    <row r="34" spans="1:20" ht="14.25" hidden="1" thickBot="1">
      <c r="B34" s="258" t="s">
        <v>322</v>
      </c>
      <c r="C34" s="249">
        <v>70784</v>
      </c>
      <c r="D34" s="249">
        <v>46950</v>
      </c>
      <c r="E34" s="249">
        <v>23834</v>
      </c>
      <c r="F34" s="249">
        <v>67845</v>
      </c>
      <c r="G34" s="249">
        <v>44951</v>
      </c>
      <c r="H34" s="249">
        <v>22894</v>
      </c>
      <c r="I34" s="249">
        <v>2930</v>
      </c>
      <c r="J34" s="249">
        <v>1994</v>
      </c>
      <c r="K34" s="259">
        <v>936</v>
      </c>
    </row>
    <row r="35" spans="1:20" ht="14.25" hidden="1" thickBot="1">
      <c r="B35" s="260" t="s">
        <v>323</v>
      </c>
      <c r="C35" s="250">
        <v>27253</v>
      </c>
      <c r="D35" s="250">
        <v>20170</v>
      </c>
      <c r="E35" s="250">
        <v>7083</v>
      </c>
      <c r="F35" s="250">
        <v>25314</v>
      </c>
      <c r="G35" s="250">
        <v>18854</v>
      </c>
      <c r="H35" s="250">
        <v>6460</v>
      </c>
      <c r="I35" s="250">
        <v>1936</v>
      </c>
      <c r="J35" s="250">
        <v>1314</v>
      </c>
      <c r="K35" s="261">
        <v>622</v>
      </c>
    </row>
    <row r="36" spans="1:20" ht="14.25" hidden="1" thickBot="1">
      <c r="B36" s="258" t="s">
        <v>324</v>
      </c>
      <c r="C36" s="249">
        <v>14642</v>
      </c>
      <c r="D36" s="249">
        <v>9694</v>
      </c>
      <c r="E36" s="249">
        <v>4948</v>
      </c>
      <c r="F36" s="249">
        <v>11889</v>
      </c>
      <c r="G36" s="249">
        <v>7623</v>
      </c>
      <c r="H36" s="249">
        <v>4266</v>
      </c>
      <c r="I36" s="249">
        <v>2743</v>
      </c>
      <c r="J36" s="249">
        <v>2067</v>
      </c>
      <c r="K36" s="259">
        <v>676</v>
      </c>
    </row>
    <row r="37" spans="1:20" ht="14.25" thickBot="1">
      <c r="A37">
        <v>151</v>
      </c>
      <c r="B37" s="269" t="s">
        <v>3544</v>
      </c>
      <c r="C37" s="270"/>
      <c r="D37" s="270"/>
      <c r="E37" s="270"/>
      <c r="F37" s="270"/>
      <c r="G37" s="270"/>
      <c r="H37" s="270"/>
      <c r="I37" s="270"/>
      <c r="J37" s="270"/>
      <c r="K37" s="271"/>
      <c r="L37" s="249">
        <v>2218</v>
      </c>
      <c r="M37" s="250">
        <v>560</v>
      </c>
      <c r="N37" s="249">
        <v>636</v>
      </c>
      <c r="O37" s="250">
        <v>340</v>
      </c>
      <c r="P37" s="249">
        <v>682</v>
      </c>
      <c r="Q37">
        <f>O37/L37*100</f>
        <v>15.329125338142472</v>
      </c>
      <c r="R37">
        <f>N37/L37*100</f>
        <v>28.67448151487827</v>
      </c>
      <c r="S37">
        <f>M37/L37*100</f>
        <v>25.247971145175836</v>
      </c>
      <c r="T37">
        <f>P37/L37*100</f>
        <v>30.748422001803426</v>
      </c>
    </row>
    <row r="38" spans="1:20" ht="14.25" hidden="1" thickBot="1">
      <c r="B38" s="258" t="s">
        <v>28</v>
      </c>
      <c r="C38" s="249">
        <v>40712</v>
      </c>
      <c r="D38" s="249">
        <v>21545</v>
      </c>
      <c r="E38" s="249">
        <v>19167</v>
      </c>
      <c r="F38" s="249">
        <v>38485</v>
      </c>
      <c r="G38" s="249">
        <v>20075</v>
      </c>
      <c r="H38" s="249">
        <v>18410</v>
      </c>
      <c r="I38" s="249">
        <v>2218</v>
      </c>
      <c r="J38" s="249">
        <v>1464</v>
      </c>
      <c r="K38" s="259">
        <v>754</v>
      </c>
    </row>
    <row r="39" spans="1:20" ht="14.25" hidden="1" thickBot="1">
      <c r="B39" s="260" t="s">
        <v>321</v>
      </c>
      <c r="C39" s="250">
        <v>5289</v>
      </c>
      <c r="D39" s="250">
        <v>2932</v>
      </c>
      <c r="E39" s="250">
        <v>2357</v>
      </c>
      <c r="F39" s="250">
        <v>4726</v>
      </c>
      <c r="G39" s="250">
        <v>2542</v>
      </c>
      <c r="H39" s="250">
        <v>2184</v>
      </c>
      <c r="I39" s="250">
        <v>560</v>
      </c>
      <c r="J39" s="250">
        <v>389</v>
      </c>
      <c r="K39" s="261">
        <v>171</v>
      </c>
    </row>
    <row r="40" spans="1:20" ht="14.25" hidden="1" thickBot="1">
      <c r="B40" s="258" t="s">
        <v>322</v>
      </c>
      <c r="C40" s="249">
        <v>26031</v>
      </c>
      <c r="D40" s="249">
        <v>12739</v>
      </c>
      <c r="E40" s="249">
        <v>13292</v>
      </c>
      <c r="F40" s="249">
        <v>25392</v>
      </c>
      <c r="G40" s="249">
        <v>12378</v>
      </c>
      <c r="H40" s="249">
        <v>13014</v>
      </c>
      <c r="I40" s="249">
        <v>636</v>
      </c>
      <c r="J40" s="249">
        <v>358</v>
      </c>
      <c r="K40" s="259">
        <v>278</v>
      </c>
    </row>
    <row r="41" spans="1:20" ht="14.25" hidden="1" thickBot="1">
      <c r="B41" s="260" t="s">
        <v>323</v>
      </c>
      <c r="C41" s="250">
        <v>5622</v>
      </c>
      <c r="D41" s="250">
        <v>3766</v>
      </c>
      <c r="E41" s="250">
        <v>1856</v>
      </c>
      <c r="F41" s="250">
        <v>5282</v>
      </c>
      <c r="G41" s="250">
        <v>3550</v>
      </c>
      <c r="H41" s="250">
        <v>1732</v>
      </c>
      <c r="I41" s="250">
        <v>340</v>
      </c>
      <c r="J41" s="250">
        <v>216</v>
      </c>
      <c r="K41" s="261">
        <v>124</v>
      </c>
    </row>
    <row r="42" spans="1:20" ht="14.25" hidden="1" thickBot="1">
      <c r="B42" s="258" t="s">
        <v>324</v>
      </c>
      <c r="C42" s="249">
        <v>3770</v>
      </c>
      <c r="D42" s="249">
        <v>2108</v>
      </c>
      <c r="E42" s="249">
        <v>1662</v>
      </c>
      <c r="F42" s="249">
        <v>3085</v>
      </c>
      <c r="G42" s="249">
        <v>1605</v>
      </c>
      <c r="H42" s="249">
        <v>1480</v>
      </c>
      <c r="I42" s="249">
        <v>682</v>
      </c>
      <c r="J42" s="249">
        <v>501</v>
      </c>
      <c r="K42" s="259">
        <v>181</v>
      </c>
    </row>
    <row r="43" spans="1:20" ht="14.25" thickBot="1">
      <c r="A43">
        <v>153</v>
      </c>
      <c r="B43" s="269" t="s">
        <v>3545</v>
      </c>
      <c r="C43" s="270"/>
      <c r="D43" s="270"/>
      <c r="E43" s="270"/>
      <c r="F43" s="270"/>
      <c r="G43" s="270"/>
      <c r="H43" s="270"/>
      <c r="I43" s="270"/>
      <c r="J43" s="270"/>
      <c r="K43" s="271"/>
      <c r="L43" s="249">
        <v>2132</v>
      </c>
      <c r="M43" s="250">
        <v>444</v>
      </c>
      <c r="N43" s="249">
        <v>694</v>
      </c>
      <c r="O43" s="250">
        <v>398</v>
      </c>
      <c r="P43" s="249">
        <v>596</v>
      </c>
      <c r="Q43">
        <f>O43/L43*100</f>
        <v>18.667917448405252</v>
      </c>
      <c r="R43">
        <f>N43/L43*100</f>
        <v>32.551594746716702</v>
      </c>
      <c r="S43">
        <f>M43/L43*100</f>
        <v>20.825515947467167</v>
      </c>
      <c r="T43">
        <f>P43/L43*100</f>
        <v>27.954971857410882</v>
      </c>
    </row>
    <row r="44" spans="1:20" ht="14.25" hidden="1" thickBot="1">
      <c r="B44" s="258" t="s">
        <v>28</v>
      </c>
      <c r="C44" s="249">
        <v>43807</v>
      </c>
      <c r="D44" s="249">
        <v>21970</v>
      </c>
      <c r="E44" s="249">
        <v>21837</v>
      </c>
      <c r="F44" s="249">
        <v>41655</v>
      </c>
      <c r="G44" s="249">
        <v>20580</v>
      </c>
      <c r="H44" s="249">
        <v>21075</v>
      </c>
      <c r="I44" s="249">
        <v>2132</v>
      </c>
      <c r="J44" s="249">
        <v>1379</v>
      </c>
      <c r="K44" s="259">
        <v>753</v>
      </c>
    </row>
    <row r="45" spans="1:20" ht="14.25" hidden="1" thickBot="1">
      <c r="B45" s="260" t="s">
        <v>321</v>
      </c>
      <c r="C45" s="250">
        <v>4556</v>
      </c>
      <c r="D45" s="250">
        <v>2463</v>
      </c>
      <c r="E45" s="250">
        <v>2093</v>
      </c>
      <c r="F45" s="250">
        <v>4111</v>
      </c>
      <c r="G45" s="250">
        <v>2194</v>
      </c>
      <c r="H45" s="250">
        <v>1917</v>
      </c>
      <c r="I45" s="250">
        <v>444</v>
      </c>
      <c r="J45" s="250">
        <v>269</v>
      </c>
      <c r="K45" s="261">
        <v>175</v>
      </c>
    </row>
    <row r="46" spans="1:20" ht="14.25" hidden="1" thickBot="1">
      <c r="B46" s="258" t="s">
        <v>322</v>
      </c>
      <c r="C46" s="249">
        <v>31131</v>
      </c>
      <c r="D46" s="249">
        <v>15225</v>
      </c>
      <c r="E46" s="249">
        <v>15906</v>
      </c>
      <c r="F46" s="249">
        <v>30426</v>
      </c>
      <c r="G46" s="249">
        <v>14793</v>
      </c>
      <c r="H46" s="249">
        <v>15633</v>
      </c>
      <c r="I46" s="249">
        <v>694</v>
      </c>
      <c r="J46" s="249">
        <v>426</v>
      </c>
      <c r="K46" s="259">
        <v>268</v>
      </c>
    </row>
    <row r="47" spans="1:20" ht="14.25" hidden="1" thickBot="1">
      <c r="B47" s="260" t="s">
        <v>323</v>
      </c>
      <c r="C47" s="250">
        <v>4317</v>
      </c>
      <c r="D47" s="250">
        <v>2387</v>
      </c>
      <c r="E47" s="250">
        <v>1930</v>
      </c>
      <c r="F47" s="250">
        <v>3918</v>
      </c>
      <c r="G47" s="250">
        <v>2130</v>
      </c>
      <c r="H47" s="250">
        <v>1788</v>
      </c>
      <c r="I47" s="250">
        <v>398</v>
      </c>
      <c r="J47" s="250">
        <v>256</v>
      </c>
      <c r="K47" s="261">
        <v>142</v>
      </c>
    </row>
    <row r="48" spans="1:20" ht="14.25" hidden="1" thickBot="1">
      <c r="B48" s="258" t="s">
        <v>324</v>
      </c>
      <c r="C48" s="249">
        <v>3803</v>
      </c>
      <c r="D48" s="249">
        <v>1895</v>
      </c>
      <c r="E48" s="249">
        <v>1908</v>
      </c>
      <c r="F48" s="249">
        <v>3200</v>
      </c>
      <c r="G48" s="249">
        <v>1463</v>
      </c>
      <c r="H48" s="249">
        <v>1737</v>
      </c>
      <c r="I48" s="249">
        <v>596</v>
      </c>
      <c r="J48" s="249">
        <v>428</v>
      </c>
      <c r="K48" s="259">
        <v>168</v>
      </c>
    </row>
    <row r="49" spans="1:20" ht="14.25" thickBot="1">
      <c r="A49">
        <v>154</v>
      </c>
      <c r="B49" s="269" t="s">
        <v>3546</v>
      </c>
      <c r="C49" s="270"/>
      <c r="D49" s="270"/>
      <c r="E49" s="270"/>
      <c r="F49" s="270"/>
      <c r="G49" s="270"/>
      <c r="H49" s="270"/>
      <c r="I49" s="270"/>
      <c r="J49" s="270"/>
      <c r="K49" s="271"/>
      <c r="L49" s="249">
        <v>862</v>
      </c>
      <c r="M49" s="250">
        <v>213</v>
      </c>
      <c r="N49" s="249">
        <v>303</v>
      </c>
      <c r="O49" s="250">
        <v>137</v>
      </c>
      <c r="P49" s="249">
        <v>209</v>
      </c>
      <c r="Q49">
        <f>O49/L49*100</f>
        <v>15.893271461716937</v>
      </c>
      <c r="R49">
        <f>N49/L49*100</f>
        <v>35.150812064965194</v>
      </c>
      <c r="S49">
        <f>M49/L49*100</f>
        <v>24.709976798143853</v>
      </c>
      <c r="T49">
        <f>P49/L49*100</f>
        <v>24.245939675174014</v>
      </c>
    </row>
    <row r="50" spans="1:20" ht="14.25" hidden="1" thickBot="1">
      <c r="B50" s="258" t="s">
        <v>28</v>
      </c>
      <c r="C50" s="249">
        <v>21624</v>
      </c>
      <c r="D50" s="249">
        <v>9190</v>
      </c>
      <c r="E50" s="249">
        <v>12434</v>
      </c>
      <c r="F50" s="249">
        <v>20756</v>
      </c>
      <c r="G50" s="249">
        <v>8676</v>
      </c>
      <c r="H50" s="249">
        <v>12080</v>
      </c>
      <c r="I50" s="249">
        <v>862</v>
      </c>
      <c r="J50" s="249">
        <v>509</v>
      </c>
      <c r="K50" s="259">
        <v>353</v>
      </c>
    </row>
    <row r="51" spans="1:20" ht="14.25" hidden="1" thickBot="1">
      <c r="B51" s="260" t="s">
        <v>321</v>
      </c>
      <c r="C51" s="250">
        <v>2318</v>
      </c>
      <c r="D51" s="250">
        <v>1129</v>
      </c>
      <c r="E51" s="250">
        <v>1189</v>
      </c>
      <c r="F51" s="250">
        <v>2105</v>
      </c>
      <c r="G51" s="250">
        <v>1008</v>
      </c>
      <c r="H51" s="250">
        <v>1097</v>
      </c>
      <c r="I51" s="250">
        <v>213</v>
      </c>
      <c r="J51" s="250">
        <v>121</v>
      </c>
      <c r="K51" s="261">
        <v>92</v>
      </c>
    </row>
    <row r="52" spans="1:20" ht="14.25" hidden="1" thickBot="1">
      <c r="B52" s="258" t="s">
        <v>322</v>
      </c>
      <c r="C52" s="249">
        <v>15226</v>
      </c>
      <c r="D52" s="249">
        <v>6090</v>
      </c>
      <c r="E52" s="249">
        <v>9136</v>
      </c>
      <c r="F52" s="249">
        <v>14919</v>
      </c>
      <c r="G52" s="249">
        <v>5916</v>
      </c>
      <c r="H52" s="249">
        <v>9003</v>
      </c>
      <c r="I52" s="249">
        <v>303</v>
      </c>
      <c r="J52" s="249">
        <v>171</v>
      </c>
      <c r="K52" s="259">
        <v>132</v>
      </c>
    </row>
    <row r="53" spans="1:20" ht="14.25" hidden="1" thickBot="1">
      <c r="B53" s="260" t="s">
        <v>323</v>
      </c>
      <c r="C53" s="250">
        <v>1906</v>
      </c>
      <c r="D53" s="250">
        <v>898</v>
      </c>
      <c r="E53" s="250">
        <v>1008</v>
      </c>
      <c r="F53" s="250">
        <v>1769</v>
      </c>
      <c r="G53" s="250">
        <v>818</v>
      </c>
      <c r="H53" s="250">
        <v>951</v>
      </c>
      <c r="I53" s="250">
        <v>137</v>
      </c>
      <c r="J53" s="250">
        <v>80</v>
      </c>
      <c r="K53" s="261">
        <v>57</v>
      </c>
    </row>
    <row r="54" spans="1:20" ht="14.25" hidden="1" thickBot="1">
      <c r="B54" s="258" t="s">
        <v>324</v>
      </c>
      <c r="C54" s="249">
        <v>2174</v>
      </c>
      <c r="D54" s="249">
        <v>1073</v>
      </c>
      <c r="E54" s="249">
        <v>1101</v>
      </c>
      <c r="F54" s="249">
        <v>1963</v>
      </c>
      <c r="G54" s="249">
        <v>934</v>
      </c>
      <c r="H54" s="249">
        <v>1029</v>
      </c>
      <c r="I54" s="249">
        <v>209</v>
      </c>
      <c r="J54" s="249">
        <v>137</v>
      </c>
      <c r="K54" s="259">
        <v>72</v>
      </c>
    </row>
    <row r="55" spans="1:20" ht="14.25" thickBot="1">
      <c r="A55">
        <v>155</v>
      </c>
      <c r="B55" s="269" t="s">
        <v>3547</v>
      </c>
      <c r="C55" s="270"/>
      <c r="D55" s="270"/>
      <c r="E55" s="270"/>
      <c r="F55" s="270"/>
      <c r="G55" s="270"/>
      <c r="H55" s="270"/>
      <c r="I55" s="270"/>
      <c r="J55" s="270"/>
      <c r="K55" s="271"/>
      <c r="L55" s="249">
        <v>2414</v>
      </c>
      <c r="M55" s="250">
        <v>406</v>
      </c>
      <c r="N55" s="249">
        <v>1185</v>
      </c>
      <c r="O55" s="250">
        <v>211</v>
      </c>
      <c r="P55" s="249">
        <v>612</v>
      </c>
      <c r="Q55">
        <f>O55/L55*100</f>
        <v>8.7406793703396843</v>
      </c>
      <c r="R55">
        <f>N55/L55*100</f>
        <v>49.088649544324767</v>
      </c>
      <c r="S55">
        <f>M55/L55*100</f>
        <v>16.818558409279206</v>
      </c>
      <c r="T55">
        <f>P55/L55*100</f>
        <v>25.352112676056336</v>
      </c>
    </row>
    <row r="56" spans="1:20" ht="14.25" hidden="1" thickBot="1">
      <c r="B56" s="258" t="s">
        <v>28</v>
      </c>
      <c r="C56" s="249">
        <v>44149</v>
      </c>
      <c r="D56" s="249">
        <v>23967</v>
      </c>
      <c r="E56" s="249">
        <v>20182</v>
      </c>
      <c r="F56" s="249">
        <v>41721</v>
      </c>
      <c r="G56" s="249">
        <v>22117</v>
      </c>
      <c r="H56" s="249">
        <v>19604</v>
      </c>
      <c r="I56" s="249">
        <v>2414</v>
      </c>
      <c r="J56" s="249">
        <v>1841</v>
      </c>
      <c r="K56" s="259">
        <v>573</v>
      </c>
    </row>
    <row r="57" spans="1:20" ht="14.25" hidden="1" thickBot="1">
      <c r="B57" s="260" t="s">
        <v>321</v>
      </c>
      <c r="C57" s="250">
        <v>4511</v>
      </c>
      <c r="D57" s="250">
        <v>2562</v>
      </c>
      <c r="E57" s="250">
        <v>1949</v>
      </c>
      <c r="F57" s="250">
        <v>4101</v>
      </c>
      <c r="G57" s="250">
        <v>2269</v>
      </c>
      <c r="H57" s="250">
        <v>1832</v>
      </c>
      <c r="I57" s="250">
        <v>406</v>
      </c>
      <c r="J57" s="250">
        <v>289</v>
      </c>
      <c r="K57" s="261">
        <v>117</v>
      </c>
    </row>
    <row r="58" spans="1:20" ht="14.25" hidden="1" thickBot="1">
      <c r="B58" s="258" t="s">
        <v>322</v>
      </c>
      <c r="C58" s="249">
        <v>31880</v>
      </c>
      <c r="D58" s="249">
        <v>17404</v>
      </c>
      <c r="E58" s="249">
        <v>14476</v>
      </c>
      <c r="F58" s="249">
        <v>30691</v>
      </c>
      <c r="G58" s="249">
        <v>16417</v>
      </c>
      <c r="H58" s="249">
        <v>14274</v>
      </c>
      <c r="I58" s="249">
        <v>1185</v>
      </c>
      <c r="J58" s="249">
        <v>984</v>
      </c>
      <c r="K58" s="259">
        <v>201</v>
      </c>
    </row>
    <row r="59" spans="1:20" ht="14.25" hidden="1" thickBot="1">
      <c r="B59" s="260" t="s">
        <v>323</v>
      </c>
      <c r="C59" s="250">
        <v>4105</v>
      </c>
      <c r="D59" s="250">
        <v>2140</v>
      </c>
      <c r="E59" s="250">
        <v>1965</v>
      </c>
      <c r="F59" s="250">
        <v>3894</v>
      </c>
      <c r="G59" s="250">
        <v>2018</v>
      </c>
      <c r="H59" s="250">
        <v>1876</v>
      </c>
      <c r="I59" s="250">
        <v>211</v>
      </c>
      <c r="J59" s="250">
        <v>122</v>
      </c>
      <c r="K59" s="261">
        <v>89</v>
      </c>
    </row>
    <row r="60" spans="1:20" ht="14.25" hidden="1" thickBot="1">
      <c r="B60" s="258" t="s">
        <v>324</v>
      </c>
      <c r="C60" s="249">
        <v>3653</v>
      </c>
      <c r="D60" s="249">
        <v>1861</v>
      </c>
      <c r="E60" s="249">
        <v>1792</v>
      </c>
      <c r="F60" s="249">
        <v>3035</v>
      </c>
      <c r="G60" s="249">
        <v>1413</v>
      </c>
      <c r="H60" s="249">
        <v>1622</v>
      </c>
      <c r="I60" s="249">
        <v>612</v>
      </c>
      <c r="J60" s="249">
        <v>446</v>
      </c>
      <c r="K60" s="259">
        <v>166</v>
      </c>
    </row>
    <row r="61" spans="1:20" ht="14.25" thickBot="1">
      <c r="A61">
        <v>157</v>
      </c>
      <c r="B61" s="269" t="s">
        <v>3548</v>
      </c>
      <c r="C61" s="270"/>
      <c r="D61" s="270"/>
      <c r="E61" s="270"/>
      <c r="F61" s="270"/>
      <c r="G61" s="270"/>
      <c r="H61" s="270"/>
      <c r="I61" s="270"/>
      <c r="J61" s="270"/>
      <c r="K61" s="271"/>
      <c r="L61" s="249">
        <v>1899</v>
      </c>
      <c r="M61" s="250">
        <v>536</v>
      </c>
      <c r="N61" s="249">
        <v>691</v>
      </c>
      <c r="O61" s="250">
        <v>127</v>
      </c>
      <c r="P61" s="249">
        <v>545</v>
      </c>
      <c r="Q61">
        <f>O61/L61*100</f>
        <v>6.6877303844128484</v>
      </c>
      <c r="R61">
        <f>N61/L61*100</f>
        <v>36.387572406529749</v>
      </c>
      <c r="S61">
        <f>M61/L61*100</f>
        <v>28.225381779884152</v>
      </c>
      <c r="T61">
        <f>P61/L61*100</f>
        <v>28.69931542917325</v>
      </c>
    </row>
    <row r="62" spans="1:20" ht="14.25" hidden="1" thickBot="1">
      <c r="B62" s="258" t="s">
        <v>28</v>
      </c>
      <c r="C62" s="249">
        <v>30792</v>
      </c>
      <c r="D62" s="249">
        <v>16242</v>
      </c>
      <c r="E62" s="249">
        <v>14550</v>
      </c>
      <c r="F62" s="249">
        <v>28884</v>
      </c>
      <c r="G62" s="249">
        <v>14885</v>
      </c>
      <c r="H62" s="249">
        <v>13999</v>
      </c>
      <c r="I62" s="249">
        <v>1899</v>
      </c>
      <c r="J62" s="249">
        <v>1350</v>
      </c>
      <c r="K62" s="259">
        <v>549</v>
      </c>
    </row>
    <row r="63" spans="1:20" ht="14.25" hidden="1" thickBot="1">
      <c r="B63" s="260" t="s">
        <v>321</v>
      </c>
      <c r="C63" s="250">
        <v>4581</v>
      </c>
      <c r="D63" s="250">
        <v>2631</v>
      </c>
      <c r="E63" s="250">
        <v>1950</v>
      </c>
      <c r="F63" s="250">
        <v>4041</v>
      </c>
      <c r="G63" s="250">
        <v>2251</v>
      </c>
      <c r="H63" s="250">
        <v>1790</v>
      </c>
      <c r="I63" s="250">
        <v>536</v>
      </c>
      <c r="J63" s="250">
        <v>377</v>
      </c>
      <c r="K63" s="261">
        <v>159</v>
      </c>
    </row>
    <row r="64" spans="1:20" ht="14.25" hidden="1" thickBot="1">
      <c r="B64" s="258" t="s">
        <v>322</v>
      </c>
      <c r="C64" s="249">
        <v>20911</v>
      </c>
      <c r="D64" s="249">
        <v>10632</v>
      </c>
      <c r="E64" s="249">
        <v>10279</v>
      </c>
      <c r="F64" s="249">
        <v>20218</v>
      </c>
      <c r="G64" s="249">
        <v>10165</v>
      </c>
      <c r="H64" s="249">
        <v>10053</v>
      </c>
      <c r="I64" s="249">
        <v>691</v>
      </c>
      <c r="J64" s="249">
        <v>466</v>
      </c>
      <c r="K64" s="259">
        <v>225</v>
      </c>
    </row>
    <row r="65" spans="1:20" ht="14.25" hidden="1" thickBot="1">
      <c r="B65" s="260" t="s">
        <v>323</v>
      </c>
      <c r="C65" s="250">
        <v>2443</v>
      </c>
      <c r="D65" s="250">
        <v>1256</v>
      </c>
      <c r="E65" s="250">
        <v>1187</v>
      </c>
      <c r="F65" s="250">
        <v>2315</v>
      </c>
      <c r="G65" s="250">
        <v>1187</v>
      </c>
      <c r="H65" s="250">
        <v>1128</v>
      </c>
      <c r="I65" s="250">
        <v>127</v>
      </c>
      <c r="J65" s="250">
        <v>68</v>
      </c>
      <c r="K65" s="261">
        <v>59</v>
      </c>
    </row>
    <row r="66" spans="1:20" ht="14.25" hidden="1" thickBot="1">
      <c r="B66" s="258" t="s">
        <v>324</v>
      </c>
      <c r="C66" s="249">
        <v>2857</v>
      </c>
      <c r="D66" s="249">
        <v>1723</v>
      </c>
      <c r="E66" s="249">
        <v>1134</v>
      </c>
      <c r="F66" s="249">
        <v>2310</v>
      </c>
      <c r="G66" s="249">
        <v>1282</v>
      </c>
      <c r="H66" s="249">
        <v>1028</v>
      </c>
      <c r="I66" s="249">
        <v>545</v>
      </c>
      <c r="J66" s="249">
        <v>439</v>
      </c>
      <c r="K66" s="259">
        <v>106</v>
      </c>
    </row>
    <row r="67" spans="1:20" ht="14.25" thickBot="1">
      <c r="A67">
        <v>158</v>
      </c>
      <c r="B67" s="269" t="s">
        <v>3549</v>
      </c>
      <c r="C67" s="270"/>
      <c r="D67" s="270"/>
      <c r="E67" s="270"/>
      <c r="F67" s="270"/>
      <c r="G67" s="270"/>
      <c r="H67" s="270"/>
      <c r="I67" s="270"/>
      <c r="J67" s="270"/>
      <c r="K67" s="271"/>
      <c r="L67" s="249">
        <v>1041</v>
      </c>
      <c r="M67" s="250">
        <v>202</v>
      </c>
      <c r="N67" s="249">
        <v>442</v>
      </c>
      <c r="O67" s="250">
        <v>106</v>
      </c>
      <c r="P67" s="249">
        <v>291</v>
      </c>
      <c r="Q67">
        <f>O67/L67*100</f>
        <v>10.182516810758885</v>
      </c>
      <c r="R67">
        <f>N67/L67*100</f>
        <v>42.459173871277613</v>
      </c>
      <c r="S67">
        <f>M67/L67*100</f>
        <v>19.404418828049952</v>
      </c>
      <c r="T67">
        <f>P67/L67*100</f>
        <v>27.953890489913547</v>
      </c>
    </row>
    <row r="68" spans="1:20" ht="14.25" hidden="1" thickBot="1">
      <c r="B68" s="258" t="s">
        <v>28</v>
      </c>
      <c r="C68" s="249">
        <v>23933</v>
      </c>
      <c r="D68" s="249">
        <v>10896</v>
      </c>
      <c r="E68" s="249">
        <v>13037</v>
      </c>
      <c r="F68" s="249">
        <v>22892</v>
      </c>
      <c r="G68" s="249">
        <v>10261</v>
      </c>
      <c r="H68" s="249">
        <v>12631</v>
      </c>
      <c r="I68" s="249">
        <v>1041</v>
      </c>
      <c r="J68" s="249">
        <v>635</v>
      </c>
      <c r="K68" s="259">
        <v>406</v>
      </c>
    </row>
    <row r="69" spans="1:20" ht="14.25" hidden="1" thickBot="1">
      <c r="B69" s="260" t="s">
        <v>321</v>
      </c>
      <c r="C69" s="250">
        <v>2527</v>
      </c>
      <c r="D69" s="250">
        <v>1249</v>
      </c>
      <c r="E69" s="250">
        <v>1278</v>
      </c>
      <c r="F69" s="250">
        <v>2325</v>
      </c>
      <c r="G69" s="250">
        <v>1139</v>
      </c>
      <c r="H69" s="250">
        <v>1186</v>
      </c>
      <c r="I69" s="250">
        <v>202</v>
      </c>
      <c r="J69" s="250">
        <v>110</v>
      </c>
      <c r="K69" s="261">
        <v>92</v>
      </c>
    </row>
    <row r="70" spans="1:20" ht="14.25" hidden="1" thickBot="1">
      <c r="B70" s="258" t="s">
        <v>322</v>
      </c>
      <c r="C70" s="249">
        <v>16176</v>
      </c>
      <c r="D70" s="249">
        <v>7274</v>
      </c>
      <c r="E70" s="249">
        <v>8902</v>
      </c>
      <c r="F70" s="249">
        <v>15734</v>
      </c>
      <c r="G70" s="249">
        <v>6981</v>
      </c>
      <c r="H70" s="249">
        <v>8753</v>
      </c>
      <c r="I70" s="249">
        <v>442</v>
      </c>
      <c r="J70" s="249">
        <v>293</v>
      </c>
      <c r="K70" s="259">
        <v>149</v>
      </c>
    </row>
    <row r="71" spans="1:20" ht="14.25" hidden="1" thickBot="1">
      <c r="B71" s="260" t="s">
        <v>323</v>
      </c>
      <c r="C71" s="250">
        <v>2794</v>
      </c>
      <c r="D71" s="250">
        <v>1339</v>
      </c>
      <c r="E71" s="250">
        <v>1455</v>
      </c>
      <c r="F71" s="250">
        <v>2688</v>
      </c>
      <c r="G71" s="250">
        <v>1287</v>
      </c>
      <c r="H71" s="250">
        <v>1401</v>
      </c>
      <c r="I71" s="250">
        <v>106</v>
      </c>
      <c r="J71" s="250">
        <v>52</v>
      </c>
      <c r="K71" s="261">
        <v>54</v>
      </c>
    </row>
    <row r="72" spans="1:20" ht="14.25" hidden="1" thickBot="1">
      <c r="B72" s="258" t="s">
        <v>324</v>
      </c>
      <c r="C72" s="249">
        <v>2436</v>
      </c>
      <c r="D72" s="249">
        <v>1034</v>
      </c>
      <c r="E72" s="249">
        <v>1402</v>
      </c>
      <c r="F72" s="249">
        <v>2145</v>
      </c>
      <c r="G72" s="249">
        <v>854</v>
      </c>
      <c r="H72" s="249">
        <v>1291</v>
      </c>
      <c r="I72" s="249">
        <v>291</v>
      </c>
      <c r="J72" s="249">
        <v>180</v>
      </c>
      <c r="K72" s="259">
        <v>111</v>
      </c>
    </row>
    <row r="73" spans="1:20" ht="14.25" thickBot="1">
      <c r="A73">
        <v>159</v>
      </c>
      <c r="B73" s="269" t="s">
        <v>334</v>
      </c>
      <c r="C73" s="270"/>
      <c r="D73" s="270"/>
      <c r="E73" s="270"/>
      <c r="F73" s="270"/>
      <c r="G73" s="270"/>
      <c r="H73" s="270"/>
      <c r="I73" s="270"/>
      <c r="J73" s="270"/>
      <c r="K73" s="271"/>
      <c r="L73" s="249">
        <v>7135</v>
      </c>
      <c r="M73" s="250">
        <v>1668</v>
      </c>
      <c r="N73" s="249">
        <v>2138</v>
      </c>
      <c r="O73" s="250">
        <v>1962</v>
      </c>
      <c r="P73" s="249">
        <v>1367</v>
      </c>
      <c r="Q73">
        <f>O73/L73*100</f>
        <v>27.498248072880166</v>
      </c>
      <c r="R73">
        <f>N73/L73*100</f>
        <v>29.964961457603362</v>
      </c>
      <c r="S73">
        <f>M73/L73*100</f>
        <v>23.37771548703574</v>
      </c>
      <c r="T73">
        <f>P73/L73*100</f>
        <v>19.159074982480728</v>
      </c>
    </row>
    <row r="74" spans="1:20" ht="14.25" hidden="1" thickBot="1">
      <c r="B74" s="258" t="s">
        <v>28</v>
      </c>
      <c r="C74" s="249">
        <v>126195</v>
      </c>
      <c r="D74" s="249">
        <v>64931</v>
      </c>
      <c r="E74" s="249">
        <v>61264</v>
      </c>
      <c r="F74" s="249">
        <v>119023</v>
      </c>
      <c r="G74" s="249">
        <v>60632</v>
      </c>
      <c r="H74" s="249">
        <v>58391</v>
      </c>
      <c r="I74" s="249">
        <v>7135</v>
      </c>
      <c r="J74" s="249">
        <v>4274</v>
      </c>
      <c r="K74" s="259">
        <v>2861</v>
      </c>
    </row>
    <row r="75" spans="1:20" ht="14.25" hidden="1" thickBot="1">
      <c r="B75" s="260" t="s">
        <v>321</v>
      </c>
      <c r="C75" s="250">
        <v>15335</v>
      </c>
      <c r="D75" s="250">
        <v>8579</v>
      </c>
      <c r="E75" s="250">
        <v>6756</v>
      </c>
      <c r="F75" s="250">
        <v>13658</v>
      </c>
      <c r="G75" s="250">
        <v>7533</v>
      </c>
      <c r="H75" s="250">
        <v>6125</v>
      </c>
      <c r="I75" s="250">
        <v>1668</v>
      </c>
      <c r="J75" s="250">
        <v>1040</v>
      </c>
      <c r="K75" s="261">
        <v>628</v>
      </c>
    </row>
    <row r="76" spans="1:20" ht="14.25" hidden="1" thickBot="1">
      <c r="B76" s="258" t="s">
        <v>322</v>
      </c>
      <c r="C76" s="249">
        <v>82272</v>
      </c>
      <c r="D76" s="249">
        <v>40835</v>
      </c>
      <c r="E76" s="249">
        <v>41437</v>
      </c>
      <c r="F76" s="249">
        <v>80124</v>
      </c>
      <c r="G76" s="249">
        <v>39520</v>
      </c>
      <c r="H76" s="249">
        <v>40604</v>
      </c>
      <c r="I76" s="249">
        <v>2138</v>
      </c>
      <c r="J76" s="249">
        <v>1310</v>
      </c>
      <c r="K76" s="259">
        <v>828</v>
      </c>
    </row>
    <row r="77" spans="1:20" ht="14.25" hidden="1" thickBot="1">
      <c r="B77" s="260" t="s">
        <v>323</v>
      </c>
      <c r="C77" s="250">
        <v>19939</v>
      </c>
      <c r="D77" s="250">
        <v>10731</v>
      </c>
      <c r="E77" s="250">
        <v>9208</v>
      </c>
      <c r="F77" s="250">
        <v>17970</v>
      </c>
      <c r="G77" s="250">
        <v>9671</v>
      </c>
      <c r="H77" s="250">
        <v>8299</v>
      </c>
      <c r="I77" s="250">
        <v>1962</v>
      </c>
      <c r="J77" s="250">
        <v>1053</v>
      </c>
      <c r="K77" s="261">
        <v>909</v>
      </c>
    </row>
    <row r="78" spans="1:20" ht="14.25" hidden="1" thickBot="1">
      <c r="B78" s="258" t="s">
        <v>324</v>
      </c>
      <c r="C78" s="249">
        <v>8649</v>
      </c>
      <c r="D78" s="249">
        <v>4786</v>
      </c>
      <c r="E78" s="249">
        <v>3863</v>
      </c>
      <c r="F78" s="249">
        <v>7271</v>
      </c>
      <c r="G78" s="249">
        <v>3908</v>
      </c>
      <c r="H78" s="249">
        <v>3363</v>
      </c>
      <c r="I78" s="249">
        <v>1367</v>
      </c>
      <c r="J78" s="249">
        <v>871</v>
      </c>
      <c r="K78" s="259">
        <v>496</v>
      </c>
    </row>
    <row r="79" spans="1:20" ht="14.25" thickBot="1">
      <c r="A79">
        <v>2</v>
      </c>
      <c r="B79" s="269" t="s">
        <v>3550</v>
      </c>
      <c r="C79" s="270"/>
      <c r="D79" s="270"/>
      <c r="E79" s="270"/>
      <c r="F79" s="270"/>
      <c r="G79" s="270"/>
      <c r="H79" s="270"/>
      <c r="I79" s="270"/>
      <c r="J79" s="270"/>
      <c r="K79" s="271"/>
      <c r="L79" s="249">
        <v>64668</v>
      </c>
      <c r="M79" s="250">
        <v>16042</v>
      </c>
      <c r="N79" s="249">
        <v>22028</v>
      </c>
      <c r="O79" s="250">
        <v>7598</v>
      </c>
      <c r="P79" s="249">
        <v>19000</v>
      </c>
      <c r="Q79">
        <f>O79/L79*100</f>
        <v>11.749242283664255</v>
      </c>
      <c r="R79">
        <f>N79/L79*100</f>
        <v>34.063215191439348</v>
      </c>
      <c r="S79">
        <f>M79/L79*100</f>
        <v>24.806705016391415</v>
      </c>
      <c r="T79">
        <f>P79/L79*100</f>
        <v>29.380837508504982</v>
      </c>
    </row>
    <row r="80" spans="1:20" ht="14.25" hidden="1" thickBot="1">
      <c r="B80" s="258" t="s">
        <v>28</v>
      </c>
      <c r="C80" s="249">
        <v>798618</v>
      </c>
      <c r="D80" s="249">
        <v>423235</v>
      </c>
      <c r="E80" s="249">
        <v>375383</v>
      </c>
      <c r="F80" s="249">
        <v>733568</v>
      </c>
      <c r="G80" s="249">
        <v>383138</v>
      </c>
      <c r="H80" s="249">
        <v>350430</v>
      </c>
      <c r="I80" s="249">
        <v>64668</v>
      </c>
      <c r="J80" s="249">
        <v>39853</v>
      </c>
      <c r="K80" s="259">
        <v>24815</v>
      </c>
    </row>
    <row r="81" spans="1:20" ht="14.25" hidden="1" thickBot="1">
      <c r="B81" s="260" t="s">
        <v>321</v>
      </c>
      <c r="C81" s="250">
        <v>94940</v>
      </c>
      <c r="D81" s="250">
        <v>53098</v>
      </c>
      <c r="E81" s="250">
        <v>41842</v>
      </c>
      <c r="F81" s="250">
        <v>78803</v>
      </c>
      <c r="G81" s="250">
        <v>43018</v>
      </c>
      <c r="H81" s="250">
        <v>35785</v>
      </c>
      <c r="I81" s="250">
        <v>16042</v>
      </c>
      <c r="J81" s="250">
        <v>10012</v>
      </c>
      <c r="K81" s="261">
        <v>6030</v>
      </c>
    </row>
    <row r="82" spans="1:20" ht="14.25" hidden="1" thickBot="1">
      <c r="B82" s="258" t="s">
        <v>322</v>
      </c>
      <c r="C82" s="249">
        <v>513479</v>
      </c>
      <c r="D82" s="249">
        <v>263845</v>
      </c>
      <c r="E82" s="249">
        <v>249634</v>
      </c>
      <c r="F82" s="249">
        <v>491305</v>
      </c>
      <c r="G82" s="249">
        <v>250320</v>
      </c>
      <c r="H82" s="249">
        <v>240985</v>
      </c>
      <c r="I82" s="249">
        <v>22028</v>
      </c>
      <c r="J82" s="249">
        <v>13440</v>
      </c>
      <c r="K82" s="259">
        <v>8588</v>
      </c>
    </row>
    <row r="83" spans="1:20" ht="14.25" hidden="1" thickBot="1">
      <c r="B83" s="260" t="s">
        <v>323</v>
      </c>
      <c r="C83" s="250">
        <v>108776</v>
      </c>
      <c r="D83" s="250">
        <v>60119</v>
      </c>
      <c r="E83" s="250">
        <v>48657</v>
      </c>
      <c r="F83" s="250">
        <v>101153</v>
      </c>
      <c r="G83" s="250">
        <v>56227</v>
      </c>
      <c r="H83" s="250">
        <v>44926</v>
      </c>
      <c r="I83" s="250">
        <v>7598</v>
      </c>
      <c r="J83" s="250">
        <v>3881</v>
      </c>
      <c r="K83" s="261">
        <v>3717</v>
      </c>
    </row>
    <row r="84" spans="1:20" ht="14.25" hidden="1" thickBot="1">
      <c r="B84" s="258" t="s">
        <v>324</v>
      </c>
      <c r="C84" s="249">
        <v>81423</v>
      </c>
      <c r="D84" s="249">
        <v>46173</v>
      </c>
      <c r="E84" s="249">
        <v>35250</v>
      </c>
      <c r="F84" s="249">
        <v>62307</v>
      </c>
      <c r="G84" s="249">
        <v>33573</v>
      </c>
      <c r="H84" s="249">
        <v>28734</v>
      </c>
      <c r="I84" s="249">
        <v>19000</v>
      </c>
      <c r="J84" s="249">
        <v>12520</v>
      </c>
      <c r="K84" s="259">
        <v>6480</v>
      </c>
    </row>
    <row r="85" spans="1:20" ht="14.25" thickBot="1">
      <c r="A85">
        <v>241</v>
      </c>
      <c r="B85" s="269" t="s">
        <v>320</v>
      </c>
      <c r="C85" s="270"/>
      <c r="D85" s="270"/>
      <c r="E85" s="270"/>
      <c r="F85" s="270"/>
      <c r="G85" s="270"/>
      <c r="H85" s="270"/>
      <c r="I85" s="270"/>
      <c r="J85" s="270"/>
      <c r="K85" s="271"/>
      <c r="L85" s="249">
        <v>47129</v>
      </c>
      <c r="M85" s="250">
        <v>11889</v>
      </c>
      <c r="N85" s="249">
        <v>15682</v>
      </c>
      <c r="O85" s="250">
        <v>5833</v>
      </c>
      <c r="P85" s="249">
        <v>13725</v>
      </c>
      <c r="Q85">
        <f>O85/L85*100</f>
        <v>12.376668293407455</v>
      </c>
      <c r="R85">
        <f>N85/L85*100</f>
        <v>33.274629209191794</v>
      </c>
      <c r="S85">
        <f>M85/L85*100</f>
        <v>25.226505972967811</v>
      </c>
      <c r="T85">
        <f>P85/L85*100</f>
        <v>29.12219652443294</v>
      </c>
    </row>
    <row r="86" spans="1:20" ht="14.25" hidden="1" thickBot="1">
      <c r="B86" s="258" t="s">
        <v>28</v>
      </c>
      <c r="C86" s="249">
        <v>490559</v>
      </c>
      <c r="D86" s="249">
        <v>260697</v>
      </c>
      <c r="E86" s="249">
        <v>229862</v>
      </c>
      <c r="F86" s="249">
        <v>443154</v>
      </c>
      <c r="G86" s="249">
        <v>232147</v>
      </c>
      <c r="H86" s="249">
        <v>211007</v>
      </c>
      <c r="I86" s="249">
        <v>47129</v>
      </c>
      <c r="J86" s="249">
        <v>28379</v>
      </c>
      <c r="K86" s="259">
        <v>18750</v>
      </c>
    </row>
    <row r="87" spans="1:20" ht="14.25" hidden="1" thickBot="1">
      <c r="B87" s="260" t="s">
        <v>321</v>
      </c>
      <c r="C87" s="250">
        <v>57715</v>
      </c>
      <c r="D87" s="250">
        <v>32269</v>
      </c>
      <c r="E87" s="250">
        <v>25446</v>
      </c>
      <c r="F87" s="250">
        <v>45760</v>
      </c>
      <c r="G87" s="250">
        <v>24922</v>
      </c>
      <c r="H87" s="250">
        <v>20838</v>
      </c>
      <c r="I87" s="250">
        <v>11889</v>
      </c>
      <c r="J87" s="250">
        <v>7300</v>
      </c>
      <c r="K87" s="261">
        <v>4589</v>
      </c>
    </row>
    <row r="88" spans="1:20" ht="14.25" hidden="1" thickBot="1">
      <c r="B88" s="258" t="s">
        <v>322</v>
      </c>
      <c r="C88" s="249">
        <v>301399</v>
      </c>
      <c r="D88" s="249">
        <v>154190</v>
      </c>
      <c r="E88" s="249">
        <v>147209</v>
      </c>
      <c r="F88" s="249">
        <v>285609</v>
      </c>
      <c r="G88" s="249">
        <v>144893</v>
      </c>
      <c r="H88" s="249">
        <v>140716</v>
      </c>
      <c r="I88" s="249">
        <v>15682</v>
      </c>
      <c r="J88" s="249">
        <v>9238</v>
      </c>
      <c r="K88" s="259">
        <v>6444</v>
      </c>
    </row>
    <row r="89" spans="1:20" ht="14.25" hidden="1" thickBot="1">
      <c r="B89" s="260" t="s">
        <v>323</v>
      </c>
      <c r="C89" s="250">
        <v>79849</v>
      </c>
      <c r="D89" s="250">
        <v>44708</v>
      </c>
      <c r="E89" s="250">
        <v>35141</v>
      </c>
      <c r="F89" s="250">
        <v>73998</v>
      </c>
      <c r="G89" s="250">
        <v>41722</v>
      </c>
      <c r="H89" s="250">
        <v>32276</v>
      </c>
      <c r="I89" s="250">
        <v>5833</v>
      </c>
      <c r="J89" s="250">
        <v>2978</v>
      </c>
      <c r="K89" s="261">
        <v>2855</v>
      </c>
    </row>
    <row r="90" spans="1:20" ht="14.25" hidden="1" thickBot="1">
      <c r="B90" s="258" t="s">
        <v>324</v>
      </c>
      <c r="C90" s="249">
        <v>51596</v>
      </c>
      <c r="D90" s="249">
        <v>29530</v>
      </c>
      <c r="E90" s="249">
        <v>22066</v>
      </c>
      <c r="F90" s="249">
        <v>37787</v>
      </c>
      <c r="G90" s="249">
        <v>20610</v>
      </c>
      <c r="H90" s="249">
        <v>17177</v>
      </c>
      <c r="I90" s="249">
        <v>13725</v>
      </c>
      <c r="J90" s="249">
        <v>8863</v>
      </c>
      <c r="K90" s="259">
        <v>4862</v>
      </c>
    </row>
    <row r="91" spans="1:20" ht="14.25" thickBot="1">
      <c r="A91">
        <v>241001</v>
      </c>
      <c r="B91" s="269" t="s">
        <v>325</v>
      </c>
      <c r="C91" s="270"/>
      <c r="D91" s="270"/>
      <c r="E91" s="270"/>
      <c r="F91" s="270"/>
      <c r="G91" s="270"/>
      <c r="H91" s="270"/>
      <c r="I91" s="270"/>
      <c r="J91" s="270"/>
      <c r="K91" s="271"/>
      <c r="L91" s="249">
        <v>31290</v>
      </c>
      <c r="M91" s="250">
        <v>7744</v>
      </c>
      <c r="N91" s="249">
        <v>10118</v>
      </c>
      <c r="O91" s="250">
        <v>4690</v>
      </c>
      <c r="P91" s="249">
        <v>8738</v>
      </c>
      <c r="Q91">
        <f>O91/L91*100</f>
        <v>14.988814317673377</v>
      </c>
      <c r="R91">
        <f>N91/L91*100</f>
        <v>32.336209651645895</v>
      </c>
      <c r="S91">
        <f>M91/L91*100</f>
        <v>24.749121124960052</v>
      </c>
      <c r="T91">
        <f>P91/L91*100</f>
        <v>27.925854905720676</v>
      </c>
    </row>
    <row r="92" spans="1:20" ht="14.25" hidden="1" thickBot="1">
      <c r="B92" s="258" t="s">
        <v>28</v>
      </c>
      <c r="C92" s="249">
        <v>314522</v>
      </c>
      <c r="D92" s="249">
        <v>165657</v>
      </c>
      <c r="E92" s="249">
        <v>148865</v>
      </c>
      <c r="F92" s="249">
        <v>283080</v>
      </c>
      <c r="G92" s="249">
        <v>147390</v>
      </c>
      <c r="H92" s="249">
        <v>135690</v>
      </c>
      <c r="I92" s="249">
        <v>31290</v>
      </c>
      <c r="J92" s="249">
        <v>18178</v>
      </c>
      <c r="K92" s="259">
        <v>13112</v>
      </c>
    </row>
    <row r="93" spans="1:20" ht="14.25" hidden="1" thickBot="1">
      <c r="B93" s="260" t="s">
        <v>321</v>
      </c>
      <c r="C93" s="250">
        <v>35536</v>
      </c>
      <c r="D93" s="250">
        <v>19320</v>
      </c>
      <c r="E93" s="250">
        <v>16216</v>
      </c>
      <c r="F93" s="250">
        <v>27753</v>
      </c>
      <c r="G93" s="250">
        <v>14718</v>
      </c>
      <c r="H93" s="250">
        <v>13035</v>
      </c>
      <c r="I93" s="250">
        <v>7744</v>
      </c>
      <c r="J93" s="250">
        <v>4575</v>
      </c>
      <c r="K93" s="261">
        <v>3169</v>
      </c>
    </row>
    <row r="94" spans="1:20" ht="14.25" hidden="1" thickBot="1">
      <c r="B94" s="258" t="s">
        <v>322</v>
      </c>
      <c r="C94" s="249">
        <v>184720</v>
      </c>
      <c r="D94" s="249">
        <v>92876</v>
      </c>
      <c r="E94" s="249">
        <v>91844</v>
      </c>
      <c r="F94" s="249">
        <v>174546</v>
      </c>
      <c r="G94" s="249">
        <v>87110</v>
      </c>
      <c r="H94" s="249">
        <v>87436</v>
      </c>
      <c r="I94" s="249">
        <v>10118</v>
      </c>
      <c r="J94" s="249">
        <v>5738</v>
      </c>
      <c r="K94" s="259">
        <v>4380</v>
      </c>
    </row>
    <row r="95" spans="1:20" ht="14.25" hidden="1" thickBot="1">
      <c r="B95" s="260" t="s">
        <v>323</v>
      </c>
      <c r="C95" s="250">
        <v>62719</v>
      </c>
      <c r="D95" s="250">
        <v>35386</v>
      </c>
      <c r="E95" s="250">
        <v>27333</v>
      </c>
      <c r="F95" s="250">
        <v>58016</v>
      </c>
      <c r="G95" s="250">
        <v>32963</v>
      </c>
      <c r="H95" s="250">
        <v>25053</v>
      </c>
      <c r="I95" s="250">
        <v>4690</v>
      </c>
      <c r="J95" s="250">
        <v>2418</v>
      </c>
      <c r="K95" s="261">
        <v>2272</v>
      </c>
    </row>
    <row r="96" spans="1:20" ht="14.25" hidden="1" thickBot="1">
      <c r="B96" s="258" t="s">
        <v>324</v>
      </c>
      <c r="C96" s="249">
        <v>31547</v>
      </c>
      <c r="D96" s="249">
        <v>18075</v>
      </c>
      <c r="E96" s="249">
        <v>13472</v>
      </c>
      <c r="F96" s="249">
        <v>22765</v>
      </c>
      <c r="G96" s="249">
        <v>12599</v>
      </c>
      <c r="H96" s="249">
        <v>10166</v>
      </c>
      <c r="I96" s="249">
        <v>8738</v>
      </c>
      <c r="J96" s="249">
        <v>5447</v>
      </c>
      <c r="K96" s="259">
        <v>3291</v>
      </c>
    </row>
    <row r="97" spans="1:20" ht="14.25" thickBot="1">
      <c r="A97">
        <v>241999</v>
      </c>
      <c r="B97" s="272" t="s">
        <v>145</v>
      </c>
      <c r="C97" s="273"/>
      <c r="D97" s="273"/>
      <c r="E97" s="273"/>
      <c r="F97" s="273"/>
      <c r="G97" s="273"/>
      <c r="H97" s="273"/>
      <c r="I97" s="273"/>
      <c r="J97" s="273"/>
      <c r="K97" s="274"/>
      <c r="L97">
        <f>L85-L91</f>
        <v>15839</v>
      </c>
      <c r="M97">
        <f t="shared" ref="M97:P97" si="0">M85-M91</f>
        <v>4145</v>
      </c>
      <c r="N97">
        <f t="shared" si="0"/>
        <v>5564</v>
      </c>
      <c r="O97">
        <f t="shared" si="0"/>
        <v>1143</v>
      </c>
      <c r="P97">
        <f t="shared" si="0"/>
        <v>4987</v>
      </c>
      <c r="Q97">
        <f t="shared" ref="Q97:Q98" si="1">O97/L97*100</f>
        <v>7.216364669486711</v>
      </c>
      <c r="R97">
        <f t="shared" ref="R97:R98" si="2">N97/L97*100</f>
        <v>35.128480333354375</v>
      </c>
      <c r="S97">
        <f t="shared" ref="S97:S98" si="3">M97/L97*100</f>
        <v>26.16958141296799</v>
      </c>
      <c r="T97">
        <f t="shared" ref="T97:T98" si="4">P97/L97*100</f>
        <v>31.485573584190924</v>
      </c>
    </row>
    <row r="98" spans="1:20" ht="14.25" thickBot="1">
      <c r="A98">
        <v>251</v>
      </c>
      <c r="B98" s="269" t="s">
        <v>3551</v>
      </c>
      <c r="C98" s="270"/>
      <c r="D98" s="270"/>
      <c r="E98" s="270"/>
      <c r="F98" s="270"/>
      <c r="G98" s="270"/>
      <c r="H98" s="270"/>
      <c r="I98" s="270"/>
      <c r="J98" s="270"/>
      <c r="K98" s="271"/>
      <c r="L98" s="249">
        <v>4067</v>
      </c>
      <c r="M98" s="250">
        <v>817</v>
      </c>
      <c r="N98" s="249">
        <v>1325</v>
      </c>
      <c r="O98" s="250">
        <v>323</v>
      </c>
      <c r="P98" s="249">
        <v>1602</v>
      </c>
      <c r="Q98">
        <f t="shared" si="1"/>
        <v>7.9419719695106954</v>
      </c>
      <c r="R98">
        <f t="shared" si="2"/>
        <v>32.579296778952546</v>
      </c>
      <c r="S98">
        <f t="shared" si="3"/>
        <v>20.088517334644703</v>
      </c>
      <c r="T98">
        <f t="shared" si="4"/>
        <v>39.390213916892058</v>
      </c>
    </row>
    <row r="99" spans="1:20" ht="14.25" hidden="1" thickBot="1">
      <c r="B99" s="258" t="s">
        <v>28</v>
      </c>
      <c r="C99" s="249">
        <v>66667</v>
      </c>
      <c r="D99" s="249">
        <v>36103</v>
      </c>
      <c r="E99" s="249">
        <v>30564</v>
      </c>
      <c r="F99" s="249">
        <v>62563</v>
      </c>
      <c r="G99" s="249">
        <v>33267</v>
      </c>
      <c r="H99" s="249">
        <v>29296</v>
      </c>
      <c r="I99" s="249">
        <v>4067</v>
      </c>
      <c r="J99" s="249">
        <v>2806</v>
      </c>
      <c r="K99" s="259">
        <v>1261</v>
      </c>
    </row>
    <row r="100" spans="1:20" ht="14.25" hidden="1" thickBot="1">
      <c r="B100" s="260" t="s">
        <v>321</v>
      </c>
      <c r="C100" s="250">
        <v>7732</v>
      </c>
      <c r="D100" s="250">
        <v>4214</v>
      </c>
      <c r="E100" s="250">
        <v>3518</v>
      </c>
      <c r="F100" s="250">
        <v>6908</v>
      </c>
      <c r="G100" s="250">
        <v>3715</v>
      </c>
      <c r="H100" s="250">
        <v>3193</v>
      </c>
      <c r="I100" s="250">
        <v>817</v>
      </c>
      <c r="J100" s="250">
        <v>492</v>
      </c>
      <c r="K100" s="261">
        <v>325</v>
      </c>
    </row>
    <row r="101" spans="1:20" ht="14.25" hidden="1" thickBot="1">
      <c r="B101" s="258" t="s">
        <v>322</v>
      </c>
      <c r="C101" s="249">
        <v>45206</v>
      </c>
      <c r="D101" s="249">
        <v>24251</v>
      </c>
      <c r="E101" s="249">
        <v>20955</v>
      </c>
      <c r="F101" s="249">
        <v>43868</v>
      </c>
      <c r="G101" s="249">
        <v>23283</v>
      </c>
      <c r="H101" s="249">
        <v>20585</v>
      </c>
      <c r="I101" s="249">
        <v>1325</v>
      </c>
      <c r="J101" s="249">
        <v>957</v>
      </c>
      <c r="K101" s="259">
        <v>368</v>
      </c>
    </row>
    <row r="102" spans="1:20" ht="14.25" hidden="1" thickBot="1">
      <c r="B102" s="260" t="s">
        <v>323</v>
      </c>
      <c r="C102" s="250">
        <v>4990</v>
      </c>
      <c r="D102" s="250">
        <v>2588</v>
      </c>
      <c r="E102" s="250">
        <v>2402</v>
      </c>
      <c r="F102" s="250">
        <v>4664</v>
      </c>
      <c r="G102" s="250">
        <v>2419</v>
      </c>
      <c r="H102" s="250">
        <v>2245</v>
      </c>
      <c r="I102" s="250">
        <v>323</v>
      </c>
      <c r="J102" s="250">
        <v>168</v>
      </c>
      <c r="K102" s="261">
        <v>155</v>
      </c>
    </row>
    <row r="103" spans="1:20" ht="14.25" hidden="1" thickBot="1">
      <c r="B103" s="258" t="s">
        <v>324</v>
      </c>
      <c r="C103" s="249">
        <v>8739</v>
      </c>
      <c r="D103" s="249">
        <v>5050</v>
      </c>
      <c r="E103" s="249">
        <v>3689</v>
      </c>
      <c r="F103" s="249">
        <v>7123</v>
      </c>
      <c r="G103" s="249">
        <v>3850</v>
      </c>
      <c r="H103" s="249">
        <v>3273</v>
      </c>
      <c r="I103" s="249">
        <v>1602</v>
      </c>
      <c r="J103" s="249">
        <v>1189</v>
      </c>
      <c r="K103" s="259">
        <v>413</v>
      </c>
    </row>
    <row r="104" spans="1:20" ht="14.25" thickBot="1">
      <c r="A104">
        <v>252</v>
      </c>
      <c r="B104" s="269" t="s">
        <v>3552</v>
      </c>
      <c r="C104" s="270"/>
      <c r="D104" s="270"/>
      <c r="E104" s="270"/>
      <c r="F104" s="270"/>
      <c r="G104" s="270"/>
      <c r="H104" s="270"/>
      <c r="I104" s="270"/>
      <c r="J104" s="270"/>
      <c r="K104" s="271"/>
      <c r="L104" s="249">
        <v>3023</v>
      </c>
      <c r="M104" s="250">
        <v>688</v>
      </c>
      <c r="N104" s="249">
        <v>1180</v>
      </c>
      <c r="O104" s="250">
        <v>337</v>
      </c>
      <c r="P104" s="249">
        <v>818</v>
      </c>
      <c r="Q104">
        <f>O104/L104*100</f>
        <v>11.147866357922593</v>
      </c>
      <c r="R104">
        <f>N104/L104*100</f>
        <v>39.034072113794245</v>
      </c>
      <c r="S104">
        <f>M104/L104*100</f>
        <v>22.758848825669865</v>
      </c>
      <c r="T104">
        <f>P104/L104*100</f>
        <v>27.059212702613301</v>
      </c>
    </row>
    <row r="105" spans="1:20" ht="14.25" hidden="1" thickBot="1">
      <c r="B105" s="258" t="s">
        <v>28</v>
      </c>
      <c r="C105" s="249">
        <v>50590</v>
      </c>
      <c r="D105" s="249">
        <v>25001</v>
      </c>
      <c r="E105" s="249">
        <v>25589</v>
      </c>
      <c r="F105" s="249">
        <v>47554</v>
      </c>
      <c r="G105" s="249">
        <v>23200</v>
      </c>
      <c r="H105" s="249">
        <v>24354</v>
      </c>
      <c r="I105" s="249">
        <v>3023</v>
      </c>
      <c r="J105" s="249">
        <v>1793</v>
      </c>
      <c r="K105" s="259">
        <v>1230</v>
      </c>
    </row>
    <row r="106" spans="1:20" ht="14.25" hidden="1" thickBot="1">
      <c r="B106" s="260" t="s">
        <v>321</v>
      </c>
      <c r="C106" s="250">
        <v>5766</v>
      </c>
      <c r="D106" s="250">
        <v>3039</v>
      </c>
      <c r="E106" s="250">
        <v>2727</v>
      </c>
      <c r="F106" s="250">
        <v>5075</v>
      </c>
      <c r="G106" s="250">
        <v>2621</v>
      </c>
      <c r="H106" s="250">
        <v>2454</v>
      </c>
      <c r="I106" s="250">
        <v>688</v>
      </c>
      <c r="J106" s="250">
        <v>417</v>
      </c>
      <c r="K106" s="261">
        <v>271</v>
      </c>
    </row>
    <row r="107" spans="1:20" ht="14.25" hidden="1" thickBot="1">
      <c r="B107" s="258" t="s">
        <v>322</v>
      </c>
      <c r="C107" s="249">
        <v>34696</v>
      </c>
      <c r="D107" s="249">
        <v>16534</v>
      </c>
      <c r="E107" s="249">
        <v>18162</v>
      </c>
      <c r="F107" s="249">
        <v>33512</v>
      </c>
      <c r="G107" s="249">
        <v>15837</v>
      </c>
      <c r="H107" s="249">
        <v>17675</v>
      </c>
      <c r="I107" s="249">
        <v>1180</v>
      </c>
      <c r="J107" s="249">
        <v>694</v>
      </c>
      <c r="K107" s="259">
        <v>486</v>
      </c>
    </row>
    <row r="108" spans="1:20" ht="14.25" hidden="1" thickBot="1">
      <c r="B108" s="260" t="s">
        <v>323</v>
      </c>
      <c r="C108" s="250">
        <v>5204</v>
      </c>
      <c r="D108" s="250">
        <v>2943</v>
      </c>
      <c r="E108" s="250">
        <v>2261</v>
      </c>
      <c r="F108" s="250">
        <v>4866</v>
      </c>
      <c r="G108" s="250">
        <v>2763</v>
      </c>
      <c r="H108" s="250">
        <v>2103</v>
      </c>
      <c r="I108" s="250">
        <v>337</v>
      </c>
      <c r="J108" s="250">
        <v>179</v>
      </c>
      <c r="K108" s="261">
        <v>158</v>
      </c>
    </row>
    <row r="109" spans="1:20" ht="14.25" hidden="1" thickBot="1">
      <c r="B109" s="258" t="s">
        <v>324</v>
      </c>
      <c r="C109" s="249">
        <v>4924</v>
      </c>
      <c r="D109" s="249">
        <v>2485</v>
      </c>
      <c r="E109" s="249">
        <v>2439</v>
      </c>
      <c r="F109" s="249">
        <v>4101</v>
      </c>
      <c r="G109" s="249">
        <v>1979</v>
      </c>
      <c r="H109" s="249">
        <v>2122</v>
      </c>
      <c r="I109" s="249">
        <v>818</v>
      </c>
      <c r="J109" s="249">
        <v>503</v>
      </c>
      <c r="K109" s="259">
        <v>315</v>
      </c>
    </row>
    <row r="110" spans="1:20" ht="14.25" thickBot="1">
      <c r="A110">
        <v>254</v>
      </c>
      <c r="B110" s="269" t="s">
        <v>3553</v>
      </c>
      <c r="C110" s="270"/>
      <c r="D110" s="270"/>
      <c r="E110" s="270"/>
      <c r="F110" s="270"/>
      <c r="G110" s="270"/>
      <c r="H110" s="270"/>
      <c r="I110" s="270"/>
      <c r="J110" s="270"/>
      <c r="K110" s="271"/>
      <c r="L110" s="249">
        <v>4436</v>
      </c>
      <c r="M110" s="250">
        <v>1078</v>
      </c>
      <c r="N110" s="249">
        <v>1696</v>
      </c>
      <c r="O110" s="250">
        <v>636</v>
      </c>
      <c r="P110" s="249">
        <v>1026</v>
      </c>
      <c r="Q110">
        <f>O110/L110*100</f>
        <v>14.337240757439135</v>
      </c>
      <c r="R110">
        <f>N110/L110*100</f>
        <v>38.232642019837691</v>
      </c>
      <c r="S110">
        <f>M110/L110*100</f>
        <v>24.301172227231742</v>
      </c>
      <c r="T110">
        <f>P110/L110*100</f>
        <v>23.128944995491434</v>
      </c>
    </row>
    <row r="111" spans="1:20" ht="14.25" hidden="1" thickBot="1">
      <c r="B111" s="258" t="s">
        <v>28</v>
      </c>
      <c r="C111" s="249">
        <v>88129</v>
      </c>
      <c r="D111" s="249">
        <v>45850</v>
      </c>
      <c r="E111" s="249">
        <v>42279</v>
      </c>
      <c r="F111" s="249">
        <v>83655</v>
      </c>
      <c r="G111" s="249">
        <v>43009</v>
      </c>
      <c r="H111" s="249">
        <v>40646</v>
      </c>
      <c r="I111" s="249">
        <v>4436</v>
      </c>
      <c r="J111" s="249">
        <v>2817</v>
      </c>
      <c r="K111" s="259">
        <v>1619</v>
      </c>
    </row>
    <row r="112" spans="1:20" ht="14.25" hidden="1" thickBot="1">
      <c r="B112" s="260" t="s">
        <v>321</v>
      </c>
      <c r="C112" s="250">
        <v>10397</v>
      </c>
      <c r="D112" s="250">
        <v>5729</v>
      </c>
      <c r="E112" s="250">
        <v>4668</v>
      </c>
      <c r="F112" s="250">
        <v>9306</v>
      </c>
      <c r="G112" s="250">
        <v>5047</v>
      </c>
      <c r="H112" s="250">
        <v>4259</v>
      </c>
      <c r="I112" s="250">
        <v>1078</v>
      </c>
      <c r="J112" s="250">
        <v>674</v>
      </c>
      <c r="K112" s="261">
        <v>404</v>
      </c>
    </row>
    <row r="113" spans="1:20" ht="14.25" hidden="1" thickBot="1">
      <c r="B113" s="258" t="s">
        <v>322</v>
      </c>
      <c r="C113" s="249">
        <v>60361</v>
      </c>
      <c r="D113" s="249">
        <v>30761</v>
      </c>
      <c r="E113" s="249">
        <v>29600</v>
      </c>
      <c r="F113" s="249">
        <v>58653</v>
      </c>
      <c r="G113" s="249">
        <v>29663</v>
      </c>
      <c r="H113" s="249">
        <v>28990</v>
      </c>
      <c r="I113" s="249">
        <v>1696</v>
      </c>
      <c r="J113" s="249">
        <v>1092</v>
      </c>
      <c r="K113" s="259">
        <v>604</v>
      </c>
    </row>
    <row r="114" spans="1:20" ht="14.25" hidden="1" thickBot="1">
      <c r="B114" s="260" t="s">
        <v>323</v>
      </c>
      <c r="C114" s="250">
        <v>10837</v>
      </c>
      <c r="D114" s="250">
        <v>5779</v>
      </c>
      <c r="E114" s="250">
        <v>5058</v>
      </c>
      <c r="F114" s="250">
        <v>10199</v>
      </c>
      <c r="G114" s="250">
        <v>5438</v>
      </c>
      <c r="H114" s="250">
        <v>4761</v>
      </c>
      <c r="I114" s="250">
        <v>636</v>
      </c>
      <c r="J114" s="250">
        <v>340</v>
      </c>
      <c r="K114" s="261">
        <v>296</v>
      </c>
    </row>
    <row r="115" spans="1:20" ht="14.25" hidden="1" thickBot="1">
      <c r="B115" s="258" t="s">
        <v>324</v>
      </c>
      <c r="C115" s="249">
        <v>6534</v>
      </c>
      <c r="D115" s="249">
        <v>3581</v>
      </c>
      <c r="E115" s="249">
        <v>2953</v>
      </c>
      <c r="F115" s="249">
        <v>5497</v>
      </c>
      <c r="G115" s="249">
        <v>2861</v>
      </c>
      <c r="H115" s="249">
        <v>2636</v>
      </c>
      <c r="I115" s="249">
        <v>1026</v>
      </c>
      <c r="J115" s="249">
        <v>711</v>
      </c>
      <c r="K115" s="259">
        <v>315</v>
      </c>
    </row>
    <row r="116" spans="1:20" ht="14.25" thickBot="1">
      <c r="A116">
        <v>255</v>
      </c>
      <c r="B116" s="269" t="s">
        <v>3554</v>
      </c>
      <c r="C116" s="270"/>
      <c r="D116" s="270"/>
      <c r="E116" s="270"/>
      <c r="F116" s="270"/>
      <c r="G116" s="270"/>
      <c r="H116" s="270"/>
      <c r="I116" s="270"/>
      <c r="J116" s="270"/>
      <c r="K116" s="271"/>
      <c r="L116" s="249">
        <v>980</v>
      </c>
      <c r="M116" s="250">
        <v>283</v>
      </c>
      <c r="N116" s="249">
        <v>351</v>
      </c>
      <c r="O116" s="250">
        <v>120</v>
      </c>
      <c r="P116" s="249">
        <v>226</v>
      </c>
      <c r="Q116">
        <f>O116/L116*100</f>
        <v>12.244897959183673</v>
      </c>
      <c r="R116">
        <f>N116/L116*100</f>
        <v>35.816326530612244</v>
      </c>
      <c r="S116">
        <f>M116/L116*100</f>
        <v>28.877551020408166</v>
      </c>
      <c r="T116">
        <f>P116/L116*100</f>
        <v>23.061224489795919</v>
      </c>
    </row>
    <row r="117" spans="1:20" ht="14.25" hidden="1" thickBot="1">
      <c r="B117" s="258" t="s">
        <v>28</v>
      </c>
      <c r="C117" s="249">
        <v>21273</v>
      </c>
      <c r="D117" s="249">
        <v>11820</v>
      </c>
      <c r="E117" s="249">
        <v>9453</v>
      </c>
      <c r="F117" s="249">
        <v>20291</v>
      </c>
      <c r="G117" s="249">
        <v>11181</v>
      </c>
      <c r="H117" s="249">
        <v>9110</v>
      </c>
      <c r="I117" s="249">
        <v>980</v>
      </c>
      <c r="J117" s="249">
        <v>637</v>
      </c>
      <c r="K117" s="259">
        <v>343</v>
      </c>
    </row>
    <row r="118" spans="1:20" ht="14.25" hidden="1" thickBot="1">
      <c r="B118" s="260" t="s">
        <v>321</v>
      </c>
      <c r="C118" s="250">
        <v>2712</v>
      </c>
      <c r="D118" s="250">
        <v>1541</v>
      </c>
      <c r="E118" s="250">
        <v>1171</v>
      </c>
      <c r="F118" s="250">
        <v>2428</v>
      </c>
      <c r="G118" s="250">
        <v>1342</v>
      </c>
      <c r="H118" s="250">
        <v>1086</v>
      </c>
      <c r="I118" s="250">
        <v>283</v>
      </c>
      <c r="J118" s="250">
        <v>198</v>
      </c>
      <c r="K118" s="261">
        <v>85</v>
      </c>
    </row>
    <row r="119" spans="1:20" ht="14.25" hidden="1" thickBot="1">
      <c r="B119" s="258" t="s">
        <v>322</v>
      </c>
      <c r="C119" s="249">
        <v>15370</v>
      </c>
      <c r="D119" s="249">
        <v>8603</v>
      </c>
      <c r="E119" s="249">
        <v>6767</v>
      </c>
      <c r="F119" s="249">
        <v>15018</v>
      </c>
      <c r="G119" s="249">
        <v>8368</v>
      </c>
      <c r="H119" s="249">
        <v>6650</v>
      </c>
      <c r="I119" s="249">
        <v>351</v>
      </c>
      <c r="J119" s="249">
        <v>234</v>
      </c>
      <c r="K119" s="259">
        <v>117</v>
      </c>
    </row>
    <row r="120" spans="1:20" ht="14.25" hidden="1" thickBot="1">
      <c r="B120" s="260" t="s">
        <v>323</v>
      </c>
      <c r="C120" s="250">
        <v>1851</v>
      </c>
      <c r="D120" s="250">
        <v>976</v>
      </c>
      <c r="E120" s="250">
        <v>875</v>
      </c>
      <c r="F120" s="250">
        <v>1731</v>
      </c>
      <c r="G120" s="250">
        <v>921</v>
      </c>
      <c r="H120" s="250">
        <v>810</v>
      </c>
      <c r="I120" s="250">
        <v>120</v>
      </c>
      <c r="J120" s="250">
        <v>55</v>
      </c>
      <c r="K120" s="261">
        <v>65</v>
      </c>
    </row>
    <row r="121" spans="1:20" ht="14.25" hidden="1" thickBot="1">
      <c r="B121" s="258" t="s">
        <v>324</v>
      </c>
      <c r="C121" s="249">
        <v>1340</v>
      </c>
      <c r="D121" s="249">
        <v>700</v>
      </c>
      <c r="E121" s="249">
        <v>640</v>
      </c>
      <c r="F121" s="249">
        <v>1114</v>
      </c>
      <c r="G121" s="249">
        <v>550</v>
      </c>
      <c r="H121" s="249">
        <v>564</v>
      </c>
      <c r="I121" s="249">
        <v>226</v>
      </c>
      <c r="J121" s="249">
        <v>150</v>
      </c>
      <c r="K121" s="259">
        <v>76</v>
      </c>
    </row>
    <row r="122" spans="1:20" ht="14.25" thickBot="1">
      <c r="A122">
        <v>256</v>
      </c>
      <c r="B122" s="269" t="s">
        <v>3555</v>
      </c>
      <c r="C122" s="270"/>
      <c r="D122" s="270"/>
      <c r="E122" s="270"/>
      <c r="F122" s="270"/>
      <c r="G122" s="270"/>
      <c r="H122" s="270"/>
      <c r="I122" s="270"/>
      <c r="J122" s="270"/>
      <c r="K122" s="271"/>
      <c r="L122" s="249">
        <v>2391</v>
      </c>
      <c r="M122" s="250">
        <v>634</v>
      </c>
      <c r="N122" s="249">
        <v>660</v>
      </c>
      <c r="O122" s="250">
        <v>138</v>
      </c>
      <c r="P122" s="249">
        <v>959</v>
      </c>
      <c r="Q122">
        <f>O122/L122*100</f>
        <v>5.7716436637390212</v>
      </c>
      <c r="R122">
        <f>N122/L122*100</f>
        <v>27.603513174404014</v>
      </c>
      <c r="S122">
        <f>M122/L122*100</f>
        <v>26.516102049351737</v>
      </c>
      <c r="T122">
        <f>P122/L122*100</f>
        <v>40.108741112505228</v>
      </c>
    </row>
    <row r="123" spans="1:20" ht="14.25" hidden="1" thickBot="1">
      <c r="B123" s="258" t="s">
        <v>28</v>
      </c>
      <c r="C123" s="249">
        <v>37783</v>
      </c>
      <c r="D123" s="249">
        <v>21039</v>
      </c>
      <c r="E123" s="249">
        <v>16744</v>
      </c>
      <c r="F123" s="249">
        <v>35383</v>
      </c>
      <c r="G123" s="249">
        <v>19333</v>
      </c>
      <c r="H123" s="249">
        <v>16050</v>
      </c>
      <c r="I123" s="249">
        <v>2391</v>
      </c>
      <c r="J123" s="249">
        <v>1701</v>
      </c>
      <c r="K123" s="259">
        <v>690</v>
      </c>
    </row>
    <row r="124" spans="1:20" ht="14.25" hidden="1" thickBot="1">
      <c r="B124" s="260" t="s">
        <v>321</v>
      </c>
      <c r="C124" s="250">
        <v>5464</v>
      </c>
      <c r="D124" s="250">
        <v>3288</v>
      </c>
      <c r="E124" s="250">
        <v>2176</v>
      </c>
      <c r="F124" s="250">
        <v>4827</v>
      </c>
      <c r="G124" s="250">
        <v>2810</v>
      </c>
      <c r="H124" s="250">
        <v>2017</v>
      </c>
      <c r="I124" s="250">
        <v>634</v>
      </c>
      <c r="J124" s="250">
        <v>475</v>
      </c>
      <c r="K124" s="261">
        <v>159</v>
      </c>
    </row>
    <row r="125" spans="1:20" ht="14.25" hidden="1" thickBot="1">
      <c r="B125" s="258" t="s">
        <v>322</v>
      </c>
      <c r="C125" s="249">
        <v>25881</v>
      </c>
      <c r="D125" s="249">
        <v>14029</v>
      </c>
      <c r="E125" s="249">
        <v>11852</v>
      </c>
      <c r="F125" s="249">
        <v>25217</v>
      </c>
      <c r="G125" s="249">
        <v>13542</v>
      </c>
      <c r="H125" s="249">
        <v>11675</v>
      </c>
      <c r="I125" s="249">
        <v>660</v>
      </c>
      <c r="J125" s="249">
        <v>485</v>
      </c>
      <c r="K125" s="259">
        <v>175</v>
      </c>
    </row>
    <row r="126" spans="1:20" ht="14.25" hidden="1" thickBot="1">
      <c r="B126" s="260" t="s">
        <v>323</v>
      </c>
      <c r="C126" s="250">
        <v>2506</v>
      </c>
      <c r="D126" s="250">
        <v>1288</v>
      </c>
      <c r="E126" s="250">
        <v>1218</v>
      </c>
      <c r="F126" s="250">
        <v>2368</v>
      </c>
      <c r="G126" s="250">
        <v>1224</v>
      </c>
      <c r="H126" s="250">
        <v>1144</v>
      </c>
      <c r="I126" s="250">
        <v>138</v>
      </c>
      <c r="J126" s="250">
        <v>64</v>
      </c>
      <c r="K126" s="261">
        <v>74</v>
      </c>
    </row>
    <row r="127" spans="1:20" ht="14.25" hidden="1" thickBot="1">
      <c r="B127" s="258" t="s">
        <v>324</v>
      </c>
      <c r="C127" s="249">
        <v>3932</v>
      </c>
      <c r="D127" s="249">
        <v>2434</v>
      </c>
      <c r="E127" s="249">
        <v>1498</v>
      </c>
      <c r="F127" s="249">
        <v>2971</v>
      </c>
      <c r="G127" s="249">
        <v>1757</v>
      </c>
      <c r="H127" s="249">
        <v>1214</v>
      </c>
      <c r="I127" s="249">
        <v>959</v>
      </c>
      <c r="J127" s="249">
        <v>677</v>
      </c>
      <c r="K127" s="259">
        <v>282</v>
      </c>
    </row>
    <row r="128" spans="1:20" ht="14.25" thickBot="1">
      <c r="A128">
        <v>257</v>
      </c>
      <c r="B128" s="269" t="s">
        <v>3556</v>
      </c>
      <c r="C128" s="270"/>
      <c r="D128" s="270"/>
      <c r="E128" s="270"/>
      <c r="F128" s="270"/>
      <c r="G128" s="270"/>
      <c r="H128" s="270"/>
      <c r="I128" s="270"/>
      <c r="J128" s="270"/>
      <c r="K128" s="271"/>
      <c r="L128" s="249">
        <v>2642</v>
      </c>
      <c r="M128" s="250">
        <v>653</v>
      </c>
      <c r="N128" s="249">
        <v>1134</v>
      </c>
      <c r="O128" s="250">
        <v>211</v>
      </c>
      <c r="P128" s="249">
        <v>644</v>
      </c>
      <c r="Q128">
        <f>O128/L128*100</f>
        <v>7.9863739591218774</v>
      </c>
      <c r="R128">
        <f>N128/L128*100</f>
        <v>42.922028766086299</v>
      </c>
      <c r="S128">
        <f>M128/L128*100</f>
        <v>24.716124148372444</v>
      </c>
      <c r="T128">
        <f>P128/L128*100</f>
        <v>24.375473126419379</v>
      </c>
    </row>
    <row r="129" spans="1:20" ht="14.25" hidden="1" thickBot="1">
      <c r="B129" s="258" t="s">
        <v>28</v>
      </c>
      <c r="C129" s="249">
        <v>43617</v>
      </c>
      <c r="D129" s="249">
        <v>22725</v>
      </c>
      <c r="E129" s="249">
        <v>20892</v>
      </c>
      <c r="F129" s="249">
        <v>40968</v>
      </c>
      <c r="G129" s="249">
        <v>21001</v>
      </c>
      <c r="H129" s="249">
        <v>19967</v>
      </c>
      <c r="I129" s="249">
        <v>2642</v>
      </c>
      <c r="J129" s="249">
        <v>1720</v>
      </c>
      <c r="K129" s="259">
        <v>922</v>
      </c>
    </row>
    <row r="130" spans="1:20" ht="14.25" hidden="1" thickBot="1">
      <c r="B130" s="260" t="s">
        <v>321</v>
      </c>
      <c r="C130" s="250">
        <v>5154</v>
      </c>
      <c r="D130" s="250">
        <v>3018</v>
      </c>
      <c r="E130" s="250">
        <v>2136</v>
      </c>
      <c r="F130" s="250">
        <v>4499</v>
      </c>
      <c r="G130" s="250">
        <v>2561</v>
      </c>
      <c r="H130" s="250">
        <v>1938</v>
      </c>
      <c r="I130" s="250">
        <v>653</v>
      </c>
      <c r="J130" s="250">
        <v>456</v>
      </c>
      <c r="K130" s="261">
        <v>197</v>
      </c>
    </row>
    <row r="131" spans="1:20" ht="14.25" hidden="1" thickBot="1">
      <c r="B131" s="258" t="s">
        <v>322</v>
      </c>
      <c r="C131" s="249">
        <v>30566</v>
      </c>
      <c r="D131" s="249">
        <v>15477</v>
      </c>
      <c r="E131" s="249">
        <v>15089</v>
      </c>
      <c r="F131" s="249">
        <v>29428</v>
      </c>
      <c r="G131" s="249">
        <v>14734</v>
      </c>
      <c r="H131" s="249">
        <v>14694</v>
      </c>
      <c r="I131" s="249">
        <v>1134</v>
      </c>
      <c r="J131" s="249">
        <v>740</v>
      </c>
      <c r="K131" s="259">
        <v>394</v>
      </c>
    </row>
    <row r="132" spans="1:20" ht="14.25" hidden="1" thickBot="1">
      <c r="B132" s="260" t="s">
        <v>323</v>
      </c>
      <c r="C132" s="250">
        <v>3539</v>
      </c>
      <c r="D132" s="250">
        <v>1837</v>
      </c>
      <c r="E132" s="250">
        <v>1702</v>
      </c>
      <c r="F132" s="250">
        <v>3327</v>
      </c>
      <c r="G132" s="250">
        <v>1740</v>
      </c>
      <c r="H132" s="250">
        <v>1587</v>
      </c>
      <c r="I132" s="250">
        <v>211</v>
      </c>
      <c r="J132" s="250">
        <v>97</v>
      </c>
      <c r="K132" s="261">
        <v>114</v>
      </c>
    </row>
    <row r="133" spans="1:20" ht="14.25" hidden="1" thickBot="1">
      <c r="B133" s="258" t="s">
        <v>324</v>
      </c>
      <c r="C133" s="249">
        <v>4358</v>
      </c>
      <c r="D133" s="249">
        <v>2393</v>
      </c>
      <c r="E133" s="249">
        <v>1965</v>
      </c>
      <c r="F133" s="249">
        <v>3714</v>
      </c>
      <c r="G133" s="249">
        <v>1966</v>
      </c>
      <c r="H133" s="249">
        <v>1748</v>
      </c>
      <c r="I133" s="249">
        <v>644</v>
      </c>
      <c r="J133" s="249">
        <v>427</v>
      </c>
      <c r="K133" s="259">
        <v>217</v>
      </c>
    </row>
    <row r="134" spans="1:20" ht="14.25" thickBot="1">
      <c r="A134">
        <v>3</v>
      </c>
      <c r="B134" s="269" t="s">
        <v>3557</v>
      </c>
      <c r="C134" s="270"/>
      <c r="D134" s="270"/>
      <c r="E134" s="270"/>
      <c r="F134" s="270"/>
      <c r="G134" s="270"/>
      <c r="H134" s="270"/>
      <c r="I134" s="270"/>
      <c r="J134" s="270"/>
      <c r="K134" s="271"/>
      <c r="L134" s="249">
        <v>30576</v>
      </c>
      <c r="M134" s="250">
        <v>6327</v>
      </c>
      <c r="N134" s="249">
        <v>9635</v>
      </c>
      <c r="O134" s="250">
        <v>2799</v>
      </c>
      <c r="P134" s="249">
        <v>11815</v>
      </c>
      <c r="Q134">
        <f>O134/L134*100</f>
        <v>9.1542386185243316</v>
      </c>
      <c r="R134">
        <f>N134/L134*100</f>
        <v>31.511643118785976</v>
      </c>
      <c r="S134">
        <f>M134/L134*100</f>
        <v>20.692700156985872</v>
      </c>
      <c r="T134">
        <f>P134/L134*100</f>
        <v>38.641418105703821</v>
      </c>
    </row>
    <row r="135" spans="1:20" ht="14.25" hidden="1" thickBot="1">
      <c r="B135" s="258" t="s">
        <v>28</v>
      </c>
      <c r="C135" s="249">
        <v>485136</v>
      </c>
      <c r="D135" s="249">
        <v>248891</v>
      </c>
      <c r="E135" s="249">
        <v>236245</v>
      </c>
      <c r="F135" s="249">
        <v>454375</v>
      </c>
      <c r="G135" s="249">
        <v>228376</v>
      </c>
      <c r="H135" s="249">
        <v>225999</v>
      </c>
      <c r="I135" s="249">
        <v>30576</v>
      </c>
      <c r="J135" s="249">
        <v>20392</v>
      </c>
      <c r="K135" s="259">
        <v>10184</v>
      </c>
    </row>
    <row r="136" spans="1:20" ht="14.25" hidden="1" thickBot="1">
      <c r="B136" s="260" t="s">
        <v>321</v>
      </c>
      <c r="C136" s="250">
        <v>59545</v>
      </c>
      <c r="D136" s="250">
        <v>32938</v>
      </c>
      <c r="E136" s="250">
        <v>26607</v>
      </c>
      <c r="F136" s="250">
        <v>53186</v>
      </c>
      <c r="G136" s="250">
        <v>28757</v>
      </c>
      <c r="H136" s="250">
        <v>24429</v>
      </c>
      <c r="I136" s="250">
        <v>6327</v>
      </c>
      <c r="J136" s="250">
        <v>4159</v>
      </c>
      <c r="K136" s="261">
        <v>2168</v>
      </c>
    </row>
    <row r="137" spans="1:20" ht="14.25" hidden="1" thickBot="1">
      <c r="B137" s="258" t="s">
        <v>322</v>
      </c>
      <c r="C137" s="249">
        <v>328451</v>
      </c>
      <c r="D137" s="249">
        <v>163773</v>
      </c>
      <c r="E137" s="249">
        <v>164678</v>
      </c>
      <c r="F137" s="249">
        <v>318743</v>
      </c>
      <c r="G137" s="249">
        <v>157568</v>
      </c>
      <c r="H137" s="249">
        <v>161175</v>
      </c>
      <c r="I137" s="249">
        <v>9635</v>
      </c>
      <c r="J137" s="249">
        <v>6157</v>
      </c>
      <c r="K137" s="259">
        <v>3478</v>
      </c>
    </row>
    <row r="138" spans="1:20" ht="14.25" hidden="1" thickBot="1">
      <c r="B138" s="260" t="s">
        <v>323</v>
      </c>
      <c r="C138" s="250">
        <v>43186</v>
      </c>
      <c r="D138" s="250">
        <v>21762</v>
      </c>
      <c r="E138" s="250">
        <v>21424</v>
      </c>
      <c r="F138" s="250">
        <v>40381</v>
      </c>
      <c r="G138" s="250">
        <v>20325</v>
      </c>
      <c r="H138" s="250">
        <v>20056</v>
      </c>
      <c r="I138" s="250">
        <v>2799</v>
      </c>
      <c r="J138" s="250">
        <v>1433</v>
      </c>
      <c r="K138" s="261">
        <v>1366</v>
      </c>
    </row>
    <row r="139" spans="1:20" ht="14.25" hidden="1" thickBot="1">
      <c r="B139" s="258" t="s">
        <v>324</v>
      </c>
      <c r="C139" s="249">
        <v>53954</v>
      </c>
      <c r="D139" s="249">
        <v>30418</v>
      </c>
      <c r="E139" s="249">
        <v>23536</v>
      </c>
      <c r="F139" s="249">
        <v>42065</v>
      </c>
      <c r="G139" s="249">
        <v>21726</v>
      </c>
      <c r="H139" s="249">
        <v>20339</v>
      </c>
      <c r="I139" s="249">
        <v>11815</v>
      </c>
      <c r="J139" s="249">
        <v>8643</v>
      </c>
      <c r="K139" s="259">
        <v>3172</v>
      </c>
    </row>
    <row r="140" spans="1:20" ht="14.25" thickBot="1">
      <c r="A140">
        <v>351</v>
      </c>
      <c r="B140" s="269" t="s">
        <v>3558</v>
      </c>
      <c r="C140" s="270"/>
      <c r="D140" s="270"/>
      <c r="E140" s="270"/>
      <c r="F140" s="270"/>
      <c r="G140" s="270"/>
      <c r="H140" s="270"/>
      <c r="I140" s="270"/>
      <c r="J140" s="270"/>
      <c r="K140" s="271"/>
      <c r="L140" s="249">
        <v>2746</v>
      </c>
      <c r="M140" s="250">
        <v>744</v>
      </c>
      <c r="N140" s="249">
        <v>953</v>
      </c>
      <c r="O140" s="250">
        <v>400</v>
      </c>
      <c r="P140" s="249">
        <v>649</v>
      </c>
      <c r="Q140">
        <f>O140/L140*100</f>
        <v>14.566642388929353</v>
      </c>
      <c r="R140">
        <f>N140/L140*100</f>
        <v>34.705025491624184</v>
      </c>
      <c r="S140">
        <f>M140/L140*100</f>
        <v>27.093954843408596</v>
      </c>
      <c r="T140">
        <f>P140/L140*100</f>
        <v>23.634377276037874</v>
      </c>
    </row>
    <row r="141" spans="1:20" ht="14.25" hidden="1" thickBot="1">
      <c r="B141" s="258" t="s">
        <v>28</v>
      </c>
      <c r="C141" s="249">
        <v>55630</v>
      </c>
      <c r="D141" s="249">
        <v>28473</v>
      </c>
      <c r="E141" s="249">
        <v>27157</v>
      </c>
      <c r="F141" s="249">
        <v>52861</v>
      </c>
      <c r="G141" s="249">
        <v>26721</v>
      </c>
      <c r="H141" s="249">
        <v>26140</v>
      </c>
      <c r="I141" s="249">
        <v>2746</v>
      </c>
      <c r="J141" s="249">
        <v>1734</v>
      </c>
      <c r="K141" s="259">
        <v>1012</v>
      </c>
    </row>
    <row r="142" spans="1:20" ht="14.25" hidden="1" thickBot="1">
      <c r="B142" s="260" t="s">
        <v>321</v>
      </c>
      <c r="C142" s="250">
        <v>6314</v>
      </c>
      <c r="D142" s="250">
        <v>3470</v>
      </c>
      <c r="E142" s="250">
        <v>2844</v>
      </c>
      <c r="F142" s="250">
        <v>5567</v>
      </c>
      <c r="G142" s="250">
        <v>2991</v>
      </c>
      <c r="H142" s="250">
        <v>2576</v>
      </c>
      <c r="I142" s="250">
        <v>744</v>
      </c>
      <c r="J142" s="250">
        <v>476</v>
      </c>
      <c r="K142" s="261">
        <v>268</v>
      </c>
    </row>
    <row r="143" spans="1:20" ht="14.25" hidden="1" thickBot="1">
      <c r="B143" s="258" t="s">
        <v>322</v>
      </c>
      <c r="C143" s="249">
        <v>38715</v>
      </c>
      <c r="D143" s="249">
        <v>19298</v>
      </c>
      <c r="E143" s="249">
        <v>19417</v>
      </c>
      <c r="F143" s="249">
        <v>37752</v>
      </c>
      <c r="G143" s="249">
        <v>18693</v>
      </c>
      <c r="H143" s="249">
        <v>19059</v>
      </c>
      <c r="I143" s="249">
        <v>953</v>
      </c>
      <c r="J143" s="249">
        <v>597</v>
      </c>
      <c r="K143" s="259">
        <v>356</v>
      </c>
    </row>
    <row r="144" spans="1:20" ht="14.25" hidden="1" thickBot="1">
      <c r="B144" s="260" t="s">
        <v>323</v>
      </c>
      <c r="C144" s="250">
        <v>5874</v>
      </c>
      <c r="D144" s="250">
        <v>3266</v>
      </c>
      <c r="E144" s="250">
        <v>2608</v>
      </c>
      <c r="F144" s="250">
        <v>5474</v>
      </c>
      <c r="G144" s="250">
        <v>3023</v>
      </c>
      <c r="H144" s="250">
        <v>2451</v>
      </c>
      <c r="I144" s="250">
        <v>400</v>
      </c>
      <c r="J144" s="250">
        <v>243</v>
      </c>
      <c r="K144" s="261">
        <v>157</v>
      </c>
    </row>
    <row r="145" spans="1:20" ht="14.25" hidden="1" thickBot="1">
      <c r="B145" s="258" t="s">
        <v>324</v>
      </c>
      <c r="C145" s="249">
        <v>4727</v>
      </c>
      <c r="D145" s="249">
        <v>2439</v>
      </c>
      <c r="E145" s="249">
        <v>2288</v>
      </c>
      <c r="F145" s="249">
        <v>4068</v>
      </c>
      <c r="G145" s="249">
        <v>2014</v>
      </c>
      <c r="H145" s="249">
        <v>2054</v>
      </c>
      <c r="I145" s="249">
        <v>649</v>
      </c>
      <c r="J145" s="249">
        <v>418</v>
      </c>
      <c r="K145" s="259">
        <v>231</v>
      </c>
    </row>
    <row r="146" spans="1:20" ht="14.25" thickBot="1">
      <c r="A146">
        <v>352</v>
      </c>
      <c r="B146" s="269" t="s">
        <v>3559</v>
      </c>
      <c r="C146" s="270"/>
      <c r="D146" s="270"/>
      <c r="E146" s="270"/>
      <c r="F146" s="270"/>
      <c r="G146" s="270"/>
      <c r="H146" s="270"/>
      <c r="I146" s="270"/>
      <c r="J146" s="270"/>
      <c r="K146" s="271"/>
      <c r="L146" s="249">
        <v>3391</v>
      </c>
      <c r="M146" s="250">
        <v>735</v>
      </c>
      <c r="N146" s="249">
        <v>987</v>
      </c>
      <c r="O146" s="250">
        <v>229</v>
      </c>
      <c r="P146" s="249">
        <v>1440</v>
      </c>
      <c r="Q146">
        <f>O146/L146*100</f>
        <v>6.7531701562960773</v>
      </c>
      <c r="R146">
        <f>N146/L146*100</f>
        <v>29.106458271896194</v>
      </c>
      <c r="S146">
        <f>M146/L146*100</f>
        <v>21.675022117369508</v>
      </c>
      <c r="T146">
        <f>P146/L146*100</f>
        <v>42.465349454438218</v>
      </c>
    </row>
    <row r="147" spans="1:20" ht="14.25" hidden="1" thickBot="1">
      <c r="B147" s="258" t="s">
        <v>28</v>
      </c>
      <c r="C147" s="249">
        <v>44489</v>
      </c>
      <c r="D147" s="249">
        <v>21515</v>
      </c>
      <c r="E147" s="249">
        <v>22974</v>
      </c>
      <c r="F147" s="249">
        <v>41091</v>
      </c>
      <c r="G147" s="249">
        <v>19331</v>
      </c>
      <c r="H147" s="249">
        <v>21760</v>
      </c>
      <c r="I147" s="249">
        <v>3391</v>
      </c>
      <c r="J147" s="249">
        <v>2178</v>
      </c>
      <c r="K147" s="259">
        <v>1213</v>
      </c>
    </row>
    <row r="148" spans="1:20" ht="14.25" hidden="1" thickBot="1">
      <c r="B148" s="260" t="s">
        <v>321</v>
      </c>
      <c r="C148" s="250">
        <v>5879</v>
      </c>
      <c r="D148" s="250">
        <v>3102</v>
      </c>
      <c r="E148" s="250">
        <v>2777</v>
      </c>
      <c r="F148" s="250">
        <v>5142</v>
      </c>
      <c r="G148" s="250">
        <v>2673</v>
      </c>
      <c r="H148" s="250">
        <v>2469</v>
      </c>
      <c r="I148" s="250">
        <v>735</v>
      </c>
      <c r="J148" s="250">
        <v>428</v>
      </c>
      <c r="K148" s="261">
        <v>307</v>
      </c>
    </row>
    <row r="149" spans="1:20" ht="14.25" hidden="1" thickBot="1">
      <c r="B149" s="258" t="s">
        <v>322</v>
      </c>
      <c r="C149" s="249">
        <v>29632</v>
      </c>
      <c r="D149" s="249">
        <v>13814</v>
      </c>
      <c r="E149" s="249">
        <v>15818</v>
      </c>
      <c r="F149" s="249">
        <v>28642</v>
      </c>
      <c r="G149" s="249">
        <v>13208</v>
      </c>
      <c r="H149" s="249">
        <v>15434</v>
      </c>
      <c r="I149" s="249">
        <v>987</v>
      </c>
      <c r="J149" s="249">
        <v>603</v>
      </c>
      <c r="K149" s="259">
        <v>384</v>
      </c>
    </row>
    <row r="150" spans="1:20" ht="14.25" hidden="1" thickBot="1">
      <c r="B150" s="260" t="s">
        <v>323</v>
      </c>
      <c r="C150" s="250">
        <v>3008</v>
      </c>
      <c r="D150" s="250">
        <v>1471</v>
      </c>
      <c r="E150" s="250">
        <v>1537</v>
      </c>
      <c r="F150" s="250">
        <v>2778</v>
      </c>
      <c r="G150" s="250">
        <v>1343</v>
      </c>
      <c r="H150" s="250">
        <v>1435</v>
      </c>
      <c r="I150" s="250">
        <v>229</v>
      </c>
      <c r="J150" s="250">
        <v>127</v>
      </c>
      <c r="K150" s="261">
        <v>102</v>
      </c>
    </row>
    <row r="151" spans="1:20" ht="14.25" hidden="1" thickBot="1">
      <c r="B151" s="258" t="s">
        <v>324</v>
      </c>
      <c r="C151" s="249">
        <v>5970</v>
      </c>
      <c r="D151" s="249">
        <v>3128</v>
      </c>
      <c r="E151" s="249">
        <v>2842</v>
      </c>
      <c r="F151" s="249">
        <v>4529</v>
      </c>
      <c r="G151" s="249">
        <v>2107</v>
      </c>
      <c r="H151" s="249">
        <v>2422</v>
      </c>
      <c r="I151" s="249">
        <v>1440</v>
      </c>
      <c r="J151" s="249">
        <v>1020</v>
      </c>
      <c r="K151" s="259">
        <v>420</v>
      </c>
    </row>
    <row r="152" spans="1:20" ht="14.25" thickBot="1">
      <c r="A152">
        <v>353</v>
      </c>
      <c r="B152" s="269" t="s">
        <v>3560</v>
      </c>
      <c r="C152" s="270"/>
      <c r="D152" s="270"/>
      <c r="E152" s="270"/>
      <c r="F152" s="270"/>
      <c r="G152" s="270"/>
      <c r="H152" s="270"/>
      <c r="I152" s="270"/>
      <c r="J152" s="270"/>
      <c r="K152" s="271"/>
      <c r="L152" s="249">
        <v>5337</v>
      </c>
      <c r="M152" s="250">
        <v>1046</v>
      </c>
      <c r="N152" s="249">
        <v>1526</v>
      </c>
      <c r="O152" s="250">
        <v>297</v>
      </c>
      <c r="P152" s="249">
        <v>2468</v>
      </c>
      <c r="Q152">
        <f>O152/L152*100</f>
        <v>5.5649241146711637</v>
      </c>
      <c r="R152">
        <f>N152/L152*100</f>
        <v>28.592842420835673</v>
      </c>
      <c r="S152">
        <f>M152/L152*100</f>
        <v>19.599025669851976</v>
      </c>
      <c r="T152">
        <f>P152/L152*100</f>
        <v>46.243207794641187</v>
      </c>
    </row>
    <row r="153" spans="1:20" ht="14.25" hidden="1" thickBot="1">
      <c r="B153" s="258" t="s">
        <v>28</v>
      </c>
      <c r="C153" s="249">
        <v>58812</v>
      </c>
      <c r="D153" s="249">
        <v>30378</v>
      </c>
      <c r="E153" s="249">
        <v>28434</v>
      </c>
      <c r="F153" s="249">
        <v>53448</v>
      </c>
      <c r="G153" s="249">
        <v>26693</v>
      </c>
      <c r="H153" s="249">
        <v>26755</v>
      </c>
      <c r="I153" s="249">
        <v>5337</v>
      </c>
      <c r="J153" s="249">
        <v>3666</v>
      </c>
      <c r="K153" s="259">
        <v>1671</v>
      </c>
    </row>
    <row r="154" spans="1:20" ht="14.25" hidden="1" thickBot="1">
      <c r="B154" s="260" t="s">
        <v>321</v>
      </c>
      <c r="C154" s="250">
        <v>6362</v>
      </c>
      <c r="D154" s="250">
        <v>3760</v>
      </c>
      <c r="E154" s="250">
        <v>2602</v>
      </c>
      <c r="F154" s="250">
        <v>5315</v>
      </c>
      <c r="G154" s="250">
        <v>3039</v>
      </c>
      <c r="H154" s="250">
        <v>2276</v>
      </c>
      <c r="I154" s="250">
        <v>1046</v>
      </c>
      <c r="J154" s="250">
        <v>720</v>
      </c>
      <c r="K154" s="261">
        <v>326</v>
      </c>
    </row>
    <row r="155" spans="1:20" ht="14.25" hidden="1" thickBot="1">
      <c r="B155" s="258" t="s">
        <v>322</v>
      </c>
      <c r="C155" s="249">
        <v>38928</v>
      </c>
      <c r="D155" s="249">
        <v>18954</v>
      </c>
      <c r="E155" s="249">
        <v>19974</v>
      </c>
      <c r="F155" s="249">
        <v>37390</v>
      </c>
      <c r="G155" s="249">
        <v>17989</v>
      </c>
      <c r="H155" s="249">
        <v>19401</v>
      </c>
      <c r="I155" s="249">
        <v>1526</v>
      </c>
      <c r="J155" s="249">
        <v>957</v>
      </c>
      <c r="K155" s="259">
        <v>569</v>
      </c>
    </row>
    <row r="156" spans="1:20" ht="14.25" hidden="1" thickBot="1">
      <c r="B156" s="260" t="s">
        <v>323</v>
      </c>
      <c r="C156" s="250">
        <v>4890</v>
      </c>
      <c r="D156" s="250">
        <v>2306</v>
      </c>
      <c r="E156" s="250">
        <v>2584</v>
      </c>
      <c r="F156" s="250">
        <v>4593</v>
      </c>
      <c r="G156" s="250">
        <v>2179</v>
      </c>
      <c r="H156" s="250">
        <v>2414</v>
      </c>
      <c r="I156" s="250">
        <v>297</v>
      </c>
      <c r="J156" s="250">
        <v>127</v>
      </c>
      <c r="K156" s="261">
        <v>170</v>
      </c>
    </row>
    <row r="157" spans="1:20" ht="14.25" hidden="1" thickBot="1">
      <c r="B157" s="258" t="s">
        <v>324</v>
      </c>
      <c r="C157" s="249">
        <v>8632</v>
      </c>
      <c r="D157" s="249">
        <v>5358</v>
      </c>
      <c r="E157" s="249">
        <v>3274</v>
      </c>
      <c r="F157" s="249">
        <v>6150</v>
      </c>
      <c r="G157" s="249">
        <v>3486</v>
      </c>
      <c r="H157" s="249">
        <v>2664</v>
      </c>
      <c r="I157" s="249">
        <v>2468</v>
      </c>
      <c r="J157" s="249">
        <v>1862</v>
      </c>
      <c r="K157" s="259">
        <v>606</v>
      </c>
    </row>
    <row r="158" spans="1:20" ht="14.25" thickBot="1">
      <c r="A158">
        <v>354</v>
      </c>
      <c r="B158" s="269" t="s">
        <v>3561</v>
      </c>
      <c r="C158" s="270"/>
      <c r="D158" s="270"/>
      <c r="E158" s="270"/>
      <c r="F158" s="270"/>
      <c r="G158" s="270"/>
      <c r="H158" s="270"/>
      <c r="I158" s="270"/>
      <c r="J158" s="270"/>
      <c r="K158" s="271"/>
      <c r="L158" s="249">
        <v>521</v>
      </c>
      <c r="M158" s="250">
        <v>63</v>
      </c>
      <c r="N158" s="249">
        <v>148</v>
      </c>
      <c r="O158" s="250">
        <v>43</v>
      </c>
      <c r="P158" s="249">
        <v>267</v>
      </c>
      <c r="Q158">
        <f>O158/L158*100</f>
        <v>8.2533589251439547</v>
      </c>
      <c r="R158">
        <f>N158/L158*100</f>
        <v>28.406909788867562</v>
      </c>
      <c r="S158">
        <f>M158/L158*100</f>
        <v>12.092130518234164</v>
      </c>
      <c r="T158">
        <f>P158/L158*100</f>
        <v>51.247600767754321</v>
      </c>
    </row>
    <row r="159" spans="1:20" ht="14.25" hidden="1" thickBot="1">
      <c r="B159" s="258" t="s">
        <v>28</v>
      </c>
      <c r="C159" s="249">
        <v>13583</v>
      </c>
      <c r="D159" s="249">
        <v>6615</v>
      </c>
      <c r="E159" s="249">
        <v>6968</v>
      </c>
      <c r="F159" s="249">
        <v>13061</v>
      </c>
      <c r="G159" s="249">
        <v>6332</v>
      </c>
      <c r="H159" s="249">
        <v>6729</v>
      </c>
      <c r="I159" s="249">
        <v>521</v>
      </c>
      <c r="J159" s="249">
        <v>282</v>
      </c>
      <c r="K159" s="259">
        <v>239</v>
      </c>
    </row>
    <row r="160" spans="1:20" ht="14.25" hidden="1" thickBot="1">
      <c r="B160" s="260" t="s">
        <v>321</v>
      </c>
      <c r="C160" s="250">
        <v>1213</v>
      </c>
      <c r="D160" s="250">
        <v>624</v>
      </c>
      <c r="E160" s="250">
        <v>589</v>
      </c>
      <c r="F160" s="250">
        <v>1150</v>
      </c>
      <c r="G160" s="250">
        <v>591</v>
      </c>
      <c r="H160" s="250">
        <v>559</v>
      </c>
      <c r="I160" s="250">
        <v>63</v>
      </c>
      <c r="J160" s="250">
        <v>33</v>
      </c>
      <c r="K160" s="261">
        <v>30</v>
      </c>
    </row>
    <row r="161" spans="1:20" ht="14.25" hidden="1" thickBot="1">
      <c r="B161" s="258" t="s">
        <v>322</v>
      </c>
      <c r="C161" s="249">
        <v>9714</v>
      </c>
      <c r="D161" s="249">
        <v>4683</v>
      </c>
      <c r="E161" s="249">
        <v>5031</v>
      </c>
      <c r="F161" s="249">
        <v>9565</v>
      </c>
      <c r="G161" s="249">
        <v>4597</v>
      </c>
      <c r="H161" s="249">
        <v>4968</v>
      </c>
      <c r="I161" s="249">
        <v>148</v>
      </c>
      <c r="J161" s="249">
        <v>85</v>
      </c>
      <c r="K161" s="259">
        <v>63</v>
      </c>
    </row>
    <row r="162" spans="1:20" ht="14.25" hidden="1" thickBot="1">
      <c r="B162" s="260" t="s">
        <v>323</v>
      </c>
      <c r="C162" s="250">
        <v>1012</v>
      </c>
      <c r="D162" s="250">
        <v>445</v>
      </c>
      <c r="E162" s="250">
        <v>567</v>
      </c>
      <c r="F162" s="250">
        <v>969</v>
      </c>
      <c r="G162" s="250">
        <v>421</v>
      </c>
      <c r="H162" s="250">
        <v>548</v>
      </c>
      <c r="I162" s="250">
        <v>43</v>
      </c>
      <c r="J162" s="250">
        <v>24</v>
      </c>
      <c r="K162" s="261">
        <v>19</v>
      </c>
    </row>
    <row r="163" spans="1:20" ht="14.25" hidden="1" thickBot="1">
      <c r="B163" s="258" t="s">
        <v>324</v>
      </c>
      <c r="C163" s="249">
        <v>1644</v>
      </c>
      <c r="D163" s="249">
        <v>863</v>
      </c>
      <c r="E163" s="249">
        <v>781</v>
      </c>
      <c r="F163" s="249">
        <v>1377</v>
      </c>
      <c r="G163" s="249">
        <v>723</v>
      </c>
      <c r="H163" s="249">
        <v>654</v>
      </c>
      <c r="I163" s="249">
        <v>267</v>
      </c>
      <c r="J163" s="249">
        <v>140</v>
      </c>
      <c r="K163" s="259">
        <v>127</v>
      </c>
    </row>
    <row r="164" spans="1:20" ht="14.25" thickBot="1">
      <c r="A164">
        <v>355</v>
      </c>
      <c r="B164" s="269" t="s">
        <v>3562</v>
      </c>
      <c r="C164" s="270"/>
      <c r="D164" s="270"/>
      <c r="E164" s="270"/>
      <c r="F164" s="270"/>
      <c r="G164" s="270"/>
      <c r="H164" s="270"/>
      <c r="I164" s="270"/>
      <c r="J164" s="270"/>
      <c r="K164" s="271"/>
      <c r="L164" s="249">
        <v>2745</v>
      </c>
      <c r="M164" s="250">
        <v>596</v>
      </c>
      <c r="N164" s="249">
        <v>940</v>
      </c>
      <c r="O164" s="250">
        <v>391</v>
      </c>
      <c r="P164" s="249">
        <v>818</v>
      </c>
      <c r="Q164">
        <f>O164/L164*100</f>
        <v>14.24408014571949</v>
      </c>
      <c r="R164">
        <f>N164/L164*100</f>
        <v>34.244080145719494</v>
      </c>
      <c r="S164">
        <f>M164/L164*100</f>
        <v>21.712204007285973</v>
      </c>
      <c r="T164">
        <f>P164/L164*100</f>
        <v>29.799635701275047</v>
      </c>
    </row>
    <row r="165" spans="1:20" ht="14.25" hidden="1" thickBot="1">
      <c r="B165" s="258" t="s">
        <v>28</v>
      </c>
      <c r="C165" s="249">
        <v>55064</v>
      </c>
      <c r="D165" s="249">
        <v>27260</v>
      </c>
      <c r="E165" s="249">
        <v>27804</v>
      </c>
      <c r="F165" s="249">
        <v>52293</v>
      </c>
      <c r="G165" s="249">
        <v>25567</v>
      </c>
      <c r="H165" s="249">
        <v>26726</v>
      </c>
      <c r="I165" s="249">
        <v>2745</v>
      </c>
      <c r="J165" s="249">
        <v>1676</v>
      </c>
      <c r="K165" s="259">
        <v>1069</v>
      </c>
    </row>
    <row r="166" spans="1:20" ht="14.25" hidden="1" thickBot="1">
      <c r="B166" s="260" t="s">
        <v>321</v>
      </c>
      <c r="C166" s="250">
        <v>7163</v>
      </c>
      <c r="D166" s="250">
        <v>3994</v>
      </c>
      <c r="E166" s="250">
        <v>3169</v>
      </c>
      <c r="F166" s="250">
        <v>6563</v>
      </c>
      <c r="G166" s="250">
        <v>3605</v>
      </c>
      <c r="H166" s="250">
        <v>2958</v>
      </c>
      <c r="I166" s="250">
        <v>596</v>
      </c>
      <c r="J166" s="250">
        <v>386</v>
      </c>
      <c r="K166" s="261">
        <v>210</v>
      </c>
    </row>
    <row r="167" spans="1:20" ht="14.25" hidden="1" thickBot="1">
      <c r="B167" s="258" t="s">
        <v>322</v>
      </c>
      <c r="C167" s="249">
        <v>35661</v>
      </c>
      <c r="D167" s="249">
        <v>17210</v>
      </c>
      <c r="E167" s="249">
        <v>18451</v>
      </c>
      <c r="F167" s="249">
        <v>34710</v>
      </c>
      <c r="G167" s="249">
        <v>16626</v>
      </c>
      <c r="H167" s="249">
        <v>18084</v>
      </c>
      <c r="I167" s="249">
        <v>940</v>
      </c>
      <c r="J167" s="249">
        <v>577</v>
      </c>
      <c r="K167" s="259">
        <v>363</v>
      </c>
    </row>
    <row r="168" spans="1:20" ht="14.25" hidden="1" thickBot="1">
      <c r="B168" s="260" t="s">
        <v>323</v>
      </c>
      <c r="C168" s="250">
        <v>6944</v>
      </c>
      <c r="D168" s="250">
        <v>3289</v>
      </c>
      <c r="E168" s="250">
        <v>3655</v>
      </c>
      <c r="F168" s="250">
        <v>6553</v>
      </c>
      <c r="G168" s="250">
        <v>3109</v>
      </c>
      <c r="H168" s="250">
        <v>3444</v>
      </c>
      <c r="I168" s="250">
        <v>391</v>
      </c>
      <c r="J168" s="250">
        <v>180</v>
      </c>
      <c r="K168" s="261">
        <v>211</v>
      </c>
    </row>
    <row r="169" spans="1:20" ht="14.25" hidden="1" thickBot="1">
      <c r="B169" s="258" t="s">
        <v>324</v>
      </c>
      <c r="C169" s="249">
        <v>5296</v>
      </c>
      <c r="D169" s="249">
        <v>2767</v>
      </c>
      <c r="E169" s="249">
        <v>2529</v>
      </c>
      <c r="F169" s="249">
        <v>4467</v>
      </c>
      <c r="G169" s="249">
        <v>2227</v>
      </c>
      <c r="H169" s="249">
        <v>2240</v>
      </c>
      <c r="I169" s="249">
        <v>818</v>
      </c>
      <c r="J169" s="249">
        <v>533</v>
      </c>
      <c r="K169" s="259">
        <v>285</v>
      </c>
    </row>
    <row r="170" spans="1:20" ht="14.25" thickBot="1">
      <c r="A170">
        <v>356</v>
      </c>
      <c r="B170" s="269" t="s">
        <v>3563</v>
      </c>
      <c r="C170" s="270"/>
      <c r="D170" s="270"/>
      <c r="E170" s="270"/>
      <c r="F170" s="270"/>
      <c r="G170" s="270"/>
      <c r="H170" s="270"/>
      <c r="I170" s="270"/>
      <c r="J170" s="270"/>
      <c r="K170" s="271"/>
      <c r="L170" s="249">
        <v>1321</v>
      </c>
      <c r="M170" s="250">
        <v>326</v>
      </c>
      <c r="N170" s="249">
        <v>439</v>
      </c>
      <c r="O170" s="250">
        <v>111</v>
      </c>
      <c r="P170" s="249">
        <v>445</v>
      </c>
      <c r="Q170">
        <f>O170/L170*100</f>
        <v>8.4027252081756245</v>
      </c>
      <c r="R170">
        <f>N170/L170*100</f>
        <v>33.232399697199092</v>
      </c>
      <c r="S170">
        <f>M170/L170*100</f>
        <v>24.678274034822103</v>
      </c>
      <c r="T170">
        <f>P170/L170*100</f>
        <v>33.686601059803181</v>
      </c>
    </row>
    <row r="171" spans="1:20" ht="14.25" hidden="1" thickBot="1">
      <c r="B171" s="258" t="s">
        <v>28</v>
      </c>
      <c r="C171" s="249">
        <v>24698</v>
      </c>
      <c r="D171" s="249">
        <v>12342</v>
      </c>
      <c r="E171" s="249">
        <v>12356</v>
      </c>
      <c r="F171" s="249">
        <v>23365</v>
      </c>
      <c r="G171" s="249">
        <v>11428</v>
      </c>
      <c r="H171" s="249">
        <v>11937</v>
      </c>
      <c r="I171" s="249">
        <v>1321</v>
      </c>
      <c r="J171" s="249">
        <v>905</v>
      </c>
      <c r="K171" s="259">
        <v>416</v>
      </c>
    </row>
    <row r="172" spans="1:20" ht="14.25" hidden="1" thickBot="1">
      <c r="B172" s="260" t="s">
        <v>321</v>
      </c>
      <c r="C172" s="250">
        <v>3027</v>
      </c>
      <c r="D172" s="250">
        <v>1601</v>
      </c>
      <c r="E172" s="250">
        <v>1426</v>
      </c>
      <c r="F172" s="250">
        <v>2700</v>
      </c>
      <c r="G172" s="250">
        <v>1370</v>
      </c>
      <c r="H172" s="250">
        <v>1330</v>
      </c>
      <c r="I172" s="250">
        <v>326</v>
      </c>
      <c r="J172" s="250">
        <v>231</v>
      </c>
      <c r="K172" s="261">
        <v>95</v>
      </c>
    </row>
    <row r="173" spans="1:20" ht="14.25" hidden="1" thickBot="1">
      <c r="B173" s="258" t="s">
        <v>322</v>
      </c>
      <c r="C173" s="249">
        <v>16761</v>
      </c>
      <c r="D173" s="249">
        <v>8262</v>
      </c>
      <c r="E173" s="249">
        <v>8499</v>
      </c>
      <c r="F173" s="249">
        <v>16317</v>
      </c>
      <c r="G173" s="249">
        <v>7967</v>
      </c>
      <c r="H173" s="249">
        <v>8350</v>
      </c>
      <c r="I173" s="249">
        <v>439</v>
      </c>
      <c r="J173" s="249">
        <v>291</v>
      </c>
      <c r="K173" s="259">
        <v>148</v>
      </c>
    </row>
    <row r="174" spans="1:20" ht="14.25" hidden="1" thickBot="1">
      <c r="B174" s="260" t="s">
        <v>323</v>
      </c>
      <c r="C174" s="250">
        <v>1893</v>
      </c>
      <c r="D174" s="250">
        <v>878</v>
      </c>
      <c r="E174" s="250">
        <v>1015</v>
      </c>
      <c r="F174" s="250">
        <v>1782</v>
      </c>
      <c r="G174" s="250">
        <v>824</v>
      </c>
      <c r="H174" s="250">
        <v>958</v>
      </c>
      <c r="I174" s="250">
        <v>111</v>
      </c>
      <c r="J174" s="250">
        <v>54</v>
      </c>
      <c r="K174" s="261">
        <v>57</v>
      </c>
    </row>
    <row r="175" spans="1:20" ht="14.25" hidden="1" thickBot="1">
      <c r="B175" s="258" t="s">
        <v>324</v>
      </c>
      <c r="C175" s="249">
        <v>3017</v>
      </c>
      <c r="D175" s="249">
        <v>1601</v>
      </c>
      <c r="E175" s="249">
        <v>1416</v>
      </c>
      <c r="F175" s="249">
        <v>2566</v>
      </c>
      <c r="G175" s="249">
        <v>1267</v>
      </c>
      <c r="H175" s="249">
        <v>1299</v>
      </c>
      <c r="I175" s="249">
        <v>445</v>
      </c>
      <c r="J175" s="249">
        <v>329</v>
      </c>
      <c r="K175" s="259">
        <v>116</v>
      </c>
    </row>
    <row r="176" spans="1:20" ht="14.25" thickBot="1">
      <c r="A176">
        <v>357</v>
      </c>
      <c r="B176" s="269" t="s">
        <v>3564</v>
      </c>
      <c r="C176" s="270"/>
      <c r="D176" s="270"/>
      <c r="E176" s="270"/>
      <c r="F176" s="270"/>
      <c r="G176" s="270"/>
      <c r="H176" s="270"/>
      <c r="I176" s="270"/>
      <c r="J176" s="270"/>
      <c r="K176" s="271"/>
      <c r="L176" s="249">
        <v>2984</v>
      </c>
      <c r="M176" s="250">
        <v>502</v>
      </c>
      <c r="N176" s="249">
        <v>1200</v>
      </c>
      <c r="O176" s="250">
        <v>263</v>
      </c>
      <c r="P176" s="249">
        <v>1019</v>
      </c>
      <c r="Q176">
        <f>O176/L176*100</f>
        <v>8.8136729222520103</v>
      </c>
      <c r="R176">
        <f>N176/L176*100</f>
        <v>40.214477211796243</v>
      </c>
      <c r="S176">
        <f>M176/L176*100</f>
        <v>16.823056300268096</v>
      </c>
      <c r="T176">
        <f>P176/L176*100</f>
        <v>34.148793565683647</v>
      </c>
    </row>
    <row r="177" spans="1:20" ht="14.25" hidden="1" thickBot="1">
      <c r="B177" s="258" t="s">
        <v>28</v>
      </c>
      <c r="C177" s="249">
        <v>54086</v>
      </c>
      <c r="D177" s="249">
        <v>28530</v>
      </c>
      <c r="E177" s="249">
        <v>25556</v>
      </c>
      <c r="F177" s="249">
        <v>51070</v>
      </c>
      <c r="G177" s="249">
        <v>26530</v>
      </c>
      <c r="H177" s="249">
        <v>24540</v>
      </c>
      <c r="I177" s="249">
        <v>2984</v>
      </c>
      <c r="J177" s="249">
        <v>1975</v>
      </c>
      <c r="K177" s="259">
        <v>1009</v>
      </c>
    </row>
    <row r="178" spans="1:20" ht="14.25" hidden="1" thickBot="1">
      <c r="B178" s="260" t="s">
        <v>321</v>
      </c>
      <c r="C178" s="250">
        <v>7004</v>
      </c>
      <c r="D178" s="250">
        <v>3876</v>
      </c>
      <c r="E178" s="250">
        <v>3128</v>
      </c>
      <c r="F178" s="250">
        <v>6498</v>
      </c>
      <c r="G178" s="250">
        <v>3533</v>
      </c>
      <c r="H178" s="250">
        <v>2965</v>
      </c>
      <c r="I178" s="250">
        <v>502</v>
      </c>
      <c r="J178" s="250">
        <v>339</v>
      </c>
      <c r="K178" s="261">
        <v>163</v>
      </c>
    </row>
    <row r="179" spans="1:20" ht="14.25" hidden="1" thickBot="1">
      <c r="B179" s="258" t="s">
        <v>322</v>
      </c>
      <c r="C179" s="249">
        <v>37545</v>
      </c>
      <c r="D179" s="249">
        <v>19587</v>
      </c>
      <c r="E179" s="249">
        <v>17958</v>
      </c>
      <c r="F179" s="249">
        <v>36333</v>
      </c>
      <c r="G179" s="249">
        <v>18797</v>
      </c>
      <c r="H179" s="249">
        <v>17536</v>
      </c>
      <c r="I179" s="249">
        <v>1200</v>
      </c>
      <c r="J179" s="249">
        <v>782</v>
      </c>
      <c r="K179" s="259">
        <v>418</v>
      </c>
    </row>
    <row r="180" spans="1:20" ht="14.25" hidden="1" thickBot="1">
      <c r="B180" s="260" t="s">
        <v>323</v>
      </c>
      <c r="C180" s="250">
        <v>4070</v>
      </c>
      <c r="D180" s="250">
        <v>2015</v>
      </c>
      <c r="E180" s="250">
        <v>2055</v>
      </c>
      <c r="F180" s="250">
        <v>3804</v>
      </c>
      <c r="G180" s="250">
        <v>1894</v>
      </c>
      <c r="H180" s="250">
        <v>1910</v>
      </c>
      <c r="I180" s="250">
        <v>263</v>
      </c>
      <c r="J180" s="250">
        <v>119</v>
      </c>
      <c r="K180" s="261">
        <v>144</v>
      </c>
    </row>
    <row r="181" spans="1:20" ht="14.25" hidden="1" thickBot="1">
      <c r="B181" s="258" t="s">
        <v>324</v>
      </c>
      <c r="C181" s="249">
        <v>5467</v>
      </c>
      <c r="D181" s="249">
        <v>3052</v>
      </c>
      <c r="E181" s="249">
        <v>2415</v>
      </c>
      <c r="F181" s="249">
        <v>4435</v>
      </c>
      <c r="G181" s="249">
        <v>2306</v>
      </c>
      <c r="H181" s="249">
        <v>2129</v>
      </c>
      <c r="I181" s="249">
        <v>1019</v>
      </c>
      <c r="J181" s="249">
        <v>735</v>
      </c>
      <c r="K181" s="259">
        <v>284</v>
      </c>
    </row>
    <row r="182" spans="1:20" ht="14.25" thickBot="1">
      <c r="A182">
        <v>358</v>
      </c>
      <c r="B182" s="269" t="s">
        <v>3565</v>
      </c>
      <c r="C182" s="270"/>
      <c r="D182" s="270"/>
      <c r="E182" s="270"/>
      <c r="F182" s="270"/>
      <c r="G182" s="270"/>
      <c r="H182" s="270"/>
      <c r="I182" s="270"/>
      <c r="J182" s="270"/>
      <c r="K182" s="271"/>
      <c r="L182" s="249">
        <v>2855</v>
      </c>
      <c r="M182" s="250">
        <v>605</v>
      </c>
      <c r="N182" s="249">
        <v>1051</v>
      </c>
      <c r="O182" s="250">
        <v>225</v>
      </c>
      <c r="P182" s="249">
        <v>974</v>
      </c>
      <c r="Q182">
        <f>O182/L182*100</f>
        <v>7.8809106830122584</v>
      </c>
      <c r="R182">
        <f>N182/L182*100</f>
        <v>36.812609457092819</v>
      </c>
      <c r="S182">
        <f>M182/L182*100</f>
        <v>21.190893169877409</v>
      </c>
      <c r="T182">
        <f>P182/L182*100</f>
        <v>34.115586690017516</v>
      </c>
    </row>
    <row r="183" spans="1:20" ht="14.25" hidden="1" thickBot="1">
      <c r="B183" s="258" t="s">
        <v>28</v>
      </c>
      <c r="C183" s="249">
        <v>45269</v>
      </c>
      <c r="D183" s="249">
        <v>23637</v>
      </c>
      <c r="E183" s="249">
        <v>21632</v>
      </c>
      <c r="F183" s="249">
        <v>42393</v>
      </c>
      <c r="G183" s="249">
        <v>21774</v>
      </c>
      <c r="H183" s="249">
        <v>20619</v>
      </c>
      <c r="I183" s="249">
        <v>2855</v>
      </c>
      <c r="J183" s="249">
        <v>1854</v>
      </c>
      <c r="K183" s="259">
        <v>1001</v>
      </c>
    </row>
    <row r="184" spans="1:20" ht="14.25" hidden="1" thickBot="1">
      <c r="B184" s="260" t="s">
        <v>321</v>
      </c>
      <c r="C184" s="250">
        <v>6005</v>
      </c>
      <c r="D184" s="250">
        <v>3304</v>
      </c>
      <c r="E184" s="250">
        <v>2701</v>
      </c>
      <c r="F184" s="250">
        <v>5392</v>
      </c>
      <c r="G184" s="250">
        <v>2924</v>
      </c>
      <c r="H184" s="250">
        <v>2468</v>
      </c>
      <c r="I184" s="250">
        <v>605</v>
      </c>
      <c r="J184" s="250">
        <v>376</v>
      </c>
      <c r="K184" s="261">
        <v>229</v>
      </c>
    </row>
    <row r="185" spans="1:20" ht="14.25" hidden="1" thickBot="1">
      <c r="B185" s="258" t="s">
        <v>322</v>
      </c>
      <c r="C185" s="249">
        <v>32047</v>
      </c>
      <c r="D185" s="249">
        <v>16433</v>
      </c>
      <c r="E185" s="249">
        <v>15614</v>
      </c>
      <c r="F185" s="249">
        <v>30989</v>
      </c>
      <c r="G185" s="249">
        <v>15754</v>
      </c>
      <c r="H185" s="249">
        <v>15235</v>
      </c>
      <c r="I185" s="249">
        <v>1051</v>
      </c>
      <c r="J185" s="249">
        <v>676</v>
      </c>
      <c r="K185" s="259">
        <v>375</v>
      </c>
    </row>
    <row r="186" spans="1:20" ht="14.25" hidden="1" thickBot="1">
      <c r="B186" s="260" t="s">
        <v>323</v>
      </c>
      <c r="C186" s="250">
        <v>3046</v>
      </c>
      <c r="D186" s="250">
        <v>1594</v>
      </c>
      <c r="E186" s="250">
        <v>1452</v>
      </c>
      <c r="F186" s="250">
        <v>2821</v>
      </c>
      <c r="G186" s="250">
        <v>1465</v>
      </c>
      <c r="H186" s="250">
        <v>1356</v>
      </c>
      <c r="I186" s="250">
        <v>225</v>
      </c>
      <c r="J186" s="250">
        <v>129</v>
      </c>
      <c r="K186" s="261">
        <v>96</v>
      </c>
    </row>
    <row r="187" spans="1:20" ht="14.25" hidden="1" thickBot="1">
      <c r="B187" s="258" t="s">
        <v>324</v>
      </c>
      <c r="C187" s="249">
        <v>4171</v>
      </c>
      <c r="D187" s="249">
        <v>2306</v>
      </c>
      <c r="E187" s="249">
        <v>1865</v>
      </c>
      <c r="F187" s="249">
        <v>3191</v>
      </c>
      <c r="G187" s="249">
        <v>1631</v>
      </c>
      <c r="H187" s="249">
        <v>1560</v>
      </c>
      <c r="I187" s="249">
        <v>974</v>
      </c>
      <c r="J187" s="249">
        <v>673</v>
      </c>
      <c r="K187" s="259">
        <v>301</v>
      </c>
    </row>
    <row r="188" spans="1:20" ht="14.25" thickBot="1">
      <c r="A188">
        <v>359</v>
      </c>
      <c r="B188" s="269" t="s">
        <v>3566</v>
      </c>
      <c r="C188" s="270"/>
      <c r="D188" s="270"/>
      <c r="E188" s="270"/>
      <c r="F188" s="270"/>
      <c r="G188" s="270"/>
      <c r="H188" s="270"/>
      <c r="I188" s="270"/>
      <c r="J188" s="270"/>
      <c r="K188" s="271"/>
      <c r="L188" s="249">
        <v>4321</v>
      </c>
      <c r="M188" s="250">
        <v>677</v>
      </c>
      <c r="N188" s="249">
        <v>1053</v>
      </c>
      <c r="O188" s="250">
        <v>321</v>
      </c>
      <c r="P188" s="249">
        <v>2270</v>
      </c>
      <c r="Q188">
        <f>O188/L188*100</f>
        <v>7.4288359176116634</v>
      </c>
      <c r="R188">
        <f>N188/L188*100</f>
        <v>24.369358944688731</v>
      </c>
      <c r="S188">
        <f>M188/L188*100</f>
        <v>15.667669520944225</v>
      </c>
      <c r="T188">
        <f>P188/L188*100</f>
        <v>52.534135616755385</v>
      </c>
    </row>
    <row r="189" spans="1:20" ht="14.25" hidden="1" thickBot="1">
      <c r="B189" s="258" t="s">
        <v>28</v>
      </c>
      <c r="C189" s="249">
        <v>59723</v>
      </c>
      <c r="D189" s="249">
        <v>31981</v>
      </c>
      <c r="E189" s="249">
        <v>27742</v>
      </c>
      <c r="F189" s="249">
        <v>55388</v>
      </c>
      <c r="G189" s="249">
        <v>28720</v>
      </c>
      <c r="H189" s="249">
        <v>26668</v>
      </c>
      <c r="I189" s="249">
        <v>4321</v>
      </c>
      <c r="J189" s="249">
        <v>3253</v>
      </c>
      <c r="K189" s="259">
        <v>1068</v>
      </c>
    </row>
    <row r="190" spans="1:20" ht="14.25" hidden="1" thickBot="1">
      <c r="B190" s="260" t="s">
        <v>321</v>
      </c>
      <c r="C190" s="250">
        <v>7533</v>
      </c>
      <c r="D190" s="250">
        <v>4137</v>
      </c>
      <c r="E190" s="250">
        <v>3396</v>
      </c>
      <c r="F190" s="250">
        <v>6852</v>
      </c>
      <c r="G190" s="250">
        <v>3679</v>
      </c>
      <c r="H190" s="250">
        <v>3173</v>
      </c>
      <c r="I190" s="250">
        <v>677</v>
      </c>
      <c r="J190" s="250">
        <v>455</v>
      </c>
      <c r="K190" s="261">
        <v>222</v>
      </c>
    </row>
    <row r="191" spans="1:20" ht="14.25" hidden="1" thickBot="1">
      <c r="B191" s="258" t="s">
        <v>322</v>
      </c>
      <c r="C191" s="249">
        <v>39700</v>
      </c>
      <c r="D191" s="249">
        <v>20270</v>
      </c>
      <c r="E191" s="249">
        <v>19430</v>
      </c>
      <c r="F191" s="249">
        <v>38642</v>
      </c>
      <c r="G191" s="249">
        <v>19571</v>
      </c>
      <c r="H191" s="249">
        <v>19071</v>
      </c>
      <c r="I191" s="249">
        <v>1053</v>
      </c>
      <c r="J191" s="249">
        <v>698</v>
      </c>
      <c r="K191" s="259">
        <v>355</v>
      </c>
    </row>
    <row r="192" spans="1:20" ht="14.25" hidden="1" thickBot="1">
      <c r="B192" s="260" t="s">
        <v>323</v>
      </c>
      <c r="C192" s="250">
        <v>5549</v>
      </c>
      <c r="D192" s="250">
        <v>3060</v>
      </c>
      <c r="E192" s="250">
        <v>2489</v>
      </c>
      <c r="F192" s="250">
        <v>5228</v>
      </c>
      <c r="G192" s="250">
        <v>2894</v>
      </c>
      <c r="H192" s="250">
        <v>2334</v>
      </c>
      <c r="I192" s="250">
        <v>321</v>
      </c>
      <c r="J192" s="250">
        <v>166</v>
      </c>
      <c r="K192" s="261">
        <v>155</v>
      </c>
    </row>
    <row r="193" spans="1:20" ht="14.25" hidden="1" thickBot="1">
      <c r="B193" s="258" t="s">
        <v>324</v>
      </c>
      <c r="C193" s="249">
        <v>6941</v>
      </c>
      <c r="D193" s="249">
        <v>4514</v>
      </c>
      <c r="E193" s="249">
        <v>2427</v>
      </c>
      <c r="F193" s="249">
        <v>4666</v>
      </c>
      <c r="G193" s="249">
        <v>2576</v>
      </c>
      <c r="H193" s="249">
        <v>2090</v>
      </c>
      <c r="I193" s="249">
        <v>2270</v>
      </c>
      <c r="J193" s="249">
        <v>1934</v>
      </c>
      <c r="K193" s="259">
        <v>336</v>
      </c>
    </row>
    <row r="194" spans="1:20" ht="14.25" thickBot="1">
      <c r="A194">
        <v>360</v>
      </c>
      <c r="B194" s="269" t="s">
        <v>3567</v>
      </c>
      <c r="C194" s="270"/>
      <c r="D194" s="270"/>
      <c r="E194" s="270"/>
      <c r="F194" s="270"/>
      <c r="G194" s="270"/>
      <c r="H194" s="270"/>
      <c r="I194" s="270"/>
      <c r="J194" s="270"/>
      <c r="K194" s="271"/>
      <c r="L194" s="249">
        <v>1068</v>
      </c>
      <c r="M194" s="250">
        <v>192</v>
      </c>
      <c r="N194" s="249">
        <v>374</v>
      </c>
      <c r="O194" s="250">
        <v>174</v>
      </c>
      <c r="P194" s="249">
        <v>328</v>
      </c>
      <c r="Q194">
        <f>O194/L194*100</f>
        <v>16.292134831460675</v>
      </c>
      <c r="R194">
        <f>N194/L194*100</f>
        <v>35.018726591760299</v>
      </c>
      <c r="S194">
        <f>M194/L194*100</f>
        <v>17.977528089887642</v>
      </c>
      <c r="T194">
        <f>P194/L194*100</f>
        <v>30.711610486891384</v>
      </c>
    </row>
    <row r="195" spans="1:20" ht="14.25" hidden="1" thickBot="1">
      <c r="B195" s="258" t="s">
        <v>28</v>
      </c>
      <c r="C195" s="249">
        <v>29010</v>
      </c>
      <c r="D195" s="249">
        <v>13864</v>
      </c>
      <c r="E195" s="249">
        <v>15146</v>
      </c>
      <c r="F195" s="249">
        <v>27935</v>
      </c>
      <c r="G195" s="249">
        <v>13199</v>
      </c>
      <c r="H195" s="249">
        <v>14736</v>
      </c>
      <c r="I195" s="249">
        <v>1068</v>
      </c>
      <c r="J195" s="249">
        <v>660</v>
      </c>
      <c r="K195" s="259">
        <v>408</v>
      </c>
    </row>
    <row r="196" spans="1:20" ht="14.25" hidden="1" thickBot="1">
      <c r="B196" s="260" t="s">
        <v>321</v>
      </c>
      <c r="C196" s="250">
        <v>3214</v>
      </c>
      <c r="D196" s="250">
        <v>1677</v>
      </c>
      <c r="E196" s="250">
        <v>1537</v>
      </c>
      <c r="F196" s="250">
        <v>3021</v>
      </c>
      <c r="G196" s="250">
        <v>1562</v>
      </c>
      <c r="H196" s="250">
        <v>1459</v>
      </c>
      <c r="I196" s="250">
        <v>192</v>
      </c>
      <c r="J196" s="250">
        <v>115</v>
      </c>
      <c r="K196" s="261">
        <v>77</v>
      </c>
    </row>
    <row r="197" spans="1:20" ht="14.25" hidden="1" thickBot="1">
      <c r="B197" s="258" t="s">
        <v>322</v>
      </c>
      <c r="C197" s="249">
        <v>20250</v>
      </c>
      <c r="D197" s="249">
        <v>9492</v>
      </c>
      <c r="E197" s="249">
        <v>10758</v>
      </c>
      <c r="F197" s="249">
        <v>19873</v>
      </c>
      <c r="G197" s="249">
        <v>9261</v>
      </c>
      <c r="H197" s="249">
        <v>10612</v>
      </c>
      <c r="I197" s="249">
        <v>374</v>
      </c>
      <c r="J197" s="249">
        <v>228</v>
      </c>
      <c r="K197" s="259">
        <v>146</v>
      </c>
    </row>
    <row r="198" spans="1:20" ht="14.25" hidden="1" thickBot="1">
      <c r="B198" s="260" t="s">
        <v>323</v>
      </c>
      <c r="C198" s="250">
        <v>2501</v>
      </c>
      <c r="D198" s="250">
        <v>1108</v>
      </c>
      <c r="E198" s="250">
        <v>1393</v>
      </c>
      <c r="F198" s="250">
        <v>2326</v>
      </c>
      <c r="G198" s="250">
        <v>1021</v>
      </c>
      <c r="H198" s="250">
        <v>1305</v>
      </c>
      <c r="I198" s="250">
        <v>174</v>
      </c>
      <c r="J198" s="250">
        <v>86</v>
      </c>
      <c r="K198" s="261">
        <v>88</v>
      </c>
    </row>
    <row r="199" spans="1:20" ht="14.25" hidden="1" thickBot="1">
      <c r="B199" s="258" t="s">
        <v>324</v>
      </c>
      <c r="C199" s="249">
        <v>3045</v>
      </c>
      <c r="D199" s="249">
        <v>1587</v>
      </c>
      <c r="E199" s="249">
        <v>1458</v>
      </c>
      <c r="F199" s="249">
        <v>2715</v>
      </c>
      <c r="G199" s="249">
        <v>1355</v>
      </c>
      <c r="H199" s="249">
        <v>1360</v>
      </c>
      <c r="I199" s="249">
        <v>328</v>
      </c>
      <c r="J199" s="249">
        <v>231</v>
      </c>
      <c r="K199" s="259">
        <v>97</v>
      </c>
    </row>
    <row r="200" spans="1:20" ht="14.25" thickBot="1">
      <c r="A200">
        <v>361</v>
      </c>
      <c r="B200" s="269" t="s">
        <v>3568</v>
      </c>
      <c r="C200" s="270"/>
      <c r="D200" s="270"/>
      <c r="E200" s="270"/>
      <c r="F200" s="270"/>
      <c r="G200" s="270"/>
      <c r="H200" s="270"/>
      <c r="I200" s="270"/>
      <c r="J200" s="270"/>
      <c r="K200" s="271"/>
      <c r="L200" s="249">
        <v>3287</v>
      </c>
      <c r="M200" s="250">
        <v>841</v>
      </c>
      <c r="N200" s="249">
        <v>964</v>
      </c>
      <c r="O200" s="250">
        <v>345</v>
      </c>
      <c r="P200" s="249">
        <v>1137</v>
      </c>
      <c r="Q200">
        <f>O200/L200*100</f>
        <v>10.495892911469424</v>
      </c>
      <c r="R200">
        <f>N200/L200*100</f>
        <v>29.327654396105874</v>
      </c>
      <c r="S200">
        <f>M200/L200*100</f>
        <v>25.585640401581987</v>
      </c>
      <c r="T200">
        <f>P200/L200*100</f>
        <v>34.590812290842713</v>
      </c>
    </row>
    <row r="201" spans="1:20" ht="14.25" hidden="1" thickBot="1">
      <c r="B201" s="258" t="s">
        <v>28</v>
      </c>
      <c r="C201" s="249">
        <v>44772</v>
      </c>
      <c r="D201" s="249">
        <v>24296</v>
      </c>
      <c r="E201" s="249">
        <v>20476</v>
      </c>
      <c r="F201" s="249">
        <v>41470</v>
      </c>
      <c r="G201" s="249">
        <v>22081</v>
      </c>
      <c r="H201" s="249">
        <v>19389</v>
      </c>
      <c r="I201" s="249">
        <v>3287</v>
      </c>
      <c r="J201" s="249">
        <v>2209</v>
      </c>
      <c r="K201" s="259">
        <v>1078</v>
      </c>
    </row>
    <row r="202" spans="1:20" ht="14.25" hidden="1" thickBot="1">
      <c r="B202" s="260" t="s">
        <v>321</v>
      </c>
      <c r="C202" s="250">
        <v>5831</v>
      </c>
      <c r="D202" s="250">
        <v>3393</v>
      </c>
      <c r="E202" s="250">
        <v>2438</v>
      </c>
      <c r="F202" s="250">
        <v>4986</v>
      </c>
      <c r="G202" s="250">
        <v>2790</v>
      </c>
      <c r="H202" s="250">
        <v>2196</v>
      </c>
      <c r="I202" s="250">
        <v>841</v>
      </c>
      <c r="J202" s="250">
        <v>600</v>
      </c>
      <c r="K202" s="261">
        <v>241</v>
      </c>
    </row>
    <row r="203" spans="1:20" ht="14.25" hidden="1" thickBot="1">
      <c r="B203" s="258" t="s">
        <v>322</v>
      </c>
      <c r="C203" s="249">
        <v>29498</v>
      </c>
      <c r="D203" s="249">
        <v>15770</v>
      </c>
      <c r="E203" s="249">
        <v>13728</v>
      </c>
      <c r="F203" s="249">
        <v>28530</v>
      </c>
      <c r="G203" s="249">
        <v>15105</v>
      </c>
      <c r="H203" s="249">
        <v>13425</v>
      </c>
      <c r="I203" s="249">
        <v>964</v>
      </c>
      <c r="J203" s="249">
        <v>663</v>
      </c>
      <c r="K203" s="259">
        <v>301</v>
      </c>
    </row>
    <row r="204" spans="1:20" ht="14.25" hidden="1" thickBot="1">
      <c r="B204" s="260" t="s">
        <v>323</v>
      </c>
      <c r="C204" s="250">
        <v>4399</v>
      </c>
      <c r="D204" s="250">
        <v>2330</v>
      </c>
      <c r="E204" s="250">
        <v>2069</v>
      </c>
      <c r="F204" s="250">
        <v>4053</v>
      </c>
      <c r="G204" s="250">
        <v>2152</v>
      </c>
      <c r="H204" s="250">
        <v>1901</v>
      </c>
      <c r="I204" s="250">
        <v>345</v>
      </c>
      <c r="J204" s="250">
        <v>178</v>
      </c>
      <c r="K204" s="261">
        <v>167</v>
      </c>
    </row>
    <row r="205" spans="1:20" ht="14.25" hidden="1" thickBot="1">
      <c r="B205" s="258" t="s">
        <v>324</v>
      </c>
      <c r="C205" s="249">
        <v>5044</v>
      </c>
      <c r="D205" s="249">
        <v>2803</v>
      </c>
      <c r="E205" s="249">
        <v>2241</v>
      </c>
      <c r="F205" s="249">
        <v>3901</v>
      </c>
      <c r="G205" s="249">
        <v>2034</v>
      </c>
      <c r="H205" s="249">
        <v>1867</v>
      </c>
      <c r="I205" s="249">
        <v>1137</v>
      </c>
      <c r="J205" s="249">
        <v>768</v>
      </c>
      <c r="K205" s="259">
        <v>369</v>
      </c>
    </row>
    <row r="206" spans="1:20" ht="14.25" thickBot="1">
      <c r="A206">
        <v>4</v>
      </c>
      <c r="B206" s="269" t="s">
        <v>3569</v>
      </c>
      <c r="C206" s="270"/>
      <c r="D206" s="270"/>
      <c r="E206" s="270"/>
      <c r="F206" s="270"/>
      <c r="G206" s="270"/>
      <c r="H206" s="270"/>
      <c r="I206" s="270"/>
      <c r="J206" s="270"/>
      <c r="K206" s="271"/>
      <c r="L206" s="249">
        <v>69027</v>
      </c>
      <c r="M206" s="250">
        <v>15455</v>
      </c>
      <c r="N206" s="249">
        <v>19208</v>
      </c>
      <c r="O206" s="250">
        <v>4769</v>
      </c>
      <c r="P206" s="249">
        <v>29595</v>
      </c>
      <c r="Q206">
        <f>O206/L206*100</f>
        <v>6.9088907239196251</v>
      </c>
      <c r="R206">
        <f>N206/L206*100</f>
        <v>27.826792414562419</v>
      </c>
      <c r="S206">
        <f>M206/L206*100</f>
        <v>22.389789502658381</v>
      </c>
      <c r="T206">
        <f>P206/L206*100</f>
        <v>42.874527358859574</v>
      </c>
    </row>
    <row r="207" spans="1:20" ht="14.25" hidden="1" thickBot="1">
      <c r="B207" s="258" t="s">
        <v>28</v>
      </c>
      <c r="C207" s="249">
        <v>928434</v>
      </c>
      <c r="D207" s="249">
        <v>518326</v>
      </c>
      <c r="E207" s="249">
        <v>410108</v>
      </c>
      <c r="F207" s="249">
        <v>859106</v>
      </c>
      <c r="G207" s="249">
        <v>471905</v>
      </c>
      <c r="H207" s="249">
        <v>387201</v>
      </c>
      <c r="I207" s="249">
        <v>69027</v>
      </c>
      <c r="J207" s="249">
        <v>46209</v>
      </c>
      <c r="K207" s="259">
        <v>22818</v>
      </c>
    </row>
    <row r="208" spans="1:20" ht="14.25" hidden="1" thickBot="1">
      <c r="B208" s="260" t="s">
        <v>321</v>
      </c>
      <c r="C208" s="250">
        <v>114935</v>
      </c>
      <c r="D208" s="250">
        <v>65720</v>
      </c>
      <c r="E208" s="250">
        <v>49215</v>
      </c>
      <c r="F208" s="250">
        <v>99426</v>
      </c>
      <c r="G208" s="250">
        <v>55520</v>
      </c>
      <c r="H208" s="250">
        <v>43906</v>
      </c>
      <c r="I208" s="250">
        <v>15455</v>
      </c>
      <c r="J208" s="250">
        <v>10159</v>
      </c>
      <c r="K208" s="261">
        <v>5296</v>
      </c>
    </row>
    <row r="209" spans="1:20" ht="14.25" hidden="1" thickBot="1">
      <c r="B209" s="258" t="s">
        <v>322</v>
      </c>
      <c r="C209" s="249">
        <v>615347</v>
      </c>
      <c r="D209" s="249">
        <v>340751</v>
      </c>
      <c r="E209" s="249">
        <v>274596</v>
      </c>
      <c r="F209" s="249">
        <v>596016</v>
      </c>
      <c r="G209" s="249">
        <v>327522</v>
      </c>
      <c r="H209" s="249">
        <v>268494</v>
      </c>
      <c r="I209" s="249">
        <v>19208</v>
      </c>
      <c r="J209" s="249">
        <v>13149</v>
      </c>
      <c r="K209" s="259">
        <v>6059</v>
      </c>
    </row>
    <row r="210" spans="1:20" ht="14.25" hidden="1" thickBot="1">
      <c r="B210" s="260" t="s">
        <v>323</v>
      </c>
      <c r="C210" s="250">
        <v>85115</v>
      </c>
      <c r="D210" s="250">
        <v>47232</v>
      </c>
      <c r="E210" s="250">
        <v>37883</v>
      </c>
      <c r="F210" s="250">
        <v>80331</v>
      </c>
      <c r="G210" s="250">
        <v>44629</v>
      </c>
      <c r="H210" s="250">
        <v>35702</v>
      </c>
      <c r="I210" s="250">
        <v>4769</v>
      </c>
      <c r="J210" s="250">
        <v>2591</v>
      </c>
      <c r="K210" s="261">
        <v>2178</v>
      </c>
    </row>
    <row r="211" spans="1:20" ht="14.25" hidden="1" thickBot="1">
      <c r="B211" s="258" t="s">
        <v>324</v>
      </c>
      <c r="C211" s="249">
        <v>113037</v>
      </c>
      <c r="D211" s="249">
        <v>64623</v>
      </c>
      <c r="E211" s="249">
        <v>48414</v>
      </c>
      <c r="F211" s="249">
        <v>83333</v>
      </c>
      <c r="G211" s="249">
        <v>44234</v>
      </c>
      <c r="H211" s="249">
        <v>39099</v>
      </c>
      <c r="I211" s="249">
        <v>29595</v>
      </c>
      <c r="J211" s="249">
        <v>20310</v>
      </c>
      <c r="K211" s="259">
        <v>9285</v>
      </c>
    </row>
    <row r="212" spans="1:20" ht="14.25" thickBot="1">
      <c r="A212">
        <v>401</v>
      </c>
      <c r="B212" s="269" t="s">
        <v>3570</v>
      </c>
      <c r="C212" s="270"/>
      <c r="D212" s="270"/>
      <c r="E212" s="270"/>
      <c r="F212" s="270"/>
      <c r="G212" s="270"/>
      <c r="H212" s="270"/>
      <c r="I212" s="270"/>
      <c r="J212" s="270"/>
      <c r="K212" s="271"/>
      <c r="L212" s="249">
        <v>1350</v>
      </c>
      <c r="M212" s="250">
        <v>363</v>
      </c>
      <c r="N212" s="249">
        <v>397</v>
      </c>
      <c r="O212" s="250">
        <v>117</v>
      </c>
      <c r="P212" s="249">
        <v>473</v>
      </c>
      <c r="Q212">
        <f>O212/L212*100</f>
        <v>8.6666666666666679</v>
      </c>
      <c r="R212">
        <f>N212/L212*100</f>
        <v>29.407407407407408</v>
      </c>
      <c r="S212">
        <f>M212/L212*100</f>
        <v>26.888888888888889</v>
      </c>
      <c r="T212">
        <f>P212/L212*100</f>
        <v>35.037037037037038</v>
      </c>
    </row>
    <row r="213" spans="1:20" ht="14.25" hidden="1" thickBot="1">
      <c r="B213" s="258" t="s">
        <v>28</v>
      </c>
      <c r="C213" s="249">
        <v>20044</v>
      </c>
      <c r="D213" s="249">
        <v>9202</v>
      </c>
      <c r="E213" s="249">
        <v>10842</v>
      </c>
      <c r="F213" s="249">
        <v>18684</v>
      </c>
      <c r="G213" s="249">
        <v>8443</v>
      </c>
      <c r="H213" s="249">
        <v>10241</v>
      </c>
      <c r="I213" s="249">
        <v>1350</v>
      </c>
      <c r="J213" s="249">
        <v>754</v>
      </c>
      <c r="K213" s="259">
        <v>596</v>
      </c>
    </row>
    <row r="214" spans="1:20" ht="14.25" hidden="1" thickBot="1">
      <c r="B214" s="260" t="s">
        <v>321</v>
      </c>
      <c r="C214" s="250">
        <v>2552</v>
      </c>
      <c r="D214" s="250">
        <v>1285</v>
      </c>
      <c r="E214" s="250">
        <v>1267</v>
      </c>
      <c r="F214" s="250">
        <v>2188</v>
      </c>
      <c r="G214" s="250">
        <v>1069</v>
      </c>
      <c r="H214" s="250">
        <v>1119</v>
      </c>
      <c r="I214" s="250">
        <v>363</v>
      </c>
      <c r="J214" s="250">
        <v>215</v>
      </c>
      <c r="K214" s="261">
        <v>148</v>
      </c>
    </row>
    <row r="215" spans="1:20" ht="14.25" hidden="1" thickBot="1">
      <c r="B215" s="258" t="s">
        <v>322</v>
      </c>
      <c r="C215" s="249">
        <v>12833</v>
      </c>
      <c r="D215" s="249">
        <v>5781</v>
      </c>
      <c r="E215" s="249">
        <v>7052</v>
      </c>
      <c r="F215" s="249">
        <v>12431</v>
      </c>
      <c r="G215" s="249">
        <v>5550</v>
      </c>
      <c r="H215" s="249">
        <v>6881</v>
      </c>
      <c r="I215" s="249">
        <v>397</v>
      </c>
      <c r="J215" s="249">
        <v>229</v>
      </c>
      <c r="K215" s="259">
        <v>168</v>
      </c>
    </row>
    <row r="216" spans="1:20" ht="14.25" hidden="1" thickBot="1">
      <c r="B216" s="260" t="s">
        <v>323</v>
      </c>
      <c r="C216" s="250">
        <v>1667</v>
      </c>
      <c r="D216" s="250">
        <v>784</v>
      </c>
      <c r="E216" s="250">
        <v>883</v>
      </c>
      <c r="F216" s="250">
        <v>1549</v>
      </c>
      <c r="G216" s="250">
        <v>732</v>
      </c>
      <c r="H216" s="250">
        <v>817</v>
      </c>
      <c r="I216" s="250">
        <v>117</v>
      </c>
      <c r="J216" s="250">
        <v>51</v>
      </c>
      <c r="K216" s="261">
        <v>66</v>
      </c>
    </row>
    <row r="217" spans="1:20" ht="14.25" hidden="1" thickBot="1">
      <c r="B217" s="258" t="s">
        <v>324</v>
      </c>
      <c r="C217" s="249">
        <v>2992</v>
      </c>
      <c r="D217" s="249">
        <v>1352</v>
      </c>
      <c r="E217" s="249">
        <v>1640</v>
      </c>
      <c r="F217" s="249">
        <v>2516</v>
      </c>
      <c r="G217" s="249">
        <v>1092</v>
      </c>
      <c r="H217" s="249">
        <v>1424</v>
      </c>
      <c r="I217" s="249">
        <v>473</v>
      </c>
      <c r="J217" s="249">
        <v>259</v>
      </c>
      <c r="K217" s="259">
        <v>214</v>
      </c>
    </row>
    <row r="218" spans="1:20" ht="14.25" thickBot="1">
      <c r="A218">
        <v>402</v>
      </c>
      <c r="B218" s="269" t="s">
        <v>3571</v>
      </c>
      <c r="C218" s="270"/>
      <c r="D218" s="270"/>
      <c r="E218" s="270"/>
      <c r="F218" s="270"/>
      <c r="G218" s="270"/>
      <c r="H218" s="270"/>
      <c r="I218" s="270"/>
      <c r="J218" s="270"/>
      <c r="K218" s="271"/>
      <c r="L218" s="249">
        <v>1508</v>
      </c>
      <c r="M218" s="250">
        <v>343</v>
      </c>
      <c r="N218" s="249">
        <v>608</v>
      </c>
      <c r="O218" s="250">
        <v>136</v>
      </c>
      <c r="P218" s="249">
        <v>421</v>
      </c>
      <c r="Q218">
        <f>O218/L218*100</f>
        <v>9.0185676392572933</v>
      </c>
      <c r="R218">
        <f>N218/L218*100</f>
        <v>40.318302387267906</v>
      </c>
      <c r="S218">
        <f>M218/L218*100</f>
        <v>22.745358090185679</v>
      </c>
      <c r="T218">
        <f>P218/L218*100</f>
        <v>27.91777188328912</v>
      </c>
    </row>
    <row r="219" spans="1:20" ht="14.25" hidden="1" thickBot="1">
      <c r="B219" s="258" t="s">
        <v>28</v>
      </c>
      <c r="C219" s="249">
        <v>33821</v>
      </c>
      <c r="D219" s="249">
        <v>23085</v>
      </c>
      <c r="E219" s="249">
        <v>10736</v>
      </c>
      <c r="F219" s="249">
        <v>32308</v>
      </c>
      <c r="G219" s="249">
        <v>21954</v>
      </c>
      <c r="H219" s="249">
        <v>10354</v>
      </c>
      <c r="I219" s="249">
        <v>1508</v>
      </c>
      <c r="J219" s="249">
        <v>1127</v>
      </c>
      <c r="K219" s="259">
        <v>381</v>
      </c>
    </row>
    <row r="220" spans="1:20" ht="14.25" hidden="1" thickBot="1">
      <c r="B220" s="260" t="s">
        <v>321</v>
      </c>
      <c r="C220" s="250">
        <v>3162</v>
      </c>
      <c r="D220" s="250">
        <v>1859</v>
      </c>
      <c r="E220" s="250">
        <v>1303</v>
      </c>
      <c r="F220" s="250">
        <v>2819</v>
      </c>
      <c r="G220" s="250">
        <v>1598</v>
      </c>
      <c r="H220" s="250">
        <v>1221</v>
      </c>
      <c r="I220" s="250">
        <v>343</v>
      </c>
      <c r="J220" s="250">
        <v>261</v>
      </c>
      <c r="K220" s="261">
        <v>82</v>
      </c>
    </row>
    <row r="221" spans="1:20" ht="14.25" hidden="1" thickBot="1">
      <c r="B221" s="258" t="s">
        <v>322</v>
      </c>
      <c r="C221" s="249">
        <v>23885</v>
      </c>
      <c r="D221" s="249">
        <v>16794</v>
      </c>
      <c r="E221" s="249">
        <v>7091</v>
      </c>
      <c r="F221" s="249">
        <v>23274</v>
      </c>
      <c r="G221" s="249">
        <v>16313</v>
      </c>
      <c r="H221" s="249">
        <v>6961</v>
      </c>
      <c r="I221" s="249">
        <v>608</v>
      </c>
      <c r="J221" s="249">
        <v>479</v>
      </c>
      <c r="K221" s="259">
        <v>129</v>
      </c>
    </row>
    <row r="222" spans="1:20" ht="14.25" hidden="1" thickBot="1">
      <c r="B222" s="260" t="s">
        <v>323</v>
      </c>
      <c r="C222" s="250">
        <v>2726</v>
      </c>
      <c r="D222" s="250">
        <v>1712</v>
      </c>
      <c r="E222" s="250">
        <v>1014</v>
      </c>
      <c r="F222" s="250">
        <v>2590</v>
      </c>
      <c r="G222" s="250">
        <v>1633</v>
      </c>
      <c r="H222" s="250">
        <v>957</v>
      </c>
      <c r="I222" s="250">
        <v>136</v>
      </c>
      <c r="J222" s="250">
        <v>79</v>
      </c>
      <c r="K222" s="261">
        <v>57</v>
      </c>
    </row>
    <row r="223" spans="1:20" ht="14.25" hidden="1" thickBot="1">
      <c r="B223" s="258" t="s">
        <v>324</v>
      </c>
      <c r="C223" s="249">
        <v>4048</v>
      </c>
      <c r="D223" s="249">
        <v>2720</v>
      </c>
      <c r="E223" s="249">
        <v>1328</v>
      </c>
      <c r="F223" s="249">
        <v>3625</v>
      </c>
      <c r="G223" s="249">
        <v>2410</v>
      </c>
      <c r="H223" s="249">
        <v>1215</v>
      </c>
      <c r="I223" s="249">
        <v>421</v>
      </c>
      <c r="J223" s="249">
        <v>308</v>
      </c>
      <c r="K223" s="259">
        <v>113</v>
      </c>
    </row>
    <row r="224" spans="1:20" ht="14.25" thickBot="1">
      <c r="A224">
        <v>403</v>
      </c>
      <c r="B224" s="269" t="s">
        <v>3572</v>
      </c>
      <c r="C224" s="270"/>
      <c r="D224" s="270"/>
      <c r="E224" s="270"/>
      <c r="F224" s="270"/>
      <c r="G224" s="270"/>
      <c r="H224" s="270"/>
      <c r="I224" s="270"/>
      <c r="J224" s="270"/>
      <c r="K224" s="271"/>
      <c r="L224" s="249">
        <v>3802</v>
      </c>
      <c r="M224" s="250">
        <v>835</v>
      </c>
      <c r="N224" s="249">
        <v>1083</v>
      </c>
      <c r="O224" s="250">
        <v>671</v>
      </c>
      <c r="P224" s="249">
        <v>1213</v>
      </c>
      <c r="Q224">
        <f>O224/L224*100</f>
        <v>17.648605996843767</v>
      </c>
      <c r="R224">
        <f>N224/L224*100</f>
        <v>28.485007890583901</v>
      </c>
      <c r="S224">
        <f>M224/L224*100</f>
        <v>21.962125197264598</v>
      </c>
      <c r="T224">
        <f>P224/L224*100</f>
        <v>31.904260915307731</v>
      </c>
    </row>
    <row r="225" spans="1:20" ht="14.25" hidden="1" thickBot="1">
      <c r="B225" s="258" t="s">
        <v>28</v>
      </c>
      <c r="C225" s="249">
        <v>80091</v>
      </c>
      <c r="D225" s="249">
        <v>37763</v>
      </c>
      <c r="E225" s="249">
        <v>42328</v>
      </c>
      <c r="F225" s="249">
        <v>76263</v>
      </c>
      <c r="G225" s="249">
        <v>35448</v>
      </c>
      <c r="H225" s="249">
        <v>40815</v>
      </c>
      <c r="I225" s="249">
        <v>3802</v>
      </c>
      <c r="J225" s="249">
        <v>2298</v>
      </c>
      <c r="K225" s="259">
        <v>1504</v>
      </c>
    </row>
    <row r="226" spans="1:20" ht="14.25" hidden="1" thickBot="1">
      <c r="B226" s="260" t="s">
        <v>321</v>
      </c>
      <c r="C226" s="250">
        <v>9245</v>
      </c>
      <c r="D226" s="250">
        <v>4756</v>
      </c>
      <c r="E226" s="250">
        <v>4489</v>
      </c>
      <c r="F226" s="250">
        <v>8405</v>
      </c>
      <c r="G226" s="250">
        <v>4221</v>
      </c>
      <c r="H226" s="250">
        <v>4184</v>
      </c>
      <c r="I226" s="250">
        <v>835</v>
      </c>
      <c r="J226" s="250">
        <v>531</v>
      </c>
      <c r="K226" s="261">
        <v>304</v>
      </c>
    </row>
    <row r="227" spans="1:20" ht="14.25" hidden="1" thickBot="1">
      <c r="B227" s="258" t="s">
        <v>322</v>
      </c>
      <c r="C227" s="249">
        <v>49549</v>
      </c>
      <c r="D227" s="249">
        <v>21858</v>
      </c>
      <c r="E227" s="249">
        <v>27691</v>
      </c>
      <c r="F227" s="249">
        <v>48455</v>
      </c>
      <c r="G227" s="249">
        <v>21252</v>
      </c>
      <c r="H227" s="249">
        <v>27203</v>
      </c>
      <c r="I227" s="249">
        <v>1083</v>
      </c>
      <c r="J227" s="249">
        <v>600</v>
      </c>
      <c r="K227" s="259">
        <v>483</v>
      </c>
    </row>
    <row r="228" spans="1:20" ht="14.25" hidden="1" thickBot="1">
      <c r="B228" s="260" t="s">
        <v>323</v>
      </c>
      <c r="C228" s="250">
        <v>13364</v>
      </c>
      <c r="D228" s="250">
        <v>7225</v>
      </c>
      <c r="E228" s="250">
        <v>6139</v>
      </c>
      <c r="F228" s="250">
        <v>12692</v>
      </c>
      <c r="G228" s="250">
        <v>6866</v>
      </c>
      <c r="H228" s="250">
        <v>5826</v>
      </c>
      <c r="I228" s="250">
        <v>671</v>
      </c>
      <c r="J228" s="250">
        <v>358</v>
      </c>
      <c r="K228" s="261">
        <v>313</v>
      </c>
    </row>
    <row r="229" spans="1:20" ht="14.25" hidden="1" thickBot="1">
      <c r="B229" s="258" t="s">
        <v>324</v>
      </c>
      <c r="C229" s="249">
        <v>7933</v>
      </c>
      <c r="D229" s="249">
        <v>3924</v>
      </c>
      <c r="E229" s="249">
        <v>4009</v>
      </c>
      <c r="F229" s="249">
        <v>6711</v>
      </c>
      <c r="G229" s="249">
        <v>3109</v>
      </c>
      <c r="H229" s="249">
        <v>3602</v>
      </c>
      <c r="I229" s="249">
        <v>1213</v>
      </c>
      <c r="J229" s="249">
        <v>809</v>
      </c>
      <c r="K229" s="259">
        <v>404</v>
      </c>
    </row>
    <row r="230" spans="1:20" ht="14.25" thickBot="1">
      <c r="A230">
        <v>404</v>
      </c>
      <c r="B230" s="269" t="s">
        <v>3573</v>
      </c>
      <c r="C230" s="270"/>
      <c r="D230" s="270"/>
      <c r="E230" s="270"/>
      <c r="F230" s="270"/>
      <c r="G230" s="270"/>
      <c r="H230" s="270"/>
      <c r="I230" s="270"/>
      <c r="J230" s="270"/>
      <c r="K230" s="271"/>
      <c r="L230" s="249">
        <v>6418</v>
      </c>
      <c r="M230" s="250">
        <v>1772</v>
      </c>
      <c r="N230" s="249">
        <v>2103</v>
      </c>
      <c r="O230" s="250">
        <v>648</v>
      </c>
      <c r="P230" s="249">
        <v>1895</v>
      </c>
      <c r="Q230">
        <f>O230/L230*100</f>
        <v>10.096603303209722</v>
      </c>
      <c r="R230">
        <f>N230/L230*100</f>
        <v>32.76721720162044</v>
      </c>
      <c r="S230">
        <f>M230/L230*100</f>
        <v>27.609847304456213</v>
      </c>
      <c r="T230">
        <f>P230/L230*100</f>
        <v>29.526332190713617</v>
      </c>
    </row>
    <row r="231" spans="1:20" ht="14.25" hidden="1" thickBot="1">
      <c r="B231" s="258" t="s">
        <v>28</v>
      </c>
      <c r="C231" s="249">
        <v>90637</v>
      </c>
      <c r="D231" s="249">
        <v>45852</v>
      </c>
      <c r="E231" s="249">
        <v>44785</v>
      </c>
      <c r="F231" s="249">
        <v>84180</v>
      </c>
      <c r="G231" s="249">
        <v>42244</v>
      </c>
      <c r="H231" s="249">
        <v>41936</v>
      </c>
      <c r="I231" s="249">
        <v>6418</v>
      </c>
      <c r="J231" s="249">
        <v>3581</v>
      </c>
      <c r="K231" s="259">
        <v>2837</v>
      </c>
    </row>
    <row r="232" spans="1:20" ht="14.25" hidden="1" thickBot="1">
      <c r="B232" s="260" t="s">
        <v>321</v>
      </c>
      <c r="C232" s="250">
        <v>11432</v>
      </c>
      <c r="D232" s="250">
        <v>5782</v>
      </c>
      <c r="E232" s="250">
        <v>5650</v>
      </c>
      <c r="F232" s="250">
        <v>9651</v>
      </c>
      <c r="G232" s="250">
        <v>4805</v>
      </c>
      <c r="H232" s="250">
        <v>4846</v>
      </c>
      <c r="I232" s="250">
        <v>1772</v>
      </c>
      <c r="J232" s="250">
        <v>970</v>
      </c>
      <c r="K232" s="261">
        <v>802</v>
      </c>
    </row>
    <row r="233" spans="1:20" ht="14.25" hidden="1" thickBot="1">
      <c r="B233" s="258" t="s">
        <v>322</v>
      </c>
      <c r="C233" s="249">
        <v>55654</v>
      </c>
      <c r="D233" s="249">
        <v>28035</v>
      </c>
      <c r="E233" s="249">
        <v>27619</v>
      </c>
      <c r="F233" s="249">
        <v>53536</v>
      </c>
      <c r="G233" s="249">
        <v>26799</v>
      </c>
      <c r="H233" s="249">
        <v>26737</v>
      </c>
      <c r="I233" s="249">
        <v>2103</v>
      </c>
      <c r="J233" s="249">
        <v>1227</v>
      </c>
      <c r="K233" s="259">
        <v>876</v>
      </c>
    </row>
    <row r="234" spans="1:20" ht="14.25" hidden="1" thickBot="1">
      <c r="B234" s="260" t="s">
        <v>323</v>
      </c>
      <c r="C234" s="250">
        <v>13810</v>
      </c>
      <c r="D234" s="250">
        <v>7225</v>
      </c>
      <c r="E234" s="250">
        <v>6585</v>
      </c>
      <c r="F234" s="250">
        <v>13162</v>
      </c>
      <c r="G234" s="250">
        <v>6890</v>
      </c>
      <c r="H234" s="250">
        <v>6272</v>
      </c>
      <c r="I234" s="250">
        <v>648</v>
      </c>
      <c r="J234" s="250">
        <v>335</v>
      </c>
      <c r="K234" s="261">
        <v>313</v>
      </c>
    </row>
    <row r="235" spans="1:20" ht="14.25" hidden="1" thickBot="1">
      <c r="B235" s="258" t="s">
        <v>324</v>
      </c>
      <c r="C235" s="249">
        <v>9741</v>
      </c>
      <c r="D235" s="249">
        <v>4810</v>
      </c>
      <c r="E235" s="249">
        <v>4931</v>
      </c>
      <c r="F235" s="249">
        <v>7831</v>
      </c>
      <c r="G235" s="249">
        <v>3750</v>
      </c>
      <c r="H235" s="249">
        <v>4081</v>
      </c>
      <c r="I235" s="249">
        <v>1895</v>
      </c>
      <c r="J235" s="249">
        <v>1049</v>
      </c>
      <c r="K235" s="259">
        <v>846</v>
      </c>
    </row>
    <row r="236" spans="1:20" ht="14.25" thickBot="1">
      <c r="A236">
        <v>405</v>
      </c>
      <c r="B236" s="269" t="s">
        <v>3574</v>
      </c>
      <c r="C236" s="270"/>
      <c r="D236" s="270"/>
      <c r="E236" s="270"/>
      <c r="F236" s="270"/>
      <c r="G236" s="270"/>
      <c r="H236" s="270"/>
      <c r="I236" s="270"/>
      <c r="J236" s="270"/>
      <c r="K236" s="271"/>
      <c r="L236" s="249">
        <v>1156</v>
      </c>
      <c r="M236" s="250">
        <v>262</v>
      </c>
      <c r="N236" s="249">
        <v>396</v>
      </c>
      <c r="O236" s="250">
        <v>166</v>
      </c>
      <c r="P236" s="249">
        <v>332</v>
      </c>
      <c r="Q236">
        <f>O236/L236*100</f>
        <v>14.359861591695502</v>
      </c>
      <c r="R236">
        <f>N236/L236*100</f>
        <v>34.256055363321799</v>
      </c>
      <c r="S236">
        <f>M236/L236*100</f>
        <v>22.664359861591695</v>
      </c>
      <c r="T236">
        <f>P236/L236*100</f>
        <v>28.719723183391004</v>
      </c>
    </row>
    <row r="237" spans="1:20" ht="14.25" hidden="1" thickBot="1">
      <c r="B237" s="258" t="s">
        <v>28</v>
      </c>
      <c r="C237" s="249">
        <v>29637</v>
      </c>
      <c r="D237" s="249">
        <v>16046</v>
      </c>
      <c r="E237" s="249">
        <v>13591</v>
      </c>
      <c r="F237" s="249">
        <v>28474</v>
      </c>
      <c r="G237" s="249">
        <v>15232</v>
      </c>
      <c r="H237" s="249">
        <v>13242</v>
      </c>
      <c r="I237" s="249">
        <v>1156</v>
      </c>
      <c r="J237" s="249">
        <v>808</v>
      </c>
      <c r="K237" s="259">
        <v>348</v>
      </c>
    </row>
    <row r="238" spans="1:20" ht="14.25" hidden="1" thickBot="1">
      <c r="B238" s="260" t="s">
        <v>321</v>
      </c>
      <c r="C238" s="250">
        <v>3506</v>
      </c>
      <c r="D238" s="250">
        <v>1946</v>
      </c>
      <c r="E238" s="250">
        <v>1560</v>
      </c>
      <c r="F238" s="250">
        <v>3243</v>
      </c>
      <c r="G238" s="250">
        <v>1749</v>
      </c>
      <c r="H238" s="250">
        <v>1494</v>
      </c>
      <c r="I238" s="250">
        <v>262</v>
      </c>
      <c r="J238" s="250">
        <v>196</v>
      </c>
      <c r="K238" s="261">
        <v>66</v>
      </c>
    </row>
    <row r="239" spans="1:20" ht="14.25" hidden="1" thickBot="1">
      <c r="B239" s="258" t="s">
        <v>322</v>
      </c>
      <c r="C239" s="249">
        <v>19853</v>
      </c>
      <c r="D239" s="249">
        <v>10564</v>
      </c>
      <c r="E239" s="249">
        <v>9289</v>
      </c>
      <c r="F239" s="249">
        <v>19454</v>
      </c>
      <c r="G239" s="249">
        <v>10286</v>
      </c>
      <c r="H239" s="249">
        <v>9168</v>
      </c>
      <c r="I239" s="249">
        <v>396</v>
      </c>
      <c r="J239" s="249">
        <v>275</v>
      </c>
      <c r="K239" s="259">
        <v>121</v>
      </c>
    </row>
    <row r="240" spans="1:20" ht="14.25" hidden="1" thickBot="1">
      <c r="B240" s="260" t="s">
        <v>323</v>
      </c>
      <c r="C240" s="250">
        <v>2911</v>
      </c>
      <c r="D240" s="250">
        <v>1640</v>
      </c>
      <c r="E240" s="250">
        <v>1271</v>
      </c>
      <c r="F240" s="250">
        <v>2745</v>
      </c>
      <c r="G240" s="250">
        <v>1557</v>
      </c>
      <c r="H240" s="250">
        <v>1188</v>
      </c>
      <c r="I240" s="250">
        <v>166</v>
      </c>
      <c r="J240" s="250">
        <v>83</v>
      </c>
      <c r="K240" s="261">
        <v>83</v>
      </c>
    </row>
    <row r="241" spans="1:20" ht="14.25" hidden="1" thickBot="1">
      <c r="B241" s="258" t="s">
        <v>324</v>
      </c>
      <c r="C241" s="249">
        <v>3367</v>
      </c>
      <c r="D241" s="249">
        <v>1896</v>
      </c>
      <c r="E241" s="249">
        <v>1471</v>
      </c>
      <c r="F241" s="249">
        <v>3032</v>
      </c>
      <c r="G241" s="249">
        <v>1640</v>
      </c>
      <c r="H241" s="249">
        <v>1392</v>
      </c>
      <c r="I241" s="249">
        <v>332</v>
      </c>
      <c r="J241" s="249">
        <v>254</v>
      </c>
      <c r="K241" s="259">
        <v>78</v>
      </c>
    </row>
    <row r="242" spans="1:20" ht="14.25" thickBot="1">
      <c r="A242">
        <v>451</v>
      </c>
      <c r="B242" s="269" t="s">
        <v>3575</v>
      </c>
      <c r="C242" s="270"/>
      <c r="D242" s="270"/>
      <c r="E242" s="270"/>
      <c r="F242" s="270"/>
      <c r="G242" s="270"/>
      <c r="H242" s="270"/>
      <c r="I242" s="270"/>
      <c r="J242" s="270"/>
      <c r="K242" s="271"/>
      <c r="L242" s="249">
        <v>2769</v>
      </c>
      <c r="M242" s="250">
        <v>540</v>
      </c>
      <c r="N242" s="249">
        <v>701</v>
      </c>
      <c r="O242" s="250">
        <v>152</v>
      </c>
      <c r="P242" s="249">
        <v>1376</v>
      </c>
      <c r="Q242">
        <f>O242/L242*100</f>
        <v>5.4893463344167577</v>
      </c>
      <c r="R242">
        <f>N242/L242*100</f>
        <v>25.315998555435176</v>
      </c>
      <c r="S242">
        <f>M242/L242*100</f>
        <v>19.501625135427954</v>
      </c>
      <c r="T242">
        <f>P242/L242*100</f>
        <v>49.693029974720119</v>
      </c>
    </row>
    <row r="243" spans="1:20" ht="14.25" hidden="1" thickBot="1">
      <c r="B243" s="258" t="s">
        <v>28</v>
      </c>
      <c r="C243" s="249">
        <v>40986</v>
      </c>
      <c r="D243" s="249">
        <v>22903</v>
      </c>
      <c r="E243" s="249">
        <v>18083</v>
      </c>
      <c r="F243" s="249">
        <v>38213</v>
      </c>
      <c r="G243" s="249">
        <v>20939</v>
      </c>
      <c r="H243" s="249">
        <v>17274</v>
      </c>
      <c r="I243" s="249">
        <v>2769</v>
      </c>
      <c r="J243" s="249">
        <v>1962</v>
      </c>
      <c r="K243" s="259">
        <v>807</v>
      </c>
    </row>
    <row r="244" spans="1:20" ht="14.25" hidden="1" thickBot="1">
      <c r="B244" s="260" t="s">
        <v>321</v>
      </c>
      <c r="C244" s="250">
        <v>4694</v>
      </c>
      <c r="D244" s="250">
        <v>2666</v>
      </c>
      <c r="E244" s="250">
        <v>2028</v>
      </c>
      <c r="F244" s="250">
        <v>4153</v>
      </c>
      <c r="G244" s="250">
        <v>2289</v>
      </c>
      <c r="H244" s="250">
        <v>1864</v>
      </c>
      <c r="I244" s="250">
        <v>540</v>
      </c>
      <c r="J244" s="250">
        <v>376</v>
      </c>
      <c r="K244" s="261">
        <v>164</v>
      </c>
    </row>
    <row r="245" spans="1:20" ht="14.25" hidden="1" thickBot="1">
      <c r="B245" s="258" t="s">
        <v>322</v>
      </c>
      <c r="C245" s="249">
        <v>27951</v>
      </c>
      <c r="D245" s="249">
        <v>15467</v>
      </c>
      <c r="E245" s="249">
        <v>12484</v>
      </c>
      <c r="F245" s="249">
        <v>27248</v>
      </c>
      <c r="G245" s="249">
        <v>14987</v>
      </c>
      <c r="H245" s="249">
        <v>12261</v>
      </c>
      <c r="I245" s="249">
        <v>701</v>
      </c>
      <c r="J245" s="249">
        <v>480</v>
      </c>
      <c r="K245" s="259">
        <v>221</v>
      </c>
    </row>
    <row r="246" spans="1:20" ht="14.25" hidden="1" thickBot="1">
      <c r="B246" s="260" t="s">
        <v>323</v>
      </c>
      <c r="C246" s="250">
        <v>2876</v>
      </c>
      <c r="D246" s="250">
        <v>1503</v>
      </c>
      <c r="E246" s="250">
        <v>1373</v>
      </c>
      <c r="F246" s="250">
        <v>2724</v>
      </c>
      <c r="G246" s="250">
        <v>1418</v>
      </c>
      <c r="H246" s="250">
        <v>1306</v>
      </c>
      <c r="I246" s="250">
        <v>152</v>
      </c>
      <c r="J246" s="250">
        <v>85</v>
      </c>
      <c r="K246" s="261">
        <v>67</v>
      </c>
    </row>
    <row r="247" spans="1:20" ht="14.25" hidden="1" thickBot="1">
      <c r="B247" s="258" t="s">
        <v>324</v>
      </c>
      <c r="C247" s="249">
        <v>5465</v>
      </c>
      <c r="D247" s="249">
        <v>3267</v>
      </c>
      <c r="E247" s="249">
        <v>2198</v>
      </c>
      <c r="F247" s="249">
        <v>4088</v>
      </c>
      <c r="G247" s="249">
        <v>2245</v>
      </c>
      <c r="H247" s="249">
        <v>1843</v>
      </c>
      <c r="I247" s="249">
        <v>1376</v>
      </c>
      <c r="J247" s="249">
        <v>1021</v>
      </c>
      <c r="K247" s="259">
        <v>355</v>
      </c>
    </row>
    <row r="248" spans="1:20" ht="14.25" thickBot="1">
      <c r="A248">
        <v>452</v>
      </c>
      <c r="B248" s="269" t="s">
        <v>3576</v>
      </c>
      <c r="C248" s="270"/>
      <c r="D248" s="270"/>
      <c r="E248" s="270"/>
      <c r="F248" s="270"/>
      <c r="G248" s="270"/>
      <c r="H248" s="270"/>
      <c r="I248" s="270"/>
      <c r="J248" s="270"/>
      <c r="K248" s="271"/>
      <c r="L248" s="249">
        <v>3395</v>
      </c>
      <c r="M248" s="250">
        <v>707</v>
      </c>
      <c r="N248" s="249">
        <v>1020</v>
      </c>
      <c r="O248" s="250">
        <v>284</v>
      </c>
      <c r="P248" s="249">
        <v>1384</v>
      </c>
      <c r="Q248">
        <f>O248/L248*100</f>
        <v>8.3652430044182609</v>
      </c>
      <c r="R248">
        <f>N248/L248*100</f>
        <v>30.044182621502209</v>
      </c>
      <c r="S248">
        <f>M248/L248*100</f>
        <v>20.824742268041238</v>
      </c>
      <c r="T248">
        <f>P248/L248*100</f>
        <v>40.765832106038289</v>
      </c>
    </row>
    <row r="249" spans="1:20" ht="14.25" hidden="1" thickBot="1">
      <c r="B249" s="258" t="s">
        <v>28</v>
      </c>
      <c r="C249" s="249">
        <v>58406</v>
      </c>
      <c r="D249" s="249">
        <v>30886</v>
      </c>
      <c r="E249" s="249">
        <v>27520</v>
      </c>
      <c r="F249" s="249">
        <v>55005</v>
      </c>
      <c r="G249" s="249">
        <v>28788</v>
      </c>
      <c r="H249" s="249">
        <v>26217</v>
      </c>
      <c r="I249" s="249">
        <v>3395</v>
      </c>
      <c r="J249" s="249">
        <v>2094</v>
      </c>
      <c r="K249" s="259">
        <v>1301</v>
      </c>
    </row>
    <row r="250" spans="1:20" ht="14.25" hidden="1" thickBot="1">
      <c r="B250" s="260" t="s">
        <v>321</v>
      </c>
      <c r="C250" s="250">
        <v>7491</v>
      </c>
      <c r="D250" s="250">
        <v>4024</v>
      </c>
      <c r="E250" s="250">
        <v>3467</v>
      </c>
      <c r="F250" s="250">
        <v>6783</v>
      </c>
      <c r="G250" s="250">
        <v>3583</v>
      </c>
      <c r="H250" s="250">
        <v>3200</v>
      </c>
      <c r="I250" s="250">
        <v>707</v>
      </c>
      <c r="J250" s="250">
        <v>440</v>
      </c>
      <c r="K250" s="261">
        <v>267</v>
      </c>
    </row>
    <row r="251" spans="1:20" ht="14.25" hidden="1" thickBot="1">
      <c r="B251" s="258" t="s">
        <v>322</v>
      </c>
      <c r="C251" s="249">
        <v>39136</v>
      </c>
      <c r="D251" s="249">
        <v>20603</v>
      </c>
      <c r="E251" s="249">
        <v>18533</v>
      </c>
      <c r="F251" s="249">
        <v>38113</v>
      </c>
      <c r="G251" s="249">
        <v>19933</v>
      </c>
      <c r="H251" s="249">
        <v>18180</v>
      </c>
      <c r="I251" s="249">
        <v>1020</v>
      </c>
      <c r="J251" s="249">
        <v>668</v>
      </c>
      <c r="K251" s="259">
        <v>352</v>
      </c>
    </row>
    <row r="252" spans="1:20" ht="14.25" hidden="1" thickBot="1">
      <c r="B252" s="260" t="s">
        <v>323</v>
      </c>
      <c r="C252" s="250">
        <v>5032</v>
      </c>
      <c r="D252" s="250">
        <v>2796</v>
      </c>
      <c r="E252" s="250">
        <v>2236</v>
      </c>
      <c r="F252" s="250">
        <v>4748</v>
      </c>
      <c r="G252" s="250">
        <v>2630</v>
      </c>
      <c r="H252" s="250">
        <v>2118</v>
      </c>
      <c r="I252" s="250">
        <v>284</v>
      </c>
      <c r="J252" s="250">
        <v>166</v>
      </c>
      <c r="K252" s="261">
        <v>118</v>
      </c>
    </row>
    <row r="253" spans="1:20" ht="14.25" hidden="1" thickBot="1">
      <c r="B253" s="258" t="s">
        <v>324</v>
      </c>
      <c r="C253" s="249">
        <v>6747</v>
      </c>
      <c r="D253" s="249">
        <v>3463</v>
      </c>
      <c r="E253" s="249">
        <v>3284</v>
      </c>
      <c r="F253" s="249">
        <v>5361</v>
      </c>
      <c r="G253" s="249">
        <v>2642</v>
      </c>
      <c r="H253" s="249">
        <v>2719</v>
      </c>
      <c r="I253" s="249">
        <v>1384</v>
      </c>
      <c r="J253" s="249">
        <v>820</v>
      </c>
      <c r="K253" s="259">
        <v>564</v>
      </c>
    </row>
    <row r="254" spans="1:20" ht="14.25" thickBot="1">
      <c r="A254">
        <v>453</v>
      </c>
      <c r="B254" s="269" t="s">
        <v>3577</v>
      </c>
      <c r="C254" s="270"/>
      <c r="D254" s="270"/>
      <c r="E254" s="270"/>
      <c r="F254" s="270"/>
      <c r="G254" s="270"/>
      <c r="H254" s="270"/>
      <c r="I254" s="270"/>
      <c r="J254" s="270"/>
      <c r="K254" s="271"/>
      <c r="L254" s="249">
        <v>6135</v>
      </c>
      <c r="M254" s="250">
        <v>1566</v>
      </c>
      <c r="N254" s="249">
        <v>1264</v>
      </c>
      <c r="O254" s="250">
        <v>205</v>
      </c>
      <c r="P254" s="249">
        <v>3100</v>
      </c>
      <c r="Q254">
        <f>O254/L254*100</f>
        <v>3.3414832925835372</v>
      </c>
      <c r="R254">
        <f>N254/L254*100</f>
        <v>20.603096984515076</v>
      </c>
      <c r="S254">
        <f>M254/L254*100</f>
        <v>25.525672371638141</v>
      </c>
      <c r="T254">
        <f>P254/L254*100</f>
        <v>50.529747351263246</v>
      </c>
    </row>
    <row r="255" spans="1:20" ht="14.25" hidden="1" thickBot="1">
      <c r="B255" s="258" t="s">
        <v>28</v>
      </c>
      <c r="C255" s="249">
        <v>59768</v>
      </c>
      <c r="D255" s="249">
        <v>36173</v>
      </c>
      <c r="E255" s="249">
        <v>23595</v>
      </c>
      <c r="F255" s="249">
        <v>53601</v>
      </c>
      <c r="G255" s="249">
        <v>31822</v>
      </c>
      <c r="H255" s="249">
        <v>21779</v>
      </c>
      <c r="I255" s="249">
        <v>6135</v>
      </c>
      <c r="J255" s="249">
        <v>4327</v>
      </c>
      <c r="K255" s="259">
        <v>1808</v>
      </c>
    </row>
    <row r="256" spans="1:20" ht="14.25" hidden="1" thickBot="1">
      <c r="B256" s="260" t="s">
        <v>321</v>
      </c>
      <c r="C256" s="250">
        <v>9278</v>
      </c>
      <c r="D256" s="250">
        <v>5551</v>
      </c>
      <c r="E256" s="250">
        <v>3727</v>
      </c>
      <c r="F256" s="250">
        <v>7709</v>
      </c>
      <c r="G256" s="250">
        <v>4505</v>
      </c>
      <c r="H256" s="250">
        <v>3204</v>
      </c>
      <c r="I256" s="250">
        <v>1566</v>
      </c>
      <c r="J256" s="250">
        <v>1043</v>
      </c>
      <c r="K256" s="261">
        <v>523</v>
      </c>
    </row>
    <row r="257" spans="1:20" ht="14.25" hidden="1" thickBot="1">
      <c r="B257" s="258" t="s">
        <v>322</v>
      </c>
      <c r="C257" s="249">
        <v>38057</v>
      </c>
      <c r="D257" s="249">
        <v>22918</v>
      </c>
      <c r="E257" s="249">
        <v>15139</v>
      </c>
      <c r="F257" s="249">
        <v>36777</v>
      </c>
      <c r="G257" s="249">
        <v>21962</v>
      </c>
      <c r="H257" s="249">
        <v>14815</v>
      </c>
      <c r="I257" s="249">
        <v>1264</v>
      </c>
      <c r="J257" s="249">
        <v>947</v>
      </c>
      <c r="K257" s="259">
        <v>317</v>
      </c>
    </row>
    <row r="258" spans="1:20" ht="14.25" hidden="1" thickBot="1">
      <c r="B258" s="260" t="s">
        <v>323</v>
      </c>
      <c r="C258" s="250">
        <v>3406</v>
      </c>
      <c r="D258" s="250">
        <v>1894</v>
      </c>
      <c r="E258" s="250">
        <v>1512</v>
      </c>
      <c r="F258" s="250">
        <v>3201</v>
      </c>
      <c r="G258" s="250">
        <v>1797</v>
      </c>
      <c r="H258" s="250">
        <v>1404</v>
      </c>
      <c r="I258" s="250">
        <v>205</v>
      </c>
      <c r="J258" s="250">
        <v>97</v>
      </c>
      <c r="K258" s="261">
        <v>108</v>
      </c>
    </row>
    <row r="259" spans="1:20" ht="14.25" hidden="1" thickBot="1">
      <c r="B259" s="258" t="s">
        <v>324</v>
      </c>
      <c r="C259" s="249">
        <v>9027</v>
      </c>
      <c r="D259" s="249">
        <v>5810</v>
      </c>
      <c r="E259" s="249">
        <v>3217</v>
      </c>
      <c r="F259" s="249">
        <v>5914</v>
      </c>
      <c r="G259" s="249">
        <v>3558</v>
      </c>
      <c r="H259" s="249">
        <v>2356</v>
      </c>
      <c r="I259" s="249">
        <v>3100</v>
      </c>
      <c r="J259" s="249">
        <v>2240</v>
      </c>
      <c r="K259" s="259">
        <v>860</v>
      </c>
    </row>
    <row r="260" spans="1:20" ht="14.25" thickBot="1">
      <c r="A260">
        <v>454</v>
      </c>
      <c r="B260" s="269" t="s">
        <v>3578</v>
      </c>
      <c r="C260" s="270"/>
      <c r="D260" s="270"/>
      <c r="E260" s="270"/>
      <c r="F260" s="270"/>
      <c r="G260" s="270"/>
      <c r="H260" s="270"/>
      <c r="I260" s="270"/>
      <c r="J260" s="270"/>
      <c r="K260" s="271"/>
      <c r="L260" s="249">
        <v>9390</v>
      </c>
      <c r="M260" s="250">
        <v>1589</v>
      </c>
      <c r="N260" s="249">
        <v>2804</v>
      </c>
      <c r="O260" s="250">
        <v>656</v>
      </c>
      <c r="P260" s="249">
        <v>4341</v>
      </c>
      <c r="Q260">
        <f>O260/L260*100</f>
        <v>6.98615548455804</v>
      </c>
      <c r="R260">
        <f>N260/L260*100</f>
        <v>29.861554845580407</v>
      </c>
      <c r="S260">
        <f>M260/L260*100</f>
        <v>16.922257720979765</v>
      </c>
      <c r="T260">
        <f>P260/L260*100</f>
        <v>46.230031948881788</v>
      </c>
    </row>
    <row r="261" spans="1:20" ht="14.25" hidden="1" thickBot="1">
      <c r="B261" s="258" t="s">
        <v>28</v>
      </c>
      <c r="C261" s="249">
        <v>128707</v>
      </c>
      <c r="D261" s="249">
        <v>78168</v>
      </c>
      <c r="E261" s="249">
        <v>50539</v>
      </c>
      <c r="F261" s="249">
        <v>119273</v>
      </c>
      <c r="G261" s="249">
        <v>71292</v>
      </c>
      <c r="H261" s="249">
        <v>47981</v>
      </c>
      <c r="I261" s="249">
        <v>9390</v>
      </c>
      <c r="J261" s="249">
        <v>6844</v>
      </c>
      <c r="K261" s="259">
        <v>2546</v>
      </c>
    </row>
    <row r="262" spans="1:20" ht="14.25" hidden="1" thickBot="1">
      <c r="B262" s="260" t="s">
        <v>321</v>
      </c>
      <c r="C262" s="250">
        <v>14454</v>
      </c>
      <c r="D262" s="250">
        <v>8525</v>
      </c>
      <c r="E262" s="250">
        <v>5929</v>
      </c>
      <c r="F262" s="250">
        <v>12860</v>
      </c>
      <c r="G262" s="250">
        <v>7461</v>
      </c>
      <c r="H262" s="250">
        <v>5399</v>
      </c>
      <c r="I262" s="250">
        <v>1589</v>
      </c>
      <c r="J262" s="250">
        <v>1059</v>
      </c>
      <c r="K262" s="261">
        <v>530</v>
      </c>
    </row>
    <row r="263" spans="1:20" ht="14.25" hidden="1" thickBot="1">
      <c r="B263" s="258" t="s">
        <v>322</v>
      </c>
      <c r="C263" s="249">
        <v>90348</v>
      </c>
      <c r="D263" s="249">
        <v>54669</v>
      </c>
      <c r="E263" s="249">
        <v>35679</v>
      </c>
      <c r="F263" s="249">
        <v>87518</v>
      </c>
      <c r="G263" s="249">
        <v>52527</v>
      </c>
      <c r="H263" s="249">
        <v>34991</v>
      </c>
      <c r="I263" s="249">
        <v>2804</v>
      </c>
      <c r="J263" s="249">
        <v>2124</v>
      </c>
      <c r="K263" s="259">
        <v>680</v>
      </c>
    </row>
    <row r="264" spans="1:20" ht="14.25" hidden="1" thickBot="1">
      <c r="B264" s="260" t="s">
        <v>323</v>
      </c>
      <c r="C264" s="250">
        <v>10670</v>
      </c>
      <c r="D264" s="250">
        <v>6671</v>
      </c>
      <c r="E264" s="250">
        <v>3999</v>
      </c>
      <c r="F264" s="250">
        <v>10011</v>
      </c>
      <c r="G264" s="250">
        <v>6269</v>
      </c>
      <c r="H264" s="250">
        <v>3742</v>
      </c>
      <c r="I264" s="250">
        <v>656</v>
      </c>
      <c r="J264" s="250">
        <v>400</v>
      </c>
      <c r="K264" s="261">
        <v>256</v>
      </c>
    </row>
    <row r="265" spans="1:20" ht="14.25" hidden="1" thickBot="1">
      <c r="B265" s="258" t="s">
        <v>324</v>
      </c>
      <c r="C265" s="249">
        <v>13235</v>
      </c>
      <c r="D265" s="249">
        <v>8303</v>
      </c>
      <c r="E265" s="249">
        <v>4932</v>
      </c>
      <c r="F265" s="249">
        <v>8884</v>
      </c>
      <c r="G265" s="249">
        <v>5035</v>
      </c>
      <c r="H265" s="249">
        <v>3849</v>
      </c>
      <c r="I265" s="249">
        <v>4341</v>
      </c>
      <c r="J265" s="249">
        <v>3261</v>
      </c>
      <c r="K265" s="259">
        <v>1080</v>
      </c>
    </row>
    <row r="266" spans="1:20" ht="14.25" thickBot="1">
      <c r="A266">
        <v>455</v>
      </c>
      <c r="B266" s="269" t="s">
        <v>3579</v>
      </c>
      <c r="C266" s="270"/>
      <c r="D266" s="270"/>
      <c r="E266" s="270"/>
      <c r="F266" s="270"/>
      <c r="G266" s="270"/>
      <c r="H266" s="270"/>
      <c r="I266" s="270"/>
      <c r="J266" s="270"/>
      <c r="K266" s="271"/>
      <c r="L266" s="249">
        <v>992</v>
      </c>
      <c r="M266" s="250">
        <v>172</v>
      </c>
      <c r="N266" s="249">
        <v>298</v>
      </c>
      <c r="O266" s="250">
        <v>122</v>
      </c>
      <c r="P266" s="249">
        <v>400</v>
      </c>
      <c r="Q266">
        <f>O266/L266*100</f>
        <v>12.298387096774194</v>
      </c>
      <c r="R266">
        <f>N266/L266*100</f>
        <v>30.040322580645164</v>
      </c>
      <c r="S266">
        <f>M266/L266*100</f>
        <v>17.338709677419356</v>
      </c>
      <c r="T266">
        <f>P266/L266*100</f>
        <v>40.322580645161288</v>
      </c>
    </row>
    <row r="267" spans="1:20" ht="14.25" hidden="1" thickBot="1">
      <c r="B267" s="258" t="s">
        <v>28</v>
      </c>
      <c r="C267" s="249">
        <v>27788</v>
      </c>
      <c r="D267" s="249">
        <v>13850</v>
      </c>
      <c r="E267" s="249">
        <v>13938</v>
      </c>
      <c r="F267" s="249">
        <v>26789</v>
      </c>
      <c r="G267" s="249">
        <v>13237</v>
      </c>
      <c r="H267" s="249">
        <v>13552</v>
      </c>
      <c r="I267" s="249">
        <v>992</v>
      </c>
      <c r="J267" s="249">
        <v>609</v>
      </c>
      <c r="K267" s="259">
        <v>383</v>
      </c>
    </row>
    <row r="268" spans="1:20" ht="14.25" hidden="1" thickBot="1">
      <c r="B268" s="260" t="s">
        <v>321</v>
      </c>
      <c r="C268" s="250">
        <v>2925</v>
      </c>
      <c r="D268" s="250">
        <v>1534</v>
      </c>
      <c r="E268" s="250">
        <v>1391</v>
      </c>
      <c r="F268" s="250">
        <v>2751</v>
      </c>
      <c r="G268" s="250">
        <v>1431</v>
      </c>
      <c r="H268" s="250">
        <v>1320</v>
      </c>
      <c r="I268" s="250">
        <v>172</v>
      </c>
      <c r="J268" s="250">
        <v>102</v>
      </c>
      <c r="K268" s="261">
        <v>70</v>
      </c>
    </row>
    <row r="269" spans="1:20" ht="14.25" hidden="1" thickBot="1">
      <c r="B269" s="258" t="s">
        <v>322</v>
      </c>
      <c r="C269" s="249">
        <v>19139</v>
      </c>
      <c r="D269" s="249">
        <v>9346</v>
      </c>
      <c r="E269" s="249">
        <v>9793</v>
      </c>
      <c r="F269" s="249">
        <v>18839</v>
      </c>
      <c r="G269" s="249">
        <v>9164</v>
      </c>
      <c r="H269" s="249">
        <v>9675</v>
      </c>
      <c r="I269" s="249">
        <v>298</v>
      </c>
      <c r="J269" s="249">
        <v>180</v>
      </c>
      <c r="K269" s="259">
        <v>118</v>
      </c>
    </row>
    <row r="270" spans="1:20" ht="14.25" hidden="1" thickBot="1">
      <c r="B270" s="260" t="s">
        <v>323</v>
      </c>
      <c r="C270" s="250">
        <v>2231</v>
      </c>
      <c r="D270" s="250">
        <v>1160</v>
      </c>
      <c r="E270" s="250">
        <v>1071</v>
      </c>
      <c r="F270" s="250">
        <v>2109</v>
      </c>
      <c r="G270" s="250">
        <v>1106</v>
      </c>
      <c r="H270" s="250">
        <v>1003</v>
      </c>
      <c r="I270" s="250">
        <v>122</v>
      </c>
      <c r="J270" s="250">
        <v>54</v>
      </c>
      <c r="K270" s="261">
        <v>68</v>
      </c>
    </row>
    <row r="271" spans="1:20" ht="14.25" hidden="1" thickBot="1">
      <c r="B271" s="258" t="s">
        <v>324</v>
      </c>
      <c r="C271" s="249">
        <v>3493</v>
      </c>
      <c r="D271" s="249">
        <v>1810</v>
      </c>
      <c r="E271" s="249">
        <v>1683</v>
      </c>
      <c r="F271" s="249">
        <v>3090</v>
      </c>
      <c r="G271" s="249">
        <v>1536</v>
      </c>
      <c r="H271" s="249">
        <v>1554</v>
      </c>
      <c r="I271" s="249">
        <v>400</v>
      </c>
      <c r="J271" s="249">
        <v>273</v>
      </c>
      <c r="K271" s="259">
        <v>127</v>
      </c>
    </row>
    <row r="272" spans="1:20" ht="14.25" thickBot="1">
      <c r="A272">
        <v>456</v>
      </c>
      <c r="B272" s="269" t="s">
        <v>3580</v>
      </c>
      <c r="C272" s="270"/>
      <c r="D272" s="270"/>
      <c r="E272" s="270"/>
      <c r="F272" s="270"/>
      <c r="G272" s="270"/>
      <c r="H272" s="270"/>
      <c r="I272" s="270"/>
      <c r="J272" s="270"/>
      <c r="K272" s="271"/>
      <c r="L272" s="249">
        <v>4464</v>
      </c>
      <c r="M272" s="250">
        <v>777</v>
      </c>
      <c r="N272" s="249">
        <v>1750</v>
      </c>
      <c r="O272" s="250">
        <v>279</v>
      </c>
      <c r="P272" s="249">
        <v>1658</v>
      </c>
      <c r="Q272">
        <f>O272/L272*100</f>
        <v>6.25</v>
      </c>
      <c r="R272">
        <f>N272/L272*100</f>
        <v>39.202508960573482</v>
      </c>
      <c r="S272">
        <f>M272/L272*100</f>
        <v>17.405913978494624</v>
      </c>
      <c r="T272">
        <f>P272/L272*100</f>
        <v>37.141577060931901</v>
      </c>
    </row>
    <row r="273" spans="1:20" ht="14.25" hidden="1" thickBot="1">
      <c r="B273" s="258" t="s">
        <v>28</v>
      </c>
      <c r="C273" s="249">
        <v>46850</v>
      </c>
      <c r="D273" s="249">
        <v>26507</v>
      </c>
      <c r="E273" s="249">
        <v>20343</v>
      </c>
      <c r="F273" s="249">
        <v>42373</v>
      </c>
      <c r="G273" s="249">
        <v>23500</v>
      </c>
      <c r="H273" s="249">
        <v>18873</v>
      </c>
      <c r="I273" s="249">
        <v>4464</v>
      </c>
      <c r="J273" s="249">
        <v>2998</v>
      </c>
      <c r="K273" s="259">
        <v>1466</v>
      </c>
    </row>
    <row r="274" spans="1:20" ht="14.25" hidden="1" thickBot="1">
      <c r="B274" s="260" t="s">
        <v>321</v>
      </c>
      <c r="C274" s="250">
        <v>5469</v>
      </c>
      <c r="D274" s="250">
        <v>3196</v>
      </c>
      <c r="E274" s="250">
        <v>2273</v>
      </c>
      <c r="F274" s="250">
        <v>4691</v>
      </c>
      <c r="G274" s="250">
        <v>2703</v>
      </c>
      <c r="H274" s="250">
        <v>1988</v>
      </c>
      <c r="I274" s="250">
        <v>777</v>
      </c>
      <c r="J274" s="250">
        <v>493</v>
      </c>
      <c r="K274" s="261">
        <v>284</v>
      </c>
    </row>
    <row r="275" spans="1:20" ht="14.25" hidden="1" thickBot="1">
      <c r="B275" s="258" t="s">
        <v>322</v>
      </c>
      <c r="C275" s="249">
        <v>33376</v>
      </c>
      <c r="D275" s="249">
        <v>18737</v>
      </c>
      <c r="E275" s="249">
        <v>14639</v>
      </c>
      <c r="F275" s="249">
        <v>31620</v>
      </c>
      <c r="G275" s="249">
        <v>17566</v>
      </c>
      <c r="H275" s="249">
        <v>14054</v>
      </c>
      <c r="I275" s="249">
        <v>1750</v>
      </c>
      <c r="J275" s="249">
        <v>1165</v>
      </c>
      <c r="K275" s="259">
        <v>585</v>
      </c>
    </row>
    <row r="276" spans="1:20" ht="14.25" hidden="1" thickBot="1">
      <c r="B276" s="260" t="s">
        <v>323</v>
      </c>
      <c r="C276" s="250">
        <v>3126</v>
      </c>
      <c r="D276" s="250">
        <v>1764</v>
      </c>
      <c r="E276" s="250">
        <v>1362</v>
      </c>
      <c r="F276" s="250">
        <v>2845</v>
      </c>
      <c r="G276" s="250">
        <v>1613</v>
      </c>
      <c r="H276" s="250">
        <v>1232</v>
      </c>
      <c r="I276" s="250">
        <v>279</v>
      </c>
      <c r="J276" s="250">
        <v>149</v>
      </c>
      <c r="K276" s="261">
        <v>130</v>
      </c>
    </row>
    <row r="277" spans="1:20" ht="14.25" hidden="1" thickBot="1">
      <c r="B277" s="258" t="s">
        <v>324</v>
      </c>
      <c r="C277" s="249">
        <v>4879</v>
      </c>
      <c r="D277" s="249">
        <v>2810</v>
      </c>
      <c r="E277" s="249">
        <v>2069</v>
      </c>
      <c r="F277" s="249">
        <v>3217</v>
      </c>
      <c r="G277" s="249">
        <v>1618</v>
      </c>
      <c r="H277" s="249">
        <v>1599</v>
      </c>
      <c r="I277" s="249">
        <v>1658</v>
      </c>
      <c r="J277" s="249">
        <v>1191</v>
      </c>
      <c r="K277" s="259">
        <v>467</v>
      </c>
    </row>
    <row r="278" spans="1:20" ht="14.25" thickBot="1">
      <c r="A278">
        <v>457</v>
      </c>
      <c r="B278" s="269" t="s">
        <v>3581</v>
      </c>
      <c r="C278" s="270"/>
      <c r="D278" s="270"/>
      <c r="E278" s="270"/>
      <c r="F278" s="270"/>
      <c r="G278" s="270"/>
      <c r="H278" s="270"/>
      <c r="I278" s="270"/>
      <c r="J278" s="270"/>
      <c r="K278" s="271"/>
      <c r="L278" s="249">
        <v>2482</v>
      </c>
      <c r="M278" s="250">
        <v>381</v>
      </c>
      <c r="N278" s="249">
        <v>816</v>
      </c>
      <c r="O278" s="250">
        <v>241</v>
      </c>
      <c r="P278" s="249">
        <v>1044</v>
      </c>
      <c r="Q278">
        <f>O278/L278*100</f>
        <v>9.7099113618049966</v>
      </c>
      <c r="R278">
        <f>N278/L278*100</f>
        <v>32.87671232876712</v>
      </c>
      <c r="S278">
        <f>M278/L278*100</f>
        <v>15.350523771152297</v>
      </c>
      <c r="T278">
        <f>P278/L278*100</f>
        <v>42.062852538275585</v>
      </c>
    </row>
    <row r="279" spans="1:20" ht="14.25" hidden="1" thickBot="1">
      <c r="B279" s="258" t="s">
        <v>28</v>
      </c>
      <c r="C279" s="249">
        <v>45524</v>
      </c>
      <c r="D279" s="249">
        <v>24041</v>
      </c>
      <c r="E279" s="249">
        <v>21483</v>
      </c>
      <c r="F279" s="249">
        <v>43033</v>
      </c>
      <c r="G279" s="249">
        <v>22373</v>
      </c>
      <c r="H279" s="249">
        <v>20660</v>
      </c>
      <c r="I279" s="249">
        <v>2482</v>
      </c>
      <c r="J279" s="249">
        <v>1663</v>
      </c>
      <c r="K279" s="259">
        <v>819</v>
      </c>
    </row>
    <row r="280" spans="1:20" ht="14.25" hidden="1" thickBot="1">
      <c r="B280" s="260" t="s">
        <v>321</v>
      </c>
      <c r="C280" s="250">
        <v>5607</v>
      </c>
      <c r="D280" s="250">
        <v>3045</v>
      </c>
      <c r="E280" s="250">
        <v>2562</v>
      </c>
      <c r="F280" s="250">
        <v>5223</v>
      </c>
      <c r="G280" s="250">
        <v>2793</v>
      </c>
      <c r="H280" s="250">
        <v>2430</v>
      </c>
      <c r="I280" s="250">
        <v>381</v>
      </c>
      <c r="J280" s="250">
        <v>251</v>
      </c>
      <c r="K280" s="261">
        <v>130</v>
      </c>
    </row>
    <row r="281" spans="1:20" ht="14.25" hidden="1" thickBot="1">
      <c r="B281" s="258" t="s">
        <v>322</v>
      </c>
      <c r="C281" s="249">
        <v>31456</v>
      </c>
      <c r="D281" s="249">
        <v>16422</v>
      </c>
      <c r="E281" s="249">
        <v>15034</v>
      </c>
      <c r="F281" s="249">
        <v>30638</v>
      </c>
      <c r="G281" s="249">
        <v>15869</v>
      </c>
      <c r="H281" s="249">
        <v>14769</v>
      </c>
      <c r="I281" s="249">
        <v>816</v>
      </c>
      <c r="J281" s="249">
        <v>552</v>
      </c>
      <c r="K281" s="259">
        <v>264</v>
      </c>
    </row>
    <row r="282" spans="1:20" ht="14.25" hidden="1" thickBot="1">
      <c r="B282" s="260" t="s">
        <v>323</v>
      </c>
      <c r="C282" s="250">
        <v>3517</v>
      </c>
      <c r="D282" s="250">
        <v>1972</v>
      </c>
      <c r="E282" s="250">
        <v>1545</v>
      </c>
      <c r="F282" s="250">
        <v>3273</v>
      </c>
      <c r="G282" s="250">
        <v>1833</v>
      </c>
      <c r="H282" s="250">
        <v>1440</v>
      </c>
      <c r="I282" s="250">
        <v>241</v>
      </c>
      <c r="J282" s="250">
        <v>137</v>
      </c>
      <c r="K282" s="261">
        <v>104</v>
      </c>
    </row>
    <row r="283" spans="1:20" ht="14.25" hidden="1" thickBot="1">
      <c r="B283" s="258" t="s">
        <v>324</v>
      </c>
      <c r="C283" s="249">
        <v>4944</v>
      </c>
      <c r="D283" s="249">
        <v>2602</v>
      </c>
      <c r="E283" s="249">
        <v>2342</v>
      </c>
      <c r="F283" s="249">
        <v>3899</v>
      </c>
      <c r="G283" s="249">
        <v>1878</v>
      </c>
      <c r="H283" s="249">
        <v>2021</v>
      </c>
      <c r="I283" s="249">
        <v>1044</v>
      </c>
      <c r="J283" s="249">
        <v>723</v>
      </c>
      <c r="K283" s="259">
        <v>321</v>
      </c>
    </row>
    <row r="284" spans="1:20" ht="14.25" thickBot="1">
      <c r="A284">
        <v>458</v>
      </c>
      <c r="B284" s="269" t="s">
        <v>3582</v>
      </c>
      <c r="C284" s="270"/>
      <c r="D284" s="270"/>
      <c r="E284" s="270"/>
      <c r="F284" s="270"/>
      <c r="G284" s="270"/>
      <c r="H284" s="270"/>
      <c r="I284" s="270"/>
      <c r="J284" s="270"/>
      <c r="K284" s="271"/>
      <c r="L284" s="249">
        <v>2350</v>
      </c>
      <c r="M284" s="250">
        <v>511</v>
      </c>
      <c r="N284" s="249">
        <v>592</v>
      </c>
      <c r="O284" s="250">
        <v>103</v>
      </c>
      <c r="P284" s="249">
        <v>1144</v>
      </c>
      <c r="Q284">
        <f>O284/L284*100</f>
        <v>4.3829787234042552</v>
      </c>
      <c r="R284">
        <f>N284/L284*100</f>
        <v>25.191489361702128</v>
      </c>
      <c r="S284">
        <f>M284/L284*100</f>
        <v>21.74468085106383</v>
      </c>
      <c r="T284">
        <f>P284/L284*100</f>
        <v>48.680851063829792</v>
      </c>
    </row>
    <row r="285" spans="1:20" ht="14.25" hidden="1" thickBot="1">
      <c r="B285" s="258" t="s">
        <v>28</v>
      </c>
      <c r="C285" s="249">
        <v>33708</v>
      </c>
      <c r="D285" s="249">
        <v>18725</v>
      </c>
      <c r="E285" s="249">
        <v>14983</v>
      </c>
      <c r="F285" s="249">
        <v>31347</v>
      </c>
      <c r="G285" s="249">
        <v>17063</v>
      </c>
      <c r="H285" s="249">
        <v>14284</v>
      </c>
      <c r="I285" s="249">
        <v>2350</v>
      </c>
      <c r="J285" s="249">
        <v>1656</v>
      </c>
      <c r="K285" s="259">
        <v>694</v>
      </c>
    </row>
    <row r="286" spans="1:20" ht="14.25" hidden="1" thickBot="1">
      <c r="B286" s="260" t="s">
        <v>321</v>
      </c>
      <c r="C286" s="250">
        <v>3912</v>
      </c>
      <c r="D286" s="250">
        <v>2407</v>
      </c>
      <c r="E286" s="250">
        <v>1505</v>
      </c>
      <c r="F286" s="250">
        <v>3400</v>
      </c>
      <c r="G286" s="250">
        <v>2034</v>
      </c>
      <c r="H286" s="250">
        <v>1366</v>
      </c>
      <c r="I286" s="250">
        <v>511</v>
      </c>
      <c r="J286" s="250">
        <v>372</v>
      </c>
      <c r="K286" s="261">
        <v>139</v>
      </c>
    </row>
    <row r="287" spans="1:20" ht="14.25" hidden="1" thickBot="1">
      <c r="B287" s="258" t="s">
        <v>322</v>
      </c>
      <c r="C287" s="249">
        <v>22279</v>
      </c>
      <c r="D287" s="249">
        <v>12139</v>
      </c>
      <c r="E287" s="249">
        <v>10140</v>
      </c>
      <c r="F287" s="249">
        <v>21685</v>
      </c>
      <c r="G287" s="249">
        <v>11739</v>
      </c>
      <c r="H287" s="249">
        <v>9946</v>
      </c>
      <c r="I287" s="249">
        <v>592</v>
      </c>
      <c r="J287" s="249">
        <v>399</v>
      </c>
      <c r="K287" s="259">
        <v>193</v>
      </c>
    </row>
    <row r="288" spans="1:20" ht="14.25" hidden="1" thickBot="1">
      <c r="B288" s="260" t="s">
        <v>323</v>
      </c>
      <c r="C288" s="250">
        <v>2344</v>
      </c>
      <c r="D288" s="250">
        <v>1159</v>
      </c>
      <c r="E288" s="250">
        <v>1185</v>
      </c>
      <c r="F288" s="250">
        <v>2241</v>
      </c>
      <c r="G288" s="250">
        <v>1104</v>
      </c>
      <c r="H288" s="250">
        <v>1137</v>
      </c>
      <c r="I288" s="250">
        <v>103</v>
      </c>
      <c r="J288" s="250">
        <v>55</v>
      </c>
      <c r="K288" s="261">
        <v>48</v>
      </c>
    </row>
    <row r="289" spans="1:20" ht="14.25" hidden="1" thickBot="1">
      <c r="B289" s="258" t="s">
        <v>324</v>
      </c>
      <c r="C289" s="249">
        <v>5173</v>
      </c>
      <c r="D289" s="249">
        <v>3020</v>
      </c>
      <c r="E289" s="249">
        <v>2153</v>
      </c>
      <c r="F289" s="249">
        <v>4021</v>
      </c>
      <c r="G289" s="249">
        <v>2186</v>
      </c>
      <c r="H289" s="249">
        <v>1835</v>
      </c>
      <c r="I289" s="249">
        <v>1144</v>
      </c>
      <c r="J289" s="249">
        <v>830</v>
      </c>
      <c r="K289" s="259">
        <v>314</v>
      </c>
    </row>
    <row r="290" spans="1:20" ht="14.25" thickBot="1">
      <c r="A290">
        <v>459</v>
      </c>
      <c r="B290" s="269" t="s">
        <v>3583</v>
      </c>
      <c r="C290" s="270"/>
      <c r="D290" s="270"/>
      <c r="E290" s="270"/>
      <c r="F290" s="270"/>
      <c r="G290" s="270"/>
      <c r="H290" s="270"/>
      <c r="I290" s="270"/>
      <c r="J290" s="270"/>
      <c r="K290" s="271"/>
      <c r="L290" s="249">
        <v>11933</v>
      </c>
      <c r="M290" s="250">
        <v>3063</v>
      </c>
      <c r="N290" s="249">
        <v>2865</v>
      </c>
      <c r="O290" s="250">
        <v>518</v>
      </c>
      <c r="P290" s="249">
        <v>5487</v>
      </c>
      <c r="Q290">
        <f>O290/L290*100</f>
        <v>4.3409033771893073</v>
      </c>
      <c r="R290">
        <f>N290/L290*100</f>
        <v>24.009050532137767</v>
      </c>
      <c r="S290">
        <f>M290/L290*100</f>
        <v>25.668314757395461</v>
      </c>
      <c r="T290">
        <f>P290/L290*100</f>
        <v>45.981731333277466</v>
      </c>
    </row>
    <row r="291" spans="1:20" ht="14.25" hidden="1" thickBot="1">
      <c r="B291" s="258" t="s">
        <v>28</v>
      </c>
      <c r="C291" s="249">
        <v>120448</v>
      </c>
      <c r="D291" s="249">
        <v>68687</v>
      </c>
      <c r="E291" s="249">
        <v>51761</v>
      </c>
      <c r="F291" s="249">
        <v>108475</v>
      </c>
      <c r="G291" s="249">
        <v>60556</v>
      </c>
      <c r="H291" s="249">
        <v>47919</v>
      </c>
      <c r="I291" s="249">
        <v>11933</v>
      </c>
      <c r="J291" s="249">
        <v>8100</v>
      </c>
      <c r="K291" s="259">
        <v>3833</v>
      </c>
    </row>
    <row r="292" spans="1:20" ht="14.25" hidden="1" thickBot="1">
      <c r="B292" s="260" t="s">
        <v>321</v>
      </c>
      <c r="C292" s="250">
        <v>15894</v>
      </c>
      <c r="D292" s="250">
        <v>9924</v>
      </c>
      <c r="E292" s="250">
        <v>5970</v>
      </c>
      <c r="F292" s="250">
        <v>12820</v>
      </c>
      <c r="G292" s="250">
        <v>7783</v>
      </c>
      <c r="H292" s="250">
        <v>5037</v>
      </c>
      <c r="I292" s="250">
        <v>3063</v>
      </c>
      <c r="J292" s="250">
        <v>2133</v>
      </c>
      <c r="K292" s="261">
        <v>930</v>
      </c>
    </row>
    <row r="293" spans="1:20" ht="14.25" hidden="1" thickBot="1">
      <c r="B293" s="258" t="s">
        <v>322</v>
      </c>
      <c r="C293" s="249">
        <v>79379</v>
      </c>
      <c r="D293" s="249">
        <v>44386</v>
      </c>
      <c r="E293" s="249">
        <v>34993</v>
      </c>
      <c r="F293" s="249">
        <v>76504</v>
      </c>
      <c r="G293" s="249">
        <v>42374</v>
      </c>
      <c r="H293" s="249">
        <v>34130</v>
      </c>
      <c r="I293" s="249">
        <v>2865</v>
      </c>
      <c r="J293" s="249">
        <v>2006</v>
      </c>
      <c r="K293" s="259">
        <v>859</v>
      </c>
    </row>
    <row r="294" spans="1:20" ht="14.25" hidden="1" thickBot="1">
      <c r="B294" s="260" t="s">
        <v>323</v>
      </c>
      <c r="C294" s="250">
        <v>8875</v>
      </c>
      <c r="D294" s="250">
        <v>4807</v>
      </c>
      <c r="E294" s="250">
        <v>4068</v>
      </c>
      <c r="F294" s="250">
        <v>8353</v>
      </c>
      <c r="G294" s="250">
        <v>4533</v>
      </c>
      <c r="H294" s="250">
        <v>3820</v>
      </c>
      <c r="I294" s="250">
        <v>518</v>
      </c>
      <c r="J294" s="250">
        <v>271</v>
      </c>
      <c r="K294" s="261">
        <v>247</v>
      </c>
    </row>
    <row r="295" spans="1:20" ht="14.25" hidden="1" thickBot="1">
      <c r="B295" s="258" t="s">
        <v>324</v>
      </c>
      <c r="C295" s="249">
        <v>16300</v>
      </c>
      <c r="D295" s="249">
        <v>9570</v>
      </c>
      <c r="E295" s="249">
        <v>6730</v>
      </c>
      <c r="F295" s="249">
        <v>10798</v>
      </c>
      <c r="G295" s="249">
        <v>5866</v>
      </c>
      <c r="H295" s="249">
        <v>4932</v>
      </c>
      <c r="I295" s="249">
        <v>5487</v>
      </c>
      <c r="J295" s="249">
        <v>3690</v>
      </c>
      <c r="K295" s="259">
        <v>1797</v>
      </c>
    </row>
    <row r="296" spans="1:20" ht="14.25" thickBot="1">
      <c r="A296">
        <v>460</v>
      </c>
      <c r="B296" s="269" t="s">
        <v>3584</v>
      </c>
      <c r="C296" s="270"/>
      <c r="D296" s="270"/>
      <c r="E296" s="270"/>
      <c r="F296" s="270"/>
      <c r="G296" s="270"/>
      <c r="H296" s="270"/>
      <c r="I296" s="270"/>
      <c r="J296" s="270"/>
      <c r="K296" s="271"/>
      <c r="L296" s="249">
        <v>8345</v>
      </c>
      <c r="M296" s="250">
        <v>2159</v>
      </c>
      <c r="N296" s="249">
        <v>1669</v>
      </c>
      <c r="O296" s="250">
        <v>327</v>
      </c>
      <c r="P296" s="249">
        <v>4190</v>
      </c>
      <c r="Q296">
        <f>O296/L296*100</f>
        <v>3.9185140802875975</v>
      </c>
      <c r="R296">
        <f>N296/L296*100</f>
        <v>20</v>
      </c>
      <c r="S296">
        <f>M296/L296*100</f>
        <v>25.871779508687837</v>
      </c>
      <c r="T296">
        <f>P296/L296*100</f>
        <v>50.20970641102457</v>
      </c>
    </row>
    <row r="297" spans="1:20" ht="14.25" hidden="1" thickBot="1">
      <c r="B297" s="258" t="s">
        <v>28</v>
      </c>
      <c r="C297" s="249">
        <v>68142</v>
      </c>
      <c r="D297" s="249">
        <v>40585</v>
      </c>
      <c r="E297" s="249">
        <v>27557</v>
      </c>
      <c r="F297" s="249">
        <v>59755</v>
      </c>
      <c r="G297" s="249">
        <v>35072</v>
      </c>
      <c r="H297" s="249">
        <v>24683</v>
      </c>
      <c r="I297" s="249">
        <v>8345</v>
      </c>
      <c r="J297" s="249">
        <v>5481</v>
      </c>
      <c r="K297" s="259">
        <v>2864</v>
      </c>
    </row>
    <row r="298" spans="1:20" ht="14.25" hidden="1" thickBot="1">
      <c r="B298" s="260" t="s">
        <v>321</v>
      </c>
      <c r="C298" s="250">
        <v>10331</v>
      </c>
      <c r="D298" s="250">
        <v>6213</v>
      </c>
      <c r="E298" s="250">
        <v>4118</v>
      </c>
      <c r="F298" s="250">
        <v>8164</v>
      </c>
      <c r="G298" s="250">
        <v>4800</v>
      </c>
      <c r="H298" s="250">
        <v>3364</v>
      </c>
      <c r="I298" s="250">
        <v>2159</v>
      </c>
      <c r="J298" s="250">
        <v>1408</v>
      </c>
      <c r="K298" s="261">
        <v>751</v>
      </c>
    </row>
    <row r="299" spans="1:20" ht="14.25" hidden="1" thickBot="1">
      <c r="B299" s="258" t="s">
        <v>322</v>
      </c>
      <c r="C299" s="249">
        <v>42025</v>
      </c>
      <c r="D299" s="249">
        <v>25034</v>
      </c>
      <c r="E299" s="249">
        <v>16991</v>
      </c>
      <c r="F299" s="249">
        <v>40340</v>
      </c>
      <c r="G299" s="249">
        <v>23847</v>
      </c>
      <c r="H299" s="249">
        <v>16493</v>
      </c>
      <c r="I299" s="249">
        <v>1669</v>
      </c>
      <c r="J299" s="249">
        <v>1174</v>
      </c>
      <c r="K299" s="259">
        <v>495</v>
      </c>
    </row>
    <row r="300" spans="1:20" ht="14.25" hidden="1" thickBot="1">
      <c r="B300" s="260" t="s">
        <v>323</v>
      </c>
      <c r="C300" s="250">
        <v>5417</v>
      </c>
      <c r="D300" s="250">
        <v>2973</v>
      </c>
      <c r="E300" s="250">
        <v>2444</v>
      </c>
      <c r="F300" s="250">
        <v>5090</v>
      </c>
      <c r="G300" s="250">
        <v>2786</v>
      </c>
      <c r="H300" s="250">
        <v>2304</v>
      </c>
      <c r="I300" s="250">
        <v>327</v>
      </c>
      <c r="J300" s="250">
        <v>187</v>
      </c>
      <c r="K300" s="261">
        <v>140</v>
      </c>
    </row>
    <row r="301" spans="1:20" ht="14.25" hidden="1" thickBot="1">
      <c r="B301" s="258" t="s">
        <v>324</v>
      </c>
      <c r="C301" s="249">
        <v>10369</v>
      </c>
      <c r="D301" s="249">
        <v>6365</v>
      </c>
      <c r="E301" s="249">
        <v>4004</v>
      </c>
      <c r="F301" s="249">
        <v>6161</v>
      </c>
      <c r="G301" s="249">
        <v>3639</v>
      </c>
      <c r="H301" s="249">
        <v>2522</v>
      </c>
      <c r="I301" s="249">
        <v>4190</v>
      </c>
      <c r="J301" s="249">
        <v>2712</v>
      </c>
      <c r="K301" s="259">
        <v>1478</v>
      </c>
    </row>
    <row r="302" spans="1:20" ht="14.25" thickBot="1">
      <c r="A302">
        <v>461</v>
      </c>
      <c r="B302" s="269" t="s">
        <v>3585</v>
      </c>
      <c r="C302" s="270"/>
      <c r="D302" s="270"/>
      <c r="E302" s="270"/>
      <c r="F302" s="270"/>
      <c r="G302" s="270"/>
      <c r="H302" s="270"/>
      <c r="I302" s="270"/>
      <c r="J302" s="270"/>
      <c r="K302" s="271"/>
      <c r="L302" s="249">
        <v>1850</v>
      </c>
      <c r="M302" s="250">
        <v>337</v>
      </c>
      <c r="N302" s="249">
        <v>695</v>
      </c>
      <c r="O302" s="250">
        <v>102</v>
      </c>
      <c r="P302" s="249">
        <v>716</v>
      </c>
      <c r="Q302">
        <f>O302/L302*100</f>
        <v>5.5135135135135132</v>
      </c>
      <c r="R302">
        <f>N302/L302*100</f>
        <v>37.567567567567565</v>
      </c>
      <c r="S302">
        <f>M302/L302*100</f>
        <v>18.216216216216218</v>
      </c>
      <c r="T302">
        <f>P302/L302*100</f>
        <v>38.702702702702702</v>
      </c>
    </row>
    <row r="303" spans="1:20" ht="14.25" hidden="1" thickBot="1">
      <c r="B303" s="258" t="s">
        <v>28</v>
      </c>
      <c r="C303" s="249">
        <v>28604</v>
      </c>
      <c r="D303" s="249">
        <v>18147</v>
      </c>
      <c r="E303" s="249">
        <v>10457</v>
      </c>
      <c r="F303" s="249">
        <v>26752</v>
      </c>
      <c r="G303" s="249">
        <v>16635</v>
      </c>
      <c r="H303" s="249">
        <v>10117</v>
      </c>
      <c r="I303" s="249">
        <v>1850</v>
      </c>
      <c r="J303" s="249">
        <v>1511</v>
      </c>
      <c r="K303" s="259">
        <v>339</v>
      </c>
    </row>
    <row r="304" spans="1:20" ht="14.25" hidden="1" thickBot="1">
      <c r="B304" s="260" t="s">
        <v>321</v>
      </c>
      <c r="C304" s="250">
        <v>3332</v>
      </c>
      <c r="D304" s="250">
        <v>2159</v>
      </c>
      <c r="E304" s="250">
        <v>1173</v>
      </c>
      <c r="F304" s="250">
        <v>2994</v>
      </c>
      <c r="G304" s="250">
        <v>1888</v>
      </c>
      <c r="H304" s="250">
        <v>1106</v>
      </c>
      <c r="I304" s="250">
        <v>337</v>
      </c>
      <c r="J304" s="250">
        <v>270</v>
      </c>
      <c r="K304" s="261">
        <v>67</v>
      </c>
    </row>
    <row r="305" spans="1:20" ht="14.25" hidden="1" thickBot="1">
      <c r="B305" s="258" t="s">
        <v>322</v>
      </c>
      <c r="C305" s="249">
        <v>20153</v>
      </c>
      <c r="D305" s="249">
        <v>12776</v>
      </c>
      <c r="E305" s="249">
        <v>7377</v>
      </c>
      <c r="F305" s="249">
        <v>19458</v>
      </c>
      <c r="G305" s="249">
        <v>12220</v>
      </c>
      <c r="H305" s="249">
        <v>7238</v>
      </c>
      <c r="I305" s="249">
        <v>695</v>
      </c>
      <c r="J305" s="249">
        <v>556</v>
      </c>
      <c r="K305" s="259">
        <v>139</v>
      </c>
    </row>
    <row r="306" spans="1:20" ht="14.25" hidden="1" thickBot="1">
      <c r="B306" s="260" t="s">
        <v>323</v>
      </c>
      <c r="C306" s="250">
        <v>2293</v>
      </c>
      <c r="D306" s="250">
        <v>1530</v>
      </c>
      <c r="E306" s="250">
        <v>763</v>
      </c>
      <c r="F306" s="250">
        <v>2191</v>
      </c>
      <c r="G306" s="250">
        <v>1466</v>
      </c>
      <c r="H306" s="250">
        <v>725</v>
      </c>
      <c r="I306" s="250">
        <v>102</v>
      </c>
      <c r="J306" s="250">
        <v>64</v>
      </c>
      <c r="K306" s="261">
        <v>38</v>
      </c>
    </row>
    <row r="307" spans="1:20" ht="14.25" hidden="1" thickBot="1">
      <c r="B307" s="258" t="s">
        <v>324</v>
      </c>
      <c r="C307" s="249">
        <v>2826</v>
      </c>
      <c r="D307" s="249">
        <v>1682</v>
      </c>
      <c r="E307" s="249">
        <v>1144</v>
      </c>
      <c r="F307" s="249">
        <v>2109</v>
      </c>
      <c r="G307" s="249">
        <v>1061</v>
      </c>
      <c r="H307" s="249">
        <v>1048</v>
      </c>
      <c r="I307" s="249">
        <v>716</v>
      </c>
      <c r="J307" s="249">
        <v>621</v>
      </c>
      <c r="K307" s="259">
        <v>95</v>
      </c>
    </row>
    <row r="308" spans="1:20" ht="14.25" thickBot="1">
      <c r="A308">
        <v>462</v>
      </c>
      <c r="B308" s="269" t="s">
        <v>3586</v>
      </c>
      <c r="C308" s="270"/>
      <c r="D308" s="270"/>
      <c r="E308" s="270"/>
      <c r="F308" s="270"/>
      <c r="G308" s="270"/>
      <c r="H308" s="270"/>
      <c r="I308" s="270"/>
      <c r="J308" s="270"/>
      <c r="K308" s="271"/>
      <c r="L308" s="249">
        <v>688</v>
      </c>
      <c r="M308" s="250">
        <v>78</v>
      </c>
      <c r="N308" s="249">
        <v>147</v>
      </c>
      <c r="O308" s="250">
        <v>42</v>
      </c>
      <c r="P308" s="263">
        <v>421</v>
      </c>
      <c r="Q308">
        <f>O308/L308*100</f>
        <v>6.104651162790697</v>
      </c>
      <c r="R308">
        <f>N308/L308*100</f>
        <v>21.36627906976744</v>
      </c>
      <c r="S308">
        <f>M308/L308*100</f>
        <v>11.337209302325581</v>
      </c>
      <c r="T308">
        <f>P308/L308*100</f>
        <v>61.191860465116278</v>
      </c>
    </row>
    <row r="309" spans="1:20" ht="14.25" hidden="1" thickBot="1">
      <c r="B309" s="258" t="s">
        <v>28</v>
      </c>
      <c r="C309" s="249">
        <v>15273</v>
      </c>
      <c r="D309" s="249">
        <v>7706</v>
      </c>
      <c r="E309" s="249">
        <v>7567</v>
      </c>
      <c r="F309" s="249">
        <v>14581</v>
      </c>
      <c r="G309" s="249">
        <v>7307</v>
      </c>
      <c r="H309" s="249">
        <v>7274</v>
      </c>
      <c r="I309" s="249">
        <v>688</v>
      </c>
      <c r="J309" s="249">
        <v>396</v>
      </c>
      <c r="K309" s="259">
        <v>292</v>
      </c>
    </row>
    <row r="310" spans="1:20" ht="14.25" hidden="1" thickBot="1">
      <c r="B310" s="260" t="s">
        <v>321</v>
      </c>
      <c r="C310" s="250">
        <v>1651</v>
      </c>
      <c r="D310" s="250">
        <v>848</v>
      </c>
      <c r="E310" s="250">
        <v>803</v>
      </c>
      <c r="F310" s="250">
        <v>1572</v>
      </c>
      <c r="G310" s="250">
        <v>808</v>
      </c>
      <c r="H310" s="250">
        <v>764</v>
      </c>
      <c r="I310" s="250">
        <v>78</v>
      </c>
      <c r="J310" s="250">
        <v>39</v>
      </c>
      <c r="K310" s="261">
        <v>39</v>
      </c>
    </row>
    <row r="311" spans="1:20" ht="14.25" hidden="1" thickBot="1">
      <c r="B311" s="258" t="s">
        <v>322</v>
      </c>
      <c r="C311" s="249">
        <v>10274</v>
      </c>
      <c r="D311" s="249">
        <v>5222</v>
      </c>
      <c r="E311" s="249">
        <v>5052</v>
      </c>
      <c r="F311" s="249">
        <v>10126</v>
      </c>
      <c r="G311" s="249">
        <v>5134</v>
      </c>
      <c r="H311" s="249">
        <v>4992</v>
      </c>
      <c r="I311" s="249">
        <v>147</v>
      </c>
      <c r="J311" s="249">
        <v>88</v>
      </c>
      <c r="K311" s="259">
        <v>59</v>
      </c>
    </row>
    <row r="312" spans="1:20" ht="14.25" hidden="1" thickBot="1">
      <c r="B312" s="260" t="s">
        <v>323</v>
      </c>
      <c r="C312" s="250">
        <v>850</v>
      </c>
      <c r="D312" s="250">
        <v>417</v>
      </c>
      <c r="E312" s="250">
        <v>433</v>
      </c>
      <c r="F312" s="250">
        <v>807</v>
      </c>
      <c r="G312" s="250">
        <v>396</v>
      </c>
      <c r="H312" s="250">
        <v>411</v>
      </c>
      <c r="I312" s="250">
        <v>42</v>
      </c>
      <c r="J312" s="250">
        <v>20</v>
      </c>
      <c r="K312" s="261">
        <v>22</v>
      </c>
    </row>
    <row r="313" spans="1:20" ht="14.25" hidden="1" thickBot="1">
      <c r="B313" s="262" t="s">
        <v>324</v>
      </c>
      <c r="C313" s="263">
        <v>2498</v>
      </c>
      <c r="D313" s="263">
        <v>1219</v>
      </c>
      <c r="E313" s="263">
        <v>1279</v>
      </c>
      <c r="F313" s="263">
        <v>2076</v>
      </c>
      <c r="G313" s="263">
        <v>969</v>
      </c>
      <c r="H313" s="263">
        <v>1107</v>
      </c>
      <c r="I313" s="263">
        <v>421</v>
      </c>
      <c r="J313" s="263">
        <v>249</v>
      </c>
      <c r="K313" s="264">
        <v>172</v>
      </c>
    </row>
  </sheetData>
  <autoFilter ref="B6:P313" xr:uid="{C27C22E9-C1AA-4427-AF6D-C7A5DAE6A0FA}">
    <filterColumn colId="0">
      <filters>
        <filter val="0 Niedersachsen"/>
        <filter val="1 Braunschweig"/>
        <filter val="101 Braunschweig,Stadt"/>
        <filter val="102 Salzgitter,Stadt"/>
        <filter val="103 Wolfsburg,Stadt"/>
        <filter val="151 Gifhorn"/>
        <filter val="153 Goslar"/>
        <filter val="154 Helmstedt"/>
        <filter val="155 Northeim"/>
        <filter val="157 Peine"/>
        <filter val="158 Wolfenbüttel"/>
        <filter val="159 Göttingen"/>
        <filter val="2 Hannover"/>
        <filter val="241 Hannover,Region"/>
        <filter val="241001 Hannover,Landeshauptstadt"/>
        <filter val="251 Diepholz"/>
        <filter val="252 Hameln-Pyrmont"/>
        <filter val="254 Hildesheim"/>
        <filter val="255 Holzminden"/>
        <filter val="256 Nienburg (Weser)"/>
        <filter val="257 Schaumburg"/>
        <filter val="3 Lüneburg"/>
        <filter val="351 Celle"/>
        <filter val="352 Cuxhaven"/>
        <filter val="353 Harburg"/>
        <filter val="354 Lüchow-Dannenberg"/>
        <filter val="355 Lüneburg"/>
        <filter val="356 Osterholz"/>
        <filter val="357 Rotenburg (Wümme)"/>
        <filter val="358 Heidekreis"/>
        <filter val="359 Stade"/>
        <filter val="360 Uelzen"/>
        <filter val="361 Verden"/>
        <filter val="4 Weser-Ems"/>
        <filter val="401 Delmenhorst,Stadt"/>
        <filter val="402 Emden,Stadt"/>
        <filter val="403 Oldenburg(Oldb),Stadt"/>
        <filter val="404 Osnabrück,Stadt"/>
        <filter val="405 Wilhelmshaven,Stadt"/>
        <filter val="451 Ammerland"/>
        <filter val="452 Aurich"/>
        <filter val="453 Cloppenburg"/>
        <filter val="454 Emsland"/>
        <filter val="455 Friesland"/>
        <filter val="456 Grafschaft Bentheim"/>
        <filter val="457 Leer"/>
        <filter val="458 Oldenburg"/>
        <filter val="459 Osnabrück"/>
        <filter val="460 Vechta"/>
        <filter val="461 Wesermarsch"/>
        <filter val="462 Wittmund"/>
        <filter val="Hannover, Umland"/>
      </filters>
    </filterColumn>
  </autoFilter>
  <mergeCells count="4">
    <mergeCell ref="C1:K3"/>
    <mergeCell ref="C4:E4"/>
    <mergeCell ref="F4:H4"/>
    <mergeCell ref="I4:K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2019_C4_Zeitreihe</vt:lpstr>
      <vt:lpstr>2020_5-2-2_Download</vt:lpstr>
      <vt:lpstr>2020_5-2-2_CSV_Vorbereitung</vt:lpstr>
      <vt:lpstr>2020_5-2-2_CSV_Export</vt:lpstr>
      <vt:lpstr>2020_5-2-3_CSV_Vorbereitung</vt:lpstr>
      <vt:lpstr>2020_5-2-3_CSV_Export</vt:lpstr>
      <vt:lpstr>2020_Rohdaten_BA</vt:lpstr>
      <vt:lpstr>2020_5-1-3_LSN_Ergänzung</vt:lpstr>
      <vt:lpstr>2019_C4_Karte</vt:lpstr>
      <vt:lpstr>C4_Berechnung</vt:lpstr>
      <vt:lpstr>2019_C4_Rohdaten_BA</vt:lpstr>
      <vt:lpstr>2019_LSN_Ergänzung</vt:lpstr>
      <vt:lpstr>2018_C4_Karte</vt:lpstr>
      <vt:lpstr>2018_C4_bearbeitet</vt:lpstr>
      <vt:lpstr>2018_C4_Beasrbeitet_2</vt:lpstr>
      <vt:lpstr>2018_C4_Roh</vt:lpstr>
      <vt:lpstr>2017_C4</vt:lpstr>
      <vt:lpstr>2017_C4_bearbeitet</vt:lpstr>
      <vt:lpstr>2017_C4_roh</vt:lpstr>
      <vt:lpstr>2016_roh</vt:lpstr>
      <vt:lpstr>2016_bearbeitet</vt:lpstr>
    </vt:vector>
  </TitlesOfParts>
  <Company>IT.Niedersachsen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Biester, Christoph (LSN)</dc:creator>
  <cp:lastModifiedBy>Biester, Christoph (LSN)</cp:lastModifiedBy>
  <dcterms:created xsi:type="dcterms:W3CDTF">2018-09-25T05:45:18Z</dcterms:created>
  <dcterms:modified xsi:type="dcterms:W3CDTF">2021-09-17T15:17:10Z</dcterms:modified>
</cp:coreProperties>
</file>